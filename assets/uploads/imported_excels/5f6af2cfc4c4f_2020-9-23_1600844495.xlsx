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760" yWindow="225" windowWidth="12720" windowHeight="11385" tabRatio="580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H25" i="3"/>
  <c r="H26" s="1"/>
  <c r="H27" s="1"/>
  <c r="H28" s="1"/>
  <c r="H29" s="1"/>
  <c r="H30" s="1"/>
  <c r="H31" s="1"/>
  <c r="H32" s="1"/>
  <c r="H33" s="1"/>
  <c r="H24"/>
  <c r="AA20" i="2" l="1"/>
  <c r="A21" i="1"/>
  <c r="A22"/>
  <c r="A23"/>
  <c r="A24"/>
  <c r="A25"/>
  <c r="A26"/>
  <c r="Q14" i="2"/>
  <c r="Q13"/>
  <c r="R13" s="1"/>
  <c r="S5" i="3" l="1"/>
  <c r="S6"/>
  <c r="K11" i="73"/>
  <c r="F6" i="1"/>
  <c r="X6"/>
  <c r="Z6"/>
  <c r="AC6"/>
  <c r="Y6" i="5"/>
  <c r="Y7"/>
  <c r="Y8"/>
  <c r="X8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26" s="1"/>
  <c r="F27" s="1"/>
  <c r="F28" s="1"/>
  <c r="F29" s="1"/>
  <c r="F30" s="1"/>
  <c r="F31" s="1"/>
  <c r="F32" s="1"/>
  <c r="F33" s="1"/>
  <c r="W28" s="1"/>
  <c r="G3"/>
  <c r="H3"/>
  <c r="H26" s="1"/>
  <c r="H27" s="1"/>
  <c r="H28" s="1"/>
  <c r="H29" s="1"/>
  <c r="H30" s="1"/>
  <c r="H31" s="1"/>
  <c r="H32" s="1"/>
  <c r="H33" s="1"/>
  <c r="W27" s="1"/>
  <c r="I3"/>
  <c r="J3"/>
  <c r="J11" s="1"/>
  <c r="J26" s="1"/>
  <c r="J27" s="1"/>
  <c r="J28" s="1"/>
  <c r="J29" s="1"/>
  <c r="J30" s="1"/>
  <c r="J31" s="1"/>
  <c r="J32" s="1"/>
  <c r="J33" s="1"/>
  <c r="W26" s="1"/>
  <c r="K3"/>
  <c r="L3"/>
  <c r="M3"/>
  <c r="N3"/>
  <c r="B3"/>
  <c r="B26" s="1"/>
  <c r="B27" s="1"/>
  <c r="B28" s="1"/>
  <c r="B29" s="1"/>
  <c r="B30" s="1"/>
  <c r="B31" s="1"/>
  <c r="B32" s="1"/>
  <c r="B33" s="1"/>
  <c r="J2" i="3"/>
  <c r="J5" s="1"/>
  <c r="J6" s="1"/>
  <c r="J7" s="1"/>
  <c r="J8" s="1"/>
  <c r="J9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D3"/>
  <c r="D7" s="1"/>
  <c r="D10" s="1"/>
  <c r="D12" s="1"/>
  <c r="D13" s="1"/>
  <c r="D14" s="1"/>
  <c r="D18" s="1"/>
  <c r="D19" s="1"/>
  <c r="D20" s="1"/>
  <c r="D21" s="1"/>
  <c r="D25" s="1"/>
  <c r="D26" s="1"/>
  <c r="D27" s="1"/>
  <c r="D28" s="1"/>
  <c r="D29" s="1"/>
  <c r="D30" s="1"/>
  <c r="D31" s="1"/>
  <c r="D32" s="1"/>
  <c r="D33" s="1"/>
  <c r="E2"/>
  <c r="F2"/>
  <c r="G2"/>
  <c r="H2"/>
  <c r="H3" s="1"/>
  <c r="I2"/>
  <c r="K2"/>
  <c r="O2"/>
  <c r="P2"/>
  <c r="Q2"/>
  <c r="R2"/>
  <c r="R7" s="1"/>
  <c r="S2"/>
  <c r="T2"/>
  <c r="T5" s="1"/>
  <c r="T6" s="1"/>
  <c r="T7" s="1"/>
  <c r="T8" s="1"/>
  <c r="T9" s="1"/>
  <c r="T10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12" s="1"/>
  <c r="B13" s="1"/>
  <c r="B14" s="1"/>
  <c r="B18" s="1"/>
  <c r="B19" s="1"/>
  <c r="B20" s="1"/>
  <c r="B21" s="1"/>
  <c r="B25" s="1"/>
  <c r="B26" s="1"/>
  <c r="B27" s="1"/>
  <c r="B28" s="1"/>
  <c r="B29" s="1"/>
  <c r="B30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6" s="1"/>
  <c r="AT18" s="1"/>
  <c r="AT20" s="1"/>
  <c r="AT28" s="1"/>
  <c r="AT29" s="1"/>
  <c r="AT30" s="1"/>
  <c r="AT31" s="1"/>
  <c r="AT32" s="1"/>
  <c r="AT33" s="1"/>
  <c r="AT34" s="1"/>
  <c r="AT35" s="1"/>
  <c r="AT36" s="1"/>
  <c r="AG7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B7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9" s="1"/>
  <c r="G10" s="1"/>
  <c r="G12" s="1"/>
  <c r="G13" s="1"/>
  <c r="G14" s="1"/>
  <c r="G15" s="1"/>
  <c r="G16" s="1"/>
  <c r="G17" s="1"/>
  <c r="G18" s="1"/>
  <c r="G19" s="1"/>
  <c r="G20" s="1"/>
  <c r="G22" s="1"/>
  <c r="G24" s="1"/>
  <c r="G26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8" s="1"/>
  <c r="T22" s="1"/>
  <c r="T28" s="1"/>
  <c r="T29" s="1"/>
  <c r="T30" s="1"/>
  <c r="T31" s="1"/>
  <c r="T32" s="1"/>
  <c r="T33" s="1"/>
  <c r="T34" s="1"/>
  <c r="T35" s="1"/>
  <c r="T36" s="1"/>
  <c r="U5"/>
  <c r="V5"/>
  <c r="V6" s="1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4" s="1"/>
  <c r="X28" s="1"/>
  <c r="X29" s="1"/>
  <c r="X30" s="1"/>
  <c r="X31" s="1"/>
  <c r="X32" s="1"/>
  <c r="X33" s="1"/>
  <c r="X34" s="1"/>
  <c r="X35" s="1"/>
  <c r="X36" s="1"/>
  <c r="Y5"/>
  <c r="Z5"/>
  <c r="Z7" s="1"/>
  <c r="Z8" s="1"/>
  <c r="Z10" s="1"/>
  <c r="Z11" s="1"/>
  <c r="Z12" s="1"/>
  <c r="Z14" s="1"/>
  <c r="Z15" s="1"/>
  <c r="Z16" s="1"/>
  <c r="Z18" s="1"/>
  <c r="Z20" s="1"/>
  <c r="Z21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H5"/>
  <c r="AI5"/>
  <c r="AJ5"/>
  <c r="AK5"/>
  <c r="AL5"/>
  <c r="AM5"/>
  <c r="AN5"/>
  <c r="AO5"/>
  <c r="AP5"/>
  <c r="AQ5"/>
  <c r="AR5"/>
  <c r="AT5"/>
  <c r="AU5"/>
  <c r="AV5"/>
  <c r="AV28" s="1"/>
  <c r="AV29" s="1"/>
  <c r="AV30" s="1"/>
  <c r="AV31" s="1"/>
  <c r="AV32" s="1"/>
  <c r="AV33" s="1"/>
  <c r="AV34" s="1"/>
  <c r="AV35" s="1"/>
  <c r="AV36" s="1"/>
  <c r="AW5"/>
  <c r="AX5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D4"/>
  <c r="E4"/>
  <c r="F4"/>
  <c r="F7" s="1"/>
  <c r="F8" s="1"/>
  <c r="F9" s="1"/>
  <c r="F10" s="1"/>
  <c r="F11" s="1"/>
  <c r="F13" s="1"/>
  <c r="F14" s="1"/>
  <c r="F15" s="1"/>
  <c r="F16" s="1"/>
  <c r="F18" s="1"/>
  <c r="F20" s="1"/>
  <c r="F21" s="1"/>
  <c r="F22" s="1"/>
  <c r="F23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20" s="1"/>
  <c r="AN21" s="1"/>
  <c r="AN23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5" s="1"/>
  <c r="AP6" s="1"/>
  <c r="AP7" s="1"/>
  <c r="AP9" s="1"/>
  <c r="AP10" s="1"/>
  <c r="AP11" s="1"/>
  <c r="AP12" s="1"/>
  <c r="AP14" s="1"/>
  <c r="AP15" s="1"/>
  <c r="AP16" s="1"/>
  <c r="AP21" s="1"/>
  <c r="AP22" s="1"/>
  <c r="AP23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21" s="1"/>
  <c r="AR22" s="1"/>
  <c r="AR23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27" s="1"/>
  <c r="B28" s="1"/>
  <c r="B29" s="1"/>
  <c r="B30" s="1"/>
  <c r="B31" s="1"/>
  <c r="B32" s="1"/>
  <c r="B33" s="1"/>
  <c r="B34" s="1"/>
  <c r="B35" s="1"/>
  <c r="AC4" i="2"/>
  <c r="AC11" s="1"/>
  <c r="AC12" s="1"/>
  <c r="AC13" s="1"/>
  <c r="AC14" s="1"/>
  <c r="AC15" s="1"/>
  <c r="AC16" s="1"/>
  <c r="AC20" s="1"/>
  <c r="AC25" s="1"/>
  <c r="AC26" s="1"/>
  <c r="AC27" s="1"/>
  <c r="AC28" s="1"/>
  <c r="AC29" s="1"/>
  <c r="AC30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7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F25"/>
  <c r="F26" s="1"/>
  <c r="F27" s="1"/>
  <c r="F28" s="1"/>
  <c r="F29" s="1"/>
  <c r="F30" s="1"/>
  <c r="F31" s="1"/>
  <c r="F32" s="1"/>
  <c r="F33" s="1"/>
  <c r="F2"/>
  <c r="G2"/>
  <c r="H2"/>
  <c r="H25" s="1"/>
  <c r="H26" s="1"/>
  <c r="H27" s="1"/>
  <c r="H28" s="1"/>
  <c r="H29" s="1"/>
  <c r="H30" s="1"/>
  <c r="H31" s="1"/>
  <c r="H32" s="1"/>
  <c r="H33" s="1"/>
  <c r="I2"/>
  <c r="J2"/>
  <c r="J25" s="1"/>
  <c r="J26" s="1"/>
  <c r="J27" s="1"/>
  <c r="J28" s="1"/>
  <c r="J29" s="1"/>
  <c r="J30" s="1"/>
  <c r="J31" s="1"/>
  <c r="J32" s="1"/>
  <c r="J33" s="1"/>
  <c r="K2"/>
  <c r="L2"/>
  <c r="L25" s="1"/>
  <c r="L26" s="1"/>
  <c r="L27" s="1"/>
  <c r="L28" s="1"/>
  <c r="L29" s="1"/>
  <c r="L30" s="1"/>
  <c r="L31" s="1"/>
  <c r="L32" s="1"/>
  <c r="L33" s="1"/>
  <c r="M2"/>
  <c r="P2"/>
  <c r="Q2"/>
  <c r="S2"/>
  <c r="S6" s="1"/>
  <c r="S7" s="1"/>
  <c r="S8" s="1"/>
  <c r="S18" s="1"/>
  <c r="S19" s="1"/>
  <c r="S25" s="1"/>
  <c r="S26" s="1"/>
  <c r="S27" s="1"/>
  <c r="S28" s="1"/>
  <c r="S29" s="1"/>
  <c r="S30" s="1"/>
  <c r="S31" s="1"/>
  <c r="S32" s="1"/>
  <c r="S33" s="1"/>
  <c r="T2"/>
  <c r="U2"/>
  <c r="U6" s="1"/>
  <c r="U7" s="1"/>
  <c r="U8" s="1"/>
  <c r="U18" s="1"/>
  <c r="U19" s="1"/>
  <c r="U25" s="1"/>
  <c r="U26" s="1"/>
  <c r="U27" s="1"/>
  <c r="U28" s="1"/>
  <c r="U29" s="1"/>
  <c r="U30" s="1"/>
  <c r="U31" s="1"/>
  <c r="U32" s="1"/>
  <c r="U33" s="1"/>
  <c r="V2"/>
  <c r="W2"/>
  <c r="X2"/>
  <c r="Y2"/>
  <c r="Z2"/>
  <c r="AA2"/>
  <c r="AA4" s="1"/>
  <c r="AA11" s="1"/>
  <c r="AA12" s="1"/>
  <c r="AA13" s="1"/>
  <c r="AA14" s="1"/>
  <c r="AA15" s="1"/>
  <c r="AA16" s="1"/>
  <c r="AA25" s="1"/>
  <c r="AA26" s="1"/>
  <c r="AA27" s="1"/>
  <c r="AA28" s="1"/>
  <c r="AA29" s="1"/>
  <c r="AA30" s="1"/>
  <c r="AA31" s="1"/>
  <c r="AA32" s="1"/>
  <c r="AA33" s="1"/>
  <c r="AB2"/>
  <c r="AC2"/>
  <c r="AD2"/>
  <c r="AE2"/>
  <c r="AF2"/>
  <c r="AG2"/>
  <c r="AH2"/>
  <c r="AJ2"/>
  <c r="AK2"/>
  <c r="AL2"/>
  <c r="D2"/>
  <c r="D25" s="1"/>
  <c r="D26" s="1"/>
  <c r="D27" s="1"/>
  <c r="D28" s="1"/>
  <c r="D29" s="1"/>
  <c r="D30" s="1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B2"/>
  <c r="A2"/>
  <c r="Q15" l="1"/>
  <c r="R8" i="3"/>
  <c r="S7"/>
  <c r="C27" i="1"/>
  <c r="C28" s="1"/>
  <c r="C29" s="1"/>
  <c r="C30" s="1"/>
  <c r="C31" s="1"/>
  <c r="C32" s="1"/>
  <c r="C33" s="1"/>
  <c r="C34" s="1"/>
  <c r="C35" s="1"/>
  <c r="G24" i="2"/>
  <c r="Q16" l="1"/>
  <c r="R9" i="3"/>
  <c r="S8"/>
  <c r="D9" i="1"/>
  <c r="E9" s="1"/>
  <c r="L22"/>
  <c r="Q17" i="2" l="1"/>
  <c r="S9" i="3"/>
  <c r="AB16" i="74"/>
  <c r="AA16"/>
  <c r="Q18" i="2" l="1"/>
  <c r="S16" i="3"/>
  <c r="R22"/>
  <c r="R23" s="1"/>
  <c r="R24" s="1"/>
  <c r="R25" s="1"/>
  <c r="R26" s="1"/>
  <c r="R27" s="1"/>
  <c r="R28" s="1"/>
  <c r="R29" s="1"/>
  <c r="R30" s="1"/>
  <c r="R31" s="1"/>
  <c r="R32" s="1"/>
  <c r="R33" s="1"/>
  <c r="C78" i="74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AB17" i="76"/>
  <c r="AB16"/>
  <c r="AB15"/>
  <c r="Q22" i="2" l="1"/>
  <c r="C13" i="76"/>
  <c r="Q23" i="2" l="1"/>
  <c r="C14" i="76"/>
  <c r="Q24" i="2" l="1"/>
  <c r="C15" i="76"/>
  <c r="K36" i="5"/>
  <c r="K35"/>
  <c r="K34"/>
  <c r="K35" i="73"/>
  <c r="G35"/>
  <c r="D35"/>
  <c r="A28" i="76"/>
  <c r="A29"/>
  <c r="A30"/>
  <c r="E22" i="3"/>
  <c r="P25" i="2" l="1"/>
  <c r="Q25" s="1"/>
  <c r="C16" i="76"/>
  <c r="AU16" i="5"/>
  <c r="D12" i="73"/>
  <c r="AB7" i="2"/>
  <c r="G5" i="76"/>
  <c r="P26" i="2" l="1"/>
  <c r="Q26" s="1"/>
  <c r="C17" i="76"/>
  <c r="AC17"/>
  <c r="AC16"/>
  <c r="AC15"/>
  <c r="V28"/>
  <c r="V27"/>
  <c r="P27" i="2" l="1"/>
  <c r="Q27" s="1"/>
  <c r="C18" i="76"/>
  <c r="P28" i="2" l="1"/>
  <c r="Q28" s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P29" i="2" l="1"/>
  <c r="Q29" s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P30" i="2" l="1"/>
  <c r="Q30" s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P31" i="2" l="1"/>
  <c r="Q31" s="1"/>
  <c r="C22" i="76"/>
  <c r="AB33" i="2"/>
  <c r="AB10"/>
  <c r="Z33" i="3"/>
  <c r="AK33" s="1"/>
  <c r="D14" i="76"/>
  <c r="E14" s="1"/>
  <c r="G16"/>
  <c r="L16" s="1"/>
  <c r="I16"/>
  <c r="M16" s="1"/>
  <c r="AB33" i="3"/>
  <c r="X40" i="74"/>
  <c r="P32" i="2" l="1"/>
  <c r="Q32" s="1"/>
  <c r="C23" i="76"/>
  <c r="AC33" i="3"/>
  <c r="G17" i="76"/>
  <c r="L17" s="1"/>
  <c r="I17"/>
  <c r="M17" s="1"/>
  <c r="D15"/>
  <c r="E15" s="1"/>
  <c r="P33" i="2" l="1"/>
  <c r="Q33" s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R33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C30" l="1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6" i="76"/>
  <c r="K36" s="1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S16" i="76" l="1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S17" i="76" l="1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S12" i="7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F22" i="65" l="1"/>
  <c r="AK22" i="5"/>
  <c r="F17" i="65"/>
  <c r="AK17" i="5"/>
  <c r="H31" i="63"/>
  <c r="AK34" i="5"/>
  <c r="F14" i="65"/>
  <c r="H25" i="63"/>
  <c r="AK28" i="5"/>
  <c r="H7" i="63"/>
  <c r="AK10" i="5"/>
  <c r="H18" i="63"/>
  <c r="AK21" i="5"/>
  <c r="H26" i="63"/>
  <c r="AK29" i="5"/>
  <c r="H22" i="63"/>
  <c r="AK25" i="5"/>
  <c r="H5" i="63"/>
  <c r="AK8" i="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0" i="76" l="1"/>
  <c r="F28" i="81" s="1"/>
  <c r="T29" i="76"/>
  <c r="F27" i="81" s="1"/>
  <c r="T33" i="76"/>
  <c r="F31" i="81" s="1"/>
  <c r="T28" i="76"/>
  <c r="F26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AC8" s="1"/>
  <c r="AH8" s="1"/>
  <c r="L10" l="1"/>
  <c r="M9"/>
  <c r="AA9" s="1"/>
  <c r="AC9" s="1"/>
  <c r="AH9" s="1"/>
  <c r="L11" l="1"/>
  <c r="M10"/>
  <c r="AA10" s="1"/>
  <c r="M2"/>
  <c r="L12" l="1"/>
  <c r="M11"/>
  <c r="AA11" s="1"/>
  <c r="AC11" s="1"/>
  <c r="AH11" s="1"/>
  <c r="N2"/>
  <c r="AA2"/>
  <c r="L13" l="1"/>
  <c r="M12"/>
  <c r="AA12" s="1"/>
  <c r="AC12" s="1"/>
  <c r="AH12" s="1"/>
  <c r="AB2"/>
  <c r="L14" l="1"/>
  <c r="M13"/>
  <c r="AA13" s="1"/>
  <c r="AC13" s="1"/>
  <c r="AH13" s="1"/>
  <c r="AC2"/>
  <c r="L15" l="1"/>
  <c r="M14"/>
  <c r="AA14" s="1"/>
  <c r="AC14" s="1"/>
  <c r="AH14" s="1"/>
  <c r="L16" l="1"/>
  <c r="M15"/>
  <c r="AA15" s="1"/>
  <c r="AC15" s="1"/>
  <c r="AH15" s="1"/>
  <c r="L17" l="1"/>
  <c r="M16"/>
  <c r="AA16" s="1"/>
  <c r="AC16" s="1"/>
  <c r="AH16" s="1"/>
  <c r="L18" l="1"/>
  <c r="M17"/>
  <c r="AA17" s="1"/>
  <c r="AC17" s="1"/>
  <c r="AH17" s="1"/>
  <c r="L19" l="1"/>
  <c r="M18"/>
  <c r="AA18" s="1"/>
  <c r="AC18" s="1"/>
  <c r="AH18" s="1"/>
  <c r="E2" i="2" l="1"/>
  <c r="L20" i="3"/>
  <c r="M19"/>
  <c r="AA19" s="1"/>
  <c r="AC19" s="1"/>
  <c r="AH19" s="1"/>
  <c r="AH2"/>
  <c r="N2" i="2" l="1"/>
  <c r="L21" i="3"/>
  <c r="M20"/>
  <c r="AA20" s="1"/>
  <c r="AC20" s="1"/>
  <c r="AH20" s="1"/>
  <c r="R2" i="2"/>
  <c r="T3" i="76" l="1"/>
  <c r="S3"/>
  <c r="L22" i="3"/>
  <c r="M21"/>
  <c r="AA21" s="1"/>
  <c r="AC21" s="1"/>
  <c r="AH21" s="1"/>
  <c r="AI2" i="2"/>
  <c r="B5" i="7"/>
  <c r="L23" i="3" l="1"/>
  <c r="M22"/>
  <c r="AA22" s="1"/>
  <c r="AC22" s="1"/>
  <c r="AH22" s="1"/>
  <c r="D5" i="7"/>
  <c r="C5"/>
  <c r="L24" i="3" l="1"/>
  <c r="M23"/>
  <c r="AA23" s="1"/>
  <c r="AC23" s="1"/>
  <c r="AH23" s="1"/>
  <c r="E5" i="7"/>
  <c r="F5"/>
  <c r="L25" i="3" l="1"/>
  <c r="M24"/>
  <c r="AA24" s="1"/>
  <c r="AC24" s="1"/>
  <c r="AH24" s="1"/>
  <c r="H5" i="7"/>
  <c r="G5"/>
  <c r="L26" i="3" l="1"/>
  <c r="M25"/>
  <c r="AA25" s="1"/>
  <c r="J5" i="7"/>
  <c r="I5"/>
  <c r="L27" i="3" l="1"/>
  <c r="M26"/>
  <c r="AA26" s="1"/>
  <c r="L5" i="7"/>
  <c r="K5"/>
  <c r="L28" i="3" l="1"/>
  <c r="M27"/>
  <c r="AA27" s="1"/>
  <c r="N5" i="7"/>
  <c r="M5"/>
  <c r="L29" i="3" l="1"/>
  <c r="M28"/>
  <c r="AA28" s="1"/>
  <c r="O5" i="7"/>
  <c r="P5"/>
  <c r="L30" i="3" l="1"/>
  <c r="M29"/>
  <c r="AA29" s="1"/>
  <c r="R5" i="7"/>
  <c r="Q5"/>
  <c r="L31" i="3" l="1"/>
  <c r="M30"/>
  <c r="AA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O33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O14"/>
  <c r="P14" s="1"/>
  <c r="R14" s="1"/>
  <c r="T14" s="1"/>
  <c r="F12" i="81" s="1"/>
  <c r="O28" i="76"/>
  <c r="P28" s="1"/>
  <c r="R28" s="1"/>
  <c r="O23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O36" i="5" l="1"/>
  <c r="P36" s="1"/>
  <c r="Q36" s="1"/>
  <c r="P35"/>
  <c r="Q35" s="1"/>
  <c r="Q34"/>
  <c r="M30" i="81" s="1"/>
  <c r="M36" i="5"/>
  <c r="N36" s="1"/>
  <c r="N35"/>
  <c r="M31" i="81" l="1"/>
  <c r="Q37" i="5"/>
  <c r="O38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<sst xmlns="http://schemas.openxmlformats.org/spreadsheetml/2006/main" count="652" uniqueCount="417">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</sst>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2" fontId="0" fillId="31" borderId="7" xfId="1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9673</c:v>
                </c:pt>
                <c:pt idx="19">
                  <c:v>7867</c:v>
                </c:pt>
                <c:pt idx="20">
                  <c:v>8881</c:v>
                </c:pt>
                <c:pt idx="21">
                  <c:v>9258</c:v>
                </c:pt>
                <c:pt idx="22">
                  <c:v>10688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443072"/>
        <c:axId val="101444608"/>
      </c:lineChart>
      <c:catAx>
        <c:axId val="10144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4608"/>
        <c:crosses val="autoZero"/>
        <c:auto val="1"/>
        <c:lblAlgn val="ctr"/>
        <c:lblOffset val="100"/>
      </c:catAx>
      <c:valAx>
        <c:axId val="101444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71"/>
          <c:w val="0.11899800868449698"/>
          <c:h val="4.4982698961946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247424"/>
        <c:axId val="102257408"/>
      </c:lineChart>
      <c:catAx>
        <c:axId val="10224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57408"/>
        <c:crosses val="autoZero"/>
        <c:auto val="1"/>
        <c:lblAlgn val="ctr"/>
        <c:lblOffset val="100"/>
      </c:catAx>
      <c:valAx>
        <c:axId val="10225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4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71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769024"/>
        <c:axId val="102770560"/>
      </c:lineChart>
      <c:catAx>
        <c:axId val="10276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70560"/>
        <c:crosses val="autoZero"/>
        <c:auto val="1"/>
        <c:lblAlgn val="ctr"/>
        <c:lblOffset val="100"/>
      </c:catAx>
      <c:valAx>
        <c:axId val="1027705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6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448"/>
          <c:y val="0.6297588752963571"/>
          <c:w val="7.9124755870162669E-2"/>
          <c:h val="4.4982698961946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798848"/>
        <c:axId val="102800384"/>
      </c:lineChart>
      <c:catAx>
        <c:axId val="10279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00384"/>
        <c:crosses val="autoZero"/>
        <c:auto val="1"/>
        <c:lblAlgn val="ctr"/>
        <c:lblOffset val="100"/>
      </c:catAx>
      <c:valAx>
        <c:axId val="1028003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9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0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234</c:v>
                </c:pt>
                <c:pt idx="18">
                  <c:v>250</c:v>
                </c:pt>
                <c:pt idx="19">
                  <c:v>227.55555555555554</c:v>
                </c:pt>
                <c:pt idx="20">
                  <c:v>229</c:v>
                </c:pt>
                <c:pt idx="21">
                  <c:v>222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820480"/>
        <c:axId val="102826368"/>
      </c:lineChart>
      <c:catAx>
        <c:axId val="10282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26368"/>
        <c:crosses val="autoZero"/>
        <c:auto val="1"/>
        <c:lblAlgn val="ctr"/>
        <c:lblOffset val="100"/>
      </c:catAx>
      <c:valAx>
        <c:axId val="1028263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2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71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125376"/>
        <c:axId val="103126912"/>
      </c:lineChart>
      <c:catAx>
        <c:axId val="10312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26912"/>
        <c:crosses val="autoZero"/>
        <c:auto val="1"/>
        <c:lblAlgn val="ctr"/>
        <c:lblOffset val="100"/>
      </c:catAx>
      <c:valAx>
        <c:axId val="103126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2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360000"/>
        <c:axId val="103361536"/>
      </c:lineChart>
      <c:catAx>
        <c:axId val="10336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61536"/>
        <c:crosses val="autoZero"/>
        <c:auto val="1"/>
        <c:lblAlgn val="ctr"/>
        <c:lblOffset val="100"/>
      </c:catAx>
      <c:valAx>
        <c:axId val="10336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6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142</c:v>
                </c:pt>
                <c:pt idx="18">
                  <c:v>0</c:v>
                </c:pt>
                <c:pt idx="19">
                  <c:v>122</c:v>
                </c:pt>
                <c:pt idx="20">
                  <c:v>0</c:v>
                </c:pt>
                <c:pt idx="21">
                  <c:v>117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368960"/>
        <c:axId val="103391232"/>
      </c:lineChart>
      <c:catAx>
        <c:axId val="10336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91232"/>
        <c:crosses val="autoZero"/>
        <c:auto val="1"/>
        <c:lblAlgn val="ctr"/>
        <c:lblOffset val="100"/>
      </c:catAx>
      <c:valAx>
        <c:axId val="103391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6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406976"/>
        <c:axId val="103412864"/>
      </c:lineChart>
      <c:catAx>
        <c:axId val="10340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12864"/>
        <c:crosses val="autoZero"/>
        <c:auto val="1"/>
        <c:lblAlgn val="ctr"/>
        <c:lblOffset val="100"/>
      </c:catAx>
      <c:valAx>
        <c:axId val="103412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0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652"/>
          <c:w val="0.1272403315177259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310080"/>
        <c:axId val="103311616"/>
      </c:lineChart>
      <c:catAx>
        <c:axId val="10331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11616"/>
        <c:crosses val="autoZero"/>
        <c:auto val="1"/>
        <c:lblAlgn val="ctr"/>
        <c:lblOffset val="100"/>
      </c:catAx>
      <c:valAx>
        <c:axId val="10331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1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180736"/>
        <c:axId val="102182272"/>
      </c:lineChart>
      <c:catAx>
        <c:axId val="10218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82272"/>
        <c:crosses val="autoZero"/>
        <c:auto val="1"/>
        <c:lblAlgn val="ctr"/>
        <c:lblOffset val="100"/>
      </c:catAx>
      <c:valAx>
        <c:axId val="10218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8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652"/>
          <c:w val="0.135416885389348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90</c:v>
                </c:pt>
                <c:pt idx="13">
                  <c:v>0</c:v>
                </c:pt>
                <c:pt idx="14">
                  <c:v>30</c:v>
                </c:pt>
                <c:pt idx="15">
                  <c:v>60</c:v>
                </c:pt>
                <c:pt idx="16">
                  <c:v>0</c:v>
                </c:pt>
                <c:pt idx="17">
                  <c:v>30</c:v>
                </c:pt>
                <c:pt idx="18">
                  <c:v>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218752"/>
        <c:axId val="102224640"/>
      </c:lineChart>
      <c:catAx>
        <c:axId val="10221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24640"/>
        <c:crosses val="autoZero"/>
        <c:auto val="1"/>
        <c:lblAlgn val="ctr"/>
        <c:lblOffset val="100"/>
      </c:catAx>
      <c:valAx>
        <c:axId val="102224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1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65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9673</c:v>
                </c:pt>
                <c:pt idx="19">
                  <c:v>7867</c:v>
                </c:pt>
                <c:pt idx="20">
                  <c:v>8881</c:v>
                </c:pt>
                <c:pt idx="21">
                  <c:v>9258</c:v>
                </c:pt>
                <c:pt idx="22">
                  <c:v>10688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432960"/>
        <c:axId val="103434496"/>
      </c:lineChart>
      <c:catAx>
        <c:axId val="10343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34496"/>
        <c:crosses val="autoZero"/>
        <c:auto val="1"/>
        <c:lblAlgn val="ctr"/>
        <c:lblOffset val="100"/>
      </c:catAx>
      <c:valAx>
        <c:axId val="103434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3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71"/>
          <c:w val="0.12291688538932598"/>
          <c:h val="4.49826989619461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458688"/>
        <c:axId val="103460224"/>
      </c:lineChart>
      <c:catAx>
        <c:axId val="10345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60224"/>
        <c:crosses val="autoZero"/>
        <c:auto val="1"/>
        <c:lblAlgn val="ctr"/>
        <c:lblOffset val="100"/>
      </c:catAx>
      <c:valAx>
        <c:axId val="10346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5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652"/>
          <c:w val="0.135416885389348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549952"/>
        <c:axId val="103576320"/>
      </c:lineChart>
      <c:catAx>
        <c:axId val="10354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76320"/>
        <c:crosses val="autoZero"/>
        <c:auto val="1"/>
        <c:lblAlgn val="ctr"/>
        <c:lblOffset val="100"/>
      </c:catAx>
      <c:valAx>
        <c:axId val="1035763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4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917"/>
          <c:y val="0.54325368498487869"/>
          <c:w val="0.11458355205599259"/>
          <c:h val="4.49826989619456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-850.03225806451519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-729.02580645162379</c:v>
                </c:pt>
                <c:pt idx="5">
                  <c:v>-1463.387096774175</c:v>
                </c:pt>
                <c:pt idx="6">
                  <c:v>-1296.7096774193706</c:v>
                </c:pt>
                <c:pt idx="7">
                  <c:v>-2949.4387096774153</c:v>
                </c:pt>
                <c:pt idx="8">
                  <c:v>-967.36774193549354</c:v>
                </c:pt>
                <c:pt idx="9">
                  <c:v>500.54838709678734</c:v>
                </c:pt>
                <c:pt idx="10">
                  <c:v>-1156.7096774193487</c:v>
                </c:pt>
                <c:pt idx="11">
                  <c:v>-976.03225806452974</c:v>
                </c:pt>
                <c:pt idx="12">
                  <c:v>-850.03225806451519</c:v>
                </c:pt>
                <c:pt idx="13">
                  <c:v>-532.68387096773949</c:v>
                </c:pt>
                <c:pt idx="14">
                  <c:v>-1251.3806451612763</c:v>
                </c:pt>
                <c:pt idx="15">
                  <c:v>-867.36129032260214</c:v>
                </c:pt>
                <c:pt idx="16">
                  <c:v>-429.3483870967757</c:v>
                </c:pt>
                <c:pt idx="17">
                  <c:v>-606.35483870966709</c:v>
                </c:pt>
                <c:pt idx="18">
                  <c:v>-927.03225806451519</c:v>
                </c:pt>
                <c:pt idx="19">
                  <c:v>-613.35483870968164</c:v>
                </c:pt>
                <c:pt idx="20">
                  <c:v>-920.03225806450064</c:v>
                </c:pt>
                <c:pt idx="21">
                  <c:v>-1226.709677419356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604608"/>
        <c:axId val="103606144"/>
      </c:lineChart>
      <c:catAx>
        <c:axId val="10360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06144"/>
        <c:crosses val="autoZero"/>
        <c:auto val="1"/>
        <c:lblAlgn val="ctr"/>
        <c:lblOffset val="100"/>
      </c:catAx>
      <c:valAx>
        <c:axId val="103606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0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79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634816"/>
        <c:axId val="103636352"/>
      </c:lineChart>
      <c:catAx>
        <c:axId val="10363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36352"/>
        <c:crosses val="autoZero"/>
        <c:auto val="1"/>
        <c:lblAlgn val="ctr"/>
        <c:lblOffset val="100"/>
      </c:catAx>
      <c:valAx>
        <c:axId val="10363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3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71"/>
          <c:w val="0.13541688538934873"/>
          <c:h val="4.49826989619461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652352"/>
        <c:axId val="103674624"/>
      </c:lineChart>
      <c:catAx>
        <c:axId val="10365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74624"/>
        <c:crosses val="autoZero"/>
        <c:auto val="1"/>
        <c:lblAlgn val="ctr"/>
        <c:lblOffset val="100"/>
      </c:catAx>
      <c:valAx>
        <c:axId val="1036746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5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71"/>
          <c:w val="9.730870597697025E-2"/>
          <c:h val="4.49826989619461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97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727488"/>
        <c:axId val="103729024"/>
      </c:lineChart>
      <c:catAx>
        <c:axId val="10372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29024"/>
        <c:crosses val="autoZero"/>
        <c:auto val="1"/>
        <c:lblAlgn val="ctr"/>
        <c:lblOffset val="100"/>
      </c:catAx>
      <c:valAx>
        <c:axId val="1037290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2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1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810560"/>
        <c:axId val="103812096"/>
      </c:lineChart>
      <c:catAx>
        <c:axId val="10381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12096"/>
        <c:crosses val="autoZero"/>
        <c:auto val="1"/>
        <c:lblAlgn val="ctr"/>
        <c:lblOffset val="100"/>
      </c:catAx>
      <c:valAx>
        <c:axId val="103812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1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611"/>
          <c:y val="0.6297588752963571"/>
          <c:w val="0.13250539334757044"/>
          <c:h val="4.49826989619461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142</c:v>
                </c:pt>
                <c:pt idx="18">
                  <c:v>0</c:v>
                </c:pt>
                <c:pt idx="19">
                  <c:v>122</c:v>
                </c:pt>
                <c:pt idx="20">
                  <c:v>0</c:v>
                </c:pt>
                <c:pt idx="21">
                  <c:v>117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848576"/>
        <c:axId val="103850368"/>
      </c:lineChart>
      <c:catAx>
        <c:axId val="10384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50368"/>
        <c:crosses val="autoZero"/>
        <c:auto val="1"/>
        <c:lblAlgn val="ctr"/>
        <c:lblOffset val="100"/>
      </c:catAx>
      <c:valAx>
        <c:axId val="10385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4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65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759872"/>
        <c:axId val="103761408"/>
      </c:lineChart>
      <c:catAx>
        <c:axId val="10375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61408"/>
        <c:crosses val="autoZero"/>
        <c:auto val="1"/>
        <c:lblAlgn val="ctr"/>
        <c:lblOffset val="100"/>
      </c:catAx>
      <c:valAx>
        <c:axId val="103761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5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09"/>
          <c:w val="0.1234311819809261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3790464"/>
        <c:axId val="103792000"/>
      </c:lineChart>
      <c:catAx>
        <c:axId val="103790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92000"/>
        <c:crosses val="autoZero"/>
        <c:auto val="1"/>
        <c:lblAlgn val="ctr"/>
        <c:lblOffset val="100"/>
      </c:catAx>
      <c:valAx>
        <c:axId val="1037920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9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829"/>
          <c:w val="0.1569039853282133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234</c:v>
                </c:pt>
                <c:pt idx="18">
                  <c:v>250</c:v>
                </c:pt>
                <c:pt idx="19">
                  <c:v>227.55555555555554</c:v>
                </c:pt>
                <c:pt idx="20">
                  <c:v>229</c:v>
                </c:pt>
                <c:pt idx="21">
                  <c:v>222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889536"/>
        <c:axId val="103891328"/>
      </c:lineChart>
      <c:catAx>
        <c:axId val="10388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91328"/>
        <c:crosses val="autoZero"/>
        <c:auto val="1"/>
        <c:lblAlgn val="ctr"/>
        <c:lblOffset val="100"/>
      </c:catAx>
      <c:valAx>
        <c:axId val="1038913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8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71"/>
          <c:w val="0.14853578449139845"/>
          <c:h val="4.49826989619464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989632"/>
        <c:axId val="103991168"/>
      </c:lineChart>
      <c:catAx>
        <c:axId val="10398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91168"/>
        <c:crosses val="autoZero"/>
        <c:auto val="1"/>
        <c:lblAlgn val="ctr"/>
        <c:lblOffset val="100"/>
      </c:catAx>
      <c:valAx>
        <c:axId val="103991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8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4586"/>
          <c:y val="0.6297588752963571"/>
          <c:w val="0.12164948453608219"/>
          <c:h val="4.49826989619464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6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261888"/>
        <c:axId val="104271872"/>
      </c:lineChart>
      <c:catAx>
        <c:axId val="10426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71872"/>
        <c:crosses val="autoZero"/>
        <c:auto val="1"/>
        <c:lblAlgn val="ctr"/>
        <c:lblOffset val="100"/>
      </c:catAx>
      <c:valAx>
        <c:axId val="1042718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6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279424"/>
        <c:axId val="102892672"/>
      </c:lineChart>
      <c:catAx>
        <c:axId val="10427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92672"/>
        <c:crosses val="autoZero"/>
        <c:auto val="1"/>
        <c:lblAlgn val="ctr"/>
        <c:lblOffset val="100"/>
      </c:catAx>
      <c:valAx>
        <c:axId val="10289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7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56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4875904"/>
        <c:axId val="104877440"/>
      </c:lineChart>
      <c:catAx>
        <c:axId val="1048759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77440"/>
        <c:crosses val="autoZero"/>
        <c:auto val="1"/>
        <c:lblAlgn val="ctr"/>
        <c:lblOffset val="100"/>
      </c:catAx>
      <c:valAx>
        <c:axId val="1048774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7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82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36" sqref="C36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3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0" t="s">
        <v>403</v>
      </c>
      <c r="N1" s="511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8.0875651877731755E-2</v>
      </c>
      <c r="G2" s="206">
        <f>-tanks!AW6</f>
        <v>155</v>
      </c>
      <c r="H2" s="338">
        <f>SUM(tanks!AV6)</f>
        <v>0.53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2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0.10600213872969703</v>
      </c>
      <c r="G3" s="206">
        <f>-tanks!AW7</f>
        <v>0</v>
      </c>
      <c r="H3" s="338">
        <f>SUM(tanks!AV7)</f>
        <v>0.53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2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8">
        <f>SUM('EDl log'!T6)</f>
        <v>9.6182530322401871E-2</v>
      </c>
      <c r="G4" s="206">
        <f>-tanks!AW8</f>
        <v>350</v>
      </c>
      <c r="H4" s="338">
        <f>SUM(tanks!AV8)</f>
        <v>0.53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2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8">
        <f>SUM('EDl log'!T7)</f>
        <v>0.1109722270607721</v>
      </c>
      <c r="G5" s="206">
        <f>-tanks!AW9</f>
        <v>303</v>
      </c>
      <c r="H5" s="338">
        <f>SUM(tanks!AV9)</f>
        <v>0.53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2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10761</v>
      </c>
      <c r="F6" s="338">
        <f>SUM('EDl log'!T8)</f>
        <v>8.5097093527687614E-2</v>
      </c>
      <c r="G6" s="206">
        <f>-tanks!AW10</f>
        <v>0</v>
      </c>
      <c r="H6" s="338">
        <f>SUM(tanks!AV10)</f>
        <v>0.53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2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10340</v>
      </c>
      <c r="F7" s="338">
        <f>SUM('EDl log'!T9)</f>
        <v>0.11434648275323116</v>
      </c>
      <c r="G7" s="206">
        <f>-tanks!AW11</f>
        <v>0</v>
      </c>
      <c r="H7" s="338">
        <f>SUM(tanks!AV11)</f>
        <v>0.53</v>
      </c>
      <c r="I7" s="10">
        <f>('B5'!AU10)*0.51</f>
        <v>0</v>
      </c>
      <c r="J7" s="317">
        <f>'B5'!AX10/0.51</f>
        <v>0.19607843137254902</v>
      </c>
      <c r="K7" s="206">
        <f>WATER!I11</f>
        <v>118</v>
      </c>
      <c r="L7" s="339">
        <f>SUM(WATER!J11)</f>
        <v>2.1186440677966103</v>
      </c>
      <c r="M7" s="339">
        <f>WATER!Q11</f>
        <v>0</v>
      </c>
      <c r="N7" s="512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12789</v>
      </c>
      <c r="F8" s="338">
        <f>SUM('EDl log'!T10)</f>
        <v>9.1500366337019759E-2</v>
      </c>
      <c r="G8" s="206">
        <f>-tanks!AW12</f>
        <v>0</v>
      </c>
      <c r="H8" s="338">
        <f>SUM(tanks!AV12)</f>
        <v>0.53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2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12367</v>
      </c>
      <c r="F9" s="338">
        <f>SUM('EDl log'!T11)</f>
        <v>0.15286291019895865</v>
      </c>
      <c r="G9" s="206">
        <f>-tanks!AW13</f>
        <v>0</v>
      </c>
      <c r="H9" s="338">
        <f>SUM(tanks!AV13)</f>
        <v>0.53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2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11724</v>
      </c>
      <c r="F10" s="338">
        <f>SUM('EDl log'!T12)</f>
        <v>8.9863712339796495E-2</v>
      </c>
      <c r="G10" s="206">
        <f>-tanks!AW14</f>
        <v>0</v>
      </c>
      <c r="H10" s="338">
        <f>SUM(tanks!AV14)</f>
        <v>0.53</v>
      </c>
      <c r="I10" s="10">
        <f>('B5'!AU13)*0.51</f>
        <v>183.6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2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11004</v>
      </c>
      <c r="F11" s="338">
        <f>SUM('EDl log'!T13)</f>
        <v>2.0996184507908255E-2</v>
      </c>
      <c r="G11" s="206">
        <f>-tanks!AW15</f>
        <v>0</v>
      </c>
      <c r="H11" s="338">
        <f>SUM(tanks!AV15)</f>
        <v>0.54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2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11016</v>
      </c>
      <c r="F12" s="338">
        <f>SUM('EDl log'!T14)</f>
        <v>9.9060902460243697E-2</v>
      </c>
      <c r="G12" s="206">
        <f>-tanks!AW16</f>
        <v>0</v>
      </c>
      <c r="H12" s="338">
        <f>SUM(tanks!AV16)</f>
        <v>0.54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2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10368</v>
      </c>
      <c r="F13" s="338">
        <f>SUM('EDl log'!T15)</f>
        <v>9.9171984137219088E-2</v>
      </c>
      <c r="G13" s="206">
        <f>-tanks!AW17</f>
        <v>0</v>
      </c>
      <c r="H13" s="338">
        <f>SUM(tanks!AV17)</f>
        <v>0.54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2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9041</v>
      </c>
      <c r="F14" s="338">
        <f>SUM('EDl log'!T16)</f>
        <v>9.7643112886588668E-2</v>
      </c>
      <c r="G14" s="206">
        <f>-tanks!AW18</f>
        <v>0</v>
      </c>
      <c r="H14" s="338">
        <f>SUM(tanks!AV18)</f>
        <v>0.54</v>
      </c>
      <c r="I14" s="10">
        <f>('B5'!AU17)*0.51</f>
        <v>45.9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2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9105</v>
      </c>
      <c r="F15" s="338">
        <f>SUM('EDl log'!T17)</f>
        <v>7.7436034637167403E-2</v>
      </c>
      <c r="G15" s="206">
        <f>-tanks!AW19</f>
        <v>0</v>
      </c>
      <c r="H15" s="338">
        <f>SUM(tanks!AV19)</f>
        <v>0.54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2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10455</v>
      </c>
      <c r="F16" s="338">
        <f>SUM('EDl log'!T18)</f>
        <v>0.10361060410078721</v>
      </c>
      <c r="G16" s="206">
        <f>-tanks!AW20</f>
        <v>0</v>
      </c>
      <c r="H16" s="338">
        <f>SUM(tanks!AV20)</f>
        <v>0.54</v>
      </c>
      <c r="I16" s="10">
        <f>('B5'!AU19)*0.51</f>
        <v>15.3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2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10163</v>
      </c>
      <c r="F17" s="338">
        <f>SUM('EDl log'!T19)</f>
        <v>8.8816875933770439E-2</v>
      </c>
      <c r="G17" s="206">
        <f>-tanks!AW21</f>
        <v>0</v>
      </c>
      <c r="H17" s="338">
        <f>SUM(tanks!AV21)</f>
        <v>0.54</v>
      </c>
      <c r="I17" s="10">
        <f>('B5'!AU20)*0.51</f>
        <v>30.6</v>
      </c>
      <c r="J17" s="317">
        <f>'B5'!AX20/0.51</f>
        <v>0.19607843137254902</v>
      </c>
      <c r="K17" s="206">
        <f>WATER!I21</f>
        <v>185</v>
      </c>
      <c r="L17" s="339">
        <f>SUM(WATER!J21)</f>
        <v>1.3513513513513513</v>
      </c>
      <c r="M17" s="339">
        <f>WATER!Q21</f>
        <v>0</v>
      </c>
      <c r="N17" s="512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9226</v>
      </c>
      <c r="F18" s="338">
        <f>SUM('EDl log'!T20)</f>
        <v>7.505663428124508E-2</v>
      </c>
      <c r="G18" s="206">
        <f>-tanks!AW22</f>
        <v>0</v>
      </c>
      <c r="H18" s="338">
        <f>SUM(tanks!AV22)</f>
        <v>0.54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2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9673</v>
      </c>
      <c r="F19" s="338">
        <f>SUM('EDl log'!T21)</f>
        <v>8.3086988131311157E-2</v>
      </c>
      <c r="G19" s="206">
        <f>-tanks!AW23</f>
        <v>0</v>
      </c>
      <c r="H19" s="338">
        <f>SUM(tanks!AV23)</f>
        <v>0.54</v>
      </c>
      <c r="I19" s="10">
        <f>('B5'!AU22)*0.51</f>
        <v>15.3</v>
      </c>
      <c r="J19" s="317">
        <f>'B5'!AX22/0.51</f>
        <v>0.19607843137254902</v>
      </c>
      <c r="K19" s="206">
        <f>WATER!I23</f>
        <v>142</v>
      </c>
      <c r="L19" s="339">
        <f>SUM(WATER!J23)</f>
        <v>1.7605633802816902</v>
      </c>
      <c r="M19" s="339">
        <f>WATER!Q23</f>
        <v>0</v>
      </c>
      <c r="N19" s="512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7867</v>
      </c>
      <c r="F20" s="338">
        <f>SUM('EDl log'!T22)</f>
        <v>0.11613723769513348</v>
      </c>
      <c r="G20" s="206">
        <f>-tanks!AW24</f>
        <v>0</v>
      </c>
      <c r="H20" s="338">
        <f>SUM(tanks!AV24)</f>
        <v>0.54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2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8881</v>
      </c>
      <c r="F21" s="338">
        <f>SUM('EDl log'!T23)</f>
        <v>8.7057319905948422E-2</v>
      </c>
      <c r="G21" s="206">
        <f>-tanks!AW25</f>
        <v>0</v>
      </c>
      <c r="H21" s="338">
        <f>SUM(tanks!AV25)</f>
        <v>0.54</v>
      </c>
      <c r="I21" s="10">
        <f>('B5'!AU24)*0.51</f>
        <v>15.3</v>
      </c>
      <c r="J21" s="317">
        <f>'B5'!AX24/0.51</f>
        <v>0.19607843137254902</v>
      </c>
      <c r="K21" s="206">
        <f>WATER!I25</f>
        <v>122</v>
      </c>
      <c r="L21" s="339">
        <f>SUM(WATER!J25)</f>
        <v>2.0491803278688523</v>
      </c>
      <c r="M21" s="339">
        <f>WATER!Q25</f>
        <v>0</v>
      </c>
      <c r="N21" s="512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9258</v>
      </c>
      <c r="F22" s="338">
        <f>SUM('EDl log'!T24)</f>
        <v>9.8381535885669794E-2</v>
      </c>
      <c r="G22" s="206">
        <f>-tanks!AW26</f>
        <v>0</v>
      </c>
      <c r="H22" s="338">
        <f>SUM(tanks!AV26)</f>
        <v>0.54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2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10688</v>
      </c>
      <c r="F23" s="338">
        <f>SUM('EDl log'!T25)</f>
        <v>9.7315956644815946E-2</v>
      </c>
      <c r="G23" s="206">
        <f>-tanks!AW27</f>
        <v>0</v>
      </c>
      <c r="H23" s="338">
        <f>SUM(tanks!AV27)</f>
        <v>0.54</v>
      </c>
      <c r="I23" s="10">
        <f>('B5'!AU26)*0.51</f>
        <v>0</v>
      </c>
      <c r="J23" s="317">
        <f>'B5'!AX26/0.51</f>
        <v>0.19607843137254902</v>
      </c>
      <c r="K23" s="206">
        <f>WATER!I27</f>
        <v>117</v>
      </c>
      <c r="L23" s="339">
        <f>SUM(WATER!J27)</f>
        <v>2.1367521367521367</v>
      </c>
      <c r="M23" s="339">
        <f>WATER!Q27</f>
        <v>0</v>
      </c>
      <c r="N23" s="512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0.54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2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0.54</v>
      </c>
      <c r="I25" s="10">
        <f>('B5'!AU28)*0.51</f>
        <v>0</v>
      </c>
      <c r="J25" s="317">
        <f>'B5'!AX28/0.51</f>
        <v>0.19607843137254902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2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0.54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2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0.54</v>
      </c>
      <c r="I27" s="10">
        <f>('B5'!AU30)*0.51</f>
        <v>0</v>
      </c>
      <c r="J27" s="317">
        <f>'B5'!AX30/0.51</f>
        <v>0.19607843137254902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2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0.54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2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0.54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2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0.54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2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0.54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2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2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3" sqref="O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1700</v>
      </c>
      <c r="F6" s="206">
        <f>ELEC!K7</f>
        <v>898</v>
      </c>
      <c r="G6" s="206">
        <f>ELEC!I7</f>
        <v>1242</v>
      </c>
      <c r="H6" s="206">
        <f>ELEC!E7</f>
        <v>5960</v>
      </c>
      <c r="I6" s="206">
        <f>ELEC!G7</f>
        <v>961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1910</v>
      </c>
      <c r="F7" s="206">
        <f>ELEC!K8</f>
        <v>832</v>
      </c>
      <c r="G7" s="206">
        <f>ELEC!I8</f>
        <v>1282</v>
      </c>
      <c r="H7" s="206">
        <f>ELEC!E8</f>
        <v>5292</v>
      </c>
      <c r="I7" s="206">
        <f>ELEC!G8</f>
        <v>1024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4920</v>
      </c>
      <c r="F8" s="206">
        <f>ELEC!K9</f>
        <v>1196</v>
      </c>
      <c r="G8" s="206">
        <f>ELEC!I9</f>
        <v>1052</v>
      </c>
      <c r="H8" s="206">
        <f>ELEC!E9</f>
        <v>4710</v>
      </c>
      <c r="I8" s="206">
        <f>ELEC!G9</f>
        <v>911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4974</v>
      </c>
      <c r="F9" s="206">
        <f>ELEC!K10</f>
        <v>1196</v>
      </c>
      <c r="G9" s="206">
        <f>ELEC!I10</f>
        <v>900</v>
      </c>
      <c r="H9" s="206">
        <f>ELEC!E10</f>
        <v>4468</v>
      </c>
      <c r="I9" s="206">
        <f>ELEC!G10</f>
        <v>829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5108</v>
      </c>
      <c r="F10" s="206">
        <f>ELEC!K11</f>
        <v>1016</v>
      </c>
      <c r="G10" s="206">
        <f>ELEC!I11</f>
        <v>1040</v>
      </c>
      <c r="H10" s="206">
        <f>ELEC!E11</f>
        <v>3700</v>
      </c>
      <c r="I10" s="206">
        <f>ELEC!G11</f>
        <v>860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4768</v>
      </c>
      <c r="F11" s="206">
        <f>ELEC!K12</f>
        <v>960</v>
      </c>
      <c r="G11" s="206">
        <f>ELEC!I12</f>
        <v>956</v>
      </c>
      <c r="H11" s="206">
        <f>ELEC!E12</f>
        <v>3524</v>
      </c>
      <c r="I11" s="206">
        <f>ELEC!G12</f>
        <v>796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4722</v>
      </c>
      <c r="F12" s="206">
        <f>ELEC!K13</f>
        <v>1006</v>
      </c>
      <c r="G12" s="206">
        <f>ELEC!I13</f>
        <v>986</v>
      </c>
      <c r="H12" s="206">
        <f>ELEC!E13</f>
        <v>3482</v>
      </c>
      <c r="I12" s="206">
        <f>ELEC!G13</f>
        <v>820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4550</v>
      </c>
      <c r="F13" s="206">
        <f>ELEC!K14</f>
        <v>976</v>
      </c>
      <c r="G13" s="206">
        <f>ELEC!I14</f>
        <v>1002</v>
      </c>
      <c r="H13" s="206">
        <f>ELEC!E14</f>
        <v>2998</v>
      </c>
      <c r="I13" s="206">
        <f>ELEC!G14</f>
        <v>842</v>
      </c>
      <c r="J13" s="206">
        <f>WATER!Y17</f>
        <v>0</v>
      </c>
      <c r="K13" s="206">
        <f>WATER!AJ17</f>
        <v>32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3956</v>
      </c>
      <c r="F14" s="206">
        <f>ELEC!K15</f>
        <v>786</v>
      </c>
      <c r="G14" s="206">
        <f>ELEC!I15</f>
        <v>972</v>
      </c>
      <c r="H14" s="206">
        <f>ELEC!E15</f>
        <v>2520</v>
      </c>
      <c r="I14" s="206">
        <f>ELEC!G15</f>
        <v>807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3520</v>
      </c>
      <c r="F15" s="206">
        <f>ELEC!K16</f>
        <v>800</v>
      </c>
      <c r="G15" s="206">
        <f>ELEC!I16</f>
        <v>880</v>
      </c>
      <c r="H15" s="206">
        <f>ELEC!E16</f>
        <v>3060</v>
      </c>
      <c r="I15" s="206">
        <f>ELEC!G16</f>
        <v>845</v>
      </c>
      <c r="J15" s="206">
        <f>WATER!Y19</f>
        <v>0</v>
      </c>
      <c r="K15" s="206">
        <f>WATER!AJ19</f>
        <v>25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2012</v>
      </c>
      <c r="F16" s="206">
        <f>ELEC!K17</f>
        <v>932</v>
      </c>
      <c r="G16" s="206">
        <f>ELEC!I17</f>
        <v>976</v>
      </c>
      <c r="H16" s="206">
        <f>ELEC!E17</f>
        <v>5616</v>
      </c>
      <c r="I16" s="206">
        <f>ELEC!G17</f>
        <v>919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1838</v>
      </c>
      <c r="F17" s="206">
        <f>ELEC!K18</f>
        <v>948</v>
      </c>
      <c r="G17" s="206">
        <f>ELEC!I18</f>
        <v>822</v>
      </c>
      <c r="H17" s="206">
        <f>ELEC!E18</f>
        <v>5780</v>
      </c>
      <c r="I17" s="206">
        <f>ELEC!G18</f>
        <v>775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2450</v>
      </c>
      <c r="F18" s="206">
        <f>ELEC!K19</f>
        <v>742</v>
      </c>
      <c r="G18" s="206">
        <f>ELEC!I19</f>
        <v>950</v>
      </c>
      <c r="H18" s="206">
        <f>ELEC!E19</f>
        <v>4166</v>
      </c>
      <c r="I18" s="206">
        <f>ELEC!G19</f>
        <v>918</v>
      </c>
      <c r="J18" s="206">
        <f>WATER!Y22</f>
        <v>11</v>
      </c>
      <c r="K18" s="206">
        <f>WATER!AJ22</f>
        <v>23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4092</v>
      </c>
      <c r="F19" s="206">
        <f>ELEC!K20</f>
        <v>852</v>
      </c>
      <c r="G19" s="206">
        <f>ELEC!I20</f>
        <v>908</v>
      </c>
      <c r="H19" s="206">
        <f>ELEC!E20</f>
        <v>2962</v>
      </c>
      <c r="I19" s="206">
        <f>ELEC!G20</f>
        <v>859</v>
      </c>
      <c r="J19" s="206">
        <f>WATER!Y23</f>
        <v>0</v>
      </c>
      <c r="K19" s="206">
        <f>WATER!AJ23</f>
        <v>70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2528</v>
      </c>
      <c r="F20" s="206">
        <f>ELEC!K21</f>
        <v>602</v>
      </c>
      <c r="G20" s="206">
        <f>ELEC!I21</f>
        <v>832</v>
      </c>
      <c r="H20" s="206">
        <f>ELEC!E21</f>
        <v>3144</v>
      </c>
      <c r="I20" s="206">
        <f>ELEC!G21</f>
        <v>761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3896</v>
      </c>
      <c r="F21" s="206">
        <f>ELEC!K22</f>
        <v>754</v>
      </c>
      <c r="G21" s="206">
        <f>ELEC!I22</f>
        <v>876</v>
      </c>
      <c r="H21" s="206">
        <f>ELEC!E22</f>
        <v>2548</v>
      </c>
      <c r="I21" s="206">
        <f>ELEC!G22</f>
        <v>807</v>
      </c>
      <c r="J21" s="206">
        <f>WATER!Y25</f>
        <v>73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3022</v>
      </c>
      <c r="F22" s="206">
        <f>ELEC!K23</f>
        <v>790</v>
      </c>
      <c r="G22" s="206">
        <f>ELEC!I23</f>
        <v>832</v>
      </c>
      <c r="H22" s="206">
        <f>ELEC!E23</f>
        <v>3808</v>
      </c>
      <c r="I22" s="206">
        <f>ELEC!G23</f>
        <v>806</v>
      </c>
      <c r="J22" s="206">
        <f>WATER!Y26</f>
        <v>53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4626</v>
      </c>
      <c r="F23" s="206">
        <f>ELEC!K24</f>
        <v>988</v>
      </c>
      <c r="G23" s="206">
        <f>ELEC!I24</f>
        <v>872</v>
      </c>
      <c r="H23" s="206">
        <f>ELEC!E24</f>
        <v>3372</v>
      </c>
      <c r="I23" s="206">
        <f>ELEC!G24</f>
        <v>830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5" activePane="bottomLeft" state="frozen"/>
      <selection activeCell="C1" sqref="C1"/>
      <selection pane="bottomLeft" activeCell="A24" sqref="A24"/>
    </sheetView>
  </sheetViews>
  <sheetFormatPr defaultRowHeight="15"/>
  <cols>
    <col min="1" max="1" width="7.7109375" style="479" bestFit="1" customWidth="1"/>
    <col min="2" max="2" width="10.28515625" style="487" bestFit="1" customWidth="1"/>
    <col min="3" max="3" width="11.5703125" style="479" customWidth="1"/>
    <col min="4" max="4" width="18" style="488" bestFit="1" customWidth="1"/>
    <col min="5" max="5" width="14.42578125" style="488" bestFit="1" customWidth="1"/>
    <col min="6" max="6" width="15.28515625" style="488" bestFit="1" customWidth="1"/>
    <col min="7" max="7" width="12" style="488" bestFit="1" customWidth="1"/>
    <col min="8" max="8" width="18" style="488" bestFit="1" customWidth="1"/>
    <col min="9" max="9" width="13" style="488" bestFit="1" customWidth="1"/>
    <col min="10" max="10" width="18" style="488" bestFit="1" customWidth="1"/>
    <col min="11" max="11" width="11.7109375" style="488" customWidth="1"/>
    <col min="12" max="12" width="18" style="488" bestFit="1" customWidth="1"/>
    <col min="13" max="13" width="12.5703125" style="488" bestFit="1" customWidth="1"/>
    <col min="14" max="14" width="15.42578125" style="479" bestFit="1" customWidth="1"/>
    <col min="15" max="15" width="13.140625" style="489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49">
        <f>[1]ELEC!$A$33</f>
        <v>0</v>
      </c>
      <c r="B2" s="597">
        <f>[1]ELEC!$B$33</f>
        <v>0</v>
      </c>
      <c r="C2" s="471">
        <v>44074</v>
      </c>
      <c r="D2" s="550">
        <f>[1]ELEC!D33</f>
        <v>32168402</v>
      </c>
      <c r="E2" s="550">
        <f>[1]ELEC!E33</f>
        <v>2944</v>
      </c>
      <c r="F2" s="550">
        <f>[1]ELEC!F33</f>
        <v>3846115</v>
      </c>
      <c r="G2" s="550">
        <f>[1]ELEC!G33</f>
        <v>1023</v>
      </c>
      <c r="H2" s="550">
        <f>[1]ELEC!H33</f>
        <v>17640934</v>
      </c>
      <c r="I2" s="550">
        <f>[1]ELEC!I33</f>
        <v>1218</v>
      </c>
      <c r="J2" s="550">
        <f>[1]ELEC!J33</f>
        <v>28692174</v>
      </c>
      <c r="K2" s="550">
        <f>[1]ELEC!K33</f>
        <v>880</v>
      </c>
      <c r="L2" s="550">
        <f>[1]ELEC!L33</f>
        <v>23577646</v>
      </c>
      <c r="M2" s="550">
        <f>[1]ELEC!M33</f>
        <v>4468</v>
      </c>
      <c r="N2" s="550">
        <f>[1]ELEC!N33</f>
        <v>10533</v>
      </c>
      <c r="O2" s="550">
        <f>[1]ELEC!O33</f>
        <v>0</v>
      </c>
      <c r="P2" s="550">
        <f>[1]ELEC!P33</f>
        <v>16263</v>
      </c>
      <c r="Q2" s="550">
        <f>[1]ELEC!Q33</f>
        <v>2000</v>
      </c>
      <c r="R2" s="550">
        <f>[1]ELEC!R33</f>
        <v>8533</v>
      </c>
      <c r="S2" s="550">
        <f>[1]ELEC!S33</f>
        <v>9489</v>
      </c>
      <c r="T2" s="550">
        <f>[1]ELEC!T33</f>
        <v>12</v>
      </c>
      <c r="U2" s="550">
        <f>[1]ELEC!U33</f>
        <v>283000</v>
      </c>
      <c r="V2" s="550">
        <f>[1]ELEC!V33</f>
        <v>2952</v>
      </c>
      <c r="W2" s="550">
        <f>[1]ELEC!W33</f>
        <v>32049</v>
      </c>
      <c r="X2" s="550">
        <f>[1]ELEC!X33</f>
        <v>0</v>
      </c>
      <c r="Y2" s="550">
        <f>[1]ELEC!Y33</f>
        <v>673052</v>
      </c>
      <c r="Z2" s="550">
        <f>[1]ELEC!Z33</f>
        <v>0</v>
      </c>
      <c r="AA2" s="550">
        <f>[1]ELEC!AA33</f>
        <v>35501</v>
      </c>
      <c r="AB2" s="550">
        <f>[1]ELEC!AB33</f>
        <v>0</v>
      </c>
      <c r="AC2" s="550">
        <f>[1]ELEC!AC33</f>
        <v>875897</v>
      </c>
      <c r="AD2" s="550">
        <f>[1]ELEC!AD33</f>
        <v>0</v>
      </c>
      <c r="AE2" s="550">
        <f>[1]ELEC!AE33</f>
        <v>12</v>
      </c>
      <c r="AF2" s="550">
        <f>[1]ELEC!AF33</f>
        <v>2952</v>
      </c>
      <c r="AG2" s="550">
        <f>[1]ELEC!AG33</f>
        <v>246</v>
      </c>
      <c r="AH2" s="550">
        <f>[1]ELEC!AH33</f>
        <v>0</v>
      </c>
      <c r="AI2" s="550">
        <f>[1]ELEC!AI33</f>
        <v>-328401</v>
      </c>
      <c r="AJ2" s="550">
        <f>[1]ELEC!AJ33</f>
        <v>0</v>
      </c>
      <c r="AK2" s="550">
        <f>[1]ELEC!AK33</f>
        <v>0</v>
      </c>
      <c r="AL2" s="550">
        <f>[1]ELEC!AL33</f>
        <v>0</v>
      </c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601">
        <v>3848009</v>
      </c>
      <c r="G4" s="320">
        <f t="shared" si="0"/>
        <v>966</v>
      </c>
      <c r="H4" s="458">
        <v>17643644</v>
      </c>
      <c r="I4" s="320">
        <f>H4-H3</f>
        <v>1444</v>
      </c>
      <c r="J4" s="601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601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601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v>32181592</v>
      </c>
      <c r="E5" s="319">
        <f t="shared" ref="E5:E32" si="13">D5-D4</f>
        <v>6014</v>
      </c>
      <c r="F5" s="458">
        <v>3848966</v>
      </c>
      <c r="G5" s="320">
        <f t="shared" si="0"/>
        <v>957</v>
      </c>
      <c r="H5" s="458">
        <v>17645086</v>
      </c>
      <c r="I5" s="320">
        <f t="shared" ref="I5:I31" si="14">H5-H4</f>
        <v>1442</v>
      </c>
      <c r="J5" s="458">
        <v>28695484</v>
      </c>
      <c r="K5" s="320">
        <f t="shared" ref="K5:K31" si="15">J5-J4</f>
        <v>1114</v>
      </c>
      <c r="L5" s="458">
        <v>23590046</v>
      </c>
      <c r="M5" s="320">
        <f t="shared" ref="M5:M31" si="16">L5-L4</f>
        <v>3032</v>
      </c>
      <c r="N5" s="318">
        <f t="shared" ref="N5:N31" si="17">M5+K5+I5+G5+E5</f>
        <v>12559</v>
      </c>
      <c r="O5" s="480">
        <f t="shared" si="1"/>
        <v>0</v>
      </c>
      <c r="P5" s="458">
        <v>16274</v>
      </c>
      <c r="Q5" s="481">
        <f>(P5-P4)*1000</f>
        <v>5000</v>
      </c>
      <c r="R5" s="462">
        <f>N5-Q5</f>
        <v>7559</v>
      </c>
      <c r="S5" s="458">
        <v>9517</v>
      </c>
      <c r="T5" s="482">
        <f t="shared" si="3"/>
        <v>6</v>
      </c>
      <c r="U5" s="458">
        <v>289529</v>
      </c>
      <c r="V5" s="462">
        <f t="shared" ref="V5:V32" si="18">U5-U4</f>
        <v>1439</v>
      </c>
      <c r="W5" s="458"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v>35512</v>
      </c>
      <c r="AB5" s="462">
        <f t="shared" ref="AB5:AB32" si="19">AA5-AA4</f>
        <v>9</v>
      </c>
      <c r="AC5" s="458">
        <v>878376</v>
      </c>
      <c r="AD5" s="462">
        <f t="shared" ref="AD5:AD16" si="20">AC5-AC4</f>
        <v>2011</v>
      </c>
      <c r="AE5" s="485">
        <f t="shared" si="11"/>
        <v>15</v>
      </c>
      <c r="AF5" s="486">
        <f t="shared" si="12"/>
        <v>3450</v>
      </c>
      <c r="AG5" s="478">
        <f t="shared" si="5"/>
        <v>230</v>
      </c>
      <c r="AI5" s="479">
        <f>R5-'EDl log'!B3</f>
        <v>-341719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v>32188900</v>
      </c>
      <c r="E6" s="319">
        <f t="shared" si="13"/>
        <v>7308</v>
      </c>
      <c r="F6" s="458">
        <v>3849967</v>
      </c>
      <c r="G6" s="320">
        <f t="shared" si="0"/>
        <v>1001</v>
      </c>
      <c r="H6" s="458">
        <v>17646550</v>
      </c>
      <c r="I6" s="320">
        <f t="shared" si="14"/>
        <v>1464</v>
      </c>
      <c r="J6" s="458">
        <v>28696608</v>
      </c>
      <c r="K6" s="320">
        <f t="shared" si="15"/>
        <v>1124</v>
      </c>
      <c r="L6" s="458">
        <v>23592074</v>
      </c>
      <c r="M6" s="320">
        <f t="shared" si="16"/>
        <v>2028</v>
      </c>
      <c r="N6" s="318">
        <f t="shared" si="17"/>
        <v>12925</v>
      </c>
      <c r="O6" s="480">
        <f t="shared" si="1"/>
        <v>0</v>
      </c>
      <c r="P6" s="458">
        <v>16279</v>
      </c>
      <c r="Q6" s="462">
        <f t="shared" si="2"/>
        <v>5000</v>
      </c>
      <c r="R6" s="462">
        <f t="shared" ref="R6:R12" si="21">N6-Q6</f>
        <v>7925</v>
      </c>
      <c r="S6" s="458">
        <f t="shared" ref="S6:S33" si="22">S5</f>
        <v>9517</v>
      </c>
      <c r="T6" s="482">
        <f t="shared" si="3"/>
        <v>0</v>
      </c>
      <c r="U6" s="458">
        <f t="shared" ref="U6:U33" si="23">U5</f>
        <v>289529</v>
      </c>
      <c r="V6" s="462">
        <f t="shared" si="18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24">Y6-Y5</f>
        <v>0</v>
      </c>
      <c r="AA6" s="458">
        <v>35528</v>
      </c>
      <c r="AB6" s="462">
        <f t="shared" si="19"/>
        <v>16</v>
      </c>
      <c r="AC6" s="458">
        <v>881970</v>
      </c>
      <c r="AD6" s="462">
        <f t="shared" si="20"/>
        <v>3594</v>
      </c>
      <c r="AE6" s="485">
        <f t="shared" si="11"/>
        <v>16</v>
      </c>
      <c r="AF6" s="486">
        <f t="shared" si="12"/>
        <v>3594</v>
      </c>
      <c r="AG6" s="478">
        <f t="shared" si="5"/>
        <v>224.625</v>
      </c>
      <c r="AI6" s="479">
        <f>R6-'EDl log'!B4</f>
        <v>-346172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v>32194860</v>
      </c>
      <c r="E7" s="319">
        <f t="shared" si="13"/>
        <v>5960</v>
      </c>
      <c r="F7" s="458">
        <v>3850928</v>
      </c>
      <c r="G7" s="320">
        <f t="shared" si="0"/>
        <v>961</v>
      </c>
      <c r="H7" s="458">
        <v>17647792</v>
      </c>
      <c r="I7" s="320">
        <f t="shared" si="14"/>
        <v>1242</v>
      </c>
      <c r="J7" s="458">
        <v>28697506</v>
      </c>
      <c r="K7" s="320">
        <f t="shared" si="15"/>
        <v>898</v>
      </c>
      <c r="L7" s="458">
        <v>23593774</v>
      </c>
      <c r="M7" s="320">
        <f t="shared" si="16"/>
        <v>1700</v>
      </c>
      <c r="N7" s="318">
        <f t="shared" si="17"/>
        <v>10761</v>
      </c>
      <c r="O7" s="480">
        <f t="shared" si="1"/>
        <v>0</v>
      </c>
      <c r="P7" s="458">
        <v>16281</v>
      </c>
      <c r="Q7" s="462">
        <f t="shared" si="2"/>
        <v>2000</v>
      </c>
      <c r="R7" s="462">
        <f t="shared" si="21"/>
        <v>8761</v>
      </c>
      <c r="S7" s="458">
        <f t="shared" si="22"/>
        <v>9517</v>
      </c>
      <c r="T7" s="482">
        <f t="shared" si="3"/>
        <v>0</v>
      </c>
      <c r="U7" s="458">
        <f t="shared" si="23"/>
        <v>289529</v>
      </c>
      <c r="V7" s="462">
        <f t="shared" si="18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24"/>
        <v>0</v>
      </c>
      <c r="AA7" s="458">
        <v>35538</v>
      </c>
      <c r="AB7" s="462">
        <f t="shared" si="19"/>
        <v>10</v>
      </c>
      <c r="AC7" s="458">
        <v>884534</v>
      </c>
      <c r="AD7" s="462">
        <f t="shared" si="20"/>
        <v>2564</v>
      </c>
      <c r="AE7" s="485">
        <f t="shared" si="11"/>
        <v>10</v>
      </c>
      <c r="AF7" s="486">
        <f t="shared" si="12"/>
        <v>2564</v>
      </c>
      <c r="AG7" s="478">
        <f t="shared" si="5"/>
        <v>256.39999999999998</v>
      </c>
      <c r="AI7" s="479">
        <f>R7-'EDl log'!B5</f>
        <v>-349353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v>32200152</v>
      </c>
      <c r="E8" s="319">
        <f t="shared" si="13"/>
        <v>5292</v>
      </c>
      <c r="F8" s="601">
        <v>3851952</v>
      </c>
      <c r="G8" s="320">
        <f t="shared" si="0"/>
        <v>1024</v>
      </c>
      <c r="H8" s="458">
        <v>17649074</v>
      </c>
      <c r="I8" s="320">
        <f t="shared" si="14"/>
        <v>1282</v>
      </c>
      <c r="J8" s="601">
        <v>28698338</v>
      </c>
      <c r="K8" s="320">
        <f t="shared" si="15"/>
        <v>832</v>
      </c>
      <c r="L8" s="458">
        <v>23595684</v>
      </c>
      <c r="M8" s="320">
        <f t="shared" si="16"/>
        <v>1910</v>
      </c>
      <c r="N8" s="318">
        <f t="shared" si="17"/>
        <v>10340</v>
      </c>
      <c r="O8" s="480">
        <f t="shared" si="1"/>
        <v>0</v>
      </c>
      <c r="P8" s="601">
        <v>16285</v>
      </c>
      <c r="Q8" s="462">
        <f t="shared" si="2"/>
        <v>4000</v>
      </c>
      <c r="R8" s="462">
        <f t="shared" si="21"/>
        <v>6340</v>
      </c>
      <c r="S8" s="458">
        <f t="shared" si="22"/>
        <v>9517</v>
      </c>
      <c r="T8" s="482">
        <f t="shared" si="3"/>
        <v>0</v>
      </c>
      <c r="U8" s="458">
        <f t="shared" si="23"/>
        <v>289529</v>
      </c>
      <c r="V8" s="462">
        <f t="shared" si="18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24"/>
        <v>0</v>
      </c>
      <c r="AA8" s="458">
        <v>35545</v>
      </c>
      <c r="AB8" s="462">
        <f t="shared" si="19"/>
        <v>7</v>
      </c>
      <c r="AC8" s="601">
        <v>886156</v>
      </c>
      <c r="AD8" s="462">
        <f t="shared" si="20"/>
        <v>1622</v>
      </c>
      <c r="AE8" s="485">
        <f t="shared" si="11"/>
        <v>7</v>
      </c>
      <c r="AF8" s="486">
        <f t="shared" si="12"/>
        <v>1622</v>
      </c>
      <c r="AG8" s="478">
        <f t="shared" si="5"/>
        <v>231.71428571428572</v>
      </c>
      <c r="AI8" s="479">
        <f>R8-'EDl log'!B6</f>
        <v>-355743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v>32204862</v>
      </c>
      <c r="E9" s="319">
        <f t="shared" si="13"/>
        <v>4710</v>
      </c>
      <c r="F9" s="601">
        <v>3852863</v>
      </c>
      <c r="G9" s="320">
        <f t="shared" si="0"/>
        <v>911</v>
      </c>
      <c r="H9" s="458">
        <v>17650126</v>
      </c>
      <c r="I9" s="320">
        <f t="shared" si="14"/>
        <v>1052</v>
      </c>
      <c r="J9" s="601">
        <v>28699534</v>
      </c>
      <c r="K9" s="320">
        <f t="shared" si="15"/>
        <v>1196</v>
      </c>
      <c r="L9" s="458">
        <v>23600604</v>
      </c>
      <c r="M9" s="320">
        <f t="shared" si="16"/>
        <v>4920</v>
      </c>
      <c r="N9" s="318">
        <f t="shared" si="17"/>
        <v>12789</v>
      </c>
      <c r="O9" s="480">
        <f t="shared" si="1"/>
        <v>0</v>
      </c>
      <c r="P9" s="601">
        <v>16290</v>
      </c>
      <c r="Q9" s="462">
        <f t="shared" si="2"/>
        <v>5000</v>
      </c>
      <c r="R9" s="462">
        <f t="shared" si="21"/>
        <v>7789</v>
      </c>
      <c r="S9" s="458">
        <v>9527</v>
      </c>
      <c r="T9" s="482">
        <f t="shared" si="3"/>
        <v>10</v>
      </c>
      <c r="U9" s="601">
        <v>292016</v>
      </c>
      <c r="V9" s="462">
        <f t="shared" si="18"/>
        <v>2487</v>
      </c>
      <c r="W9" s="458">
        <f t="shared" si="7"/>
        <v>32049</v>
      </c>
      <c r="X9" s="462">
        <f t="shared" ref="X9:X32" si="25">W9-W8</f>
        <v>0</v>
      </c>
      <c r="Y9" s="458">
        <f t="shared" si="8"/>
        <v>673052</v>
      </c>
      <c r="Z9" s="462">
        <f t="shared" si="24"/>
        <v>0</v>
      </c>
      <c r="AA9" s="458">
        <v>35550</v>
      </c>
      <c r="AB9" s="462">
        <f t="shared" si="19"/>
        <v>5</v>
      </c>
      <c r="AC9" s="601">
        <v>887256</v>
      </c>
      <c r="AD9" s="462">
        <f t="shared" si="20"/>
        <v>1100</v>
      </c>
      <c r="AE9" s="485">
        <f t="shared" si="11"/>
        <v>15</v>
      </c>
      <c r="AF9" s="486">
        <f t="shared" si="12"/>
        <v>3587</v>
      </c>
      <c r="AG9" s="478">
        <f t="shared" si="5"/>
        <v>239.13333333333333</v>
      </c>
      <c r="AI9" s="479">
        <f>R9-'EDl log'!B7</f>
        <v>-358678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v>32209330</v>
      </c>
      <c r="E10" s="319">
        <f t="shared" si="13"/>
        <v>4468</v>
      </c>
      <c r="F10" s="458">
        <v>3853692</v>
      </c>
      <c r="G10" s="320">
        <f t="shared" si="0"/>
        <v>829</v>
      </c>
      <c r="H10" s="458">
        <v>17651026</v>
      </c>
      <c r="I10" s="320">
        <f t="shared" si="14"/>
        <v>900</v>
      </c>
      <c r="J10" s="458">
        <v>28700730</v>
      </c>
      <c r="K10" s="320">
        <f t="shared" si="15"/>
        <v>1196</v>
      </c>
      <c r="L10" s="458">
        <v>23605578</v>
      </c>
      <c r="M10" s="320">
        <f t="shared" si="16"/>
        <v>4974</v>
      </c>
      <c r="N10" s="318">
        <f t="shared" si="17"/>
        <v>12367</v>
      </c>
      <c r="O10" s="480">
        <f t="shared" ref="O10:O32" si="26">IF(B10&gt;0,N10/B10,0)</f>
        <v>0</v>
      </c>
      <c r="P10" s="458">
        <v>16298</v>
      </c>
      <c r="Q10" s="462">
        <f t="shared" si="2"/>
        <v>8000</v>
      </c>
      <c r="R10" s="462">
        <f t="shared" si="21"/>
        <v>4367</v>
      </c>
      <c r="S10" s="458">
        <v>9541</v>
      </c>
      <c r="T10" s="482">
        <f t="shared" si="3"/>
        <v>14</v>
      </c>
      <c r="U10" s="458">
        <v>295149</v>
      </c>
      <c r="V10" s="462">
        <f t="shared" si="18"/>
        <v>3133</v>
      </c>
      <c r="W10" s="458">
        <v>32049</v>
      </c>
      <c r="X10" s="462">
        <f t="shared" si="25"/>
        <v>0</v>
      </c>
      <c r="Y10" s="458">
        <f t="shared" si="8"/>
        <v>673052</v>
      </c>
      <c r="Z10" s="462">
        <f t="shared" si="24"/>
        <v>0</v>
      </c>
      <c r="AA10" s="458">
        <v>35556</v>
      </c>
      <c r="AB10" s="462">
        <f t="shared" si="19"/>
        <v>6</v>
      </c>
      <c r="AC10" s="458">
        <v>888280</v>
      </c>
      <c r="AD10" s="462">
        <f t="shared" si="20"/>
        <v>1024</v>
      </c>
      <c r="AE10" s="485">
        <f t="shared" si="11"/>
        <v>20</v>
      </c>
      <c r="AF10" s="486">
        <f t="shared" si="12"/>
        <v>4157</v>
      </c>
      <c r="AG10" s="478">
        <f t="shared" ref="AG10:AG32" si="27">IF(AE10&gt;0,AF10/AE10,0)</f>
        <v>207.85</v>
      </c>
      <c r="AI10" s="479">
        <f>R10-'EDl log'!B8</f>
        <v>-366632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v>32213030</v>
      </c>
      <c r="E11" s="319">
        <f t="shared" si="13"/>
        <v>3700</v>
      </c>
      <c r="F11" s="601">
        <v>3854552</v>
      </c>
      <c r="G11" s="320">
        <f t="shared" si="0"/>
        <v>860</v>
      </c>
      <c r="H11" s="458">
        <v>17652066</v>
      </c>
      <c r="I11" s="320">
        <f t="shared" si="14"/>
        <v>1040</v>
      </c>
      <c r="J11" s="601">
        <v>28701746</v>
      </c>
      <c r="K11" s="320">
        <f t="shared" si="15"/>
        <v>1016</v>
      </c>
      <c r="L11" s="458">
        <v>23610686</v>
      </c>
      <c r="M11" s="320">
        <f t="shared" si="16"/>
        <v>5108</v>
      </c>
      <c r="N11" s="318">
        <f>M11+K11+I11+G11+E11</f>
        <v>11724</v>
      </c>
      <c r="O11" s="480">
        <f t="shared" si="26"/>
        <v>0</v>
      </c>
      <c r="P11" s="601">
        <v>16300</v>
      </c>
      <c r="Q11" s="462">
        <f t="shared" si="2"/>
        <v>2000</v>
      </c>
      <c r="R11" s="462">
        <f t="shared" si="21"/>
        <v>9724</v>
      </c>
      <c r="S11" s="458">
        <v>9554</v>
      </c>
      <c r="T11" s="482">
        <f t="shared" si="3"/>
        <v>13</v>
      </c>
      <c r="U11" s="601">
        <v>298048</v>
      </c>
      <c r="V11" s="462">
        <f t="shared" si="18"/>
        <v>2899</v>
      </c>
      <c r="W11" s="458">
        <f t="shared" si="7"/>
        <v>32049</v>
      </c>
      <c r="X11" s="462">
        <f t="shared" si="25"/>
        <v>0</v>
      </c>
      <c r="Y11" s="458">
        <f t="shared" si="8"/>
        <v>673052</v>
      </c>
      <c r="Z11" s="462">
        <f t="shared" si="24"/>
        <v>0</v>
      </c>
      <c r="AA11" s="458">
        <f t="shared" si="9"/>
        <v>35556</v>
      </c>
      <c r="AB11" s="462">
        <f t="shared" si="19"/>
        <v>0</v>
      </c>
      <c r="AC11" s="458">
        <f t="shared" si="10"/>
        <v>888280</v>
      </c>
      <c r="AD11" s="462">
        <f t="shared" si="20"/>
        <v>0</v>
      </c>
      <c r="AE11" s="485">
        <f t="shared" si="11"/>
        <v>13</v>
      </c>
      <c r="AF11" s="486">
        <f t="shared" si="12"/>
        <v>2899</v>
      </c>
      <c r="AG11" s="478">
        <f t="shared" si="27"/>
        <v>223</v>
      </c>
      <c r="AI11" s="479">
        <f>R11-'EDl log'!B9</f>
        <v>-364617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v>32216554</v>
      </c>
      <c r="E12" s="319">
        <f t="shared" si="13"/>
        <v>3524</v>
      </c>
      <c r="F12" s="601">
        <v>3855348</v>
      </c>
      <c r="G12" s="320">
        <f t="shared" si="0"/>
        <v>796</v>
      </c>
      <c r="H12" s="458">
        <v>17653022</v>
      </c>
      <c r="I12" s="320">
        <f t="shared" si="14"/>
        <v>956</v>
      </c>
      <c r="J12" s="601">
        <v>28702706</v>
      </c>
      <c r="K12" s="320">
        <f t="shared" si="15"/>
        <v>960</v>
      </c>
      <c r="L12" s="458">
        <v>23615454</v>
      </c>
      <c r="M12" s="320">
        <f t="shared" si="16"/>
        <v>4768</v>
      </c>
      <c r="N12" s="318">
        <f>M12+K12+I12+G12+E12</f>
        <v>11004</v>
      </c>
      <c r="O12" s="480">
        <f t="shared" si="26"/>
        <v>0</v>
      </c>
      <c r="P12" s="601">
        <v>16302</v>
      </c>
      <c r="Q12" s="462">
        <f t="shared" si="2"/>
        <v>2000</v>
      </c>
      <c r="R12" s="462">
        <f t="shared" si="21"/>
        <v>9004</v>
      </c>
      <c r="S12" s="458">
        <v>9566</v>
      </c>
      <c r="T12" s="482">
        <f t="shared" si="3"/>
        <v>12</v>
      </c>
      <c r="U12" s="601">
        <v>300876</v>
      </c>
      <c r="V12" s="462">
        <f t="shared" si="18"/>
        <v>2828</v>
      </c>
      <c r="W12" s="458">
        <f t="shared" si="7"/>
        <v>32049</v>
      </c>
      <c r="X12" s="462">
        <f t="shared" si="25"/>
        <v>0</v>
      </c>
      <c r="Y12" s="458">
        <f t="shared" si="8"/>
        <v>673052</v>
      </c>
      <c r="Z12" s="462">
        <f t="shared" si="24"/>
        <v>0</v>
      </c>
      <c r="AA12" s="458">
        <f t="shared" si="9"/>
        <v>35556</v>
      </c>
      <c r="AB12" s="462">
        <f t="shared" si="19"/>
        <v>0</v>
      </c>
      <c r="AC12" s="458">
        <f t="shared" si="10"/>
        <v>888280</v>
      </c>
      <c r="AD12" s="462">
        <f t="shared" si="20"/>
        <v>0</v>
      </c>
      <c r="AE12" s="485">
        <f t="shared" si="11"/>
        <v>12</v>
      </c>
      <c r="AF12" s="486">
        <f t="shared" si="12"/>
        <v>2828</v>
      </c>
      <c r="AG12" s="478">
        <f t="shared" si="27"/>
        <v>235.66666666666666</v>
      </c>
      <c r="AI12" s="479">
        <f>R12-'EDl log'!B10</f>
        <v>-369575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v>32220036</v>
      </c>
      <c r="E13" s="319">
        <f t="shared" si="13"/>
        <v>3482</v>
      </c>
      <c r="F13" s="601">
        <v>3856168</v>
      </c>
      <c r="G13" s="320">
        <f t="shared" si="0"/>
        <v>820</v>
      </c>
      <c r="H13" s="458">
        <v>17654008</v>
      </c>
      <c r="I13" s="320">
        <f t="shared" si="14"/>
        <v>986</v>
      </c>
      <c r="J13" s="601">
        <v>28703712</v>
      </c>
      <c r="K13" s="320">
        <f t="shared" si="15"/>
        <v>1006</v>
      </c>
      <c r="L13" s="458">
        <v>23620176</v>
      </c>
      <c r="M13" s="320">
        <f t="shared" si="16"/>
        <v>4722</v>
      </c>
      <c r="N13" s="318">
        <f t="shared" si="17"/>
        <v>11016</v>
      </c>
      <c r="O13" s="480">
        <f t="shared" si="26"/>
        <v>0</v>
      </c>
      <c r="P13" s="611">
        <v>16305</v>
      </c>
      <c r="Q13" s="462">
        <f>(P13-P12)*1000</f>
        <v>3000</v>
      </c>
      <c r="R13" s="462">
        <f t="shared" ref="R13" si="28">N13-Q13</f>
        <v>8016</v>
      </c>
      <c r="S13" s="458">
        <v>9579</v>
      </c>
      <c r="T13" s="482">
        <f t="shared" si="3"/>
        <v>13</v>
      </c>
      <c r="U13" s="601">
        <v>303680</v>
      </c>
      <c r="V13" s="462">
        <f t="shared" si="18"/>
        <v>2804</v>
      </c>
      <c r="W13" s="458">
        <f t="shared" si="7"/>
        <v>32049</v>
      </c>
      <c r="X13" s="462">
        <f t="shared" si="25"/>
        <v>0</v>
      </c>
      <c r="Y13" s="458">
        <f t="shared" si="8"/>
        <v>673052</v>
      </c>
      <c r="Z13" s="462">
        <f t="shared" si="24"/>
        <v>0</v>
      </c>
      <c r="AA13" s="458">
        <f t="shared" si="9"/>
        <v>35556</v>
      </c>
      <c r="AB13" s="462">
        <f t="shared" si="19"/>
        <v>0</v>
      </c>
      <c r="AC13" s="458">
        <f t="shared" si="10"/>
        <v>888280</v>
      </c>
      <c r="AD13" s="462">
        <f t="shared" si="20"/>
        <v>0</v>
      </c>
      <c r="AE13" s="485">
        <f t="shared" si="11"/>
        <v>13</v>
      </c>
      <c r="AF13" s="486">
        <f t="shared" si="12"/>
        <v>2804</v>
      </c>
      <c r="AG13" s="478">
        <f t="shared" si="27"/>
        <v>215.69230769230768</v>
      </c>
      <c r="AI13" s="479">
        <f>R13-'EDl log'!B11</f>
        <v>-372739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v>32223034</v>
      </c>
      <c r="E14" s="319">
        <f t="shared" si="13"/>
        <v>2998</v>
      </c>
      <c r="F14" s="458">
        <v>3857010</v>
      </c>
      <c r="G14" s="320">
        <f t="shared" si="0"/>
        <v>842</v>
      </c>
      <c r="H14" s="458">
        <v>17655010</v>
      </c>
      <c r="I14" s="320">
        <f t="shared" si="14"/>
        <v>1002</v>
      </c>
      <c r="J14" s="458">
        <v>28704688</v>
      </c>
      <c r="K14" s="320">
        <f t="shared" si="15"/>
        <v>976</v>
      </c>
      <c r="L14" s="458">
        <v>23624726</v>
      </c>
      <c r="M14" s="320">
        <f t="shared" si="16"/>
        <v>4550</v>
      </c>
      <c r="N14" s="318">
        <f t="shared" si="17"/>
        <v>10368</v>
      </c>
      <c r="O14" s="480">
        <f t="shared" si="26"/>
        <v>0</v>
      </c>
      <c r="P14" s="458">
        <v>16308</v>
      </c>
      <c r="Q14" s="462">
        <f t="shared" ref="Q14:Q33" si="29">(P14-P13)*1000</f>
        <v>3000</v>
      </c>
      <c r="R14" s="462">
        <f t="shared" ref="R14:R33" si="30">N14-Q14</f>
        <v>7368</v>
      </c>
      <c r="S14" s="458">
        <v>9590</v>
      </c>
      <c r="T14" s="482">
        <f t="shared" si="3"/>
        <v>11</v>
      </c>
      <c r="U14" s="458">
        <v>306003</v>
      </c>
      <c r="V14" s="462">
        <f t="shared" si="18"/>
        <v>2323</v>
      </c>
      <c r="W14" s="458">
        <f t="shared" si="7"/>
        <v>32049</v>
      </c>
      <c r="X14" s="462">
        <f t="shared" si="25"/>
        <v>0</v>
      </c>
      <c r="Y14" s="458">
        <f t="shared" si="8"/>
        <v>673052</v>
      </c>
      <c r="Z14" s="462">
        <f t="shared" si="24"/>
        <v>0</v>
      </c>
      <c r="AA14" s="458">
        <f t="shared" si="9"/>
        <v>35556</v>
      </c>
      <c r="AB14" s="462">
        <f t="shared" si="19"/>
        <v>0</v>
      </c>
      <c r="AC14" s="458">
        <f t="shared" si="10"/>
        <v>888280</v>
      </c>
      <c r="AD14" s="462">
        <f t="shared" si="20"/>
        <v>0</v>
      </c>
      <c r="AE14" s="485">
        <f t="shared" si="11"/>
        <v>11</v>
      </c>
      <c r="AF14" s="486">
        <f t="shared" si="12"/>
        <v>2323</v>
      </c>
      <c r="AG14" s="478">
        <f t="shared" si="27"/>
        <v>211.18181818181819</v>
      </c>
      <c r="AI14" s="479">
        <f>R14-'EDl log'!B12</f>
        <v>-378323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v>32225554</v>
      </c>
      <c r="E15" s="319">
        <f t="shared" si="13"/>
        <v>2520</v>
      </c>
      <c r="F15" s="458">
        <v>3857817</v>
      </c>
      <c r="G15" s="320">
        <f t="shared" si="0"/>
        <v>807</v>
      </c>
      <c r="H15" s="458">
        <v>17655982</v>
      </c>
      <c r="I15" s="320">
        <f t="shared" si="14"/>
        <v>972</v>
      </c>
      <c r="J15" s="458">
        <v>28705474</v>
      </c>
      <c r="K15" s="320">
        <f t="shared" si="15"/>
        <v>786</v>
      </c>
      <c r="L15" s="458">
        <v>23628682</v>
      </c>
      <c r="M15" s="320">
        <f t="shared" si="16"/>
        <v>3956</v>
      </c>
      <c r="N15" s="318">
        <f t="shared" si="17"/>
        <v>9041</v>
      </c>
      <c r="O15" s="480">
        <f t="shared" si="26"/>
        <v>0</v>
      </c>
      <c r="P15" s="458">
        <v>16310</v>
      </c>
      <c r="Q15" s="462">
        <f t="shared" si="29"/>
        <v>2000</v>
      </c>
      <c r="R15" s="462">
        <f t="shared" si="30"/>
        <v>7041</v>
      </c>
      <c r="S15" s="458">
        <v>9599</v>
      </c>
      <c r="T15" s="482">
        <f t="shared" si="3"/>
        <v>9</v>
      </c>
      <c r="U15" s="458">
        <v>307976</v>
      </c>
      <c r="V15" s="462">
        <f t="shared" si="18"/>
        <v>1973</v>
      </c>
      <c r="W15" s="458">
        <f t="shared" si="7"/>
        <v>32049</v>
      </c>
      <c r="X15" s="462">
        <f t="shared" si="25"/>
        <v>0</v>
      </c>
      <c r="Y15" s="458">
        <f t="shared" si="8"/>
        <v>673052</v>
      </c>
      <c r="Z15" s="462">
        <f t="shared" si="24"/>
        <v>0</v>
      </c>
      <c r="AA15" s="458">
        <f t="shared" si="9"/>
        <v>35556</v>
      </c>
      <c r="AB15" s="462">
        <f t="shared" si="19"/>
        <v>0</v>
      </c>
      <c r="AC15" s="458">
        <f t="shared" si="10"/>
        <v>888280</v>
      </c>
      <c r="AD15" s="462">
        <f t="shared" si="20"/>
        <v>0</v>
      </c>
      <c r="AE15" s="485">
        <f t="shared" si="11"/>
        <v>9</v>
      </c>
      <c r="AF15" s="486">
        <f t="shared" si="12"/>
        <v>1973</v>
      </c>
      <c r="AG15" s="478">
        <f t="shared" si="27"/>
        <v>219.22222222222223</v>
      </c>
      <c r="AI15" s="479">
        <f>R15-'EDl log'!B13</f>
        <v>-383392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v>32228614</v>
      </c>
      <c r="E16" s="319">
        <f t="shared" si="13"/>
        <v>3060</v>
      </c>
      <c r="F16" s="458">
        <v>3858662</v>
      </c>
      <c r="G16" s="320">
        <f t="shared" si="0"/>
        <v>845</v>
      </c>
      <c r="H16" s="458">
        <v>17656862</v>
      </c>
      <c r="I16" s="320">
        <f t="shared" si="14"/>
        <v>880</v>
      </c>
      <c r="J16" s="458">
        <v>28706274</v>
      </c>
      <c r="K16" s="320">
        <f t="shared" si="15"/>
        <v>800</v>
      </c>
      <c r="L16" s="458">
        <v>23632202</v>
      </c>
      <c r="M16" s="320">
        <f t="shared" si="16"/>
        <v>3520</v>
      </c>
      <c r="N16" s="318">
        <f t="shared" si="17"/>
        <v>9105</v>
      </c>
      <c r="O16" s="480">
        <f t="shared" si="26"/>
        <v>0</v>
      </c>
      <c r="P16" s="458">
        <v>16312</v>
      </c>
      <c r="Q16" s="462">
        <f t="shared" si="29"/>
        <v>2000</v>
      </c>
      <c r="R16" s="462">
        <f t="shared" si="30"/>
        <v>7105</v>
      </c>
      <c r="S16" s="458">
        <v>9606</v>
      </c>
      <c r="T16" s="482">
        <f t="shared" si="3"/>
        <v>7</v>
      </c>
      <c r="U16" s="458">
        <v>309536</v>
      </c>
      <c r="V16" s="462">
        <f t="shared" si="18"/>
        <v>1560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35556</v>
      </c>
      <c r="AB16" s="462">
        <f>AA16-AA15</f>
        <v>0</v>
      </c>
      <c r="AC16" s="458">
        <f t="shared" si="10"/>
        <v>888280</v>
      </c>
      <c r="AD16" s="462">
        <f t="shared" si="20"/>
        <v>0</v>
      </c>
      <c r="AE16" s="485">
        <f t="shared" si="11"/>
        <v>7</v>
      </c>
      <c r="AF16" s="486">
        <f t="shared" si="12"/>
        <v>1560</v>
      </c>
      <c r="AG16" s="478">
        <f t="shared" si="27"/>
        <v>222.85714285714286</v>
      </c>
      <c r="AI16" s="479">
        <f>R16-'EDl log'!B14</f>
        <v>-387314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v>32234230</v>
      </c>
      <c r="E17" s="319">
        <f t="shared" si="13"/>
        <v>5616</v>
      </c>
      <c r="F17" s="458">
        <v>3859581</v>
      </c>
      <c r="G17" s="320">
        <f t="shared" si="0"/>
        <v>919</v>
      </c>
      <c r="H17" s="458">
        <v>17657838</v>
      </c>
      <c r="I17" s="320">
        <f t="shared" si="14"/>
        <v>976</v>
      </c>
      <c r="J17" s="458">
        <v>28707206</v>
      </c>
      <c r="K17" s="320">
        <f t="shared" si="15"/>
        <v>932</v>
      </c>
      <c r="L17" s="458">
        <v>23634214</v>
      </c>
      <c r="M17" s="320">
        <f t="shared" si="16"/>
        <v>2012</v>
      </c>
      <c r="N17" s="318">
        <f t="shared" si="17"/>
        <v>10455</v>
      </c>
      <c r="O17" s="480">
        <f t="shared" si="26"/>
        <v>0</v>
      </c>
      <c r="P17" s="458">
        <v>16315</v>
      </c>
      <c r="Q17" s="462">
        <f t="shared" si="29"/>
        <v>3000</v>
      </c>
      <c r="R17" s="462">
        <f t="shared" si="30"/>
        <v>7455</v>
      </c>
      <c r="S17" s="458">
        <v>9606</v>
      </c>
      <c r="T17" s="482">
        <f t="shared" si="3"/>
        <v>0</v>
      </c>
      <c r="U17" s="458">
        <v>309536</v>
      </c>
      <c r="V17" s="462">
        <f t="shared" si="18"/>
        <v>0</v>
      </c>
      <c r="W17" s="458">
        <f t="shared" si="7"/>
        <v>32049</v>
      </c>
      <c r="X17" s="462">
        <f t="shared" si="25"/>
        <v>0</v>
      </c>
      <c r="Y17" s="458">
        <f t="shared" si="8"/>
        <v>673052</v>
      </c>
      <c r="Z17" s="462">
        <f t="shared" si="24"/>
        <v>0</v>
      </c>
      <c r="AA17" s="458">
        <v>35566</v>
      </c>
      <c r="AB17" s="462">
        <f t="shared" si="19"/>
        <v>10</v>
      </c>
      <c r="AC17" s="458">
        <v>890520</v>
      </c>
      <c r="AD17" s="462">
        <f t="shared" ref="AD17:AD32" si="31">AC17-AC16</f>
        <v>2240</v>
      </c>
      <c r="AE17" s="485">
        <f t="shared" si="11"/>
        <v>10</v>
      </c>
      <c r="AF17" s="486">
        <f t="shared" si="12"/>
        <v>2240</v>
      </c>
      <c r="AG17" s="478">
        <f t="shared" si="27"/>
        <v>224</v>
      </c>
      <c r="AI17" s="479">
        <f>R17-'EDl log'!B15</f>
        <v>-391299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v>32240010</v>
      </c>
      <c r="E18" s="319">
        <f t="shared" si="13"/>
        <v>5780</v>
      </c>
      <c r="F18" s="601">
        <v>3860356</v>
      </c>
      <c r="G18" s="320">
        <f t="shared" si="0"/>
        <v>775</v>
      </c>
      <c r="H18" s="458">
        <v>17658660</v>
      </c>
      <c r="I18" s="320">
        <f t="shared" si="14"/>
        <v>822</v>
      </c>
      <c r="J18" s="601">
        <v>28708154</v>
      </c>
      <c r="K18" s="320">
        <f t="shared" si="15"/>
        <v>948</v>
      </c>
      <c r="L18" s="458">
        <v>23636052</v>
      </c>
      <c r="M18" s="320">
        <f t="shared" si="16"/>
        <v>1838</v>
      </c>
      <c r="N18" s="318">
        <f t="shared" si="17"/>
        <v>10163</v>
      </c>
      <c r="O18" s="480">
        <f t="shared" si="26"/>
        <v>0</v>
      </c>
      <c r="P18" s="601">
        <v>16318</v>
      </c>
      <c r="Q18" s="462">
        <f t="shared" si="29"/>
        <v>3000</v>
      </c>
      <c r="R18" s="462">
        <f t="shared" si="30"/>
        <v>7163</v>
      </c>
      <c r="S18" s="458">
        <f t="shared" si="22"/>
        <v>9606</v>
      </c>
      <c r="T18" s="482">
        <f t="shared" si="3"/>
        <v>0</v>
      </c>
      <c r="U18" s="458">
        <f t="shared" si="23"/>
        <v>309536</v>
      </c>
      <c r="V18" s="462">
        <f t="shared" si="18"/>
        <v>0</v>
      </c>
      <c r="W18" s="458">
        <f t="shared" si="7"/>
        <v>32049</v>
      </c>
      <c r="X18" s="462">
        <f t="shared" si="25"/>
        <v>0</v>
      </c>
      <c r="Y18" s="458">
        <f t="shared" si="8"/>
        <v>673052</v>
      </c>
      <c r="Z18" s="462">
        <f t="shared" si="24"/>
        <v>0</v>
      </c>
      <c r="AA18" s="458">
        <v>35581</v>
      </c>
      <c r="AB18" s="462">
        <f t="shared" si="19"/>
        <v>15</v>
      </c>
      <c r="AC18" s="601">
        <v>893493</v>
      </c>
      <c r="AD18" s="462">
        <f t="shared" si="31"/>
        <v>2973</v>
      </c>
      <c r="AE18" s="485">
        <f t="shared" si="11"/>
        <v>15</v>
      </c>
      <c r="AF18" s="486">
        <f t="shared" si="12"/>
        <v>2973</v>
      </c>
      <c r="AG18" s="478">
        <f t="shared" si="27"/>
        <v>198.2</v>
      </c>
      <c r="AI18" s="479">
        <f>R18-'EDl log'!B16</f>
        <v>-395093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v>32244176</v>
      </c>
      <c r="E19" s="319">
        <f t="shared" si="13"/>
        <v>4166</v>
      </c>
      <c r="F19" s="601">
        <v>3861274</v>
      </c>
      <c r="G19" s="320">
        <f t="shared" si="0"/>
        <v>918</v>
      </c>
      <c r="H19" s="458">
        <v>17659610</v>
      </c>
      <c r="I19" s="320">
        <f t="shared" si="14"/>
        <v>950</v>
      </c>
      <c r="J19" s="601">
        <v>28708896</v>
      </c>
      <c r="K19" s="320">
        <f t="shared" si="15"/>
        <v>742</v>
      </c>
      <c r="L19" s="458">
        <v>23638502</v>
      </c>
      <c r="M19" s="320">
        <f t="shared" si="16"/>
        <v>2450</v>
      </c>
      <c r="N19" s="318">
        <f t="shared" si="17"/>
        <v>9226</v>
      </c>
      <c r="O19" s="480">
        <f t="shared" si="26"/>
        <v>0</v>
      </c>
      <c r="P19" s="601">
        <v>16319</v>
      </c>
      <c r="Q19" s="462">
        <f t="shared" si="29"/>
        <v>1000</v>
      </c>
      <c r="R19" s="462">
        <f t="shared" si="30"/>
        <v>8226</v>
      </c>
      <c r="S19" s="458">
        <f t="shared" si="22"/>
        <v>9606</v>
      </c>
      <c r="T19" s="482">
        <f t="shared" si="3"/>
        <v>0</v>
      </c>
      <c r="U19" s="458">
        <f t="shared" si="23"/>
        <v>309536</v>
      </c>
      <c r="V19" s="462">
        <f t="shared" si="18"/>
        <v>0</v>
      </c>
      <c r="W19" s="458">
        <f t="shared" si="7"/>
        <v>32049</v>
      </c>
      <c r="X19" s="462">
        <f t="shared" si="25"/>
        <v>0</v>
      </c>
      <c r="Y19" s="458">
        <f t="shared" si="8"/>
        <v>673052</v>
      </c>
      <c r="Z19" s="462">
        <f t="shared" si="24"/>
        <v>0</v>
      </c>
      <c r="AA19" s="458">
        <v>35586</v>
      </c>
      <c r="AB19" s="462">
        <f t="shared" si="19"/>
        <v>5</v>
      </c>
      <c r="AC19" s="601">
        <v>894782</v>
      </c>
      <c r="AD19" s="462">
        <f t="shared" si="31"/>
        <v>1289</v>
      </c>
      <c r="AE19" s="485">
        <f t="shared" si="11"/>
        <v>5</v>
      </c>
      <c r="AF19" s="486">
        <f t="shared" si="12"/>
        <v>1289</v>
      </c>
      <c r="AG19" s="478">
        <f t="shared" si="27"/>
        <v>257.8</v>
      </c>
      <c r="AI19" s="479">
        <f>R19-'EDl log'!B17</f>
        <v>-397757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v>32247138</v>
      </c>
      <c r="E20" s="319">
        <f t="shared" si="13"/>
        <v>2962</v>
      </c>
      <c r="F20" s="458">
        <v>3862133</v>
      </c>
      <c r="G20" s="320">
        <f t="shared" si="0"/>
        <v>859</v>
      </c>
      <c r="H20" s="458">
        <v>17660518</v>
      </c>
      <c r="I20" s="320">
        <f t="shared" si="14"/>
        <v>908</v>
      </c>
      <c r="J20" s="458">
        <v>28709748</v>
      </c>
      <c r="K20" s="320">
        <f t="shared" si="15"/>
        <v>852</v>
      </c>
      <c r="L20" s="458">
        <v>23642594</v>
      </c>
      <c r="M20" s="320">
        <f t="shared" si="16"/>
        <v>4092</v>
      </c>
      <c r="N20" s="318">
        <f t="shared" si="17"/>
        <v>9673</v>
      </c>
      <c r="O20" s="480">
        <f t="shared" si="26"/>
        <v>0</v>
      </c>
      <c r="P20" s="458">
        <v>16321</v>
      </c>
      <c r="Q20" s="462">
        <f t="shared" si="29"/>
        <v>2000</v>
      </c>
      <c r="R20" s="462">
        <f t="shared" si="30"/>
        <v>7673</v>
      </c>
      <c r="S20" s="458">
        <v>9617</v>
      </c>
      <c r="T20" s="482">
        <f t="shared" si="3"/>
        <v>11</v>
      </c>
      <c r="U20" s="458">
        <v>312110</v>
      </c>
      <c r="V20" s="462">
        <f t="shared" si="18"/>
        <v>2574</v>
      </c>
      <c r="W20" s="458">
        <f t="shared" si="7"/>
        <v>32049</v>
      </c>
      <c r="X20" s="462">
        <f t="shared" si="25"/>
        <v>0</v>
      </c>
      <c r="Y20" s="458">
        <f t="shared" si="8"/>
        <v>673052</v>
      </c>
      <c r="Z20" s="462">
        <f t="shared" si="24"/>
        <v>0</v>
      </c>
      <c r="AA20" s="458">
        <f t="shared" si="9"/>
        <v>35586</v>
      </c>
      <c r="AB20" s="462">
        <f t="shared" si="19"/>
        <v>0</v>
      </c>
      <c r="AC20" s="458">
        <f t="shared" si="10"/>
        <v>894782</v>
      </c>
      <c r="AD20" s="462">
        <f t="shared" si="31"/>
        <v>0</v>
      </c>
      <c r="AE20" s="485">
        <f t="shared" si="11"/>
        <v>11</v>
      </c>
      <c r="AF20" s="486">
        <f t="shared" si="12"/>
        <v>2574</v>
      </c>
      <c r="AG20" s="478">
        <f t="shared" si="27"/>
        <v>234</v>
      </c>
      <c r="AI20" s="479">
        <f>R20-'EDl log'!B18</f>
        <v>-402044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v>32250282</v>
      </c>
      <c r="E21" s="319">
        <f t="shared" si="13"/>
        <v>3144</v>
      </c>
      <c r="F21" s="601">
        <v>3862894</v>
      </c>
      <c r="G21" s="320">
        <f t="shared" si="0"/>
        <v>761</v>
      </c>
      <c r="H21" s="458">
        <v>17661350</v>
      </c>
      <c r="I21" s="320">
        <f t="shared" si="14"/>
        <v>832</v>
      </c>
      <c r="J21" s="601">
        <v>28710350</v>
      </c>
      <c r="K21" s="320">
        <f t="shared" si="15"/>
        <v>602</v>
      </c>
      <c r="L21" s="458">
        <v>23645122</v>
      </c>
      <c r="M21" s="320">
        <f t="shared" si="16"/>
        <v>2528</v>
      </c>
      <c r="N21" s="318">
        <f t="shared" si="17"/>
        <v>7867</v>
      </c>
      <c r="O21" s="480">
        <f t="shared" si="26"/>
        <v>0</v>
      </c>
      <c r="P21" s="601">
        <v>16323</v>
      </c>
      <c r="Q21" s="462">
        <f t="shared" si="29"/>
        <v>2000</v>
      </c>
      <c r="R21" s="462">
        <f t="shared" si="30"/>
        <v>5867</v>
      </c>
      <c r="S21" s="458">
        <v>9620</v>
      </c>
      <c r="T21" s="482">
        <f t="shared" si="3"/>
        <v>3</v>
      </c>
      <c r="U21" s="601">
        <v>312929</v>
      </c>
      <c r="V21" s="462">
        <f t="shared" si="18"/>
        <v>819</v>
      </c>
      <c r="W21" s="458">
        <f t="shared" si="7"/>
        <v>32049</v>
      </c>
      <c r="X21" s="462">
        <f t="shared" si="25"/>
        <v>0</v>
      </c>
      <c r="Y21" s="458">
        <f t="shared" si="8"/>
        <v>673052</v>
      </c>
      <c r="Z21" s="462">
        <f t="shared" si="24"/>
        <v>0</v>
      </c>
      <c r="AA21" s="458">
        <v>35589</v>
      </c>
      <c r="AB21" s="462">
        <f t="shared" si="19"/>
        <v>3</v>
      </c>
      <c r="AC21" s="601">
        <v>895463</v>
      </c>
      <c r="AD21" s="462">
        <f t="shared" si="31"/>
        <v>681</v>
      </c>
      <c r="AE21" s="485">
        <f t="shared" si="11"/>
        <v>6</v>
      </c>
      <c r="AF21" s="486">
        <f t="shared" si="12"/>
        <v>1500</v>
      </c>
      <c r="AG21" s="478">
        <f t="shared" si="27"/>
        <v>250</v>
      </c>
      <c r="AI21" s="479">
        <f>R21-'EDl log'!B19</f>
        <v>-407885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v>32252830</v>
      </c>
      <c r="E22" s="319">
        <f t="shared" si="13"/>
        <v>2548</v>
      </c>
      <c r="F22" s="458">
        <v>3863701</v>
      </c>
      <c r="G22" s="320">
        <f t="shared" si="0"/>
        <v>807</v>
      </c>
      <c r="H22" s="458">
        <v>17662226</v>
      </c>
      <c r="I22" s="320">
        <f t="shared" si="14"/>
        <v>876</v>
      </c>
      <c r="J22" s="458">
        <v>28711104</v>
      </c>
      <c r="K22" s="320">
        <f t="shared" si="15"/>
        <v>754</v>
      </c>
      <c r="L22" s="458">
        <v>23649018</v>
      </c>
      <c r="M22" s="320">
        <f t="shared" si="16"/>
        <v>3896</v>
      </c>
      <c r="N22" s="318">
        <f t="shared" si="17"/>
        <v>8881</v>
      </c>
      <c r="O22" s="480">
        <f t="shared" si="26"/>
        <v>0</v>
      </c>
      <c r="P22" s="458">
        <v>16325.495000000001</v>
      </c>
      <c r="Q22" s="462">
        <f t="shared" si="29"/>
        <v>2495.0000000008004</v>
      </c>
      <c r="R22" s="462">
        <f t="shared" si="30"/>
        <v>6385.9999999991996</v>
      </c>
      <c r="S22" s="458">
        <v>9629</v>
      </c>
      <c r="T22" s="482">
        <f t="shared" si="3"/>
        <v>9</v>
      </c>
      <c r="U22" s="458">
        <v>314977</v>
      </c>
      <c r="V22" s="462">
        <f t="shared" si="18"/>
        <v>2048</v>
      </c>
      <c r="W22" s="458">
        <f t="shared" si="7"/>
        <v>32049</v>
      </c>
      <c r="X22" s="462">
        <f t="shared" si="25"/>
        <v>0</v>
      </c>
      <c r="Y22" s="458">
        <f t="shared" si="8"/>
        <v>673052</v>
      </c>
      <c r="Z22" s="462">
        <f t="shared" si="24"/>
        <v>0</v>
      </c>
      <c r="AA22" s="458">
        <v>35589</v>
      </c>
      <c r="AB22" s="462">
        <f t="shared" si="19"/>
        <v>0</v>
      </c>
      <c r="AC22" s="458">
        <v>895463</v>
      </c>
      <c r="AD22" s="462">
        <f t="shared" si="31"/>
        <v>0</v>
      </c>
      <c r="AE22" s="485">
        <f t="shared" si="11"/>
        <v>9</v>
      </c>
      <c r="AF22" s="486">
        <f t="shared" si="12"/>
        <v>2048</v>
      </c>
      <c r="AG22" s="478">
        <f t="shared" si="27"/>
        <v>227.55555555555554</v>
      </c>
      <c r="AI22" s="479">
        <f>R22-'EDl log'!B20</f>
        <v>-411263.00000000081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v>32256638</v>
      </c>
      <c r="E23" s="319">
        <f t="shared" si="13"/>
        <v>3808</v>
      </c>
      <c r="F23" s="601">
        <v>3864507</v>
      </c>
      <c r="G23" s="320">
        <f t="shared" si="0"/>
        <v>806</v>
      </c>
      <c r="H23" s="458">
        <v>17663058</v>
      </c>
      <c r="I23" s="451">
        <f t="shared" si="14"/>
        <v>832</v>
      </c>
      <c r="J23" s="601">
        <v>28711894</v>
      </c>
      <c r="K23" s="320">
        <f t="shared" si="15"/>
        <v>790</v>
      </c>
      <c r="L23" s="458">
        <v>23652040</v>
      </c>
      <c r="M23" s="320">
        <f t="shared" si="16"/>
        <v>3022</v>
      </c>
      <c r="N23" s="318">
        <f t="shared" si="17"/>
        <v>9258</v>
      </c>
      <c r="O23" s="480">
        <f t="shared" si="26"/>
        <v>0</v>
      </c>
      <c r="P23" s="601">
        <v>16327</v>
      </c>
      <c r="Q23" s="462">
        <f t="shared" si="29"/>
        <v>1504.9999999991996</v>
      </c>
      <c r="R23" s="462">
        <f t="shared" si="30"/>
        <v>7753.0000000008004</v>
      </c>
      <c r="S23" s="458">
        <v>9634</v>
      </c>
      <c r="T23" s="482">
        <f t="shared" si="3"/>
        <v>5</v>
      </c>
      <c r="U23" s="601">
        <v>316092</v>
      </c>
      <c r="V23" s="462">
        <f t="shared" si="18"/>
        <v>1115</v>
      </c>
      <c r="W23" s="458">
        <f t="shared" si="7"/>
        <v>32049</v>
      </c>
      <c r="X23" s="462">
        <f t="shared" si="25"/>
        <v>0</v>
      </c>
      <c r="Y23" s="458">
        <f t="shared" si="8"/>
        <v>673052</v>
      </c>
      <c r="Z23" s="462">
        <f t="shared" si="24"/>
        <v>0</v>
      </c>
      <c r="AA23" s="458">
        <v>35594</v>
      </c>
      <c r="AB23" s="462">
        <f t="shared" si="19"/>
        <v>5</v>
      </c>
      <c r="AC23" s="601">
        <v>896638</v>
      </c>
      <c r="AD23" s="462">
        <f t="shared" si="31"/>
        <v>1175</v>
      </c>
      <c r="AE23" s="485">
        <f t="shared" si="11"/>
        <v>10</v>
      </c>
      <c r="AF23" s="486">
        <f t="shared" si="12"/>
        <v>2290</v>
      </c>
      <c r="AG23" s="478">
        <f t="shared" si="27"/>
        <v>229</v>
      </c>
      <c r="AI23" s="479">
        <f>R23-'EDl log'!B21</f>
        <v>-414150.99999999919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v>32260010</v>
      </c>
      <c r="E24" s="319">
        <f t="shared" si="13"/>
        <v>3372</v>
      </c>
      <c r="F24" s="458">
        <v>3865337</v>
      </c>
      <c r="G24" s="320">
        <f t="shared" si="0"/>
        <v>830</v>
      </c>
      <c r="H24" s="458">
        <v>17663930</v>
      </c>
      <c r="I24" s="320">
        <f t="shared" si="14"/>
        <v>872</v>
      </c>
      <c r="J24" s="458">
        <v>28712882</v>
      </c>
      <c r="K24" s="320">
        <f t="shared" si="15"/>
        <v>988</v>
      </c>
      <c r="L24" s="458">
        <v>23656666</v>
      </c>
      <c r="M24" s="320">
        <f t="shared" si="16"/>
        <v>4626</v>
      </c>
      <c r="N24" s="318">
        <f t="shared" si="17"/>
        <v>10688</v>
      </c>
      <c r="O24" s="480">
        <f t="shared" si="26"/>
        <v>0</v>
      </c>
      <c r="P24" s="458">
        <v>16331</v>
      </c>
      <c r="Q24" s="462">
        <f t="shared" si="29"/>
        <v>4000</v>
      </c>
      <c r="R24" s="462">
        <f t="shared" si="30"/>
        <v>6688</v>
      </c>
      <c r="S24" s="458">
        <v>9645</v>
      </c>
      <c r="T24" s="482">
        <f t="shared" si="3"/>
        <v>11</v>
      </c>
      <c r="U24" s="458">
        <v>318534</v>
      </c>
      <c r="V24" s="462">
        <f t="shared" si="18"/>
        <v>2442</v>
      </c>
      <c r="W24" s="458">
        <f t="shared" si="7"/>
        <v>32049</v>
      </c>
      <c r="X24" s="462">
        <f t="shared" si="25"/>
        <v>0</v>
      </c>
      <c r="Y24" s="458">
        <f t="shared" si="8"/>
        <v>673052</v>
      </c>
      <c r="Z24" s="462">
        <f t="shared" si="24"/>
        <v>0</v>
      </c>
      <c r="AA24" s="458">
        <v>35594</v>
      </c>
      <c r="AB24" s="462">
        <f t="shared" si="19"/>
        <v>0</v>
      </c>
      <c r="AC24" s="458">
        <v>896638</v>
      </c>
      <c r="AD24" s="462">
        <f t="shared" si="31"/>
        <v>0</v>
      </c>
      <c r="AE24" s="485">
        <f t="shared" si="11"/>
        <v>11</v>
      </c>
      <c r="AF24" s="486">
        <f t="shared" si="12"/>
        <v>2442</v>
      </c>
      <c r="AG24" s="478">
        <f t="shared" si="27"/>
        <v>222</v>
      </c>
      <c r="AI24" s="479">
        <f>R24-'EDl log'!B22</f>
        <v>-418321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f t="shared" ref="D25:D33" si="32">D24</f>
        <v>32260010</v>
      </c>
      <c r="E25" s="319">
        <f t="shared" si="13"/>
        <v>0</v>
      </c>
      <c r="F25" s="458">
        <f t="shared" ref="F25:F33" si="33">F24</f>
        <v>3865337</v>
      </c>
      <c r="G25" s="320">
        <f t="shared" si="0"/>
        <v>0</v>
      </c>
      <c r="H25" s="458">
        <f t="shared" ref="H25:H33" si="34">H24</f>
        <v>17663930</v>
      </c>
      <c r="I25" s="320">
        <f t="shared" si="14"/>
        <v>0</v>
      </c>
      <c r="J25" s="458">
        <f t="shared" ref="J25:J33" si="35">J24</f>
        <v>28712882</v>
      </c>
      <c r="K25" s="320">
        <f t="shared" si="15"/>
        <v>0</v>
      </c>
      <c r="L25" s="458">
        <f t="shared" ref="L25:L33" si="36">L24</f>
        <v>23656666</v>
      </c>
      <c r="M25" s="320">
        <f t="shared" si="16"/>
        <v>0</v>
      </c>
      <c r="N25" s="318">
        <f t="shared" si="17"/>
        <v>0</v>
      </c>
      <c r="O25" s="480">
        <f t="shared" si="26"/>
        <v>0</v>
      </c>
      <c r="P25" s="458">
        <f t="shared" ref="P25:P33" si="37">P24</f>
        <v>16331</v>
      </c>
      <c r="Q25" s="462">
        <f t="shared" si="29"/>
        <v>0</v>
      </c>
      <c r="R25" s="462">
        <f t="shared" si="30"/>
        <v>0</v>
      </c>
      <c r="S25" s="458">
        <f t="shared" si="22"/>
        <v>9645</v>
      </c>
      <c r="T25" s="482">
        <f t="shared" si="3"/>
        <v>0</v>
      </c>
      <c r="U25" s="458">
        <f t="shared" si="23"/>
        <v>318534</v>
      </c>
      <c r="V25" s="462">
        <f t="shared" si="18"/>
        <v>0</v>
      </c>
      <c r="W25" s="458">
        <f t="shared" si="7"/>
        <v>32049</v>
      </c>
      <c r="X25" s="462">
        <f t="shared" si="25"/>
        <v>0</v>
      </c>
      <c r="Y25" s="458">
        <f t="shared" si="8"/>
        <v>673052</v>
      </c>
      <c r="Z25" s="462">
        <f t="shared" si="24"/>
        <v>0</v>
      </c>
      <c r="AA25" s="458">
        <f t="shared" si="9"/>
        <v>35594</v>
      </c>
      <c r="AB25" s="462">
        <f t="shared" si="19"/>
        <v>0</v>
      </c>
      <c r="AC25" s="458">
        <f t="shared" si="10"/>
        <v>896638</v>
      </c>
      <c r="AD25" s="462">
        <f t="shared" si="31"/>
        <v>0</v>
      </c>
      <c r="AE25" s="485">
        <f t="shared" si="11"/>
        <v>0</v>
      </c>
      <c r="AF25" s="486">
        <f t="shared" si="12"/>
        <v>0</v>
      </c>
      <c r="AG25" s="478">
        <f t="shared" si="27"/>
        <v>0</v>
      </c>
      <c r="AI25" s="479">
        <f>R25-'EDl log'!B23</f>
        <v>-428590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f t="shared" si="32"/>
        <v>32260010</v>
      </c>
      <c r="E26" s="319">
        <f t="shared" si="13"/>
        <v>0</v>
      </c>
      <c r="F26" s="458">
        <f t="shared" si="33"/>
        <v>3865337</v>
      </c>
      <c r="G26" s="320">
        <f t="shared" si="0"/>
        <v>0</v>
      </c>
      <c r="H26" s="458">
        <f t="shared" si="34"/>
        <v>17663930</v>
      </c>
      <c r="I26" s="320">
        <f t="shared" si="14"/>
        <v>0</v>
      </c>
      <c r="J26" s="458">
        <f t="shared" si="35"/>
        <v>28712882</v>
      </c>
      <c r="K26" s="320">
        <f t="shared" si="15"/>
        <v>0</v>
      </c>
      <c r="L26" s="458">
        <f t="shared" si="36"/>
        <v>23656666</v>
      </c>
      <c r="M26" s="320">
        <f t="shared" si="16"/>
        <v>0</v>
      </c>
      <c r="N26" s="318">
        <f t="shared" si="17"/>
        <v>0</v>
      </c>
      <c r="O26" s="480">
        <f t="shared" si="26"/>
        <v>0</v>
      </c>
      <c r="P26" s="458">
        <f t="shared" si="37"/>
        <v>16331</v>
      </c>
      <c r="Q26" s="462">
        <f t="shared" si="29"/>
        <v>0</v>
      </c>
      <c r="R26" s="462">
        <f t="shared" si="30"/>
        <v>0</v>
      </c>
      <c r="S26" s="458">
        <f t="shared" si="22"/>
        <v>9645</v>
      </c>
      <c r="T26" s="482">
        <f t="shared" si="3"/>
        <v>0</v>
      </c>
      <c r="U26" s="458">
        <f t="shared" si="23"/>
        <v>318534</v>
      </c>
      <c r="V26" s="462">
        <f t="shared" si="18"/>
        <v>0</v>
      </c>
      <c r="W26" s="458">
        <f t="shared" si="7"/>
        <v>32049</v>
      </c>
      <c r="X26" s="462">
        <f t="shared" si="25"/>
        <v>0</v>
      </c>
      <c r="Y26" s="458">
        <f t="shared" si="8"/>
        <v>673052</v>
      </c>
      <c r="Z26" s="462">
        <f t="shared" si="24"/>
        <v>0</v>
      </c>
      <c r="AA26" s="458">
        <f t="shared" si="9"/>
        <v>35594</v>
      </c>
      <c r="AB26" s="462">
        <f t="shared" si="19"/>
        <v>0</v>
      </c>
      <c r="AC26" s="458">
        <f t="shared" si="10"/>
        <v>896638</v>
      </c>
      <c r="AD26" s="462">
        <f t="shared" si="31"/>
        <v>0</v>
      </c>
      <c r="AE26" s="485">
        <f t="shared" si="11"/>
        <v>0</v>
      </c>
      <c r="AF26" s="486">
        <f t="shared" si="12"/>
        <v>0</v>
      </c>
      <c r="AG26" s="478">
        <f t="shared" si="27"/>
        <v>0</v>
      </c>
      <c r="AI26" s="479">
        <f>R26-'EDl log'!B24</f>
        <v>-432268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f t="shared" si="32"/>
        <v>32260010</v>
      </c>
      <c r="E27" s="319">
        <f t="shared" si="13"/>
        <v>0</v>
      </c>
      <c r="F27" s="458">
        <f t="shared" si="33"/>
        <v>3865337</v>
      </c>
      <c r="G27" s="320">
        <f>F27-F26</f>
        <v>0</v>
      </c>
      <c r="H27" s="458">
        <f t="shared" si="34"/>
        <v>17663930</v>
      </c>
      <c r="I27" s="320">
        <f t="shared" si="14"/>
        <v>0</v>
      </c>
      <c r="J27" s="458">
        <f t="shared" si="35"/>
        <v>28712882</v>
      </c>
      <c r="K27" s="320">
        <f t="shared" si="15"/>
        <v>0</v>
      </c>
      <c r="L27" s="458">
        <f t="shared" si="36"/>
        <v>23656666</v>
      </c>
      <c r="M27" s="320">
        <f t="shared" si="16"/>
        <v>0</v>
      </c>
      <c r="N27" s="318">
        <f t="shared" si="17"/>
        <v>0</v>
      </c>
      <c r="O27" s="480">
        <f t="shared" si="26"/>
        <v>0</v>
      </c>
      <c r="P27" s="458">
        <f t="shared" si="37"/>
        <v>16331</v>
      </c>
      <c r="Q27" s="462">
        <f t="shared" si="29"/>
        <v>0</v>
      </c>
      <c r="R27" s="462">
        <f t="shared" si="30"/>
        <v>0</v>
      </c>
      <c r="S27" s="458">
        <f t="shared" si="22"/>
        <v>9645</v>
      </c>
      <c r="T27" s="482">
        <f t="shared" si="3"/>
        <v>0</v>
      </c>
      <c r="U27" s="458">
        <f t="shared" si="23"/>
        <v>318534</v>
      </c>
      <c r="V27" s="462">
        <f t="shared" si="18"/>
        <v>0</v>
      </c>
      <c r="W27" s="458">
        <f t="shared" si="7"/>
        <v>32049</v>
      </c>
      <c r="X27" s="462">
        <f t="shared" si="25"/>
        <v>0</v>
      </c>
      <c r="Y27" s="458">
        <f t="shared" si="8"/>
        <v>673052</v>
      </c>
      <c r="Z27" s="462">
        <f t="shared" si="24"/>
        <v>0</v>
      </c>
      <c r="AA27" s="458">
        <f t="shared" si="9"/>
        <v>35594</v>
      </c>
      <c r="AB27" s="462">
        <f t="shared" si="19"/>
        <v>0</v>
      </c>
      <c r="AC27" s="458">
        <f t="shared" si="10"/>
        <v>896638</v>
      </c>
      <c r="AD27" s="462">
        <f t="shared" si="31"/>
        <v>0</v>
      </c>
      <c r="AE27" s="485">
        <f t="shared" si="11"/>
        <v>0</v>
      </c>
      <c r="AF27" s="486">
        <f t="shared" si="12"/>
        <v>0</v>
      </c>
      <c r="AG27" s="478">
        <f t="shared" si="27"/>
        <v>0</v>
      </c>
      <c r="AI27" s="479">
        <f>R27-'EDl log'!B25</f>
        <v>-435726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f t="shared" si="32"/>
        <v>32260010</v>
      </c>
      <c r="E28" s="319">
        <f t="shared" si="13"/>
        <v>0</v>
      </c>
      <c r="F28" s="458">
        <f t="shared" si="33"/>
        <v>3865337</v>
      </c>
      <c r="G28" s="320">
        <f t="shared" si="0"/>
        <v>0</v>
      </c>
      <c r="H28" s="458">
        <f t="shared" si="34"/>
        <v>17663930</v>
      </c>
      <c r="I28" s="320">
        <f t="shared" si="14"/>
        <v>0</v>
      </c>
      <c r="J28" s="458">
        <f t="shared" si="35"/>
        <v>28712882</v>
      </c>
      <c r="K28" s="320">
        <f t="shared" si="15"/>
        <v>0</v>
      </c>
      <c r="L28" s="458">
        <f t="shared" si="36"/>
        <v>23656666</v>
      </c>
      <c r="M28" s="320">
        <f t="shared" si="16"/>
        <v>0</v>
      </c>
      <c r="N28" s="318">
        <f t="shared" si="17"/>
        <v>0</v>
      </c>
      <c r="O28" s="480">
        <f t="shared" si="26"/>
        <v>0</v>
      </c>
      <c r="P28" s="458">
        <f t="shared" si="37"/>
        <v>16331</v>
      </c>
      <c r="Q28" s="462">
        <f t="shared" si="29"/>
        <v>0</v>
      </c>
      <c r="R28" s="462">
        <f t="shared" si="30"/>
        <v>0</v>
      </c>
      <c r="S28" s="458">
        <f t="shared" si="22"/>
        <v>9645</v>
      </c>
      <c r="T28" s="482">
        <f t="shared" si="3"/>
        <v>0</v>
      </c>
      <c r="U28" s="458">
        <f t="shared" si="23"/>
        <v>318534</v>
      </c>
      <c r="V28" s="462">
        <f t="shared" si="18"/>
        <v>0</v>
      </c>
      <c r="W28" s="458">
        <f t="shared" si="7"/>
        <v>32049</v>
      </c>
      <c r="X28" s="462">
        <f t="shared" si="25"/>
        <v>0</v>
      </c>
      <c r="Y28" s="458">
        <f t="shared" si="8"/>
        <v>673052</v>
      </c>
      <c r="Z28" s="462">
        <f t="shared" si="24"/>
        <v>0</v>
      </c>
      <c r="AA28" s="458">
        <f t="shared" si="9"/>
        <v>35594</v>
      </c>
      <c r="AB28" s="462">
        <f t="shared" si="19"/>
        <v>0</v>
      </c>
      <c r="AC28" s="458">
        <f t="shared" si="10"/>
        <v>896638</v>
      </c>
      <c r="AD28" s="462">
        <f t="shared" si="31"/>
        <v>0</v>
      </c>
      <c r="AE28" s="485">
        <f t="shared" si="11"/>
        <v>0</v>
      </c>
      <c r="AF28" s="486">
        <f t="shared" si="12"/>
        <v>0</v>
      </c>
      <c r="AG28" s="478">
        <f t="shared" si="27"/>
        <v>0</v>
      </c>
      <c r="AI28" s="479">
        <f>R28-'EDl log'!B26</f>
        <v>-435726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f t="shared" si="32"/>
        <v>32260010</v>
      </c>
      <c r="E29" s="319">
        <f t="shared" si="13"/>
        <v>0</v>
      </c>
      <c r="F29" s="458">
        <f t="shared" si="33"/>
        <v>3865337</v>
      </c>
      <c r="G29" s="320">
        <f t="shared" si="0"/>
        <v>0</v>
      </c>
      <c r="H29" s="458">
        <f t="shared" si="34"/>
        <v>17663930</v>
      </c>
      <c r="I29" s="320">
        <f t="shared" si="14"/>
        <v>0</v>
      </c>
      <c r="J29" s="458">
        <f t="shared" si="35"/>
        <v>28712882</v>
      </c>
      <c r="K29" s="320">
        <f t="shared" si="15"/>
        <v>0</v>
      </c>
      <c r="L29" s="458">
        <f t="shared" si="36"/>
        <v>23656666</v>
      </c>
      <c r="M29" s="320">
        <f t="shared" si="16"/>
        <v>0</v>
      </c>
      <c r="N29" s="318">
        <f t="shared" si="17"/>
        <v>0</v>
      </c>
      <c r="O29" s="480">
        <f t="shared" si="26"/>
        <v>0</v>
      </c>
      <c r="P29" s="458">
        <f t="shared" si="37"/>
        <v>16331</v>
      </c>
      <c r="Q29" s="462">
        <f t="shared" si="29"/>
        <v>0</v>
      </c>
      <c r="R29" s="462">
        <f t="shared" si="30"/>
        <v>0</v>
      </c>
      <c r="S29" s="458">
        <f t="shared" si="22"/>
        <v>9645</v>
      </c>
      <c r="T29" s="482">
        <f t="shared" si="3"/>
        <v>0</v>
      </c>
      <c r="U29" s="458">
        <f t="shared" si="23"/>
        <v>318534</v>
      </c>
      <c r="V29" s="462">
        <f t="shared" si="18"/>
        <v>0</v>
      </c>
      <c r="W29" s="458">
        <f t="shared" si="7"/>
        <v>32049</v>
      </c>
      <c r="X29" s="462">
        <f t="shared" si="25"/>
        <v>0</v>
      </c>
      <c r="Y29" s="458">
        <f t="shared" si="8"/>
        <v>673052</v>
      </c>
      <c r="Z29" s="462">
        <f t="shared" si="24"/>
        <v>0</v>
      </c>
      <c r="AA29" s="458">
        <f t="shared" si="9"/>
        <v>35594</v>
      </c>
      <c r="AB29" s="462">
        <f t="shared" si="19"/>
        <v>0</v>
      </c>
      <c r="AC29" s="458">
        <f t="shared" si="10"/>
        <v>896638</v>
      </c>
      <c r="AD29" s="462">
        <f t="shared" si="31"/>
        <v>0</v>
      </c>
      <c r="AE29" s="485">
        <f t="shared" si="11"/>
        <v>0</v>
      </c>
      <c r="AF29" s="486">
        <f t="shared" si="12"/>
        <v>0</v>
      </c>
      <c r="AG29" s="478">
        <f t="shared" si="27"/>
        <v>0</v>
      </c>
      <c r="AI29" s="479">
        <f>R29-'EDl log'!B27</f>
        <v>-435726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f t="shared" si="32"/>
        <v>32260010</v>
      </c>
      <c r="E30" s="319">
        <f t="shared" si="13"/>
        <v>0</v>
      </c>
      <c r="F30" s="458">
        <f t="shared" si="33"/>
        <v>3865337</v>
      </c>
      <c r="G30" s="320">
        <f t="shared" si="0"/>
        <v>0</v>
      </c>
      <c r="H30" s="458">
        <f t="shared" si="34"/>
        <v>17663930</v>
      </c>
      <c r="I30" s="320">
        <f t="shared" si="14"/>
        <v>0</v>
      </c>
      <c r="J30" s="458">
        <f t="shared" si="35"/>
        <v>28712882</v>
      </c>
      <c r="K30" s="320">
        <f t="shared" si="15"/>
        <v>0</v>
      </c>
      <c r="L30" s="458">
        <f t="shared" si="36"/>
        <v>23656666</v>
      </c>
      <c r="M30" s="320">
        <f t="shared" si="16"/>
        <v>0</v>
      </c>
      <c r="N30" s="318">
        <f t="shared" si="17"/>
        <v>0</v>
      </c>
      <c r="O30" s="480">
        <f t="shared" si="26"/>
        <v>0</v>
      </c>
      <c r="P30" s="458">
        <f t="shared" si="37"/>
        <v>16331</v>
      </c>
      <c r="Q30" s="462">
        <f t="shared" si="29"/>
        <v>0</v>
      </c>
      <c r="R30" s="462">
        <f t="shared" si="30"/>
        <v>0</v>
      </c>
      <c r="S30" s="458">
        <f t="shared" si="22"/>
        <v>9645</v>
      </c>
      <c r="T30" s="482">
        <f t="shared" si="3"/>
        <v>0</v>
      </c>
      <c r="U30" s="458">
        <f t="shared" si="23"/>
        <v>318534</v>
      </c>
      <c r="V30" s="462">
        <f t="shared" si="18"/>
        <v>0</v>
      </c>
      <c r="W30" s="458">
        <f t="shared" si="7"/>
        <v>32049</v>
      </c>
      <c r="X30" s="483">
        <f t="shared" si="25"/>
        <v>0</v>
      </c>
      <c r="Y30" s="458">
        <f t="shared" si="8"/>
        <v>673052</v>
      </c>
      <c r="Z30" s="462">
        <f t="shared" si="24"/>
        <v>0</v>
      </c>
      <c r="AA30" s="458">
        <f t="shared" si="9"/>
        <v>35594</v>
      </c>
      <c r="AB30" s="462">
        <f t="shared" si="19"/>
        <v>0</v>
      </c>
      <c r="AC30" s="458">
        <f t="shared" si="10"/>
        <v>896638</v>
      </c>
      <c r="AD30" s="462">
        <f t="shared" si="31"/>
        <v>0</v>
      </c>
      <c r="AE30" s="485">
        <f t="shared" si="11"/>
        <v>0</v>
      </c>
      <c r="AF30" s="486">
        <f t="shared" si="12"/>
        <v>0</v>
      </c>
      <c r="AG30" s="478">
        <f t="shared" si="27"/>
        <v>0</v>
      </c>
      <c r="AI30" s="479">
        <f>R30-'EDl log'!B28</f>
        <v>-435726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si="32"/>
        <v>32260010</v>
      </c>
      <c r="E31" s="319">
        <f t="shared" si="13"/>
        <v>0</v>
      </c>
      <c r="F31" s="458">
        <f t="shared" si="33"/>
        <v>3865337</v>
      </c>
      <c r="G31" s="320">
        <f t="shared" si="0"/>
        <v>0</v>
      </c>
      <c r="H31" s="458">
        <f t="shared" si="34"/>
        <v>17663930</v>
      </c>
      <c r="I31" s="320">
        <f t="shared" si="14"/>
        <v>0</v>
      </c>
      <c r="J31" s="458">
        <f t="shared" si="35"/>
        <v>28712882</v>
      </c>
      <c r="K31" s="320">
        <f t="shared" si="15"/>
        <v>0</v>
      </c>
      <c r="L31" s="458">
        <f t="shared" si="36"/>
        <v>23656666</v>
      </c>
      <c r="M31" s="320">
        <f t="shared" si="16"/>
        <v>0</v>
      </c>
      <c r="N31" s="318">
        <f t="shared" si="17"/>
        <v>0</v>
      </c>
      <c r="O31" s="480">
        <f t="shared" si="26"/>
        <v>0</v>
      </c>
      <c r="P31" s="458">
        <f t="shared" si="37"/>
        <v>16331</v>
      </c>
      <c r="Q31" s="462">
        <f t="shared" si="29"/>
        <v>0</v>
      </c>
      <c r="R31" s="462">
        <f t="shared" si="30"/>
        <v>0</v>
      </c>
      <c r="S31" s="458">
        <f t="shared" si="22"/>
        <v>9645</v>
      </c>
      <c r="T31" s="482">
        <f t="shared" si="3"/>
        <v>0</v>
      </c>
      <c r="U31" s="458">
        <f t="shared" si="23"/>
        <v>318534</v>
      </c>
      <c r="V31" s="462">
        <f t="shared" si="18"/>
        <v>0</v>
      </c>
      <c r="W31" s="458">
        <f t="shared" si="7"/>
        <v>32049</v>
      </c>
      <c r="X31" s="483">
        <f t="shared" si="25"/>
        <v>0</v>
      </c>
      <c r="Y31" s="458">
        <f t="shared" si="8"/>
        <v>673052</v>
      </c>
      <c r="Z31" s="484">
        <f>Y31-Y30</f>
        <v>0</v>
      </c>
      <c r="AA31" s="458">
        <f t="shared" si="9"/>
        <v>35594</v>
      </c>
      <c r="AB31" s="462">
        <f t="shared" si="19"/>
        <v>0</v>
      </c>
      <c r="AC31" s="458">
        <f t="shared" si="10"/>
        <v>896638</v>
      </c>
      <c r="AD31" s="462">
        <f t="shared" si="31"/>
        <v>0</v>
      </c>
      <c r="AE31" s="485">
        <f t="shared" si="11"/>
        <v>0</v>
      </c>
      <c r="AF31" s="486">
        <f t="shared" si="12"/>
        <v>0</v>
      </c>
      <c r="AG31" s="478">
        <f t="shared" si="27"/>
        <v>0</v>
      </c>
      <c r="AI31" s="479">
        <f>R31-'EDl log'!B29</f>
        <v>-435726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32"/>
        <v>32260010</v>
      </c>
      <c r="E32" s="319">
        <f t="shared" si="13"/>
        <v>0</v>
      </c>
      <c r="F32" s="458">
        <f t="shared" si="33"/>
        <v>3865337</v>
      </c>
      <c r="G32" s="320">
        <f>F32-F31</f>
        <v>0</v>
      </c>
      <c r="H32" s="458">
        <f t="shared" si="34"/>
        <v>17663930</v>
      </c>
      <c r="I32" s="320">
        <f>H32-H31</f>
        <v>0</v>
      </c>
      <c r="J32" s="458">
        <f t="shared" si="35"/>
        <v>28712882</v>
      </c>
      <c r="K32" s="320">
        <f>J32-J31</f>
        <v>0</v>
      </c>
      <c r="L32" s="458">
        <f t="shared" si="36"/>
        <v>23656666</v>
      </c>
      <c r="M32" s="320">
        <f>L32-L31</f>
        <v>0</v>
      </c>
      <c r="N32" s="318">
        <f>M32+K32+I32+G32+E32</f>
        <v>0</v>
      </c>
      <c r="O32" s="480">
        <f t="shared" si="26"/>
        <v>0</v>
      </c>
      <c r="P32" s="458">
        <f t="shared" si="37"/>
        <v>16331</v>
      </c>
      <c r="Q32" s="462">
        <f t="shared" si="29"/>
        <v>0</v>
      </c>
      <c r="R32" s="462">
        <f t="shared" si="30"/>
        <v>0</v>
      </c>
      <c r="S32" s="458">
        <f t="shared" si="22"/>
        <v>9645</v>
      </c>
      <c r="T32" s="482">
        <f t="shared" si="3"/>
        <v>0</v>
      </c>
      <c r="U32" s="458">
        <f t="shared" si="23"/>
        <v>318534</v>
      </c>
      <c r="V32" s="462">
        <f t="shared" si="18"/>
        <v>0</v>
      </c>
      <c r="W32" s="458">
        <f t="shared" si="7"/>
        <v>32049</v>
      </c>
      <c r="X32" s="462">
        <f t="shared" si="25"/>
        <v>0</v>
      </c>
      <c r="Y32" s="458">
        <f t="shared" si="8"/>
        <v>673052</v>
      </c>
      <c r="Z32" s="484">
        <f>Y32-Y31</f>
        <v>0</v>
      </c>
      <c r="AA32" s="458">
        <f t="shared" si="9"/>
        <v>35594</v>
      </c>
      <c r="AB32" s="462">
        <f t="shared" si="19"/>
        <v>0</v>
      </c>
      <c r="AC32" s="458">
        <f t="shared" si="10"/>
        <v>896638</v>
      </c>
      <c r="AD32" s="462">
        <f t="shared" si="31"/>
        <v>0</v>
      </c>
      <c r="AE32" s="485">
        <f t="shared" si="11"/>
        <v>0</v>
      </c>
      <c r="AF32" s="486">
        <f>V32+Z32+AD32</f>
        <v>0</v>
      </c>
      <c r="AG32" s="478">
        <f t="shared" si="27"/>
        <v>0</v>
      </c>
      <c r="AI32" s="479">
        <f>R32-'EDl log'!B30</f>
        <v>-435726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32"/>
        <v>32260010</v>
      </c>
      <c r="E33" s="319">
        <f t="shared" ref="E33" si="38">D33-D32</f>
        <v>0</v>
      </c>
      <c r="F33" s="458">
        <f t="shared" si="33"/>
        <v>3865337</v>
      </c>
      <c r="G33" s="320">
        <f>F33-F32</f>
        <v>0</v>
      </c>
      <c r="H33" s="458">
        <f t="shared" si="34"/>
        <v>17663930</v>
      </c>
      <c r="I33" s="320">
        <f>H33-H32</f>
        <v>0</v>
      </c>
      <c r="J33" s="458">
        <f t="shared" si="35"/>
        <v>28712882</v>
      </c>
      <c r="K33" s="320">
        <f>J33-J32</f>
        <v>0</v>
      </c>
      <c r="L33" s="458">
        <f t="shared" si="36"/>
        <v>23656666</v>
      </c>
      <c r="M33" s="320">
        <f>L33-L32</f>
        <v>0</v>
      </c>
      <c r="N33" s="318">
        <f>M33+K33+I33+G33+E33</f>
        <v>0</v>
      </c>
      <c r="O33" s="480">
        <f t="shared" ref="O33" si="39">IF(B33&gt;0,N33/B33,0)</f>
        <v>0</v>
      </c>
      <c r="P33" s="458">
        <f t="shared" si="37"/>
        <v>16331</v>
      </c>
      <c r="Q33" s="462">
        <f t="shared" si="29"/>
        <v>0</v>
      </c>
      <c r="R33" s="462">
        <f t="shared" si="30"/>
        <v>0</v>
      </c>
      <c r="S33" s="458">
        <f t="shared" si="22"/>
        <v>9645</v>
      </c>
      <c r="T33" s="482">
        <f t="shared" ref="T33" si="40">S33-S32</f>
        <v>0</v>
      </c>
      <c r="U33" s="458">
        <f t="shared" si="23"/>
        <v>318534</v>
      </c>
      <c r="V33" s="462">
        <f t="shared" ref="V33" si="41">U33-U32</f>
        <v>0</v>
      </c>
      <c r="W33" s="458">
        <f t="shared" si="7"/>
        <v>32049</v>
      </c>
      <c r="X33" s="462">
        <f t="shared" ref="X33" si="42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35594</v>
      </c>
      <c r="AB33" s="462">
        <f t="shared" ref="AB33" si="43">AA33-AA32</f>
        <v>0</v>
      </c>
      <c r="AC33" s="458">
        <f t="shared" si="10"/>
        <v>896638</v>
      </c>
      <c r="AD33" s="462">
        <f t="shared" ref="AD33" si="44">AC33-AC32</f>
        <v>0</v>
      </c>
      <c r="AE33" s="485">
        <f t="shared" ref="AE33" si="45">AB33+X33+T33</f>
        <v>0</v>
      </c>
      <c r="AF33" s="486">
        <f>V33+Z33+AD33</f>
        <v>0</v>
      </c>
      <c r="AG33" s="478">
        <f t="shared" ref="AG33" si="46">IF(AE33&gt;0,AF33/AE33,0)</f>
        <v>0</v>
      </c>
      <c r="AI33" s="479">
        <f>R33-'EDl log'!B31</f>
        <v>-435726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X1" zoomScale="90" zoomScaleNormal="90" workbookViewId="0">
      <pane ySplit="1" topLeftCell="A25" activePane="bottomLeft" state="frozen"/>
      <selection activeCell="K1" sqref="K1"/>
      <selection pane="bottomLeft" activeCell="AS26" sqref="AS26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25" t="s">
        <v>2</v>
      </c>
      <c r="G1" s="626"/>
      <c r="H1" s="626"/>
      <c r="I1" s="627"/>
      <c r="J1" s="290">
        <f>J36</f>
        <v>1</v>
      </c>
      <c r="K1" s="628" t="s">
        <v>4</v>
      </c>
      <c r="L1" s="629"/>
      <c r="M1" s="629"/>
      <c r="N1" s="629"/>
      <c r="O1" s="630"/>
      <c r="P1" s="619" t="s">
        <v>6</v>
      </c>
      <c r="Q1" s="620"/>
      <c r="R1" s="620"/>
      <c r="S1" s="620"/>
      <c r="T1" s="621"/>
      <c r="U1" s="407"/>
      <c r="V1" s="27" t="s">
        <v>104</v>
      </c>
      <c r="W1" s="408"/>
      <c r="X1" s="619" t="s">
        <v>8</v>
      </c>
      <c r="Y1" s="620"/>
      <c r="Z1" s="620"/>
      <c r="AA1" s="620"/>
      <c r="AB1" s="620"/>
      <c r="AC1" s="622" t="s">
        <v>10</v>
      </c>
      <c r="AD1" s="623"/>
      <c r="AE1" s="623"/>
      <c r="AF1" s="624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7"/>
      <c r="R2" s="618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5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2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6">
        <f t="shared" si="25"/>
        <v>350</v>
      </c>
      <c r="AJ7" s="326">
        <f>-tanks!AW8</f>
        <v>350</v>
      </c>
      <c r="AK7" s="326">
        <f t="shared" si="26"/>
        <v>0</v>
      </c>
      <c r="AL7" s="326">
        <f t="shared" si="8"/>
        <v>0</v>
      </c>
      <c r="AM7" s="326">
        <f t="shared" si="27"/>
        <v>8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39">(AR7/100)*3000</f>
        <v>2070</v>
      </c>
      <c r="AT7" s="328">
        <f t="shared" ref="AT7:AT23" si="40">SUM(AO7+AQ7+AS7)</f>
        <v>6030</v>
      </c>
      <c r="AU7" s="328">
        <f t="shared" ref="AU7:AU34" si="41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5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2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7"/>
        <v>0</v>
      </c>
      <c r="AH8" s="62">
        <f t="shared" si="38"/>
        <v>303</v>
      </c>
      <c r="AI8" s="326">
        <f t="shared" si="25"/>
        <v>303</v>
      </c>
      <c r="AJ8" s="326">
        <f>-tanks!AW9</f>
        <v>303</v>
      </c>
      <c r="AK8" s="326">
        <f t="shared" si="26"/>
        <v>0</v>
      </c>
      <c r="AL8" s="326">
        <f t="shared" si="8"/>
        <v>0</v>
      </c>
      <c r="AM8" s="326">
        <f t="shared" si="27"/>
        <v>5</v>
      </c>
      <c r="AN8" s="64">
        <v>63</v>
      </c>
      <c r="AO8" s="328">
        <f t="shared" si="29"/>
        <v>1890</v>
      </c>
      <c r="AP8" s="64">
        <v>69</v>
      </c>
      <c r="AQ8" s="328">
        <f t="shared" si="31"/>
        <v>2070</v>
      </c>
      <c r="AR8" s="64">
        <f t="shared" si="32"/>
        <v>69</v>
      </c>
      <c r="AS8" s="328">
        <f t="shared" si="39"/>
        <v>2070</v>
      </c>
      <c r="AT8" s="328">
        <f t="shared" si="40"/>
        <v>6030</v>
      </c>
      <c r="AU8" s="328">
        <f t="shared" si="41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v>216</v>
      </c>
      <c r="C9" s="64">
        <v>222</v>
      </c>
      <c r="D9" s="45">
        <f t="shared" si="34"/>
        <v>2.3000000000000114</v>
      </c>
      <c r="E9" s="45">
        <f t="shared" si="9"/>
        <v>19.274000000000097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5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2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7"/>
        <v>0</v>
      </c>
      <c r="AH9" s="62">
        <f t="shared" si="38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0"/>
        <v>6030</v>
      </c>
      <c r="AU9" s="328">
        <f t="shared" si="41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v>211</v>
      </c>
      <c r="C10" s="64">
        <v>218</v>
      </c>
      <c r="D10" s="45">
        <f t="shared" si="34"/>
        <v>4</v>
      </c>
      <c r="E10" s="45">
        <f t="shared" si="9"/>
        <v>33.520000000000003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5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2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7"/>
        <v>0</v>
      </c>
      <c r="AH10" s="62">
        <f t="shared" si="38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39"/>
        <v>2070</v>
      </c>
      <c r="AT10" s="328">
        <f t="shared" si="40"/>
        <v>6030</v>
      </c>
      <c r="AU10" s="328">
        <f t="shared" si="41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v>207</v>
      </c>
      <c r="C11" s="64">
        <v>213</v>
      </c>
      <c r="D11" s="45">
        <f t="shared" si="34"/>
        <v>5</v>
      </c>
      <c r="E11" s="45">
        <f t="shared" si="9"/>
        <v>41.900000000000006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2">Q11-Q10</f>
        <v>0</v>
      </c>
      <c r="S11" s="52">
        <f t="shared" si="5"/>
        <v>0</v>
      </c>
      <c r="T11" s="67">
        <f t="shared" si="35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2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7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39"/>
        <v>2070</v>
      </c>
      <c r="AT11" s="328">
        <f t="shared" si="40"/>
        <v>6030</v>
      </c>
      <c r="AU11" s="328">
        <f t="shared" si="41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v>197.2</v>
      </c>
      <c r="C12" s="64">
        <v>204</v>
      </c>
      <c r="D12" s="45">
        <f t="shared" si="34"/>
        <v>9</v>
      </c>
      <c r="E12" s="45">
        <f t="shared" si="9"/>
        <v>75.42</v>
      </c>
      <c r="F12" s="64"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2"/>
        <v>0</v>
      </c>
      <c r="S12" s="52">
        <f t="shared" si="5"/>
        <v>0</v>
      </c>
      <c r="T12" s="67">
        <f t="shared" si="35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2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7"/>
        <v>0</v>
      </c>
      <c r="AH12" s="62">
        <f t="shared" si="38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39"/>
        <v>2070</v>
      </c>
      <c r="AT12" s="328">
        <f t="shared" si="40"/>
        <v>6030</v>
      </c>
      <c r="AU12" s="328">
        <f t="shared" si="41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v>194</v>
      </c>
      <c r="C13" s="64">
        <v>201</v>
      </c>
      <c r="D13" s="45">
        <f t="shared" si="34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2"/>
        <v>0</v>
      </c>
      <c r="S13" s="52">
        <f t="shared" si="5"/>
        <v>0</v>
      </c>
      <c r="T13" s="67">
        <f t="shared" si="35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2">
        <f t="shared" si="6"/>
        <v>0</v>
      </c>
      <c r="AB13" s="292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7"/>
        <v>0</v>
      </c>
      <c r="AH13" s="62">
        <f t="shared" si="38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v>57</v>
      </c>
      <c r="AQ13" s="328">
        <f t="shared" si="31"/>
        <v>1709.9999999999998</v>
      </c>
      <c r="AR13" s="64">
        <f t="shared" si="32"/>
        <v>69</v>
      </c>
      <c r="AS13" s="328">
        <f t="shared" si="39"/>
        <v>2070</v>
      </c>
      <c r="AT13" s="328">
        <f t="shared" si="40"/>
        <v>5670</v>
      </c>
      <c r="AU13" s="328">
        <f t="shared" si="41"/>
        <v>360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v>245</v>
      </c>
      <c r="C14" s="64">
        <v>250</v>
      </c>
      <c r="D14" s="45">
        <f t="shared" si="34"/>
        <v>-49</v>
      </c>
      <c r="E14" s="45">
        <f t="shared" si="9"/>
        <v>-410.62000000000006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2"/>
        <v>0</v>
      </c>
      <c r="S14" s="52">
        <f t="shared" si="5"/>
        <v>0</v>
      </c>
      <c r="T14" s="67">
        <f t="shared" si="35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2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7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57</v>
      </c>
      <c r="AQ14" s="328">
        <f t="shared" si="31"/>
        <v>1709.9999999999998</v>
      </c>
      <c r="AR14" s="64">
        <f t="shared" si="32"/>
        <v>69</v>
      </c>
      <c r="AS14" s="328">
        <f t="shared" si="39"/>
        <v>2070</v>
      </c>
      <c r="AT14" s="328">
        <f t="shared" si="40"/>
        <v>5670</v>
      </c>
      <c r="AU14" s="328">
        <f t="shared" si="41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v>241</v>
      </c>
      <c r="C15" s="64">
        <v>247</v>
      </c>
      <c r="D15" s="45">
        <f t="shared" si="34"/>
        <v>3</v>
      </c>
      <c r="E15" s="45">
        <f t="shared" si="9"/>
        <v>25.14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2"/>
        <v>0</v>
      </c>
      <c r="S15" s="52">
        <f t="shared" si="5"/>
        <v>0</v>
      </c>
      <c r="T15" s="67">
        <f t="shared" si="35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2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7"/>
        <v>0</v>
      </c>
      <c r="AH15" s="62">
        <f t="shared" si="38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57</v>
      </c>
      <c r="AQ15" s="328">
        <f t="shared" si="31"/>
        <v>1709.9999999999998</v>
      </c>
      <c r="AR15" s="64">
        <f t="shared" si="32"/>
        <v>69</v>
      </c>
      <c r="AS15" s="328">
        <f t="shared" si="39"/>
        <v>2070</v>
      </c>
      <c r="AT15" s="328">
        <f t="shared" si="40"/>
        <v>5670</v>
      </c>
      <c r="AU15" s="328">
        <f t="shared" si="41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v>238</v>
      </c>
      <c r="C16" s="64">
        <v>243.2</v>
      </c>
      <c r="D16" s="45">
        <f t="shared" si="34"/>
        <v>3.8000000000000114</v>
      </c>
      <c r="E16" s="45">
        <f t="shared" si="9"/>
        <v>31.844000000000097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2"/>
        <v>0</v>
      </c>
      <c r="S16" s="52">
        <f t="shared" si="5"/>
        <v>0</v>
      </c>
      <c r="T16" s="67">
        <f t="shared" si="35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2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7"/>
        <v>0</v>
      </c>
      <c r="AH16" s="62">
        <f t="shared" si="38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57</v>
      </c>
      <c r="AQ16" s="328">
        <f t="shared" si="31"/>
        <v>1709.9999999999998</v>
      </c>
      <c r="AR16" s="64">
        <f t="shared" si="32"/>
        <v>69</v>
      </c>
      <c r="AS16" s="328">
        <f t="shared" si="39"/>
        <v>2070</v>
      </c>
      <c r="AT16" s="328">
        <f t="shared" si="40"/>
        <v>5670</v>
      </c>
      <c r="AU16" s="328">
        <f t="shared" si="41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v>235</v>
      </c>
      <c r="C17" s="64">
        <v>241.2</v>
      </c>
      <c r="D17" s="45">
        <f t="shared" si="34"/>
        <v>2</v>
      </c>
      <c r="E17" s="45">
        <f t="shared" si="9"/>
        <v>16.760000000000002</v>
      </c>
      <c r="F17" s="64"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2"/>
        <v>0</v>
      </c>
      <c r="S17" s="52">
        <f t="shared" si="5"/>
        <v>0</v>
      </c>
      <c r="T17" s="67">
        <f t="shared" si="35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2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7"/>
        <v>0</v>
      </c>
      <c r="AH17" s="62">
        <f t="shared" si="38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v>54</v>
      </c>
      <c r="AQ17" s="328">
        <f t="shared" si="31"/>
        <v>1620</v>
      </c>
      <c r="AR17" s="64">
        <f t="shared" si="32"/>
        <v>69</v>
      </c>
      <c r="AS17" s="328">
        <f t="shared" si="39"/>
        <v>2070</v>
      </c>
      <c r="AT17" s="328">
        <f t="shared" si="40"/>
        <v>5580</v>
      </c>
      <c r="AU17" s="328">
        <f t="shared" si="41"/>
        <v>90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v>233.4</v>
      </c>
      <c r="C18" s="64">
        <v>239</v>
      </c>
      <c r="D18" s="45">
        <f t="shared" si="34"/>
        <v>2.1999999999999886</v>
      </c>
      <c r="E18" s="45">
        <f t="shared" si="9"/>
        <v>18.435999999999908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2"/>
        <v>0</v>
      </c>
      <c r="S18" s="52">
        <f t="shared" si="5"/>
        <v>0</v>
      </c>
      <c r="T18" s="67">
        <f t="shared" si="35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2">
        <f t="shared" ref="AB18:AB23" si="43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7"/>
        <v>0</v>
      </c>
      <c r="AH18" s="62">
        <f t="shared" si="38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v>63</v>
      </c>
      <c r="AO18" s="328">
        <f t="shared" si="29"/>
        <v>1890</v>
      </c>
      <c r="AP18" s="64">
        <v>54</v>
      </c>
      <c r="AQ18" s="328">
        <f t="shared" si="31"/>
        <v>1620</v>
      </c>
      <c r="AR18" s="64">
        <v>69</v>
      </c>
      <c r="AS18" s="328">
        <f t="shared" si="39"/>
        <v>2070</v>
      </c>
      <c r="AT18" s="328">
        <f t="shared" si="40"/>
        <v>5580</v>
      </c>
      <c r="AU18" s="328">
        <f t="shared" si="41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v>229</v>
      </c>
      <c r="C19" s="64">
        <v>236</v>
      </c>
      <c r="D19" s="45">
        <f t="shared" si="34"/>
        <v>3</v>
      </c>
      <c r="E19" s="45">
        <f t="shared" si="9"/>
        <v>25.14</v>
      </c>
      <c r="F19" s="64"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2"/>
        <v>0</v>
      </c>
      <c r="S19" s="52">
        <f t="shared" si="5"/>
        <v>0</v>
      </c>
      <c r="T19" s="67">
        <f t="shared" si="35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2">
        <f t="shared" si="43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7"/>
        <v>0</v>
      </c>
      <c r="AH19" s="62">
        <f t="shared" si="38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v>63</v>
      </c>
      <c r="AO19" s="328">
        <f t="shared" si="29"/>
        <v>1890</v>
      </c>
      <c r="AP19" s="64">
        <v>53</v>
      </c>
      <c r="AQ19" s="328">
        <f t="shared" si="31"/>
        <v>1590</v>
      </c>
      <c r="AR19" s="64">
        <v>69</v>
      </c>
      <c r="AS19" s="328">
        <f t="shared" si="39"/>
        <v>2070</v>
      </c>
      <c r="AT19" s="328">
        <f t="shared" si="40"/>
        <v>5550</v>
      </c>
      <c r="AU19" s="328">
        <f t="shared" si="41"/>
        <v>30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v>226.4</v>
      </c>
      <c r="C20" s="64">
        <v>232.4</v>
      </c>
      <c r="D20" s="45">
        <f>C19-C20</f>
        <v>3.5999999999999943</v>
      </c>
      <c r="E20" s="45">
        <f t="shared" si="9"/>
        <v>30.167999999999957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2"/>
        <v>0</v>
      </c>
      <c r="S20" s="52">
        <f t="shared" si="5"/>
        <v>0</v>
      </c>
      <c r="T20" s="67">
        <f t="shared" si="35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2">
        <f t="shared" si="43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7"/>
        <v>0</v>
      </c>
      <c r="AH20" s="62">
        <f t="shared" si="38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v>52</v>
      </c>
      <c r="AQ20" s="328">
        <f t="shared" si="31"/>
        <v>1560</v>
      </c>
      <c r="AR20" s="64">
        <v>68</v>
      </c>
      <c r="AS20" s="328">
        <f t="shared" si="39"/>
        <v>2040.0000000000002</v>
      </c>
      <c r="AT20" s="328">
        <f t="shared" si="40"/>
        <v>5490</v>
      </c>
      <c r="AU20" s="328">
        <f t="shared" si="41"/>
        <v>60</v>
      </c>
      <c r="AV20" s="275"/>
      <c r="AW20" s="275"/>
      <c r="AX20" s="321">
        <f t="shared" si="33"/>
        <v>0.1</v>
      </c>
    </row>
    <row r="21" spans="1:50">
      <c r="A21" s="63">
        <f>ELEC!C19</f>
        <v>44091</v>
      </c>
      <c r="B21" s="64">
        <v>225</v>
      </c>
      <c r="C21" s="64">
        <v>231</v>
      </c>
      <c r="D21" s="45">
        <f t="shared" ref="D21:D31" si="44">C20-C21</f>
        <v>1.4000000000000057</v>
      </c>
      <c r="E21" s="45">
        <f t="shared" si="9"/>
        <v>11.732000000000049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2"/>
        <v>0</v>
      </c>
      <c r="S21" s="52">
        <f t="shared" si="5"/>
        <v>0</v>
      </c>
      <c r="T21" s="67">
        <f t="shared" si="35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2">
        <f t="shared" si="43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7"/>
        <v>0</v>
      </c>
      <c r="AH21" s="62">
        <f t="shared" si="38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5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52</v>
      </c>
      <c r="AQ21" s="328">
        <f t="shared" si="31"/>
        <v>1560</v>
      </c>
      <c r="AR21" s="64">
        <f t="shared" si="32"/>
        <v>68</v>
      </c>
      <c r="AS21" s="328">
        <f t="shared" si="39"/>
        <v>2040.0000000000002</v>
      </c>
      <c r="AT21" s="328">
        <f t="shared" si="40"/>
        <v>5490</v>
      </c>
      <c r="AU21" s="328">
        <f t="shared" si="41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v>223</v>
      </c>
      <c r="C22" s="64">
        <v>229.1</v>
      </c>
      <c r="D22" s="45">
        <f t="shared" si="44"/>
        <v>1.9000000000000057</v>
      </c>
      <c r="E22" s="45">
        <f t="shared" si="9"/>
        <v>15.922000000000049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2"/>
        <v>0</v>
      </c>
      <c r="S22" s="52">
        <f t="shared" si="5"/>
        <v>0</v>
      </c>
      <c r="T22" s="67">
        <f t="shared" si="35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2">
        <f t="shared" si="43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7"/>
        <v>0</v>
      </c>
      <c r="AH22" s="62">
        <f t="shared" si="38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5"/>
        <v>0</v>
      </c>
      <c r="AM22" s="326">
        <f t="shared" si="27"/>
        <v>0</v>
      </c>
      <c r="AN22" s="64">
        <v>62</v>
      </c>
      <c r="AO22" s="328">
        <f t="shared" si="29"/>
        <v>1860</v>
      </c>
      <c r="AP22" s="64">
        <f t="shared" si="30"/>
        <v>52</v>
      </c>
      <c r="AQ22" s="328">
        <f t="shared" si="31"/>
        <v>1560</v>
      </c>
      <c r="AR22" s="64">
        <f t="shared" si="32"/>
        <v>68</v>
      </c>
      <c r="AS22" s="328">
        <f t="shared" si="39"/>
        <v>2040.0000000000002</v>
      </c>
      <c r="AT22" s="328">
        <f t="shared" si="40"/>
        <v>5460</v>
      </c>
      <c r="AU22" s="328">
        <f t="shared" si="41"/>
        <v>30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v>220</v>
      </c>
      <c r="C23" s="64">
        <v>226</v>
      </c>
      <c r="D23" s="45">
        <f t="shared" si="44"/>
        <v>3.0999999999999943</v>
      </c>
      <c r="E23" s="45">
        <f t="shared" si="9"/>
        <v>25.977999999999955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2"/>
        <v>0</v>
      </c>
      <c r="S23" s="52">
        <f t="shared" si="5"/>
        <v>0</v>
      </c>
      <c r="T23" s="67">
        <f t="shared" si="35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2">
        <f t="shared" si="43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7"/>
        <v>0</v>
      </c>
      <c r="AH23" s="62">
        <f t="shared" si="38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5"/>
        <v>0</v>
      </c>
      <c r="AM23" s="326">
        <f t="shared" si="27"/>
        <v>0</v>
      </c>
      <c r="AN23" s="64">
        <f t="shared" si="28"/>
        <v>62</v>
      </c>
      <c r="AO23" s="328">
        <f t="shared" si="29"/>
        <v>1860</v>
      </c>
      <c r="AP23" s="64">
        <f t="shared" si="30"/>
        <v>52</v>
      </c>
      <c r="AQ23" s="328">
        <f t="shared" si="31"/>
        <v>1560</v>
      </c>
      <c r="AR23" s="64">
        <f t="shared" si="32"/>
        <v>68</v>
      </c>
      <c r="AS23" s="328">
        <f t="shared" si="39"/>
        <v>2040.0000000000002</v>
      </c>
      <c r="AT23" s="328">
        <f t="shared" si="40"/>
        <v>5460</v>
      </c>
      <c r="AU23" s="328">
        <f t="shared" si="41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v>218</v>
      </c>
      <c r="C24" s="64">
        <v>224</v>
      </c>
      <c r="D24" s="45">
        <f t="shared" si="44"/>
        <v>2</v>
      </c>
      <c r="E24" s="45">
        <f t="shared" si="9"/>
        <v>16.760000000000002</v>
      </c>
      <c r="F24" s="64"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2"/>
        <v>0</v>
      </c>
      <c r="S24" s="52">
        <f t="shared" si="5"/>
        <v>0</v>
      </c>
      <c r="T24" s="67">
        <f t="shared" si="35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2">
        <f t="shared" ref="AB24:AB34" si="46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7"/>
        <v>0</v>
      </c>
      <c r="AH24" s="62">
        <f t="shared" si="38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5"/>
        <v>0</v>
      </c>
      <c r="AM24" s="326">
        <f t="shared" si="27"/>
        <v>0</v>
      </c>
      <c r="AN24" s="64">
        <v>62</v>
      </c>
      <c r="AO24" s="328">
        <f t="shared" si="29"/>
        <v>1860</v>
      </c>
      <c r="AP24" s="64">
        <v>51</v>
      </c>
      <c r="AQ24" s="328">
        <f t="shared" si="31"/>
        <v>1530</v>
      </c>
      <c r="AR24" s="64">
        <v>68</v>
      </c>
      <c r="AS24" s="328">
        <f t="shared" si="39"/>
        <v>2040.0000000000002</v>
      </c>
      <c r="AT24" s="328">
        <f t="shared" ref="AT24:AT34" si="47">SUM(AO24+AQ24+AS24)</f>
        <v>5430</v>
      </c>
      <c r="AU24" s="328">
        <f t="shared" si="41"/>
        <v>30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v>215</v>
      </c>
      <c r="C25" s="64">
        <v>221</v>
      </c>
      <c r="D25" s="45">
        <f t="shared" si="44"/>
        <v>3</v>
      </c>
      <c r="E25" s="45">
        <f t="shared" si="9"/>
        <v>25.14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2"/>
        <v>0</v>
      </c>
      <c r="S25" s="52">
        <f t="shared" si="5"/>
        <v>0</v>
      </c>
      <c r="T25" s="67">
        <f t="shared" si="35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2">
        <f t="shared" si="46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7"/>
        <v>0</v>
      </c>
      <c r="AH25" s="62">
        <f t="shared" si="38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5"/>
        <v>0</v>
      </c>
      <c r="AM25" s="326">
        <f t="shared" si="27"/>
        <v>0</v>
      </c>
      <c r="AN25" s="64">
        <f t="shared" si="28"/>
        <v>62</v>
      </c>
      <c r="AO25" s="328">
        <f t="shared" si="29"/>
        <v>1860</v>
      </c>
      <c r="AP25" s="64">
        <f t="shared" si="30"/>
        <v>51</v>
      </c>
      <c r="AQ25" s="328">
        <f t="shared" ref="AQ25:AQ34" si="48">(AP25/100)*3000</f>
        <v>1530</v>
      </c>
      <c r="AR25" s="64">
        <f t="shared" si="32"/>
        <v>68</v>
      </c>
      <c r="AS25" s="328">
        <f t="shared" si="39"/>
        <v>2040.0000000000002</v>
      </c>
      <c r="AT25" s="328">
        <f t="shared" si="47"/>
        <v>5430</v>
      </c>
      <c r="AU25" s="328">
        <f t="shared" si="41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v>211</v>
      </c>
      <c r="C26" s="64">
        <v>217</v>
      </c>
      <c r="D26" s="45">
        <f t="shared" si="44"/>
        <v>4</v>
      </c>
      <c r="E26" s="45">
        <f t="shared" si="9"/>
        <v>33.520000000000003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2"/>
        <v>0</v>
      </c>
      <c r="S26" s="52">
        <f t="shared" si="5"/>
        <v>0</v>
      </c>
      <c r="T26" s="67">
        <f t="shared" si="35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2">
        <f t="shared" si="46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7"/>
        <v>0</v>
      </c>
      <c r="AH26" s="62">
        <f t="shared" si="38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5"/>
        <v>0</v>
      </c>
      <c r="AM26" s="326">
        <f t="shared" si="27"/>
        <v>0</v>
      </c>
      <c r="AN26" s="64">
        <f t="shared" si="28"/>
        <v>62</v>
      </c>
      <c r="AO26" s="328">
        <f t="shared" si="29"/>
        <v>1860</v>
      </c>
      <c r="AP26" s="64">
        <f t="shared" si="30"/>
        <v>51</v>
      </c>
      <c r="AQ26" s="328">
        <f t="shared" si="48"/>
        <v>1530</v>
      </c>
      <c r="AR26" s="64">
        <f t="shared" si="32"/>
        <v>68</v>
      </c>
      <c r="AS26" s="328">
        <f t="shared" si="39"/>
        <v>2040.0000000000002</v>
      </c>
      <c r="AT26" s="328">
        <f t="shared" si="47"/>
        <v>5430</v>
      </c>
      <c r="AU26" s="328">
        <f t="shared" si="41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f t="shared" ref="B27:B35" si="49">B26</f>
        <v>211</v>
      </c>
      <c r="C27" s="64">
        <f t="shared" ref="C27:C35" si="50">C26</f>
        <v>217</v>
      </c>
      <c r="D27" s="45">
        <f t="shared" si="44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2"/>
        <v>0</v>
      </c>
      <c r="S27" s="52">
        <f t="shared" si="5"/>
        <v>0</v>
      </c>
      <c r="T27" s="67">
        <f t="shared" si="35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2">
        <f t="shared" si="46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7"/>
        <v>0</v>
      </c>
      <c r="AH27" s="62">
        <f t="shared" si="38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5"/>
        <v>0</v>
      </c>
      <c r="AM27" s="326">
        <f t="shared" si="27"/>
        <v>0</v>
      </c>
      <c r="AN27" s="64">
        <f t="shared" si="28"/>
        <v>62</v>
      </c>
      <c r="AO27" s="328">
        <f>(AN27/100)*3000</f>
        <v>1860</v>
      </c>
      <c r="AP27" s="64">
        <f t="shared" si="30"/>
        <v>51</v>
      </c>
      <c r="AQ27" s="328">
        <f t="shared" si="48"/>
        <v>1530</v>
      </c>
      <c r="AR27" s="64">
        <f t="shared" si="32"/>
        <v>68</v>
      </c>
      <c r="AS27" s="328">
        <f t="shared" si="39"/>
        <v>2040.0000000000002</v>
      </c>
      <c r="AT27" s="328">
        <f t="shared" si="47"/>
        <v>5430</v>
      </c>
      <c r="AU27" s="328">
        <f t="shared" si="41"/>
        <v>0</v>
      </c>
      <c r="AV27" s="275"/>
      <c r="AW27" s="516"/>
      <c r="AX27" s="321">
        <f t="shared" si="33"/>
        <v>0.1</v>
      </c>
    </row>
    <row r="28" spans="1:50">
      <c r="A28" s="63">
        <f>ELEC!C26</f>
        <v>44098</v>
      </c>
      <c r="B28" s="64">
        <f t="shared" si="49"/>
        <v>211</v>
      </c>
      <c r="C28" s="64">
        <f t="shared" si="50"/>
        <v>217</v>
      </c>
      <c r="D28" s="45">
        <f t="shared" si="44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2"/>
        <v>0</v>
      </c>
      <c r="S28" s="52">
        <f t="shared" si="5"/>
        <v>0</v>
      </c>
      <c r="T28" s="67">
        <f t="shared" si="35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2">
        <f t="shared" si="46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7"/>
        <v>0</v>
      </c>
      <c r="AH28" s="62">
        <f t="shared" si="38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5"/>
        <v>0</v>
      </c>
      <c r="AM28" s="326">
        <f t="shared" si="27"/>
        <v>0</v>
      </c>
      <c r="AN28" s="64">
        <f t="shared" si="28"/>
        <v>62</v>
      </c>
      <c r="AO28" s="328">
        <f t="shared" ref="AO28:AO34" si="51">(AN28/100)*3000</f>
        <v>1860</v>
      </c>
      <c r="AP28" s="64">
        <f t="shared" si="30"/>
        <v>51</v>
      </c>
      <c r="AQ28" s="328">
        <f t="shared" si="48"/>
        <v>1530</v>
      </c>
      <c r="AR28" s="64">
        <f t="shared" si="32"/>
        <v>68</v>
      </c>
      <c r="AS28" s="328">
        <f t="shared" si="39"/>
        <v>2040.0000000000002</v>
      </c>
      <c r="AT28" s="328">
        <f t="shared" si="47"/>
        <v>5430</v>
      </c>
      <c r="AU28" s="328">
        <f t="shared" si="41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f t="shared" si="49"/>
        <v>211</v>
      </c>
      <c r="C29" s="64">
        <f t="shared" si="50"/>
        <v>217</v>
      </c>
      <c r="D29" s="45">
        <f t="shared" si="44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2"/>
        <v>0</v>
      </c>
      <c r="S29" s="52">
        <f t="shared" si="5"/>
        <v>0</v>
      </c>
      <c r="T29" s="67">
        <f t="shared" si="35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2">
        <f t="shared" si="46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7"/>
        <v>0</v>
      </c>
      <c r="AH29" s="62">
        <f t="shared" si="38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5"/>
        <v>0</v>
      </c>
      <c r="AM29" s="326">
        <f t="shared" si="27"/>
        <v>0</v>
      </c>
      <c r="AN29" s="64">
        <f t="shared" si="28"/>
        <v>62</v>
      </c>
      <c r="AO29" s="328">
        <f t="shared" si="51"/>
        <v>1860</v>
      </c>
      <c r="AP29" s="64">
        <f t="shared" si="30"/>
        <v>51</v>
      </c>
      <c r="AQ29" s="328">
        <f t="shared" si="48"/>
        <v>1530</v>
      </c>
      <c r="AR29" s="64">
        <f t="shared" si="32"/>
        <v>68</v>
      </c>
      <c r="AS29" s="328">
        <f t="shared" si="39"/>
        <v>2040.0000000000002</v>
      </c>
      <c r="AT29" s="328">
        <f>SUM(AO29+AQ29+AS29)</f>
        <v>5430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f t="shared" si="49"/>
        <v>211</v>
      </c>
      <c r="C30" s="64">
        <f t="shared" si="50"/>
        <v>217</v>
      </c>
      <c r="D30" s="45">
        <f t="shared" si="44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2"/>
        <v>0</v>
      </c>
      <c r="S30" s="52">
        <f t="shared" si="5"/>
        <v>0</v>
      </c>
      <c r="T30" s="67">
        <f t="shared" si="35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2">
        <f t="shared" si="46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7"/>
        <v>0</v>
      </c>
      <c r="AH30" s="62">
        <f t="shared" si="38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5"/>
        <v>0</v>
      </c>
      <c r="AM30" s="326">
        <f t="shared" si="27"/>
        <v>0</v>
      </c>
      <c r="AN30" s="64">
        <f t="shared" si="28"/>
        <v>62</v>
      </c>
      <c r="AO30" s="328">
        <f t="shared" si="51"/>
        <v>1860</v>
      </c>
      <c r="AP30" s="64">
        <f t="shared" si="30"/>
        <v>51</v>
      </c>
      <c r="AQ30" s="328">
        <f t="shared" si="48"/>
        <v>1530</v>
      </c>
      <c r="AR30" s="64">
        <f t="shared" si="32"/>
        <v>68</v>
      </c>
      <c r="AS30" s="328">
        <f t="shared" si="39"/>
        <v>2040.0000000000002</v>
      </c>
      <c r="AT30" s="328">
        <f t="shared" si="47"/>
        <v>5430</v>
      </c>
      <c r="AU30" s="328">
        <f t="shared" si="41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f t="shared" si="49"/>
        <v>211</v>
      </c>
      <c r="C31" s="64">
        <f t="shared" si="50"/>
        <v>217</v>
      </c>
      <c r="D31" s="45">
        <f t="shared" si="44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2"/>
        <v>0</v>
      </c>
      <c r="S31" s="52">
        <f t="shared" si="5"/>
        <v>0</v>
      </c>
      <c r="T31" s="67">
        <f t="shared" si="35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2">
        <f t="shared" si="46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7"/>
        <v>0</v>
      </c>
      <c r="AH31" s="62">
        <f t="shared" si="38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5"/>
        <v>0</v>
      </c>
      <c r="AM31" s="326">
        <f t="shared" si="27"/>
        <v>0</v>
      </c>
      <c r="AN31" s="64">
        <f t="shared" si="28"/>
        <v>62</v>
      </c>
      <c r="AO31" s="328">
        <f t="shared" si="51"/>
        <v>1860</v>
      </c>
      <c r="AP31" s="64">
        <f t="shared" si="30"/>
        <v>51</v>
      </c>
      <c r="AQ31" s="328">
        <f t="shared" si="48"/>
        <v>1530</v>
      </c>
      <c r="AR31" s="64">
        <f t="shared" si="32"/>
        <v>68</v>
      </c>
      <c r="AS31" s="328">
        <f t="shared" si="39"/>
        <v>2040.0000000000002</v>
      </c>
      <c r="AT31" s="328">
        <f t="shared" si="47"/>
        <v>5430</v>
      </c>
      <c r="AU31" s="328">
        <f t="shared" si="41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f t="shared" si="49"/>
        <v>211</v>
      </c>
      <c r="C32" s="64">
        <f t="shared" si="50"/>
        <v>217</v>
      </c>
      <c r="D32" s="45">
        <f t="shared" si="34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2"/>
        <v>0</v>
      </c>
      <c r="S32" s="52">
        <f t="shared" si="5"/>
        <v>0</v>
      </c>
      <c r="T32" s="67">
        <f t="shared" si="35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2">
        <f t="shared" si="46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7"/>
        <v>0</v>
      </c>
      <c r="AH32" s="62">
        <f t="shared" si="38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5"/>
        <v>0</v>
      </c>
      <c r="AM32" s="326">
        <f t="shared" si="27"/>
        <v>0</v>
      </c>
      <c r="AN32" s="64">
        <f t="shared" si="28"/>
        <v>62</v>
      </c>
      <c r="AO32" s="328">
        <f t="shared" si="51"/>
        <v>1860</v>
      </c>
      <c r="AP32" s="64">
        <f t="shared" si="30"/>
        <v>51</v>
      </c>
      <c r="AQ32" s="328">
        <f t="shared" si="48"/>
        <v>1530</v>
      </c>
      <c r="AR32" s="64">
        <f t="shared" si="32"/>
        <v>68</v>
      </c>
      <c r="AS32" s="328">
        <f t="shared" si="39"/>
        <v>2040.0000000000002</v>
      </c>
      <c r="AT32" s="328">
        <f t="shared" si="47"/>
        <v>5430</v>
      </c>
      <c r="AU32" s="328">
        <f t="shared" si="41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si="49"/>
        <v>211</v>
      </c>
      <c r="C33" s="64">
        <f t="shared" si="50"/>
        <v>217</v>
      </c>
      <c r="D33" s="45">
        <f t="shared" si="34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2"/>
        <v>0</v>
      </c>
      <c r="S33" s="52">
        <f t="shared" si="5"/>
        <v>0</v>
      </c>
      <c r="T33" s="67">
        <f t="shared" si="35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2">
        <f t="shared" si="46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7"/>
        <v>0</v>
      </c>
      <c r="AH33" s="62">
        <f t="shared" si="38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5"/>
        <v>0</v>
      </c>
      <c r="AM33" s="326">
        <f t="shared" si="27"/>
        <v>0</v>
      </c>
      <c r="AN33" s="64">
        <f t="shared" si="28"/>
        <v>62</v>
      </c>
      <c r="AO33" s="328">
        <f t="shared" si="51"/>
        <v>1860</v>
      </c>
      <c r="AP33" s="64">
        <f t="shared" si="30"/>
        <v>51</v>
      </c>
      <c r="AQ33" s="328">
        <f t="shared" si="48"/>
        <v>1530</v>
      </c>
      <c r="AR33" s="64">
        <f t="shared" si="32"/>
        <v>68</v>
      </c>
      <c r="AS33" s="328">
        <f t="shared" si="39"/>
        <v>2040.0000000000002</v>
      </c>
      <c r="AT33" s="328">
        <f t="shared" si="47"/>
        <v>5430</v>
      </c>
      <c r="AU33" s="328">
        <f t="shared" si="41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49"/>
        <v>211</v>
      </c>
      <c r="C34" s="64">
        <f t="shared" si="50"/>
        <v>217</v>
      </c>
      <c r="D34" s="45">
        <f t="shared" si="34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2"/>
        <v>0</v>
      </c>
      <c r="S34" s="52">
        <f t="shared" si="5"/>
        <v>0</v>
      </c>
      <c r="T34" s="67">
        <f t="shared" si="35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2">
        <f t="shared" si="46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7"/>
        <v>0</v>
      </c>
      <c r="AH34" s="62">
        <f t="shared" si="38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5"/>
        <v>0</v>
      </c>
      <c r="AM34" s="326">
        <f>Y34+AD34</f>
        <v>0</v>
      </c>
      <c r="AN34" s="64">
        <f t="shared" si="28"/>
        <v>62</v>
      </c>
      <c r="AO34" s="328">
        <f t="shared" si="51"/>
        <v>1860</v>
      </c>
      <c r="AP34" s="64">
        <f t="shared" si="30"/>
        <v>51</v>
      </c>
      <c r="AQ34" s="328">
        <f t="shared" si="48"/>
        <v>1530</v>
      </c>
      <c r="AR34" s="64">
        <f t="shared" si="32"/>
        <v>68</v>
      </c>
      <c r="AS34" s="328">
        <f t="shared" si="39"/>
        <v>2040.0000000000002</v>
      </c>
      <c r="AT34" s="328">
        <f t="shared" si="47"/>
        <v>5430</v>
      </c>
      <c r="AU34" s="328">
        <f t="shared" si="41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49"/>
        <v>211</v>
      </c>
      <c r="C35" s="64">
        <f t="shared" si="50"/>
        <v>217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2448</v>
      </c>
      <c r="Y35" s="52">
        <f t="shared" ref="Y35" si="65">X35-X34</f>
        <v>0</v>
      </c>
      <c r="Z35" s="64">
        <f t="shared" si="21"/>
        <v>137506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62</v>
      </c>
      <c r="AO35" s="328">
        <f t="shared" ref="AO35" si="75">(AN35/100)*3000</f>
        <v>1860</v>
      </c>
      <c r="AP35" s="64">
        <f t="shared" si="30"/>
        <v>51</v>
      </c>
      <c r="AQ35" s="328">
        <f t="shared" ref="AQ35" si="76">(AP35/100)*3000</f>
        <v>1530</v>
      </c>
      <c r="AR35" s="64">
        <f t="shared" si="32"/>
        <v>68</v>
      </c>
      <c r="AS35" s="328">
        <f t="shared" ref="AS35" si="77">(AR35/100)*3000</f>
        <v>2040.0000000000002</v>
      </c>
      <c r="AT35" s="328">
        <f t="shared" ref="AT35" si="78">SUM(AO35+AQ35+AS35)</f>
        <v>5430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653</v>
      </c>
      <c r="AL36" s="62">
        <f>SUM(AL5:AL35)</f>
        <v>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600.1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808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306.05100000000004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H1" zoomScaleNormal="100" workbookViewId="0">
      <pane ySplit="3" topLeftCell="A26" activePane="bottomLeft" state="frozen"/>
      <selection pane="bottomLeft" activeCell="AX28" sqref="AX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6" customWidth="1"/>
    <col min="14" max="14" width="10.7109375" style="508" customWidth="1"/>
    <col min="15" max="15" width="11.140625" style="506" customWidth="1"/>
    <col min="16" max="16" width="11.140625" style="508" customWidth="1"/>
    <col min="17" max="17" width="17.28515625" style="506" customWidth="1"/>
    <col min="18" max="18" width="10.85546875" style="506" customWidth="1"/>
    <col min="19" max="19" width="10.7109375" style="506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9126146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34" t="s">
        <v>95</v>
      </c>
      <c r="AS2" s="635"/>
      <c r="AT2" s="635"/>
      <c r="AU2" s="635"/>
      <c r="AV2" s="636"/>
      <c r="AW2" s="634" t="s">
        <v>96</v>
      </c>
      <c r="AX2" s="635"/>
      <c r="AY2" s="636"/>
      <c r="AZ2" s="634" t="s">
        <v>98</v>
      </c>
      <c r="BA2" s="635"/>
      <c r="BB2" s="636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5" t="s">
        <v>401</v>
      </c>
      <c r="N3" s="526"/>
      <c r="O3" s="527" t="s">
        <v>402</v>
      </c>
      <c r="P3" s="527"/>
      <c r="Q3" s="527" t="s">
        <v>398</v>
      </c>
      <c r="R3" s="527" t="s">
        <v>400</v>
      </c>
      <c r="S3" s="527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31" t="s">
        <v>126</v>
      </c>
      <c r="AO3" s="632"/>
      <c r="AP3" s="633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8"/>
      <c r="N4" s="528"/>
      <c r="O4" s="528"/>
      <c r="P4" s="528"/>
      <c r="Q4" s="528"/>
      <c r="R4" s="528"/>
      <c r="S4" s="528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8">
        <f t="shared" ref="N6:N13" si="2">SUM(M6-M5)</f>
        <v>0</v>
      </c>
      <c r="O6" s="421">
        <f>O5</f>
        <v>529.52</v>
      </c>
      <c r="P6" s="528">
        <f t="shared" ref="P6:P13" si="3">SUM(O6-O5)</f>
        <v>0</v>
      </c>
      <c r="Q6" s="529">
        <f>P6+N6</f>
        <v>0</v>
      </c>
      <c r="R6" s="528"/>
      <c r="S6" s="528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8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6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6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5">M6</f>
        <v>457.44</v>
      </c>
      <c r="N7" s="528">
        <f t="shared" si="2"/>
        <v>0</v>
      </c>
      <c r="O7" s="421">
        <f t="shared" ref="O7:O36" si="16">O6</f>
        <v>529.52</v>
      </c>
      <c r="P7" s="528">
        <f t="shared" si="3"/>
        <v>0</v>
      </c>
      <c r="Q7" s="529">
        <f>P7+N7</f>
        <v>0</v>
      </c>
      <c r="R7" s="528"/>
      <c r="S7" s="528"/>
      <c r="T7" s="5">
        <v>5060</v>
      </c>
      <c r="U7" s="5">
        <f t="shared" si="4"/>
        <v>3</v>
      </c>
      <c r="V7" s="5">
        <f t="shared" ref="V7:V36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6" si="19">Z6</f>
        <v>96799</v>
      </c>
      <c r="AA7" s="83">
        <f t="shared" ref="AA7:AA35" si="20">Z7-Z6</f>
        <v>0</v>
      </c>
      <c r="AB7" s="5">
        <f t="shared" ref="AB7:AB36" si="21">AB6</f>
        <v>264</v>
      </c>
      <c r="AC7" s="5">
        <f t="shared" ref="AC7:AC36" si="22">AC6</f>
        <v>698</v>
      </c>
      <c r="AD7" s="83">
        <f>AC7-AC6</f>
        <v>0</v>
      </c>
      <c r="AE7" s="5">
        <f t="shared" ref="AE7:AE36" si="23">AE6</f>
        <v>206.52</v>
      </c>
      <c r="AF7" s="83">
        <f t="shared" ref="AF7:AF35" si="24">AE7-AE6</f>
        <v>0</v>
      </c>
      <c r="AG7" s="5">
        <f t="shared" ref="AG7:AG36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8">
        <f t="shared" si="2"/>
        <v>0</v>
      </c>
      <c r="O8" s="421">
        <f t="shared" si="16"/>
        <v>529.52</v>
      </c>
      <c r="P8" s="528">
        <f t="shared" si="3"/>
        <v>0</v>
      </c>
      <c r="Q8" s="529">
        <f>P8+N8</f>
        <v>0</v>
      </c>
      <c r="R8" s="528"/>
      <c r="S8" s="528"/>
      <c r="T8" s="5">
        <f t="shared" ref="T8:T36" si="36">T7</f>
        <v>5060</v>
      </c>
      <c r="U8" s="5">
        <f t="shared" si="4"/>
        <v>0</v>
      </c>
      <c r="V8" s="5">
        <v>449</v>
      </c>
      <c r="W8" s="332">
        <f t="shared" si="18"/>
        <v>22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4">
        <f t="shared" si="28"/>
        <v>0</v>
      </c>
      <c r="AK8" s="335">
        <f t="shared" ref="AK8:AK36" si="38">SUM(Y8-L8)</f>
        <v>-5</v>
      </c>
      <c r="AL8" s="335">
        <f t="shared" si="29"/>
        <v>-22</v>
      </c>
      <c r="AM8" s="335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v>72</v>
      </c>
      <c r="AW8" s="5">
        <v>2.9</v>
      </c>
      <c r="AX8" s="204">
        <v>113</v>
      </c>
      <c r="AY8" s="439">
        <f t="shared" si="7"/>
        <v>73.8</v>
      </c>
      <c r="AZ8" s="439">
        <f t="shared" si="31"/>
        <v>79.2</v>
      </c>
      <c r="BA8" s="439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21">
        <f t="shared" si="15"/>
        <v>457.44</v>
      </c>
      <c r="N9" s="528">
        <f t="shared" si="2"/>
        <v>0</v>
      </c>
      <c r="O9" s="421">
        <f t="shared" si="16"/>
        <v>529.52</v>
      </c>
      <c r="P9" s="528">
        <f t="shared" si="3"/>
        <v>0</v>
      </c>
      <c r="Q9" s="529">
        <f>P9+N9</f>
        <v>0</v>
      </c>
      <c r="R9" s="528"/>
      <c r="S9" s="528"/>
      <c r="T9" s="5">
        <v>5065</v>
      </c>
      <c r="U9" s="5">
        <f t="shared" si="4"/>
        <v>5</v>
      </c>
      <c r="V9" s="5">
        <v>452</v>
      </c>
      <c r="W9" s="332">
        <f t="shared" si="18"/>
        <v>3</v>
      </c>
      <c r="X9" s="5">
        <f t="shared" ref="X9:X36" si="40">X8</f>
        <v>147450</v>
      </c>
      <c r="Y9" s="332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4">
        <f t="shared" si="28"/>
        <v>66</v>
      </c>
      <c r="AK9" s="335">
        <f t="shared" si="38"/>
        <v>0</v>
      </c>
      <c r="AL9" s="335">
        <f t="shared" si="29"/>
        <v>63</v>
      </c>
      <c r="AM9" s="335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v>15</v>
      </c>
      <c r="AU9" s="436">
        <f t="shared" ref="AU9:AU36" si="42">AU8</f>
        <v>1.1000000000000001</v>
      </c>
      <c r="AV9" s="204">
        <v>80</v>
      </c>
      <c r="AW9" s="5">
        <v>2.9</v>
      </c>
      <c r="AX9" s="204">
        <v>107</v>
      </c>
      <c r="AY9" s="439">
        <f t="shared" si="7"/>
        <v>13.5</v>
      </c>
      <c r="AZ9" s="439">
        <f t="shared" si="31"/>
        <v>88</v>
      </c>
      <c r="BA9" s="439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5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8">
        <f t="shared" si="2"/>
        <v>0</v>
      </c>
      <c r="O10" s="421">
        <f t="shared" si="16"/>
        <v>529.52</v>
      </c>
      <c r="P10" s="528">
        <f t="shared" si="3"/>
        <v>0</v>
      </c>
      <c r="Q10" s="529">
        <f>P10+N10</f>
        <v>0</v>
      </c>
      <c r="R10" s="528"/>
      <c r="S10" s="528"/>
      <c r="T10" s="5">
        <v>5067</v>
      </c>
      <c r="U10" s="5">
        <f t="shared" si="4"/>
        <v>2</v>
      </c>
      <c r="V10" s="5">
        <v>452</v>
      </c>
      <c r="W10" s="332">
        <f t="shared" si="18"/>
        <v>0</v>
      </c>
      <c r="X10" s="5">
        <f t="shared" si="40"/>
        <v>147450</v>
      </c>
      <c r="Y10" s="332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v>217.84</v>
      </c>
      <c r="AF10" s="83">
        <f t="shared" si="24"/>
        <v>2.7599999999999909</v>
      </c>
      <c r="AG10" s="5">
        <v>2176.58</v>
      </c>
      <c r="AH10" s="83">
        <f t="shared" si="26"/>
        <v>24.590000000000146</v>
      </c>
      <c r="AI10" s="83">
        <f t="shared" si="27"/>
        <v>27.350000000000136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v>15</v>
      </c>
      <c r="AU10" s="436">
        <f t="shared" si="42"/>
        <v>1.1000000000000001</v>
      </c>
      <c r="AV10" s="204">
        <v>84</v>
      </c>
      <c r="AW10" s="5">
        <v>2.9</v>
      </c>
      <c r="AX10" s="204">
        <v>93</v>
      </c>
      <c r="AY10" s="439">
        <f t="shared" si="7"/>
        <v>13.5</v>
      </c>
      <c r="AZ10" s="439">
        <f t="shared" si="31"/>
        <v>92.4</v>
      </c>
      <c r="BA10" s="439">
        <f t="shared" si="32"/>
        <v>269.7</v>
      </c>
      <c r="BB10" s="21">
        <f t="shared" si="33"/>
        <v>0</v>
      </c>
      <c r="BC10" s="21">
        <f t="shared" si="34"/>
        <v>4.4000000000000057</v>
      </c>
      <c r="BD10" s="21">
        <f t="shared" si="34"/>
        <v>-40.600000000000023</v>
      </c>
      <c r="BE10" s="24">
        <f t="shared" si="35"/>
        <v>-36.200000000000017</v>
      </c>
      <c r="BF10" s="96">
        <f t="shared" si="8"/>
        <v>36.200000000000017</v>
      </c>
      <c r="BG10" s="82">
        <f t="shared" si="9"/>
        <v>-36.200000000000017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v>607942</v>
      </c>
      <c r="H11" s="5">
        <f t="shared" si="14"/>
        <v>118</v>
      </c>
      <c r="I11" s="5">
        <f t="shared" si="0"/>
        <v>118</v>
      </c>
      <c r="J11" s="342">
        <f t="shared" si="1"/>
        <v>2.1186440677966103</v>
      </c>
      <c r="K11" s="5">
        <f>'Swimming Pool quality check '!H11</f>
        <v>6555</v>
      </c>
      <c r="L11" s="83">
        <f t="shared" si="39"/>
        <v>0</v>
      </c>
      <c r="M11" s="421">
        <f t="shared" si="15"/>
        <v>457.44</v>
      </c>
      <c r="N11" s="528">
        <f t="shared" si="2"/>
        <v>0</v>
      </c>
      <c r="O11" s="421">
        <f t="shared" si="16"/>
        <v>529.52</v>
      </c>
      <c r="P11" s="528">
        <f t="shared" si="3"/>
        <v>0</v>
      </c>
      <c r="Q11" s="528">
        <f>SUM(P11+N11)</f>
        <v>0</v>
      </c>
      <c r="R11" s="528"/>
      <c r="S11" s="528"/>
      <c r="T11" s="5">
        <v>5069</v>
      </c>
      <c r="U11" s="5">
        <f t="shared" si="4"/>
        <v>2</v>
      </c>
      <c r="V11" s="5">
        <f t="shared" si="17"/>
        <v>452</v>
      </c>
      <c r="W11" s="332">
        <f t="shared" si="18"/>
        <v>0</v>
      </c>
      <c r="X11" s="5">
        <f t="shared" si="40"/>
        <v>147450</v>
      </c>
      <c r="Y11" s="332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217.84</v>
      </c>
      <c r="AF11" s="83">
        <f t="shared" si="24"/>
        <v>0</v>
      </c>
      <c r="AG11" s="5">
        <f t="shared" si="25"/>
        <v>2176.58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v>74</v>
      </c>
      <c r="AU11" s="436">
        <f t="shared" si="42"/>
        <v>1.1000000000000001</v>
      </c>
      <c r="AV11" s="204">
        <v>78</v>
      </c>
      <c r="AW11" s="5">
        <v>2.9</v>
      </c>
      <c r="AX11" s="204">
        <v>87</v>
      </c>
      <c r="AY11" s="439">
        <f t="shared" si="7"/>
        <v>66.600000000000009</v>
      </c>
      <c r="AZ11" s="439">
        <f t="shared" si="31"/>
        <v>85.800000000000011</v>
      </c>
      <c r="BA11" s="439">
        <f t="shared" si="32"/>
        <v>252.29999999999998</v>
      </c>
      <c r="BB11" s="21">
        <f t="shared" si="33"/>
        <v>53.100000000000009</v>
      </c>
      <c r="BC11" s="21">
        <f t="shared" si="34"/>
        <v>-6.5999999999999943</v>
      </c>
      <c r="BD11" s="21">
        <f t="shared" si="34"/>
        <v>-17.400000000000006</v>
      </c>
      <c r="BE11" s="24">
        <f t="shared" si="35"/>
        <v>29.100000000000009</v>
      </c>
      <c r="BF11" s="96">
        <f t="shared" si="8"/>
        <v>88.899999999999991</v>
      </c>
      <c r="BG11" s="82">
        <f t="shared" si="9"/>
        <v>29.100000000000009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607942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9"/>
        <v>0</v>
      </c>
      <c r="M12" s="421">
        <f t="shared" si="15"/>
        <v>457.44</v>
      </c>
      <c r="N12" s="528">
        <f t="shared" si="2"/>
        <v>0</v>
      </c>
      <c r="O12" s="421">
        <f t="shared" si="16"/>
        <v>529.52</v>
      </c>
      <c r="P12" s="528">
        <f t="shared" si="3"/>
        <v>0</v>
      </c>
      <c r="Q12" s="528">
        <f>SUM(P12+N12)</f>
        <v>0</v>
      </c>
      <c r="R12" s="528"/>
      <c r="S12" s="528"/>
      <c r="T12" s="5">
        <v>5071</v>
      </c>
      <c r="U12" s="5">
        <f t="shared" si="4"/>
        <v>2</v>
      </c>
      <c r="V12" s="5">
        <f t="shared" si="17"/>
        <v>452</v>
      </c>
      <c r="W12" s="332">
        <f t="shared" si="18"/>
        <v>0</v>
      </c>
      <c r="X12" s="5">
        <f t="shared" si="40"/>
        <v>147450</v>
      </c>
      <c r="Y12" s="332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217.84</v>
      </c>
      <c r="AF12" s="83">
        <f t="shared" si="24"/>
        <v>0</v>
      </c>
      <c r="AG12" s="5">
        <f t="shared" si="25"/>
        <v>2176.58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29.5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v>69</v>
      </c>
      <c r="AU12" s="436">
        <f t="shared" si="42"/>
        <v>1.1000000000000001</v>
      </c>
      <c r="AV12" s="204">
        <v>69</v>
      </c>
      <c r="AW12" s="5">
        <v>2.9</v>
      </c>
      <c r="AX12" s="204">
        <v>85</v>
      </c>
      <c r="AY12" s="439">
        <f t="shared" si="7"/>
        <v>62.1</v>
      </c>
      <c r="AZ12" s="439">
        <f t="shared" si="31"/>
        <v>75.900000000000006</v>
      </c>
      <c r="BA12" s="439">
        <f t="shared" si="32"/>
        <v>246.5</v>
      </c>
      <c r="BB12" s="21">
        <f t="shared" si="33"/>
        <v>-4.5000000000000071</v>
      </c>
      <c r="BC12" s="21">
        <f t="shared" si="34"/>
        <v>-9.9000000000000057</v>
      </c>
      <c r="BD12" s="21">
        <f t="shared" si="34"/>
        <v>-5.7999999999999829</v>
      </c>
      <c r="BE12" s="24">
        <f t="shared" si="35"/>
        <v>-20.199999999999996</v>
      </c>
      <c r="BF12" s="96">
        <f t="shared" si="8"/>
        <v>20.199999999999996</v>
      </c>
      <c r="BG12" s="82">
        <f t="shared" si="9"/>
        <v>-20.199999999999996</v>
      </c>
    </row>
    <row r="13" spans="1:65" ht="15.75" thickBot="1">
      <c r="A13" s="6">
        <f>ELEC!C10</f>
        <v>44082</v>
      </c>
      <c r="B13" s="5"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607942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9"/>
        <v>0</v>
      </c>
      <c r="M13" s="421">
        <f t="shared" si="15"/>
        <v>457.44</v>
      </c>
      <c r="N13" s="528">
        <f t="shared" si="2"/>
        <v>0</v>
      </c>
      <c r="O13" s="421">
        <f t="shared" si="16"/>
        <v>529.52</v>
      </c>
      <c r="P13" s="528">
        <f t="shared" si="3"/>
        <v>0</v>
      </c>
      <c r="Q13" s="528">
        <f>SUM(P13+N13)</f>
        <v>0</v>
      </c>
      <c r="R13" s="528"/>
      <c r="S13" s="528"/>
      <c r="T13" s="5">
        <v>5074</v>
      </c>
      <c r="U13" s="5">
        <f t="shared" si="4"/>
        <v>3</v>
      </c>
      <c r="V13" s="5">
        <f t="shared" si="17"/>
        <v>452</v>
      </c>
      <c r="W13" s="332">
        <f t="shared" si="18"/>
        <v>0</v>
      </c>
      <c r="X13" s="5">
        <f t="shared" si="40"/>
        <v>147450</v>
      </c>
      <c r="Y13" s="332">
        <f t="shared" si="41"/>
        <v>0</v>
      </c>
      <c r="Z13" s="5"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217.84</v>
      </c>
      <c r="AF13" s="83">
        <f t="shared" si="24"/>
        <v>0</v>
      </c>
      <c r="AG13" s="5">
        <f t="shared" si="25"/>
        <v>2176.58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29.5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v>69</v>
      </c>
      <c r="AU13" s="436">
        <f t="shared" si="42"/>
        <v>1.1000000000000001</v>
      </c>
      <c r="AV13" s="204">
        <v>69</v>
      </c>
      <c r="AW13" s="5">
        <v>2.9</v>
      </c>
      <c r="AX13" s="204">
        <v>79</v>
      </c>
      <c r="AY13" s="439">
        <f t="shared" si="7"/>
        <v>62.1</v>
      </c>
      <c r="AZ13" s="439">
        <f t="shared" si="31"/>
        <v>75.900000000000006</v>
      </c>
      <c r="BA13" s="439">
        <f t="shared" si="32"/>
        <v>229.1</v>
      </c>
      <c r="BB13" s="21">
        <f t="shared" si="33"/>
        <v>0</v>
      </c>
      <c r="BC13" s="21">
        <f t="shared" si="34"/>
        <v>0</v>
      </c>
      <c r="BD13" s="21">
        <f t="shared" si="34"/>
        <v>-17.400000000000006</v>
      </c>
      <c r="BE13" s="24">
        <f t="shared" si="35"/>
        <v>-17.400000000000006</v>
      </c>
      <c r="BF13" s="96">
        <f t="shared" si="8"/>
        <v>17.400000000000006</v>
      </c>
      <c r="BG13" s="82">
        <f t="shared" si="9"/>
        <v>-17.400000000000006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607942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9"/>
        <v>0</v>
      </c>
      <c r="M14" s="421">
        <f t="shared" si="15"/>
        <v>457.44</v>
      </c>
      <c r="N14" s="528">
        <f t="shared" ref="N14:N35" si="43">SUM(M14-M13)</f>
        <v>0</v>
      </c>
      <c r="O14" s="421">
        <f t="shared" si="16"/>
        <v>529.52</v>
      </c>
      <c r="P14" s="528">
        <f t="shared" ref="P14:P35" si="44">SUM(O14-O13)</f>
        <v>0</v>
      </c>
      <c r="Q14" s="528">
        <f t="shared" ref="Q14:Q35" si="45">SUM(P14+N14)</f>
        <v>0</v>
      </c>
      <c r="R14" s="528"/>
      <c r="S14" s="528"/>
      <c r="T14" s="5">
        <v>5077</v>
      </c>
      <c r="U14" s="5">
        <f t="shared" si="4"/>
        <v>3</v>
      </c>
      <c r="V14" s="5">
        <f t="shared" si="17"/>
        <v>452</v>
      </c>
      <c r="W14" s="332">
        <f t="shared" si="18"/>
        <v>0</v>
      </c>
      <c r="X14" s="5">
        <f t="shared" si="40"/>
        <v>147450</v>
      </c>
      <c r="Y14" s="332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217.84</v>
      </c>
      <c r="AF14" s="83">
        <f t="shared" si="24"/>
        <v>0</v>
      </c>
      <c r="AG14" s="5">
        <f t="shared" si="25"/>
        <v>2176.58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29.5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v>62</v>
      </c>
      <c r="AU14" s="436">
        <f t="shared" si="42"/>
        <v>1.1000000000000001</v>
      </c>
      <c r="AV14" s="204">
        <v>53</v>
      </c>
      <c r="AW14" s="5">
        <v>2.9</v>
      </c>
      <c r="AX14" s="204">
        <v>75</v>
      </c>
      <c r="AY14" s="439">
        <f t="shared" si="7"/>
        <v>55.800000000000004</v>
      </c>
      <c r="AZ14" s="439">
        <f t="shared" si="31"/>
        <v>58.300000000000004</v>
      </c>
      <c r="BA14" s="439">
        <f t="shared" si="32"/>
        <v>217.5</v>
      </c>
      <c r="BB14" s="21">
        <f t="shared" si="33"/>
        <v>-6.2999999999999972</v>
      </c>
      <c r="BC14" s="21">
        <f t="shared" si="34"/>
        <v>-17.600000000000001</v>
      </c>
      <c r="BD14" s="21">
        <f t="shared" si="34"/>
        <v>-11.599999999999994</v>
      </c>
      <c r="BE14" s="24">
        <f t="shared" si="35"/>
        <v>-35.499999999999993</v>
      </c>
      <c r="BF14" s="96">
        <f t="shared" si="8"/>
        <v>35.499999999999993</v>
      </c>
      <c r="BG14" s="82">
        <f t="shared" si="9"/>
        <v>-35.499999999999993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607942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9"/>
        <v>0</v>
      </c>
      <c r="M15" s="421">
        <f t="shared" si="15"/>
        <v>457.44</v>
      </c>
      <c r="N15" s="528">
        <f t="shared" si="43"/>
        <v>0</v>
      </c>
      <c r="O15" s="421">
        <f t="shared" si="16"/>
        <v>529.52</v>
      </c>
      <c r="P15" s="528">
        <f t="shared" si="44"/>
        <v>0</v>
      </c>
      <c r="Q15" s="528">
        <f t="shared" si="45"/>
        <v>0</v>
      </c>
      <c r="R15" s="528"/>
      <c r="S15" s="528"/>
      <c r="T15" s="5">
        <v>5079</v>
      </c>
      <c r="U15" s="5">
        <f t="shared" si="4"/>
        <v>2</v>
      </c>
      <c r="V15" s="5">
        <f t="shared" si="17"/>
        <v>452</v>
      </c>
      <c r="W15" s="332">
        <f t="shared" si="18"/>
        <v>0</v>
      </c>
      <c r="X15" s="5">
        <f t="shared" si="40"/>
        <v>147450</v>
      </c>
      <c r="Y15" s="332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217.84</v>
      </c>
      <c r="AF15" s="83">
        <f t="shared" si="24"/>
        <v>0</v>
      </c>
      <c r="AG15" s="5">
        <f t="shared" si="25"/>
        <v>2176.58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29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v>62</v>
      </c>
      <c r="AU15" s="436">
        <f t="shared" si="42"/>
        <v>1.1000000000000001</v>
      </c>
      <c r="AV15" s="204">
        <v>46</v>
      </c>
      <c r="AW15" s="5">
        <v>2.9</v>
      </c>
      <c r="AX15" s="204">
        <v>69</v>
      </c>
      <c r="AY15" s="439">
        <f t="shared" si="7"/>
        <v>55.800000000000004</v>
      </c>
      <c r="AZ15" s="439">
        <f t="shared" si="31"/>
        <v>50.6</v>
      </c>
      <c r="BA15" s="439">
        <f t="shared" si="32"/>
        <v>200.1</v>
      </c>
      <c r="BB15" s="21">
        <f t="shared" si="33"/>
        <v>0</v>
      </c>
      <c r="BC15" s="21">
        <f t="shared" si="34"/>
        <v>-7.7000000000000028</v>
      </c>
      <c r="BD15" s="21">
        <f t="shared" si="34"/>
        <v>-17.400000000000006</v>
      </c>
      <c r="BE15" s="24">
        <f t="shared" si="35"/>
        <v>-25.100000000000009</v>
      </c>
      <c r="BF15" s="96">
        <f t="shared" si="8"/>
        <v>25.100000000000009</v>
      </c>
      <c r="BG15" s="82">
        <f t="shared" si="9"/>
        <v>-25.100000000000009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607942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9"/>
        <v>0</v>
      </c>
      <c r="M16" s="421">
        <f t="shared" si="15"/>
        <v>457.44</v>
      </c>
      <c r="N16" s="528">
        <f t="shared" si="43"/>
        <v>0</v>
      </c>
      <c r="O16" s="421">
        <f t="shared" si="16"/>
        <v>529.52</v>
      </c>
      <c r="P16" s="528">
        <f t="shared" si="44"/>
        <v>0</v>
      </c>
      <c r="Q16" s="528">
        <f t="shared" si="45"/>
        <v>0</v>
      </c>
      <c r="R16" s="530"/>
      <c r="S16" s="530"/>
      <c r="T16" s="612">
        <v>5082</v>
      </c>
      <c r="U16" s="5">
        <f t="shared" si="4"/>
        <v>3</v>
      </c>
      <c r="V16" s="5">
        <f t="shared" si="17"/>
        <v>452</v>
      </c>
      <c r="W16" s="332">
        <f t="shared" si="18"/>
        <v>0</v>
      </c>
      <c r="X16" s="5">
        <f t="shared" si="40"/>
        <v>147450</v>
      </c>
      <c r="Y16" s="332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217.84</v>
      </c>
      <c r="AF16" s="83">
        <f t="shared" si="24"/>
        <v>0</v>
      </c>
      <c r="AG16" s="5">
        <f t="shared" si="25"/>
        <v>2176.58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30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62</v>
      </c>
      <c r="AU16" s="436">
        <f t="shared" si="42"/>
        <v>1.1000000000000001</v>
      </c>
      <c r="AV16" s="204">
        <v>32</v>
      </c>
      <c r="AW16" s="5">
        <v>2.9</v>
      </c>
      <c r="AX16" s="204">
        <v>60</v>
      </c>
      <c r="AY16" s="439">
        <f t="shared" si="7"/>
        <v>55.800000000000004</v>
      </c>
      <c r="AZ16" s="439">
        <f t="shared" si="31"/>
        <v>35.200000000000003</v>
      </c>
      <c r="BA16" s="439">
        <f t="shared" si="32"/>
        <v>174</v>
      </c>
      <c r="BB16" s="21">
        <f t="shared" si="33"/>
        <v>0</v>
      </c>
      <c r="BC16" s="21">
        <f t="shared" si="34"/>
        <v>-15.399999999999999</v>
      </c>
      <c r="BD16" s="21">
        <f t="shared" si="34"/>
        <v>-26.099999999999994</v>
      </c>
      <c r="BE16" s="24">
        <f t="shared" si="35"/>
        <v>-41.499999999999993</v>
      </c>
      <c r="BF16" s="96">
        <f t="shared" si="8"/>
        <v>41.499999999999993</v>
      </c>
      <c r="BG16" s="82">
        <f t="shared" si="9"/>
        <v>-41.499999999999993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607942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9"/>
        <v>0</v>
      </c>
      <c r="M17" s="421">
        <f t="shared" si="15"/>
        <v>457.44</v>
      </c>
      <c r="N17" s="528">
        <f t="shared" si="43"/>
        <v>0</v>
      </c>
      <c r="O17" s="421">
        <f t="shared" si="16"/>
        <v>529.52</v>
      </c>
      <c r="P17" s="528">
        <f t="shared" si="44"/>
        <v>0</v>
      </c>
      <c r="Q17" s="528">
        <f t="shared" si="45"/>
        <v>0</v>
      </c>
      <c r="R17" s="528"/>
      <c r="S17" s="528"/>
      <c r="T17" s="5">
        <v>5084</v>
      </c>
      <c r="U17" s="5">
        <f t="shared" si="4"/>
        <v>2</v>
      </c>
      <c r="V17" s="5">
        <f t="shared" si="17"/>
        <v>452</v>
      </c>
      <c r="W17" s="332">
        <f t="shared" si="18"/>
        <v>0</v>
      </c>
      <c r="X17" s="5">
        <f t="shared" si="40"/>
        <v>147450</v>
      </c>
      <c r="Y17" s="332">
        <f t="shared" si="41"/>
        <v>0</v>
      </c>
      <c r="Z17" s="5">
        <v>96897</v>
      </c>
      <c r="AA17" s="83">
        <f t="shared" si="20"/>
        <v>32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217.84</v>
      </c>
      <c r="AF17" s="83">
        <f t="shared" si="24"/>
        <v>0</v>
      </c>
      <c r="AG17" s="5">
        <f t="shared" si="25"/>
        <v>2176.58</v>
      </c>
      <c r="AH17" s="83">
        <f t="shared" si="26"/>
        <v>0</v>
      </c>
      <c r="AI17" s="83">
        <f t="shared" si="27"/>
        <v>0</v>
      </c>
      <c r="AJ17" s="334">
        <f t="shared" si="28"/>
        <v>32</v>
      </c>
      <c r="AK17" s="335">
        <f t="shared" si="38"/>
        <v>0</v>
      </c>
      <c r="AL17" s="335">
        <f t="shared" si="29"/>
        <v>32</v>
      </c>
      <c r="AM17" s="335">
        <f>'General information '!D17</f>
        <v>29.5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v>22</v>
      </c>
      <c r="AU17" s="436">
        <f t="shared" si="42"/>
        <v>1.1000000000000001</v>
      </c>
      <c r="AV17" s="204">
        <v>51</v>
      </c>
      <c r="AW17" s="5">
        <v>2.9</v>
      </c>
      <c r="AX17" s="204">
        <v>58</v>
      </c>
      <c r="AY17" s="439">
        <f t="shared" si="7"/>
        <v>19.8</v>
      </c>
      <c r="AZ17" s="439">
        <f t="shared" si="31"/>
        <v>56.1</v>
      </c>
      <c r="BA17" s="439">
        <f t="shared" si="32"/>
        <v>168.2</v>
      </c>
      <c r="BB17" s="21">
        <f t="shared" si="33"/>
        <v>-36</v>
      </c>
      <c r="BC17" s="21">
        <f t="shared" si="34"/>
        <v>20.9</v>
      </c>
      <c r="BD17" s="21">
        <f t="shared" si="34"/>
        <v>-5.8000000000000114</v>
      </c>
      <c r="BE17" s="24">
        <f t="shared" si="35"/>
        <v>-20.900000000000013</v>
      </c>
      <c r="BF17" s="96">
        <f t="shared" si="8"/>
        <v>20.900000000000013</v>
      </c>
      <c r="BG17" s="82">
        <f t="shared" si="9"/>
        <v>-20.900000000000013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607942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9"/>
        <v>0</v>
      </c>
      <c r="M18" s="421">
        <f t="shared" si="15"/>
        <v>457.44</v>
      </c>
      <c r="N18" s="528">
        <f t="shared" si="43"/>
        <v>0</v>
      </c>
      <c r="O18" s="421">
        <f t="shared" si="16"/>
        <v>529.52</v>
      </c>
      <c r="P18" s="528">
        <f t="shared" si="44"/>
        <v>0</v>
      </c>
      <c r="Q18" s="528">
        <f t="shared" si="45"/>
        <v>0</v>
      </c>
      <c r="R18" s="528"/>
      <c r="S18" s="528"/>
      <c r="T18" s="5">
        <v>5086</v>
      </c>
      <c r="U18" s="5">
        <f t="shared" si="4"/>
        <v>2</v>
      </c>
      <c r="V18" s="5">
        <f t="shared" si="17"/>
        <v>452</v>
      </c>
      <c r="W18" s="332">
        <f t="shared" si="18"/>
        <v>0</v>
      </c>
      <c r="X18" s="5">
        <f t="shared" si="40"/>
        <v>147450</v>
      </c>
      <c r="Y18" s="332">
        <f t="shared" si="41"/>
        <v>0</v>
      </c>
      <c r="Z18" s="5">
        <f t="shared" si="19"/>
        <v>96897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217.84</v>
      </c>
      <c r="AF18" s="83">
        <f t="shared" si="24"/>
        <v>0</v>
      </c>
      <c r="AG18" s="5">
        <f t="shared" si="25"/>
        <v>2176.58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28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22</v>
      </c>
      <c r="AU18" s="436">
        <f t="shared" si="42"/>
        <v>1.1000000000000001</v>
      </c>
      <c r="AV18" s="204">
        <v>43</v>
      </c>
      <c r="AW18" s="5">
        <v>2.9</v>
      </c>
      <c r="AX18" s="204">
        <v>58</v>
      </c>
      <c r="AY18" s="439">
        <f t="shared" si="7"/>
        <v>19.8</v>
      </c>
      <c r="AZ18" s="439">
        <f t="shared" si="31"/>
        <v>47.300000000000004</v>
      </c>
      <c r="BA18" s="439">
        <f t="shared" si="32"/>
        <v>168.2</v>
      </c>
      <c r="BB18" s="21">
        <f t="shared" si="33"/>
        <v>0</v>
      </c>
      <c r="BC18" s="21">
        <f t="shared" si="34"/>
        <v>-8.7999999999999972</v>
      </c>
      <c r="BD18" s="21">
        <f t="shared" si="34"/>
        <v>0</v>
      </c>
      <c r="BE18" s="24">
        <f t="shared" si="35"/>
        <v>-8.7999999999999972</v>
      </c>
      <c r="BF18" s="96">
        <f t="shared" si="8"/>
        <v>8.7999999999999972</v>
      </c>
      <c r="BG18" s="82">
        <f t="shared" si="9"/>
        <v>-8.7999999999999972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607942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9"/>
        <v>0</v>
      </c>
      <c r="M19" s="421">
        <f t="shared" si="15"/>
        <v>457.44</v>
      </c>
      <c r="N19" s="528">
        <f t="shared" si="43"/>
        <v>0</v>
      </c>
      <c r="O19" s="421">
        <f t="shared" si="16"/>
        <v>529.52</v>
      </c>
      <c r="P19" s="528">
        <f t="shared" si="44"/>
        <v>0</v>
      </c>
      <c r="Q19" s="528">
        <f t="shared" si="45"/>
        <v>0</v>
      </c>
      <c r="R19" s="528"/>
      <c r="S19" s="528"/>
      <c r="T19" s="5">
        <v>5088</v>
      </c>
      <c r="U19" s="5">
        <f t="shared" si="4"/>
        <v>2</v>
      </c>
      <c r="V19" s="5">
        <f t="shared" si="17"/>
        <v>452</v>
      </c>
      <c r="W19" s="332">
        <f t="shared" si="18"/>
        <v>0</v>
      </c>
      <c r="X19" s="5">
        <f t="shared" si="40"/>
        <v>147450</v>
      </c>
      <c r="Y19" s="332">
        <f t="shared" si="41"/>
        <v>0</v>
      </c>
      <c r="Z19" s="5">
        <v>96922</v>
      </c>
      <c r="AA19" s="83">
        <f t="shared" si="20"/>
        <v>25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217.84</v>
      </c>
      <c r="AF19" s="83">
        <f t="shared" si="24"/>
        <v>0</v>
      </c>
      <c r="AG19" s="5">
        <f t="shared" si="25"/>
        <v>2176.58</v>
      </c>
      <c r="AH19" s="83">
        <f t="shared" si="26"/>
        <v>0</v>
      </c>
      <c r="AI19" s="83">
        <f t="shared" si="27"/>
        <v>0</v>
      </c>
      <c r="AJ19" s="334">
        <f t="shared" si="28"/>
        <v>25</v>
      </c>
      <c r="AK19" s="335">
        <f t="shared" si="38"/>
        <v>0</v>
      </c>
      <c r="AL19" s="335">
        <f t="shared" si="29"/>
        <v>25</v>
      </c>
      <c r="AM19" s="335">
        <f>'General information '!D19</f>
        <v>28.5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v>0</v>
      </c>
      <c r="AU19" s="436">
        <f t="shared" si="42"/>
        <v>1.1000000000000001</v>
      </c>
      <c r="AV19" s="204">
        <v>56</v>
      </c>
      <c r="AW19" s="5">
        <v>2.9</v>
      </c>
      <c r="AX19" s="204">
        <v>57</v>
      </c>
      <c r="AY19" s="439">
        <f t="shared" si="7"/>
        <v>0</v>
      </c>
      <c r="AZ19" s="439">
        <f t="shared" si="31"/>
        <v>61.600000000000009</v>
      </c>
      <c r="BA19" s="439">
        <f t="shared" si="32"/>
        <v>165.29999999999998</v>
      </c>
      <c r="BB19" s="21">
        <f t="shared" si="33"/>
        <v>-19.8</v>
      </c>
      <c r="BC19" s="21">
        <f t="shared" si="34"/>
        <v>14.300000000000004</v>
      </c>
      <c r="BD19" s="21">
        <f t="shared" si="34"/>
        <v>-2.9000000000000057</v>
      </c>
      <c r="BE19" s="24">
        <f t="shared" si="35"/>
        <v>-8.4000000000000021</v>
      </c>
      <c r="BF19" s="96">
        <f t="shared" si="8"/>
        <v>8.4000000000000021</v>
      </c>
      <c r="BG19" s="82">
        <f t="shared" si="9"/>
        <v>-8.4000000000000021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607942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9"/>
        <v>0</v>
      </c>
      <c r="M20" s="421">
        <f t="shared" si="15"/>
        <v>457.44</v>
      </c>
      <c r="N20" s="528">
        <f t="shared" si="43"/>
        <v>0</v>
      </c>
      <c r="O20" s="421">
        <f t="shared" si="16"/>
        <v>529.52</v>
      </c>
      <c r="P20" s="528">
        <f t="shared" si="44"/>
        <v>0</v>
      </c>
      <c r="Q20" s="528">
        <f t="shared" si="45"/>
        <v>0</v>
      </c>
      <c r="R20" s="528"/>
      <c r="S20" s="528"/>
      <c r="T20" s="5">
        <v>5089</v>
      </c>
      <c r="U20" s="5">
        <f t="shared" si="4"/>
        <v>1</v>
      </c>
      <c r="V20" s="5">
        <f t="shared" si="17"/>
        <v>452</v>
      </c>
      <c r="W20" s="332">
        <f t="shared" si="18"/>
        <v>0</v>
      </c>
      <c r="X20" s="5">
        <f t="shared" si="40"/>
        <v>147450</v>
      </c>
      <c r="Y20" s="332">
        <f t="shared" si="41"/>
        <v>0</v>
      </c>
      <c r="Z20" s="5">
        <f t="shared" si="19"/>
        <v>96922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217.84</v>
      </c>
      <c r="AF20" s="83">
        <f t="shared" si="24"/>
        <v>0</v>
      </c>
      <c r="AG20" s="5">
        <f t="shared" si="25"/>
        <v>2176.58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0</v>
      </c>
      <c r="AU20" s="436">
        <f t="shared" si="42"/>
        <v>1.1000000000000001</v>
      </c>
      <c r="AV20" s="204">
        <v>48</v>
      </c>
      <c r="AW20" s="5">
        <v>2.9</v>
      </c>
      <c r="AX20" s="204">
        <v>52</v>
      </c>
      <c r="AY20" s="439">
        <f t="shared" si="7"/>
        <v>0</v>
      </c>
      <c r="AZ20" s="439">
        <f t="shared" si="31"/>
        <v>52.800000000000004</v>
      </c>
      <c r="BA20" s="439">
        <f t="shared" si="32"/>
        <v>150.79999999999998</v>
      </c>
      <c r="BB20" s="21">
        <f t="shared" si="33"/>
        <v>0</v>
      </c>
      <c r="BC20" s="21">
        <f t="shared" si="34"/>
        <v>-8.8000000000000043</v>
      </c>
      <c r="BD20" s="21">
        <f t="shared" si="34"/>
        <v>-14.5</v>
      </c>
      <c r="BE20" s="24">
        <f t="shared" si="35"/>
        <v>-23.300000000000004</v>
      </c>
      <c r="BF20" s="96">
        <f t="shared" si="8"/>
        <v>23.300000000000004</v>
      </c>
      <c r="BG20" s="82">
        <f t="shared" si="9"/>
        <v>-23.300000000000004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v>608127</v>
      </c>
      <c r="H21" s="5">
        <f t="shared" si="14"/>
        <v>185</v>
      </c>
      <c r="I21" s="5">
        <f t="shared" si="0"/>
        <v>185</v>
      </c>
      <c r="J21" s="342">
        <f t="shared" si="1"/>
        <v>1.3513513513513513</v>
      </c>
      <c r="K21" s="5">
        <f>'Swimming Pool quality check '!H21</f>
        <v>6555</v>
      </c>
      <c r="L21" s="83">
        <f t="shared" si="39"/>
        <v>0</v>
      </c>
      <c r="M21" s="421">
        <f t="shared" si="15"/>
        <v>457.44</v>
      </c>
      <c r="N21" s="528">
        <f t="shared" si="43"/>
        <v>0</v>
      </c>
      <c r="O21" s="421">
        <f t="shared" si="16"/>
        <v>529.52</v>
      </c>
      <c r="P21" s="528">
        <f t="shared" si="44"/>
        <v>0</v>
      </c>
      <c r="Q21" s="528">
        <f t="shared" si="45"/>
        <v>0</v>
      </c>
      <c r="R21" s="528"/>
      <c r="S21" s="528"/>
      <c r="T21" s="5">
        <v>5093</v>
      </c>
      <c r="U21" s="5">
        <f t="shared" si="4"/>
        <v>4</v>
      </c>
      <c r="V21" s="5">
        <f t="shared" si="17"/>
        <v>452</v>
      </c>
      <c r="W21" s="332">
        <f t="shared" si="18"/>
        <v>0</v>
      </c>
      <c r="X21" s="5">
        <f t="shared" si="40"/>
        <v>147450</v>
      </c>
      <c r="Y21" s="332">
        <f>SUM(X21-X20)</f>
        <v>0</v>
      </c>
      <c r="Z21" s="5">
        <f t="shared" si="19"/>
        <v>96922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217.84</v>
      </c>
      <c r="AF21" s="83">
        <f t="shared" si="24"/>
        <v>0</v>
      </c>
      <c r="AG21" s="5">
        <f t="shared" si="25"/>
        <v>2176.58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28.5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v>72</v>
      </c>
      <c r="AU21" s="436">
        <f t="shared" si="42"/>
        <v>1.1000000000000001</v>
      </c>
      <c r="AV21" s="204">
        <v>40</v>
      </c>
      <c r="AW21" s="5">
        <v>2.9</v>
      </c>
      <c r="AX21" s="204">
        <v>48</v>
      </c>
      <c r="AY21" s="439">
        <f t="shared" si="7"/>
        <v>64.8</v>
      </c>
      <c r="AZ21" s="439">
        <f t="shared" si="31"/>
        <v>44</v>
      </c>
      <c r="BA21" s="439">
        <f t="shared" si="32"/>
        <v>139.19999999999999</v>
      </c>
      <c r="BB21" s="21">
        <f t="shared" si="33"/>
        <v>64.8</v>
      </c>
      <c r="BC21" s="21">
        <f t="shared" si="34"/>
        <v>-8.8000000000000043</v>
      </c>
      <c r="BD21" s="21">
        <f t="shared" si="34"/>
        <v>-11.599999999999994</v>
      </c>
      <c r="BE21" s="24">
        <f t="shared" si="35"/>
        <v>44.4</v>
      </c>
      <c r="BF21" s="96">
        <f t="shared" si="8"/>
        <v>140.6</v>
      </c>
      <c r="BG21" s="82">
        <f t="shared" si="9"/>
        <v>44.400000000000006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/>
      <c r="G22" s="5">
        <f t="shared" si="13"/>
        <v>608127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9"/>
        <v>0</v>
      </c>
      <c r="M22" s="421">
        <f t="shared" si="15"/>
        <v>457.44</v>
      </c>
      <c r="N22" s="528">
        <f t="shared" si="43"/>
        <v>0</v>
      </c>
      <c r="O22" s="421">
        <f t="shared" si="16"/>
        <v>529.52</v>
      </c>
      <c r="P22" s="528">
        <f t="shared" si="44"/>
        <v>0</v>
      </c>
      <c r="Q22" s="528">
        <f t="shared" si="45"/>
        <v>0</v>
      </c>
      <c r="R22" s="528"/>
      <c r="S22" s="528"/>
      <c r="T22" s="5">
        <f t="shared" si="36"/>
        <v>5093</v>
      </c>
      <c r="U22" s="5">
        <f t="shared" si="4"/>
        <v>0</v>
      </c>
      <c r="V22" s="5">
        <f t="shared" si="17"/>
        <v>452</v>
      </c>
      <c r="W22" s="332">
        <f t="shared" si="18"/>
        <v>0</v>
      </c>
      <c r="X22" s="612">
        <v>147461</v>
      </c>
      <c r="Y22" s="332">
        <f t="shared" si="41"/>
        <v>11</v>
      </c>
      <c r="Z22" s="5">
        <v>96945</v>
      </c>
      <c r="AA22" s="83">
        <f t="shared" si="20"/>
        <v>23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217.84</v>
      </c>
      <c r="AF22" s="83">
        <f t="shared" si="24"/>
        <v>0</v>
      </c>
      <c r="AG22" s="5">
        <f t="shared" si="25"/>
        <v>2176.58</v>
      </c>
      <c r="AH22" s="83">
        <f t="shared" si="26"/>
        <v>0</v>
      </c>
      <c r="AI22" s="83">
        <f t="shared" si="27"/>
        <v>0</v>
      </c>
      <c r="AJ22" s="334">
        <f t="shared" si="28"/>
        <v>23</v>
      </c>
      <c r="AK22" s="335">
        <f t="shared" si="38"/>
        <v>11</v>
      </c>
      <c r="AL22" s="335">
        <f t="shared" si="29"/>
        <v>23</v>
      </c>
      <c r="AM22" s="335">
        <f>'General information '!D22</f>
        <v>28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6" si="46">AS21</f>
        <v>0.9</v>
      </c>
      <c r="AT22" s="204">
        <v>0</v>
      </c>
      <c r="AU22" s="436">
        <f t="shared" si="42"/>
        <v>1.1000000000000001</v>
      </c>
      <c r="AV22" s="204">
        <v>41</v>
      </c>
      <c r="AW22" s="5">
        <v>2.9</v>
      </c>
      <c r="AX22" s="204">
        <v>56</v>
      </c>
      <c r="AY22" s="439">
        <f t="shared" si="7"/>
        <v>0</v>
      </c>
      <c r="AZ22" s="439">
        <f t="shared" si="31"/>
        <v>45.1</v>
      </c>
      <c r="BA22" s="439">
        <f t="shared" si="32"/>
        <v>162.4</v>
      </c>
      <c r="BB22" s="21">
        <f>AY22-AY21</f>
        <v>-64.8</v>
      </c>
      <c r="BC22" s="21">
        <f t="shared" si="33"/>
        <v>1.1000000000000014</v>
      </c>
      <c r="BD22" s="21">
        <f t="shared" si="33"/>
        <v>23.200000000000017</v>
      </c>
      <c r="BE22" s="24">
        <f t="shared" si="35"/>
        <v>-40.499999999999979</v>
      </c>
      <c r="BF22" s="96">
        <f t="shared" si="8"/>
        <v>40.499999999999979</v>
      </c>
      <c r="BG22" s="82">
        <f t="shared" si="9"/>
        <v>-40.499999999999979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v>608269</v>
      </c>
      <c r="H23" s="5">
        <f t="shared" si="14"/>
        <v>142</v>
      </c>
      <c r="I23" s="5">
        <f t="shared" si="0"/>
        <v>142</v>
      </c>
      <c r="J23" s="342">
        <f t="shared" si="1"/>
        <v>1.7605633802816902</v>
      </c>
      <c r="K23" s="5">
        <f>'Swimming Pool quality check '!H23</f>
        <v>6555</v>
      </c>
      <c r="L23" s="280">
        <f t="shared" si="39"/>
        <v>0</v>
      </c>
      <c r="M23" s="421">
        <f t="shared" si="15"/>
        <v>457.44</v>
      </c>
      <c r="N23" s="528">
        <f t="shared" si="43"/>
        <v>0</v>
      </c>
      <c r="O23" s="421">
        <f t="shared" si="16"/>
        <v>529.52</v>
      </c>
      <c r="P23" s="528">
        <f t="shared" si="44"/>
        <v>0</v>
      </c>
      <c r="Q23" s="528">
        <f t="shared" si="45"/>
        <v>0</v>
      </c>
      <c r="R23" s="530"/>
      <c r="S23" s="530"/>
      <c r="T23" s="5">
        <v>5097</v>
      </c>
      <c r="U23" s="5">
        <f t="shared" si="4"/>
        <v>4</v>
      </c>
      <c r="V23" s="5">
        <f t="shared" si="17"/>
        <v>452</v>
      </c>
      <c r="W23" s="332">
        <f t="shared" si="18"/>
        <v>0</v>
      </c>
      <c r="X23" s="5">
        <v>147461</v>
      </c>
      <c r="Y23" s="332">
        <f t="shared" si="41"/>
        <v>0</v>
      </c>
      <c r="Z23" s="5">
        <v>97015</v>
      </c>
      <c r="AA23" s="83">
        <f t="shared" si="20"/>
        <v>70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217.84</v>
      </c>
      <c r="AF23" s="83">
        <f t="shared" si="24"/>
        <v>0</v>
      </c>
      <c r="AG23" s="5">
        <f t="shared" si="25"/>
        <v>2176.58</v>
      </c>
      <c r="AH23" s="83">
        <f t="shared" si="26"/>
        <v>0</v>
      </c>
      <c r="AI23" s="83">
        <f t="shared" si="27"/>
        <v>0</v>
      </c>
      <c r="AJ23" s="334">
        <f t="shared" si="28"/>
        <v>70</v>
      </c>
      <c r="AK23" s="335">
        <f t="shared" si="38"/>
        <v>0</v>
      </c>
      <c r="AL23" s="335">
        <f t="shared" si="29"/>
        <v>70</v>
      </c>
      <c r="AM23" s="335">
        <f>'General information '!D23</f>
        <v>27.5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6"/>
        <v>0.9</v>
      </c>
      <c r="AT23" s="204">
        <v>18</v>
      </c>
      <c r="AU23" s="436">
        <f t="shared" si="42"/>
        <v>1.1000000000000001</v>
      </c>
      <c r="AV23" s="204">
        <v>96</v>
      </c>
      <c r="AW23" s="5">
        <v>2.9</v>
      </c>
      <c r="AX23" s="204">
        <v>53</v>
      </c>
      <c r="AY23" s="439">
        <f t="shared" si="7"/>
        <v>16.2</v>
      </c>
      <c r="AZ23" s="439">
        <f t="shared" si="31"/>
        <v>105.60000000000001</v>
      </c>
      <c r="BA23" s="439">
        <f t="shared" si="32"/>
        <v>153.69999999999999</v>
      </c>
      <c r="BB23" s="21">
        <f t="shared" si="33"/>
        <v>16.2</v>
      </c>
      <c r="BC23" s="21">
        <f t="shared" si="33"/>
        <v>60.500000000000007</v>
      </c>
      <c r="BD23" s="21">
        <f t="shared" si="33"/>
        <v>-8.7000000000000171</v>
      </c>
      <c r="BE23" s="24">
        <f t="shared" si="35"/>
        <v>67.999999999999986</v>
      </c>
      <c r="BF23" s="96">
        <f t="shared" si="8"/>
        <v>74.000000000000014</v>
      </c>
      <c r="BG23" s="82">
        <f t="shared" si="9"/>
        <v>67.999999999999986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608269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9"/>
        <v>0</v>
      </c>
      <c r="M24" s="421">
        <f t="shared" si="15"/>
        <v>457.44</v>
      </c>
      <c r="N24" s="528">
        <f t="shared" si="43"/>
        <v>0</v>
      </c>
      <c r="O24" s="421">
        <f t="shared" si="16"/>
        <v>529.52</v>
      </c>
      <c r="P24" s="528">
        <f t="shared" si="44"/>
        <v>0</v>
      </c>
      <c r="Q24" s="528">
        <f t="shared" si="45"/>
        <v>0</v>
      </c>
      <c r="R24" s="530"/>
      <c r="S24" s="530"/>
      <c r="T24" s="5">
        <v>5100</v>
      </c>
      <c r="U24" s="5">
        <f t="shared" si="4"/>
        <v>3</v>
      </c>
      <c r="V24" s="5">
        <f t="shared" si="17"/>
        <v>452</v>
      </c>
      <c r="W24" s="332">
        <f t="shared" si="18"/>
        <v>0</v>
      </c>
      <c r="X24" s="5">
        <f t="shared" si="40"/>
        <v>147461</v>
      </c>
      <c r="Y24" s="332">
        <f t="shared" si="41"/>
        <v>0</v>
      </c>
      <c r="Z24" s="5">
        <f t="shared" si="19"/>
        <v>97015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217.84</v>
      </c>
      <c r="AF24" s="83">
        <f t="shared" si="24"/>
        <v>0</v>
      </c>
      <c r="AG24" s="5">
        <f t="shared" si="25"/>
        <v>2176.58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28.5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6"/>
        <v>0.9</v>
      </c>
      <c r="AT24" s="204">
        <v>18</v>
      </c>
      <c r="AU24" s="436">
        <f t="shared" si="42"/>
        <v>1.1000000000000001</v>
      </c>
      <c r="AV24" s="204">
        <v>88</v>
      </c>
      <c r="AW24" s="5">
        <v>2.9</v>
      </c>
      <c r="AX24" s="204">
        <v>49</v>
      </c>
      <c r="AY24" s="439">
        <f t="shared" si="7"/>
        <v>16.2</v>
      </c>
      <c r="AZ24" s="439">
        <f t="shared" si="31"/>
        <v>96.800000000000011</v>
      </c>
      <c r="BA24" s="439">
        <f t="shared" si="32"/>
        <v>142.1</v>
      </c>
      <c r="BB24" s="21">
        <f t="shared" si="33"/>
        <v>0</v>
      </c>
      <c r="BC24" s="21">
        <f t="shared" si="33"/>
        <v>-8.7999999999999972</v>
      </c>
      <c r="BD24" s="21">
        <f t="shared" si="33"/>
        <v>-11.599999999999994</v>
      </c>
      <c r="BE24" s="24">
        <f t="shared" si="35"/>
        <v>-20.399999999999991</v>
      </c>
      <c r="BF24" s="96">
        <f t="shared" si="8"/>
        <v>20.399999999999991</v>
      </c>
      <c r="BG24" s="82">
        <f t="shared" si="9"/>
        <v>-20.399999999999991</v>
      </c>
      <c r="BI24" s="82"/>
    </row>
    <row r="25" spans="1:61" ht="15.75" thickBot="1">
      <c r="A25" s="6">
        <f>ELEC!C22</f>
        <v>44094</v>
      </c>
      <c r="B25" s="5"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v>608391</v>
      </c>
      <c r="H25" s="5">
        <f t="shared" si="14"/>
        <v>122</v>
      </c>
      <c r="I25" s="5">
        <f t="shared" si="0"/>
        <v>122</v>
      </c>
      <c r="J25" s="342">
        <f t="shared" si="1"/>
        <v>2.0491803278688523</v>
      </c>
      <c r="K25" s="5">
        <f>'Swimming Pool quality check '!H25</f>
        <v>6555</v>
      </c>
      <c r="L25" s="280">
        <f t="shared" si="39"/>
        <v>0</v>
      </c>
      <c r="M25" s="421">
        <f t="shared" si="15"/>
        <v>457.44</v>
      </c>
      <c r="N25" s="528">
        <f t="shared" si="43"/>
        <v>0</v>
      </c>
      <c r="O25" s="421">
        <f t="shared" si="16"/>
        <v>529.52</v>
      </c>
      <c r="P25" s="528">
        <f t="shared" si="44"/>
        <v>0</v>
      </c>
      <c r="Q25" s="528">
        <f t="shared" si="45"/>
        <v>0</v>
      </c>
      <c r="R25" s="530"/>
      <c r="S25" s="530"/>
      <c r="T25" s="5">
        <v>5102</v>
      </c>
      <c r="U25" s="5">
        <f t="shared" si="4"/>
        <v>2</v>
      </c>
      <c r="V25" s="5">
        <f t="shared" si="17"/>
        <v>452</v>
      </c>
      <c r="W25" s="332">
        <f t="shared" si="18"/>
        <v>0</v>
      </c>
      <c r="X25" s="5">
        <v>147534</v>
      </c>
      <c r="Y25" s="332">
        <f t="shared" si="41"/>
        <v>73</v>
      </c>
      <c r="Z25" s="5">
        <f t="shared" si="19"/>
        <v>97015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217.84</v>
      </c>
      <c r="AF25" s="83">
        <f t="shared" si="24"/>
        <v>0</v>
      </c>
      <c r="AG25" s="5">
        <f t="shared" si="25"/>
        <v>2176.58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73</v>
      </c>
      <c r="AL25" s="335">
        <f t="shared" si="29"/>
        <v>0</v>
      </c>
      <c r="AM25" s="335">
        <f>'General information '!D25</f>
        <v>26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6"/>
        <v>0.9</v>
      </c>
      <c r="AT25" s="204">
        <v>55</v>
      </c>
      <c r="AU25" s="436">
        <f t="shared" si="42"/>
        <v>1.1000000000000001</v>
      </c>
      <c r="AV25" s="204">
        <v>80</v>
      </c>
      <c r="AW25" s="5">
        <v>2.9</v>
      </c>
      <c r="AX25" s="204">
        <v>53</v>
      </c>
      <c r="AY25" s="439">
        <f t="shared" si="7"/>
        <v>49.5</v>
      </c>
      <c r="AZ25" s="439">
        <f t="shared" si="31"/>
        <v>88</v>
      </c>
      <c r="BA25" s="439">
        <f t="shared" si="32"/>
        <v>153.69999999999999</v>
      </c>
      <c r="BB25" s="21">
        <f t="shared" si="33"/>
        <v>33.299999999999997</v>
      </c>
      <c r="BC25" s="21">
        <f t="shared" si="33"/>
        <v>-8.8000000000000114</v>
      </c>
      <c r="BD25" s="21">
        <f t="shared" si="33"/>
        <v>11.599999999999994</v>
      </c>
      <c r="BE25" s="24">
        <f t="shared" si="35"/>
        <v>36.09999999999998</v>
      </c>
      <c r="BF25" s="96">
        <f t="shared" si="8"/>
        <v>85.90000000000002</v>
      </c>
      <c r="BG25" s="82">
        <f t="shared" si="9"/>
        <v>36.09999999999998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608391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9"/>
        <v>0</v>
      </c>
      <c r="M26" s="421">
        <f t="shared" si="15"/>
        <v>457.44</v>
      </c>
      <c r="N26" s="528">
        <f t="shared" si="43"/>
        <v>0</v>
      </c>
      <c r="O26" s="421">
        <f t="shared" si="16"/>
        <v>529.52</v>
      </c>
      <c r="P26" s="528">
        <f t="shared" si="44"/>
        <v>0</v>
      </c>
      <c r="Q26" s="528">
        <f t="shared" si="45"/>
        <v>0</v>
      </c>
      <c r="R26" s="530"/>
      <c r="S26" s="530"/>
      <c r="T26" s="5">
        <v>5105</v>
      </c>
      <c r="U26" s="5">
        <f t="shared" si="4"/>
        <v>3</v>
      </c>
      <c r="V26" s="5">
        <f t="shared" si="17"/>
        <v>452</v>
      </c>
      <c r="W26" s="332">
        <f t="shared" si="18"/>
        <v>0</v>
      </c>
      <c r="X26" s="5">
        <v>147587</v>
      </c>
      <c r="Y26" s="332">
        <f t="shared" si="41"/>
        <v>53</v>
      </c>
      <c r="Z26" s="5">
        <f t="shared" si="19"/>
        <v>97015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217.84</v>
      </c>
      <c r="AF26" s="83">
        <f t="shared" si="24"/>
        <v>0</v>
      </c>
      <c r="AG26" s="5">
        <f t="shared" si="25"/>
        <v>2176.58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53</v>
      </c>
      <c r="AL26" s="335">
        <f>SUM(AJ26-W26)</f>
        <v>0</v>
      </c>
      <c r="AM26" s="335">
        <f>'General information '!D26</f>
        <v>28.5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6"/>
        <v>0.9</v>
      </c>
      <c r="AT26" s="204">
        <v>0</v>
      </c>
      <c r="AU26" s="436">
        <f t="shared" si="42"/>
        <v>1.1000000000000001</v>
      </c>
      <c r="AV26" s="204">
        <v>73</v>
      </c>
      <c r="AW26" s="5">
        <v>2.9</v>
      </c>
      <c r="AX26" s="204">
        <v>64</v>
      </c>
      <c r="AY26" s="439">
        <f t="shared" si="7"/>
        <v>0</v>
      </c>
      <c r="AZ26" s="439">
        <f t="shared" si="31"/>
        <v>80.300000000000011</v>
      </c>
      <c r="BA26" s="439">
        <f t="shared" si="32"/>
        <v>185.6</v>
      </c>
      <c r="BB26" s="21">
        <f t="shared" si="33"/>
        <v>-49.5</v>
      </c>
      <c r="BC26" s="21">
        <f t="shared" si="33"/>
        <v>-7.6999999999999886</v>
      </c>
      <c r="BD26" s="21">
        <f t="shared" si="33"/>
        <v>31.900000000000006</v>
      </c>
      <c r="BE26" s="24">
        <f t="shared" si="35"/>
        <v>-25.299999999999983</v>
      </c>
      <c r="BF26" s="350">
        <f t="shared" si="8"/>
        <v>25.299999999999983</v>
      </c>
      <c r="BG26" s="82">
        <f t="shared" si="9"/>
        <v>-25.299999999999983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v>608508</v>
      </c>
      <c r="H27" s="5">
        <f t="shared" si="14"/>
        <v>117</v>
      </c>
      <c r="I27" s="5">
        <f t="shared" si="0"/>
        <v>117</v>
      </c>
      <c r="J27" s="342">
        <f t="shared" si="1"/>
        <v>2.1367521367521367</v>
      </c>
      <c r="K27" s="5">
        <f>'Swimming Pool quality check '!H27</f>
        <v>6555</v>
      </c>
      <c r="L27" s="280">
        <f t="shared" si="39"/>
        <v>0</v>
      </c>
      <c r="M27" s="421">
        <f t="shared" si="15"/>
        <v>457.44</v>
      </c>
      <c r="N27" s="528">
        <f t="shared" si="43"/>
        <v>0</v>
      </c>
      <c r="O27" s="421">
        <f t="shared" si="16"/>
        <v>529.52</v>
      </c>
      <c r="P27" s="528">
        <f t="shared" si="44"/>
        <v>0</v>
      </c>
      <c r="Q27" s="528">
        <f t="shared" si="45"/>
        <v>0</v>
      </c>
      <c r="R27" s="530"/>
      <c r="S27" s="530"/>
      <c r="T27" s="5">
        <v>5107</v>
      </c>
      <c r="U27" s="5">
        <f t="shared" si="4"/>
        <v>2</v>
      </c>
      <c r="V27" s="5">
        <f t="shared" si="17"/>
        <v>452</v>
      </c>
      <c r="W27" s="332">
        <f t="shared" si="18"/>
        <v>0</v>
      </c>
      <c r="X27" s="5">
        <v>147587</v>
      </c>
      <c r="Y27" s="332">
        <f>SUM(X27-X26)</f>
        <v>0</v>
      </c>
      <c r="Z27" s="5">
        <f t="shared" si="19"/>
        <v>97015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217.84</v>
      </c>
      <c r="AF27" s="83">
        <f t="shared" si="24"/>
        <v>0</v>
      </c>
      <c r="AG27" s="5">
        <f t="shared" si="25"/>
        <v>2176.58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28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6"/>
        <v>0.9</v>
      </c>
      <c r="AT27" s="204">
        <v>64</v>
      </c>
      <c r="AU27" s="436">
        <f t="shared" si="42"/>
        <v>1.1000000000000001</v>
      </c>
      <c r="AV27" s="204">
        <v>65</v>
      </c>
      <c r="AW27" s="5">
        <v>2.9</v>
      </c>
      <c r="AX27" s="204">
        <v>61</v>
      </c>
      <c r="AY27" s="439">
        <f t="shared" si="7"/>
        <v>57.6</v>
      </c>
      <c r="AZ27" s="439">
        <f t="shared" si="31"/>
        <v>71.5</v>
      </c>
      <c r="BA27" s="439">
        <f t="shared" si="32"/>
        <v>176.9</v>
      </c>
      <c r="BB27" s="21">
        <f t="shared" si="33"/>
        <v>57.6</v>
      </c>
      <c r="BC27" s="21">
        <f t="shared" si="33"/>
        <v>-8.8000000000000114</v>
      </c>
      <c r="BD27" s="21">
        <f t="shared" si="33"/>
        <v>-8.6999999999999886</v>
      </c>
      <c r="BE27" s="24">
        <f t="shared" si="35"/>
        <v>40.1</v>
      </c>
      <c r="BF27" s="96">
        <f t="shared" si="8"/>
        <v>76.900000000000006</v>
      </c>
      <c r="BG27" s="82">
        <f t="shared" si="9"/>
        <v>40.099999999999994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608508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9"/>
        <v>0</v>
      </c>
      <c r="M28" s="421">
        <f t="shared" si="15"/>
        <v>457.44</v>
      </c>
      <c r="N28" s="528">
        <f t="shared" si="43"/>
        <v>0</v>
      </c>
      <c r="O28" s="421">
        <f t="shared" si="16"/>
        <v>529.52</v>
      </c>
      <c r="P28" s="528">
        <f t="shared" si="44"/>
        <v>0</v>
      </c>
      <c r="Q28" s="528">
        <f t="shared" si="45"/>
        <v>0</v>
      </c>
      <c r="R28" s="530"/>
      <c r="S28" s="530"/>
      <c r="T28" s="5">
        <f t="shared" si="36"/>
        <v>5107</v>
      </c>
      <c r="U28" s="5">
        <f t="shared" si="4"/>
        <v>0</v>
      </c>
      <c r="V28" s="5">
        <f t="shared" si="17"/>
        <v>452</v>
      </c>
      <c r="W28" s="332">
        <f t="shared" si="18"/>
        <v>0</v>
      </c>
      <c r="X28" s="5">
        <f t="shared" si="40"/>
        <v>147587</v>
      </c>
      <c r="Y28" s="332">
        <f t="shared" si="41"/>
        <v>0</v>
      </c>
      <c r="Z28" s="5">
        <f t="shared" si="19"/>
        <v>97015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217.84</v>
      </c>
      <c r="AF28" s="83">
        <f t="shared" si="24"/>
        <v>0</v>
      </c>
      <c r="AG28" s="5">
        <f t="shared" si="25"/>
        <v>2176.58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6"/>
        <v>0.9</v>
      </c>
      <c r="AT28" s="204">
        <f t="shared" si="46"/>
        <v>64</v>
      </c>
      <c r="AU28" s="436">
        <f t="shared" si="42"/>
        <v>1.1000000000000001</v>
      </c>
      <c r="AV28" s="204">
        <f t="shared" ref="AV28:AV36" si="47">AV27</f>
        <v>65</v>
      </c>
      <c r="AW28" s="5">
        <v>2.9</v>
      </c>
      <c r="AX28" s="204">
        <f t="shared" ref="AX28:AX36" si="48">AX27</f>
        <v>61</v>
      </c>
      <c r="AY28" s="439">
        <f t="shared" si="7"/>
        <v>57.6</v>
      </c>
      <c r="AZ28" s="439">
        <f t="shared" si="31"/>
        <v>71.5</v>
      </c>
      <c r="BA28" s="439">
        <f t="shared" si="32"/>
        <v>176.9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f t="shared" si="13"/>
        <v>608508</v>
      </c>
      <c r="H29" s="5">
        <f t="shared" si="14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9"/>
        <v>0</v>
      </c>
      <c r="M29" s="421">
        <f t="shared" si="15"/>
        <v>457.44</v>
      </c>
      <c r="N29" s="528">
        <f t="shared" si="43"/>
        <v>0</v>
      </c>
      <c r="O29" s="421">
        <f t="shared" si="16"/>
        <v>529.52</v>
      </c>
      <c r="P29" s="528">
        <f t="shared" si="44"/>
        <v>0</v>
      </c>
      <c r="Q29" s="528">
        <f t="shared" si="45"/>
        <v>0</v>
      </c>
      <c r="R29" s="530"/>
      <c r="S29" s="530"/>
      <c r="T29" s="5">
        <f t="shared" si="36"/>
        <v>5107</v>
      </c>
      <c r="U29" s="5">
        <f t="shared" si="4"/>
        <v>0</v>
      </c>
      <c r="V29" s="5">
        <f t="shared" si="17"/>
        <v>452</v>
      </c>
      <c r="W29" s="332">
        <f t="shared" si="18"/>
        <v>0</v>
      </c>
      <c r="X29" s="5">
        <f t="shared" si="40"/>
        <v>147587</v>
      </c>
      <c r="Y29" s="332">
        <f t="shared" si="41"/>
        <v>0</v>
      </c>
      <c r="Z29" s="5">
        <f t="shared" si="19"/>
        <v>97015</v>
      </c>
      <c r="AA29" s="83">
        <f t="shared" si="20"/>
        <v>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217.84</v>
      </c>
      <c r="AF29" s="83">
        <f t="shared" si="24"/>
        <v>0</v>
      </c>
      <c r="AG29" s="5">
        <f t="shared" si="25"/>
        <v>2176.58</v>
      </c>
      <c r="AH29" s="83">
        <f t="shared" si="26"/>
        <v>0</v>
      </c>
      <c r="AI29" s="83">
        <f t="shared" si="27"/>
        <v>0</v>
      </c>
      <c r="AJ29" s="334">
        <f t="shared" si="28"/>
        <v>0</v>
      </c>
      <c r="AK29" s="335">
        <f t="shared" si="38"/>
        <v>0</v>
      </c>
      <c r="AL29" s="335">
        <f t="shared" si="29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6"/>
        <v>0.9</v>
      </c>
      <c r="AT29" s="204">
        <f t="shared" si="46"/>
        <v>64</v>
      </c>
      <c r="AU29" s="436">
        <f t="shared" si="42"/>
        <v>1.1000000000000001</v>
      </c>
      <c r="AV29" s="204">
        <f t="shared" si="47"/>
        <v>65</v>
      </c>
      <c r="AW29" s="5">
        <v>2.9</v>
      </c>
      <c r="AX29" s="204">
        <f t="shared" si="48"/>
        <v>61</v>
      </c>
      <c r="AY29" s="439">
        <f t="shared" si="7"/>
        <v>57.6</v>
      </c>
      <c r="AZ29" s="439">
        <f t="shared" si="31"/>
        <v>71.5</v>
      </c>
      <c r="BA29" s="439">
        <f t="shared" si="32"/>
        <v>176.9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608508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9"/>
        <v>0</v>
      </c>
      <c r="M30" s="421">
        <f t="shared" si="15"/>
        <v>457.44</v>
      </c>
      <c r="N30" s="528">
        <f t="shared" si="43"/>
        <v>0</v>
      </c>
      <c r="O30" s="421">
        <f t="shared" si="16"/>
        <v>529.52</v>
      </c>
      <c r="P30" s="528">
        <f t="shared" si="44"/>
        <v>0</v>
      </c>
      <c r="Q30" s="528">
        <f t="shared" si="45"/>
        <v>0</v>
      </c>
      <c r="R30" s="530"/>
      <c r="S30" s="530"/>
      <c r="T30" s="5">
        <f t="shared" si="36"/>
        <v>5107</v>
      </c>
      <c r="U30" s="5">
        <f t="shared" si="4"/>
        <v>0</v>
      </c>
      <c r="V30" s="5">
        <f t="shared" si="17"/>
        <v>452</v>
      </c>
      <c r="W30" s="332">
        <f t="shared" si="18"/>
        <v>0</v>
      </c>
      <c r="X30" s="5">
        <f t="shared" si="40"/>
        <v>147587</v>
      </c>
      <c r="Y30" s="332">
        <f t="shared" si="41"/>
        <v>0</v>
      </c>
      <c r="Z30" s="5">
        <f t="shared" si="19"/>
        <v>97015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217.84</v>
      </c>
      <c r="AF30" s="83">
        <f t="shared" si="24"/>
        <v>0</v>
      </c>
      <c r="AG30" s="5">
        <f t="shared" si="25"/>
        <v>2176.58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6"/>
        <v>0.9</v>
      </c>
      <c r="AT30" s="204">
        <f t="shared" si="46"/>
        <v>64</v>
      </c>
      <c r="AU30" s="436">
        <f t="shared" si="42"/>
        <v>1.1000000000000001</v>
      </c>
      <c r="AV30" s="204">
        <f t="shared" si="47"/>
        <v>65</v>
      </c>
      <c r="AW30" s="5">
        <v>2.9</v>
      </c>
      <c r="AX30" s="204">
        <f t="shared" si="48"/>
        <v>61</v>
      </c>
      <c r="AY30" s="439">
        <f t="shared" si="7"/>
        <v>57.6</v>
      </c>
      <c r="AZ30" s="439">
        <f t="shared" si="31"/>
        <v>71.5</v>
      </c>
      <c r="BA30" s="439">
        <f t="shared" si="32"/>
        <v>176.9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44100</v>
      </c>
      <c r="B31" s="5">
        <f t="shared" si="10"/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f t="shared" si="13"/>
        <v>608508</v>
      </c>
      <c r="H31" s="5">
        <f t="shared" si="14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9"/>
        <v>0</v>
      </c>
      <c r="M31" s="421">
        <f t="shared" si="15"/>
        <v>457.44</v>
      </c>
      <c r="N31" s="528">
        <f t="shared" si="43"/>
        <v>0</v>
      </c>
      <c r="O31" s="421">
        <f t="shared" si="16"/>
        <v>529.52</v>
      </c>
      <c r="P31" s="528">
        <f t="shared" si="44"/>
        <v>0</v>
      </c>
      <c r="Q31" s="528">
        <f t="shared" si="45"/>
        <v>0</v>
      </c>
      <c r="R31" s="530"/>
      <c r="S31" s="530"/>
      <c r="T31" s="5">
        <f t="shared" si="36"/>
        <v>5107</v>
      </c>
      <c r="U31" s="5">
        <f t="shared" si="4"/>
        <v>0</v>
      </c>
      <c r="V31" s="5">
        <f t="shared" si="17"/>
        <v>452</v>
      </c>
      <c r="W31" s="332">
        <f t="shared" si="18"/>
        <v>0</v>
      </c>
      <c r="X31" s="5">
        <f t="shared" si="40"/>
        <v>147587</v>
      </c>
      <c r="Y31" s="332">
        <f t="shared" si="41"/>
        <v>0</v>
      </c>
      <c r="Z31" s="5">
        <f t="shared" si="19"/>
        <v>97015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217.84</v>
      </c>
      <c r="AF31" s="83">
        <f t="shared" si="24"/>
        <v>0</v>
      </c>
      <c r="AG31" s="5">
        <f t="shared" si="25"/>
        <v>2176.58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6"/>
        <v>0.9</v>
      </c>
      <c r="AT31" s="204">
        <f t="shared" si="46"/>
        <v>64</v>
      </c>
      <c r="AU31" s="436">
        <f t="shared" si="42"/>
        <v>1.1000000000000001</v>
      </c>
      <c r="AV31" s="204">
        <f t="shared" si="47"/>
        <v>65</v>
      </c>
      <c r="AW31" s="5">
        <v>2.9</v>
      </c>
      <c r="AX31" s="204">
        <f t="shared" si="48"/>
        <v>61</v>
      </c>
      <c r="AY31" s="439">
        <f t="shared" si="7"/>
        <v>57.6</v>
      </c>
      <c r="AZ31" s="439">
        <f t="shared" si="31"/>
        <v>71.5</v>
      </c>
      <c r="BA31" s="439">
        <f t="shared" si="32"/>
        <v>176.9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608508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9"/>
        <v>0</v>
      </c>
      <c r="M32" s="421">
        <f t="shared" si="15"/>
        <v>457.44</v>
      </c>
      <c r="N32" s="528">
        <f t="shared" si="43"/>
        <v>0</v>
      </c>
      <c r="O32" s="421">
        <f t="shared" si="16"/>
        <v>529.52</v>
      </c>
      <c r="P32" s="528">
        <f t="shared" si="44"/>
        <v>0</v>
      </c>
      <c r="Q32" s="528">
        <f t="shared" si="45"/>
        <v>0</v>
      </c>
      <c r="R32" s="530"/>
      <c r="S32" s="530"/>
      <c r="T32" s="5">
        <f t="shared" si="36"/>
        <v>5107</v>
      </c>
      <c r="U32" s="5">
        <f t="shared" si="4"/>
        <v>0</v>
      </c>
      <c r="V32" s="5">
        <f t="shared" si="17"/>
        <v>452</v>
      </c>
      <c r="W32" s="332">
        <f t="shared" si="18"/>
        <v>0</v>
      </c>
      <c r="X32" s="5">
        <f t="shared" si="40"/>
        <v>147587</v>
      </c>
      <c r="Y32" s="332">
        <f t="shared" si="41"/>
        <v>0</v>
      </c>
      <c r="Z32" s="5">
        <f t="shared" si="19"/>
        <v>97015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217.84</v>
      </c>
      <c r="AF32" s="83">
        <f t="shared" si="24"/>
        <v>0</v>
      </c>
      <c r="AG32" s="5">
        <f t="shared" si="25"/>
        <v>2176.58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6"/>
        <v>0.9</v>
      </c>
      <c r="AT32" s="204">
        <f t="shared" si="46"/>
        <v>64</v>
      </c>
      <c r="AU32" s="436">
        <f t="shared" si="42"/>
        <v>1.1000000000000001</v>
      </c>
      <c r="AV32" s="204">
        <f t="shared" si="47"/>
        <v>65</v>
      </c>
      <c r="AW32" s="5">
        <v>2.9</v>
      </c>
      <c r="AX32" s="204">
        <f t="shared" si="48"/>
        <v>61</v>
      </c>
      <c r="AY32" s="439">
        <f t="shared" si="7"/>
        <v>57.6</v>
      </c>
      <c r="AZ32" s="439">
        <f t="shared" si="31"/>
        <v>71.5</v>
      </c>
      <c r="BA32" s="439">
        <f t="shared" si="32"/>
        <v>176.9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44102</v>
      </c>
      <c r="B33" s="5">
        <f t="shared" si="10"/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608508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9"/>
        <v>0</v>
      </c>
      <c r="M33" s="421">
        <f t="shared" si="15"/>
        <v>457.44</v>
      </c>
      <c r="N33" s="528">
        <f t="shared" si="43"/>
        <v>0</v>
      </c>
      <c r="O33" s="421">
        <f t="shared" si="16"/>
        <v>529.52</v>
      </c>
      <c r="P33" s="528">
        <f t="shared" si="44"/>
        <v>0</v>
      </c>
      <c r="Q33" s="528">
        <f t="shared" si="45"/>
        <v>0</v>
      </c>
      <c r="R33" s="530"/>
      <c r="S33" s="530"/>
      <c r="T33" s="5">
        <f t="shared" si="36"/>
        <v>5107</v>
      </c>
      <c r="U33" s="5">
        <f t="shared" si="4"/>
        <v>0</v>
      </c>
      <c r="V33" s="5">
        <f t="shared" si="17"/>
        <v>452</v>
      </c>
      <c r="W33" s="332">
        <f t="shared" si="18"/>
        <v>0</v>
      </c>
      <c r="X33" s="5">
        <f t="shared" si="40"/>
        <v>147587</v>
      </c>
      <c r="Y33" s="332">
        <f t="shared" si="41"/>
        <v>0</v>
      </c>
      <c r="Z33" s="5">
        <f t="shared" si="19"/>
        <v>97015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217.84</v>
      </c>
      <c r="AF33" s="83">
        <f>AE33-AE32</f>
        <v>0</v>
      </c>
      <c r="AG33" s="5">
        <f t="shared" si="25"/>
        <v>2176.58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6"/>
        <v>0.9</v>
      </c>
      <c r="AT33" s="204">
        <f t="shared" si="46"/>
        <v>64</v>
      </c>
      <c r="AU33" s="436">
        <f t="shared" si="42"/>
        <v>1.1000000000000001</v>
      </c>
      <c r="AV33" s="204">
        <f t="shared" si="47"/>
        <v>65</v>
      </c>
      <c r="AW33" s="5">
        <v>2.9</v>
      </c>
      <c r="AX33" s="204">
        <f t="shared" si="48"/>
        <v>61</v>
      </c>
      <c r="AY33" s="439">
        <f t="shared" si="7"/>
        <v>57.6</v>
      </c>
      <c r="AZ33" s="439">
        <f t="shared" si="31"/>
        <v>71.5</v>
      </c>
      <c r="BA33" s="439">
        <f t="shared" si="32"/>
        <v>176.9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608508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9"/>
        <v>0</v>
      </c>
      <c r="M34" s="421">
        <f t="shared" si="15"/>
        <v>457.44</v>
      </c>
      <c r="N34" s="528">
        <f t="shared" si="43"/>
        <v>0</v>
      </c>
      <c r="O34" s="421">
        <f t="shared" si="16"/>
        <v>529.52</v>
      </c>
      <c r="P34" s="528">
        <f t="shared" si="44"/>
        <v>0</v>
      </c>
      <c r="Q34" s="528">
        <f t="shared" si="45"/>
        <v>0</v>
      </c>
      <c r="R34" s="530"/>
      <c r="S34" s="530"/>
      <c r="T34" s="5">
        <f t="shared" si="36"/>
        <v>5107</v>
      </c>
      <c r="U34" s="5">
        <f t="shared" si="4"/>
        <v>0</v>
      </c>
      <c r="V34" s="5">
        <f t="shared" si="17"/>
        <v>452</v>
      </c>
      <c r="W34" s="332">
        <f t="shared" si="18"/>
        <v>0</v>
      </c>
      <c r="X34" s="5">
        <f t="shared" si="40"/>
        <v>147587</v>
      </c>
      <c r="Y34" s="332">
        <f t="shared" si="41"/>
        <v>0</v>
      </c>
      <c r="Z34" s="5">
        <f t="shared" si="19"/>
        <v>97015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217.84</v>
      </c>
      <c r="AF34" s="83">
        <f t="shared" si="24"/>
        <v>0</v>
      </c>
      <c r="AG34" s="5">
        <f t="shared" si="25"/>
        <v>2176.58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6"/>
        <v>0.9</v>
      </c>
      <c r="AT34" s="204">
        <f t="shared" si="46"/>
        <v>64</v>
      </c>
      <c r="AU34" s="437">
        <f t="shared" si="42"/>
        <v>1.1000000000000001</v>
      </c>
      <c r="AV34" s="204">
        <f t="shared" si="47"/>
        <v>65</v>
      </c>
      <c r="AW34" s="5">
        <v>2.9</v>
      </c>
      <c r="AX34" s="204">
        <f t="shared" si="48"/>
        <v>61</v>
      </c>
      <c r="AY34" s="439">
        <f t="shared" si="7"/>
        <v>57.6</v>
      </c>
      <c r="AZ34" s="439">
        <f t="shared" si="31"/>
        <v>71.5</v>
      </c>
      <c r="BA34" s="439">
        <f t="shared" si="32"/>
        <v>176.9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608508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9"/>
        <v>0</v>
      </c>
      <c r="M35" s="421">
        <f t="shared" si="15"/>
        <v>457.44</v>
      </c>
      <c r="N35" s="528">
        <f t="shared" si="43"/>
        <v>0</v>
      </c>
      <c r="O35" s="421">
        <f t="shared" si="16"/>
        <v>529.52</v>
      </c>
      <c r="P35" s="528">
        <f t="shared" si="44"/>
        <v>0</v>
      </c>
      <c r="Q35" s="528">
        <f t="shared" si="45"/>
        <v>0</v>
      </c>
      <c r="R35" s="528"/>
      <c r="S35" s="528"/>
      <c r="T35" s="5">
        <f t="shared" si="36"/>
        <v>5107</v>
      </c>
      <c r="U35" s="5">
        <f t="shared" si="4"/>
        <v>0</v>
      </c>
      <c r="V35" s="5">
        <f t="shared" si="17"/>
        <v>452</v>
      </c>
      <c r="W35" s="332">
        <f t="shared" si="18"/>
        <v>0</v>
      </c>
      <c r="X35" s="5">
        <f t="shared" si="40"/>
        <v>147587</v>
      </c>
      <c r="Y35" s="332">
        <f t="shared" si="41"/>
        <v>0</v>
      </c>
      <c r="Z35" s="5">
        <f t="shared" si="19"/>
        <v>97015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217.84</v>
      </c>
      <c r="AF35" s="83">
        <f t="shared" si="24"/>
        <v>0</v>
      </c>
      <c r="AG35" s="5">
        <f t="shared" si="25"/>
        <v>2176.58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6"/>
        <v>0.9</v>
      </c>
      <c r="AT35" s="204">
        <f t="shared" si="46"/>
        <v>64</v>
      </c>
      <c r="AU35" s="438">
        <f t="shared" si="42"/>
        <v>1.1000000000000001</v>
      </c>
      <c r="AV35" s="204">
        <f t="shared" si="47"/>
        <v>65</v>
      </c>
      <c r="AW35" s="5">
        <v>2.9</v>
      </c>
      <c r="AX35" s="204">
        <f t="shared" si="48"/>
        <v>61</v>
      </c>
      <c r="AY35" s="439">
        <f t="shared" si="7"/>
        <v>57.6</v>
      </c>
      <c r="AZ35" s="439">
        <f t="shared" si="31"/>
        <v>71.5</v>
      </c>
      <c r="BA35" s="439">
        <f t="shared" si="32"/>
        <v>176.9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44105</v>
      </c>
      <c r="B36" s="5">
        <f t="shared" si="10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log'!$A$38))</f>
        <v>250</v>
      </c>
      <c r="F36" s="335"/>
      <c r="G36" s="5">
        <f t="shared" si="13"/>
        <v>608508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5"/>
        <v>457.44</v>
      </c>
      <c r="N36" s="528">
        <f t="shared" ref="N36" si="55">SUM(M36-M35)</f>
        <v>0</v>
      </c>
      <c r="O36" s="421">
        <f t="shared" si="16"/>
        <v>529.52</v>
      </c>
      <c r="P36" s="528">
        <f t="shared" ref="P36" si="56">SUM(O36-O35)</f>
        <v>0</v>
      </c>
      <c r="Q36" s="528">
        <f t="shared" ref="Q36" si="57">SUM(P36+N36)</f>
        <v>0</v>
      </c>
      <c r="R36" s="528"/>
      <c r="S36" s="528"/>
      <c r="T36" s="5">
        <f t="shared" si="36"/>
        <v>5107</v>
      </c>
      <c r="U36" s="5">
        <f t="shared" ref="U36" si="58">SUM(T36-T35)</f>
        <v>0</v>
      </c>
      <c r="V36" s="5">
        <f t="shared" si="17"/>
        <v>452</v>
      </c>
      <c r="W36" s="332">
        <f t="shared" ref="W36" si="59">+V36-V35</f>
        <v>0</v>
      </c>
      <c r="X36" s="5">
        <f t="shared" si="40"/>
        <v>147587</v>
      </c>
      <c r="Y36" s="332">
        <f t="shared" ref="Y36" si="60">SUM(X36-X35)</f>
        <v>0</v>
      </c>
      <c r="Z36" s="5">
        <f t="shared" si="19"/>
        <v>97015</v>
      </c>
      <c r="AA36" s="83">
        <f t="shared" ref="AA36" si="61">Z36-Z35</f>
        <v>0</v>
      </c>
      <c r="AB36" s="5">
        <f t="shared" si="21"/>
        <v>264</v>
      </c>
      <c r="AC36" s="5">
        <f t="shared" si="22"/>
        <v>698</v>
      </c>
      <c r="AD36" s="83">
        <f t="shared" ref="AD36" si="62">AC36-AC35</f>
        <v>0</v>
      </c>
      <c r="AE36" s="5">
        <f t="shared" si="23"/>
        <v>217.84</v>
      </c>
      <c r="AF36" s="83">
        <f t="shared" ref="AF36" si="63">AE36-AE35</f>
        <v>0</v>
      </c>
      <c r="AG36" s="5">
        <f t="shared" si="25"/>
        <v>2176.58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si="38"/>
        <v>0</v>
      </c>
      <c r="AL36" s="335">
        <f t="shared" ref="AL36" si="67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8">A36</f>
        <v>44105</v>
      </c>
      <c r="AS36" s="435">
        <f t="shared" si="46"/>
        <v>0.9</v>
      </c>
      <c r="AT36" s="204">
        <f t="shared" si="46"/>
        <v>64</v>
      </c>
      <c r="AU36" s="438">
        <f t="shared" si="42"/>
        <v>1.1000000000000001</v>
      </c>
      <c r="AV36" s="204">
        <f t="shared" si="47"/>
        <v>65</v>
      </c>
      <c r="AW36" s="5">
        <v>2.9</v>
      </c>
      <c r="AX36" s="204">
        <f t="shared" si="48"/>
        <v>61</v>
      </c>
      <c r="AY36" s="439">
        <f t="shared" ref="AY36" si="69">AS36*AT36</f>
        <v>57.6</v>
      </c>
      <c r="AZ36" s="439">
        <f t="shared" ref="AZ36" si="70">AU36*AV36</f>
        <v>71.5</v>
      </c>
      <c r="BA36" s="439">
        <f t="shared" ref="BA36" si="71">AW36*AX36</f>
        <v>176.9</v>
      </c>
      <c r="BB36" s="21">
        <f t="shared" ref="BB36" si="72">AY36-AY35</f>
        <v>0</v>
      </c>
      <c r="BC36" s="230">
        <f t="shared" ref="BC36" si="73">AZ36-AZ35</f>
        <v>0</v>
      </c>
      <c r="BD36" s="230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0</v>
      </c>
      <c r="H37" s="423">
        <f>SUM(H6:H35)</f>
        <v>684</v>
      </c>
      <c r="I37" s="423">
        <f>SUM(I6:I35)</f>
        <v>684</v>
      </c>
      <c r="L37" s="274">
        <f>SUM(L7:L35)</f>
        <v>12</v>
      </c>
      <c r="Q37" s="509">
        <f>SUM(Q5:Q35)</f>
        <v>0</v>
      </c>
      <c r="U37" s="420">
        <f>SUM(U6:U35)</f>
        <v>60</v>
      </c>
      <c r="X37" s="331"/>
      <c r="Y37" s="330" t="e">
        <f>SUM(Y35,Y33,Y31,Y29,Y27,Y25,Y23,Y21,Y19,Y17,Y15,Y13,Y11,Y9,Y7+#REF!)</f>
        <v>#REF!</v>
      </c>
      <c r="AJ37" s="330">
        <f>SUM(AJ6:AJ35)</f>
        <v>216</v>
      </c>
      <c r="AK37" s="335" t="e">
        <f t="shared" si="5"/>
        <v>#REF!</v>
      </c>
      <c r="AL37" s="330">
        <f>SUM(AL6:AL35)</f>
        <v>191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7500</v>
      </c>
      <c r="F38" s="428">
        <f>SUM(F6:F35)</f>
        <v>0</v>
      </c>
      <c r="H38" s="157">
        <v>7500</v>
      </c>
      <c r="I38" s="424">
        <f>SUM('General information '!G37/WATER!I37)</f>
        <v>0</v>
      </c>
      <c r="L38" s="157"/>
      <c r="O38" s="506">
        <f>SUM(Q37+I37)</f>
        <v>684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0</v>
      </c>
      <c r="G39" s="1">
        <f>SUM(I37)</f>
        <v>684</v>
      </c>
      <c r="H39" s="1">
        <f>SUM(H38+C38)</f>
        <v>7500</v>
      </c>
      <c r="K39" s="1">
        <f>SUM(H39/G39)</f>
        <v>10.964912280701755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8" activePane="bottomLeft" state="frozen"/>
      <selection pane="bottomLeft" activeCell="F28" sqref="F28"/>
    </sheetView>
  </sheetViews>
  <sheetFormatPr defaultRowHeight="15"/>
  <cols>
    <col min="1" max="1" width="11.85546875" style="497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7" t="s">
        <v>193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</row>
    <row r="2" spans="1:15" ht="15.75" customHeight="1" thickBot="1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</row>
    <row r="3" spans="1:15" ht="9" customHeight="1" thickBot="1">
      <c r="A3" s="494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5"/>
      <c r="B4" s="149" t="s">
        <v>389</v>
      </c>
      <c r="C4" s="150" t="s">
        <v>158</v>
      </c>
      <c r="D4" s="147" t="s">
        <v>160</v>
      </c>
      <c r="E4" s="151" t="s">
        <v>159</v>
      </c>
      <c r="F4" s="517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6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6">
        <f>'[1]General information '!E36</f>
        <v>0.76</v>
      </c>
      <c r="F5" s="596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6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6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404">
        <v>0</v>
      </c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6">
        <f>ELEC!C5</f>
        <v>44077</v>
      </c>
      <c r="B8" s="37">
        <v>34</v>
      </c>
      <c r="C8" s="37">
        <v>29</v>
      </c>
      <c r="D8" s="26">
        <f t="shared" si="0"/>
        <v>31.5</v>
      </c>
      <c r="E8" s="348">
        <v>0.71</v>
      </c>
      <c r="F8" s="348">
        <v>0</v>
      </c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6">
        <f>ELEC!C6</f>
        <v>44078</v>
      </c>
      <c r="B9" s="37">
        <v>33</v>
      </c>
      <c r="C9" s="37">
        <v>27</v>
      </c>
      <c r="D9" s="26">
        <f>(C9+B9)/2</f>
        <v>30</v>
      </c>
      <c r="E9" s="404">
        <v>0.71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6">
        <f>ELEC!C7</f>
        <v>44079</v>
      </c>
      <c r="B10" s="37">
        <v>31</v>
      </c>
      <c r="C10" s="37">
        <v>25</v>
      </c>
      <c r="D10" s="26">
        <f t="shared" si="0"/>
        <v>28</v>
      </c>
      <c r="E10" s="364">
        <v>0.64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6">
        <f>ELEC!C8</f>
        <v>44080</v>
      </c>
      <c r="B11" s="37">
        <v>31</v>
      </c>
      <c r="C11" s="37">
        <v>25</v>
      </c>
      <c r="D11" s="26">
        <f t="shared" si="0"/>
        <v>28</v>
      </c>
      <c r="E11" s="404">
        <v>0.76</v>
      </c>
      <c r="F11" s="404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6">
        <f>ELEC!C9</f>
        <v>44081</v>
      </c>
      <c r="B12" s="37">
        <v>32</v>
      </c>
      <c r="C12" s="37">
        <v>27</v>
      </c>
      <c r="D12" s="26">
        <f t="shared" si="0"/>
        <v>29.5</v>
      </c>
      <c r="E12" s="404">
        <v>0.75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6">
        <f>ELEC!C10</f>
        <v>44082</v>
      </c>
      <c r="B13" s="37">
        <v>32</v>
      </c>
      <c r="C13" s="37">
        <v>27</v>
      </c>
      <c r="D13" s="26">
        <f>(C13+B13)/2</f>
        <v>29.5</v>
      </c>
      <c r="E13" s="364">
        <v>0.76</v>
      </c>
      <c r="F13" s="40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6">
        <f>ELEC!C11</f>
        <v>44083</v>
      </c>
      <c r="B14" s="37">
        <v>31</v>
      </c>
      <c r="C14" s="37">
        <v>28</v>
      </c>
      <c r="D14" s="26">
        <f t="shared" ref="D14:D34" si="3">(C14+B14)/2</f>
        <v>29.5</v>
      </c>
      <c r="E14" s="348">
        <v>0.75</v>
      </c>
      <c r="F14" s="348">
        <v>0</v>
      </c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6">
        <f>ELEC!C12</f>
        <v>44084</v>
      </c>
      <c r="B15" s="37">
        <v>32</v>
      </c>
      <c r="C15" s="37">
        <v>26</v>
      </c>
      <c r="D15" s="26">
        <f t="shared" si="3"/>
        <v>29</v>
      </c>
      <c r="E15" s="348">
        <v>0.64</v>
      </c>
      <c r="F15" s="348">
        <v>0</v>
      </c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6">
        <f>ELEC!C13</f>
        <v>44085</v>
      </c>
      <c r="B16" s="37">
        <v>32</v>
      </c>
      <c r="C16" s="37">
        <v>28</v>
      </c>
      <c r="D16" s="26">
        <f t="shared" si="3"/>
        <v>30</v>
      </c>
      <c r="E16" s="348">
        <v>0.77</v>
      </c>
      <c r="F16" s="348">
        <v>0</v>
      </c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6">
        <f>ELEC!C14</f>
        <v>44086</v>
      </c>
      <c r="B17" s="37">
        <v>31</v>
      </c>
      <c r="C17" s="37">
        <v>28</v>
      </c>
      <c r="D17" s="26">
        <f t="shared" si="3"/>
        <v>29.5</v>
      </c>
      <c r="E17" s="348">
        <v>0.75</v>
      </c>
      <c r="F17" s="348">
        <v>0</v>
      </c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6">
        <f>ELEC!C15</f>
        <v>44087</v>
      </c>
      <c r="B18" s="37">
        <v>31</v>
      </c>
      <c r="C18" s="37">
        <v>25</v>
      </c>
      <c r="D18" s="26">
        <f t="shared" si="3"/>
        <v>28</v>
      </c>
      <c r="E18" s="440">
        <v>0.62</v>
      </c>
      <c r="F18" s="348">
        <v>0</v>
      </c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6">
        <f>ELEC!C16</f>
        <v>44088</v>
      </c>
      <c r="B19" s="37">
        <v>31</v>
      </c>
      <c r="C19" s="37">
        <v>26</v>
      </c>
      <c r="D19" s="26">
        <f t="shared" si="3"/>
        <v>28.5</v>
      </c>
      <c r="E19" s="348">
        <v>0.69</v>
      </c>
      <c r="F19" s="348">
        <v>0</v>
      </c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6">
        <f>ELEC!C17</f>
        <v>44089</v>
      </c>
      <c r="B20" s="37">
        <v>30</v>
      </c>
      <c r="C20" s="37">
        <v>23</v>
      </c>
      <c r="D20" s="26">
        <f t="shared" si="3"/>
        <v>26.5</v>
      </c>
      <c r="E20" s="348">
        <v>0.74</v>
      </c>
      <c r="F20" s="348">
        <v>0</v>
      </c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6">
        <f>ELEC!C18</f>
        <v>44090</v>
      </c>
      <c r="B21" s="37">
        <v>31</v>
      </c>
      <c r="C21" s="37">
        <v>26</v>
      </c>
      <c r="D21" s="26">
        <f>(C21+B21)/2</f>
        <v>28.5</v>
      </c>
      <c r="E21" s="348">
        <v>0.72</v>
      </c>
      <c r="F21" s="404">
        <v>0</v>
      </c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6">
        <f>ELEC!C19</f>
        <v>44091</v>
      </c>
      <c r="B22" s="37">
        <v>30</v>
      </c>
      <c r="C22" s="37">
        <v>26</v>
      </c>
      <c r="D22" s="26">
        <f t="shared" si="3"/>
        <v>28</v>
      </c>
      <c r="E22" s="348">
        <v>0.75</v>
      </c>
      <c r="F22" s="404">
        <v>0</v>
      </c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6">
        <f>ELEC!C20</f>
        <v>44092</v>
      </c>
      <c r="B23" s="37">
        <v>30</v>
      </c>
      <c r="C23" s="37">
        <v>25</v>
      </c>
      <c r="D23" s="26">
        <f>(C23+B23)/2</f>
        <v>27.5</v>
      </c>
      <c r="E23" s="348">
        <v>0.77</v>
      </c>
      <c r="F23" s="404">
        <v>0</v>
      </c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6">
        <f>ELEC!C21</f>
        <v>44093</v>
      </c>
      <c r="B24" s="37">
        <v>32</v>
      </c>
      <c r="C24" s="37">
        <v>25</v>
      </c>
      <c r="D24" s="26">
        <f t="shared" si="3"/>
        <v>28.5</v>
      </c>
      <c r="E24" s="348">
        <v>0.64</v>
      </c>
      <c r="F24" s="348">
        <v>0</v>
      </c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6">
        <f>ELEC!C22</f>
        <v>44094</v>
      </c>
      <c r="B25" s="37">
        <v>30</v>
      </c>
      <c r="C25" s="37">
        <v>22</v>
      </c>
      <c r="D25" s="26">
        <f t="shared" si="3"/>
        <v>26</v>
      </c>
      <c r="E25" s="348">
        <v>0.65</v>
      </c>
      <c r="F25" s="348">
        <v>0</v>
      </c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6">
        <f>ELEC!C23</f>
        <v>44095</v>
      </c>
      <c r="B26" s="37">
        <v>30</v>
      </c>
      <c r="C26" s="37">
        <v>27</v>
      </c>
      <c r="D26" s="26">
        <f>(C26+B26)/2</f>
        <v>28.5</v>
      </c>
      <c r="E26" s="348">
        <v>0.64</v>
      </c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6">
        <f>ELEC!C24</f>
        <v>44096</v>
      </c>
      <c r="B27" s="37">
        <v>30</v>
      </c>
      <c r="C27" s="37">
        <v>26</v>
      </c>
      <c r="D27" s="26">
        <f t="shared" si="3"/>
        <v>28</v>
      </c>
      <c r="E27" s="348">
        <v>0.65</v>
      </c>
      <c r="F27" s="348">
        <v>0</v>
      </c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6">
        <f>ELEC!C25</f>
        <v>44097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6">
        <f>ELEC!C26</f>
        <v>44098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6">
        <f>ELEC!C27</f>
        <v>44099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6">
        <f>ELEC!C28</f>
        <v>44100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6">
        <f>ELEC!C29</f>
        <v>44101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6">
        <f>ELEC!C30</f>
        <v>44102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6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6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6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4">
        <f>AVERAGE(F6:F35)</f>
        <v>0</v>
      </c>
      <c r="G37" s="206">
        <f>SUM(G6:G35)</f>
        <v>0</v>
      </c>
    </row>
    <row r="38" spans="1:15">
      <c r="D38" s="267">
        <f>SUM(D6:D35)/'EDl log'!A36</f>
        <v>28.704545454545453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abSelected="1" zoomScale="90" zoomScaleNormal="90" workbookViewId="0">
      <pane xSplit="1" topLeftCell="AR1" activePane="topRight" state="frozen"/>
      <selection pane="topRight" activeCell="AW33" sqref="AW3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5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4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4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233</v>
      </c>
      <c r="AT3" s="643" t="s">
        <v>301</v>
      </c>
      <c r="AU3" s="644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6">
        <f>[1]tanks!B36</f>
        <v>239</v>
      </c>
      <c r="C5" s="546">
        <f>[1]tanks!C36</f>
        <v>5142.3548387096771</v>
      </c>
      <c r="D5" s="546">
        <f>[1]tanks!D36</f>
        <v>239</v>
      </c>
      <c r="E5" s="546">
        <f>[1]tanks!E36</f>
        <v>5142.3548387096771</v>
      </c>
      <c r="F5" s="546">
        <f>[1]tanks!F36</f>
        <v>239</v>
      </c>
      <c r="G5" s="546">
        <f>[1]tanks!G36</f>
        <v>5142.3548387096771</v>
      </c>
      <c r="H5" s="546">
        <f>[1]tanks!H36</f>
        <v>239</v>
      </c>
      <c r="I5" s="546">
        <f>[1]tanks!I36</f>
        <v>5142.3548387096771</v>
      </c>
      <c r="J5" s="546">
        <f>[1]tanks!J36</f>
        <v>239</v>
      </c>
      <c r="K5" s="546">
        <f>[1]tanks!K36</f>
        <v>5142.3548387096771</v>
      </c>
      <c r="L5" s="546">
        <f>[1]tanks!L36</f>
        <v>239</v>
      </c>
      <c r="M5" s="546">
        <f>[1]tanks!M36</f>
        <v>5142.3548387096771</v>
      </c>
      <c r="N5" s="546">
        <f>[1]tanks!N36</f>
        <v>239</v>
      </c>
      <c r="O5" s="546">
        <f>[1]tanks!O36</f>
        <v>5142.3548387096771</v>
      </c>
      <c r="P5" s="546">
        <f>[1]tanks!P36</f>
        <v>239</v>
      </c>
      <c r="Q5" s="546">
        <f>[1]tanks!Q36</f>
        <v>5142.3548387096771</v>
      </c>
      <c r="R5" s="546">
        <f>[1]tanks!R36</f>
        <v>239</v>
      </c>
      <c r="S5" s="546">
        <f>[1]tanks!S36</f>
        <v>5142.3548387096771</v>
      </c>
      <c r="T5" s="546">
        <f>[1]tanks!T36</f>
        <v>239</v>
      </c>
      <c r="U5" s="546">
        <f>[1]tanks!U36</f>
        <v>5142.3548387096771</v>
      </c>
      <c r="V5" s="546">
        <f>[1]tanks!V36</f>
        <v>239</v>
      </c>
      <c r="W5" s="546">
        <f>[1]tanks!W36</f>
        <v>5142.3548387096771</v>
      </c>
      <c r="X5" s="546">
        <f>[1]tanks!X36</f>
        <v>0.77096774193548367</v>
      </c>
      <c r="Y5" s="546">
        <f>[1]tanks!Y36</f>
        <v>56565.90322580644</v>
      </c>
      <c r="Z5" s="546">
        <f>[1]tanks!Z36</f>
        <v>244</v>
      </c>
      <c r="AA5" s="546">
        <f>[1]tanks!AA36</f>
        <v>2440</v>
      </c>
      <c r="AB5" s="546">
        <f>[1]tanks!AB36</f>
        <v>244</v>
      </c>
      <c r="AC5" s="546">
        <f>[1]tanks!AC36</f>
        <v>2440</v>
      </c>
      <c r="AD5" s="546">
        <f>[1]tanks!AD36</f>
        <v>244</v>
      </c>
      <c r="AE5" s="546">
        <f>[1]tanks!AE36</f>
        <v>2440</v>
      </c>
      <c r="AF5" s="546">
        <f>[1]tanks!AF36</f>
        <v>244</v>
      </c>
      <c r="AG5" s="546">
        <f>[1]tanks!AG36</f>
        <v>2440</v>
      </c>
      <c r="AH5" s="546">
        <f>[1]tanks!AH36</f>
        <v>244</v>
      </c>
      <c r="AI5" s="546">
        <f>[1]tanks!AI36</f>
        <v>2440</v>
      </c>
      <c r="AJ5" s="546">
        <f>[1]tanks!AJ36</f>
        <v>244</v>
      </c>
      <c r="AK5" s="546">
        <f>[1]tanks!AK36</f>
        <v>2440</v>
      </c>
      <c r="AL5" s="546">
        <f>[1]tanks!AL36</f>
        <v>244</v>
      </c>
      <c r="AM5" s="546">
        <f>[1]tanks!AM36</f>
        <v>2440</v>
      </c>
      <c r="AN5" s="519">
        <f>[1]tanks!AN36</f>
        <v>0.87142857142857144</v>
      </c>
      <c r="AO5" s="546">
        <f>[1]tanks!AO36</f>
        <v>17080</v>
      </c>
      <c r="AP5" s="546">
        <f>[1]tanks!AP36</f>
        <v>0</v>
      </c>
      <c r="AQ5" s="519">
        <f>[1]tanks!AQ36</f>
        <v>0.79214696381420291</v>
      </c>
      <c r="AR5" s="546">
        <f>[1]tanks!AR36</f>
        <v>73645.90322580644</v>
      </c>
      <c r="AS5" s="546">
        <f>[1]tanks!AS36</f>
        <v>-990.03225806452974</v>
      </c>
      <c r="AT5" s="546">
        <f>[1]tanks!AT36</f>
        <v>0</v>
      </c>
      <c r="AU5" s="546">
        <f>[1]tanks!AU36</f>
        <v>0</v>
      </c>
      <c r="AV5" s="546">
        <f>[1]tanks!AV36</f>
        <v>0.53</v>
      </c>
      <c r="AW5" s="546">
        <f>[1]tanks!AW36</f>
        <v>-151</v>
      </c>
      <c r="AX5" s="546">
        <f>[1]tanks!AX36</f>
        <v>-839.03225806452974</v>
      </c>
      <c r="AY5" s="546">
        <f>[1]tanks!AY36</f>
        <v>-990.03225806452974</v>
      </c>
      <c r="AZ5" s="519">
        <f>[1]tanks!AZ36</f>
        <v>0</v>
      </c>
      <c r="BA5" s="546">
        <f>[1]tanks!BA36</f>
        <v>30</v>
      </c>
      <c r="BB5" s="546">
        <f>[1]tanks!BB36</f>
        <v>0.76</v>
      </c>
      <c r="BC5" s="546">
        <f>[2]tanks!BC36</f>
        <v>1</v>
      </c>
      <c r="BD5" s="546">
        <f>[2]tanks!BD36</f>
        <v>19222</v>
      </c>
      <c r="BE5" s="546" t="e">
        <f>[2]tanks!BE36</f>
        <v>#REF!</v>
      </c>
      <c r="BF5" s="546">
        <f>[2]tanks!BF36</f>
        <v>0</v>
      </c>
      <c r="BG5" s="546" t="e">
        <f>[2]tanks!BG36</f>
        <v>#REF!</v>
      </c>
      <c r="BH5" s="546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-850.03225806451519</v>
      </c>
      <c r="AT6" s="365"/>
      <c r="AU6" s="449"/>
      <c r="AV6" s="532">
        <f>IF(AT6&gt;0,AU6,AV5)</f>
        <v>0.53</v>
      </c>
      <c r="AW6" s="298">
        <f>-SUM('B5'!AI5)</f>
        <v>-155</v>
      </c>
      <c r="AX6" s="298">
        <f>-SUM(AW6-AS6)</f>
        <v>-695.03225806451519</v>
      </c>
      <c r="AY6" s="37">
        <f>SUM(AX6+AW6)</f>
        <v>-850.03225806451519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5"/>
      <c r="AV7" s="532">
        <f>IF(AT7&gt;0,AU7,AV6)</f>
        <v>0.53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6" si="41">SUM(AO8+Y8)</f>
        <v>69422.419354838697</v>
      </c>
      <c r="AS8" s="200">
        <f t="shared" si="38"/>
        <v>-1840.0645161290449</v>
      </c>
      <c r="AT8" s="365"/>
      <c r="AU8" s="449"/>
      <c r="AV8" s="532">
        <f t="shared" ref="AV8:AV34" si="42">IF(AT8&gt;0,AU8,AV7)</f>
        <v>0.53</v>
      </c>
      <c r="AW8" s="298">
        <f>-SUM('B5'!AI7)</f>
        <v>-350</v>
      </c>
      <c r="AX8" s="298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4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5"/>
      <c r="AU9" s="449"/>
      <c r="AV9" s="532">
        <f t="shared" si="42"/>
        <v>0.53</v>
      </c>
      <c r="AW9" s="298">
        <f>-SUM('B5'!AI8)</f>
        <v>-303</v>
      </c>
      <c r="AX9" s="298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4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216</v>
      </c>
      <c r="C10" s="206">
        <f t="shared" si="18"/>
        <v>4647.4838709677415</v>
      </c>
      <c r="D10">
        <f t="shared" si="19"/>
        <v>216</v>
      </c>
      <c r="E10" s="206">
        <f t="shared" si="18"/>
        <v>4647.4838709677415</v>
      </c>
      <c r="F10">
        <f t="shared" si="20"/>
        <v>216</v>
      </c>
      <c r="G10" s="206">
        <f t="shared" si="1"/>
        <v>4647.4838709677415</v>
      </c>
      <c r="H10" s="206">
        <f t="shared" si="21"/>
        <v>216</v>
      </c>
      <c r="I10" s="206">
        <f t="shared" si="2"/>
        <v>4647.4838709677415</v>
      </c>
      <c r="J10" s="206">
        <f t="shared" si="22"/>
        <v>216</v>
      </c>
      <c r="K10" s="206">
        <f t="shared" si="3"/>
        <v>4647.4838709677415</v>
      </c>
      <c r="L10" s="206">
        <f t="shared" si="23"/>
        <v>216</v>
      </c>
      <c r="M10" s="206">
        <f t="shared" si="4"/>
        <v>4647.4838709677415</v>
      </c>
      <c r="N10" s="206">
        <f t="shared" si="24"/>
        <v>216</v>
      </c>
      <c r="O10" s="206">
        <f t="shared" si="5"/>
        <v>4647.4838709677415</v>
      </c>
      <c r="P10" s="206">
        <f t="shared" si="25"/>
        <v>216</v>
      </c>
      <c r="Q10" s="206">
        <f t="shared" si="6"/>
        <v>4647.4838709677415</v>
      </c>
      <c r="R10" s="206">
        <f t="shared" si="26"/>
        <v>216</v>
      </c>
      <c r="S10" s="206">
        <f t="shared" si="7"/>
        <v>4647.4838709677415</v>
      </c>
      <c r="T10" s="206">
        <f t="shared" si="27"/>
        <v>216</v>
      </c>
      <c r="U10" s="206">
        <f t="shared" si="8"/>
        <v>4647.4838709677415</v>
      </c>
      <c r="V10" s="206">
        <f t="shared" si="28"/>
        <v>216</v>
      </c>
      <c r="W10" s="206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6">
        <f>'B5'!C9</f>
        <v>222</v>
      </c>
      <c r="AA10" s="206">
        <f t="shared" si="30"/>
        <v>2220</v>
      </c>
      <c r="AB10" s="206">
        <f t="shared" si="31"/>
        <v>222</v>
      </c>
      <c r="AC10" s="206">
        <f t="shared" si="30"/>
        <v>2220</v>
      </c>
      <c r="AD10" s="206">
        <f t="shared" si="32"/>
        <v>222</v>
      </c>
      <c r="AE10" s="206">
        <f t="shared" si="11"/>
        <v>2220</v>
      </c>
      <c r="AF10" s="206">
        <f t="shared" si="33"/>
        <v>222</v>
      </c>
      <c r="AG10" s="206">
        <f t="shared" si="12"/>
        <v>2220</v>
      </c>
      <c r="AH10" s="206">
        <f t="shared" si="34"/>
        <v>222</v>
      </c>
      <c r="AI10" s="206">
        <f t="shared" si="13"/>
        <v>2220</v>
      </c>
      <c r="AJ10" s="206">
        <f t="shared" si="35"/>
        <v>222</v>
      </c>
      <c r="AK10" s="206">
        <f t="shared" si="14"/>
        <v>2220</v>
      </c>
      <c r="AL10" s="206">
        <f t="shared" si="36"/>
        <v>222</v>
      </c>
      <c r="AM10" s="206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6">
        <f t="shared" si="37"/>
        <v>0.71703046768468481</v>
      </c>
      <c r="AR10" s="38">
        <f t="shared" si="41"/>
        <v>66662.322580645152</v>
      </c>
      <c r="AS10" s="200">
        <f t="shared" si="38"/>
        <v>-729.02580645162379</v>
      </c>
      <c r="AT10" s="365"/>
      <c r="AU10" s="449"/>
      <c r="AV10" s="532">
        <f>IF(AT10&gt;0,AU10,AV9)</f>
        <v>0.53</v>
      </c>
      <c r="AW10" s="298">
        <f>-SUM('B5'!AI9)</f>
        <v>0</v>
      </c>
      <c r="AX10" s="298">
        <f>-SUM(AW10-AS10)</f>
        <v>-729.02580645162379</v>
      </c>
      <c r="AY10" s="37">
        <f t="shared" si="40"/>
        <v>-729.02580645162379</v>
      </c>
      <c r="AZ10" s="100">
        <f>ELEC!A7</f>
        <v>0</v>
      </c>
      <c r="BA10" s="118">
        <f>'General information '!D10</f>
        <v>28</v>
      </c>
      <c r="BB10" s="404">
        <f>SUM('General information '!E10)</f>
        <v>0.64</v>
      </c>
      <c r="BC10" s="3">
        <f t="shared" si="43"/>
        <v>0</v>
      </c>
      <c r="BD10" s="102">
        <v>19222</v>
      </c>
      <c r="BE10" s="14">
        <f>(305/1185)*ELEC!Q8</f>
        <v>1029.535864978903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211</v>
      </c>
      <c r="C11" s="206">
        <f t="shared" si="18"/>
        <v>4539.9032258064517</v>
      </c>
      <c r="D11">
        <f>SUM(B11)</f>
        <v>211</v>
      </c>
      <c r="E11" s="206">
        <f t="shared" si="18"/>
        <v>4539.9032258064517</v>
      </c>
      <c r="F11">
        <f>SUM(D11)</f>
        <v>211</v>
      </c>
      <c r="G11" s="206">
        <f t="shared" si="1"/>
        <v>4539.9032258064517</v>
      </c>
      <c r="H11" s="206">
        <f>SUM(F11)</f>
        <v>211</v>
      </c>
      <c r="I11" s="206">
        <f t="shared" si="2"/>
        <v>4539.9032258064517</v>
      </c>
      <c r="J11" s="206">
        <f>SUM(H11)</f>
        <v>211</v>
      </c>
      <c r="K11" s="206">
        <f t="shared" si="3"/>
        <v>4539.9032258064517</v>
      </c>
      <c r="L11" s="206">
        <f>SUM(J11)</f>
        <v>211</v>
      </c>
      <c r="M11" s="206">
        <f t="shared" si="4"/>
        <v>4539.9032258064517</v>
      </c>
      <c r="N11" s="206">
        <f>SUM(L11)</f>
        <v>211</v>
      </c>
      <c r="O11" s="206">
        <f t="shared" si="5"/>
        <v>4539.9032258064517</v>
      </c>
      <c r="P11" s="206">
        <f>SUM(N11)</f>
        <v>211</v>
      </c>
      <c r="Q11" s="206">
        <f t="shared" si="6"/>
        <v>4539.9032258064517</v>
      </c>
      <c r="R11" s="206">
        <f>SUM(P11)</f>
        <v>211</v>
      </c>
      <c r="S11" s="206">
        <f t="shared" si="7"/>
        <v>4539.9032258064517</v>
      </c>
      <c r="T11" s="206">
        <f>SUM(R11)</f>
        <v>211</v>
      </c>
      <c r="U11" s="206">
        <f t="shared" si="8"/>
        <v>4539.9032258064517</v>
      </c>
      <c r="V11" s="206">
        <f>SUM(T11)</f>
        <v>211</v>
      </c>
      <c r="W11" s="206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6">
        <f>'B5'!C10</f>
        <v>218</v>
      </c>
      <c r="AA11" s="206">
        <f t="shared" si="30"/>
        <v>2180</v>
      </c>
      <c r="AB11" s="206">
        <f>SUM(Z11)</f>
        <v>218</v>
      </c>
      <c r="AC11" s="206">
        <f t="shared" si="30"/>
        <v>2180</v>
      </c>
      <c r="AD11" s="206">
        <f>SUM(AB11)</f>
        <v>218</v>
      </c>
      <c r="AE11" s="206">
        <f t="shared" si="11"/>
        <v>2180</v>
      </c>
      <c r="AF11" s="206">
        <f>SUM(AD11)</f>
        <v>218</v>
      </c>
      <c r="AG11" s="206">
        <f t="shared" si="12"/>
        <v>2180</v>
      </c>
      <c r="AH11" s="206">
        <f>SUM(AF11)</f>
        <v>218</v>
      </c>
      <c r="AI11" s="206">
        <f t="shared" si="13"/>
        <v>2180</v>
      </c>
      <c r="AJ11" s="206">
        <f>SUM(AH11)</f>
        <v>218</v>
      </c>
      <c r="AK11" s="206">
        <f t="shared" si="14"/>
        <v>2180</v>
      </c>
      <c r="AL11" s="206">
        <f>SUM(AJ11)</f>
        <v>218</v>
      </c>
      <c r="AM11" s="206">
        <f t="shared" si="15"/>
        <v>2180</v>
      </c>
      <c r="AN11" s="35">
        <f>SUM(AO11/19600)</f>
        <v>0.77857142857142858</v>
      </c>
      <c r="AO11" s="36">
        <f t="shared" si="17"/>
        <v>15260</v>
      </c>
      <c r="AP11" s="594"/>
      <c r="AQ11" s="226">
        <f t="shared" si="37"/>
        <v>0.70129004500237691</v>
      </c>
      <c r="AR11" s="38">
        <f t="shared" si="41"/>
        <v>65198.935483870977</v>
      </c>
      <c r="AS11" s="200">
        <f>SUM(AR11-AR10-AT11)</f>
        <v>-1463.387096774175</v>
      </c>
      <c r="AT11" s="365"/>
      <c r="AU11" s="449"/>
      <c r="AV11" s="532">
        <f>IF(AT11&gt;0,AU11,AV10)</f>
        <v>0.53</v>
      </c>
      <c r="AW11" s="298">
        <f>-SUM('B5'!AI10)</f>
        <v>0</v>
      </c>
      <c r="AX11" s="298">
        <f>-SUM(AW11-AS11)</f>
        <v>-1463.387096774175</v>
      </c>
      <c r="AY11" s="37">
        <f t="shared" si="40"/>
        <v>-1463.387096774175</v>
      </c>
      <c r="AZ11" s="100">
        <f>ELEC!A8</f>
        <v>0</v>
      </c>
      <c r="BA11" s="118">
        <f>'General information '!D11</f>
        <v>28</v>
      </c>
      <c r="BB11" s="404">
        <f>SUM('General information '!E11)</f>
        <v>0.76</v>
      </c>
      <c r="BC11" s="3">
        <f t="shared" si="43"/>
        <v>0</v>
      </c>
      <c r="BD11" s="102">
        <v>19222</v>
      </c>
      <c r="BE11" s="14">
        <f>(305/1185)*ELEC!Q9</f>
        <v>1286.9198312236288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207</v>
      </c>
      <c r="C12" s="206">
        <f t="shared" si="18"/>
        <v>4453.8387096774195</v>
      </c>
      <c r="D12">
        <f t="shared" si="19"/>
        <v>207</v>
      </c>
      <c r="E12" s="206">
        <f t="shared" si="18"/>
        <v>4453.8387096774195</v>
      </c>
      <c r="F12">
        <f t="shared" si="20"/>
        <v>207</v>
      </c>
      <c r="G12" s="206">
        <f t="shared" si="1"/>
        <v>4453.8387096774195</v>
      </c>
      <c r="H12" s="206">
        <f t="shared" si="21"/>
        <v>207</v>
      </c>
      <c r="I12" s="206">
        <f t="shared" si="2"/>
        <v>4453.8387096774195</v>
      </c>
      <c r="J12" s="206">
        <f t="shared" si="22"/>
        <v>207</v>
      </c>
      <c r="K12" s="206">
        <f t="shared" si="3"/>
        <v>4453.8387096774195</v>
      </c>
      <c r="L12" s="206">
        <f t="shared" si="23"/>
        <v>207</v>
      </c>
      <c r="M12" s="206">
        <f t="shared" si="4"/>
        <v>4453.8387096774195</v>
      </c>
      <c r="N12" s="206">
        <f t="shared" si="24"/>
        <v>207</v>
      </c>
      <c r="O12" s="206">
        <f t="shared" si="5"/>
        <v>4453.8387096774195</v>
      </c>
      <c r="P12" s="206">
        <f t="shared" si="25"/>
        <v>207</v>
      </c>
      <c r="Q12" s="206">
        <f t="shared" si="6"/>
        <v>4453.8387096774195</v>
      </c>
      <c r="R12" s="206">
        <f t="shared" si="26"/>
        <v>207</v>
      </c>
      <c r="S12" s="206">
        <f t="shared" si="7"/>
        <v>4453.8387096774195</v>
      </c>
      <c r="T12" s="206">
        <f t="shared" si="27"/>
        <v>207</v>
      </c>
      <c r="U12" s="206">
        <f t="shared" si="8"/>
        <v>4453.8387096774195</v>
      </c>
      <c r="V12" s="206">
        <f t="shared" si="28"/>
        <v>207</v>
      </c>
      <c r="W12" s="206">
        <f t="shared" si="9"/>
        <v>4453.8387096774195</v>
      </c>
      <c r="X12" s="35">
        <f t="shared" si="10"/>
        <v>0.66774193548387084</v>
      </c>
      <c r="Y12" s="36">
        <f t="shared" si="29"/>
        <v>48992.225806451606</v>
      </c>
      <c r="Z12" s="206">
        <f>'B5'!C11</f>
        <v>213</v>
      </c>
      <c r="AA12" s="206">
        <f t="shared" si="30"/>
        <v>2130</v>
      </c>
      <c r="AB12" s="206">
        <f t="shared" si="31"/>
        <v>213</v>
      </c>
      <c r="AC12" s="206">
        <f t="shared" si="30"/>
        <v>2130</v>
      </c>
      <c r="AD12" s="206">
        <f t="shared" si="32"/>
        <v>213</v>
      </c>
      <c r="AE12" s="206">
        <f t="shared" si="11"/>
        <v>2130</v>
      </c>
      <c r="AF12" s="206">
        <f t="shared" si="33"/>
        <v>213</v>
      </c>
      <c r="AG12" s="206">
        <f t="shared" si="12"/>
        <v>2130</v>
      </c>
      <c r="AH12" s="206">
        <f t="shared" si="34"/>
        <v>213</v>
      </c>
      <c r="AI12" s="206">
        <f t="shared" si="13"/>
        <v>2130</v>
      </c>
      <c r="AJ12" s="206">
        <f t="shared" si="35"/>
        <v>213</v>
      </c>
      <c r="AK12" s="206">
        <f t="shared" si="14"/>
        <v>2130</v>
      </c>
      <c r="AL12" s="206">
        <f t="shared" si="36"/>
        <v>213</v>
      </c>
      <c r="AM12" s="206">
        <f t="shared" si="15"/>
        <v>2130</v>
      </c>
      <c r="AN12" s="35">
        <f t="shared" si="16"/>
        <v>0.76071428571428568</v>
      </c>
      <c r="AO12" s="36">
        <f t="shared" si="17"/>
        <v>14910</v>
      </c>
      <c r="AP12" s="594"/>
      <c r="AQ12" s="226">
        <f t="shared" si="37"/>
        <v>0.68734243096107994</v>
      </c>
      <c r="AR12" s="38">
        <f t="shared" si="41"/>
        <v>63902.225806451606</v>
      </c>
      <c r="AS12" s="200">
        <f t="shared" si="38"/>
        <v>-1296.7096774193706</v>
      </c>
      <c r="AT12" s="277"/>
      <c r="AU12" s="491"/>
      <c r="AV12" s="532">
        <f t="shared" si="42"/>
        <v>0.53</v>
      </c>
      <c r="AW12" s="298">
        <f>-SUM('B5'!AI11)</f>
        <v>0</v>
      </c>
      <c r="AX12" s="298">
        <f t="shared" si="39"/>
        <v>-1296.7096774193706</v>
      </c>
      <c r="AY12" s="37">
        <f t="shared" si="40"/>
        <v>-1296.7096774193706</v>
      </c>
      <c r="AZ12" s="100">
        <f>ELEC!A9</f>
        <v>0</v>
      </c>
      <c r="BA12" s="118">
        <f>'General information '!D12</f>
        <v>29.5</v>
      </c>
      <c r="BB12" s="404">
        <f>SUM('General information '!E12)</f>
        <v>0.75</v>
      </c>
      <c r="BC12" s="3">
        <f t="shared" si="43"/>
        <v>0</v>
      </c>
      <c r="BD12" s="102">
        <v>19222</v>
      </c>
      <c r="BE12" s="14">
        <f>(305/1185)*ELEC!Q10</f>
        <v>2059.0717299578059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197.2</v>
      </c>
      <c r="C13" s="206">
        <f t="shared" si="18"/>
        <v>4242.9806451612903</v>
      </c>
      <c r="D13">
        <f t="shared" si="19"/>
        <v>197.2</v>
      </c>
      <c r="E13" s="206">
        <f t="shared" si="18"/>
        <v>4242.9806451612903</v>
      </c>
      <c r="F13">
        <f t="shared" si="20"/>
        <v>197.2</v>
      </c>
      <c r="G13" s="206">
        <f t="shared" si="1"/>
        <v>4242.9806451612903</v>
      </c>
      <c r="H13" s="206">
        <f t="shared" si="21"/>
        <v>197.2</v>
      </c>
      <c r="I13" s="206">
        <f t="shared" si="2"/>
        <v>4242.9806451612903</v>
      </c>
      <c r="J13" s="206">
        <f t="shared" si="22"/>
        <v>197.2</v>
      </c>
      <c r="K13" s="206">
        <f t="shared" si="3"/>
        <v>4242.9806451612903</v>
      </c>
      <c r="L13" s="206">
        <f t="shared" si="23"/>
        <v>197.2</v>
      </c>
      <c r="M13" s="206">
        <f t="shared" si="4"/>
        <v>4242.9806451612903</v>
      </c>
      <c r="N13" s="206">
        <f t="shared" si="24"/>
        <v>197.2</v>
      </c>
      <c r="O13" s="206">
        <f t="shared" si="5"/>
        <v>4242.9806451612903</v>
      </c>
      <c r="P13" s="206">
        <f t="shared" si="25"/>
        <v>197.2</v>
      </c>
      <c r="Q13" s="206">
        <f t="shared" si="6"/>
        <v>4242.9806451612903</v>
      </c>
      <c r="R13" s="206">
        <f t="shared" si="26"/>
        <v>197.2</v>
      </c>
      <c r="S13" s="206">
        <f t="shared" si="7"/>
        <v>4242.9806451612903</v>
      </c>
      <c r="T13" s="206">
        <f t="shared" si="27"/>
        <v>197.2</v>
      </c>
      <c r="U13" s="206">
        <f t="shared" si="8"/>
        <v>4242.9806451612903</v>
      </c>
      <c r="V13" s="206">
        <f t="shared" si="28"/>
        <v>197.2</v>
      </c>
      <c r="W13" s="206">
        <f t="shared" si="9"/>
        <v>4242.9806451612903</v>
      </c>
      <c r="X13" s="35">
        <f t="shared" si="10"/>
        <v>0.6361290322580645</v>
      </c>
      <c r="Y13" s="36">
        <f t="shared" si="29"/>
        <v>46672.787096774191</v>
      </c>
      <c r="Z13" s="206">
        <f>'B5'!C12</f>
        <v>204</v>
      </c>
      <c r="AA13" s="206">
        <f t="shared" si="30"/>
        <v>2040</v>
      </c>
      <c r="AB13" s="206">
        <f t="shared" si="31"/>
        <v>204</v>
      </c>
      <c r="AC13" s="206">
        <f t="shared" si="30"/>
        <v>2040</v>
      </c>
      <c r="AD13" s="206">
        <f t="shared" si="32"/>
        <v>204</v>
      </c>
      <c r="AE13" s="206">
        <f t="shared" si="11"/>
        <v>2040</v>
      </c>
      <c r="AF13" s="206">
        <f t="shared" si="33"/>
        <v>204</v>
      </c>
      <c r="AG13" s="206">
        <f t="shared" si="12"/>
        <v>2040</v>
      </c>
      <c r="AH13" s="206">
        <f t="shared" si="34"/>
        <v>204</v>
      </c>
      <c r="AI13" s="206">
        <f t="shared" si="13"/>
        <v>2040</v>
      </c>
      <c r="AJ13" s="206">
        <f t="shared" si="35"/>
        <v>204</v>
      </c>
      <c r="AK13" s="206">
        <f t="shared" si="14"/>
        <v>2040</v>
      </c>
      <c r="AL13" s="206">
        <f t="shared" si="36"/>
        <v>204</v>
      </c>
      <c r="AM13" s="206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94"/>
      <c r="AQ13" s="226">
        <f t="shared" si="37"/>
        <v>0.65561780248224366</v>
      </c>
      <c r="AR13" s="38">
        <f t="shared" si="41"/>
        <v>60952.787096774191</v>
      </c>
      <c r="AS13" s="200">
        <f t="shared" si="38"/>
        <v>-2949.4387096774153</v>
      </c>
      <c r="AT13" s="277"/>
      <c r="AU13" s="449"/>
      <c r="AV13" s="532">
        <f t="shared" si="42"/>
        <v>0.53</v>
      </c>
      <c r="AW13" s="298">
        <f>-SUM('B5'!AI12)</f>
        <v>0</v>
      </c>
      <c r="AX13" s="298">
        <f t="shared" si="39"/>
        <v>-2949.4387096774153</v>
      </c>
      <c r="AY13" s="37">
        <f t="shared" si="40"/>
        <v>-2949.4387096774153</v>
      </c>
      <c r="AZ13" s="100">
        <f>ELEC!A10</f>
        <v>0</v>
      </c>
      <c r="BA13" s="118">
        <f>'General information '!D13</f>
        <v>29.5</v>
      </c>
      <c r="BB13" s="40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194</v>
      </c>
      <c r="C14" s="206">
        <f t="shared" si="18"/>
        <v>4174.1290322580644</v>
      </c>
      <c r="D14">
        <f t="shared" si="19"/>
        <v>194</v>
      </c>
      <c r="E14" s="206">
        <f t="shared" si="18"/>
        <v>4174.1290322580644</v>
      </c>
      <c r="F14">
        <f t="shared" si="20"/>
        <v>194</v>
      </c>
      <c r="G14" s="206">
        <f t="shared" si="1"/>
        <v>4174.1290322580644</v>
      </c>
      <c r="H14" s="206">
        <f t="shared" si="21"/>
        <v>194</v>
      </c>
      <c r="I14" s="206">
        <f t="shared" si="2"/>
        <v>4174.1290322580644</v>
      </c>
      <c r="J14" s="206">
        <f t="shared" si="22"/>
        <v>194</v>
      </c>
      <c r="K14" s="206">
        <f t="shared" si="3"/>
        <v>4174.1290322580644</v>
      </c>
      <c r="L14" s="206">
        <f t="shared" si="23"/>
        <v>194</v>
      </c>
      <c r="M14" s="206">
        <f t="shared" si="4"/>
        <v>4174.1290322580644</v>
      </c>
      <c r="N14" s="206">
        <f t="shared" si="24"/>
        <v>194</v>
      </c>
      <c r="O14" s="206">
        <f t="shared" si="5"/>
        <v>4174.1290322580644</v>
      </c>
      <c r="P14" s="206">
        <f t="shared" si="25"/>
        <v>194</v>
      </c>
      <c r="Q14" s="206">
        <f t="shared" si="6"/>
        <v>4174.1290322580644</v>
      </c>
      <c r="R14" s="206">
        <f t="shared" si="26"/>
        <v>194</v>
      </c>
      <c r="S14" s="206">
        <f t="shared" si="7"/>
        <v>4174.1290322580644</v>
      </c>
      <c r="T14" s="206">
        <f t="shared" si="27"/>
        <v>194</v>
      </c>
      <c r="U14" s="206">
        <f t="shared" si="8"/>
        <v>4174.1290322580644</v>
      </c>
      <c r="V14" s="206">
        <f t="shared" si="28"/>
        <v>194</v>
      </c>
      <c r="W14" s="206">
        <f t="shared" si="9"/>
        <v>4174.1290322580644</v>
      </c>
      <c r="X14" s="35">
        <f t="shared" si="10"/>
        <v>0.62580645161290305</v>
      </c>
      <c r="Y14" s="36">
        <f t="shared" si="29"/>
        <v>45915.419354838697</v>
      </c>
      <c r="Z14" s="206">
        <f>'B5'!C13</f>
        <v>201</v>
      </c>
      <c r="AA14" s="206">
        <f t="shared" si="30"/>
        <v>2010</v>
      </c>
      <c r="AB14" s="206">
        <f t="shared" si="31"/>
        <v>201</v>
      </c>
      <c r="AC14" s="206">
        <f t="shared" si="30"/>
        <v>2010</v>
      </c>
      <c r="AD14" s="206">
        <f t="shared" si="32"/>
        <v>201</v>
      </c>
      <c r="AE14" s="206">
        <f t="shared" si="11"/>
        <v>2010</v>
      </c>
      <c r="AF14" s="206">
        <f t="shared" si="33"/>
        <v>201</v>
      </c>
      <c r="AG14" s="206">
        <f t="shared" si="12"/>
        <v>2010</v>
      </c>
      <c r="AH14" s="206">
        <f t="shared" si="34"/>
        <v>201</v>
      </c>
      <c r="AI14" s="206">
        <f t="shared" si="13"/>
        <v>2010</v>
      </c>
      <c r="AJ14" s="206">
        <f t="shared" si="35"/>
        <v>201</v>
      </c>
      <c r="AK14" s="206">
        <f t="shared" si="14"/>
        <v>2010</v>
      </c>
      <c r="AL14" s="206">
        <f t="shared" si="36"/>
        <v>201</v>
      </c>
      <c r="AM14" s="206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6">
        <f t="shared" si="37"/>
        <v>0.64521264230223407</v>
      </c>
      <c r="AR14" s="38">
        <f t="shared" si="41"/>
        <v>59985.419354838697</v>
      </c>
      <c r="AS14" s="200">
        <f t="shared" si="38"/>
        <v>-967.36774193549354</v>
      </c>
      <c r="AT14" s="277"/>
      <c r="AU14" s="491"/>
      <c r="AV14" s="532">
        <f t="shared" si="42"/>
        <v>0.53</v>
      </c>
      <c r="AW14" s="298">
        <f>-SUM('B5'!AI13)</f>
        <v>0</v>
      </c>
      <c r="AX14" s="298">
        <f t="shared" si="39"/>
        <v>-967.36774193549354</v>
      </c>
      <c r="AY14" s="37">
        <f t="shared" si="40"/>
        <v>-967.36774193549354</v>
      </c>
      <c r="AZ14" s="100">
        <f>ELEC!A11</f>
        <v>0</v>
      </c>
      <c r="BA14" s="118">
        <f>'General information '!D14</f>
        <v>29.5</v>
      </c>
      <c r="BB14" s="404">
        <f>SUM('General information '!E14)</f>
        <v>0.75</v>
      </c>
      <c r="BC14" s="3">
        <f t="shared" si="43"/>
        <v>0</v>
      </c>
      <c r="BD14" s="102">
        <v>19222</v>
      </c>
      <c r="BE14" s="14">
        <f>(305/1185)*ELEC!Q12</f>
        <v>514.76793248945148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245</v>
      </c>
      <c r="C15" s="206">
        <f t="shared" si="18"/>
        <v>5271.4516129032254</v>
      </c>
      <c r="D15">
        <f t="shared" si="19"/>
        <v>245</v>
      </c>
      <c r="E15" s="206">
        <f t="shared" si="18"/>
        <v>5271.4516129032254</v>
      </c>
      <c r="F15">
        <f t="shared" si="20"/>
        <v>245</v>
      </c>
      <c r="G15" s="206">
        <f t="shared" si="1"/>
        <v>5271.4516129032254</v>
      </c>
      <c r="H15" s="206">
        <f t="shared" si="21"/>
        <v>245</v>
      </c>
      <c r="I15" s="206">
        <f t="shared" si="2"/>
        <v>5271.4516129032254</v>
      </c>
      <c r="J15" s="206">
        <f t="shared" si="22"/>
        <v>245</v>
      </c>
      <c r="K15" s="206">
        <f t="shared" si="3"/>
        <v>5271.4516129032254</v>
      </c>
      <c r="L15" s="206">
        <f t="shared" si="23"/>
        <v>245</v>
      </c>
      <c r="M15" s="206">
        <f t="shared" si="4"/>
        <v>5271.4516129032254</v>
      </c>
      <c r="N15" s="206">
        <f t="shared" si="24"/>
        <v>245</v>
      </c>
      <c r="O15" s="206">
        <f t="shared" si="5"/>
        <v>5271.4516129032254</v>
      </c>
      <c r="P15" s="206">
        <f t="shared" si="25"/>
        <v>245</v>
      </c>
      <c r="Q15" s="206">
        <f t="shared" si="6"/>
        <v>5271.4516129032254</v>
      </c>
      <c r="R15" s="206">
        <f t="shared" si="26"/>
        <v>245</v>
      </c>
      <c r="S15" s="206">
        <f t="shared" si="7"/>
        <v>5271.4516129032254</v>
      </c>
      <c r="T15" s="206">
        <f t="shared" si="27"/>
        <v>245</v>
      </c>
      <c r="U15" s="206">
        <f t="shared" si="8"/>
        <v>5271.4516129032254</v>
      </c>
      <c r="V15" s="206">
        <f t="shared" si="28"/>
        <v>245</v>
      </c>
      <c r="W15" s="206">
        <f t="shared" si="9"/>
        <v>5271.4516129032254</v>
      </c>
      <c r="X15" s="35">
        <f t="shared" si="10"/>
        <v>0.79032258064516137</v>
      </c>
      <c r="Y15" s="36">
        <f t="shared" si="29"/>
        <v>57985.967741935492</v>
      </c>
      <c r="Z15" s="206">
        <f>'B5'!C14</f>
        <v>250</v>
      </c>
      <c r="AA15" s="206">
        <f t="shared" si="30"/>
        <v>2500</v>
      </c>
      <c r="AB15" s="206">
        <f t="shared" si="31"/>
        <v>250</v>
      </c>
      <c r="AC15" s="206">
        <f t="shared" si="30"/>
        <v>2500</v>
      </c>
      <c r="AD15" s="206">
        <f t="shared" si="32"/>
        <v>250</v>
      </c>
      <c r="AE15" s="206">
        <f t="shared" si="11"/>
        <v>2500</v>
      </c>
      <c r="AF15" s="206">
        <f t="shared" si="33"/>
        <v>250</v>
      </c>
      <c r="AG15" s="206">
        <f t="shared" si="12"/>
        <v>2500</v>
      </c>
      <c r="AH15" s="206">
        <f t="shared" si="34"/>
        <v>250</v>
      </c>
      <c r="AI15" s="206">
        <f t="shared" si="13"/>
        <v>2500</v>
      </c>
      <c r="AJ15" s="206">
        <f t="shared" si="35"/>
        <v>250</v>
      </c>
      <c r="AK15" s="206">
        <f t="shared" si="14"/>
        <v>2500</v>
      </c>
      <c r="AL15" s="206">
        <f t="shared" si="36"/>
        <v>250</v>
      </c>
      <c r="AM15" s="206">
        <f t="shared" si="15"/>
        <v>2500</v>
      </c>
      <c r="AN15" s="35">
        <f t="shared" si="16"/>
        <v>0.8928571428571429</v>
      </c>
      <c r="AO15" s="36">
        <f t="shared" si="17"/>
        <v>17500</v>
      </c>
      <c r="AQ15" s="226">
        <f t="shared" si="37"/>
        <v>0.81193898829660627</v>
      </c>
      <c r="AR15" s="38">
        <f t="shared" si="41"/>
        <v>75485.967741935485</v>
      </c>
      <c r="AS15" s="200">
        <f>SUM(AR15-AR14-AT15)</f>
        <v>500.54838709678734</v>
      </c>
      <c r="AT15" s="277">
        <v>15000</v>
      </c>
      <c r="AU15" s="449">
        <v>0.54</v>
      </c>
      <c r="AV15" s="532">
        <f>IF(AT15&gt;0,AU15,AV14)</f>
        <v>0.54</v>
      </c>
      <c r="AW15" s="298">
        <f>-SUM('B5'!AI14)</f>
        <v>0</v>
      </c>
      <c r="AX15" s="298">
        <f>-SUM(AW15-AS15)</f>
        <v>500.54838709678734</v>
      </c>
      <c r="AY15" s="37">
        <f t="shared" si="40"/>
        <v>500.54838709678734</v>
      </c>
      <c r="AZ15" s="100">
        <f>ELEC!A12</f>
        <v>0</v>
      </c>
      <c r="BA15" s="118">
        <f>'General information '!D15</f>
        <v>29</v>
      </c>
      <c r="BB15" s="404">
        <f>SUM('General information '!E15)</f>
        <v>0.64</v>
      </c>
      <c r="BC15" s="3">
        <f t="shared" si="43"/>
        <v>1</v>
      </c>
      <c r="BD15" s="102">
        <v>19222</v>
      </c>
      <c r="BE15" s="14">
        <f>(305/1185)*ELEC!Q13</f>
        <v>772.15189873417728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241</v>
      </c>
      <c r="C16" s="206">
        <f t="shared" si="18"/>
        <v>5185.3870967741932</v>
      </c>
      <c r="D16">
        <f t="shared" si="19"/>
        <v>241</v>
      </c>
      <c r="E16" s="206">
        <f t="shared" si="18"/>
        <v>5185.3870967741932</v>
      </c>
      <c r="F16">
        <f t="shared" si="20"/>
        <v>241</v>
      </c>
      <c r="G16" s="206">
        <f t="shared" si="1"/>
        <v>5185.3870967741932</v>
      </c>
      <c r="H16" s="206">
        <f t="shared" si="21"/>
        <v>241</v>
      </c>
      <c r="I16" s="206">
        <f t="shared" si="2"/>
        <v>5185.3870967741932</v>
      </c>
      <c r="J16" s="206">
        <f t="shared" si="22"/>
        <v>241</v>
      </c>
      <c r="K16" s="206">
        <f t="shared" si="3"/>
        <v>5185.3870967741932</v>
      </c>
      <c r="L16" s="206">
        <f t="shared" si="23"/>
        <v>241</v>
      </c>
      <c r="M16" s="206">
        <f t="shared" si="4"/>
        <v>5185.3870967741932</v>
      </c>
      <c r="N16" s="206">
        <f t="shared" si="24"/>
        <v>241</v>
      </c>
      <c r="O16" s="206">
        <f t="shared" si="5"/>
        <v>5185.3870967741932</v>
      </c>
      <c r="P16" s="206">
        <f t="shared" si="25"/>
        <v>241</v>
      </c>
      <c r="Q16" s="206">
        <f t="shared" si="6"/>
        <v>5185.3870967741932</v>
      </c>
      <c r="R16" s="206">
        <f t="shared" si="26"/>
        <v>241</v>
      </c>
      <c r="S16" s="206">
        <f t="shared" si="7"/>
        <v>5185.3870967741932</v>
      </c>
      <c r="T16" s="206">
        <f t="shared" si="27"/>
        <v>241</v>
      </c>
      <c r="U16" s="206">
        <f t="shared" si="8"/>
        <v>5185.3870967741932</v>
      </c>
      <c r="V16" s="206">
        <f t="shared" si="28"/>
        <v>241</v>
      </c>
      <c r="W16" s="206">
        <f t="shared" si="9"/>
        <v>5185.3870967741932</v>
      </c>
      <c r="X16" s="35">
        <f t="shared" si="10"/>
        <v>0.77741935483870972</v>
      </c>
      <c r="Y16" s="36">
        <f t="shared" si="29"/>
        <v>57039.258064516136</v>
      </c>
      <c r="Z16" s="206">
        <f>'B5'!C15</f>
        <v>247</v>
      </c>
      <c r="AA16" s="206">
        <f t="shared" si="30"/>
        <v>2470</v>
      </c>
      <c r="AB16" s="206">
        <f t="shared" si="31"/>
        <v>247</v>
      </c>
      <c r="AC16" s="206">
        <f t="shared" si="30"/>
        <v>2470</v>
      </c>
      <c r="AD16" s="206">
        <f t="shared" si="32"/>
        <v>247</v>
      </c>
      <c r="AE16" s="206">
        <f t="shared" si="11"/>
        <v>2470</v>
      </c>
      <c r="AF16" s="206">
        <f t="shared" si="33"/>
        <v>247</v>
      </c>
      <c r="AG16" s="206">
        <f t="shared" si="12"/>
        <v>2470</v>
      </c>
      <c r="AH16" s="206">
        <f t="shared" si="34"/>
        <v>247</v>
      </c>
      <c r="AI16" s="206">
        <f t="shared" si="13"/>
        <v>2470</v>
      </c>
      <c r="AJ16" s="206">
        <f t="shared" si="35"/>
        <v>247</v>
      </c>
      <c r="AK16" s="206">
        <f t="shared" si="14"/>
        <v>2470</v>
      </c>
      <c r="AL16" s="206">
        <f t="shared" si="36"/>
        <v>247</v>
      </c>
      <c r="AM16" s="206">
        <f t="shared" si="15"/>
        <v>2470</v>
      </c>
      <c r="AN16" s="35">
        <f t="shared" si="16"/>
        <v>0.88214285714285712</v>
      </c>
      <c r="AO16" s="36">
        <f t="shared" si="17"/>
        <v>17290</v>
      </c>
      <c r="AQ16" s="226">
        <f t="shared" si="37"/>
        <v>0.79949723636136538</v>
      </c>
      <c r="AR16" s="38">
        <f t="shared" si="41"/>
        <v>74329.258064516136</v>
      </c>
      <c r="AS16" s="200">
        <f>SUM(AR16-AR15-AT16)</f>
        <v>-1156.7096774193487</v>
      </c>
      <c r="AT16" s="365"/>
      <c r="AU16" s="449"/>
      <c r="AV16" s="532">
        <f>IF(AT16&gt;0,AU16,AV15)</f>
        <v>0.54</v>
      </c>
      <c r="AW16" s="298">
        <f>-SUM('B5'!AI15)</f>
        <v>0</v>
      </c>
      <c r="AX16" s="298">
        <f>-SUM(AW16-AS16)</f>
        <v>-1156.7096774193487</v>
      </c>
      <c r="AY16" s="37">
        <f t="shared" si="40"/>
        <v>-1156.7096774193487</v>
      </c>
      <c r="AZ16" s="100">
        <f>ELEC!A13</f>
        <v>0</v>
      </c>
      <c r="BA16" s="118">
        <f>'General information '!D16</f>
        <v>30</v>
      </c>
      <c r="BB16" s="404">
        <f>SUM('General information '!E16)</f>
        <v>0.77</v>
      </c>
      <c r="BC16" s="3">
        <f t="shared" si="43"/>
        <v>0</v>
      </c>
      <c r="BD16" s="102">
        <v>19222</v>
      </c>
      <c r="BE16" s="14">
        <f>(305/1185)*ELEC!Q14</f>
        <v>772.15189873417728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238</v>
      </c>
      <c r="C17" s="206">
        <f t="shared" si="18"/>
        <v>5120.8387096774195</v>
      </c>
      <c r="D17">
        <f t="shared" si="19"/>
        <v>238</v>
      </c>
      <c r="E17" s="206">
        <f t="shared" si="18"/>
        <v>5120.8387096774195</v>
      </c>
      <c r="F17">
        <f t="shared" si="20"/>
        <v>238</v>
      </c>
      <c r="G17" s="206">
        <f t="shared" si="1"/>
        <v>5120.8387096774195</v>
      </c>
      <c r="H17" s="206">
        <f t="shared" si="21"/>
        <v>238</v>
      </c>
      <c r="I17" s="206">
        <f t="shared" si="2"/>
        <v>5120.8387096774195</v>
      </c>
      <c r="J17" s="206">
        <f t="shared" si="22"/>
        <v>238</v>
      </c>
      <c r="K17" s="206">
        <f t="shared" si="3"/>
        <v>5120.8387096774195</v>
      </c>
      <c r="L17" s="206">
        <f t="shared" si="23"/>
        <v>238</v>
      </c>
      <c r="M17" s="206">
        <f t="shared" si="4"/>
        <v>5120.8387096774195</v>
      </c>
      <c r="N17" s="206">
        <f t="shared" si="24"/>
        <v>238</v>
      </c>
      <c r="O17" s="206">
        <f t="shared" si="5"/>
        <v>5120.8387096774195</v>
      </c>
      <c r="P17" s="206">
        <f t="shared" si="25"/>
        <v>238</v>
      </c>
      <c r="Q17" s="206">
        <f t="shared" si="6"/>
        <v>5120.8387096774195</v>
      </c>
      <c r="R17" s="206">
        <f t="shared" si="26"/>
        <v>238</v>
      </c>
      <c r="S17" s="206">
        <f t="shared" si="7"/>
        <v>5120.8387096774195</v>
      </c>
      <c r="T17" s="206">
        <f t="shared" si="27"/>
        <v>238</v>
      </c>
      <c r="U17" s="206">
        <f t="shared" si="8"/>
        <v>5120.8387096774195</v>
      </c>
      <c r="V17" s="206">
        <f t="shared" si="28"/>
        <v>238</v>
      </c>
      <c r="W17" s="206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206">
        <f>'B5'!C16</f>
        <v>243.2</v>
      </c>
      <c r="AA17" s="206">
        <f t="shared" si="30"/>
        <v>2432</v>
      </c>
      <c r="AB17" s="206">
        <f t="shared" si="31"/>
        <v>243.2</v>
      </c>
      <c r="AC17" s="206">
        <f t="shared" si="30"/>
        <v>2432</v>
      </c>
      <c r="AD17" s="206">
        <f t="shared" si="32"/>
        <v>243.2</v>
      </c>
      <c r="AE17" s="206">
        <f t="shared" si="11"/>
        <v>2432</v>
      </c>
      <c r="AF17" s="206">
        <f t="shared" si="33"/>
        <v>243.2</v>
      </c>
      <c r="AG17" s="206">
        <f t="shared" si="12"/>
        <v>2432</v>
      </c>
      <c r="AH17" s="206">
        <f t="shared" si="34"/>
        <v>243.2</v>
      </c>
      <c r="AI17" s="206">
        <f t="shared" si="13"/>
        <v>2432</v>
      </c>
      <c r="AJ17" s="206">
        <f t="shared" si="35"/>
        <v>243.2</v>
      </c>
      <c r="AK17" s="206">
        <f t="shared" si="14"/>
        <v>2432</v>
      </c>
      <c r="AL17" s="206">
        <f t="shared" si="36"/>
        <v>243.2</v>
      </c>
      <c r="AM17" s="206">
        <f t="shared" si="15"/>
        <v>2432</v>
      </c>
      <c r="AN17" s="35">
        <f t="shared" si="16"/>
        <v>0.86857142857142855</v>
      </c>
      <c r="AO17" s="36">
        <f>SUM(AA17+AC17+AE17+AG17+AI17+AK17+AM17)</f>
        <v>17024</v>
      </c>
      <c r="AQ17" s="226">
        <f t="shared" si="37"/>
        <v>0.78899887927774126</v>
      </c>
      <c r="AR17" s="38">
        <f t="shared" si="41"/>
        <v>73353.225806451606</v>
      </c>
      <c r="AS17" s="200">
        <f t="shared" si="38"/>
        <v>-976.03225806452974</v>
      </c>
      <c r="AT17" s="365"/>
      <c r="AU17" s="491"/>
      <c r="AV17" s="532">
        <f t="shared" si="42"/>
        <v>0.54</v>
      </c>
      <c r="AW17" s="298">
        <f>-SUM('B5'!AI16)</f>
        <v>0</v>
      </c>
      <c r="AX17" s="298">
        <f t="shared" si="39"/>
        <v>-976.03225806452974</v>
      </c>
      <c r="AY17" s="37">
        <f t="shared" si="40"/>
        <v>-976.03225806452974</v>
      </c>
      <c r="AZ17" s="100">
        <f>ELEC!A14</f>
        <v>0</v>
      </c>
      <c r="BA17" s="118">
        <f>'General information '!D17</f>
        <v>29.5</v>
      </c>
      <c r="BB17" s="404">
        <f>SUM('General information '!E17)</f>
        <v>0.75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235</v>
      </c>
      <c r="C18" s="206">
        <f t="shared" si="18"/>
        <v>5056.2903225806449</v>
      </c>
      <c r="D18">
        <f t="shared" si="19"/>
        <v>235</v>
      </c>
      <c r="E18" s="206">
        <f t="shared" si="18"/>
        <v>5056.2903225806449</v>
      </c>
      <c r="F18">
        <f t="shared" si="20"/>
        <v>235</v>
      </c>
      <c r="G18" s="206">
        <f t="shared" si="1"/>
        <v>5056.2903225806449</v>
      </c>
      <c r="H18" s="206">
        <f t="shared" si="21"/>
        <v>235</v>
      </c>
      <c r="I18" s="206">
        <f t="shared" si="2"/>
        <v>5056.2903225806449</v>
      </c>
      <c r="J18" s="206">
        <f t="shared" si="22"/>
        <v>235</v>
      </c>
      <c r="K18" s="206">
        <f t="shared" si="3"/>
        <v>5056.2903225806449</v>
      </c>
      <c r="L18" s="206">
        <f t="shared" si="23"/>
        <v>235</v>
      </c>
      <c r="M18" s="206">
        <f t="shared" si="4"/>
        <v>5056.2903225806449</v>
      </c>
      <c r="N18" s="206">
        <f t="shared" si="24"/>
        <v>235</v>
      </c>
      <c r="O18" s="206">
        <f t="shared" si="5"/>
        <v>5056.2903225806449</v>
      </c>
      <c r="P18" s="206">
        <f t="shared" si="25"/>
        <v>235</v>
      </c>
      <c r="Q18" s="206">
        <f t="shared" si="6"/>
        <v>5056.2903225806449</v>
      </c>
      <c r="R18" s="206">
        <f t="shared" si="26"/>
        <v>235</v>
      </c>
      <c r="S18" s="206">
        <f t="shared" si="7"/>
        <v>5056.2903225806449</v>
      </c>
      <c r="T18" s="206">
        <f t="shared" si="27"/>
        <v>235</v>
      </c>
      <c r="U18" s="206">
        <f t="shared" si="8"/>
        <v>5056.2903225806449</v>
      </c>
      <c r="V18" s="206">
        <f t="shared" si="28"/>
        <v>235</v>
      </c>
      <c r="W18" s="206">
        <f t="shared" si="9"/>
        <v>5056.2903225806449</v>
      </c>
      <c r="X18" s="35">
        <f t="shared" si="10"/>
        <v>0.75806451612903214</v>
      </c>
      <c r="Y18" s="36">
        <f t="shared" si="29"/>
        <v>55619.193548387091</v>
      </c>
      <c r="Z18" s="206">
        <f>'B5'!C17</f>
        <v>241.2</v>
      </c>
      <c r="AA18" s="206">
        <f t="shared" si="30"/>
        <v>2412</v>
      </c>
      <c r="AB18" s="206">
        <f t="shared" si="31"/>
        <v>241.2</v>
      </c>
      <c r="AC18" s="206">
        <f t="shared" si="30"/>
        <v>2412</v>
      </c>
      <c r="AD18" s="206">
        <f t="shared" si="32"/>
        <v>241.2</v>
      </c>
      <c r="AE18" s="206">
        <f t="shared" si="11"/>
        <v>2412</v>
      </c>
      <c r="AF18" s="206">
        <f t="shared" si="33"/>
        <v>241.2</v>
      </c>
      <c r="AG18" s="206">
        <f t="shared" si="12"/>
        <v>2412</v>
      </c>
      <c r="AH18" s="206">
        <f t="shared" si="34"/>
        <v>241.2</v>
      </c>
      <c r="AI18" s="206">
        <f t="shared" si="13"/>
        <v>2412</v>
      </c>
      <c r="AJ18" s="206">
        <f t="shared" si="35"/>
        <v>241.2</v>
      </c>
      <c r="AK18" s="206">
        <f t="shared" si="14"/>
        <v>2412</v>
      </c>
      <c r="AL18" s="206">
        <f t="shared" si="36"/>
        <v>241.2</v>
      </c>
      <c r="AM18" s="206">
        <f t="shared" si="15"/>
        <v>2412</v>
      </c>
      <c r="AN18" s="35">
        <f t="shared" si="16"/>
        <v>0.86142857142857143</v>
      </c>
      <c r="AO18" s="36">
        <f t="shared" si="17"/>
        <v>16884</v>
      </c>
      <c r="AQ18" s="226">
        <f t="shared" si="37"/>
        <v>0.77985579808956751</v>
      </c>
      <c r="AR18" s="38">
        <f t="shared" si="41"/>
        <v>72503.193548387091</v>
      </c>
      <c r="AS18" s="200">
        <f t="shared" si="38"/>
        <v>-850.03225806451519</v>
      </c>
      <c r="AT18" s="277"/>
      <c r="AU18" s="449"/>
      <c r="AV18" s="532">
        <f>IF(AT18&gt;0,AU18,AV17)</f>
        <v>0.54</v>
      </c>
      <c r="AW18" s="298">
        <f>-SUM('B5'!AI17)</f>
        <v>0</v>
      </c>
      <c r="AX18" s="298">
        <f t="shared" si="39"/>
        <v>-850.03225806451519</v>
      </c>
      <c r="AY18" s="37">
        <f t="shared" si="40"/>
        <v>-850.03225806451519</v>
      </c>
      <c r="AZ18" s="100">
        <f>ELEC!A15</f>
        <v>0</v>
      </c>
      <c r="BA18" s="118">
        <f>'General information '!D18</f>
        <v>28</v>
      </c>
      <c r="BB18" s="404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514.76793248945148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233.4</v>
      </c>
      <c r="C19" s="206">
        <f t="shared" si="18"/>
        <v>5021.8645161290324</v>
      </c>
      <c r="D19">
        <f t="shared" si="19"/>
        <v>233.4</v>
      </c>
      <c r="E19" s="206">
        <f t="shared" si="18"/>
        <v>5021.8645161290324</v>
      </c>
      <c r="F19">
        <f t="shared" si="20"/>
        <v>233.4</v>
      </c>
      <c r="G19" s="206">
        <f t="shared" si="1"/>
        <v>5021.8645161290324</v>
      </c>
      <c r="H19" s="206">
        <f t="shared" si="21"/>
        <v>233.4</v>
      </c>
      <c r="I19" s="206">
        <f t="shared" si="2"/>
        <v>5021.8645161290324</v>
      </c>
      <c r="J19" s="206">
        <f t="shared" si="22"/>
        <v>233.4</v>
      </c>
      <c r="K19" s="206">
        <f t="shared" si="3"/>
        <v>5021.8645161290324</v>
      </c>
      <c r="L19" s="206">
        <f t="shared" si="23"/>
        <v>233.4</v>
      </c>
      <c r="M19" s="206">
        <f t="shared" si="4"/>
        <v>5021.8645161290324</v>
      </c>
      <c r="N19" s="206">
        <f t="shared" si="24"/>
        <v>233.4</v>
      </c>
      <c r="O19" s="206">
        <f t="shared" si="5"/>
        <v>5021.8645161290324</v>
      </c>
      <c r="P19" s="206">
        <f t="shared" si="25"/>
        <v>233.4</v>
      </c>
      <c r="Q19" s="206">
        <f t="shared" si="6"/>
        <v>5021.8645161290324</v>
      </c>
      <c r="R19" s="206">
        <f t="shared" si="26"/>
        <v>233.4</v>
      </c>
      <c r="S19" s="206">
        <f t="shared" si="7"/>
        <v>5021.8645161290324</v>
      </c>
      <c r="T19" s="206">
        <f t="shared" si="27"/>
        <v>233.4</v>
      </c>
      <c r="U19" s="206">
        <f t="shared" si="8"/>
        <v>5021.8645161290324</v>
      </c>
      <c r="V19" s="206">
        <f t="shared" si="28"/>
        <v>233.4</v>
      </c>
      <c r="W19" s="206">
        <f t="shared" si="9"/>
        <v>5021.8645161290324</v>
      </c>
      <c r="X19" s="35">
        <f t="shared" si="10"/>
        <v>0.75290322580645164</v>
      </c>
      <c r="Y19" s="36">
        <f t="shared" si="29"/>
        <v>55240.509677419359</v>
      </c>
      <c r="Z19" s="206">
        <f>'B5'!C18</f>
        <v>239</v>
      </c>
      <c r="AA19" s="206">
        <f t="shared" si="30"/>
        <v>2390</v>
      </c>
      <c r="AB19" s="206">
        <f t="shared" si="31"/>
        <v>239</v>
      </c>
      <c r="AC19" s="206">
        <f t="shared" si="30"/>
        <v>2390</v>
      </c>
      <c r="AD19" s="206">
        <f t="shared" si="32"/>
        <v>239</v>
      </c>
      <c r="AE19" s="206">
        <f t="shared" si="11"/>
        <v>2390</v>
      </c>
      <c r="AF19" s="206">
        <f t="shared" si="33"/>
        <v>239</v>
      </c>
      <c r="AG19" s="206">
        <f t="shared" si="12"/>
        <v>2390</v>
      </c>
      <c r="AH19" s="206">
        <f t="shared" si="34"/>
        <v>239</v>
      </c>
      <c r="AI19" s="206">
        <f t="shared" si="13"/>
        <v>2390</v>
      </c>
      <c r="AJ19" s="206">
        <f t="shared" si="35"/>
        <v>239</v>
      </c>
      <c r="AK19" s="206">
        <f t="shared" si="14"/>
        <v>2390</v>
      </c>
      <c r="AL19" s="206">
        <f t="shared" si="36"/>
        <v>239</v>
      </c>
      <c r="AM19" s="206">
        <f t="shared" si="15"/>
        <v>2390</v>
      </c>
      <c r="AN19" s="35">
        <f t="shared" si="16"/>
        <v>0.85357142857142854</v>
      </c>
      <c r="AO19" s="36">
        <f t="shared" si="17"/>
        <v>16730</v>
      </c>
      <c r="AQ19" s="226">
        <f t="shared" si="37"/>
        <v>0.77412616626244324</v>
      </c>
      <c r="AR19" s="38">
        <f t="shared" si="41"/>
        <v>71970.509677419352</v>
      </c>
      <c r="AS19" s="200">
        <f t="shared" si="38"/>
        <v>-532.68387096773949</v>
      </c>
      <c r="AT19" s="277"/>
      <c r="AU19" s="449"/>
      <c r="AV19" s="532">
        <f t="shared" si="42"/>
        <v>0.54</v>
      </c>
      <c r="AW19" s="298">
        <f>-SUM('B5'!AI18)</f>
        <v>0</v>
      </c>
      <c r="AX19" s="298">
        <f t="shared" si="39"/>
        <v>-532.68387096773949</v>
      </c>
      <c r="AY19" s="37">
        <f t="shared" si="40"/>
        <v>-532.68387096773949</v>
      </c>
      <c r="AZ19" s="100">
        <f>ELEC!A16</f>
        <v>0</v>
      </c>
      <c r="BA19" s="118">
        <f>'General information '!D19</f>
        <v>28.5</v>
      </c>
      <c r="BB19" s="404">
        <f>SUM('General information '!E19)</f>
        <v>0.69</v>
      </c>
      <c r="BC19" s="3">
        <f t="shared" si="43"/>
        <v>0</v>
      </c>
      <c r="BD19" s="102">
        <v>19222</v>
      </c>
      <c r="BE19" s="14">
        <f>(305/1185)*ELEC!Q17</f>
        <v>772.15189873417728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229</v>
      </c>
      <c r="C20" s="206">
        <f t="shared" si="18"/>
        <v>4927.1935483870966</v>
      </c>
      <c r="D20">
        <f t="shared" si="19"/>
        <v>229</v>
      </c>
      <c r="E20" s="206">
        <f t="shared" si="18"/>
        <v>4927.1935483870966</v>
      </c>
      <c r="F20">
        <f t="shared" si="20"/>
        <v>229</v>
      </c>
      <c r="G20" s="206">
        <f t="shared" si="1"/>
        <v>4927.1935483870966</v>
      </c>
      <c r="H20" s="206">
        <f t="shared" si="21"/>
        <v>229</v>
      </c>
      <c r="I20" s="206">
        <f t="shared" si="2"/>
        <v>4927.1935483870966</v>
      </c>
      <c r="J20" s="206">
        <f t="shared" si="22"/>
        <v>229</v>
      </c>
      <c r="K20" s="206">
        <f t="shared" si="3"/>
        <v>4927.1935483870966</v>
      </c>
      <c r="L20" s="206">
        <f t="shared" si="23"/>
        <v>229</v>
      </c>
      <c r="M20" s="206">
        <f t="shared" si="4"/>
        <v>4927.1935483870966</v>
      </c>
      <c r="N20" s="206">
        <f t="shared" si="24"/>
        <v>229</v>
      </c>
      <c r="O20" s="206">
        <f t="shared" si="5"/>
        <v>4927.1935483870966</v>
      </c>
      <c r="P20" s="206">
        <f t="shared" si="25"/>
        <v>229</v>
      </c>
      <c r="Q20" s="206">
        <f t="shared" si="6"/>
        <v>4927.1935483870966</v>
      </c>
      <c r="R20" s="206">
        <f t="shared" si="26"/>
        <v>229</v>
      </c>
      <c r="S20" s="206">
        <f t="shared" si="7"/>
        <v>4927.1935483870966</v>
      </c>
      <c r="T20" s="206">
        <f t="shared" si="27"/>
        <v>229</v>
      </c>
      <c r="U20" s="206">
        <f t="shared" si="8"/>
        <v>4927.1935483870966</v>
      </c>
      <c r="V20" s="206">
        <f t="shared" si="28"/>
        <v>229</v>
      </c>
      <c r="W20" s="206">
        <f t="shared" si="9"/>
        <v>4927.1935483870966</v>
      </c>
      <c r="X20" s="35">
        <f t="shared" si="10"/>
        <v>0.738709677419355</v>
      </c>
      <c r="Y20" s="36">
        <f t="shared" si="29"/>
        <v>54199.129032258075</v>
      </c>
      <c r="Z20" s="206">
        <f>'B5'!C19</f>
        <v>236</v>
      </c>
      <c r="AA20" s="206">
        <f t="shared" si="30"/>
        <v>2360</v>
      </c>
      <c r="AB20" s="206">
        <f t="shared" si="31"/>
        <v>236</v>
      </c>
      <c r="AC20" s="206">
        <f t="shared" si="30"/>
        <v>2360</v>
      </c>
      <c r="AD20" s="206">
        <f t="shared" si="32"/>
        <v>236</v>
      </c>
      <c r="AE20" s="206">
        <f t="shared" si="11"/>
        <v>2360</v>
      </c>
      <c r="AF20" s="206">
        <f t="shared" si="33"/>
        <v>236</v>
      </c>
      <c r="AG20" s="206">
        <f t="shared" si="12"/>
        <v>2360</v>
      </c>
      <c r="AH20" s="206">
        <f t="shared" si="34"/>
        <v>236</v>
      </c>
      <c r="AI20" s="206">
        <f t="shared" si="13"/>
        <v>2360</v>
      </c>
      <c r="AJ20" s="206">
        <f t="shared" si="35"/>
        <v>236</v>
      </c>
      <c r="AK20" s="206">
        <f t="shared" si="14"/>
        <v>2360</v>
      </c>
      <c r="AL20" s="206">
        <f t="shared" si="36"/>
        <v>236</v>
      </c>
      <c r="AM20" s="206">
        <f t="shared" si="15"/>
        <v>2360</v>
      </c>
      <c r="AN20" s="35">
        <f t="shared" si="16"/>
        <v>0.84285714285714286</v>
      </c>
      <c r="AO20" s="36">
        <f t="shared" si="17"/>
        <v>16520</v>
      </c>
      <c r="AQ20" s="226">
        <f t="shared" si="37"/>
        <v>0.76066611844958665</v>
      </c>
      <c r="AR20" s="38">
        <f t="shared" si="41"/>
        <v>70719.129032258075</v>
      </c>
      <c r="AS20" s="200">
        <f t="shared" si="38"/>
        <v>-1251.3806451612763</v>
      </c>
      <c r="AT20" s="277"/>
      <c r="AU20" s="449"/>
      <c r="AV20" s="532">
        <f t="shared" si="42"/>
        <v>0.54</v>
      </c>
      <c r="AW20" s="298">
        <f>-SUM('B5'!AI19)</f>
        <v>0</v>
      </c>
      <c r="AX20" s="298">
        <f t="shared" si="39"/>
        <v>-1251.3806451612763</v>
      </c>
      <c r="AY20" s="37">
        <f t="shared" si="40"/>
        <v>-1251.3806451612763</v>
      </c>
      <c r="AZ20" s="100">
        <f>ELEC!A17</f>
        <v>0</v>
      </c>
      <c r="BA20" s="118">
        <f>'General information '!D20</f>
        <v>26.5</v>
      </c>
      <c r="BB20" s="404">
        <f>SUM('General information '!E20)</f>
        <v>0.74</v>
      </c>
      <c r="BC20" s="3">
        <f t="shared" si="43"/>
        <v>0</v>
      </c>
      <c r="BD20" s="102">
        <v>19222</v>
      </c>
      <c r="BE20" s="14">
        <f>(305/1185)*ELEC!Q18</f>
        <v>772.15189873417728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226.4</v>
      </c>
      <c r="C21" s="206">
        <f t="shared" si="18"/>
        <v>4871.2516129032256</v>
      </c>
      <c r="D21">
        <f t="shared" si="19"/>
        <v>226.4</v>
      </c>
      <c r="E21" s="206">
        <f t="shared" si="18"/>
        <v>4871.2516129032256</v>
      </c>
      <c r="F21">
        <f t="shared" si="20"/>
        <v>226.4</v>
      </c>
      <c r="G21" s="206">
        <f t="shared" si="1"/>
        <v>4871.2516129032256</v>
      </c>
      <c r="H21" s="206">
        <f t="shared" si="21"/>
        <v>226.4</v>
      </c>
      <c r="I21" s="206">
        <f t="shared" si="2"/>
        <v>4871.2516129032256</v>
      </c>
      <c r="J21" s="206">
        <f t="shared" si="22"/>
        <v>226.4</v>
      </c>
      <c r="K21" s="206">
        <f t="shared" si="3"/>
        <v>4871.2516129032256</v>
      </c>
      <c r="L21" s="206">
        <f t="shared" si="23"/>
        <v>226.4</v>
      </c>
      <c r="M21" s="206">
        <f t="shared" si="4"/>
        <v>4871.2516129032256</v>
      </c>
      <c r="N21" s="206">
        <f t="shared" si="24"/>
        <v>226.4</v>
      </c>
      <c r="O21" s="206">
        <f t="shared" si="5"/>
        <v>4871.2516129032256</v>
      </c>
      <c r="P21" s="206">
        <f t="shared" si="25"/>
        <v>226.4</v>
      </c>
      <c r="Q21" s="206">
        <f t="shared" si="6"/>
        <v>4871.2516129032256</v>
      </c>
      <c r="R21" s="206">
        <f t="shared" si="26"/>
        <v>226.4</v>
      </c>
      <c r="S21" s="206">
        <f t="shared" si="7"/>
        <v>4871.2516129032256</v>
      </c>
      <c r="T21" s="206">
        <f t="shared" si="27"/>
        <v>226.4</v>
      </c>
      <c r="U21" s="206">
        <f t="shared" si="8"/>
        <v>4871.2516129032256</v>
      </c>
      <c r="V21" s="206">
        <f t="shared" si="28"/>
        <v>226.4</v>
      </c>
      <c r="W21" s="206">
        <f t="shared" si="9"/>
        <v>4871.2516129032256</v>
      </c>
      <c r="X21" s="35">
        <f t="shared" si="10"/>
        <v>0.73032258064516109</v>
      </c>
      <c r="Y21" s="36">
        <f t="shared" si="29"/>
        <v>53583.767741935473</v>
      </c>
      <c r="Z21" s="206">
        <f>'B5'!C20</f>
        <v>232.4</v>
      </c>
      <c r="AA21" s="206">
        <f t="shared" si="30"/>
        <v>2324</v>
      </c>
      <c r="AB21" s="206">
        <f t="shared" si="31"/>
        <v>232.4</v>
      </c>
      <c r="AC21" s="206">
        <f t="shared" si="30"/>
        <v>2324</v>
      </c>
      <c r="AD21" s="206">
        <f t="shared" si="32"/>
        <v>232.4</v>
      </c>
      <c r="AE21" s="206">
        <f t="shared" si="11"/>
        <v>2324</v>
      </c>
      <c r="AF21" s="206">
        <f t="shared" si="33"/>
        <v>232.4</v>
      </c>
      <c r="AG21" s="206">
        <f t="shared" si="12"/>
        <v>2324</v>
      </c>
      <c r="AH21" s="206">
        <f t="shared" si="34"/>
        <v>232.4</v>
      </c>
      <c r="AI21" s="206">
        <f t="shared" si="13"/>
        <v>2324</v>
      </c>
      <c r="AJ21" s="206">
        <f t="shared" si="35"/>
        <v>232.4</v>
      </c>
      <c r="AK21" s="206">
        <f t="shared" si="14"/>
        <v>2324</v>
      </c>
      <c r="AL21" s="206">
        <f t="shared" si="36"/>
        <v>232.4</v>
      </c>
      <c r="AM21" s="206">
        <f t="shared" si="15"/>
        <v>2324</v>
      </c>
      <c r="AN21" s="35">
        <f t="shared" si="16"/>
        <v>0.83</v>
      </c>
      <c r="AO21" s="36">
        <f t="shared" si="17"/>
        <v>16268</v>
      </c>
      <c r="AQ21" s="226">
        <f t="shared" si="37"/>
        <v>0.75133664345418383</v>
      </c>
      <c r="AR21" s="38">
        <f t="shared" si="41"/>
        <v>69851.767741935473</v>
      </c>
      <c r="AS21" s="200">
        <f>SUM(AR21-AR20-AT21)</f>
        <v>-867.36129032260214</v>
      </c>
      <c r="AT21" s="277"/>
      <c r="AU21" s="449"/>
      <c r="AV21" s="532">
        <f t="shared" si="42"/>
        <v>0.54</v>
      </c>
      <c r="AW21" s="298">
        <f>-SUM('B5'!AI20)</f>
        <v>0</v>
      </c>
      <c r="AX21" s="298">
        <f t="shared" si="39"/>
        <v>-867.36129032260214</v>
      </c>
      <c r="AY21" s="37">
        <f t="shared" si="40"/>
        <v>-867.36129032260214</v>
      </c>
      <c r="AZ21" s="100">
        <f>ELEC!A18</f>
        <v>0</v>
      </c>
      <c r="BA21" s="118">
        <f>'General information '!D21</f>
        <v>28.5</v>
      </c>
      <c r="BB21" s="404">
        <f>SUM('General information '!E21)</f>
        <v>0.72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225</v>
      </c>
      <c r="C22" s="206">
        <f t="shared" si="18"/>
        <v>4841.1290322580644</v>
      </c>
      <c r="D22">
        <f t="shared" si="19"/>
        <v>225</v>
      </c>
      <c r="E22" s="206">
        <f t="shared" si="18"/>
        <v>4841.1290322580644</v>
      </c>
      <c r="F22">
        <f t="shared" si="20"/>
        <v>225</v>
      </c>
      <c r="G22" s="206">
        <f t="shared" si="1"/>
        <v>4841.1290322580644</v>
      </c>
      <c r="H22" s="206">
        <f t="shared" si="21"/>
        <v>225</v>
      </c>
      <c r="I22" s="206">
        <f t="shared" si="2"/>
        <v>4841.1290322580644</v>
      </c>
      <c r="J22" s="206">
        <f t="shared" si="22"/>
        <v>225</v>
      </c>
      <c r="K22" s="206">
        <f t="shared" si="3"/>
        <v>4841.1290322580644</v>
      </c>
      <c r="L22" s="206">
        <f t="shared" si="23"/>
        <v>225</v>
      </c>
      <c r="M22" s="206">
        <f t="shared" si="4"/>
        <v>4841.1290322580644</v>
      </c>
      <c r="N22" s="206">
        <f t="shared" si="24"/>
        <v>225</v>
      </c>
      <c r="O22" s="206">
        <f t="shared" si="5"/>
        <v>4841.1290322580644</v>
      </c>
      <c r="P22" s="206">
        <f t="shared" si="25"/>
        <v>225</v>
      </c>
      <c r="Q22" s="206">
        <f t="shared" si="6"/>
        <v>4841.1290322580644</v>
      </c>
      <c r="R22" s="206">
        <f t="shared" si="26"/>
        <v>225</v>
      </c>
      <c r="S22" s="206">
        <f t="shared" si="7"/>
        <v>4841.1290322580644</v>
      </c>
      <c r="T22" s="206">
        <f t="shared" si="27"/>
        <v>225</v>
      </c>
      <c r="U22" s="206">
        <f t="shared" si="8"/>
        <v>4841.1290322580644</v>
      </c>
      <c r="V22" s="206">
        <f t="shared" si="28"/>
        <v>225</v>
      </c>
      <c r="W22" s="206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6">
        <f>'B5'!C21</f>
        <v>231</v>
      </c>
      <c r="AA22" s="206">
        <f t="shared" si="30"/>
        <v>2310</v>
      </c>
      <c r="AB22" s="206">
        <f t="shared" si="31"/>
        <v>231</v>
      </c>
      <c r="AC22" s="206">
        <f t="shared" si="30"/>
        <v>2310</v>
      </c>
      <c r="AD22" s="206">
        <f t="shared" si="32"/>
        <v>231</v>
      </c>
      <c r="AE22" s="206">
        <f t="shared" si="11"/>
        <v>2310</v>
      </c>
      <c r="AF22" s="206">
        <f t="shared" si="33"/>
        <v>231</v>
      </c>
      <c r="AG22" s="206">
        <f t="shared" si="12"/>
        <v>2310</v>
      </c>
      <c r="AH22" s="206">
        <f t="shared" si="34"/>
        <v>231</v>
      </c>
      <c r="AI22" s="206">
        <f t="shared" si="13"/>
        <v>2310</v>
      </c>
      <c r="AJ22" s="206">
        <f t="shared" si="35"/>
        <v>231</v>
      </c>
      <c r="AK22" s="206">
        <f t="shared" si="14"/>
        <v>2310</v>
      </c>
      <c r="AL22" s="206">
        <f t="shared" si="36"/>
        <v>231</v>
      </c>
      <c r="AM22" s="206">
        <f t="shared" si="15"/>
        <v>2310</v>
      </c>
      <c r="AN22" s="35">
        <f t="shared" si="16"/>
        <v>0.82499999999999996</v>
      </c>
      <c r="AO22" s="36">
        <f t="shared" si="17"/>
        <v>16170</v>
      </c>
      <c r="AQ22" s="226">
        <f t="shared" si="37"/>
        <v>0.7467185044082898</v>
      </c>
      <c r="AR22" s="38">
        <f t="shared" si="41"/>
        <v>69422.419354838697</v>
      </c>
      <c r="AS22" s="200">
        <f t="shared" si="38"/>
        <v>-429.3483870967757</v>
      </c>
      <c r="AT22" s="277"/>
      <c r="AU22" s="449"/>
      <c r="AV22" s="532">
        <f t="shared" si="42"/>
        <v>0.54</v>
      </c>
      <c r="AW22" s="298">
        <f>-SUM('B5'!AI21)</f>
        <v>0</v>
      </c>
      <c r="AX22" s="298">
        <f t="shared" si="39"/>
        <v>-429.3483870967757</v>
      </c>
      <c r="AY22" s="37">
        <f t="shared" si="40"/>
        <v>-429.3483870967757</v>
      </c>
      <c r="AZ22" s="100">
        <f>ELEC!A19</f>
        <v>0</v>
      </c>
      <c r="BA22" s="118">
        <f>'General information '!D22</f>
        <v>28</v>
      </c>
      <c r="BB22" s="404">
        <f>SUM('General information '!E22)</f>
        <v>0.75</v>
      </c>
      <c r="BC22" s="3">
        <f t="shared" si="43"/>
        <v>0</v>
      </c>
      <c r="BD22" s="102">
        <v>19222</v>
      </c>
      <c r="BE22" s="14">
        <f>(305/1185)*ELEC!Q20</f>
        <v>514.76793248945148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223</v>
      </c>
      <c r="C23" s="206">
        <f t="shared" si="18"/>
        <v>4798.0967741935483</v>
      </c>
      <c r="D23">
        <f t="shared" si="19"/>
        <v>223</v>
      </c>
      <c r="E23" s="206">
        <f t="shared" si="18"/>
        <v>4798.0967741935483</v>
      </c>
      <c r="F23">
        <f t="shared" si="20"/>
        <v>223</v>
      </c>
      <c r="G23" s="206">
        <f t="shared" si="1"/>
        <v>4798.0967741935483</v>
      </c>
      <c r="H23" s="206">
        <f t="shared" si="21"/>
        <v>223</v>
      </c>
      <c r="I23" s="206">
        <f t="shared" si="2"/>
        <v>4798.0967741935483</v>
      </c>
      <c r="J23" s="206">
        <f t="shared" si="22"/>
        <v>223</v>
      </c>
      <c r="K23" s="206">
        <f t="shared" si="3"/>
        <v>4798.0967741935483</v>
      </c>
      <c r="L23" s="206">
        <f t="shared" si="23"/>
        <v>223</v>
      </c>
      <c r="M23" s="206">
        <f t="shared" si="4"/>
        <v>4798.0967741935483</v>
      </c>
      <c r="N23" s="206">
        <f t="shared" si="24"/>
        <v>223</v>
      </c>
      <c r="O23" s="206">
        <f t="shared" si="5"/>
        <v>4798.0967741935483</v>
      </c>
      <c r="P23" s="206">
        <f t="shared" si="25"/>
        <v>223</v>
      </c>
      <c r="Q23" s="206">
        <f t="shared" si="6"/>
        <v>4798.0967741935483</v>
      </c>
      <c r="R23" s="206">
        <f t="shared" si="26"/>
        <v>223</v>
      </c>
      <c r="S23" s="206">
        <f t="shared" si="7"/>
        <v>4798.0967741935483</v>
      </c>
      <c r="T23" s="206">
        <f t="shared" si="27"/>
        <v>223</v>
      </c>
      <c r="U23" s="206">
        <f t="shared" si="8"/>
        <v>4798.0967741935483</v>
      </c>
      <c r="V23" s="206">
        <f t="shared" si="28"/>
        <v>223</v>
      </c>
      <c r="W23" s="206">
        <f t="shared" si="9"/>
        <v>4798.0967741935483</v>
      </c>
      <c r="X23" s="35">
        <f t="shared" si="10"/>
        <v>0.71935483870967731</v>
      </c>
      <c r="Y23" s="36">
        <f t="shared" si="29"/>
        <v>52779.064516129023</v>
      </c>
      <c r="Z23" s="206">
        <f>'B5'!C22</f>
        <v>229.1</v>
      </c>
      <c r="AA23" s="206">
        <f t="shared" si="30"/>
        <v>2291</v>
      </c>
      <c r="AB23" s="206">
        <f t="shared" si="31"/>
        <v>229.1</v>
      </c>
      <c r="AC23" s="206">
        <f t="shared" si="30"/>
        <v>2291</v>
      </c>
      <c r="AD23" s="206">
        <f t="shared" si="32"/>
        <v>229.1</v>
      </c>
      <c r="AE23" s="206">
        <f t="shared" si="11"/>
        <v>2291</v>
      </c>
      <c r="AF23" s="206">
        <f t="shared" si="33"/>
        <v>229.1</v>
      </c>
      <c r="AG23" s="206">
        <f t="shared" si="12"/>
        <v>2291</v>
      </c>
      <c r="AH23" s="206">
        <f t="shared" si="34"/>
        <v>229.1</v>
      </c>
      <c r="AI23" s="206">
        <f t="shared" si="13"/>
        <v>2291</v>
      </c>
      <c r="AJ23" s="206">
        <f t="shared" si="35"/>
        <v>229.1</v>
      </c>
      <c r="AK23" s="206">
        <f t="shared" si="14"/>
        <v>2291</v>
      </c>
      <c r="AL23" s="206">
        <f t="shared" si="36"/>
        <v>229.1</v>
      </c>
      <c r="AM23" s="206">
        <f t="shared" si="15"/>
        <v>2291</v>
      </c>
      <c r="AN23" s="35">
        <f t="shared" si="16"/>
        <v>0.81821428571428567</v>
      </c>
      <c r="AO23" s="36">
        <f t="shared" si="17"/>
        <v>16037</v>
      </c>
      <c r="AQ23" s="226">
        <f t="shared" si="37"/>
        <v>0.74019645601945827</v>
      </c>
      <c r="AR23" s="38">
        <f t="shared" si="41"/>
        <v>68816.06451612903</v>
      </c>
      <c r="AS23" s="200">
        <f t="shared" si="38"/>
        <v>-606.35483870966709</v>
      </c>
      <c r="AT23" s="277"/>
      <c r="AU23" s="449"/>
      <c r="AV23" s="532">
        <f t="shared" si="42"/>
        <v>0.54</v>
      </c>
      <c r="AW23" s="298">
        <f>-SUM('B5'!AI22)</f>
        <v>0</v>
      </c>
      <c r="AX23" s="298">
        <f t="shared" si="39"/>
        <v>-606.35483870966709</v>
      </c>
      <c r="AY23" s="37">
        <f t="shared" si="40"/>
        <v>-606.35483870966709</v>
      </c>
      <c r="AZ23" s="100">
        <f>ELEC!A20</f>
        <v>0</v>
      </c>
      <c r="BA23" s="118">
        <f>'General information '!D23</f>
        <v>27.5</v>
      </c>
      <c r="BB23" s="404">
        <f>SUM('General information '!E23)</f>
        <v>0.77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220</v>
      </c>
      <c r="C24" s="206">
        <f t="shared" si="18"/>
        <v>4733.5483870967737</v>
      </c>
      <c r="D24">
        <f t="shared" si="19"/>
        <v>220</v>
      </c>
      <c r="E24" s="206">
        <f t="shared" si="18"/>
        <v>4733.5483870967737</v>
      </c>
      <c r="F24">
        <f t="shared" si="20"/>
        <v>220</v>
      </c>
      <c r="G24" s="206">
        <f t="shared" si="1"/>
        <v>4733.5483870967737</v>
      </c>
      <c r="H24" s="206">
        <f t="shared" si="21"/>
        <v>220</v>
      </c>
      <c r="I24" s="206">
        <f t="shared" si="2"/>
        <v>4733.5483870967737</v>
      </c>
      <c r="J24" s="206">
        <f t="shared" si="22"/>
        <v>220</v>
      </c>
      <c r="K24" s="206">
        <f t="shared" si="3"/>
        <v>4733.5483870967737</v>
      </c>
      <c r="L24" s="206">
        <f t="shared" si="23"/>
        <v>220</v>
      </c>
      <c r="M24" s="206">
        <f t="shared" si="4"/>
        <v>4733.5483870967737</v>
      </c>
      <c r="N24" s="206">
        <f t="shared" si="24"/>
        <v>220</v>
      </c>
      <c r="O24" s="206">
        <f t="shared" si="5"/>
        <v>4733.5483870967737</v>
      </c>
      <c r="P24" s="206">
        <f t="shared" si="25"/>
        <v>220</v>
      </c>
      <c r="Q24" s="206">
        <f t="shared" si="6"/>
        <v>4733.5483870967737</v>
      </c>
      <c r="R24" s="206">
        <f t="shared" si="26"/>
        <v>220</v>
      </c>
      <c r="S24" s="206">
        <f t="shared" si="7"/>
        <v>4733.5483870967737</v>
      </c>
      <c r="T24" s="206">
        <f t="shared" si="27"/>
        <v>220</v>
      </c>
      <c r="U24" s="206">
        <f t="shared" si="8"/>
        <v>4733.5483870967737</v>
      </c>
      <c r="V24" s="206">
        <f t="shared" si="28"/>
        <v>220</v>
      </c>
      <c r="W24" s="206">
        <f t="shared" si="9"/>
        <v>4733.5483870967737</v>
      </c>
      <c r="X24" s="35">
        <f t="shared" si="10"/>
        <v>0.70967741935483863</v>
      </c>
      <c r="Y24" s="36">
        <f t="shared" si="29"/>
        <v>52069.032258064508</v>
      </c>
      <c r="Z24" s="206">
        <f>'B5'!C23</f>
        <v>226</v>
      </c>
      <c r="AA24" s="206">
        <f t="shared" si="30"/>
        <v>2260</v>
      </c>
      <c r="AB24" s="206">
        <f t="shared" si="31"/>
        <v>226</v>
      </c>
      <c r="AC24" s="206">
        <f t="shared" si="30"/>
        <v>2260</v>
      </c>
      <c r="AD24" s="206">
        <f t="shared" si="32"/>
        <v>226</v>
      </c>
      <c r="AE24" s="206">
        <f t="shared" si="11"/>
        <v>2260</v>
      </c>
      <c r="AF24" s="206">
        <f t="shared" si="33"/>
        <v>226</v>
      </c>
      <c r="AG24" s="206">
        <f t="shared" si="12"/>
        <v>2260</v>
      </c>
      <c r="AH24" s="206">
        <f t="shared" si="34"/>
        <v>226</v>
      </c>
      <c r="AI24" s="206">
        <f t="shared" si="13"/>
        <v>2260</v>
      </c>
      <c r="AJ24" s="206">
        <f t="shared" si="35"/>
        <v>226</v>
      </c>
      <c r="AK24" s="206">
        <f t="shared" si="14"/>
        <v>2260</v>
      </c>
      <c r="AL24" s="206">
        <f t="shared" si="36"/>
        <v>226</v>
      </c>
      <c r="AM24" s="206">
        <f t="shared" si="15"/>
        <v>2260</v>
      </c>
      <c r="AN24" s="35">
        <f t="shared" si="16"/>
        <v>0.80714285714285716</v>
      </c>
      <c r="AO24" s="36">
        <f t="shared" si="17"/>
        <v>15820</v>
      </c>
      <c r="AQ24" s="226">
        <f t="shared" si="37"/>
        <v>0.73022515067295379</v>
      </c>
      <c r="AR24" s="38">
        <f t="shared" si="41"/>
        <v>67889.032258064515</v>
      </c>
      <c r="AS24" s="200">
        <f t="shared" si="38"/>
        <v>-927.03225806451519</v>
      </c>
      <c r="AT24" s="277"/>
      <c r="AU24" s="449"/>
      <c r="AV24" s="532">
        <f t="shared" si="42"/>
        <v>0.54</v>
      </c>
      <c r="AW24" s="298">
        <f>-SUM('B5'!AI23)</f>
        <v>0</v>
      </c>
      <c r="AX24" s="298">
        <f t="shared" si="39"/>
        <v>-927.03225806451519</v>
      </c>
      <c r="AY24" s="37">
        <f t="shared" si="40"/>
        <v>-927.03225806451519</v>
      </c>
      <c r="AZ24" s="100">
        <f>ELEC!A21</f>
        <v>0</v>
      </c>
      <c r="BA24" s="118">
        <f>'General information '!D24</f>
        <v>28.5</v>
      </c>
      <c r="BB24" s="404">
        <f>SUM('General information '!E24)</f>
        <v>0.64</v>
      </c>
      <c r="BC24" s="3">
        <f t="shared" si="43"/>
        <v>0</v>
      </c>
      <c r="BD24" s="102">
        <v>19222</v>
      </c>
      <c r="BE24" s="14">
        <f>(305/1185)*ELEC!Q22</f>
        <v>642.17299578079678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218</v>
      </c>
      <c r="C25" s="206">
        <f t="shared" si="18"/>
        <v>4690.5161290322576</v>
      </c>
      <c r="D25">
        <f t="shared" si="19"/>
        <v>218</v>
      </c>
      <c r="E25" s="206">
        <f t="shared" si="18"/>
        <v>4690.5161290322576</v>
      </c>
      <c r="F25">
        <f t="shared" si="20"/>
        <v>218</v>
      </c>
      <c r="G25" s="206">
        <f t="shared" si="1"/>
        <v>4690.5161290322576</v>
      </c>
      <c r="H25" s="206">
        <f t="shared" si="21"/>
        <v>218</v>
      </c>
      <c r="I25" s="206">
        <f t="shared" si="2"/>
        <v>4690.5161290322576</v>
      </c>
      <c r="J25" s="206">
        <f t="shared" si="22"/>
        <v>218</v>
      </c>
      <c r="K25" s="206">
        <f t="shared" si="3"/>
        <v>4690.5161290322576</v>
      </c>
      <c r="L25" s="206">
        <f t="shared" si="23"/>
        <v>218</v>
      </c>
      <c r="M25" s="206">
        <f t="shared" si="4"/>
        <v>4690.5161290322576</v>
      </c>
      <c r="N25" s="206">
        <f t="shared" si="24"/>
        <v>218</v>
      </c>
      <c r="O25" s="206">
        <f t="shared" si="5"/>
        <v>4690.5161290322576</v>
      </c>
      <c r="P25" s="206">
        <f t="shared" si="25"/>
        <v>218</v>
      </c>
      <c r="Q25" s="206">
        <f t="shared" si="6"/>
        <v>4690.5161290322576</v>
      </c>
      <c r="R25" s="206">
        <f t="shared" si="26"/>
        <v>218</v>
      </c>
      <c r="S25" s="206">
        <f t="shared" si="7"/>
        <v>4690.5161290322576</v>
      </c>
      <c r="T25" s="206">
        <f t="shared" si="27"/>
        <v>218</v>
      </c>
      <c r="U25" s="206">
        <f t="shared" si="8"/>
        <v>4690.5161290322576</v>
      </c>
      <c r="V25" s="206">
        <f t="shared" si="28"/>
        <v>218</v>
      </c>
      <c r="W25" s="206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6">
        <f>'B5'!C24</f>
        <v>224</v>
      </c>
      <c r="AA25" s="206">
        <f t="shared" si="30"/>
        <v>2240</v>
      </c>
      <c r="AB25" s="206">
        <f t="shared" si="31"/>
        <v>224</v>
      </c>
      <c r="AC25" s="206">
        <f t="shared" si="30"/>
        <v>2240</v>
      </c>
      <c r="AD25" s="206">
        <f t="shared" si="32"/>
        <v>224</v>
      </c>
      <c r="AE25" s="206">
        <f t="shared" si="11"/>
        <v>2240</v>
      </c>
      <c r="AF25" s="206">
        <f t="shared" si="33"/>
        <v>224</v>
      </c>
      <c r="AG25" s="206">
        <f t="shared" si="12"/>
        <v>2240</v>
      </c>
      <c r="AH25" s="206">
        <f t="shared" si="34"/>
        <v>224</v>
      </c>
      <c r="AI25" s="206">
        <f t="shared" si="13"/>
        <v>2240</v>
      </c>
      <c r="AJ25" s="206">
        <f t="shared" si="35"/>
        <v>224</v>
      </c>
      <c r="AK25" s="206">
        <f t="shared" si="14"/>
        <v>2240</v>
      </c>
      <c r="AL25" s="206">
        <f t="shared" si="36"/>
        <v>224</v>
      </c>
      <c r="AM25" s="206">
        <f t="shared" si="15"/>
        <v>2240</v>
      </c>
      <c r="AN25" s="35">
        <f t="shared" si="16"/>
        <v>0.8</v>
      </c>
      <c r="AO25" s="36">
        <f t="shared" si="17"/>
        <v>15680</v>
      </c>
      <c r="AQ25" s="226">
        <f t="shared" si="37"/>
        <v>0.7236278091788193</v>
      </c>
      <c r="AR25" s="38">
        <f t="shared" si="41"/>
        <v>67275.677419354834</v>
      </c>
      <c r="AS25" s="200">
        <f t="shared" si="38"/>
        <v>-613.35483870968164</v>
      </c>
      <c r="AT25" s="277"/>
      <c r="AU25" s="449"/>
      <c r="AV25" s="532">
        <f t="shared" si="42"/>
        <v>0.54</v>
      </c>
      <c r="AW25" s="298">
        <f>-SUM('B5'!AI24)</f>
        <v>0</v>
      </c>
      <c r="AX25" s="298">
        <f t="shared" si="39"/>
        <v>-613.35483870968164</v>
      </c>
      <c r="AY25" s="37">
        <f t="shared" si="40"/>
        <v>-613.35483870968164</v>
      </c>
      <c r="AZ25" s="100">
        <f>ELEC!A22</f>
        <v>0</v>
      </c>
      <c r="BA25" s="118">
        <f>'General information '!D25</f>
        <v>26</v>
      </c>
      <c r="BB25" s="404">
        <f>SUM('General information '!E25)</f>
        <v>0.65</v>
      </c>
      <c r="BC25" s="3">
        <f t="shared" si="43"/>
        <v>0</v>
      </c>
      <c r="BD25" s="102">
        <v>19222</v>
      </c>
      <c r="BE25" s="14">
        <f>(305/1185)*ELEC!Q23</f>
        <v>387.3628691981063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215</v>
      </c>
      <c r="C26" s="206">
        <f t="shared" si="18"/>
        <v>4625.9677419354839</v>
      </c>
      <c r="D26">
        <f t="shared" si="19"/>
        <v>215</v>
      </c>
      <c r="E26" s="206">
        <f t="shared" si="18"/>
        <v>4625.9677419354839</v>
      </c>
      <c r="F26">
        <f t="shared" si="20"/>
        <v>215</v>
      </c>
      <c r="G26" s="206">
        <f t="shared" si="1"/>
        <v>4625.9677419354839</v>
      </c>
      <c r="H26" s="206">
        <f t="shared" si="21"/>
        <v>215</v>
      </c>
      <c r="I26" s="206">
        <f t="shared" si="2"/>
        <v>4625.9677419354839</v>
      </c>
      <c r="J26" s="206">
        <f t="shared" si="22"/>
        <v>215</v>
      </c>
      <c r="K26" s="206">
        <f t="shared" si="3"/>
        <v>4625.9677419354839</v>
      </c>
      <c r="L26" s="206">
        <f t="shared" si="23"/>
        <v>215</v>
      </c>
      <c r="M26" s="206">
        <f t="shared" si="4"/>
        <v>4625.9677419354839</v>
      </c>
      <c r="N26" s="206">
        <f t="shared" si="24"/>
        <v>215</v>
      </c>
      <c r="O26" s="206">
        <f t="shared" si="5"/>
        <v>4625.9677419354839</v>
      </c>
      <c r="P26" s="206">
        <f t="shared" si="25"/>
        <v>215</v>
      </c>
      <c r="Q26" s="206">
        <f t="shared" si="6"/>
        <v>4625.9677419354839</v>
      </c>
      <c r="R26" s="206">
        <f t="shared" si="26"/>
        <v>215</v>
      </c>
      <c r="S26" s="206">
        <f t="shared" si="7"/>
        <v>4625.9677419354839</v>
      </c>
      <c r="T26" s="206">
        <f t="shared" si="27"/>
        <v>215</v>
      </c>
      <c r="U26" s="206">
        <f t="shared" si="8"/>
        <v>4625.9677419354839</v>
      </c>
      <c r="V26" s="206">
        <f t="shared" si="28"/>
        <v>215</v>
      </c>
      <c r="W26" s="206">
        <f t="shared" si="9"/>
        <v>4625.9677419354839</v>
      </c>
      <c r="X26" s="35">
        <f t="shared" si="10"/>
        <v>0.69354838709677424</v>
      </c>
      <c r="Y26" s="36">
        <f t="shared" si="29"/>
        <v>50885.645161290326</v>
      </c>
      <c r="Z26" s="206">
        <f>'B5'!C25</f>
        <v>221</v>
      </c>
      <c r="AA26" s="206">
        <f t="shared" si="30"/>
        <v>2210</v>
      </c>
      <c r="AB26" s="206">
        <f t="shared" si="31"/>
        <v>221</v>
      </c>
      <c r="AC26" s="206">
        <f t="shared" si="30"/>
        <v>2210</v>
      </c>
      <c r="AD26" s="206">
        <f t="shared" si="32"/>
        <v>221</v>
      </c>
      <c r="AE26" s="206">
        <f t="shared" si="11"/>
        <v>2210</v>
      </c>
      <c r="AF26" s="206">
        <f t="shared" si="33"/>
        <v>221</v>
      </c>
      <c r="AG26" s="206">
        <f t="shared" si="12"/>
        <v>2210</v>
      </c>
      <c r="AH26" s="206">
        <f t="shared" si="34"/>
        <v>221</v>
      </c>
      <c r="AI26" s="206">
        <f t="shared" si="13"/>
        <v>2210</v>
      </c>
      <c r="AJ26" s="206">
        <f t="shared" si="35"/>
        <v>221</v>
      </c>
      <c r="AK26" s="206">
        <f t="shared" si="14"/>
        <v>2210</v>
      </c>
      <c r="AL26" s="206">
        <f t="shared" si="36"/>
        <v>221</v>
      </c>
      <c r="AM26" s="206">
        <f t="shared" si="15"/>
        <v>2210</v>
      </c>
      <c r="AN26" s="35">
        <f t="shared" si="16"/>
        <v>0.78928571428571426</v>
      </c>
      <c r="AO26" s="36">
        <f t="shared" si="17"/>
        <v>15470</v>
      </c>
      <c r="AQ26" s="226">
        <f t="shared" si="37"/>
        <v>0.7137317969376179</v>
      </c>
      <c r="AR26" s="38">
        <f t="shared" si="41"/>
        <v>66355.645161290333</v>
      </c>
      <c r="AS26" s="200">
        <f t="shared" si="38"/>
        <v>-920.03225806450064</v>
      </c>
      <c r="AT26" s="277"/>
      <c r="AU26" s="449"/>
      <c r="AV26" s="532">
        <f t="shared" si="42"/>
        <v>0.54</v>
      </c>
      <c r="AW26" s="298">
        <f>-SUM('B5'!AI25)</f>
        <v>0</v>
      </c>
      <c r="AX26" s="298">
        <f t="shared" si="39"/>
        <v>-920.03225806450064</v>
      </c>
      <c r="AY26" s="37">
        <f t="shared" si="40"/>
        <v>-920.03225806450064</v>
      </c>
      <c r="AZ26" s="100">
        <f>ELEC!A23</f>
        <v>0</v>
      </c>
      <c r="BA26" s="118">
        <f>'General information '!D26</f>
        <v>28.5</v>
      </c>
      <c r="BB26" s="404">
        <f>SUM('General information '!E26)</f>
        <v>0.64</v>
      </c>
      <c r="BC26" s="3">
        <f t="shared" si="43"/>
        <v>0</v>
      </c>
      <c r="BD26" s="102">
        <v>19222</v>
      </c>
      <c r="BE26" s="14">
        <f>(305/1185)*ELEC!Q24</f>
        <v>1029.535864978903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211</v>
      </c>
      <c r="C27" s="206">
        <f t="shared" si="18"/>
        <v>4539.9032258064517</v>
      </c>
      <c r="D27">
        <f t="shared" si="19"/>
        <v>211</v>
      </c>
      <c r="E27" s="206">
        <f t="shared" si="18"/>
        <v>4539.9032258064517</v>
      </c>
      <c r="F27">
        <f t="shared" si="20"/>
        <v>211</v>
      </c>
      <c r="G27" s="206">
        <f t="shared" si="1"/>
        <v>4539.9032258064517</v>
      </c>
      <c r="H27" s="206">
        <f t="shared" si="21"/>
        <v>211</v>
      </c>
      <c r="I27" s="206">
        <f t="shared" si="2"/>
        <v>4539.9032258064517</v>
      </c>
      <c r="J27" s="206">
        <f t="shared" si="22"/>
        <v>211</v>
      </c>
      <c r="K27" s="206">
        <f t="shared" si="3"/>
        <v>4539.9032258064517</v>
      </c>
      <c r="L27" s="206">
        <f t="shared" si="23"/>
        <v>211</v>
      </c>
      <c r="M27" s="206">
        <f t="shared" si="4"/>
        <v>4539.9032258064517</v>
      </c>
      <c r="N27" s="206">
        <f t="shared" si="24"/>
        <v>211</v>
      </c>
      <c r="O27" s="206">
        <f t="shared" si="5"/>
        <v>4539.9032258064517</v>
      </c>
      <c r="P27" s="206">
        <f t="shared" si="25"/>
        <v>211</v>
      </c>
      <c r="Q27" s="206">
        <f t="shared" si="6"/>
        <v>4539.9032258064517</v>
      </c>
      <c r="R27" s="206">
        <f t="shared" si="26"/>
        <v>211</v>
      </c>
      <c r="S27" s="206">
        <f t="shared" si="7"/>
        <v>4539.9032258064517</v>
      </c>
      <c r="T27" s="206">
        <f t="shared" si="27"/>
        <v>211</v>
      </c>
      <c r="U27" s="206">
        <f t="shared" si="8"/>
        <v>4539.9032258064517</v>
      </c>
      <c r="V27" s="206">
        <f t="shared" si="28"/>
        <v>211</v>
      </c>
      <c r="W27" s="206">
        <f t="shared" si="9"/>
        <v>4539.9032258064517</v>
      </c>
      <c r="X27" s="35">
        <f t="shared" si="10"/>
        <v>0.68064516129032271</v>
      </c>
      <c r="Y27" s="36">
        <f t="shared" si="29"/>
        <v>49938.935483870977</v>
      </c>
      <c r="Z27" s="206">
        <f>'B5'!C26</f>
        <v>217</v>
      </c>
      <c r="AA27" s="206">
        <f t="shared" si="30"/>
        <v>2170</v>
      </c>
      <c r="AB27" s="206">
        <f t="shared" si="31"/>
        <v>217</v>
      </c>
      <c r="AC27" s="206">
        <f t="shared" si="30"/>
        <v>2170</v>
      </c>
      <c r="AD27" s="206">
        <f t="shared" si="32"/>
        <v>217</v>
      </c>
      <c r="AE27" s="206">
        <f t="shared" si="11"/>
        <v>2170</v>
      </c>
      <c r="AF27" s="206">
        <f t="shared" si="33"/>
        <v>217</v>
      </c>
      <c r="AG27" s="206">
        <f t="shared" si="12"/>
        <v>2170</v>
      </c>
      <c r="AH27" s="206">
        <f t="shared" si="34"/>
        <v>217</v>
      </c>
      <c r="AI27" s="206">
        <f t="shared" si="13"/>
        <v>2170</v>
      </c>
      <c r="AJ27" s="206">
        <f t="shared" si="35"/>
        <v>217</v>
      </c>
      <c r="AK27" s="206">
        <f t="shared" si="14"/>
        <v>2170</v>
      </c>
      <c r="AL27" s="206">
        <f t="shared" si="36"/>
        <v>217</v>
      </c>
      <c r="AM27" s="206">
        <f t="shared" si="15"/>
        <v>2170</v>
      </c>
      <c r="AN27" s="35">
        <f t="shared" si="16"/>
        <v>0.77500000000000002</v>
      </c>
      <c r="AO27" s="36">
        <f t="shared" si="17"/>
        <v>15190</v>
      </c>
      <c r="AQ27" s="226">
        <f t="shared" si="37"/>
        <v>0.70053711394934903</v>
      </c>
      <c r="AR27" s="38">
        <f t="shared" si="41"/>
        <v>65128.935483870977</v>
      </c>
      <c r="AS27" s="200">
        <f t="shared" si="38"/>
        <v>-1226.709677419356</v>
      </c>
      <c r="AT27" s="277"/>
      <c r="AU27" s="449"/>
      <c r="AV27" s="532">
        <f t="shared" si="42"/>
        <v>0.54</v>
      </c>
      <c r="AW27" s="298">
        <f>-SUM('B5'!AI26)</f>
        <v>0</v>
      </c>
      <c r="AX27" s="298">
        <f t="shared" si="39"/>
        <v>-1226.709677419356</v>
      </c>
      <c r="AY27" s="37">
        <f t="shared" si="40"/>
        <v>-1226.709677419356</v>
      </c>
      <c r="AZ27" s="100">
        <f>ELEC!A24</f>
        <v>0</v>
      </c>
      <c r="BA27" s="118">
        <f>'General information '!D27</f>
        <v>28</v>
      </c>
      <c r="BB27" s="404">
        <f>SUM('General information '!E27)</f>
        <v>0.65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211</v>
      </c>
      <c r="C28" s="206">
        <f t="shared" si="18"/>
        <v>4539.9032258064517</v>
      </c>
      <c r="D28">
        <f t="shared" si="19"/>
        <v>211</v>
      </c>
      <c r="E28" s="206">
        <f t="shared" si="18"/>
        <v>4539.9032258064517</v>
      </c>
      <c r="F28">
        <f t="shared" si="20"/>
        <v>211</v>
      </c>
      <c r="G28" s="206">
        <f t="shared" si="1"/>
        <v>4539.9032258064517</v>
      </c>
      <c r="H28" s="206">
        <f t="shared" si="21"/>
        <v>211</v>
      </c>
      <c r="I28" s="206">
        <f t="shared" si="2"/>
        <v>4539.9032258064517</v>
      </c>
      <c r="J28" s="206">
        <f t="shared" si="22"/>
        <v>211</v>
      </c>
      <c r="K28" s="206">
        <f t="shared" si="3"/>
        <v>4539.9032258064517</v>
      </c>
      <c r="L28" s="206">
        <f t="shared" si="23"/>
        <v>211</v>
      </c>
      <c r="M28" s="206">
        <f t="shared" si="4"/>
        <v>4539.9032258064517</v>
      </c>
      <c r="N28" s="206">
        <f t="shared" si="24"/>
        <v>211</v>
      </c>
      <c r="O28" s="206">
        <f t="shared" si="5"/>
        <v>4539.9032258064517</v>
      </c>
      <c r="P28" s="206">
        <f t="shared" si="25"/>
        <v>211</v>
      </c>
      <c r="Q28" s="206">
        <f t="shared" si="6"/>
        <v>4539.9032258064517</v>
      </c>
      <c r="R28" s="206">
        <f t="shared" si="26"/>
        <v>211</v>
      </c>
      <c r="S28" s="206">
        <f t="shared" si="7"/>
        <v>4539.9032258064517</v>
      </c>
      <c r="T28" s="206">
        <f t="shared" si="27"/>
        <v>211</v>
      </c>
      <c r="U28" s="206">
        <f t="shared" si="8"/>
        <v>4539.9032258064517</v>
      </c>
      <c r="V28" s="206">
        <f t="shared" si="28"/>
        <v>211</v>
      </c>
      <c r="W28" s="206">
        <f t="shared" si="9"/>
        <v>4539.9032258064517</v>
      </c>
      <c r="X28" s="35">
        <f t="shared" si="10"/>
        <v>0.68064516129032271</v>
      </c>
      <c r="Y28" s="36">
        <f t="shared" si="29"/>
        <v>49938.935483870977</v>
      </c>
      <c r="Z28" s="206">
        <f>'B5'!C27</f>
        <v>217</v>
      </c>
      <c r="AA28" s="206">
        <f t="shared" si="30"/>
        <v>2170</v>
      </c>
      <c r="AB28" s="206">
        <f t="shared" si="31"/>
        <v>217</v>
      </c>
      <c r="AC28" s="206">
        <f t="shared" si="30"/>
        <v>2170</v>
      </c>
      <c r="AD28" s="206">
        <f t="shared" si="32"/>
        <v>217</v>
      </c>
      <c r="AE28" s="206">
        <f t="shared" si="11"/>
        <v>2170</v>
      </c>
      <c r="AF28" s="206">
        <f t="shared" si="33"/>
        <v>217</v>
      </c>
      <c r="AG28" s="206">
        <f t="shared" si="12"/>
        <v>2170</v>
      </c>
      <c r="AH28" s="206">
        <f t="shared" si="34"/>
        <v>217</v>
      </c>
      <c r="AI28" s="206">
        <f t="shared" si="13"/>
        <v>2170</v>
      </c>
      <c r="AJ28" s="206">
        <f t="shared" si="35"/>
        <v>217</v>
      </c>
      <c r="AK28" s="206">
        <f t="shared" si="14"/>
        <v>2170</v>
      </c>
      <c r="AL28" s="206">
        <f t="shared" si="36"/>
        <v>217</v>
      </c>
      <c r="AM28" s="206">
        <f t="shared" si="15"/>
        <v>2170</v>
      </c>
      <c r="AN28" s="35">
        <f t="shared" si="16"/>
        <v>0.77500000000000002</v>
      </c>
      <c r="AO28" s="36">
        <f t="shared" si="17"/>
        <v>15190</v>
      </c>
      <c r="AQ28" s="226">
        <f t="shared" si="37"/>
        <v>0.70053711394934903</v>
      </c>
      <c r="AR28" s="38">
        <f t="shared" si="41"/>
        <v>65128.935483870977</v>
      </c>
      <c r="AS28" s="200">
        <f t="shared" si="38"/>
        <v>0</v>
      </c>
      <c r="AT28" s="365"/>
      <c r="AU28" s="449"/>
      <c r="AV28" s="532">
        <f t="shared" si="42"/>
        <v>0.54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211</v>
      </c>
      <c r="C29" s="206">
        <f t="shared" si="18"/>
        <v>4539.9032258064517</v>
      </c>
      <c r="D29">
        <f t="shared" si="19"/>
        <v>211</v>
      </c>
      <c r="E29" s="206">
        <f t="shared" si="18"/>
        <v>4539.9032258064517</v>
      </c>
      <c r="F29">
        <f t="shared" si="20"/>
        <v>211</v>
      </c>
      <c r="G29" s="206">
        <f t="shared" si="1"/>
        <v>4539.9032258064517</v>
      </c>
      <c r="H29" s="206">
        <f t="shared" si="21"/>
        <v>211</v>
      </c>
      <c r="I29" s="206">
        <f t="shared" si="2"/>
        <v>4539.9032258064517</v>
      </c>
      <c r="J29" s="206">
        <f t="shared" si="22"/>
        <v>211</v>
      </c>
      <c r="K29" s="206">
        <f t="shared" si="3"/>
        <v>4539.9032258064517</v>
      </c>
      <c r="L29" s="206">
        <f t="shared" si="23"/>
        <v>211</v>
      </c>
      <c r="M29" s="206">
        <f t="shared" si="4"/>
        <v>4539.9032258064517</v>
      </c>
      <c r="N29" s="206">
        <f t="shared" si="24"/>
        <v>211</v>
      </c>
      <c r="O29" s="206">
        <f t="shared" si="5"/>
        <v>4539.9032258064517</v>
      </c>
      <c r="P29" s="206">
        <f t="shared" si="25"/>
        <v>211</v>
      </c>
      <c r="Q29" s="206">
        <f t="shared" si="6"/>
        <v>4539.9032258064517</v>
      </c>
      <c r="R29" s="206">
        <f t="shared" si="26"/>
        <v>211</v>
      </c>
      <c r="S29" s="206">
        <f t="shared" si="7"/>
        <v>4539.9032258064517</v>
      </c>
      <c r="T29" s="206">
        <f t="shared" si="27"/>
        <v>211</v>
      </c>
      <c r="U29" s="206">
        <f t="shared" si="8"/>
        <v>4539.9032258064517</v>
      </c>
      <c r="V29" s="206">
        <f t="shared" si="28"/>
        <v>211</v>
      </c>
      <c r="W29" s="206">
        <f t="shared" si="9"/>
        <v>4539.9032258064517</v>
      </c>
      <c r="X29" s="35">
        <f t="shared" si="10"/>
        <v>0.68064516129032271</v>
      </c>
      <c r="Y29" s="36">
        <f t="shared" si="29"/>
        <v>49938.935483870977</v>
      </c>
      <c r="Z29" s="206">
        <f>'B5'!C28</f>
        <v>217</v>
      </c>
      <c r="AA29" s="206">
        <f t="shared" si="30"/>
        <v>2170</v>
      </c>
      <c r="AB29" s="206">
        <f t="shared" si="31"/>
        <v>217</v>
      </c>
      <c r="AC29" s="206">
        <f t="shared" si="30"/>
        <v>2170</v>
      </c>
      <c r="AD29" s="206">
        <f t="shared" si="32"/>
        <v>217</v>
      </c>
      <c r="AE29" s="206">
        <f t="shared" si="11"/>
        <v>2170</v>
      </c>
      <c r="AF29" s="206">
        <f t="shared" si="33"/>
        <v>217</v>
      </c>
      <c r="AG29" s="206">
        <f t="shared" si="12"/>
        <v>2170</v>
      </c>
      <c r="AH29" s="206">
        <f t="shared" si="34"/>
        <v>217</v>
      </c>
      <c r="AI29" s="206">
        <f t="shared" si="13"/>
        <v>2170</v>
      </c>
      <c r="AJ29" s="206">
        <f t="shared" si="35"/>
        <v>217</v>
      </c>
      <c r="AK29" s="206">
        <f t="shared" si="14"/>
        <v>2170</v>
      </c>
      <c r="AL29" s="206">
        <f t="shared" si="36"/>
        <v>217</v>
      </c>
      <c r="AM29" s="206">
        <f t="shared" si="15"/>
        <v>2170</v>
      </c>
      <c r="AN29" s="35">
        <f t="shared" si="16"/>
        <v>0.77500000000000002</v>
      </c>
      <c r="AO29" s="36">
        <f t="shared" si="17"/>
        <v>15190</v>
      </c>
      <c r="AQ29" s="226">
        <f t="shared" si="37"/>
        <v>0.70053711394934903</v>
      </c>
      <c r="AR29" s="38">
        <f t="shared" si="41"/>
        <v>65128.935483870977</v>
      </c>
      <c r="AS29" s="200">
        <f t="shared" si="38"/>
        <v>0</v>
      </c>
      <c r="AT29" s="365"/>
      <c r="AU29" s="449"/>
      <c r="AV29" s="532">
        <f t="shared" si="42"/>
        <v>0.54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211</v>
      </c>
      <c r="C30" s="206">
        <f t="shared" si="18"/>
        <v>4539.9032258064517</v>
      </c>
      <c r="D30">
        <f t="shared" ref="D30:D35" si="44">SUM(B30)</f>
        <v>211</v>
      </c>
      <c r="E30" s="206">
        <f t="shared" si="18"/>
        <v>4539.9032258064517</v>
      </c>
      <c r="F30">
        <f t="shared" ref="F30:F35" si="45">SUM(D30)</f>
        <v>211</v>
      </c>
      <c r="G30" s="206">
        <f t="shared" si="1"/>
        <v>4539.9032258064517</v>
      </c>
      <c r="H30" s="206">
        <f t="shared" ref="H30:H35" si="46">SUM(F30)</f>
        <v>211</v>
      </c>
      <c r="I30" s="206">
        <f t="shared" si="2"/>
        <v>4539.9032258064517</v>
      </c>
      <c r="J30" s="206">
        <f t="shared" ref="J30:J35" si="47">SUM(H30)</f>
        <v>211</v>
      </c>
      <c r="K30" s="206">
        <f t="shared" si="3"/>
        <v>4539.9032258064517</v>
      </c>
      <c r="L30" s="206">
        <f t="shared" ref="L30:L35" si="48">SUM(J30)</f>
        <v>211</v>
      </c>
      <c r="M30" s="206">
        <f t="shared" si="4"/>
        <v>4539.9032258064517</v>
      </c>
      <c r="N30" s="206">
        <f t="shared" ref="N30:N35" si="49">SUM(L30)</f>
        <v>211</v>
      </c>
      <c r="O30" s="206">
        <f t="shared" si="5"/>
        <v>4539.9032258064517</v>
      </c>
      <c r="P30" s="206">
        <f t="shared" ref="P30:P35" si="50">SUM(N30)</f>
        <v>211</v>
      </c>
      <c r="Q30" s="206">
        <f t="shared" si="6"/>
        <v>4539.9032258064517</v>
      </c>
      <c r="R30" s="206">
        <f t="shared" ref="R30:R35" si="51">SUM(P30)</f>
        <v>211</v>
      </c>
      <c r="S30" s="206">
        <f t="shared" si="7"/>
        <v>4539.9032258064517</v>
      </c>
      <c r="T30" s="206">
        <f t="shared" ref="T30:T35" si="52">SUM(R30)</f>
        <v>211</v>
      </c>
      <c r="U30" s="206">
        <f t="shared" si="8"/>
        <v>4539.9032258064517</v>
      </c>
      <c r="V30" s="206">
        <f t="shared" ref="V30:V35" si="53">SUM(T30)</f>
        <v>211</v>
      </c>
      <c r="W30" s="206">
        <f t="shared" si="9"/>
        <v>4539.9032258064517</v>
      </c>
      <c r="X30" s="35">
        <f t="shared" ref="X30:X35" si="54">SUM(Y30/73370)</f>
        <v>0.68064516129032271</v>
      </c>
      <c r="Y30" s="36">
        <f t="shared" ref="Y30:Y35" si="55">SUM(C30+E30+G30+I30+K30+M30+O30+Q30+S30+U30+W30)</f>
        <v>49938.935483870977</v>
      </c>
      <c r="Z30" s="206">
        <f>'B5'!C29</f>
        <v>217</v>
      </c>
      <c r="AA30" s="206">
        <f t="shared" si="30"/>
        <v>2170</v>
      </c>
      <c r="AB30" s="206">
        <f t="shared" ref="AB30:AB35" si="56">SUM(Z30)</f>
        <v>217</v>
      </c>
      <c r="AC30" s="206">
        <f t="shared" si="30"/>
        <v>2170</v>
      </c>
      <c r="AD30" s="206">
        <f t="shared" ref="AD30:AD35" si="57">SUM(AB30)</f>
        <v>217</v>
      </c>
      <c r="AE30" s="206">
        <f t="shared" si="11"/>
        <v>2170</v>
      </c>
      <c r="AF30" s="206">
        <f t="shared" ref="AF30:AF35" si="58">SUM(AD30)</f>
        <v>217</v>
      </c>
      <c r="AG30" s="206">
        <f t="shared" si="12"/>
        <v>2170</v>
      </c>
      <c r="AH30" s="206">
        <f t="shared" ref="AH30:AH35" si="59">SUM(AF30)</f>
        <v>217</v>
      </c>
      <c r="AI30" s="206">
        <f t="shared" si="13"/>
        <v>2170</v>
      </c>
      <c r="AJ30" s="206">
        <f t="shared" ref="AJ30:AJ35" si="60">SUM(AH30)</f>
        <v>217</v>
      </c>
      <c r="AK30" s="206">
        <f t="shared" si="14"/>
        <v>2170</v>
      </c>
      <c r="AL30" s="206">
        <f t="shared" ref="AL30:AL35" si="61">SUM(AJ30)</f>
        <v>217</v>
      </c>
      <c r="AM30" s="206">
        <f t="shared" si="15"/>
        <v>2170</v>
      </c>
      <c r="AN30" s="35">
        <f t="shared" ref="AN30:AN35" si="62">SUM(AO30/19600)</f>
        <v>0.77500000000000002</v>
      </c>
      <c r="AO30" s="36">
        <f t="shared" ref="AO30:AO35" si="63">SUM(AA30+AC30+AE30+AG30+AI30+AK30+AM30)</f>
        <v>15190</v>
      </c>
      <c r="AQ30" s="226">
        <f t="shared" si="37"/>
        <v>0.70053711394934903</v>
      </c>
      <c r="AR30" s="38">
        <f t="shared" si="41"/>
        <v>65128.935483870977</v>
      </c>
      <c r="AS30" s="200">
        <f t="shared" si="38"/>
        <v>0</v>
      </c>
      <c r="AT30" s="365"/>
      <c r="AU30" s="449"/>
      <c r="AV30" s="532">
        <f t="shared" si="42"/>
        <v>0.54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211</v>
      </c>
      <c r="C31" s="206">
        <f t="shared" si="18"/>
        <v>4539.9032258064517</v>
      </c>
      <c r="D31">
        <f t="shared" si="44"/>
        <v>211</v>
      </c>
      <c r="E31" s="206">
        <f t="shared" si="18"/>
        <v>4539.9032258064517</v>
      </c>
      <c r="F31">
        <f t="shared" si="45"/>
        <v>211</v>
      </c>
      <c r="G31" s="206">
        <f t="shared" si="1"/>
        <v>4539.9032258064517</v>
      </c>
      <c r="H31" s="206">
        <f t="shared" si="46"/>
        <v>211</v>
      </c>
      <c r="I31" s="206">
        <f t="shared" si="2"/>
        <v>4539.9032258064517</v>
      </c>
      <c r="J31" s="206">
        <f t="shared" si="47"/>
        <v>211</v>
      </c>
      <c r="K31" s="206">
        <f t="shared" si="3"/>
        <v>4539.9032258064517</v>
      </c>
      <c r="L31" s="206">
        <f t="shared" si="48"/>
        <v>211</v>
      </c>
      <c r="M31" s="206">
        <f t="shared" si="4"/>
        <v>4539.9032258064517</v>
      </c>
      <c r="N31" s="206">
        <f t="shared" si="49"/>
        <v>211</v>
      </c>
      <c r="O31" s="206">
        <f t="shared" si="5"/>
        <v>4539.9032258064517</v>
      </c>
      <c r="P31" s="206">
        <f t="shared" si="50"/>
        <v>211</v>
      </c>
      <c r="Q31" s="206">
        <f t="shared" si="6"/>
        <v>4539.9032258064517</v>
      </c>
      <c r="R31" s="206">
        <f t="shared" si="51"/>
        <v>211</v>
      </c>
      <c r="S31" s="206">
        <f t="shared" si="7"/>
        <v>4539.9032258064517</v>
      </c>
      <c r="T31" s="206">
        <f t="shared" si="52"/>
        <v>211</v>
      </c>
      <c r="U31" s="206">
        <f t="shared" si="8"/>
        <v>4539.9032258064517</v>
      </c>
      <c r="V31" s="206">
        <f t="shared" si="53"/>
        <v>211</v>
      </c>
      <c r="W31" s="206">
        <f t="shared" si="9"/>
        <v>4539.9032258064517</v>
      </c>
      <c r="X31" s="35">
        <f t="shared" si="54"/>
        <v>0.68064516129032271</v>
      </c>
      <c r="Y31" s="36">
        <f t="shared" si="55"/>
        <v>49938.935483870977</v>
      </c>
      <c r="Z31" s="206">
        <f>'B5'!C30</f>
        <v>217</v>
      </c>
      <c r="AA31" s="206">
        <f t="shared" si="30"/>
        <v>2170</v>
      </c>
      <c r="AB31" s="206">
        <f t="shared" si="56"/>
        <v>217</v>
      </c>
      <c r="AC31" s="206">
        <f t="shared" si="30"/>
        <v>2170</v>
      </c>
      <c r="AD31" s="206">
        <f t="shared" si="57"/>
        <v>217</v>
      </c>
      <c r="AE31" s="206">
        <f t="shared" si="11"/>
        <v>2170</v>
      </c>
      <c r="AF31" s="206">
        <f t="shared" si="58"/>
        <v>217</v>
      </c>
      <c r="AG31" s="206">
        <f t="shared" si="12"/>
        <v>2170</v>
      </c>
      <c r="AH31" s="206">
        <f t="shared" si="59"/>
        <v>217</v>
      </c>
      <c r="AI31" s="206">
        <f t="shared" si="13"/>
        <v>2170</v>
      </c>
      <c r="AJ31" s="206">
        <f t="shared" si="60"/>
        <v>217</v>
      </c>
      <c r="AK31" s="206">
        <f t="shared" si="14"/>
        <v>2170</v>
      </c>
      <c r="AL31" s="206">
        <f t="shared" si="61"/>
        <v>217</v>
      </c>
      <c r="AM31" s="206">
        <f t="shared" si="15"/>
        <v>2170</v>
      </c>
      <c r="AN31" s="35">
        <f t="shared" si="62"/>
        <v>0.77500000000000002</v>
      </c>
      <c r="AO31" s="36">
        <f t="shared" si="63"/>
        <v>15190</v>
      </c>
      <c r="AQ31" s="226">
        <f t="shared" si="37"/>
        <v>0.70053711394934903</v>
      </c>
      <c r="AR31" s="38">
        <f t="shared" si="41"/>
        <v>65128.935483870977</v>
      </c>
      <c r="AS31" s="200">
        <f>SUM(AR31-AR30-AT31)</f>
        <v>0</v>
      </c>
      <c r="AT31" s="365"/>
      <c r="AU31" s="449"/>
      <c r="AV31" s="532">
        <f t="shared" si="42"/>
        <v>0.54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211</v>
      </c>
      <c r="C32" s="206">
        <f t="shared" si="18"/>
        <v>4539.9032258064517</v>
      </c>
      <c r="D32">
        <f t="shared" si="44"/>
        <v>211</v>
      </c>
      <c r="E32" s="206">
        <f t="shared" si="18"/>
        <v>4539.9032258064517</v>
      </c>
      <c r="F32">
        <f t="shared" si="45"/>
        <v>211</v>
      </c>
      <c r="G32" s="206">
        <f t="shared" si="1"/>
        <v>4539.9032258064517</v>
      </c>
      <c r="H32" s="206">
        <f t="shared" si="46"/>
        <v>211</v>
      </c>
      <c r="I32" s="206">
        <f t="shared" si="2"/>
        <v>4539.9032258064517</v>
      </c>
      <c r="J32" s="206">
        <f t="shared" si="47"/>
        <v>211</v>
      </c>
      <c r="K32" s="206">
        <f t="shared" si="3"/>
        <v>4539.9032258064517</v>
      </c>
      <c r="L32" s="206">
        <f t="shared" si="48"/>
        <v>211</v>
      </c>
      <c r="M32" s="206">
        <f t="shared" si="4"/>
        <v>4539.9032258064517</v>
      </c>
      <c r="N32" s="206">
        <f t="shared" si="49"/>
        <v>211</v>
      </c>
      <c r="O32" s="206">
        <f t="shared" si="5"/>
        <v>4539.9032258064517</v>
      </c>
      <c r="P32" s="206">
        <f t="shared" si="50"/>
        <v>211</v>
      </c>
      <c r="Q32" s="206">
        <f t="shared" si="6"/>
        <v>4539.9032258064517</v>
      </c>
      <c r="R32" s="206">
        <f t="shared" si="51"/>
        <v>211</v>
      </c>
      <c r="S32" s="206">
        <f t="shared" si="7"/>
        <v>4539.9032258064517</v>
      </c>
      <c r="T32" s="206">
        <f t="shared" si="52"/>
        <v>211</v>
      </c>
      <c r="U32" s="206">
        <f t="shared" si="8"/>
        <v>4539.9032258064517</v>
      </c>
      <c r="V32" s="206">
        <f t="shared" si="53"/>
        <v>211</v>
      </c>
      <c r="W32" s="206">
        <f t="shared" si="9"/>
        <v>4539.9032258064517</v>
      </c>
      <c r="X32" s="35">
        <f t="shared" si="54"/>
        <v>0.68064516129032271</v>
      </c>
      <c r="Y32" s="36">
        <f t="shared" si="55"/>
        <v>49938.935483870977</v>
      </c>
      <c r="Z32" s="206">
        <f>'B5'!C31</f>
        <v>217</v>
      </c>
      <c r="AA32" s="206">
        <f t="shared" si="30"/>
        <v>2170</v>
      </c>
      <c r="AB32" s="206">
        <f t="shared" si="56"/>
        <v>217</v>
      </c>
      <c r="AC32" s="206">
        <f t="shared" si="30"/>
        <v>2170</v>
      </c>
      <c r="AD32" s="206">
        <f t="shared" si="57"/>
        <v>217</v>
      </c>
      <c r="AE32" s="206">
        <f t="shared" si="11"/>
        <v>2170</v>
      </c>
      <c r="AF32" s="206">
        <f t="shared" si="58"/>
        <v>217</v>
      </c>
      <c r="AG32" s="206">
        <f t="shared" si="12"/>
        <v>2170</v>
      </c>
      <c r="AH32" s="206">
        <f t="shared" si="59"/>
        <v>217</v>
      </c>
      <c r="AI32" s="206">
        <f t="shared" si="13"/>
        <v>2170</v>
      </c>
      <c r="AJ32" s="206">
        <f t="shared" si="60"/>
        <v>217</v>
      </c>
      <c r="AK32" s="206">
        <f t="shared" si="14"/>
        <v>2170</v>
      </c>
      <c r="AL32" s="206">
        <f t="shared" si="61"/>
        <v>217</v>
      </c>
      <c r="AM32" s="206">
        <f t="shared" si="15"/>
        <v>2170</v>
      </c>
      <c r="AN32" s="35">
        <f t="shared" si="62"/>
        <v>0.77500000000000002</v>
      </c>
      <c r="AO32" s="36">
        <f t="shared" si="63"/>
        <v>15190</v>
      </c>
      <c r="AQ32" s="226">
        <f t="shared" si="37"/>
        <v>0.70053711394934903</v>
      </c>
      <c r="AR32" s="38">
        <f t="shared" si="41"/>
        <v>65128.935483870977</v>
      </c>
      <c r="AS32" s="200">
        <f t="shared" si="38"/>
        <v>0</v>
      </c>
      <c r="AT32" s="365"/>
      <c r="AU32" s="449"/>
      <c r="AV32" s="532">
        <f>IF(AT32&gt;0,AU32,AV31)</f>
        <v>0.54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211</v>
      </c>
      <c r="C33" s="206">
        <f t="shared" si="18"/>
        <v>4539.9032258064517</v>
      </c>
      <c r="D33">
        <f t="shared" si="44"/>
        <v>211</v>
      </c>
      <c r="E33" s="206">
        <f t="shared" si="18"/>
        <v>4539.9032258064517</v>
      </c>
      <c r="F33">
        <f t="shared" si="45"/>
        <v>211</v>
      </c>
      <c r="G33" s="206">
        <f t="shared" si="1"/>
        <v>4539.9032258064517</v>
      </c>
      <c r="H33" s="206">
        <f t="shared" si="46"/>
        <v>211</v>
      </c>
      <c r="I33" s="206">
        <f t="shared" si="2"/>
        <v>4539.9032258064517</v>
      </c>
      <c r="J33" s="206">
        <f t="shared" si="47"/>
        <v>211</v>
      </c>
      <c r="K33" s="206">
        <f t="shared" si="3"/>
        <v>4539.9032258064517</v>
      </c>
      <c r="L33" s="206">
        <f t="shared" si="48"/>
        <v>211</v>
      </c>
      <c r="M33" s="206">
        <f t="shared" si="4"/>
        <v>4539.9032258064517</v>
      </c>
      <c r="N33" s="206">
        <f t="shared" si="49"/>
        <v>211</v>
      </c>
      <c r="O33" s="206">
        <f t="shared" si="5"/>
        <v>4539.9032258064517</v>
      </c>
      <c r="P33" s="206">
        <f t="shared" si="50"/>
        <v>211</v>
      </c>
      <c r="Q33" s="206">
        <f t="shared" si="6"/>
        <v>4539.9032258064517</v>
      </c>
      <c r="R33" s="206">
        <f t="shared" si="51"/>
        <v>211</v>
      </c>
      <c r="S33" s="206">
        <f t="shared" si="7"/>
        <v>4539.9032258064517</v>
      </c>
      <c r="T33" s="206">
        <f t="shared" si="52"/>
        <v>211</v>
      </c>
      <c r="U33" s="206">
        <f t="shared" si="8"/>
        <v>4539.9032258064517</v>
      </c>
      <c r="V33" s="206">
        <f t="shared" si="53"/>
        <v>211</v>
      </c>
      <c r="W33" s="206">
        <f t="shared" si="9"/>
        <v>4539.9032258064517</v>
      </c>
      <c r="X33" s="35">
        <f t="shared" si="54"/>
        <v>0.68064516129032271</v>
      </c>
      <c r="Y33" s="36">
        <f t="shared" si="55"/>
        <v>49938.935483870977</v>
      </c>
      <c r="Z33" s="206">
        <f>'B5'!C32</f>
        <v>217</v>
      </c>
      <c r="AA33" s="206">
        <f t="shared" si="30"/>
        <v>2170</v>
      </c>
      <c r="AB33" s="206">
        <f t="shared" si="56"/>
        <v>217</v>
      </c>
      <c r="AC33" s="206">
        <f t="shared" si="30"/>
        <v>2170</v>
      </c>
      <c r="AD33" s="206">
        <f t="shared" si="57"/>
        <v>217</v>
      </c>
      <c r="AE33" s="206">
        <f t="shared" si="11"/>
        <v>2170</v>
      </c>
      <c r="AF33" s="206">
        <f t="shared" si="58"/>
        <v>217</v>
      </c>
      <c r="AG33" s="206">
        <f t="shared" si="12"/>
        <v>2170</v>
      </c>
      <c r="AH33" s="206">
        <f t="shared" si="59"/>
        <v>217</v>
      </c>
      <c r="AI33" s="206">
        <f t="shared" si="13"/>
        <v>2170</v>
      </c>
      <c r="AJ33" s="206">
        <f t="shared" si="60"/>
        <v>217</v>
      </c>
      <c r="AK33" s="206">
        <f t="shared" si="14"/>
        <v>2170</v>
      </c>
      <c r="AL33" s="206">
        <f t="shared" si="61"/>
        <v>217</v>
      </c>
      <c r="AM33" s="206">
        <f t="shared" si="15"/>
        <v>2170</v>
      </c>
      <c r="AN33" s="35">
        <f t="shared" si="62"/>
        <v>0.77500000000000002</v>
      </c>
      <c r="AO33" s="36">
        <f t="shared" si="63"/>
        <v>15190</v>
      </c>
      <c r="AQ33" s="226">
        <f t="shared" si="37"/>
        <v>0.70053711394934903</v>
      </c>
      <c r="AR33" s="38">
        <f t="shared" si="41"/>
        <v>65128.935483870977</v>
      </c>
      <c r="AS33" s="200">
        <f t="shared" si="38"/>
        <v>0</v>
      </c>
      <c r="AT33" s="365"/>
      <c r="AU33" s="449"/>
      <c r="AV33" s="532">
        <f>IF(AT33&gt;0,AU33,AV32)</f>
        <v>0.54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211</v>
      </c>
      <c r="C34" s="206">
        <f t="shared" si="18"/>
        <v>4539.9032258064517</v>
      </c>
      <c r="D34">
        <f t="shared" si="44"/>
        <v>211</v>
      </c>
      <c r="E34" s="206">
        <f t="shared" si="18"/>
        <v>4539.9032258064517</v>
      </c>
      <c r="F34">
        <f t="shared" si="45"/>
        <v>211</v>
      </c>
      <c r="G34" s="206">
        <f t="shared" si="1"/>
        <v>4539.9032258064517</v>
      </c>
      <c r="H34" s="206">
        <f t="shared" si="46"/>
        <v>211</v>
      </c>
      <c r="I34" s="206">
        <f t="shared" si="2"/>
        <v>4539.9032258064517</v>
      </c>
      <c r="J34" s="206">
        <f t="shared" si="47"/>
        <v>211</v>
      </c>
      <c r="K34" s="206">
        <f t="shared" si="3"/>
        <v>4539.9032258064517</v>
      </c>
      <c r="L34" s="206">
        <f t="shared" si="48"/>
        <v>211</v>
      </c>
      <c r="M34" s="206">
        <f t="shared" si="4"/>
        <v>4539.9032258064517</v>
      </c>
      <c r="N34" s="206">
        <f t="shared" si="49"/>
        <v>211</v>
      </c>
      <c r="O34" s="206">
        <f t="shared" si="5"/>
        <v>4539.9032258064517</v>
      </c>
      <c r="P34" s="206">
        <f t="shared" si="50"/>
        <v>211</v>
      </c>
      <c r="Q34" s="206">
        <f t="shared" si="6"/>
        <v>4539.9032258064517</v>
      </c>
      <c r="R34" s="206">
        <f t="shared" si="51"/>
        <v>211</v>
      </c>
      <c r="S34" s="206">
        <f t="shared" si="7"/>
        <v>4539.9032258064517</v>
      </c>
      <c r="T34" s="206">
        <f t="shared" si="52"/>
        <v>211</v>
      </c>
      <c r="U34" s="206">
        <f t="shared" si="8"/>
        <v>4539.9032258064517</v>
      </c>
      <c r="V34" s="206">
        <f t="shared" si="53"/>
        <v>211</v>
      </c>
      <c r="W34" s="206">
        <f t="shared" si="9"/>
        <v>4539.9032258064517</v>
      </c>
      <c r="X34" s="35">
        <f t="shared" si="54"/>
        <v>0.68064516129032271</v>
      </c>
      <c r="Y34" s="36">
        <f t="shared" si="55"/>
        <v>49938.935483870977</v>
      </c>
      <c r="Z34" s="206">
        <f>'B5'!C33</f>
        <v>217</v>
      </c>
      <c r="AA34" s="206">
        <f t="shared" si="30"/>
        <v>2170</v>
      </c>
      <c r="AB34" s="206">
        <f t="shared" si="56"/>
        <v>217</v>
      </c>
      <c r="AC34" s="206">
        <f t="shared" si="30"/>
        <v>2170</v>
      </c>
      <c r="AD34" s="206">
        <f t="shared" si="57"/>
        <v>217</v>
      </c>
      <c r="AE34" s="206">
        <f t="shared" si="11"/>
        <v>2170</v>
      </c>
      <c r="AF34" s="206">
        <f t="shared" si="58"/>
        <v>217</v>
      </c>
      <c r="AG34" s="206">
        <f t="shared" si="12"/>
        <v>2170</v>
      </c>
      <c r="AH34" s="206">
        <f t="shared" si="59"/>
        <v>217</v>
      </c>
      <c r="AI34" s="206">
        <f t="shared" si="13"/>
        <v>2170</v>
      </c>
      <c r="AJ34" s="206">
        <f t="shared" si="60"/>
        <v>217</v>
      </c>
      <c r="AK34" s="206">
        <f t="shared" si="14"/>
        <v>2170</v>
      </c>
      <c r="AL34" s="206">
        <f t="shared" si="61"/>
        <v>217</v>
      </c>
      <c r="AM34" s="206">
        <f t="shared" si="15"/>
        <v>2170</v>
      </c>
      <c r="AN34" s="35">
        <f t="shared" si="62"/>
        <v>0.77500000000000002</v>
      </c>
      <c r="AO34" s="36">
        <f t="shared" si="63"/>
        <v>15190</v>
      </c>
      <c r="AQ34" s="226">
        <f>SUM(AR34/92970)</f>
        <v>0.70053711394934903</v>
      </c>
      <c r="AR34" s="38">
        <f t="shared" si="41"/>
        <v>65128.935483870977</v>
      </c>
      <c r="AS34" s="200">
        <f t="shared" si="38"/>
        <v>0</v>
      </c>
      <c r="AT34" s="365"/>
      <c r="AU34" s="449"/>
      <c r="AV34" s="532">
        <f t="shared" si="42"/>
        <v>0.54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211</v>
      </c>
      <c r="C35" s="206">
        <f t="shared" si="18"/>
        <v>4539.9032258064517</v>
      </c>
      <c r="D35">
        <f t="shared" si="44"/>
        <v>211</v>
      </c>
      <c r="E35" s="206">
        <f t="shared" si="18"/>
        <v>4539.9032258064517</v>
      </c>
      <c r="F35">
        <f t="shared" si="45"/>
        <v>211</v>
      </c>
      <c r="G35" s="206">
        <f t="shared" si="1"/>
        <v>4539.9032258064517</v>
      </c>
      <c r="H35" s="206">
        <f t="shared" si="46"/>
        <v>211</v>
      </c>
      <c r="I35" s="206">
        <f t="shared" si="2"/>
        <v>4539.9032258064517</v>
      </c>
      <c r="J35" s="206">
        <f t="shared" si="47"/>
        <v>211</v>
      </c>
      <c r="K35" s="206">
        <f t="shared" si="3"/>
        <v>4539.9032258064517</v>
      </c>
      <c r="L35" s="206">
        <f t="shared" si="48"/>
        <v>211</v>
      </c>
      <c r="M35" s="206">
        <f t="shared" si="4"/>
        <v>4539.9032258064517</v>
      </c>
      <c r="N35" s="206">
        <f t="shared" si="49"/>
        <v>211</v>
      </c>
      <c r="O35" s="206">
        <f t="shared" si="5"/>
        <v>4539.9032258064517</v>
      </c>
      <c r="P35" s="206">
        <f t="shared" si="50"/>
        <v>211</v>
      </c>
      <c r="Q35" s="206">
        <f t="shared" si="6"/>
        <v>4539.9032258064517</v>
      </c>
      <c r="R35" s="206">
        <f t="shared" si="51"/>
        <v>211</v>
      </c>
      <c r="S35" s="206">
        <f t="shared" si="7"/>
        <v>4539.9032258064517</v>
      </c>
      <c r="T35" s="206">
        <f t="shared" si="52"/>
        <v>211</v>
      </c>
      <c r="U35" s="206">
        <f t="shared" si="8"/>
        <v>4539.9032258064517</v>
      </c>
      <c r="V35" s="206">
        <f t="shared" si="53"/>
        <v>211</v>
      </c>
      <c r="W35" s="206">
        <f t="shared" si="9"/>
        <v>4539.9032258064517</v>
      </c>
      <c r="X35" s="35">
        <f t="shared" si="54"/>
        <v>0.68064516129032271</v>
      </c>
      <c r="Y35" s="36">
        <f t="shared" si="55"/>
        <v>49938.935483870977</v>
      </c>
      <c r="Z35" s="206">
        <f>'B5'!C34</f>
        <v>217</v>
      </c>
      <c r="AA35" s="206">
        <f t="shared" si="30"/>
        <v>2170</v>
      </c>
      <c r="AB35" s="206">
        <f t="shared" si="56"/>
        <v>217</v>
      </c>
      <c r="AC35" s="206">
        <f t="shared" si="30"/>
        <v>2170</v>
      </c>
      <c r="AD35" s="206">
        <f t="shared" si="57"/>
        <v>217</v>
      </c>
      <c r="AE35" s="206">
        <f t="shared" si="11"/>
        <v>2170</v>
      </c>
      <c r="AF35" s="206">
        <f t="shared" si="58"/>
        <v>217</v>
      </c>
      <c r="AG35" s="206">
        <f t="shared" si="12"/>
        <v>2170</v>
      </c>
      <c r="AH35" s="206">
        <f t="shared" si="59"/>
        <v>217</v>
      </c>
      <c r="AI35" s="206">
        <f t="shared" si="13"/>
        <v>2170</v>
      </c>
      <c r="AJ35" s="206">
        <f t="shared" si="60"/>
        <v>217</v>
      </c>
      <c r="AK35" s="206">
        <f t="shared" si="14"/>
        <v>2170</v>
      </c>
      <c r="AL35" s="206">
        <f t="shared" si="61"/>
        <v>217</v>
      </c>
      <c r="AM35" s="206">
        <f t="shared" si="15"/>
        <v>2170</v>
      </c>
      <c r="AN35" s="35">
        <f t="shared" si="62"/>
        <v>0.77500000000000002</v>
      </c>
      <c r="AO35" s="36">
        <f t="shared" si="63"/>
        <v>15190</v>
      </c>
      <c r="AQ35" s="226">
        <f>SUM(AR35/92970)</f>
        <v>0.70053711394934903</v>
      </c>
      <c r="AR35" s="38">
        <f t="shared" si="41"/>
        <v>65128.935483870977</v>
      </c>
      <c r="AS35" s="200">
        <f t="shared" si="38"/>
        <v>0</v>
      </c>
      <c r="AT35" s="365"/>
      <c r="AU35" s="449"/>
      <c r="AV35" s="532">
        <f>IF(AT35&gt;0,AU35,AV34)</f>
        <v>0.54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211</v>
      </c>
      <c r="C36" s="206">
        <f t="shared" ref="C36" si="64">B36*$B$4</f>
        <v>4539.9032258064517</v>
      </c>
      <c r="D36">
        <f t="shared" ref="D36" si="65">SUM(B36)</f>
        <v>211</v>
      </c>
      <c r="E36" s="206">
        <f t="shared" ref="E36" si="66">D36*$B$4</f>
        <v>4539.9032258064517</v>
      </c>
      <c r="F36">
        <f t="shared" ref="F36" si="67">SUM(D36)</f>
        <v>211</v>
      </c>
      <c r="G36" s="206">
        <f t="shared" ref="G36" si="68">F36*$B$4</f>
        <v>4539.9032258064517</v>
      </c>
      <c r="H36" s="206">
        <f t="shared" ref="H36" si="69">SUM(F36)</f>
        <v>211</v>
      </c>
      <c r="I36" s="206">
        <f t="shared" ref="I36" si="70">H36*$B$4</f>
        <v>4539.9032258064517</v>
      </c>
      <c r="J36" s="206">
        <f t="shared" ref="J36" si="71">SUM(H36)</f>
        <v>211</v>
      </c>
      <c r="K36" s="206">
        <f t="shared" ref="K36" si="72">J36*$B$4</f>
        <v>4539.9032258064517</v>
      </c>
      <c r="L36" s="206">
        <f t="shared" ref="L36" si="73">SUM(J36)</f>
        <v>211</v>
      </c>
      <c r="M36" s="206">
        <f t="shared" ref="M36" si="74">L36*$B$4</f>
        <v>4539.9032258064517</v>
      </c>
      <c r="N36" s="206">
        <f t="shared" ref="N36" si="75">SUM(L36)</f>
        <v>211</v>
      </c>
      <c r="O36" s="206">
        <f t="shared" ref="O36" si="76">N36*$B$4</f>
        <v>4539.9032258064517</v>
      </c>
      <c r="P36" s="206">
        <f t="shared" ref="P36" si="77">SUM(N36)</f>
        <v>211</v>
      </c>
      <c r="Q36" s="206">
        <f t="shared" ref="Q36" si="78">P36*$B$4</f>
        <v>4539.9032258064517</v>
      </c>
      <c r="R36" s="206">
        <f t="shared" ref="R36" si="79">SUM(P36)</f>
        <v>211</v>
      </c>
      <c r="S36" s="206">
        <f t="shared" ref="S36" si="80">R36*$B$4</f>
        <v>4539.9032258064517</v>
      </c>
      <c r="T36" s="206">
        <f t="shared" ref="T36" si="81">SUM(R36)</f>
        <v>211</v>
      </c>
      <c r="U36" s="206">
        <f t="shared" ref="U36" si="82">T36*$B$4</f>
        <v>4539.9032258064517</v>
      </c>
      <c r="V36" s="206">
        <f t="shared" ref="V36" si="83">SUM(T36)</f>
        <v>211</v>
      </c>
      <c r="W36" s="206">
        <f t="shared" ref="W36" si="84">V36*$B$4</f>
        <v>4539.9032258064517</v>
      </c>
      <c r="X36" s="35">
        <f t="shared" ref="X36" si="85">SUM(Y36/73370)</f>
        <v>0.68064516129032271</v>
      </c>
      <c r="Y36" s="36">
        <f t="shared" ref="Y36" si="86">SUM(C36+E36+G36+I36+K36+M36+O36+Q36+S36+U36+W36)</f>
        <v>49938.935483870977</v>
      </c>
      <c r="Z36" s="206">
        <f>'B5'!C35</f>
        <v>217</v>
      </c>
      <c r="AA36" s="206">
        <f t="shared" ref="AA36" si="87">SUM(Z36*$Z$4)</f>
        <v>2170</v>
      </c>
      <c r="AB36" s="206">
        <f t="shared" ref="AB36" si="88">SUM(Z36)</f>
        <v>217</v>
      </c>
      <c r="AC36" s="206">
        <f t="shared" ref="AC36" si="89">SUM(AB36*$Z$4)</f>
        <v>2170</v>
      </c>
      <c r="AD36" s="206">
        <f t="shared" ref="AD36" si="90">SUM(AB36)</f>
        <v>217</v>
      </c>
      <c r="AE36" s="206">
        <f t="shared" ref="AE36" si="91">SUM(AD36*$Z$4)</f>
        <v>2170</v>
      </c>
      <c r="AF36" s="206">
        <f t="shared" ref="AF36" si="92">SUM(AD36)</f>
        <v>217</v>
      </c>
      <c r="AG36" s="206">
        <f t="shared" ref="AG36" si="93">SUM(AF36*$Z$4)</f>
        <v>2170</v>
      </c>
      <c r="AH36" s="206">
        <f t="shared" ref="AH36" si="94">SUM(AF36)</f>
        <v>217</v>
      </c>
      <c r="AI36" s="206">
        <f t="shared" ref="AI36" si="95">SUM(AH36*$Z$4)</f>
        <v>2170</v>
      </c>
      <c r="AJ36" s="206">
        <f t="shared" ref="AJ36" si="96">SUM(AH36)</f>
        <v>217</v>
      </c>
      <c r="AK36" s="206">
        <f t="shared" ref="AK36" si="97">SUM(AJ36*$Z$4)</f>
        <v>2170</v>
      </c>
      <c r="AL36" s="206">
        <f t="shared" ref="AL36" si="98">SUM(AJ36)</f>
        <v>217</v>
      </c>
      <c r="AM36" s="206">
        <f t="shared" ref="AM36" si="99">SUM(AL36*$Z$4)</f>
        <v>2170</v>
      </c>
      <c r="AN36" s="35">
        <f t="shared" ref="AN36" si="100">SUM(AO36/19600)</f>
        <v>0.77500000000000002</v>
      </c>
      <c r="AO36" s="36">
        <f t="shared" ref="AO36" si="101">SUM(AA36+AC36+AE36+AG36+AI36+AK36+AM36)</f>
        <v>15190</v>
      </c>
      <c r="AQ36" s="226">
        <f>SUM(AR36/92970)</f>
        <v>0.70053711394934903</v>
      </c>
      <c r="AR36" s="38">
        <f t="shared" si="41"/>
        <v>65128.935483870977</v>
      </c>
      <c r="AS36" s="200">
        <f t="shared" ref="AS36" si="102">SUM(AR36-AR35-AT36)</f>
        <v>0</v>
      </c>
      <c r="AT36" s="365"/>
      <c r="AU36" s="449"/>
      <c r="AV36" s="532">
        <f>IF(AT36&gt;0,AU36,AV35)</f>
        <v>0.54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2" t="s">
        <v>225</v>
      </c>
      <c r="AS37" s="498">
        <f>COUNT(AT6:AT35)</f>
        <v>1</v>
      </c>
      <c r="AT37" s="206">
        <f>SUM(AT6:AT35)</f>
        <v>15000</v>
      </c>
      <c r="AU37">
        <f>SUM(AU6:AU35)/AS37</f>
        <v>0.54</v>
      </c>
      <c r="AX37" s="206">
        <f>SUM(AX6:AX35)</f>
        <v>-22708.967741935463</v>
      </c>
      <c r="AY37" s="206">
        <f>SUM(AY6:AY35)</f>
        <v>-23516.967741935463</v>
      </c>
    </row>
    <row r="38" spans="1:60">
      <c r="AS38" s="209"/>
      <c r="AT38">
        <f>+AT37*AU37</f>
        <v>8100.0000000000009</v>
      </c>
    </row>
    <row r="40" spans="1:60">
      <c r="AS40" s="165">
        <f>SUM(AS6:AS35)/'EDl log'!A36</f>
        <v>-1068.9530791788848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J1" zoomScaleNormal="100" workbookViewId="0">
      <pane ySplit="1" topLeftCell="A17" activePane="bottomLeft" state="frozen"/>
      <selection pane="bottomLeft" activeCell="AE24" sqref="AE2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8">
        <v>9112</v>
      </c>
      <c r="C3" s="295">
        <f>B3-B2</f>
        <v>0</v>
      </c>
      <c r="D3" s="569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69">
        <v>10698</v>
      </c>
      <c r="K3" s="295">
        <f t="shared" ref="K3:K31" si="2">J3-J2</f>
        <v>0</v>
      </c>
      <c r="L3" s="569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69">
        <v>11653</v>
      </c>
      <c r="S3" s="295">
        <f t="shared" ref="S3:S32" si="5">R3-R2</f>
        <v>3</v>
      </c>
      <c r="T3" s="569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8">
        <v>9113</v>
      </c>
      <c r="C4" s="295">
        <f t="shared" ref="C4:C32" si="11">B4-B3</f>
        <v>1</v>
      </c>
      <c r="D4" s="569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69">
        <v>10698</v>
      </c>
      <c r="K4" s="295">
        <f t="shared" si="2"/>
        <v>0</v>
      </c>
      <c r="L4" s="569">
        <v>238500</v>
      </c>
      <c r="M4" s="295">
        <f t="shared" si="3"/>
        <v>0</v>
      </c>
      <c r="N4" s="295">
        <f t="shared" ref="N4:N32" si="14">IF(K4&gt;0,M4/K4,0)</f>
        <v>0</v>
      </c>
      <c r="O4" s="199"/>
      <c r="P4" s="296">
        <f t="shared" ref="P4:P33" si="15">P3</f>
        <v>10873</v>
      </c>
      <c r="Q4" s="295" t="str">
        <f t="shared" si="4"/>
        <v>ok</v>
      </c>
      <c r="R4" s="569">
        <v>11658</v>
      </c>
      <c r="S4" s="295">
        <f t="shared" si="5"/>
        <v>5</v>
      </c>
      <c r="T4" s="569">
        <v>347163</v>
      </c>
      <c r="U4" s="295">
        <f t="shared" si="6"/>
        <v>949</v>
      </c>
      <c r="V4" s="295">
        <f t="shared" ref="V4:V32" si="16">IF(S4&gt;0,U4/S4,0)</f>
        <v>189.8</v>
      </c>
      <c r="W4" s="199"/>
      <c r="X4" s="296">
        <f t="shared" ref="X4:X33" si="17">X3</f>
        <v>12429</v>
      </c>
      <c r="Y4" s="295" t="str">
        <f t="shared" si="7"/>
        <v>ok</v>
      </c>
      <c r="Z4" s="295">
        <f>C4+K4+S4</f>
        <v>6</v>
      </c>
      <c r="AA4" s="295">
        <f t="shared" ref="AA4:AA32" si="18">U4+M4+E4</f>
        <v>1236</v>
      </c>
      <c r="AB4" s="295">
        <f t="shared" ref="AB4:AB32" si="19">V4+N4+F4</f>
        <v>476.8</v>
      </c>
      <c r="AC4" s="295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1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8">
        <v>9121</v>
      </c>
      <c r="C5" s="295">
        <f t="shared" si="11"/>
        <v>8</v>
      </c>
      <c r="D5" s="569">
        <v>226901</v>
      </c>
      <c r="E5" s="295">
        <f t="shared" si="12"/>
        <v>1521</v>
      </c>
      <c r="F5" s="295">
        <f t="shared" si="0"/>
        <v>190.125</v>
      </c>
      <c r="G5" s="293"/>
      <c r="H5" s="296">
        <f>H4</f>
        <v>9280</v>
      </c>
      <c r="I5" s="295" t="str">
        <f t="shared" si="1"/>
        <v>ok</v>
      </c>
      <c r="J5" s="569">
        <f t="shared" ref="J5:J33" si="22">J4</f>
        <v>10698</v>
      </c>
      <c r="K5" s="295">
        <f t="shared" si="2"/>
        <v>0</v>
      </c>
      <c r="L5" s="569">
        <f t="shared" ref="L5:L33" si="23">L4</f>
        <v>238500</v>
      </c>
      <c r="M5" s="295">
        <f t="shared" si="3"/>
        <v>0</v>
      </c>
      <c r="N5" s="295">
        <f t="shared" si="14"/>
        <v>0</v>
      </c>
      <c r="O5" s="199"/>
      <c r="P5" s="296">
        <f>P4</f>
        <v>10873</v>
      </c>
      <c r="Q5" s="295" t="str">
        <f t="shared" si="4"/>
        <v>ok</v>
      </c>
      <c r="R5" s="569">
        <v>11658</v>
      </c>
      <c r="S5" s="295">
        <f t="shared" si="5"/>
        <v>0</v>
      </c>
      <c r="T5" s="569">
        <f t="shared" ref="T5:T33" si="24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7"/>
        <v>12429</v>
      </c>
      <c r="Y5" s="295" t="str">
        <f t="shared" si="7"/>
        <v>ok</v>
      </c>
      <c r="Z5" s="295">
        <f t="shared" si="8"/>
        <v>8</v>
      </c>
      <c r="AA5" s="295">
        <f t="shared" si="18"/>
        <v>1521</v>
      </c>
      <c r="AB5" s="295">
        <f t="shared" si="19"/>
        <v>190.125</v>
      </c>
      <c r="AC5" s="295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3">
        <f t="shared" ref="AF5:AF32" si="26">SUM(AE5/1600)</f>
        <v>0.390625</v>
      </c>
      <c r="AG5" s="414">
        <f t="shared" ref="AG5:AG32" si="27">SUM(320*AF5)</f>
        <v>125</v>
      </c>
      <c r="AH5" s="414">
        <f t="shared" si="21"/>
        <v>65.125</v>
      </c>
      <c r="AI5" s="73">
        <f t="shared" ref="AI5:AI32" si="28">AD5*AJ5</f>
        <v>1286.9198312236288</v>
      </c>
      <c r="AJ5" s="297">
        <f t="shared" si="9"/>
        <v>0.25738396624472576</v>
      </c>
      <c r="AK5" s="297">
        <f t="shared" si="10"/>
        <v>160.8649789029536</v>
      </c>
    </row>
    <row r="6" spans="1:37" ht="15.75" thickBot="1">
      <c r="A6" s="4">
        <f>ELEC!C6</f>
        <v>44078</v>
      </c>
      <c r="B6" s="568">
        <v>9128</v>
      </c>
      <c r="C6" s="295">
        <f t="shared" si="11"/>
        <v>7</v>
      </c>
      <c r="D6" s="569">
        <v>227869</v>
      </c>
      <c r="E6" s="295">
        <f t="shared" si="12"/>
        <v>968</v>
      </c>
      <c r="F6" s="295">
        <f t="shared" si="0"/>
        <v>138.28571428571428</v>
      </c>
      <c r="G6" s="199"/>
      <c r="H6" s="296">
        <v>9298</v>
      </c>
      <c r="I6" s="295" t="str">
        <f t="shared" si="1"/>
        <v>ok</v>
      </c>
      <c r="J6" s="569">
        <f t="shared" si="22"/>
        <v>10698</v>
      </c>
      <c r="K6" s="295">
        <f t="shared" si="2"/>
        <v>0</v>
      </c>
      <c r="L6" s="569">
        <f t="shared" si="23"/>
        <v>238500</v>
      </c>
      <c r="M6" s="295">
        <f t="shared" si="3"/>
        <v>0</v>
      </c>
      <c r="N6" s="295">
        <f t="shared" si="14"/>
        <v>0</v>
      </c>
      <c r="O6" s="315"/>
      <c r="P6" s="296">
        <f t="shared" si="15"/>
        <v>10873</v>
      </c>
      <c r="Q6" s="295" t="str">
        <f t="shared" si="4"/>
        <v>ok</v>
      </c>
      <c r="R6" s="569">
        <v>11658</v>
      </c>
      <c r="S6" s="295">
        <f t="shared" si="5"/>
        <v>0</v>
      </c>
      <c r="T6" s="569">
        <f t="shared" si="24"/>
        <v>347163</v>
      </c>
      <c r="U6" s="295">
        <f t="shared" si="6"/>
        <v>0</v>
      </c>
      <c r="V6" s="295">
        <f t="shared" si="16"/>
        <v>0</v>
      </c>
      <c r="W6" s="315"/>
      <c r="X6" s="296">
        <f t="shared" si="17"/>
        <v>12429</v>
      </c>
      <c r="Y6" s="295" t="str">
        <f t="shared" si="7"/>
        <v>ok</v>
      </c>
      <c r="Z6" s="295">
        <f t="shared" si="8"/>
        <v>7</v>
      </c>
      <c r="AA6" s="295">
        <f t="shared" si="18"/>
        <v>968</v>
      </c>
      <c r="AB6" s="295">
        <f t="shared" si="19"/>
        <v>138.28571428571428</v>
      </c>
      <c r="AC6" s="295">
        <f t="shared" si="20"/>
        <v>138.28571428571428</v>
      </c>
      <c r="AD6" s="73">
        <f>ELEC!Q6</f>
        <v>5000</v>
      </c>
      <c r="AE6" s="73">
        <f>SUM(AD6/Z6)</f>
        <v>714.28571428571433</v>
      </c>
      <c r="AF6" s="413">
        <f t="shared" si="26"/>
        <v>0.44642857142857145</v>
      </c>
      <c r="AG6" s="414">
        <f>SUM(320*AF6)</f>
        <v>142.85714285714286</v>
      </c>
      <c r="AH6" s="414">
        <f t="shared" si="21"/>
        <v>-4.5714285714285836</v>
      </c>
      <c r="AI6" s="73">
        <f t="shared" si="28"/>
        <v>1286.9198312236288</v>
      </c>
      <c r="AJ6" s="297">
        <f t="shared" si="9"/>
        <v>0.25738396624472576</v>
      </c>
      <c r="AK6" s="297">
        <f t="shared" si="10"/>
        <v>183.8456901748041</v>
      </c>
    </row>
    <row r="7" spans="1:37" ht="15.75" thickBot="1">
      <c r="A7" s="4">
        <f>ELEC!C7</f>
        <v>44079</v>
      </c>
      <c r="B7" s="568">
        <v>9132</v>
      </c>
      <c r="C7" s="295">
        <f t="shared" si="11"/>
        <v>4</v>
      </c>
      <c r="D7" s="569">
        <f t="shared" ref="D7:D33" si="29">D6</f>
        <v>227869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9298</v>
      </c>
      <c r="I7" s="295" t="str">
        <f t="shared" si="1"/>
        <v>ok</v>
      </c>
      <c r="J7" s="569">
        <f t="shared" si="22"/>
        <v>10698</v>
      </c>
      <c r="K7" s="295">
        <f t="shared" si="2"/>
        <v>0</v>
      </c>
      <c r="L7" s="569">
        <f t="shared" si="23"/>
        <v>238500</v>
      </c>
      <c r="M7" s="295">
        <f t="shared" si="3"/>
        <v>0</v>
      </c>
      <c r="N7" s="295">
        <f t="shared" si="14"/>
        <v>0</v>
      </c>
      <c r="O7" s="315"/>
      <c r="P7" s="296">
        <f t="shared" si="15"/>
        <v>10873</v>
      </c>
      <c r="Q7" s="295" t="str">
        <f t="shared" si="4"/>
        <v>ok</v>
      </c>
      <c r="R7" s="569">
        <f t="shared" ref="R7:R33" si="30">R6</f>
        <v>11658</v>
      </c>
      <c r="S7" s="295">
        <f t="shared" si="5"/>
        <v>0</v>
      </c>
      <c r="T7" s="569">
        <f t="shared" si="24"/>
        <v>347163</v>
      </c>
      <c r="U7" s="295">
        <f t="shared" si="6"/>
        <v>0</v>
      </c>
      <c r="V7" s="295">
        <f t="shared" si="16"/>
        <v>0</v>
      </c>
      <c r="W7" s="199"/>
      <c r="X7" s="296">
        <f t="shared" si="17"/>
        <v>12429</v>
      </c>
      <c r="Y7" s="295" t="str">
        <f t="shared" si="7"/>
        <v>ok</v>
      </c>
      <c r="Z7" s="295">
        <f t="shared" si="8"/>
        <v>4</v>
      </c>
      <c r="AA7" s="295">
        <f>U7+M7+E7</f>
        <v>0</v>
      </c>
      <c r="AB7" s="295">
        <f t="shared" si="19"/>
        <v>0</v>
      </c>
      <c r="AC7" s="295">
        <f t="shared" si="20"/>
        <v>0</v>
      </c>
      <c r="AD7" s="73">
        <f>ELEC!Q7</f>
        <v>2000</v>
      </c>
      <c r="AE7" s="73">
        <f t="shared" si="25"/>
        <v>500</v>
      </c>
      <c r="AF7" s="413">
        <f t="shared" si="26"/>
        <v>0.3125</v>
      </c>
      <c r="AG7" s="518" t="s">
        <v>405</v>
      </c>
      <c r="AH7" s="414" t="e">
        <f t="shared" si="21"/>
        <v>#VALUE!</v>
      </c>
      <c r="AI7" s="73">
        <f t="shared" si="28"/>
        <v>514.76793248945148</v>
      </c>
      <c r="AJ7" s="297">
        <f t="shared" si="9"/>
        <v>0.25738396624472576</v>
      </c>
      <c r="AK7" s="297">
        <f t="shared" si="10"/>
        <v>128.69198312236287</v>
      </c>
    </row>
    <row r="8" spans="1:37" ht="15.75" thickBot="1">
      <c r="A8" s="4">
        <f>ELEC!C8</f>
        <v>44080</v>
      </c>
      <c r="B8" s="605">
        <v>9140</v>
      </c>
      <c r="C8" s="295">
        <f t="shared" si="11"/>
        <v>8</v>
      </c>
      <c r="D8" s="276">
        <v>230126</v>
      </c>
      <c r="E8" s="295">
        <f t="shared" si="12"/>
        <v>2257</v>
      </c>
      <c r="F8" s="295">
        <f t="shared" si="0"/>
        <v>282.125</v>
      </c>
      <c r="G8" s="199"/>
      <c r="H8" s="296">
        <f t="shared" si="13"/>
        <v>9298</v>
      </c>
      <c r="I8" s="295" t="str">
        <f t="shared" si="1"/>
        <v>ok</v>
      </c>
      <c r="J8" s="569">
        <f t="shared" si="22"/>
        <v>10698</v>
      </c>
      <c r="K8" s="295">
        <f t="shared" si="2"/>
        <v>0</v>
      </c>
      <c r="L8" s="569">
        <f t="shared" si="23"/>
        <v>238500</v>
      </c>
      <c r="M8" s="295">
        <f t="shared" si="3"/>
        <v>0</v>
      </c>
      <c r="N8" s="295">
        <f t="shared" si="14"/>
        <v>0</v>
      </c>
      <c r="O8" s="199"/>
      <c r="P8" s="296">
        <f t="shared" si="15"/>
        <v>10873</v>
      </c>
      <c r="Q8" s="295" t="str">
        <f t="shared" si="4"/>
        <v>ok</v>
      </c>
      <c r="R8" s="569">
        <f t="shared" si="30"/>
        <v>11658</v>
      </c>
      <c r="S8" s="295">
        <f t="shared" si="5"/>
        <v>0</v>
      </c>
      <c r="T8" s="569">
        <f t="shared" si="24"/>
        <v>347163</v>
      </c>
      <c r="U8" s="295">
        <f t="shared" si="6"/>
        <v>0</v>
      </c>
      <c r="V8" s="295">
        <f t="shared" si="16"/>
        <v>0</v>
      </c>
      <c r="W8" s="199"/>
      <c r="X8" s="296">
        <f t="shared" si="17"/>
        <v>12429</v>
      </c>
      <c r="Y8" s="295" t="str">
        <f t="shared" si="7"/>
        <v>ok</v>
      </c>
      <c r="Z8" s="295">
        <f t="shared" si="8"/>
        <v>8</v>
      </c>
      <c r="AA8" s="295">
        <f t="shared" si="18"/>
        <v>2257</v>
      </c>
      <c r="AB8" s="295">
        <f t="shared" si="19"/>
        <v>282.125</v>
      </c>
      <c r="AC8" s="295">
        <f t="shared" si="20"/>
        <v>282.125</v>
      </c>
      <c r="AD8" s="73">
        <f>ELEC!Q8</f>
        <v>4000</v>
      </c>
      <c r="AE8" s="73">
        <f t="shared" si="25"/>
        <v>500</v>
      </c>
      <c r="AF8" s="413">
        <f t="shared" si="26"/>
        <v>0.3125</v>
      </c>
      <c r="AG8" s="414">
        <f t="shared" si="27"/>
        <v>100</v>
      </c>
      <c r="AH8" s="414">
        <f t="shared" si="21"/>
        <v>182.125</v>
      </c>
      <c r="AI8" s="73">
        <f t="shared" si="28"/>
        <v>1029.535864978903</v>
      </c>
      <c r="AJ8" s="297">
        <f t="shared" si="9"/>
        <v>0.25738396624472576</v>
      </c>
      <c r="AK8" s="297">
        <f t="shared" si="10"/>
        <v>128.69198312236287</v>
      </c>
    </row>
    <row r="9" spans="1:37" ht="15.75" thickBot="1">
      <c r="A9" s="4">
        <f>ELEC!C9</f>
        <v>44081</v>
      </c>
      <c r="B9" s="605">
        <v>9148</v>
      </c>
      <c r="C9" s="295">
        <f t="shared" si="11"/>
        <v>8</v>
      </c>
      <c r="D9" s="276">
        <v>230116</v>
      </c>
      <c r="E9" s="295">
        <f t="shared" si="12"/>
        <v>-10</v>
      </c>
      <c r="F9" s="295">
        <f t="shared" si="0"/>
        <v>-1.25</v>
      </c>
      <c r="G9" s="199"/>
      <c r="H9" s="296">
        <f t="shared" si="13"/>
        <v>9298</v>
      </c>
      <c r="I9" s="295" t="str">
        <f t="shared" si="1"/>
        <v>ok</v>
      </c>
      <c r="J9" s="569">
        <f t="shared" si="22"/>
        <v>10698</v>
      </c>
      <c r="K9" s="295">
        <f t="shared" si="2"/>
        <v>0</v>
      </c>
      <c r="L9" s="569">
        <f t="shared" si="23"/>
        <v>238500</v>
      </c>
      <c r="M9" s="295">
        <f t="shared" si="3"/>
        <v>0</v>
      </c>
      <c r="N9" s="295">
        <f t="shared" si="14"/>
        <v>0</v>
      </c>
      <c r="O9" s="199"/>
      <c r="P9" s="296">
        <f t="shared" si="15"/>
        <v>10873</v>
      </c>
      <c r="Q9" s="295" t="str">
        <f t="shared" si="4"/>
        <v>ok</v>
      </c>
      <c r="R9" s="569">
        <f t="shared" si="30"/>
        <v>11658</v>
      </c>
      <c r="S9" s="295">
        <f t="shared" si="5"/>
        <v>0</v>
      </c>
      <c r="T9" s="569">
        <f t="shared" si="24"/>
        <v>347163</v>
      </c>
      <c r="U9" s="295">
        <f t="shared" si="6"/>
        <v>0</v>
      </c>
      <c r="V9" s="295">
        <f t="shared" si="16"/>
        <v>0</v>
      </c>
      <c r="W9" s="199"/>
      <c r="X9" s="296">
        <f t="shared" si="17"/>
        <v>12429</v>
      </c>
      <c r="Y9" s="295" t="str">
        <f t="shared" si="7"/>
        <v>ok</v>
      </c>
      <c r="Z9" s="295">
        <f t="shared" si="8"/>
        <v>8</v>
      </c>
      <c r="AA9" s="295">
        <f t="shared" si="18"/>
        <v>-10</v>
      </c>
      <c r="AB9" s="295">
        <f t="shared" si="19"/>
        <v>-1.25</v>
      </c>
      <c r="AC9" s="295">
        <f t="shared" si="20"/>
        <v>-1.25</v>
      </c>
      <c r="AD9" s="73">
        <f>ELEC!Q9</f>
        <v>5000</v>
      </c>
      <c r="AE9" s="73">
        <f t="shared" si="25"/>
        <v>625</v>
      </c>
      <c r="AF9" s="413">
        <f t="shared" si="26"/>
        <v>0.390625</v>
      </c>
      <c r="AG9" s="414">
        <f t="shared" si="27"/>
        <v>125</v>
      </c>
      <c r="AH9" s="414">
        <f t="shared" si="21"/>
        <v>-126.25</v>
      </c>
      <c r="AI9" s="73">
        <f t="shared" si="28"/>
        <v>1286.9198312236288</v>
      </c>
      <c r="AJ9" s="297">
        <v>0.25738396624472576</v>
      </c>
      <c r="AK9" s="297">
        <f t="shared" ref="AK9:AK16" si="31">IF(Z9&gt;0,AI9/Z9,0)</f>
        <v>160.8649789029536</v>
      </c>
    </row>
    <row r="10" spans="1:37" ht="15.75" thickBot="1">
      <c r="A10" s="4">
        <f>ELEC!C10</f>
        <v>44082</v>
      </c>
      <c r="B10" s="568">
        <v>9162</v>
      </c>
      <c r="C10" s="295">
        <f t="shared" si="11"/>
        <v>14</v>
      </c>
      <c r="D10" s="569">
        <f t="shared" si="29"/>
        <v>230116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9298</v>
      </c>
      <c r="I10" s="295" t="str">
        <f t="shared" si="1"/>
        <v>ok</v>
      </c>
      <c r="J10" s="569">
        <f t="shared" si="22"/>
        <v>10698</v>
      </c>
      <c r="K10" s="295">
        <f t="shared" si="2"/>
        <v>0</v>
      </c>
      <c r="L10" s="569">
        <f t="shared" si="23"/>
        <v>238500</v>
      </c>
      <c r="M10" s="295">
        <f t="shared" si="3"/>
        <v>0</v>
      </c>
      <c r="N10" s="295">
        <f t="shared" si="14"/>
        <v>0</v>
      </c>
      <c r="O10" s="199"/>
      <c r="P10" s="296">
        <v>10873</v>
      </c>
      <c r="Q10" s="295" t="str">
        <f t="shared" si="4"/>
        <v>ok</v>
      </c>
      <c r="R10" s="569">
        <v>11658</v>
      </c>
      <c r="S10" s="295">
        <f t="shared" si="5"/>
        <v>0</v>
      </c>
      <c r="T10" s="569">
        <f t="shared" si="24"/>
        <v>347163</v>
      </c>
      <c r="U10" s="295">
        <f t="shared" si="6"/>
        <v>0</v>
      </c>
      <c r="V10" s="295">
        <f t="shared" si="16"/>
        <v>0</v>
      </c>
      <c r="W10" s="199"/>
      <c r="X10" s="296">
        <f t="shared" si="17"/>
        <v>12429</v>
      </c>
      <c r="Y10" s="295" t="str">
        <f t="shared" si="7"/>
        <v>ok</v>
      </c>
      <c r="Z10" s="295">
        <f t="shared" si="8"/>
        <v>14</v>
      </c>
      <c r="AA10" s="295">
        <f t="shared" si="18"/>
        <v>0</v>
      </c>
      <c r="AB10" s="295">
        <f t="shared" si="19"/>
        <v>0</v>
      </c>
      <c r="AC10" s="295">
        <f t="shared" si="20"/>
        <v>0</v>
      </c>
      <c r="AD10" s="73">
        <f>ELEC!Q10</f>
        <v>8000</v>
      </c>
      <c r="AE10" s="73">
        <f t="shared" si="25"/>
        <v>571.42857142857144</v>
      </c>
      <c r="AF10" s="413">
        <f t="shared" si="26"/>
        <v>0.35714285714285715</v>
      </c>
      <c r="AG10" s="414">
        <f t="shared" si="27"/>
        <v>114.28571428571429</v>
      </c>
      <c r="AH10" s="414">
        <f t="shared" si="21"/>
        <v>-114.28571428571429</v>
      </c>
      <c r="AI10" s="73">
        <f t="shared" si="28"/>
        <v>2059.0717299578059</v>
      </c>
      <c r="AJ10" s="297">
        <f t="shared" si="9"/>
        <v>0.25738396624472576</v>
      </c>
      <c r="AK10" s="297">
        <f t="shared" si="31"/>
        <v>147.07655213984327</v>
      </c>
    </row>
    <row r="11" spans="1:37" ht="15.75" thickBot="1">
      <c r="A11" s="4">
        <f>ELEC!C11</f>
        <v>44083</v>
      </c>
      <c r="B11" s="568">
        <v>9166</v>
      </c>
      <c r="C11" s="295">
        <f t="shared" si="11"/>
        <v>4</v>
      </c>
      <c r="D11" s="569">
        <v>235548</v>
      </c>
      <c r="E11" s="295">
        <f t="shared" si="12"/>
        <v>5432</v>
      </c>
      <c r="F11" s="295">
        <f t="shared" si="0"/>
        <v>1358</v>
      </c>
      <c r="G11" s="199"/>
      <c r="H11" s="296">
        <f t="shared" si="13"/>
        <v>9298</v>
      </c>
      <c r="I11" s="295" t="str">
        <f t="shared" si="1"/>
        <v>ok</v>
      </c>
      <c r="J11" s="569">
        <f t="shared" si="22"/>
        <v>10698</v>
      </c>
      <c r="K11" s="295">
        <f t="shared" si="2"/>
        <v>0</v>
      </c>
      <c r="L11" s="569">
        <f t="shared" si="23"/>
        <v>238500</v>
      </c>
      <c r="M11" s="295">
        <f t="shared" si="3"/>
        <v>0</v>
      </c>
      <c r="N11" s="295">
        <f t="shared" si="14"/>
        <v>0</v>
      </c>
      <c r="O11" s="199"/>
      <c r="P11" s="296">
        <f t="shared" si="15"/>
        <v>10873</v>
      </c>
      <c r="Q11" s="295" t="str">
        <f t="shared" si="4"/>
        <v>ok</v>
      </c>
      <c r="R11" s="569">
        <v>11659</v>
      </c>
      <c r="S11" s="295">
        <f t="shared" si="5"/>
        <v>1</v>
      </c>
      <c r="T11" s="569">
        <v>347562</v>
      </c>
      <c r="U11" s="295">
        <f t="shared" si="6"/>
        <v>399</v>
      </c>
      <c r="V11" s="295">
        <f t="shared" si="16"/>
        <v>399</v>
      </c>
      <c r="W11" s="199"/>
      <c r="X11" s="296">
        <f t="shared" si="17"/>
        <v>12429</v>
      </c>
      <c r="Y11" s="295" t="str">
        <f t="shared" si="7"/>
        <v>ok</v>
      </c>
      <c r="Z11" s="295">
        <f t="shared" si="8"/>
        <v>5</v>
      </c>
      <c r="AA11" s="295">
        <f t="shared" si="18"/>
        <v>5831</v>
      </c>
      <c r="AB11" s="295">
        <f t="shared" si="19"/>
        <v>1757</v>
      </c>
      <c r="AC11" s="295">
        <f t="shared" si="20"/>
        <v>1166.2</v>
      </c>
      <c r="AD11" s="73">
        <f>ELEC!Q11</f>
        <v>2000</v>
      </c>
      <c r="AE11" s="73">
        <f t="shared" si="25"/>
        <v>400</v>
      </c>
      <c r="AF11" s="413">
        <f t="shared" si="26"/>
        <v>0.25</v>
      </c>
      <c r="AG11" s="414">
        <f t="shared" si="27"/>
        <v>80</v>
      </c>
      <c r="AH11" s="414">
        <f t="shared" si="21"/>
        <v>1086.2</v>
      </c>
      <c r="AI11" s="73">
        <f t="shared" si="28"/>
        <v>514.76793248945148</v>
      </c>
      <c r="AJ11" s="297">
        <f t="shared" si="9"/>
        <v>0.25738396624472576</v>
      </c>
      <c r="AK11" s="297">
        <f t="shared" si="31"/>
        <v>102.9535864978903</v>
      </c>
    </row>
    <row r="12" spans="1:37" ht="15.75" thickBot="1">
      <c r="A12" s="4">
        <f>ELEC!C12</f>
        <v>44084</v>
      </c>
      <c r="B12" s="568">
        <f t="shared" ref="B12:B33" si="32">B11</f>
        <v>9166</v>
      </c>
      <c r="C12" s="295">
        <f t="shared" si="11"/>
        <v>0</v>
      </c>
      <c r="D12" s="569">
        <f t="shared" si="29"/>
        <v>235548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9298</v>
      </c>
      <c r="I12" s="295" t="str">
        <f t="shared" si="1"/>
        <v>ok</v>
      </c>
      <c r="J12" s="569">
        <f t="shared" si="22"/>
        <v>10698</v>
      </c>
      <c r="K12" s="295">
        <f t="shared" si="2"/>
        <v>0</v>
      </c>
      <c r="L12" s="569">
        <f t="shared" si="23"/>
        <v>238500</v>
      </c>
      <c r="M12" s="295">
        <f t="shared" si="3"/>
        <v>0</v>
      </c>
      <c r="N12" s="295">
        <f t="shared" si="14"/>
        <v>0</v>
      </c>
      <c r="O12" s="199"/>
      <c r="P12" s="296">
        <f t="shared" si="15"/>
        <v>10873</v>
      </c>
      <c r="Q12" s="295" t="str">
        <f t="shared" si="4"/>
        <v>ok</v>
      </c>
      <c r="R12" s="610">
        <v>11662</v>
      </c>
      <c r="S12" s="295">
        <f t="shared" si="5"/>
        <v>3</v>
      </c>
      <c r="T12" s="276">
        <v>348112</v>
      </c>
      <c r="U12" s="295">
        <f t="shared" si="6"/>
        <v>550</v>
      </c>
      <c r="V12" s="295">
        <f t="shared" si="16"/>
        <v>183.33333333333334</v>
      </c>
      <c r="W12" s="199"/>
      <c r="X12" s="296">
        <f t="shared" si="17"/>
        <v>12429</v>
      </c>
      <c r="Y12" s="295" t="str">
        <f t="shared" si="7"/>
        <v>ok</v>
      </c>
      <c r="Z12" s="295">
        <f t="shared" si="8"/>
        <v>3</v>
      </c>
      <c r="AA12" s="295">
        <f t="shared" si="18"/>
        <v>550</v>
      </c>
      <c r="AB12" s="295">
        <f t="shared" si="19"/>
        <v>183.33333333333334</v>
      </c>
      <c r="AC12" s="295">
        <f t="shared" si="20"/>
        <v>183.33333333333334</v>
      </c>
      <c r="AD12" s="73">
        <f>ELEC!Q12</f>
        <v>2000</v>
      </c>
      <c r="AE12" s="73">
        <f t="shared" si="25"/>
        <v>666.66666666666663</v>
      </c>
      <c r="AF12" s="413">
        <f t="shared" si="26"/>
        <v>0.41666666666666663</v>
      </c>
      <c r="AG12" s="414">
        <f t="shared" si="27"/>
        <v>133.33333333333331</v>
      </c>
      <c r="AH12" s="414">
        <f t="shared" si="21"/>
        <v>50.000000000000028</v>
      </c>
      <c r="AI12" s="73">
        <f t="shared" si="28"/>
        <v>514.76793248945148</v>
      </c>
      <c r="AJ12" s="297">
        <f t="shared" si="9"/>
        <v>0.25738396624472576</v>
      </c>
      <c r="AK12" s="297">
        <f t="shared" si="31"/>
        <v>171.58931082981715</v>
      </c>
    </row>
    <row r="13" spans="1:37" ht="15.75" thickBot="1">
      <c r="A13" s="4">
        <f>ELEC!C13</f>
        <v>44085</v>
      </c>
      <c r="B13" s="568">
        <f t="shared" si="32"/>
        <v>9166</v>
      </c>
      <c r="C13" s="295">
        <f t="shared" si="11"/>
        <v>0</v>
      </c>
      <c r="D13" s="569">
        <f t="shared" si="29"/>
        <v>235548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9298</v>
      </c>
      <c r="I13" s="295" t="str">
        <f t="shared" si="1"/>
        <v>ok</v>
      </c>
      <c r="J13" s="569">
        <f t="shared" si="22"/>
        <v>10698</v>
      </c>
      <c r="K13" s="295">
        <f t="shared" si="2"/>
        <v>0</v>
      </c>
      <c r="L13" s="569">
        <f t="shared" si="23"/>
        <v>238500</v>
      </c>
      <c r="M13" s="295">
        <f t="shared" si="3"/>
        <v>0</v>
      </c>
      <c r="N13" s="295">
        <f t="shared" si="14"/>
        <v>0</v>
      </c>
      <c r="O13" s="199"/>
      <c r="P13" s="296">
        <f t="shared" si="15"/>
        <v>10873</v>
      </c>
      <c r="Q13" s="295" t="str">
        <f t="shared" si="4"/>
        <v>ok</v>
      </c>
      <c r="R13" s="610">
        <v>11669</v>
      </c>
      <c r="S13" s="295">
        <f t="shared" si="5"/>
        <v>7</v>
      </c>
      <c r="T13" s="276">
        <v>349508</v>
      </c>
      <c r="U13" s="295">
        <f t="shared" si="6"/>
        <v>1396</v>
      </c>
      <c r="V13" s="295">
        <f t="shared" si="16"/>
        <v>199.42857142857142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7</v>
      </c>
      <c r="AA13" s="295">
        <f t="shared" si="18"/>
        <v>1396</v>
      </c>
      <c r="AB13" s="295">
        <f t="shared" si="19"/>
        <v>199.42857142857142</v>
      </c>
      <c r="AC13" s="295">
        <f t="shared" si="20"/>
        <v>199.42857142857142</v>
      </c>
      <c r="AD13" s="73">
        <f>ELEC!Q13</f>
        <v>3000</v>
      </c>
      <c r="AE13" s="73">
        <f t="shared" si="25"/>
        <v>428.57142857142856</v>
      </c>
      <c r="AF13" s="413">
        <f t="shared" si="26"/>
        <v>0.26785714285714285</v>
      </c>
      <c r="AG13" s="414">
        <f t="shared" si="27"/>
        <v>85.714285714285708</v>
      </c>
      <c r="AH13" s="414">
        <f t="shared" si="21"/>
        <v>113.71428571428571</v>
      </c>
      <c r="AI13" s="73">
        <f t="shared" si="28"/>
        <v>772.15189873417728</v>
      </c>
      <c r="AJ13" s="297">
        <f t="shared" si="9"/>
        <v>0.25738396624472576</v>
      </c>
      <c r="AK13" s="297">
        <f t="shared" si="31"/>
        <v>110.30741410488247</v>
      </c>
    </row>
    <row r="14" spans="1:37" ht="15.75" thickBot="1">
      <c r="A14" s="4">
        <f>ELEC!C14</f>
        <v>44086</v>
      </c>
      <c r="B14" s="568">
        <f t="shared" si="32"/>
        <v>9166</v>
      </c>
      <c r="C14" s="295">
        <f t="shared" si="11"/>
        <v>0</v>
      </c>
      <c r="D14" s="569">
        <f t="shared" si="29"/>
        <v>235548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9298</v>
      </c>
      <c r="I14" s="295" t="str">
        <f t="shared" si="1"/>
        <v>ok</v>
      </c>
      <c r="J14" s="569">
        <f t="shared" si="22"/>
        <v>10698</v>
      </c>
      <c r="K14" s="295">
        <f t="shared" si="2"/>
        <v>0</v>
      </c>
      <c r="L14" s="569">
        <f t="shared" si="23"/>
        <v>238500</v>
      </c>
      <c r="M14" s="295">
        <f t="shared" si="3"/>
        <v>0</v>
      </c>
      <c r="N14" s="295">
        <f t="shared" si="14"/>
        <v>0</v>
      </c>
      <c r="O14" s="199"/>
      <c r="P14" s="296">
        <f t="shared" si="15"/>
        <v>10873</v>
      </c>
      <c r="Q14" s="295" t="str">
        <f t="shared" si="4"/>
        <v>ok</v>
      </c>
      <c r="R14" s="569">
        <v>11675</v>
      </c>
      <c r="S14" s="295">
        <f t="shared" si="5"/>
        <v>6</v>
      </c>
      <c r="T14" s="569">
        <v>350834</v>
      </c>
      <c r="U14" s="295">
        <f t="shared" si="6"/>
        <v>1326</v>
      </c>
      <c r="V14" s="295">
        <f t="shared" si="16"/>
        <v>221</v>
      </c>
      <c r="W14" s="199"/>
      <c r="X14" s="296">
        <f t="shared" si="17"/>
        <v>12609</v>
      </c>
      <c r="Y14" s="295" t="str">
        <f t="shared" si="7"/>
        <v>ok</v>
      </c>
      <c r="Z14" s="295">
        <f t="shared" si="8"/>
        <v>6</v>
      </c>
      <c r="AA14" s="295">
        <f t="shared" si="18"/>
        <v>1326</v>
      </c>
      <c r="AB14" s="295">
        <f t="shared" si="19"/>
        <v>221</v>
      </c>
      <c r="AC14" s="295">
        <f t="shared" si="20"/>
        <v>221</v>
      </c>
      <c r="AD14" s="73">
        <f>ELEC!Q14</f>
        <v>3000</v>
      </c>
      <c r="AE14" s="73">
        <f t="shared" si="25"/>
        <v>500</v>
      </c>
      <c r="AF14" s="413">
        <f t="shared" si="26"/>
        <v>0.3125</v>
      </c>
      <c r="AG14" s="414">
        <f t="shared" si="27"/>
        <v>100</v>
      </c>
      <c r="AH14" s="414">
        <f t="shared" si="21"/>
        <v>121</v>
      </c>
      <c r="AI14" s="73">
        <f t="shared" si="28"/>
        <v>772.15189873417728</v>
      </c>
      <c r="AJ14" s="297">
        <f t="shared" si="9"/>
        <v>0.25738396624472576</v>
      </c>
      <c r="AK14" s="297">
        <f t="shared" si="31"/>
        <v>128.69198312236287</v>
      </c>
    </row>
    <row r="15" spans="1:37" ht="15.75" thickBot="1">
      <c r="A15" s="4">
        <f>ELEC!C15</f>
        <v>44087</v>
      </c>
      <c r="B15" s="568">
        <v>9166</v>
      </c>
      <c r="C15" s="295">
        <f t="shared" si="11"/>
        <v>0</v>
      </c>
      <c r="D15" s="569">
        <v>235549</v>
      </c>
      <c r="E15" s="295">
        <f t="shared" si="12"/>
        <v>1</v>
      </c>
      <c r="F15" s="295">
        <f t="shared" si="0"/>
        <v>0</v>
      </c>
      <c r="G15" s="199"/>
      <c r="H15" s="296">
        <f t="shared" si="13"/>
        <v>9298</v>
      </c>
      <c r="I15" s="295" t="str">
        <f t="shared" si="1"/>
        <v>ok</v>
      </c>
      <c r="J15" s="569">
        <v>10698</v>
      </c>
      <c r="K15" s="295">
        <f t="shared" si="2"/>
        <v>0</v>
      </c>
      <c r="L15" s="569">
        <f t="shared" si="23"/>
        <v>238500</v>
      </c>
      <c r="M15" s="295">
        <f t="shared" si="3"/>
        <v>0</v>
      </c>
      <c r="N15" s="295">
        <f t="shared" si="14"/>
        <v>0</v>
      </c>
      <c r="O15" s="199"/>
      <c r="P15" s="296">
        <f t="shared" si="15"/>
        <v>10873</v>
      </c>
      <c r="Q15" s="295" t="str">
        <f t="shared" si="4"/>
        <v>ok</v>
      </c>
      <c r="R15" s="569">
        <v>11679</v>
      </c>
      <c r="S15" s="295">
        <f t="shared" si="5"/>
        <v>4</v>
      </c>
      <c r="T15" s="569">
        <v>351748</v>
      </c>
      <c r="U15" s="295">
        <f t="shared" si="6"/>
        <v>914</v>
      </c>
      <c r="V15" s="295">
        <f t="shared" si="16"/>
        <v>228.5</v>
      </c>
      <c r="W15" s="199"/>
      <c r="X15" s="296">
        <f t="shared" si="17"/>
        <v>12609</v>
      </c>
      <c r="Y15" s="295" t="str">
        <f t="shared" si="7"/>
        <v>ok</v>
      </c>
      <c r="Z15" s="295">
        <f t="shared" si="8"/>
        <v>4</v>
      </c>
      <c r="AA15" s="295">
        <f t="shared" si="18"/>
        <v>915</v>
      </c>
      <c r="AB15" s="295">
        <f t="shared" si="19"/>
        <v>228.5</v>
      </c>
      <c r="AC15" s="295">
        <f t="shared" si="20"/>
        <v>228.75</v>
      </c>
      <c r="AD15" s="73">
        <f>ELEC!Q15</f>
        <v>2000</v>
      </c>
      <c r="AE15" s="73">
        <f t="shared" si="25"/>
        <v>500</v>
      </c>
      <c r="AF15" s="413">
        <f t="shared" si="26"/>
        <v>0.3125</v>
      </c>
      <c r="AG15" s="414">
        <f t="shared" si="27"/>
        <v>100</v>
      </c>
      <c r="AH15" s="414">
        <f t="shared" si="21"/>
        <v>128.75</v>
      </c>
      <c r="AI15" s="73">
        <f t="shared" si="28"/>
        <v>514.76793248945148</v>
      </c>
      <c r="AJ15" s="297">
        <f t="shared" si="9"/>
        <v>0.25738396624472576</v>
      </c>
      <c r="AK15" s="297">
        <f t="shared" si="31"/>
        <v>128.69198312236287</v>
      </c>
    </row>
    <row r="16" spans="1:37" ht="15.75" thickBot="1">
      <c r="A16" s="4">
        <f>ELEC!C16</f>
        <v>44088</v>
      </c>
      <c r="B16" s="568">
        <v>9166</v>
      </c>
      <c r="C16" s="295">
        <f t="shared" si="11"/>
        <v>0</v>
      </c>
      <c r="D16" s="569">
        <v>235549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9298</v>
      </c>
      <c r="I16" s="295" t="str">
        <f t="shared" si="1"/>
        <v>ok</v>
      </c>
      <c r="J16" s="569">
        <f t="shared" si="22"/>
        <v>10698</v>
      </c>
      <c r="K16" s="295">
        <f t="shared" si="2"/>
        <v>0</v>
      </c>
      <c r="L16" s="569">
        <f t="shared" si="23"/>
        <v>238500</v>
      </c>
      <c r="M16" s="295">
        <f t="shared" si="3"/>
        <v>0</v>
      </c>
      <c r="N16" s="295">
        <f t="shared" si="14"/>
        <v>0</v>
      </c>
      <c r="O16" s="199"/>
      <c r="P16" s="296">
        <f t="shared" si="15"/>
        <v>10873</v>
      </c>
      <c r="Q16" s="295" t="str">
        <f t="shared" si="4"/>
        <v>ok</v>
      </c>
      <c r="R16" s="569">
        <v>11682</v>
      </c>
      <c r="S16" s="295">
        <f t="shared" si="5"/>
        <v>3</v>
      </c>
      <c r="T16" s="569">
        <v>352350</v>
      </c>
      <c r="U16" s="295">
        <f t="shared" si="6"/>
        <v>602</v>
      </c>
      <c r="V16" s="295">
        <f t="shared" si="16"/>
        <v>200.66666666666666</v>
      </c>
      <c r="W16" s="199"/>
      <c r="X16" s="296">
        <f t="shared" si="17"/>
        <v>12609</v>
      </c>
      <c r="Y16" s="295" t="str">
        <f t="shared" si="7"/>
        <v>ok</v>
      </c>
      <c r="Z16" s="295">
        <f t="shared" si="8"/>
        <v>3</v>
      </c>
      <c r="AA16" s="295">
        <f t="shared" si="18"/>
        <v>602</v>
      </c>
      <c r="AB16" s="295">
        <f t="shared" si="19"/>
        <v>200.66666666666666</v>
      </c>
      <c r="AC16" s="295">
        <f t="shared" si="20"/>
        <v>200.66666666666666</v>
      </c>
      <c r="AD16" s="73">
        <f>ELEC!Q16</f>
        <v>2000</v>
      </c>
      <c r="AE16" s="73">
        <f t="shared" si="25"/>
        <v>666.66666666666663</v>
      </c>
      <c r="AF16" s="413">
        <f t="shared" si="26"/>
        <v>0.41666666666666663</v>
      </c>
      <c r="AG16" s="414">
        <f t="shared" si="27"/>
        <v>133.33333333333331</v>
      </c>
      <c r="AH16" s="414">
        <f t="shared" si="21"/>
        <v>67.333333333333343</v>
      </c>
      <c r="AI16" s="73">
        <f t="shared" si="28"/>
        <v>514.76793248945148</v>
      </c>
      <c r="AJ16" s="297">
        <f t="shared" si="9"/>
        <v>0.25738396624472576</v>
      </c>
      <c r="AK16" s="297">
        <f t="shared" si="31"/>
        <v>171.58931082981715</v>
      </c>
    </row>
    <row r="17" spans="1:37" ht="15.75" thickBot="1">
      <c r="A17" s="4">
        <f>ELEC!C17</f>
        <v>44089</v>
      </c>
      <c r="B17" s="568">
        <v>9166</v>
      </c>
      <c r="C17" s="295">
        <f t="shared" si="11"/>
        <v>0</v>
      </c>
      <c r="D17" s="569">
        <v>235549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9298</v>
      </c>
      <c r="I17" s="295" t="str">
        <f t="shared" si="1"/>
        <v>ok</v>
      </c>
      <c r="J17" s="569">
        <f t="shared" si="22"/>
        <v>10698</v>
      </c>
      <c r="K17" s="295">
        <f t="shared" si="2"/>
        <v>0</v>
      </c>
      <c r="L17" s="569">
        <f t="shared" si="23"/>
        <v>238500</v>
      </c>
      <c r="M17" s="295">
        <f t="shared" si="3"/>
        <v>0</v>
      </c>
      <c r="N17" s="295">
        <f t="shared" si="14"/>
        <v>0</v>
      </c>
      <c r="O17" s="199"/>
      <c r="P17" s="296">
        <f t="shared" si="15"/>
        <v>10873</v>
      </c>
      <c r="Q17" s="295" t="str">
        <f t="shared" si="4"/>
        <v>ok</v>
      </c>
      <c r="R17" s="569">
        <v>11687</v>
      </c>
      <c r="S17" s="295">
        <f t="shared" si="5"/>
        <v>5</v>
      </c>
      <c r="T17" s="569">
        <v>353470</v>
      </c>
      <c r="U17" s="295">
        <f t="shared" si="6"/>
        <v>1120</v>
      </c>
      <c r="V17" s="295">
        <f t="shared" si="16"/>
        <v>224</v>
      </c>
      <c r="W17" s="199"/>
      <c r="X17" s="296">
        <f t="shared" si="17"/>
        <v>12609</v>
      </c>
      <c r="Y17" s="295" t="str">
        <f t="shared" si="7"/>
        <v>ok</v>
      </c>
      <c r="Z17" s="295">
        <f t="shared" si="8"/>
        <v>5</v>
      </c>
      <c r="AA17" s="295">
        <f t="shared" si="18"/>
        <v>1120</v>
      </c>
      <c r="AB17" s="295">
        <f t="shared" si="19"/>
        <v>224</v>
      </c>
      <c r="AC17" s="295">
        <f t="shared" si="20"/>
        <v>224</v>
      </c>
      <c r="AD17" s="73">
        <f>ELEC!Q17</f>
        <v>3000</v>
      </c>
      <c r="AE17" s="73">
        <f t="shared" si="25"/>
        <v>600</v>
      </c>
      <c r="AF17" s="413">
        <f t="shared" si="26"/>
        <v>0.375</v>
      </c>
      <c r="AG17" s="414">
        <f t="shared" si="27"/>
        <v>120</v>
      </c>
      <c r="AH17" s="414">
        <f t="shared" si="21"/>
        <v>104</v>
      </c>
      <c r="AI17" s="73">
        <f t="shared" si="28"/>
        <v>772.15189873417728</v>
      </c>
      <c r="AJ17" s="297">
        <f t="shared" si="9"/>
        <v>0.25738396624472576</v>
      </c>
      <c r="AK17" s="297">
        <f t="shared" ref="AK17:AK32" si="33">IF(Z17&gt;0,AI17/Z17,0)</f>
        <v>154.43037974683546</v>
      </c>
    </row>
    <row r="18" spans="1:37" ht="15.75" thickBot="1">
      <c r="A18" s="4">
        <f>ELEC!C18</f>
        <v>44090</v>
      </c>
      <c r="B18" s="568">
        <f t="shared" si="32"/>
        <v>9166</v>
      </c>
      <c r="C18" s="295">
        <f t="shared" si="11"/>
        <v>0</v>
      </c>
      <c r="D18" s="569">
        <f t="shared" si="29"/>
        <v>235549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9298</v>
      </c>
      <c r="I18" s="295" t="str">
        <f t="shared" si="1"/>
        <v>ok</v>
      </c>
      <c r="J18" s="569">
        <f t="shared" si="22"/>
        <v>10698</v>
      </c>
      <c r="K18" s="295">
        <f t="shared" si="2"/>
        <v>0</v>
      </c>
      <c r="L18" s="569">
        <f t="shared" si="23"/>
        <v>238500</v>
      </c>
      <c r="M18" s="295">
        <f t="shared" si="3"/>
        <v>0</v>
      </c>
      <c r="N18" s="295">
        <f t="shared" si="14"/>
        <v>0</v>
      </c>
      <c r="O18" s="199"/>
      <c r="P18" s="296">
        <f t="shared" si="15"/>
        <v>10873</v>
      </c>
      <c r="Q18" s="295" t="str">
        <f>IF(J18-P14&lt;=0,"ok","oil change")</f>
        <v>ok</v>
      </c>
      <c r="R18" s="610">
        <v>11693</v>
      </c>
      <c r="S18" s="295">
        <f t="shared" si="5"/>
        <v>6</v>
      </c>
      <c r="T18" s="276">
        <v>354748</v>
      </c>
      <c r="U18" s="295">
        <f t="shared" si="6"/>
        <v>1278</v>
      </c>
      <c r="V18" s="295">
        <f t="shared" si="16"/>
        <v>213</v>
      </c>
      <c r="W18" s="346"/>
      <c r="X18" s="296">
        <f t="shared" si="17"/>
        <v>12609</v>
      </c>
      <c r="Y18" s="295" t="str">
        <f t="shared" si="7"/>
        <v>ok</v>
      </c>
      <c r="Z18" s="295">
        <f t="shared" si="8"/>
        <v>6</v>
      </c>
      <c r="AA18" s="295">
        <f t="shared" si="18"/>
        <v>1278</v>
      </c>
      <c r="AB18" s="295">
        <f t="shared" si="19"/>
        <v>213</v>
      </c>
      <c r="AC18" s="295">
        <f t="shared" si="20"/>
        <v>213</v>
      </c>
      <c r="AD18" s="73">
        <f>ELEC!Q18</f>
        <v>3000</v>
      </c>
      <c r="AE18" s="73">
        <f t="shared" si="25"/>
        <v>500</v>
      </c>
      <c r="AF18" s="413">
        <f t="shared" si="26"/>
        <v>0.3125</v>
      </c>
      <c r="AG18" s="414">
        <f t="shared" si="27"/>
        <v>100</v>
      </c>
      <c r="AH18" s="414">
        <f t="shared" si="21"/>
        <v>113</v>
      </c>
      <c r="AI18" s="73">
        <f t="shared" si="28"/>
        <v>772.15189873417728</v>
      </c>
      <c r="AJ18" s="297">
        <f t="shared" si="9"/>
        <v>0.25738396624472576</v>
      </c>
      <c r="AK18" s="297">
        <f t="shared" si="33"/>
        <v>128.69198312236287</v>
      </c>
    </row>
    <row r="19" spans="1:37" ht="15.75" thickBot="1">
      <c r="A19" s="4">
        <f>ELEC!C19</f>
        <v>44091</v>
      </c>
      <c r="B19" s="568">
        <f t="shared" si="32"/>
        <v>9166</v>
      </c>
      <c r="C19" s="295">
        <f t="shared" si="11"/>
        <v>0</v>
      </c>
      <c r="D19" s="569">
        <f t="shared" si="29"/>
        <v>235549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9298</v>
      </c>
      <c r="I19" s="295" t="str">
        <f t="shared" si="1"/>
        <v>ok</v>
      </c>
      <c r="J19" s="569">
        <f t="shared" si="22"/>
        <v>10698</v>
      </c>
      <c r="K19" s="295">
        <f t="shared" si="2"/>
        <v>0</v>
      </c>
      <c r="L19" s="569">
        <f t="shared" si="23"/>
        <v>238500</v>
      </c>
      <c r="M19" s="295">
        <f t="shared" si="3"/>
        <v>0</v>
      </c>
      <c r="N19" s="295">
        <f t="shared" si="14"/>
        <v>0</v>
      </c>
      <c r="O19" s="199"/>
      <c r="P19" s="296">
        <f t="shared" si="15"/>
        <v>10873</v>
      </c>
      <c r="Q19" s="295" t="str">
        <f t="shared" ref="Q19:Q32" si="34">IF(J19-P19&lt;=0,"ok","oil change")</f>
        <v>ok</v>
      </c>
      <c r="R19" s="610">
        <v>11697</v>
      </c>
      <c r="S19" s="295">
        <f t="shared" si="5"/>
        <v>4</v>
      </c>
      <c r="T19" s="569">
        <v>355432</v>
      </c>
      <c r="U19" s="295">
        <f t="shared" si="6"/>
        <v>684</v>
      </c>
      <c r="V19" s="295">
        <f t="shared" si="16"/>
        <v>171</v>
      </c>
      <c r="W19" s="199"/>
      <c r="X19" s="296">
        <f t="shared" si="17"/>
        <v>12609</v>
      </c>
      <c r="Y19" s="295" t="str">
        <f t="shared" si="7"/>
        <v>ok</v>
      </c>
      <c r="Z19" s="295">
        <f t="shared" si="8"/>
        <v>4</v>
      </c>
      <c r="AA19" s="295">
        <f t="shared" si="18"/>
        <v>684</v>
      </c>
      <c r="AB19" s="295">
        <f t="shared" si="19"/>
        <v>171</v>
      </c>
      <c r="AC19" s="295">
        <f t="shared" si="20"/>
        <v>171</v>
      </c>
      <c r="AD19" s="73">
        <f>ELEC!Q19</f>
        <v>1000</v>
      </c>
      <c r="AE19" s="73">
        <f t="shared" si="25"/>
        <v>250</v>
      </c>
      <c r="AF19" s="413">
        <f t="shared" si="26"/>
        <v>0.15625</v>
      </c>
      <c r="AG19" s="414">
        <f t="shared" si="27"/>
        <v>50</v>
      </c>
      <c r="AH19" s="414">
        <f t="shared" si="21"/>
        <v>121</v>
      </c>
      <c r="AI19" s="73">
        <f t="shared" si="28"/>
        <v>257.38396624472574</v>
      </c>
      <c r="AJ19" s="297">
        <f t="shared" si="9"/>
        <v>0.25738396624472576</v>
      </c>
      <c r="AK19" s="297">
        <f t="shared" si="33"/>
        <v>64.345991561181435</v>
      </c>
    </row>
    <row r="20" spans="1:37" ht="15.75" thickBot="1">
      <c r="A20" s="4">
        <f>ELEC!C20</f>
        <v>44092</v>
      </c>
      <c r="B20" s="568">
        <f t="shared" si="32"/>
        <v>9166</v>
      </c>
      <c r="C20" s="295">
        <f>B20-B19</f>
        <v>0</v>
      </c>
      <c r="D20" s="569">
        <f t="shared" si="29"/>
        <v>235549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9298</v>
      </c>
      <c r="I20" s="295" t="str">
        <f t="shared" si="1"/>
        <v>ok</v>
      </c>
      <c r="J20" s="569">
        <f t="shared" si="22"/>
        <v>10698</v>
      </c>
      <c r="K20" s="295">
        <f t="shared" si="2"/>
        <v>0</v>
      </c>
      <c r="L20" s="569">
        <f t="shared" si="23"/>
        <v>238500</v>
      </c>
      <c r="M20" s="295">
        <f t="shared" si="3"/>
        <v>0</v>
      </c>
      <c r="N20" s="295">
        <f t="shared" si="14"/>
        <v>0</v>
      </c>
      <c r="O20" s="199"/>
      <c r="P20" s="296">
        <f t="shared" si="15"/>
        <v>10873</v>
      </c>
      <c r="Q20" s="295" t="str">
        <f t="shared" si="34"/>
        <v>ok</v>
      </c>
      <c r="R20" s="569">
        <v>11700</v>
      </c>
      <c r="S20" s="295">
        <f t="shared" si="5"/>
        <v>3</v>
      </c>
      <c r="T20" s="569">
        <v>356228</v>
      </c>
      <c r="U20" s="295">
        <f t="shared" ref="U20:U32" si="35">SUM(T20-T19)</f>
        <v>796</v>
      </c>
      <c r="V20" s="295">
        <f t="shared" si="16"/>
        <v>265.33333333333331</v>
      </c>
      <c r="W20" s="199"/>
      <c r="X20" s="296">
        <f t="shared" si="17"/>
        <v>12609</v>
      </c>
      <c r="Y20" s="295" t="str">
        <f t="shared" si="7"/>
        <v>ok</v>
      </c>
      <c r="Z20" s="295">
        <f t="shared" si="8"/>
        <v>3</v>
      </c>
      <c r="AA20" s="295">
        <f t="shared" si="18"/>
        <v>796</v>
      </c>
      <c r="AB20" s="295">
        <f t="shared" si="19"/>
        <v>265.33333333333331</v>
      </c>
      <c r="AC20" s="295">
        <f t="shared" si="20"/>
        <v>265.33333333333331</v>
      </c>
      <c r="AD20" s="73">
        <f>ELEC!Q20</f>
        <v>2000</v>
      </c>
      <c r="AE20" s="73">
        <f t="shared" si="25"/>
        <v>666.66666666666663</v>
      </c>
      <c r="AF20" s="413">
        <f t="shared" si="26"/>
        <v>0.41666666666666663</v>
      </c>
      <c r="AG20" s="414">
        <f t="shared" si="27"/>
        <v>133.33333333333331</v>
      </c>
      <c r="AH20" s="414">
        <f t="shared" si="21"/>
        <v>132</v>
      </c>
      <c r="AI20" s="73">
        <f>AD20*AJ20</f>
        <v>514.76793248945148</v>
      </c>
      <c r="AJ20" s="297">
        <f t="shared" si="9"/>
        <v>0.25738396624472576</v>
      </c>
      <c r="AK20" s="297">
        <f t="shared" si="33"/>
        <v>171.58931082981715</v>
      </c>
    </row>
    <row r="21" spans="1:37" ht="15.75" thickBot="1">
      <c r="A21" s="4">
        <f>ELEC!C21</f>
        <v>44093</v>
      </c>
      <c r="B21" s="568">
        <f t="shared" si="32"/>
        <v>9166</v>
      </c>
      <c r="C21" s="295">
        <f t="shared" si="11"/>
        <v>0</v>
      </c>
      <c r="D21" s="569">
        <f t="shared" si="29"/>
        <v>235549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9298</v>
      </c>
      <c r="I21" s="295" t="str">
        <f t="shared" si="1"/>
        <v>ok</v>
      </c>
      <c r="J21" s="569">
        <f t="shared" si="22"/>
        <v>10698</v>
      </c>
      <c r="K21" s="295">
        <f t="shared" si="2"/>
        <v>0</v>
      </c>
      <c r="L21" s="569">
        <f t="shared" si="23"/>
        <v>238500</v>
      </c>
      <c r="M21" s="295">
        <f t="shared" si="3"/>
        <v>0</v>
      </c>
      <c r="N21" s="295">
        <f t="shared" si="14"/>
        <v>0</v>
      </c>
      <c r="O21" s="199"/>
      <c r="P21" s="296">
        <f t="shared" si="15"/>
        <v>10873</v>
      </c>
      <c r="Q21" s="295" t="str">
        <f t="shared" si="34"/>
        <v>ok</v>
      </c>
      <c r="R21" s="610">
        <v>11705</v>
      </c>
      <c r="S21" s="295">
        <f t="shared" si="5"/>
        <v>5</v>
      </c>
      <c r="T21" s="276">
        <v>357658</v>
      </c>
      <c r="U21" s="295">
        <f t="shared" si="35"/>
        <v>1430</v>
      </c>
      <c r="V21" s="295">
        <f t="shared" si="16"/>
        <v>286</v>
      </c>
      <c r="W21" s="199"/>
      <c r="X21" s="296">
        <f t="shared" si="17"/>
        <v>12609</v>
      </c>
      <c r="Y21" s="295" t="str">
        <f>Y20</f>
        <v>ok</v>
      </c>
      <c r="Z21" s="295">
        <f t="shared" si="8"/>
        <v>5</v>
      </c>
      <c r="AA21" s="295">
        <f t="shared" si="18"/>
        <v>1430</v>
      </c>
      <c r="AB21" s="295">
        <f t="shared" si="19"/>
        <v>286</v>
      </c>
      <c r="AC21" s="295">
        <f t="shared" si="20"/>
        <v>286</v>
      </c>
      <c r="AD21" s="73">
        <f>ELEC!Q21</f>
        <v>2000</v>
      </c>
      <c r="AE21" s="73">
        <f t="shared" si="25"/>
        <v>400</v>
      </c>
      <c r="AF21" s="413">
        <f t="shared" si="26"/>
        <v>0.25</v>
      </c>
      <c r="AG21" s="414">
        <f t="shared" si="27"/>
        <v>80</v>
      </c>
      <c r="AH21" s="414">
        <f t="shared" si="21"/>
        <v>206</v>
      </c>
      <c r="AI21" s="73">
        <f t="shared" si="28"/>
        <v>514.76793248945148</v>
      </c>
      <c r="AJ21" s="297">
        <f t="shared" si="9"/>
        <v>0.25738396624472576</v>
      </c>
      <c r="AK21" s="297">
        <f t="shared" si="33"/>
        <v>102.9535864978903</v>
      </c>
    </row>
    <row r="22" spans="1:37" ht="15.75" thickBot="1">
      <c r="A22" s="4">
        <f>ELEC!C22</f>
        <v>44094</v>
      </c>
      <c r="B22" s="568">
        <v>9170</v>
      </c>
      <c r="C22" s="295">
        <f t="shared" si="11"/>
        <v>4</v>
      </c>
      <c r="D22" s="569">
        <v>236426</v>
      </c>
      <c r="E22" s="295">
        <f t="shared" si="12"/>
        <v>877</v>
      </c>
      <c r="F22" s="295">
        <f t="shared" si="0"/>
        <v>219.25</v>
      </c>
      <c r="G22" s="199"/>
      <c r="H22" s="296">
        <f t="shared" si="13"/>
        <v>9298</v>
      </c>
      <c r="I22" s="295" t="str">
        <f t="shared" si="1"/>
        <v>ok</v>
      </c>
      <c r="J22" s="569">
        <f t="shared" si="22"/>
        <v>10698</v>
      </c>
      <c r="K22" s="295">
        <f t="shared" si="2"/>
        <v>0</v>
      </c>
      <c r="L22" s="569">
        <f t="shared" si="23"/>
        <v>238500</v>
      </c>
      <c r="M22" s="295">
        <f t="shared" si="3"/>
        <v>0</v>
      </c>
      <c r="N22" s="295">
        <f t="shared" si="14"/>
        <v>0</v>
      </c>
      <c r="O22" s="199"/>
      <c r="P22" s="296">
        <f t="shared" si="15"/>
        <v>10873</v>
      </c>
      <c r="Q22" s="295" t="str">
        <f t="shared" si="34"/>
        <v>ok</v>
      </c>
      <c r="R22" s="569">
        <f t="shared" si="30"/>
        <v>11705</v>
      </c>
      <c r="S22" s="295">
        <f t="shared" si="5"/>
        <v>0</v>
      </c>
      <c r="T22" s="569">
        <f t="shared" si="24"/>
        <v>357658</v>
      </c>
      <c r="U22" s="295">
        <f t="shared" si="35"/>
        <v>0</v>
      </c>
      <c r="V22" s="295">
        <f t="shared" si="16"/>
        <v>0</v>
      </c>
      <c r="W22" s="199"/>
      <c r="X22" s="296">
        <f t="shared" si="17"/>
        <v>12609</v>
      </c>
      <c r="Y22" s="295" t="str">
        <f t="shared" ref="Y22:Y32" si="36">IF(R22-X22&lt;=0,"ok","oil change")</f>
        <v>ok</v>
      </c>
      <c r="Z22" s="295">
        <f t="shared" si="8"/>
        <v>4</v>
      </c>
      <c r="AA22" s="295">
        <f t="shared" si="18"/>
        <v>877</v>
      </c>
      <c r="AB22" s="295">
        <f t="shared" si="19"/>
        <v>219.25</v>
      </c>
      <c r="AC22" s="295">
        <f t="shared" si="20"/>
        <v>219.25</v>
      </c>
      <c r="AD22" s="73">
        <f>ELEC!Q22</f>
        <v>2495.0000000008004</v>
      </c>
      <c r="AE22" s="73">
        <f t="shared" si="25"/>
        <v>623.75000000020009</v>
      </c>
      <c r="AF22" s="413">
        <f t="shared" si="26"/>
        <v>0.38984375000012506</v>
      </c>
      <c r="AG22" s="414">
        <f t="shared" si="27"/>
        <v>124.75000000004002</v>
      </c>
      <c r="AH22" s="414">
        <f t="shared" si="21"/>
        <v>94.499999999959982</v>
      </c>
      <c r="AI22" s="73">
        <f t="shared" si="28"/>
        <v>642.17299578079678</v>
      </c>
      <c r="AJ22" s="297">
        <f t="shared" si="9"/>
        <v>0.25738396624472576</v>
      </c>
      <c r="AK22" s="297">
        <f t="shared" si="33"/>
        <v>160.5432489451992</v>
      </c>
    </row>
    <row r="23" spans="1:37" ht="15.75" thickBot="1">
      <c r="A23" s="4">
        <f>ELEC!C23</f>
        <v>44095</v>
      </c>
      <c r="B23" s="605">
        <v>9175</v>
      </c>
      <c r="C23" s="295">
        <f t="shared" si="11"/>
        <v>5</v>
      </c>
      <c r="D23" s="276">
        <v>237558</v>
      </c>
      <c r="E23" s="295">
        <f t="shared" si="12"/>
        <v>1132</v>
      </c>
      <c r="F23" s="295">
        <f t="shared" si="0"/>
        <v>226.4</v>
      </c>
      <c r="G23" s="199"/>
      <c r="H23" s="296">
        <f t="shared" si="13"/>
        <v>9298</v>
      </c>
      <c r="I23" s="295" t="str">
        <f t="shared" si="1"/>
        <v>ok</v>
      </c>
      <c r="J23" s="569">
        <f t="shared" si="22"/>
        <v>10698</v>
      </c>
      <c r="K23" s="295">
        <f t="shared" si="2"/>
        <v>0</v>
      </c>
      <c r="L23" s="569">
        <f t="shared" si="23"/>
        <v>238500</v>
      </c>
      <c r="M23" s="295">
        <f t="shared" si="3"/>
        <v>0</v>
      </c>
      <c r="N23" s="295">
        <f t="shared" si="14"/>
        <v>0</v>
      </c>
      <c r="O23" s="199"/>
      <c r="P23" s="296">
        <f t="shared" si="15"/>
        <v>10873</v>
      </c>
      <c r="Q23" s="295" t="str">
        <f t="shared" si="34"/>
        <v>ok</v>
      </c>
      <c r="R23" s="569">
        <f t="shared" si="30"/>
        <v>11705</v>
      </c>
      <c r="S23" s="295">
        <f t="shared" si="5"/>
        <v>0</v>
      </c>
      <c r="T23" s="569">
        <f t="shared" si="24"/>
        <v>357658</v>
      </c>
      <c r="U23" s="295">
        <f t="shared" si="35"/>
        <v>0</v>
      </c>
      <c r="V23" s="295">
        <f t="shared" si="16"/>
        <v>0</v>
      </c>
      <c r="W23" s="199"/>
      <c r="X23" s="296">
        <f t="shared" si="17"/>
        <v>12609</v>
      </c>
      <c r="Y23" s="295" t="str">
        <f t="shared" si="36"/>
        <v>ok</v>
      </c>
      <c r="Z23" s="295">
        <f t="shared" si="8"/>
        <v>5</v>
      </c>
      <c r="AA23" s="295">
        <f t="shared" si="18"/>
        <v>1132</v>
      </c>
      <c r="AB23" s="295">
        <f t="shared" si="19"/>
        <v>226.4</v>
      </c>
      <c r="AC23" s="295">
        <f t="shared" si="20"/>
        <v>226.4</v>
      </c>
      <c r="AD23" s="73">
        <f>ELEC!Q23</f>
        <v>1504.9999999991996</v>
      </c>
      <c r="AE23" s="73">
        <f t="shared" si="25"/>
        <v>300.99999999983993</v>
      </c>
      <c r="AF23" s="413">
        <f t="shared" si="26"/>
        <v>0.18812499999989996</v>
      </c>
      <c r="AG23" s="414">
        <f t="shared" si="27"/>
        <v>60.199999999967986</v>
      </c>
      <c r="AH23" s="414">
        <f t="shared" si="21"/>
        <v>166.20000000003202</v>
      </c>
      <c r="AI23" s="73">
        <f t="shared" si="28"/>
        <v>387.3628691981063</v>
      </c>
      <c r="AJ23" s="297">
        <f t="shared" si="9"/>
        <v>0.25738396624472576</v>
      </c>
      <c r="AK23" s="297">
        <f t="shared" si="33"/>
        <v>77.472573839621262</v>
      </c>
    </row>
    <row r="24" spans="1:37" ht="15.75" thickBot="1">
      <c r="A24" s="4">
        <f>ELEC!C24</f>
        <v>44096</v>
      </c>
      <c r="B24" s="568">
        <v>9182</v>
      </c>
      <c r="C24" s="295">
        <f t="shared" si="11"/>
        <v>7</v>
      </c>
      <c r="D24" s="569">
        <v>239169</v>
      </c>
      <c r="E24" s="295">
        <f t="shared" si="12"/>
        <v>1611</v>
      </c>
      <c r="F24" s="295">
        <f t="shared" si="0"/>
        <v>230.14285714285714</v>
      </c>
      <c r="G24" s="199"/>
      <c r="H24" s="296">
        <f>H23</f>
        <v>9298</v>
      </c>
      <c r="I24" s="295" t="str">
        <f t="shared" si="1"/>
        <v>ok</v>
      </c>
      <c r="J24" s="569">
        <f t="shared" si="22"/>
        <v>10698</v>
      </c>
      <c r="K24" s="295">
        <f t="shared" si="2"/>
        <v>0</v>
      </c>
      <c r="L24" s="569">
        <f t="shared" si="23"/>
        <v>238500</v>
      </c>
      <c r="M24" s="295">
        <f t="shared" si="3"/>
        <v>0</v>
      </c>
      <c r="N24" s="295">
        <f t="shared" si="14"/>
        <v>0</v>
      </c>
      <c r="O24" s="199"/>
      <c r="P24" s="296">
        <f>P23</f>
        <v>10873</v>
      </c>
      <c r="Q24" s="295" t="str">
        <f t="shared" si="34"/>
        <v>ok</v>
      </c>
      <c r="R24" s="569">
        <f t="shared" si="30"/>
        <v>11705</v>
      </c>
      <c r="S24" s="295">
        <f t="shared" si="5"/>
        <v>0</v>
      </c>
      <c r="T24" s="569">
        <f t="shared" si="24"/>
        <v>357658</v>
      </c>
      <c r="U24" s="295">
        <f t="shared" si="35"/>
        <v>0</v>
      </c>
      <c r="V24" s="295">
        <f t="shared" si="16"/>
        <v>0</v>
      </c>
      <c r="W24" s="199"/>
      <c r="X24" s="296">
        <f t="shared" si="17"/>
        <v>12609</v>
      </c>
      <c r="Y24" s="295" t="str">
        <f t="shared" si="36"/>
        <v>ok</v>
      </c>
      <c r="Z24" s="295">
        <f t="shared" si="8"/>
        <v>7</v>
      </c>
      <c r="AA24" s="295">
        <f t="shared" si="18"/>
        <v>1611</v>
      </c>
      <c r="AB24" s="295">
        <f t="shared" si="19"/>
        <v>230.14285714285714</v>
      </c>
      <c r="AC24" s="295">
        <f t="shared" si="20"/>
        <v>230.14285714285714</v>
      </c>
      <c r="AD24" s="73">
        <f>ELEC!Q24</f>
        <v>4000</v>
      </c>
      <c r="AE24" s="73">
        <f t="shared" si="25"/>
        <v>571.42857142857144</v>
      </c>
      <c r="AF24" s="413">
        <f t="shared" si="26"/>
        <v>0.35714285714285715</v>
      </c>
      <c r="AG24" s="414">
        <f t="shared" si="27"/>
        <v>114.28571428571429</v>
      </c>
      <c r="AH24" s="414">
        <f t="shared" si="21"/>
        <v>115.85714285714285</v>
      </c>
      <c r="AI24" s="73">
        <f t="shared" si="28"/>
        <v>1029.535864978903</v>
      </c>
      <c r="AJ24" s="297">
        <f t="shared" si="9"/>
        <v>0.25738396624472576</v>
      </c>
      <c r="AK24" s="297">
        <f t="shared" si="33"/>
        <v>147.07655213984327</v>
      </c>
    </row>
    <row r="25" spans="1:37" ht="15.75" thickBot="1">
      <c r="A25" s="4">
        <f>ELEC!C25</f>
        <v>44097</v>
      </c>
      <c r="B25" s="568">
        <f t="shared" si="32"/>
        <v>9182</v>
      </c>
      <c r="C25" s="295">
        <f t="shared" si="11"/>
        <v>0</v>
      </c>
      <c r="D25" s="569">
        <f t="shared" si="29"/>
        <v>239169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7">H24</f>
        <v>9298</v>
      </c>
      <c r="I25" s="295" t="str">
        <f t="shared" si="1"/>
        <v>ok</v>
      </c>
      <c r="J25" s="569">
        <f t="shared" si="22"/>
        <v>10698</v>
      </c>
      <c r="K25" s="295">
        <f t="shared" si="2"/>
        <v>0</v>
      </c>
      <c r="L25" s="569">
        <f t="shared" si="23"/>
        <v>238500</v>
      </c>
      <c r="M25" s="295">
        <f t="shared" si="3"/>
        <v>0</v>
      </c>
      <c r="N25" s="295">
        <f t="shared" si="14"/>
        <v>0</v>
      </c>
      <c r="O25" s="199"/>
      <c r="P25" s="296">
        <f t="shared" si="15"/>
        <v>10873</v>
      </c>
      <c r="Q25" s="295" t="str">
        <f t="shared" si="34"/>
        <v>ok</v>
      </c>
      <c r="R25" s="569">
        <f t="shared" si="30"/>
        <v>11705</v>
      </c>
      <c r="S25" s="295">
        <f t="shared" si="5"/>
        <v>0</v>
      </c>
      <c r="T25" s="569">
        <f t="shared" si="24"/>
        <v>357658</v>
      </c>
      <c r="U25" s="295">
        <f t="shared" si="35"/>
        <v>0</v>
      </c>
      <c r="V25" s="295">
        <f t="shared" si="16"/>
        <v>0</v>
      </c>
      <c r="W25" s="199"/>
      <c r="X25" s="296">
        <f t="shared" si="17"/>
        <v>12609</v>
      </c>
      <c r="Y25" s="295" t="str">
        <f t="shared" si="36"/>
        <v>ok</v>
      </c>
      <c r="Z25" s="295">
        <f t="shared" si="8"/>
        <v>0</v>
      </c>
      <c r="AA25" s="295">
        <f t="shared" si="18"/>
        <v>0</v>
      </c>
      <c r="AB25" s="295">
        <f t="shared" si="19"/>
        <v>0</v>
      </c>
      <c r="AC25" s="295">
        <f t="shared" si="20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1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44098</v>
      </c>
      <c r="B26" s="568">
        <f t="shared" si="32"/>
        <v>9182</v>
      </c>
      <c r="C26" s="295">
        <f t="shared" si="11"/>
        <v>0</v>
      </c>
      <c r="D26" s="569">
        <f t="shared" si="29"/>
        <v>239169</v>
      </c>
      <c r="E26" s="295">
        <f t="shared" si="12"/>
        <v>0</v>
      </c>
      <c r="F26" s="295">
        <f t="shared" si="0"/>
        <v>0</v>
      </c>
      <c r="G26" s="199"/>
      <c r="H26" s="296">
        <f t="shared" si="37"/>
        <v>9298</v>
      </c>
      <c r="I26" s="295" t="str">
        <f t="shared" si="1"/>
        <v>ok</v>
      </c>
      <c r="J26" s="569">
        <f t="shared" si="22"/>
        <v>10698</v>
      </c>
      <c r="K26" s="295">
        <f t="shared" si="2"/>
        <v>0</v>
      </c>
      <c r="L26" s="569">
        <f t="shared" si="23"/>
        <v>238500</v>
      </c>
      <c r="M26" s="295">
        <f t="shared" si="3"/>
        <v>0</v>
      </c>
      <c r="N26" s="295">
        <f t="shared" si="14"/>
        <v>0</v>
      </c>
      <c r="O26" s="199"/>
      <c r="P26" s="296">
        <f t="shared" si="15"/>
        <v>10873</v>
      </c>
      <c r="Q26" s="295" t="str">
        <f t="shared" si="34"/>
        <v>ok</v>
      </c>
      <c r="R26" s="569">
        <f t="shared" si="30"/>
        <v>11705</v>
      </c>
      <c r="S26" s="295">
        <f t="shared" si="5"/>
        <v>0</v>
      </c>
      <c r="T26" s="569">
        <f t="shared" si="24"/>
        <v>357658</v>
      </c>
      <c r="U26" s="295">
        <f t="shared" si="35"/>
        <v>0</v>
      </c>
      <c r="V26" s="295">
        <f t="shared" si="16"/>
        <v>0</v>
      </c>
      <c r="W26" s="199"/>
      <c r="X26" s="296">
        <f t="shared" si="17"/>
        <v>12609</v>
      </c>
      <c r="Y26" s="295" t="str">
        <f t="shared" si="36"/>
        <v>ok</v>
      </c>
      <c r="Z26" s="295">
        <f t="shared" si="8"/>
        <v>0</v>
      </c>
      <c r="AA26" s="295">
        <f t="shared" si="18"/>
        <v>0</v>
      </c>
      <c r="AB26" s="295">
        <f t="shared" si="19"/>
        <v>0</v>
      </c>
      <c r="AC26" s="295">
        <f t="shared" si="20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1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44099</v>
      </c>
      <c r="B27" s="568">
        <f t="shared" si="32"/>
        <v>9182</v>
      </c>
      <c r="C27" s="295">
        <f t="shared" si="11"/>
        <v>0</v>
      </c>
      <c r="D27" s="569">
        <f t="shared" si="29"/>
        <v>239169</v>
      </c>
      <c r="E27" s="295">
        <f t="shared" si="12"/>
        <v>0</v>
      </c>
      <c r="F27" s="295">
        <f t="shared" si="0"/>
        <v>0</v>
      </c>
      <c r="G27" s="199"/>
      <c r="H27" s="296">
        <f t="shared" si="37"/>
        <v>9298</v>
      </c>
      <c r="I27" s="295" t="str">
        <f>IF(B27-H27&lt;=0,"ok","oil change")</f>
        <v>ok</v>
      </c>
      <c r="J27" s="569">
        <f t="shared" si="22"/>
        <v>10698</v>
      </c>
      <c r="K27" s="295">
        <f t="shared" si="2"/>
        <v>0</v>
      </c>
      <c r="L27" s="569">
        <f t="shared" si="23"/>
        <v>238500</v>
      </c>
      <c r="M27" s="295">
        <f t="shared" si="3"/>
        <v>0</v>
      </c>
      <c r="N27" s="295">
        <f t="shared" si="14"/>
        <v>0</v>
      </c>
      <c r="O27" s="199"/>
      <c r="P27" s="296">
        <f t="shared" si="15"/>
        <v>10873</v>
      </c>
      <c r="Q27" s="295" t="str">
        <f t="shared" si="34"/>
        <v>ok</v>
      </c>
      <c r="R27" s="569">
        <f t="shared" si="30"/>
        <v>11705</v>
      </c>
      <c r="S27" s="295">
        <f t="shared" si="5"/>
        <v>0</v>
      </c>
      <c r="T27" s="569">
        <f t="shared" si="24"/>
        <v>357658</v>
      </c>
      <c r="U27" s="295">
        <f t="shared" si="35"/>
        <v>0</v>
      </c>
      <c r="V27" s="295">
        <f t="shared" si="16"/>
        <v>0</v>
      </c>
      <c r="W27" s="199"/>
      <c r="X27" s="296">
        <f t="shared" si="17"/>
        <v>12609</v>
      </c>
      <c r="Y27" s="295" t="str">
        <f t="shared" si="36"/>
        <v>ok</v>
      </c>
      <c r="Z27" s="295">
        <f t="shared" si="8"/>
        <v>0</v>
      </c>
      <c r="AA27" s="295">
        <f t="shared" si="18"/>
        <v>0</v>
      </c>
      <c r="AB27" s="295">
        <f t="shared" si="19"/>
        <v>0</v>
      </c>
      <c r="AC27" s="295">
        <f t="shared" si="20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1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44100</v>
      </c>
      <c r="B28" s="568">
        <f t="shared" si="32"/>
        <v>9182</v>
      </c>
      <c r="C28" s="295">
        <f t="shared" si="11"/>
        <v>0</v>
      </c>
      <c r="D28" s="569">
        <f t="shared" si="29"/>
        <v>239169</v>
      </c>
      <c r="E28" s="295">
        <f t="shared" si="12"/>
        <v>0</v>
      </c>
      <c r="F28" s="295">
        <f t="shared" si="0"/>
        <v>0</v>
      </c>
      <c r="G28" s="293"/>
      <c r="H28" s="296">
        <f t="shared" si="37"/>
        <v>9298</v>
      </c>
      <c r="I28" s="295" t="str">
        <f t="shared" si="1"/>
        <v>ok</v>
      </c>
      <c r="J28" s="569">
        <f t="shared" si="22"/>
        <v>10698</v>
      </c>
      <c r="K28" s="295">
        <f t="shared" si="2"/>
        <v>0</v>
      </c>
      <c r="L28" s="569">
        <f t="shared" si="23"/>
        <v>238500</v>
      </c>
      <c r="M28" s="295">
        <f t="shared" si="3"/>
        <v>0</v>
      </c>
      <c r="N28" s="295">
        <f t="shared" si="14"/>
        <v>0</v>
      </c>
      <c r="O28" s="199"/>
      <c r="P28" s="296">
        <f t="shared" si="15"/>
        <v>10873</v>
      </c>
      <c r="Q28" s="295" t="str">
        <f t="shared" si="34"/>
        <v>ok</v>
      </c>
      <c r="R28" s="569">
        <f t="shared" si="30"/>
        <v>11705</v>
      </c>
      <c r="S28" s="295">
        <f t="shared" si="5"/>
        <v>0</v>
      </c>
      <c r="T28" s="569">
        <f t="shared" si="24"/>
        <v>357658</v>
      </c>
      <c r="U28" s="295">
        <f t="shared" si="35"/>
        <v>0</v>
      </c>
      <c r="V28" s="295">
        <f t="shared" si="16"/>
        <v>0</v>
      </c>
      <c r="W28" s="199"/>
      <c r="X28" s="296">
        <f t="shared" si="17"/>
        <v>12609</v>
      </c>
      <c r="Y28" s="295" t="str">
        <f t="shared" si="36"/>
        <v>ok</v>
      </c>
      <c r="Z28" s="295">
        <f t="shared" si="8"/>
        <v>0</v>
      </c>
      <c r="AA28" s="295">
        <f t="shared" si="18"/>
        <v>0</v>
      </c>
      <c r="AB28" s="295">
        <f t="shared" si="19"/>
        <v>0</v>
      </c>
      <c r="AC28" s="295">
        <f t="shared" si="20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1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44101</v>
      </c>
      <c r="B29" s="568">
        <f t="shared" si="32"/>
        <v>9182</v>
      </c>
      <c r="C29" s="295">
        <f t="shared" si="11"/>
        <v>0</v>
      </c>
      <c r="D29" s="569">
        <f t="shared" si="29"/>
        <v>239169</v>
      </c>
      <c r="E29" s="295">
        <f>SUM(D29-D28)</f>
        <v>0</v>
      </c>
      <c r="F29" s="295">
        <f t="shared" si="0"/>
        <v>0</v>
      </c>
      <c r="G29" s="199"/>
      <c r="H29" s="296">
        <f t="shared" si="37"/>
        <v>9298</v>
      </c>
      <c r="I29" s="295" t="str">
        <f t="shared" si="1"/>
        <v>ok</v>
      </c>
      <c r="J29" s="569">
        <f t="shared" si="22"/>
        <v>10698</v>
      </c>
      <c r="K29" s="295">
        <f t="shared" si="2"/>
        <v>0</v>
      </c>
      <c r="L29" s="569">
        <f t="shared" si="23"/>
        <v>238500</v>
      </c>
      <c r="M29" s="295">
        <f t="shared" si="3"/>
        <v>0</v>
      </c>
      <c r="N29" s="295">
        <f t="shared" si="14"/>
        <v>0</v>
      </c>
      <c r="O29" s="199"/>
      <c r="P29" s="296">
        <f t="shared" si="15"/>
        <v>10873</v>
      </c>
      <c r="Q29" s="295" t="str">
        <f t="shared" si="34"/>
        <v>ok</v>
      </c>
      <c r="R29" s="569">
        <f t="shared" si="30"/>
        <v>11705</v>
      </c>
      <c r="S29" s="295">
        <f t="shared" si="5"/>
        <v>0</v>
      </c>
      <c r="T29" s="569">
        <f t="shared" si="24"/>
        <v>357658</v>
      </c>
      <c r="U29" s="295">
        <f t="shared" si="35"/>
        <v>0</v>
      </c>
      <c r="V29" s="295">
        <f t="shared" si="16"/>
        <v>0</v>
      </c>
      <c r="W29" s="199"/>
      <c r="X29" s="296">
        <f t="shared" si="17"/>
        <v>12609</v>
      </c>
      <c r="Y29" s="295" t="str">
        <f t="shared" si="36"/>
        <v>ok</v>
      </c>
      <c r="Z29" s="295">
        <f t="shared" si="8"/>
        <v>0</v>
      </c>
      <c r="AA29" s="295">
        <f t="shared" si="18"/>
        <v>0</v>
      </c>
      <c r="AB29" s="295">
        <f t="shared" si="19"/>
        <v>0</v>
      </c>
      <c r="AC29" s="295">
        <f t="shared" si="20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1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44102</v>
      </c>
      <c r="B30" s="568">
        <f t="shared" si="32"/>
        <v>9182</v>
      </c>
      <c r="C30" s="295">
        <f t="shared" si="11"/>
        <v>0</v>
      </c>
      <c r="D30" s="569">
        <f t="shared" si="29"/>
        <v>239169</v>
      </c>
      <c r="E30" s="295">
        <f t="shared" si="12"/>
        <v>0</v>
      </c>
      <c r="F30" s="295">
        <f t="shared" si="0"/>
        <v>0</v>
      </c>
      <c r="G30" s="199"/>
      <c r="H30" s="296">
        <f t="shared" si="37"/>
        <v>9298</v>
      </c>
      <c r="I30" s="295" t="str">
        <f t="shared" si="1"/>
        <v>ok</v>
      </c>
      <c r="J30" s="569">
        <f t="shared" si="22"/>
        <v>10698</v>
      </c>
      <c r="K30" s="295">
        <f t="shared" si="2"/>
        <v>0</v>
      </c>
      <c r="L30" s="569">
        <f t="shared" si="23"/>
        <v>238500</v>
      </c>
      <c r="M30" s="295">
        <f t="shared" si="3"/>
        <v>0</v>
      </c>
      <c r="N30" s="295">
        <f t="shared" si="14"/>
        <v>0</v>
      </c>
      <c r="O30" s="199"/>
      <c r="P30" s="296">
        <f t="shared" si="15"/>
        <v>10873</v>
      </c>
      <c r="Q30" s="295" t="str">
        <f t="shared" si="34"/>
        <v>ok</v>
      </c>
      <c r="R30" s="569">
        <f t="shared" si="30"/>
        <v>11705</v>
      </c>
      <c r="S30" s="295">
        <f t="shared" si="5"/>
        <v>0</v>
      </c>
      <c r="T30" s="569">
        <f t="shared" si="24"/>
        <v>357658</v>
      </c>
      <c r="U30" s="295">
        <f t="shared" si="35"/>
        <v>0</v>
      </c>
      <c r="V30" s="295">
        <f t="shared" si="16"/>
        <v>0</v>
      </c>
      <c r="W30" s="293"/>
      <c r="X30" s="296">
        <f t="shared" si="17"/>
        <v>12609</v>
      </c>
      <c r="Y30" s="295" t="str">
        <f t="shared" si="36"/>
        <v>ok</v>
      </c>
      <c r="Z30" s="295">
        <f t="shared" si="8"/>
        <v>0</v>
      </c>
      <c r="AA30" s="295">
        <f t="shared" si="18"/>
        <v>0</v>
      </c>
      <c r="AB30" s="295">
        <f t="shared" si="19"/>
        <v>0</v>
      </c>
      <c r="AC30" s="295">
        <f t="shared" si="20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1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44103</v>
      </c>
      <c r="B31" s="568">
        <f t="shared" si="32"/>
        <v>9182</v>
      </c>
      <c r="C31" s="295">
        <f t="shared" si="11"/>
        <v>0</v>
      </c>
      <c r="D31" s="569">
        <f t="shared" si="29"/>
        <v>239169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9298</v>
      </c>
      <c r="I31" s="295" t="str">
        <f t="shared" si="1"/>
        <v>ok</v>
      </c>
      <c r="J31" s="569">
        <f t="shared" si="22"/>
        <v>10698</v>
      </c>
      <c r="K31" s="295">
        <f t="shared" si="2"/>
        <v>0</v>
      </c>
      <c r="L31" s="569">
        <f t="shared" si="23"/>
        <v>238500</v>
      </c>
      <c r="M31" s="295">
        <f t="shared" si="3"/>
        <v>0</v>
      </c>
      <c r="N31" s="295">
        <f t="shared" si="14"/>
        <v>0</v>
      </c>
      <c r="O31" s="199"/>
      <c r="P31" s="296">
        <f t="shared" si="15"/>
        <v>10873</v>
      </c>
      <c r="Q31" s="295" t="str">
        <f t="shared" si="34"/>
        <v>ok</v>
      </c>
      <c r="R31" s="569">
        <f t="shared" si="30"/>
        <v>11705</v>
      </c>
      <c r="S31" s="295">
        <f t="shared" si="5"/>
        <v>0</v>
      </c>
      <c r="T31" s="569">
        <f t="shared" si="24"/>
        <v>357658</v>
      </c>
      <c r="U31" s="295">
        <f t="shared" si="35"/>
        <v>0</v>
      </c>
      <c r="V31" s="295">
        <f t="shared" si="16"/>
        <v>0</v>
      </c>
      <c r="W31" s="199"/>
      <c r="X31" s="296">
        <f t="shared" si="17"/>
        <v>12609</v>
      </c>
      <c r="Y31" s="295" t="str">
        <f t="shared" si="36"/>
        <v>ok</v>
      </c>
      <c r="Z31" s="295">
        <f t="shared" si="8"/>
        <v>0</v>
      </c>
      <c r="AA31" s="295">
        <f t="shared" si="18"/>
        <v>0</v>
      </c>
      <c r="AB31" s="295">
        <f t="shared" si="19"/>
        <v>0</v>
      </c>
      <c r="AC31" s="295">
        <f t="shared" si="20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1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8">
        <f t="shared" si="32"/>
        <v>9182</v>
      </c>
      <c r="C32" s="295">
        <f t="shared" si="11"/>
        <v>0</v>
      </c>
      <c r="D32" s="569">
        <f t="shared" si="29"/>
        <v>239169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9298</v>
      </c>
      <c r="I32" s="295" t="str">
        <f t="shared" si="1"/>
        <v>ok</v>
      </c>
      <c r="J32" s="569">
        <f t="shared" si="22"/>
        <v>10698</v>
      </c>
      <c r="K32" s="295">
        <f>J32-J31</f>
        <v>0</v>
      </c>
      <c r="L32" s="569">
        <f t="shared" si="23"/>
        <v>238500</v>
      </c>
      <c r="M32" s="295">
        <f t="shared" si="3"/>
        <v>0</v>
      </c>
      <c r="N32" s="295">
        <f t="shared" si="14"/>
        <v>0</v>
      </c>
      <c r="O32" s="199"/>
      <c r="P32" s="296">
        <f t="shared" si="15"/>
        <v>10873</v>
      </c>
      <c r="Q32" s="295" t="str">
        <f t="shared" si="34"/>
        <v>ok</v>
      </c>
      <c r="R32" s="569">
        <f t="shared" si="30"/>
        <v>11705</v>
      </c>
      <c r="S32" s="295">
        <f t="shared" si="5"/>
        <v>0</v>
      </c>
      <c r="T32" s="569">
        <f t="shared" si="24"/>
        <v>357658</v>
      </c>
      <c r="U32" s="295">
        <f t="shared" si="35"/>
        <v>0</v>
      </c>
      <c r="V32" s="295">
        <f t="shared" si="16"/>
        <v>0</v>
      </c>
      <c r="W32" s="199"/>
      <c r="X32" s="296">
        <f t="shared" si="17"/>
        <v>12609</v>
      </c>
      <c r="Y32" s="295" t="str">
        <f t="shared" si="36"/>
        <v>ok</v>
      </c>
      <c r="Z32" s="295">
        <f t="shared" si="8"/>
        <v>0</v>
      </c>
      <c r="AA32" s="295">
        <f t="shared" si="18"/>
        <v>0</v>
      </c>
      <c r="AB32" s="295">
        <f t="shared" si="19"/>
        <v>0</v>
      </c>
      <c r="AC32" s="295">
        <f t="shared" si="20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1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8">
        <f t="shared" si="32"/>
        <v>9182</v>
      </c>
      <c r="C33" s="295">
        <f t="shared" ref="C33" si="38">B33-B32</f>
        <v>0</v>
      </c>
      <c r="D33" s="569">
        <f t="shared" si="29"/>
        <v>239169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9298</v>
      </c>
      <c r="I33" s="295" t="str">
        <f t="shared" ref="I33" si="41">IF(B33-H33&lt;=0,"ok","oil change")</f>
        <v>ok</v>
      </c>
      <c r="J33" s="569">
        <f t="shared" si="22"/>
        <v>10698</v>
      </c>
      <c r="K33" s="295">
        <f>J33-J32</f>
        <v>0</v>
      </c>
      <c r="L33" s="569">
        <f t="shared" si="23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5"/>
        <v>10873</v>
      </c>
      <c r="Q33" s="295" t="str">
        <f t="shared" ref="Q33" si="44">IF(J33-P33&lt;=0,"ok","oil change")</f>
        <v>ok</v>
      </c>
      <c r="R33" s="569">
        <f t="shared" si="30"/>
        <v>11705</v>
      </c>
      <c r="S33" s="295">
        <f t="shared" ref="S33" si="45">R33-R32</f>
        <v>0</v>
      </c>
      <c r="T33" s="569">
        <f t="shared" si="24"/>
        <v>357658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7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8" t="e">
        <f t="shared" ref="AG33" si="55">SUM(320*AF33)</f>
        <v>#DIV/0!</v>
      </c>
      <c r="AH33" s="518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125</v>
      </c>
      <c r="V34" s="40"/>
      <c r="X34">
        <v>341</v>
      </c>
      <c r="Z34" s="432">
        <f>SUM(Z3:Z32)</f>
        <v>125</v>
      </c>
    </row>
    <row r="35" spans="1:37">
      <c r="C35" s="40">
        <f>SUM(C3:C32)</f>
        <v>70</v>
      </c>
      <c r="K35" s="40">
        <f>SUM(K3:K32)</f>
        <v>0</v>
      </c>
      <c r="S35" s="40">
        <f>SUM(S3:S32)</f>
        <v>55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10</v>
      </c>
      <c r="B6" s="3">
        <f>ELEC!AF7</f>
        <v>2564</v>
      </c>
      <c r="C6" s="3">
        <f>ELEC!N7</f>
        <v>10761</v>
      </c>
      <c r="D6" s="3">
        <f t="shared" si="0"/>
        <v>6761</v>
      </c>
      <c r="E6" s="3">
        <f>ELEC!Q24</f>
        <v>4000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-44.8</v>
      </c>
      <c r="J6" s="9">
        <f>'B5'!A8</f>
        <v>44078</v>
      </c>
    </row>
    <row r="7" spans="1:10">
      <c r="A7" s="3">
        <f>ELEC!T8+ELEC!X8+ELEC!AB8</f>
        <v>7</v>
      </c>
      <c r="B7" s="3">
        <f>ELEC!AF8</f>
        <v>1622</v>
      </c>
      <c r="C7" s="3">
        <f>ELEC!N8</f>
        <v>10340</v>
      </c>
      <c r="D7" s="3">
        <f t="shared" si="0"/>
        <v>6340</v>
      </c>
      <c r="E7" s="3">
        <f>ELEC!Q8</f>
        <v>4000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-7.1000000000000085</v>
      </c>
      <c r="J7" s="9">
        <f>'B5'!A9</f>
        <v>44079</v>
      </c>
    </row>
    <row r="8" spans="1:10">
      <c r="A8" s="3">
        <f>ELEC!T9+ELEC!X9+ELEC!AB9</f>
        <v>15</v>
      </c>
      <c r="B8" s="3">
        <f>ELEC!AF9</f>
        <v>3587</v>
      </c>
      <c r="C8" s="3">
        <f>ELEC!N9</f>
        <v>12789</v>
      </c>
      <c r="D8" s="3">
        <f t="shared" si="0"/>
        <v>7789</v>
      </c>
      <c r="E8" s="3">
        <f>ELEC!Q9</f>
        <v>5000</v>
      </c>
      <c r="F8" s="3">
        <f>GEN!Z8</f>
        <v>8</v>
      </c>
      <c r="G8" s="3">
        <f>WATER!C11+WATER!H11</f>
        <v>118</v>
      </c>
      <c r="H8" s="3">
        <f>WATER!L11</f>
        <v>0</v>
      </c>
      <c r="I8" s="15">
        <f>WATER!BC11+WATER!BD11+WATER!BE12-Sheet1!G8</f>
        <v>-162.19999999999999</v>
      </c>
      <c r="J8" s="9">
        <f>'B5'!A10</f>
        <v>44080</v>
      </c>
    </row>
    <row r="9" spans="1:10">
      <c r="A9" s="3">
        <f>ELEC!T10+ELEC!X10+ELEC!AB10</f>
        <v>20</v>
      </c>
      <c r="B9" s="3">
        <f>ELEC!AF10</f>
        <v>4157</v>
      </c>
      <c r="C9" s="3">
        <f>ELEC!N10</f>
        <v>12367</v>
      </c>
      <c r="D9" s="3">
        <f t="shared" si="0"/>
        <v>4367</v>
      </c>
      <c r="E9" s="3">
        <f>ELEC!Q10</f>
        <v>8000</v>
      </c>
      <c r="F9" s="3">
        <f>GEN!Z9</f>
        <v>8</v>
      </c>
      <c r="G9" s="3">
        <f>WATER!C12+WATER!H12</f>
        <v>0</v>
      </c>
      <c r="H9" s="3">
        <f>WATER!L12</f>
        <v>0</v>
      </c>
      <c r="I9" s="15">
        <f>WATER!BC12+WATER!BD12+WATER!BE13-Sheet1!G9</f>
        <v>-33.099999999999994</v>
      </c>
      <c r="J9" s="9">
        <f>'B5'!A11</f>
        <v>44081</v>
      </c>
    </row>
    <row r="10" spans="1:10">
      <c r="A10" s="3">
        <f>ELEC!T11+ELEC!X11+ELEC!AB11</f>
        <v>13</v>
      </c>
      <c r="B10" s="3">
        <f>ELEC!AF11</f>
        <v>2899</v>
      </c>
      <c r="C10" s="3">
        <f>ELEC!N11</f>
        <v>11724</v>
      </c>
      <c r="D10" s="3">
        <f t="shared" si="0"/>
        <v>9724</v>
      </c>
      <c r="E10" s="3">
        <f>ELEC!Q11</f>
        <v>2000</v>
      </c>
      <c r="F10" s="3">
        <f>GEN!Z10</f>
        <v>14</v>
      </c>
      <c r="G10" s="3">
        <f>WATER!C13+WATER!H13</f>
        <v>0</v>
      </c>
      <c r="H10" s="3">
        <f>WATER!L13</f>
        <v>0</v>
      </c>
      <c r="I10" s="15">
        <f>WATER!BC13+WATER!BD13+WATER!BE14-Sheet1!G10</f>
        <v>-52.9</v>
      </c>
      <c r="J10" s="9">
        <f>'B5'!A12</f>
        <v>44082</v>
      </c>
    </row>
    <row r="11" spans="1:10">
      <c r="A11" s="3">
        <f>ELEC!T12+ELEC!X12+ELEC!AB12</f>
        <v>12</v>
      </c>
      <c r="B11" s="3">
        <f>ELEC!AF12</f>
        <v>2828</v>
      </c>
      <c r="C11" s="3">
        <f>ELEC!N12</f>
        <v>11004</v>
      </c>
      <c r="D11" s="3">
        <f t="shared" si="0"/>
        <v>9004</v>
      </c>
      <c r="E11" s="3">
        <f>ELEC!Q12</f>
        <v>2000</v>
      </c>
      <c r="F11" s="3">
        <f>GEN!Z11</f>
        <v>5</v>
      </c>
      <c r="G11" s="3">
        <f>WATER!C14+WATER!H14</f>
        <v>0</v>
      </c>
      <c r="H11" s="3">
        <f>WATER!L14</f>
        <v>0</v>
      </c>
      <c r="I11" s="15">
        <f>WATER!BC14+WATER!BD14+WATER!BE15-Sheet1!G11</f>
        <v>-54.300000000000004</v>
      </c>
      <c r="J11" s="9">
        <f>'B5'!A13</f>
        <v>44083</v>
      </c>
    </row>
    <row r="12" spans="1:10">
      <c r="A12" s="3">
        <f>ELEC!T13+ELEC!X13+ELEC!AB13</f>
        <v>13</v>
      </c>
      <c r="B12" s="3">
        <f>ELEC!AF13</f>
        <v>2804</v>
      </c>
      <c r="C12" s="3">
        <f>ELEC!N13</f>
        <v>11016</v>
      </c>
      <c r="D12" s="3">
        <f t="shared" si="0"/>
        <v>8016</v>
      </c>
      <c r="E12" s="3">
        <f>ELEC!Q13</f>
        <v>3000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-66.599999999999994</v>
      </c>
      <c r="J12" s="9">
        <f>'B5'!A14</f>
        <v>44084</v>
      </c>
    </row>
    <row r="13" spans="1:10">
      <c r="A13" s="3">
        <f>ELEC!T14+ELEC!X14+ELEC!AB14</f>
        <v>11</v>
      </c>
      <c r="B13" s="3">
        <f>ELEC!AF14</f>
        <v>2323</v>
      </c>
      <c r="C13" s="3">
        <f>ELEC!N14</f>
        <v>10368</v>
      </c>
      <c r="D13" s="3">
        <f t="shared" si="0"/>
        <v>7368</v>
      </c>
      <c r="E13" s="3">
        <f>ELEC!Q14</f>
        <v>3000</v>
      </c>
      <c r="F13" s="3">
        <f>GEN!Z13</f>
        <v>7</v>
      </c>
      <c r="G13" s="3">
        <f>WATER!C16+WATER!H16</f>
        <v>0</v>
      </c>
      <c r="H13" s="3">
        <f>WATER!L16</f>
        <v>0</v>
      </c>
      <c r="I13" s="15">
        <f>WATER!BC16+WATER!BD16+WATER!BE17-Sheet1!G13</f>
        <v>-62.400000000000006</v>
      </c>
      <c r="J13" s="9">
        <f>'B5'!A15</f>
        <v>44085</v>
      </c>
    </row>
    <row r="14" spans="1:10">
      <c r="A14" s="3">
        <f>ELEC!T15+ELEC!X15+ELEC!AB15</f>
        <v>9</v>
      </c>
      <c r="B14" s="3">
        <f>ELEC!AF15</f>
        <v>1973</v>
      </c>
      <c r="C14" s="3">
        <f>ELEC!N15</f>
        <v>9041</v>
      </c>
      <c r="D14" s="3">
        <f t="shared" si="0"/>
        <v>7041</v>
      </c>
      <c r="E14" s="3">
        <f>ELEC!Q15</f>
        <v>2000</v>
      </c>
      <c r="F14" s="3">
        <f>GEN!Z14</f>
        <v>6</v>
      </c>
      <c r="G14" s="3">
        <f>WATER!C17+WATER!H17</f>
        <v>0</v>
      </c>
      <c r="H14" s="3">
        <f>WATER!L17</f>
        <v>0</v>
      </c>
      <c r="I14" s="15">
        <f>WATER!BC17+WATER!BD17+WATER!BE18-Sheet1!G14</f>
        <v>6.2999999999999901</v>
      </c>
      <c r="J14" s="9">
        <f>'B5'!A16</f>
        <v>44086</v>
      </c>
    </row>
    <row r="15" spans="1:10">
      <c r="A15" s="3">
        <f>ELEC!T16+ELEC!X16+ELEC!AB16</f>
        <v>7</v>
      </c>
      <c r="B15" s="3">
        <f>ELEC!AF16</f>
        <v>1560</v>
      </c>
      <c r="C15" s="3">
        <f>ELEC!N16</f>
        <v>9105</v>
      </c>
      <c r="D15" s="3">
        <f t="shared" si="0"/>
        <v>7105</v>
      </c>
      <c r="E15" s="3">
        <f>ELEC!Q16</f>
        <v>2000</v>
      </c>
      <c r="F15" s="3">
        <f>GEN!Z15</f>
        <v>4</v>
      </c>
      <c r="G15" s="3">
        <f>WATER!C18+WATER!H18</f>
        <v>0</v>
      </c>
      <c r="H15" s="3">
        <f>WATER!L18</f>
        <v>0</v>
      </c>
      <c r="I15" s="15">
        <f>WATER!BC18+WATER!BD18+WATER!BE19-Sheet1!G15</f>
        <v>-17.2</v>
      </c>
      <c r="J15" s="9">
        <f>'B5'!A17</f>
        <v>44087</v>
      </c>
    </row>
    <row r="16" spans="1:10">
      <c r="A16" s="3">
        <f>ELEC!T17+ELEC!X17+ELEC!AB17</f>
        <v>10</v>
      </c>
      <c r="B16" s="3">
        <f>ELEC!AF17</f>
        <v>2240</v>
      </c>
      <c r="C16" s="3">
        <f>ELEC!N17</f>
        <v>10455</v>
      </c>
      <c r="D16" s="3">
        <f t="shared" si="0"/>
        <v>7455</v>
      </c>
      <c r="E16" s="3">
        <f>ELEC!Q17</f>
        <v>3000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-11.900000000000006</v>
      </c>
      <c r="J16" s="9">
        <f>'B5'!A18</f>
        <v>44088</v>
      </c>
    </row>
    <row r="17" spans="1:10">
      <c r="A17" s="3">
        <f>ELEC!T18+ELEC!X18+ELEC!AB18</f>
        <v>15</v>
      </c>
      <c r="B17" s="3">
        <f>ELEC!AF18</f>
        <v>2973</v>
      </c>
      <c r="C17" s="3">
        <f>ELEC!N18</f>
        <v>10163</v>
      </c>
      <c r="D17" s="3">
        <f t="shared" si="0"/>
        <v>7163</v>
      </c>
      <c r="E17" s="3">
        <f>ELEC!Q18</f>
        <v>3000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21.099999999999994</v>
      </c>
      <c r="J17" s="9">
        <f>'B5'!A19</f>
        <v>44089</v>
      </c>
    </row>
    <row r="18" spans="1:10">
      <c r="A18" s="3">
        <f>ELEC!T19+ELEC!X19+ELEC!AB19</f>
        <v>5</v>
      </c>
      <c r="B18" s="3">
        <f>ELEC!AF19</f>
        <v>1289</v>
      </c>
      <c r="C18" s="3">
        <f>ELEC!N19</f>
        <v>9226</v>
      </c>
      <c r="D18" s="3">
        <f t="shared" si="0"/>
        <v>8226</v>
      </c>
      <c r="E18" s="3">
        <f>ELEC!Q19</f>
        <v>1000</v>
      </c>
      <c r="F18" s="3">
        <f>GEN!Z18</f>
        <v>6</v>
      </c>
      <c r="G18" s="3">
        <f>WATER!C21+WATER!H21</f>
        <v>185</v>
      </c>
      <c r="H18" s="3">
        <f>WATER!L21</f>
        <v>0</v>
      </c>
      <c r="I18" s="15">
        <f>WATER!BC21+WATER!BD21+WATER!BE22-Sheet1!G18</f>
        <v>-245.89999999999998</v>
      </c>
      <c r="J18" s="9">
        <f>'B5'!A20</f>
        <v>44090</v>
      </c>
    </row>
    <row r="19" spans="1:10">
      <c r="A19" s="3">
        <f>ELEC!T20+ELEC!X20+ELEC!AB20</f>
        <v>11</v>
      </c>
      <c r="B19" s="3">
        <f>ELEC!AF20</f>
        <v>2574</v>
      </c>
      <c r="C19" s="3">
        <f>ELEC!N20</f>
        <v>9673</v>
      </c>
      <c r="D19" s="3">
        <f t="shared" si="0"/>
        <v>7673</v>
      </c>
      <c r="E19" s="3">
        <f>ELEC!Q20</f>
        <v>2000</v>
      </c>
      <c r="F19" s="3">
        <f>GEN!Z19</f>
        <v>4</v>
      </c>
      <c r="G19" s="3">
        <f>WATER!C22+WATER!H22</f>
        <v>0</v>
      </c>
      <c r="H19" s="3">
        <f>WATER!L22</f>
        <v>0</v>
      </c>
      <c r="I19" s="15">
        <f>WATER!BC22+WATER!BD22+WATER!BE23-Sheet1!G19</f>
        <v>92.300000000000011</v>
      </c>
      <c r="J19" s="9">
        <f>'B5'!A21</f>
        <v>44091</v>
      </c>
    </row>
    <row r="20" spans="1:10">
      <c r="A20" s="3">
        <f>ELEC!T21+ELEC!X21+ELEC!AB21</f>
        <v>6</v>
      </c>
      <c r="B20" s="3">
        <f>ELEC!AF21</f>
        <v>1500</v>
      </c>
      <c r="C20" s="3">
        <f>ELEC!N21</f>
        <v>7867</v>
      </c>
      <c r="D20" s="3">
        <f t="shared" si="0"/>
        <v>5867</v>
      </c>
      <c r="E20" s="3">
        <f>ELEC!Q21</f>
        <v>2000</v>
      </c>
      <c r="F20" s="3">
        <f>GEN!Z20</f>
        <v>3</v>
      </c>
      <c r="G20" s="3">
        <f>WATER!C23+WATER!H23</f>
        <v>142</v>
      </c>
      <c r="H20" s="3">
        <f>WATER!L23</f>
        <v>0</v>
      </c>
      <c r="I20" s="15">
        <f>WATER!BC23+WATER!BD23+WATER!BE24-Sheet1!G20</f>
        <v>-110.6</v>
      </c>
      <c r="J20" s="9">
        <f>'B5'!A22</f>
        <v>44092</v>
      </c>
    </row>
    <row r="21" spans="1:10">
      <c r="A21" s="3">
        <f>ELEC!T22+ELEC!X22+ELEC!AB22</f>
        <v>9</v>
      </c>
      <c r="B21" s="3">
        <f>ELEC!AF22</f>
        <v>2048</v>
      </c>
      <c r="C21" s="3">
        <f>ELEC!N22</f>
        <v>8881</v>
      </c>
      <c r="D21" s="3">
        <f t="shared" si="0"/>
        <v>6385.9999999991996</v>
      </c>
      <c r="E21" s="3">
        <f>ELEC!Q22</f>
        <v>2495.0000000008004</v>
      </c>
      <c r="F21" s="3">
        <f>GEN!Z21</f>
        <v>5</v>
      </c>
      <c r="G21" s="3">
        <f>WATER!C24+WATER!H24</f>
        <v>0</v>
      </c>
      <c r="H21" s="3">
        <f>WATER!L24</f>
        <v>0</v>
      </c>
      <c r="I21" s="15">
        <f>WATER!BC24+WATER!BD24+WATER!BE25-Sheet1!G21</f>
        <v>15.699999999999989</v>
      </c>
      <c r="J21" s="9">
        <f>'B5'!A23</f>
        <v>44093</v>
      </c>
    </row>
    <row r="22" spans="1:10">
      <c r="A22" s="3">
        <f>ELEC!T23+ELEC!X23+ELEC!AB23</f>
        <v>10</v>
      </c>
      <c r="B22" s="3">
        <f>ELEC!AF23</f>
        <v>2290</v>
      </c>
      <c r="C22" s="3">
        <f>ELEC!N23</f>
        <v>9258</v>
      </c>
      <c r="D22" s="3">
        <f t="shared" si="0"/>
        <v>7753.0000000008004</v>
      </c>
      <c r="E22" s="3">
        <f>ELEC!Q23</f>
        <v>1504.9999999991996</v>
      </c>
      <c r="F22" s="3">
        <f>GEN!Z22</f>
        <v>4</v>
      </c>
      <c r="G22" s="3">
        <f>WATER!C25+WATER!H25</f>
        <v>122</v>
      </c>
      <c r="H22" s="3">
        <f>WATER!L25</f>
        <v>0</v>
      </c>
      <c r="I22" s="15">
        <f>WATER!BC25+WATER!BD25+WATER!BE26-Sheet1!G22</f>
        <v>-144.5</v>
      </c>
      <c r="J22" s="9">
        <f>'B5'!A24</f>
        <v>44094</v>
      </c>
    </row>
    <row r="23" spans="1:10">
      <c r="A23" s="3">
        <f>ELEC!T24+ELEC!X24+ELEC!AB24</f>
        <v>11</v>
      </c>
      <c r="B23" s="3">
        <f>ELEC!AF24</f>
        <v>2442</v>
      </c>
      <c r="C23" s="3">
        <f>ELEC!N24</f>
        <v>10688</v>
      </c>
      <c r="D23" s="3">
        <f t="shared" si="0"/>
        <v>6688</v>
      </c>
      <c r="E23" s="3">
        <f>ELEC!Q24</f>
        <v>4000</v>
      </c>
      <c r="F23" s="3">
        <f>GEN!Z23</f>
        <v>5</v>
      </c>
      <c r="G23" s="3">
        <f>WATER!C26+WATER!H26</f>
        <v>0</v>
      </c>
      <c r="H23" s="3">
        <f>WATER!L26</f>
        <v>0</v>
      </c>
      <c r="I23" s="15">
        <f>WATER!BC26+WATER!BD26+WATER!BE27-Sheet1!G23</f>
        <v>64.300000000000011</v>
      </c>
      <c r="J23" s="9">
        <f>'B5'!A25</f>
        <v>44095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7</v>
      </c>
      <c r="G24" s="3">
        <f>WATER!C27+WATER!H27</f>
        <v>117</v>
      </c>
      <c r="H24" s="3">
        <f>WATER!L27</f>
        <v>0</v>
      </c>
      <c r="I24" s="15">
        <f>WATER!BC27+WATER!BD27+WATER!BE28-Sheet1!G24</f>
        <v>-134.5</v>
      </c>
      <c r="J24" s="9">
        <f>'B5'!A26</f>
        <v>44096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44097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44098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44099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44100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3"/>
      <c r="B1" s="651" t="s">
        <v>119</v>
      </c>
      <c r="C1" s="651" t="s">
        <v>118</v>
      </c>
      <c r="D1" s="655" t="s">
        <v>113</v>
      </c>
      <c r="E1" s="655" t="s">
        <v>114</v>
      </c>
      <c r="F1" s="656" t="s">
        <v>120</v>
      </c>
      <c r="G1" s="657" t="s">
        <v>75</v>
      </c>
      <c r="H1" s="648" t="s">
        <v>115</v>
      </c>
      <c r="I1" s="649" t="s">
        <v>116</v>
      </c>
      <c r="J1" s="648" t="s">
        <v>117</v>
      </c>
      <c r="K1" s="647" t="s">
        <v>121</v>
      </c>
      <c r="L1" s="647" t="s">
        <v>122</v>
      </c>
      <c r="M1" s="647" t="s">
        <v>123</v>
      </c>
      <c r="N1" s="647" t="s">
        <v>124</v>
      </c>
    </row>
    <row r="2" spans="1:14">
      <c r="A2" s="654"/>
      <c r="B2" s="652"/>
      <c r="C2" s="652"/>
      <c r="D2" s="655"/>
      <c r="E2" s="655"/>
      <c r="F2" s="656"/>
      <c r="G2" s="657"/>
      <c r="H2" s="648"/>
      <c r="I2" s="650"/>
      <c r="J2" s="648"/>
      <c r="K2" s="647"/>
      <c r="L2" s="647"/>
      <c r="M2" s="647"/>
      <c r="N2" s="64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7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7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514.76793248945148</v>
      </c>
      <c r="E9" s="247">
        <f t="shared" si="0"/>
        <v>514.76793248945148</v>
      </c>
      <c r="F9" s="75">
        <f>WATER!L9</f>
        <v>0</v>
      </c>
      <c r="G9" s="78">
        <f>WATER!BG9</f>
        <v>-68.899999999999977</v>
      </c>
      <c r="H9" s="79">
        <f>ELEC!AF7</f>
        <v>2564</v>
      </c>
      <c r="I9" s="79">
        <f>ELEC!Q7</f>
        <v>2000</v>
      </c>
      <c r="J9" s="79">
        <f>ELEC!R7</f>
        <v>8761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1029.535864978903</v>
      </c>
      <c r="E10" s="247">
        <f t="shared" si="0"/>
        <v>1029.535864978903</v>
      </c>
      <c r="F10" s="75">
        <f>WATER!L10</f>
        <v>0</v>
      </c>
      <c r="G10" s="78">
        <f>WATER!BG10</f>
        <v>-36.200000000000017</v>
      </c>
      <c r="H10" s="79">
        <f>ELEC!AF8</f>
        <v>1622</v>
      </c>
      <c r="I10" s="79">
        <f>ELEC!Q8</f>
        <v>4000</v>
      </c>
      <c r="J10" s="79">
        <f>ELEC!R8</f>
        <v>6340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1286.9198312236288</v>
      </c>
      <c r="E11" s="247">
        <f t="shared" si="0"/>
        <v>1286.9198312236288</v>
      </c>
      <c r="F11" s="75">
        <f>WATER!L11</f>
        <v>0</v>
      </c>
      <c r="G11" s="78">
        <f>WATER!BG11</f>
        <v>29.100000000000009</v>
      </c>
      <c r="H11" s="79">
        <f>ELEC!AF9</f>
        <v>3587</v>
      </c>
      <c r="I11" s="79">
        <f>ELEC!Q9</f>
        <v>5000</v>
      </c>
      <c r="J11" s="79">
        <f>ELEC!R9</f>
        <v>7789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2059.0717299578059</v>
      </c>
      <c r="E12" s="247">
        <f t="shared" si="0"/>
        <v>2059.0717299578059</v>
      </c>
      <c r="F12" s="75">
        <f>WATER!L12</f>
        <v>0</v>
      </c>
      <c r="G12" s="78">
        <f>WATER!BG12</f>
        <v>-20.199999999999996</v>
      </c>
      <c r="H12" s="79">
        <f>ELEC!AF10</f>
        <v>4157</v>
      </c>
      <c r="I12" s="79">
        <f>ELEC!Q10</f>
        <v>8000</v>
      </c>
      <c r="J12" s="79">
        <f>ELEC!R10</f>
        <v>4367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-17.400000000000006</v>
      </c>
      <c r="H13" s="79">
        <f>ELEC!AF11</f>
        <v>2899</v>
      </c>
      <c r="I13" s="79">
        <f>ELEC!Q11</f>
        <v>2000</v>
      </c>
      <c r="J13" s="79">
        <f>ELEC!R11</f>
        <v>9724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514.76793248945148</v>
      </c>
      <c r="E14" s="247">
        <f t="shared" si="0"/>
        <v>514.76793248945148</v>
      </c>
      <c r="F14" s="75">
        <f>WATER!L14</f>
        <v>0</v>
      </c>
      <c r="G14" s="78">
        <f>WATER!BG14</f>
        <v>-35.499999999999993</v>
      </c>
      <c r="H14" s="79">
        <f>ELEC!AF12</f>
        <v>2828</v>
      </c>
      <c r="I14" s="79">
        <f>ELEC!Q12</f>
        <v>2000</v>
      </c>
      <c r="J14" s="79">
        <f>ELEC!R12</f>
        <v>9004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772.15189873417728</v>
      </c>
      <c r="E15" s="247">
        <f t="shared" si="0"/>
        <v>772.15189873417728</v>
      </c>
      <c r="F15" s="75">
        <f>WATER!L15</f>
        <v>0</v>
      </c>
      <c r="G15" s="78">
        <f>WATER!BG15</f>
        <v>-25.100000000000009</v>
      </c>
      <c r="H15" s="79">
        <f>ELEC!AF13</f>
        <v>2804</v>
      </c>
      <c r="I15" s="79">
        <f>ELEC!Q13</f>
        <v>3000</v>
      </c>
      <c r="J15" s="79">
        <f>ELEC!R13</f>
        <v>8016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772.15189873417728</v>
      </c>
      <c r="E16" s="247">
        <f t="shared" si="0"/>
        <v>772.15189873417728</v>
      </c>
      <c r="F16" s="75">
        <f>WATER!L16</f>
        <v>0</v>
      </c>
      <c r="G16" s="78">
        <f>WATER!BG16</f>
        <v>-41.499999999999993</v>
      </c>
      <c r="H16" s="79">
        <f>ELEC!AF14</f>
        <v>2323</v>
      </c>
      <c r="I16" s="79">
        <f>ELEC!Q14</f>
        <v>3000</v>
      </c>
      <c r="J16" s="79">
        <f>ELEC!R14</f>
        <v>7368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-20.900000000000013</v>
      </c>
      <c r="H17" s="79">
        <f>ELEC!AF15</f>
        <v>1973</v>
      </c>
      <c r="I17" s="79">
        <f>ELEC!Q15</f>
        <v>2000</v>
      </c>
      <c r="J17" s="79">
        <f>ELEC!R15</f>
        <v>7041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514.76793248945148</v>
      </c>
      <c r="E18" s="247">
        <f t="shared" si="0"/>
        <v>514.76793248945148</v>
      </c>
      <c r="F18" s="75">
        <f>WATER!L18</f>
        <v>0</v>
      </c>
      <c r="G18" s="78">
        <f>WATER!BG18</f>
        <v>-8.7999999999999972</v>
      </c>
      <c r="H18" s="79">
        <f>ELEC!AF16</f>
        <v>1560</v>
      </c>
      <c r="I18" s="79">
        <f>ELEC!Q16</f>
        <v>2000</v>
      </c>
      <c r="J18" s="79">
        <f>ELEC!R16</f>
        <v>7105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772.15189873417728</v>
      </c>
      <c r="E19" s="247">
        <f t="shared" si="0"/>
        <v>772.15189873417728</v>
      </c>
      <c r="F19" s="75">
        <f>WATER!L19</f>
        <v>0</v>
      </c>
      <c r="G19" s="78">
        <f>WATER!BG19</f>
        <v>-8.4000000000000021</v>
      </c>
      <c r="H19" s="79">
        <f>ELEC!AF17</f>
        <v>2240</v>
      </c>
      <c r="I19" s="79">
        <f>ELEC!Q17</f>
        <v>3000</v>
      </c>
      <c r="J19" s="79">
        <f>ELEC!R17</f>
        <v>7455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772.15189873417728</v>
      </c>
      <c r="E20" s="247">
        <f t="shared" si="0"/>
        <v>772.15189873417728</v>
      </c>
      <c r="F20" s="75">
        <f>WATER!L20</f>
        <v>0</v>
      </c>
      <c r="G20" s="78">
        <f>WATER!BG20</f>
        <v>-23.300000000000004</v>
      </c>
      <c r="H20" s="79">
        <f>ELEC!AF18</f>
        <v>2973</v>
      </c>
      <c r="I20" s="79">
        <f>ELEC!Q18</f>
        <v>3000</v>
      </c>
      <c r="J20" s="79">
        <f>ELEC!R18</f>
        <v>7163</v>
      </c>
      <c r="K20" s="3"/>
      <c r="L20" s="3"/>
      <c r="M20" s="3"/>
      <c r="N20" s="3"/>
    </row>
    <row r="21" spans="1:14">
      <c r="A21" s="63">
        <f>'B5'!A21</f>
        <v>44091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44.400000000000006</v>
      </c>
      <c r="H21" s="79">
        <f>ELEC!AF19</f>
        <v>1289</v>
      </c>
      <c r="I21" s="79">
        <f>ELEC!Q19</f>
        <v>1000</v>
      </c>
      <c r="J21" s="79">
        <f>ELEC!R19</f>
        <v>8226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514.76793248945148</v>
      </c>
      <c r="E22" s="247">
        <f t="shared" si="0"/>
        <v>514.76793248945148</v>
      </c>
      <c r="F22" s="75">
        <f>WATER!L22</f>
        <v>0</v>
      </c>
      <c r="G22" s="78">
        <f>WATER!BG22</f>
        <v>-40.499999999999979</v>
      </c>
      <c r="H22" s="79">
        <f>ELEC!AF20</f>
        <v>2574</v>
      </c>
      <c r="I22" s="79">
        <f>ELEC!Q20</f>
        <v>2000</v>
      </c>
      <c r="J22" s="79">
        <f>ELEC!R20</f>
        <v>7673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514.76793248945148</v>
      </c>
      <c r="E23" s="247">
        <f t="shared" si="0"/>
        <v>514.76793248945148</v>
      </c>
      <c r="F23" s="75">
        <f>WATER!L23</f>
        <v>0</v>
      </c>
      <c r="G23" s="78">
        <f>WATER!BG23</f>
        <v>67.999999999999986</v>
      </c>
      <c r="H23" s="79">
        <f>ELEC!AF21</f>
        <v>1500</v>
      </c>
      <c r="I23" s="79">
        <f>ELEC!Q21</f>
        <v>2000</v>
      </c>
      <c r="J23" s="79">
        <f>ELEC!R21</f>
        <v>5867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642.17299578079678</v>
      </c>
      <c r="E24" s="247">
        <f t="shared" si="0"/>
        <v>642.17299578079678</v>
      </c>
      <c r="F24" s="75">
        <f>WATER!L24</f>
        <v>0</v>
      </c>
      <c r="G24" s="78">
        <f>WATER!BG24</f>
        <v>-20.399999999999991</v>
      </c>
      <c r="H24" s="79">
        <f>ELEC!AF22</f>
        <v>2048</v>
      </c>
      <c r="I24" s="79">
        <f>ELEC!Q22</f>
        <v>2495.0000000008004</v>
      </c>
      <c r="J24" s="79">
        <f>ELEC!R22</f>
        <v>6385.9999999991996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387.3628691981063</v>
      </c>
      <c r="E25" s="247">
        <f t="shared" si="0"/>
        <v>387.3628691981063</v>
      </c>
      <c r="F25" s="75">
        <f>WATER!L25</f>
        <v>0</v>
      </c>
      <c r="G25" s="78">
        <f>WATER!BG25</f>
        <v>36.09999999999998</v>
      </c>
      <c r="H25" s="79">
        <f>ELEC!AF23</f>
        <v>2290</v>
      </c>
      <c r="I25" s="79">
        <f>ELEC!Q23</f>
        <v>1504.9999999991996</v>
      </c>
      <c r="J25" s="79">
        <f>ELEC!R23</f>
        <v>7753.0000000008004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1029.535864978903</v>
      </c>
      <c r="E26" s="247">
        <f t="shared" si="0"/>
        <v>1029.535864978903</v>
      </c>
      <c r="F26" s="75">
        <f>WATER!L26</f>
        <v>0</v>
      </c>
      <c r="G26" s="78">
        <f>WATER!BG26</f>
        <v>-25.299999999999983</v>
      </c>
      <c r="H26" s="79">
        <f>ELEC!AF24</f>
        <v>2442</v>
      </c>
      <c r="I26" s="79">
        <f>ELEC!Q24</f>
        <v>4000</v>
      </c>
      <c r="J26" s="79">
        <f>ELEC!R24</f>
        <v>6688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40.099999999999994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8" t="s">
        <v>151</v>
      </c>
      <c r="U3" s="658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K24" zoomScale="80" zoomScaleNormal="80" workbookViewId="0">
      <selection activeCell="AA25" sqref="AA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6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6">
        <v>48144</v>
      </c>
      <c r="G4" s="160">
        <f t="shared" ref="G4:G32" si="1">F4-F3</f>
        <v>634</v>
      </c>
      <c r="H4" s="566">
        <v>184316</v>
      </c>
      <c r="I4" s="161">
        <f t="shared" ref="I4:I33" si="2">H4-H3</f>
        <v>2200</v>
      </c>
      <c r="J4" s="566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117.30630256126773</v>
      </c>
      <c r="P4" s="305">
        <f>SUM(L4:O4)</f>
        <v>520.62305214667413</v>
      </c>
      <c r="Q4" s="305">
        <f>SUM(-tanks!AX6*tanks!$AU$37)</f>
        <v>375.31741935483825</v>
      </c>
      <c r="R4" s="305">
        <f>SUM(P4:Q4)</f>
        <v>895.94047150151232</v>
      </c>
      <c r="S4" s="307">
        <f>SUM(ELEC!N3)</f>
        <v>11078</v>
      </c>
      <c r="T4" s="344">
        <f>IF(S4&gt;0,R4/S4,0)</f>
        <v>8.0875651877731755E-2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69"/>
      <c r="AC4" s="670"/>
    </row>
    <row r="5" spans="1:30" ht="15.75" thickBot="1">
      <c r="A5" s="163">
        <f>ELEC!C4</f>
        <v>44076</v>
      </c>
      <c r="B5" s="604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0">
        <v>48803</v>
      </c>
      <c r="G5" s="160">
        <f t="shared" si="1"/>
        <v>659</v>
      </c>
      <c r="H5" s="600">
        <v>186052</v>
      </c>
      <c r="I5" s="161">
        <f t="shared" si="2"/>
        <v>1736</v>
      </c>
      <c r="J5" s="602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117.30630256126773</v>
      </c>
      <c r="P5" s="305">
        <f t="shared" ref="P5:P32" si="9">SUM(L5:O5)</f>
        <v>472.19320140040537</v>
      </c>
      <c r="Q5" s="305">
        <f>SUM(-tanks!AX7*tanks!$AU$37)</f>
        <v>828.02903225805846</v>
      </c>
      <c r="R5" s="305">
        <f t="shared" ref="R5:R32" si="10">SUM(P5:Q5)</f>
        <v>1300.2222336584639</v>
      </c>
      <c r="S5" s="307">
        <f>SUM(ELEC!N4)</f>
        <v>12266</v>
      </c>
      <c r="T5" s="344">
        <f>IF(S5&gt;0,R5/S5,0)</f>
        <v>0.10600213872969703</v>
      </c>
      <c r="U5" s="255"/>
      <c r="V5" s="663"/>
      <c r="W5" s="664"/>
      <c r="X5" s="664"/>
      <c r="Y5" s="665"/>
      <c r="Z5" s="26" t="s">
        <v>203</v>
      </c>
      <c r="AA5" s="270">
        <f>'[5]EDl log'!AA22</f>
        <v>5000</v>
      </c>
      <c r="AB5" s="671"/>
      <c r="AC5" s="672"/>
    </row>
    <row r="6" spans="1:30" ht="15.75" thickBot="1">
      <c r="A6" s="163">
        <f>ELEC!C5</f>
        <v>44077</v>
      </c>
      <c r="B6" s="604">
        <v>362083</v>
      </c>
      <c r="C6" s="270">
        <f t="shared" si="0"/>
        <v>3969</v>
      </c>
      <c r="D6" s="316">
        <f t="shared" si="8"/>
        <v>3970</v>
      </c>
      <c r="E6" s="316">
        <f t="shared" ref="E6:E33" si="11">B5+D6</f>
        <v>362084</v>
      </c>
      <c r="F6" s="566">
        <v>48997</v>
      </c>
      <c r="G6" s="160">
        <f t="shared" si="1"/>
        <v>194</v>
      </c>
      <c r="H6" s="566">
        <v>188146</v>
      </c>
      <c r="I6" s="161">
        <f t="shared" si="2"/>
        <v>2094</v>
      </c>
      <c r="J6" s="566">
        <v>124940</v>
      </c>
      <c r="K6" s="162">
        <f t="shared" si="3"/>
        <v>1682</v>
      </c>
      <c r="L6" s="304">
        <f t="shared" si="4"/>
        <v>41.180762852404641</v>
      </c>
      <c r="M6" s="304">
        <f t="shared" si="5"/>
        <v>155.57412935323384</v>
      </c>
      <c r="N6" s="304">
        <f t="shared" si="6"/>
        <v>89.260364842454393</v>
      </c>
      <c r="O6" s="304">
        <f t="shared" si="7"/>
        <v>117.30630256126773</v>
      </c>
      <c r="P6" s="305">
        <f t="shared" si="9"/>
        <v>403.32155960936063</v>
      </c>
      <c r="Q6" s="305">
        <f>SUM(-tanks!AX8*tanks!$AU$37)</f>
        <v>804.63483870968435</v>
      </c>
      <c r="R6" s="305">
        <f t="shared" si="10"/>
        <v>1207.9563983190451</v>
      </c>
      <c r="S6" s="307">
        <f>SUM(ELEC!N5)</f>
        <v>12559</v>
      </c>
      <c r="T6" s="344">
        <f t="shared" ref="T6:T32" si="12">IF(S6&gt;0,R6/S6,0)</f>
        <v>9.6182530322401871E-2</v>
      </c>
      <c r="V6" s="666"/>
      <c r="W6" s="667"/>
      <c r="X6" s="667"/>
      <c r="Y6" s="668"/>
      <c r="Z6" s="3"/>
      <c r="AA6" s="3"/>
      <c r="AB6" s="671"/>
      <c r="AC6" s="672"/>
    </row>
    <row r="7" spans="1:30" ht="15" customHeight="1" thickBot="1">
      <c r="A7" s="163">
        <f>ELEC!C6</f>
        <v>44078</v>
      </c>
      <c r="B7" s="604">
        <v>366467</v>
      </c>
      <c r="C7" s="270">
        <f t="shared" si="0"/>
        <v>4384</v>
      </c>
      <c r="D7" s="316">
        <f t="shared" si="8"/>
        <v>4383</v>
      </c>
      <c r="E7" s="316">
        <f t="shared" si="11"/>
        <v>366466</v>
      </c>
      <c r="F7" s="566">
        <v>49688</v>
      </c>
      <c r="G7" s="160">
        <f t="shared" si="1"/>
        <v>691</v>
      </c>
      <c r="H7" s="566">
        <v>190089</v>
      </c>
      <c r="I7" s="161">
        <f t="shared" si="2"/>
        <v>1943</v>
      </c>
      <c r="J7" s="566">
        <v>126689</v>
      </c>
      <c r="K7" s="162">
        <f t="shared" si="3"/>
        <v>1749</v>
      </c>
      <c r="L7" s="304">
        <f t="shared" si="4"/>
        <v>146.67993366500829</v>
      </c>
      <c r="M7" s="304">
        <f t="shared" si="5"/>
        <v>144.35555555555555</v>
      </c>
      <c r="N7" s="304">
        <f t="shared" si="6"/>
        <v>92.815920398009951</v>
      </c>
      <c r="O7" s="304">
        <f t="shared" si="7"/>
        <v>117.30630256126773</v>
      </c>
      <c r="P7" s="305">
        <f t="shared" si="9"/>
        <v>501.1577121798415</v>
      </c>
      <c r="Q7" s="305">
        <f>SUM(-tanks!AX9*tanks!$AU$37)</f>
        <v>933.15832258063779</v>
      </c>
      <c r="R7" s="305">
        <f t="shared" si="10"/>
        <v>1434.3160347604794</v>
      </c>
      <c r="S7" s="307">
        <f>SUM(ELEC!N6)</f>
        <v>12925</v>
      </c>
      <c r="T7" s="344">
        <f t="shared" si="12"/>
        <v>0.1109722270607721</v>
      </c>
      <c r="V7" s="659" t="s">
        <v>204</v>
      </c>
      <c r="W7" s="660"/>
      <c r="X7" s="661" t="s">
        <v>205</v>
      </c>
      <c r="Y7" s="662"/>
      <c r="Z7" s="660"/>
      <c r="AA7" s="26"/>
      <c r="AB7" s="673"/>
      <c r="AC7" s="674"/>
    </row>
    <row r="8" spans="1:30" ht="15.75" customHeight="1">
      <c r="A8" s="163">
        <f>ELEC!C7</f>
        <v>44079</v>
      </c>
      <c r="B8" s="604">
        <v>370999</v>
      </c>
      <c r="C8" s="270">
        <f t="shared" si="0"/>
        <v>4532</v>
      </c>
      <c r="D8" s="316">
        <f t="shared" si="8"/>
        <v>4532</v>
      </c>
      <c r="E8" s="316">
        <f t="shared" si="11"/>
        <v>370999</v>
      </c>
      <c r="F8" s="566">
        <v>50447</v>
      </c>
      <c r="G8" s="160">
        <f t="shared" si="1"/>
        <v>759</v>
      </c>
      <c r="H8" s="566">
        <v>192134</v>
      </c>
      <c r="I8" s="161">
        <f t="shared" si="2"/>
        <v>2045</v>
      </c>
      <c r="J8" s="566">
        <v>128417</v>
      </c>
      <c r="K8" s="162">
        <f>J8-J7</f>
        <v>1728</v>
      </c>
      <c r="L8" s="304">
        <f t="shared" si="4"/>
        <v>161.11442786069651</v>
      </c>
      <c r="M8" s="304">
        <f t="shared" si="5"/>
        <v>151.93366500829188</v>
      </c>
      <c r="N8" s="304">
        <f t="shared" si="6"/>
        <v>91.701492537313428</v>
      </c>
      <c r="O8" s="304">
        <f t="shared" si="7"/>
        <v>117.30630256126773</v>
      </c>
      <c r="P8" s="305">
        <f t="shared" si="9"/>
        <v>522.05588796756956</v>
      </c>
      <c r="Q8" s="305">
        <f>SUM(-tanks!AX10*tanks!$AU$37)</f>
        <v>393.67393548387685</v>
      </c>
      <c r="R8" s="305">
        <f t="shared" si="10"/>
        <v>915.72982345144646</v>
      </c>
      <c r="S8" s="307">
        <f>SUM(ELEC!N7)</f>
        <v>10761</v>
      </c>
      <c r="T8" s="344">
        <f>IF(S8&gt;0,R8/S8,0)</f>
        <v>8.5097093527687614E-2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7" t="str">
        <f>'[6]EDl log'!AB25</f>
        <v>Total cost LL</v>
      </c>
      <c r="AC8" s="257" t="s">
        <v>212</v>
      </c>
    </row>
    <row r="9" spans="1:30">
      <c r="A9" s="163">
        <f>ELEC!C8</f>
        <v>44080</v>
      </c>
      <c r="B9" s="604">
        <v>374341</v>
      </c>
      <c r="C9" s="270">
        <f t="shared" si="0"/>
        <v>3342</v>
      </c>
      <c r="D9" s="316">
        <f t="shared" si="8"/>
        <v>3341</v>
      </c>
      <c r="E9" s="316">
        <f t="shared" si="11"/>
        <v>374340</v>
      </c>
      <c r="F9" s="603">
        <v>50850</v>
      </c>
      <c r="G9" s="160">
        <f t="shared" si="1"/>
        <v>403</v>
      </c>
      <c r="H9" s="603">
        <v>193705</v>
      </c>
      <c r="I9" s="161">
        <f t="shared" si="2"/>
        <v>1571</v>
      </c>
      <c r="J9" s="602">
        <v>129784</v>
      </c>
      <c r="K9" s="162">
        <f>J9-J8</f>
        <v>1367</v>
      </c>
      <c r="L9" s="304">
        <f t="shared" si="4"/>
        <v>85.545605306799331</v>
      </c>
      <c r="M9" s="304">
        <f t="shared" si="5"/>
        <v>116.71774461028193</v>
      </c>
      <c r="N9" s="304">
        <f t="shared" si="6"/>
        <v>72.543946932006634</v>
      </c>
      <c r="O9" s="304">
        <f t="shared" si="7"/>
        <v>117.30630256126773</v>
      </c>
      <c r="P9" s="305">
        <f t="shared" si="9"/>
        <v>392.11359941035562</v>
      </c>
      <c r="Q9" s="305">
        <f>SUM(-tanks!AX11*tanks!$AU$37)</f>
        <v>790.22903225805453</v>
      </c>
      <c r="R9" s="305">
        <f>SUM(P9:Q9)</f>
        <v>1182.3426316684101</v>
      </c>
      <c r="S9" s="307">
        <f>SUM(ELEC!N8)</f>
        <v>10340</v>
      </c>
      <c r="T9" s="344">
        <f t="shared" si="12"/>
        <v>0.11434648275323116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8">
        <f>'[1]EDl log'!Y26</f>
        <v>80</v>
      </c>
      <c r="Z9" s="598">
        <f>'[1]EDl log'!Z26</f>
        <v>1</v>
      </c>
      <c r="AA9" s="598">
        <f>'[1]EDl log'!AA26</f>
        <v>43562</v>
      </c>
      <c r="AB9" s="598">
        <f>'[1]EDl log'!AB26</f>
        <v>3484960</v>
      </c>
      <c r="AC9" s="598">
        <f>'[1]EDl log'!AC26</f>
        <v>1033333</v>
      </c>
      <c r="AD9" s="520">
        <f>'[1]EDl log'!AD26</f>
        <v>0.30405952480665605</v>
      </c>
    </row>
    <row r="10" spans="1:30" ht="15.75" thickBot="1">
      <c r="A10" s="163">
        <f>ELEC!C9</f>
        <v>44081</v>
      </c>
      <c r="B10" s="604">
        <v>378579</v>
      </c>
      <c r="C10" s="270">
        <f t="shared" si="0"/>
        <v>4238</v>
      </c>
      <c r="D10" s="316">
        <f t="shared" si="8"/>
        <v>4239</v>
      </c>
      <c r="E10" s="316">
        <f t="shared" si="11"/>
        <v>378580</v>
      </c>
      <c r="F10" s="604">
        <v>51353</v>
      </c>
      <c r="G10" s="160">
        <f t="shared" si="1"/>
        <v>503</v>
      </c>
      <c r="H10" s="604">
        <v>195949</v>
      </c>
      <c r="I10" s="161">
        <f t="shared" si="2"/>
        <v>2244</v>
      </c>
      <c r="J10" s="602">
        <v>131276</v>
      </c>
      <c r="K10" s="162">
        <f t="shared" si="3"/>
        <v>1492</v>
      </c>
      <c r="L10" s="304">
        <f t="shared" si="4"/>
        <v>106.77280265339967</v>
      </c>
      <c r="M10" s="304">
        <f t="shared" si="5"/>
        <v>166.71840796019902</v>
      </c>
      <c r="N10" s="304">
        <f t="shared" si="6"/>
        <v>79.177446102819232</v>
      </c>
      <c r="O10" s="304">
        <f t="shared" si="7"/>
        <v>117.30630256126773</v>
      </c>
      <c r="P10" s="305">
        <f t="shared" si="9"/>
        <v>469.97495927768563</v>
      </c>
      <c r="Q10" s="305">
        <f>SUM(-tanks!AX12*tanks!$AU$37)</f>
        <v>700.22322580646016</v>
      </c>
      <c r="R10" s="305">
        <f t="shared" si="10"/>
        <v>1170.1981850841457</v>
      </c>
      <c r="S10" s="307">
        <f>SUM(ELEC!N9)</f>
        <v>12789</v>
      </c>
      <c r="T10" s="344">
        <f t="shared" si="12"/>
        <v>9.1500366337019759E-2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8">
        <f>'[1]EDl log'!Y27</f>
        <v>112</v>
      </c>
      <c r="Z10" s="598">
        <f>'[1]EDl log'!Z27</f>
        <v>1</v>
      </c>
      <c r="AA10" s="598">
        <f>'[1]EDl log'!AA27</f>
        <v>82247</v>
      </c>
      <c r="AB10" s="598">
        <f>'[1]EDl log'!AB27</f>
        <v>9211664</v>
      </c>
      <c r="AC10" s="598">
        <f>'[1]EDl log'!AC27</f>
        <v>6200000</v>
      </c>
      <c r="AD10" s="520">
        <f>'[1]EDl log'!AD27</f>
        <v>0.57407795181059262</v>
      </c>
    </row>
    <row r="11" spans="1:30">
      <c r="A11" s="163">
        <f>ELEC!C10</f>
        <v>44082</v>
      </c>
      <c r="B11" s="566">
        <v>380755</v>
      </c>
      <c r="C11" s="270">
        <f t="shared" si="0"/>
        <v>2176</v>
      </c>
      <c r="D11" s="316">
        <f>SUM(G11+I11+K11)</f>
        <v>2011</v>
      </c>
      <c r="E11" s="316">
        <f t="shared" si="11"/>
        <v>380590</v>
      </c>
      <c r="F11" s="566">
        <v>51578</v>
      </c>
      <c r="G11" s="160">
        <f t="shared" si="1"/>
        <v>225</v>
      </c>
      <c r="H11" s="566">
        <v>197735</v>
      </c>
      <c r="I11" s="161">
        <f t="shared" si="2"/>
        <v>1786</v>
      </c>
      <c r="J11" s="566">
        <f t="shared" ref="J11:J33" si="13">J10</f>
        <v>131276</v>
      </c>
      <c r="K11" s="162">
        <f t="shared" si="3"/>
        <v>0</v>
      </c>
      <c r="L11" s="304">
        <f t="shared" si="4"/>
        <v>47.761194029850749</v>
      </c>
      <c r="M11" s="304">
        <f t="shared" si="5"/>
        <v>132.69121061359868</v>
      </c>
      <c r="N11" s="304">
        <f t="shared" si="6"/>
        <v>0</v>
      </c>
      <c r="O11" s="304">
        <f t="shared" si="7"/>
        <v>117.30630256126773</v>
      </c>
      <c r="P11" s="305">
        <f t="shared" si="9"/>
        <v>297.75870720471715</v>
      </c>
      <c r="Q11" s="305">
        <f>SUM(-tanks!AX13*tanks!$AU$37)</f>
        <v>1592.6969032258044</v>
      </c>
      <c r="R11" s="305">
        <f t="shared" si="10"/>
        <v>1890.4556104305216</v>
      </c>
      <c r="S11" s="307">
        <f>SUM(ELEC!N10)</f>
        <v>12367</v>
      </c>
      <c r="T11" s="344">
        <f t="shared" si="12"/>
        <v>0.15286291019895865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8">
        <f>'[1]EDl log'!Y28</f>
        <v>320</v>
      </c>
      <c r="Z11" s="598">
        <f>'[1]EDl log'!Z28</f>
        <v>1</v>
      </c>
      <c r="AA11" s="598">
        <f>'[1]EDl log'!AA28</f>
        <v>17459</v>
      </c>
      <c r="AB11" s="598">
        <f>'[1]EDl log'!AB28</f>
        <v>5586880</v>
      </c>
      <c r="AC11" s="598">
        <f>'[1]EDl log'!AC28</f>
        <v>1000</v>
      </c>
      <c r="AD11" s="520">
        <f>'[1]EDl log'!AD28</f>
        <v>0.12186252338275121</v>
      </c>
    </row>
    <row r="12" spans="1:30">
      <c r="A12" s="163">
        <f>ELEC!C11</f>
        <v>44083</v>
      </c>
      <c r="B12" s="606">
        <v>385691</v>
      </c>
      <c r="C12" s="270">
        <f t="shared" si="0"/>
        <v>4936</v>
      </c>
      <c r="D12" s="316">
        <f t="shared" si="8"/>
        <v>5101</v>
      </c>
      <c r="E12" s="316">
        <f t="shared" si="11"/>
        <v>385856</v>
      </c>
      <c r="F12" s="607">
        <v>52136</v>
      </c>
      <c r="G12" s="160">
        <f t="shared" si="1"/>
        <v>558</v>
      </c>
      <c r="H12" s="606">
        <v>200295</v>
      </c>
      <c r="I12" s="161">
        <f t="shared" si="2"/>
        <v>2560</v>
      </c>
      <c r="J12" s="602">
        <v>133259</v>
      </c>
      <c r="K12" s="162">
        <f t="shared" si="3"/>
        <v>1983</v>
      </c>
      <c r="L12" s="304">
        <f t="shared" si="4"/>
        <v>118.44776119402985</v>
      </c>
      <c r="M12" s="304">
        <f t="shared" si="5"/>
        <v>190.19568822553896</v>
      </c>
      <c r="N12" s="304">
        <f t="shared" si="6"/>
        <v>105.23383084577114</v>
      </c>
      <c r="O12" s="304">
        <f t="shared" si="7"/>
        <v>117.30630256126773</v>
      </c>
      <c r="P12" s="305">
        <f t="shared" si="9"/>
        <v>531.18358282660768</v>
      </c>
      <c r="Q12" s="305">
        <f>SUM(-tanks!AX14*tanks!$AU$37)</f>
        <v>522.37858064516649</v>
      </c>
      <c r="R12" s="305">
        <f t="shared" si="10"/>
        <v>1053.5621634717741</v>
      </c>
      <c r="S12" s="307">
        <f>SUM(ELEC!N11)</f>
        <v>11724</v>
      </c>
      <c r="T12" s="344">
        <f t="shared" si="12"/>
        <v>8.9863712339796495E-2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0"/>
    </row>
    <row r="13" spans="1:30">
      <c r="A13" s="163">
        <f>ELEC!C12</f>
        <v>44084</v>
      </c>
      <c r="B13" s="608">
        <v>390433</v>
      </c>
      <c r="C13" s="270">
        <f t="shared" si="0"/>
        <v>4742</v>
      </c>
      <c r="D13" s="316">
        <f t="shared" si="8"/>
        <v>4742</v>
      </c>
      <c r="E13" s="316">
        <f t="shared" si="11"/>
        <v>390433</v>
      </c>
      <c r="F13" s="608">
        <v>52621</v>
      </c>
      <c r="G13" s="160">
        <f t="shared" si="1"/>
        <v>485</v>
      </c>
      <c r="H13" s="608">
        <v>202894</v>
      </c>
      <c r="I13" s="161">
        <f t="shared" si="2"/>
        <v>2599</v>
      </c>
      <c r="J13" s="602">
        <v>134917</v>
      </c>
      <c r="K13" s="162">
        <f t="shared" si="3"/>
        <v>1658</v>
      </c>
      <c r="L13" s="304">
        <f t="shared" si="4"/>
        <v>102.95190713101161</v>
      </c>
      <c r="M13" s="304">
        <f t="shared" si="5"/>
        <v>193.0932006633499</v>
      </c>
      <c r="N13" s="304">
        <f t="shared" si="6"/>
        <v>87.986733001658379</v>
      </c>
      <c r="O13" s="304">
        <f t="shared" si="7"/>
        <v>117.30630256126773</v>
      </c>
      <c r="P13" s="305">
        <f t="shared" si="9"/>
        <v>501.33814335728761</v>
      </c>
      <c r="Q13" s="305">
        <f>SUM(-tanks!AX15*tanks!$AU$37)</f>
        <v>-270.29612903226518</v>
      </c>
      <c r="R13" s="305">
        <f t="shared" si="10"/>
        <v>231.04201432502242</v>
      </c>
      <c r="S13" s="307">
        <f>SUM(ELEC!N12)</f>
        <v>11004</v>
      </c>
      <c r="T13" s="344">
        <f t="shared" si="12"/>
        <v>2.0996184507908255E-2</v>
      </c>
      <c r="V13" s="270" t="str">
        <f>'[5]EDl log'!V30</f>
        <v>Occ %</v>
      </c>
      <c r="W13" s="520">
        <f>'[1]EDl log'!W30</f>
        <v>3.4203333333333336E-2</v>
      </c>
      <c r="X13" s="520"/>
      <c r="Y13" s="270" t="str">
        <f>'[2]EDl log'!Y30</f>
        <v>Per G</v>
      </c>
      <c r="Z13" s="3"/>
      <c r="AA13" s="3"/>
      <c r="AB13" s="573">
        <f>'[1]EDl log'!AB30</f>
        <v>18283504</v>
      </c>
      <c r="AC13" s="573">
        <f>'[1]EDl log'!AC30</f>
        <v>7234333</v>
      </c>
    </row>
    <row r="14" spans="1:30" ht="15.75" thickBot="1">
      <c r="A14" s="572">
        <f>ELEC!C13</f>
        <v>44085</v>
      </c>
      <c r="B14" s="609">
        <v>394419</v>
      </c>
      <c r="C14" s="270">
        <f t="shared" si="0"/>
        <v>3986</v>
      </c>
      <c r="D14" s="316">
        <f t="shared" si="8"/>
        <v>3986</v>
      </c>
      <c r="E14" s="316">
        <f t="shared" si="11"/>
        <v>394419</v>
      </c>
      <c r="F14" s="609">
        <v>53212</v>
      </c>
      <c r="G14" s="160">
        <f t="shared" si="1"/>
        <v>591</v>
      </c>
      <c r="H14" s="609">
        <v>204953</v>
      </c>
      <c r="I14" s="161">
        <f t="shared" si="2"/>
        <v>2059</v>
      </c>
      <c r="J14" s="602">
        <v>136253</v>
      </c>
      <c r="K14" s="162">
        <f t="shared" ref="K14:K17" si="14">J14-J13</f>
        <v>1336</v>
      </c>
      <c r="L14" s="304">
        <f t="shared" ref="L14:L17" si="15">SUM(G14*$Y$28)/1507.5</f>
        <v>125.45273631840796</v>
      </c>
      <c r="M14" s="304">
        <f t="shared" ref="M14:M17" si="16">SUM(I14*$Y$27)/1507.5</f>
        <v>152.9737976782753</v>
      </c>
      <c r="N14" s="304">
        <f t="shared" ref="N14:N17" si="17">SUM(K14*$Y$26)/1507.5</f>
        <v>70.898839137645112</v>
      </c>
      <c r="O14" s="304">
        <f t="shared" si="7"/>
        <v>117.30630256126773</v>
      </c>
      <c r="P14" s="305">
        <f t="shared" ref="P14:P17" si="18">SUM(L14:O14)</f>
        <v>466.63167569559607</v>
      </c>
      <c r="Q14" s="305">
        <f>SUM(-tanks!AX16*tanks!$AU$37)</f>
        <v>624.62322580644832</v>
      </c>
      <c r="R14" s="305">
        <f t="shared" ref="R14:R17" si="19">SUM(P14:Q14)</f>
        <v>1091.2549015020445</v>
      </c>
      <c r="S14" s="307">
        <f>SUM(ELEC!N13)</f>
        <v>11016</v>
      </c>
      <c r="T14" s="344">
        <f t="shared" ref="T14:T17" si="20">IF(S14&gt;0,R14/S14,0)</f>
        <v>9.9060902460243697E-2</v>
      </c>
      <c r="V14" s="270" t="str">
        <f>'[5]EDl log'!V31</f>
        <v>Gen RH</v>
      </c>
      <c r="W14" s="599">
        <f>'[1]EDl log'!W31</f>
        <v>167</v>
      </c>
      <c r="X14" s="270">
        <f>'[1]EDl log'!$X$31</f>
        <v>5.387096774193548</v>
      </c>
      <c r="Y14" s="598">
        <f>'[1]EDl log'!$Y$31</f>
        <v>2.693548387096774</v>
      </c>
      <c r="Z14" s="270"/>
      <c r="AA14" s="3"/>
      <c r="AB14" s="573">
        <f>'[1]EDl log'!AB31</f>
        <v>25517837</v>
      </c>
      <c r="AC14" s="573">
        <f>'[1]EDl log'!AC31</f>
        <v>7234333</v>
      </c>
    </row>
    <row r="15" spans="1:30" ht="15.75" thickBot="1">
      <c r="A15" s="163">
        <f>ELEC!C14</f>
        <v>44086</v>
      </c>
      <c r="B15" s="566">
        <v>398754</v>
      </c>
      <c r="C15" s="270">
        <f t="shared" si="0"/>
        <v>4335</v>
      </c>
      <c r="D15" s="316">
        <f t="shared" si="8"/>
        <v>4336</v>
      </c>
      <c r="E15" s="316">
        <f t="shared" si="11"/>
        <v>398755</v>
      </c>
      <c r="F15" s="566">
        <v>53968</v>
      </c>
      <c r="G15" s="160">
        <f t="shared" si="1"/>
        <v>756</v>
      </c>
      <c r="H15" s="566">
        <v>206526</v>
      </c>
      <c r="I15" s="161">
        <f t="shared" si="2"/>
        <v>1573</v>
      </c>
      <c r="J15" s="566">
        <v>138260</v>
      </c>
      <c r="K15" s="162">
        <f t="shared" si="14"/>
        <v>2007</v>
      </c>
      <c r="L15" s="304">
        <f t="shared" si="15"/>
        <v>160.47761194029852</v>
      </c>
      <c r="M15" s="304">
        <f t="shared" si="16"/>
        <v>116.86633499170813</v>
      </c>
      <c r="N15" s="304">
        <f t="shared" si="17"/>
        <v>106.50746268656717</v>
      </c>
      <c r="O15" s="304">
        <f t="shared" si="7"/>
        <v>117.30630256126773</v>
      </c>
      <c r="P15" s="305">
        <f t="shared" si="18"/>
        <v>501.15771217984155</v>
      </c>
      <c r="Q15" s="305">
        <f>SUM(-tanks!AX17*tanks!$AU$37)</f>
        <v>527.05741935484605</v>
      </c>
      <c r="R15" s="305">
        <f t="shared" si="19"/>
        <v>1028.2151315346875</v>
      </c>
      <c r="S15" s="307">
        <f>SUM(ELEC!N14)</f>
        <v>10368</v>
      </c>
      <c r="T15" s="344">
        <f t="shared" si="20"/>
        <v>9.9171984137219088E-2</v>
      </c>
      <c r="V15" s="270" t="str">
        <f>'[5]EDl log'!V32</f>
        <v>H Deg</v>
      </c>
      <c r="W15" s="599">
        <f>'[1]EDl log'!W32</f>
        <v>0</v>
      </c>
      <c r="X15" s="573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6">
        <v>402256</v>
      </c>
      <c r="C16" s="270">
        <f t="shared" si="0"/>
        <v>3502</v>
      </c>
      <c r="D16" s="316">
        <f t="shared" si="8"/>
        <v>3502</v>
      </c>
      <c r="E16" s="316">
        <f t="shared" si="11"/>
        <v>402256</v>
      </c>
      <c r="F16" s="566">
        <v>54547</v>
      </c>
      <c r="G16" s="160">
        <f t="shared" si="1"/>
        <v>579</v>
      </c>
      <c r="H16" s="566">
        <v>207866</v>
      </c>
      <c r="I16" s="161">
        <f t="shared" si="2"/>
        <v>1340</v>
      </c>
      <c r="J16" s="566">
        <v>139843</v>
      </c>
      <c r="K16" s="162">
        <f t="shared" si="14"/>
        <v>1583</v>
      </c>
      <c r="L16" s="304">
        <f t="shared" si="15"/>
        <v>122.90547263681592</v>
      </c>
      <c r="M16" s="304">
        <f t="shared" si="16"/>
        <v>99.555555555555557</v>
      </c>
      <c r="N16" s="304">
        <f t="shared" si="17"/>
        <v>84.006633499170817</v>
      </c>
      <c r="O16" s="304">
        <f t="shared" si="7"/>
        <v>117.30630256126773</v>
      </c>
      <c r="P16" s="305">
        <f t="shared" si="18"/>
        <v>423.77396425281</v>
      </c>
      <c r="Q16" s="305">
        <f>SUM(-tanks!AX18*tanks!$AU$37)</f>
        <v>459.01741935483824</v>
      </c>
      <c r="R16" s="305">
        <f t="shared" si="19"/>
        <v>882.79138360764819</v>
      </c>
      <c r="S16" s="307">
        <f>SUM(ELEC!N15)</f>
        <v>9041</v>
      </c>
      <c r="T16" s="344">
        <f t="shared" si="20"/>
        <v>9.7643112886588668E-2</v>
      </c>
      <c r="V16" s="270" t="str">
        <f>'[5]EDl log'!V33</f>
        <v>C Deg</v>
      </c>
      <c r="W16" s="599">
        <f>'[1]EDl log'!W33</f>
        <v>307.69999999999982</v>
      </c>
      <c r="X16" s="573">
        <f>'[7]EDl log'!X16</f>
        <v>0</v>
      </c>
      <c r="Y16" s="573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6">
        <v>405983</v>
      </c>
      <c r="C17" s="270">
        <f t="shared" si="0"/>
        <v>3727</v>
      </c>
      <c r="D17" s="316">
        <f t="shared" si="8"/>
        <v>3727</v>
      </c>
      <c r="E17" s="316">
        <f t="shared" si="11"/>
        <v>405983</v>
      </c>
      <c r="F17" s="566">
        <v>54899</v>
      </c>
      <c r="G17" s="160">
        <f t="shared" si="1"/>
        <v>352</v>
      </c>
      <c r="H17" s="566">
        <v>210046</v>
      </c>
      <c r="I17" s="161">
        <f t="shared" si="2"/>
        <v>2180</v>
      </c>
      <c r="J17" s="566">
        <v>141038</v>
      </c>
      <c r="K17" s="162">
        <f t="shared" si="14"/>
        <v>1195</v>
      </c>
      <c r="L17" s="304">
        <f t="shared" si="15"/>
        <v>74.719734660033168</v>
      </c>
      <c r="M17" s="304">
        <f t="shared" si="16"/>
        <v>161.96351575456052</v>
      </c>
      <c r="N17" s="304">
        <f t="shared" si="17"/>
        <v>63.41625207296849</v>
      </c>
      <c r="O17" s="304">
        <f t="shared" si="7"/>
        <v>117.30630256126773</v>
      </c>
      <c r="P17" s="305">
        <f t="shared" si="18"/>
        <v>417.4058050488299</v>
      </c>
      <c r="Q17" s="305">
        <f>SUM(-tanks!AX19*tanks!$AU$37)</f>
        <v>287.64929032257936</v>
      </c>
      <c r="R17" s="305">
        <f t="shared" si="19"/>
        <v>705.05509537140927</v>
      </c>
      <c r="S17" s="307">
        <f>SUM(ELEC!N16)</f>
        <v>9105</v>
      </c>
      <c r="T17" s="344">
        <f t="shared" si="20"/>
        <v>7.7436034637167403E-2</v>
      </c>
      <c r="V17" s="258"/>
      <c r="W17" s="520"/>
      <c r="X17" s="17"/>
      <c r="Y17" s="443"/>
      <c r="Z17" s="520"/>
      <c r="AA17" s="520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6">
        <v>409717</v>
      </c>
      <c r="C18" s="270">
        <f t="shared" si="0"/>
        <v>3734</v>
      </c>
      <c r="D18" s="316">
        <f t="shared" si="8"/>
        <v>3734</v>
      </c>
      <c r="E18" s="316">
        <f t="shared" si="11"/>
        <v>409717</v>
      </c>
      <c r="F18" s="566">
        <v>55251</v>
      </c>
      <c r="G18" s="160">
        <f t="shared" si="1"/>
        <v>352</v>
      </c>
      <c r="H18" s="566">
        <v>211742</v>
      </c>
      <c r="I18" s="161">
        <f t="shared" si="2"/>
        <v>1696</v>
      </c>
      <c r="J18" s="566">
        <v>142724</v>
      </c>
      <c r="K18" s="162">
        <f t="shared" si="3"/>
        <v>1686</v>
      </c>
      <c r="L18" s="304">
        <f t="shared" ref="L18:L33" si="21">SUM(G18*$Y$28)/1507.5</f>
        <v>74.719734660033168</v>
      </c>
      <c r="M18" s="304">
        <f t="shared" ref="M18:M33" si="22">SUM(I18*$Y$27)/1507.5</f>
        <v>126.00464344941958</v>
      </c>
      <c r="N18" s="304">
        <f t="shared" ref="N18:N33" si="23">SUM(K18*$Y$26)/1507.5</f>
        <v>89.472636815920396</v>
      </c>
      <c r="O18" s="304">
        <f t="shared" si="7"/>
        <v>117.30630256126773</v>
      </c>
      <c r="P18" s="305">
        <f t="shared" si="9"/>
        <v>407.50331748664087</v>
      </c>
      <c r="Q18" s="305">
        <f>SUM(-tanks!AX20*tanks!$AU$37)</f>
        <v>675.74554838708923</v>
      </c>
      <c r="R18" s="305">
        <f t="shared" si="10"/>
        <v>1083.2488658737302</v>
      </c>
      <c r="S18" s="307">
        <f>SUM(ELEC!N17)</f>
        <v>10455</v>
      </c>
      <c r="T18" s="344">
        <f t="shared" si="12"/>
        <v>0.10361060410078721</v>
      </c>
      <c r="V18" s="232"/>
      <c r="W18" s="233"/>
      <c r="X18" s="233"/>
      <c r="Y18" s="443"/>
      <c r="Z18" s="520" t="str">
        <f>'[5]EDl log'!Z35</f>
        <v xml:space="preserve">VAT </v>
      </c>
      <c r="AA18" s="520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613">
        <v>413752</v>
      </c>
      <c r="C19" s="270">
        <f t="shared" si="0"/>
        <v>4035</v>
      </c>
      <c r="D19" s="316">
        <f t="shared" si="8"/>
        <v>4035</v>
      </c>
      <c r="E19" s="316">
        <f t="shared" si="11"/>
        <v>413752</v>
      </c>
      <c r="F19" s="613">
        <v>55594</v>
      </c>
      <c r="G19" s="160">
        <f t="shared" si="1"/>
        <v>343</v>
      </c>
      <c r="H19" s="613">
        <v>214014</v>
      </c>
      <c r="I19" s="161">
        <f t="shared" si="2"/>
        <v>2272</v>
      </c>
      <c r="J19" s="602">
        <v>144144</v>
      </c>
      <c r="K19" s="162">
        <f t="shared" si="3"/>
        <v>1420</v>
      </c>
      <c r="L19" s="304">
        <f t="shared" si="21"/>
        <v>72.809286898839133</v>
      </c>
      <c r="M19" s="304">
        <f t="shared" si="22"/>
        <v>168.79867330016583</v>
      </c>
      <c r="N19" s="304">
        <f t="shared" si="23"/>
        <v>75.356550580431175</v>
      </c>
      <c r="O19" s="304">
        <f t="shared" si="7"/>
        <v>117.30630256126773</v>
      </c>
      <c r="P19" s="305">
        <f t="shared" si="9"/>
        <v>434.27081334070385</v>
      </c>
      <c r="Q19" s="305">
        <f>SUM(-tanks!AX21*tanks!$AU$37)</f>
        <v>468.37509677420519</v>
      </c>
      <c r="R19" s="305">
        <f t="shared" si="10"/>
        <v>902.64591011490904</v>
      </c>
      <c r="S19" s="307">
        <f>SUM(ELEC!N18)</f>
        <v>10163</v>
      </c>
      <c r="T19" s="344">
        <f t="shared" si="12"/>
        <v>8.8816875933770439E-2</v>
      </c>
      <c r="V19" s="232"/>
      <c r="W19" s="233"/>
      <c r="X19" s="233"/>
      <c r="Y19" s="443"/>
      <c r="Z19" s="443"/>
      <c r="AA19" s="270"/>
      <c r="AB19" s="598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614">
        <v>417649</v>
      </c>
      <c r="C20" s="270">
        <f t="shared" si="0"/>
        <v>3897</v>
      </c>
      <c r="D20" s="316">
        <f t="shared" si="8"/>
        <v>3896</v>
      </c>
      <c r="E20" s="316">
        <f t="shared" si="11"/>
        <v>417648</v>
      </c>
      <c r="F20" s="614">
        <v>56195</v>
      </c>
      <c r="G20" s="160">
        <f t="shared" si="1"/>
        <v>601</v>
      </c>
      <c r="H20" s="614">
        <v>215940</v>
      </c>
      <c r="I20" s="161">
        <f t="shared" si="2"/>
        <v>1926</v>
      </c>
      <c r="J20" s="602">
        <v>145513</v>
      </c>
      <c r="K20" s="162">
        <f t="shared" si="3"/>
        <v>1369</v>
      </c>
      <c r="L20" s="304">
        <f t="shared" si="21"/>
        <v>127.575456053068</v>
      </c>
      <c r="M20" s="304">
        <f t="shared" si="22"/>
        <v>143.09253731343284</v>
      </c>
      <c r="N20" s="304">
        <f t="shared" si="23"/>
        <v>72.650082918739642</v>
      </c>
      <c r="O20" s="304">
        <f t="shared" si="7"/>
        <v>117.30630256126773</v>
      </c>
      <c r="P20" s="305">
        <f t="shared" si="9"/>
        <v>460.62437884650819</v>
      </c>
      <c r="Q20" s="305">
        <f>SUM(-tanks!AX22*tanks!$AU$37)</f>
        <v>231.8481290322589</v>
      </c>
      <c r="R20" s="305">
        <f t="shared" si="10"/>
        <v>692.47250787876715</v>
      </c>
      <c r="S20" s="307">
        <f>SUM(ELEC!N19)</f>
        <v>9226</v>
      </c>
      <c r="T20" s="344">
        <f t="shared" si="12"/>
        <v>7.505663428124508E-2</v>
      </c>
      <c r="V20" t="s">
        <v>414</v>
      </c>
      <c r="AB20" s="270"/>
    </row>
    <row r="21" spans="1:32">
      <c r="A21" s="163">
        <f>ELEC!C20</f>
        <v>44092</v>
      </c>
      <c r="B21" s="566">
        <v>421904</v>
      </c>
      <c r="C21" s="270">
        <f t="shared" si="0"/>
        <v>4255</v>
      </c>
      <c r="D21" s="316">
        <f t="shared" si="8"/>
        <v>4256</v>
      </c>
      <c r="E21" s="316">
        <f t="shared" si="11"/>
        <v>421905</v>
      </c>
      <c r="F21" s="566">
        <v>56746</v>
      </c>
      <c r="G21" s="160">
        <f t="shared" si="1"/>
        <v>551</v>
      </c>
      <c r="H21" s="566">
        <v>218078</v>
      </c>
      <c r="I21" s="161">
        <f t="shared" si="2"/>
        <v>2138</v>
      </c>
      <c r="J21" s="566">
        <v>147080</v>
      </c>
      <c r="K21" s="162">
        <f t="shared" si="3"/>
        <v>1567</v>
      </c>
      <c r="L21" s="304">
        <f t="shared" si="21"/>
        <v>116.96185737976782</v>
      </c>
      <c r="M21" s="304">
        <f t="shared" si="22"/>
        <v>158.84311774461028</v>
      </c>
      <c r="N21" s="304">
        <f t="shared" si="23"/>
        <v>83.157545605306794</v>
      </c>
      <c r="O21" s="304">
        <f t="shared" si="7"/>
        <v>117.30630256126773</v>
      </c>
      <c r="P21" s="305">
        <f t="shared" si="9"/>
        <v>476.26882329095258</v>
      </c>
      <c r="Q21" s="305">
        <f>SUM(-tanks!AX23*tanks!$AU$37)</f>
        <v>327.43161290322024</v>
      </c>
      <c r="R21" s="305">
        <f t="shared" si="10"/>
        <v>803.70043619417288</v>
      </c>
      <c r="S21" s="307">
        <f>SUM(ELEC!N20)</f>
        <v>9673</v>
      </c>
      <c r="T21" s="344">
        <f t="shared" si="12"/>
        <v>8.3086988131311157E-2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69"/>
      <c r="AC21" s="670"/>
    </row>
    <row r="22" spans="1:32" ht="15.75" thickBot="1">
      <c r="A22" s="163">
        <f>ELEC!C21</f>
        <v>44093</v>
      </c>
      <c r="B22" s="615">
        <v>425009</v>
      </c>
      <c r="C22" s="270">
        <f t="shared" si="0"/>
        <v>3105</v>
      </c>
      <c r="D22" s="316">
        <f t="shared" si="8"/>
        <v>3105</v>
      </c>
      <c r="E22" s="316">
        <f t="shared" si="11"/>
        <v>425009</v>
      </c>
      <c r="F22" s="615">
        <v>57380</v>
      </c>
      <c r="G22" s="160">
        <f t="shared" si="1"/>
        <v>634</v>
      </c>
      <c r="H22" s="615">
        <v>219493</v>
      </c>
      <c r="I22" s="161">
        <f t="shared" si="2"/>
        <v>1415</v>
      </c>
      <c r="J22" s="602">
        <v>148136</v>
      </c>
      <c r="K22" s="162">
        <f t="shared" si="3"/>
        <v>1056</v>
      </c>
      <c r="L22" s="304">
        <f t="shared" si="21"/>
        <v>134.58043117744612</v>
      </c>
      <c r="M22" s="304">
        <f t="shared" si="22"/>
        <v>105.12769485903814</v>
      </c>
      <c r="N22" s="304">
        <f t="shared" si="23"/>
        <v>56.039800995024876</v>
      </c>
      <c r="O22" s="304">
        <f t="shared" si="7"/>
        <v>117.30630256126773</v>
      </c>
      <c r="P22" s="305">
        <f t="shared" si="9"/>
        <v>413.05422959277684</v>
      </c>
      <c r="Q22" s="305">
        <f>SUM(-tanks!AX24*tanks!$AU$37)</f>
        <v>500.59741935483822</v>
      </c>
      <c r="R22" s="305">
        <f t="shared" si="10"/>
        <v>913.65164894761506</v>
      </c>
      <c r="S22" s="307">
        <f>SUM(ELEC!N21)</f>
        <v>7867</v>
      </c>
      <c r="T22" s="344">
        <f t="shared" si="12"/>
        <v>0.11613723769513348</v>
      </c>
      <c r="V22" s="675"/>
      <c r="W22" s="676"/>
      <c r="X22" s="676"/>
      <c r="Y22" s="677"/>
      <c r="Z22" s="26" t="s">
        <v>203</v>
      </c>
      <c r="AA22" s="26">
        <v>5000</v>
      </c>
      <c r="AB22" s="671"/>
      <c r="AC22" s="672"/>
    </row>
    <row r="23" spans="1:32">
      <c r="A23" s="163">
        <f>ELEC!C22</f>
        <v>44094</v>
      </c>
      <c r="B23" s="566">
        <v>428590</v>
      </c>
      <c r="C23" s="270">
        <f t="shared" si="0"/>
        <v>3581</v>
      </c>
      <c r="D23" s="316">
        <f t="shared" si="8"/>
        <v>3579</v>
      </c>
      <c r="E23" s="316">
        <f t="shared" si="11"/>
        <v>428588</v>
      </c>
      <c r="F23" s="566">
        <v>58002</v>
      </c>
      <c r="G23" s="160">
        <f t="shared" si="1"/>
        <v>622</v>
      </c>
      <c r="H23" s="566">
        <v>221174</v>
      </c>
      <c r="I23" s="161">
        <f t="shared" si="2"/>
        <v>1681</v>
      </c>
      <c r="J23" s="566">
        <v>149412</v>
      </c>
      <c r="K23" s="162">
        <f t="shared" si="3"/>
        <v>1276</v>
      </c>
      <c r="L23" s="304">
        <f t="shared" si="21"/>
        <v>132.03316749585406</v>
      </c>
      <c r="M23" s="304">
        <f t="shared" si="22"/>
        <v>124.89021558872305</v>
      </c>
      <c r="N23" s="304">
        <f t="shared" si="23"/>
        <v>67.714759535655062</v>
      </c>
      <c r="O23" s="304">
        <f t="shared" si="7"/>
        <v>117.30630256126773</v>
      </c>
      <c r="P23" s="305">
        <f t="shared" si="9"/>
        <v>441.94444518149987</v>
      </c>
      <c r="Q23" s="305">
        <f>SUM(-tanks!AX25*tanks!$AU$37)</f>
        <v>331.21161290322812</v>
      </c>
      <c r="R23" s="305">
        <f t="shared" si="10"/>
        <v>773.15605808472799</v>
      </c>
      <c r="S23" s="307">
        <f>SUM(ELEC!N22)</f>
        <v>8881</v>
      </c>
      <c r="T23" s="344">
        <f t="shared" si="12"/>
        <v>8.7057319905948422E-2</v>
      </c>
      <c r="V23" s="678"/>
      <c r="W23" s="679"/>
      <c r="X23" s="679"/>
      <c r="Y23" s="680"/>
      <c r="Z23" s="681"/>
      <c r="AA23" s="682"/>
      <c r="AB23" s="671"/>
      <c r="AC23" s="672"/>
    </row>
    <row r="24" spans="1:32" ht="15" customHeight="1" thickBot="1">
      <c r="A24" s="163">
        <f>ELEC!C23</f>
        <v>44095</v>
      </c>
      <c r="B24" s="616">
        <v>432268</v>
      </c>
      <c r="C24" s="270">
        <f t="shared" si="0"/>
        <v>3678</v>
      </c>
      <c r="D24" s="316">
        <f t="shared" si="8"/>
        <v>3680</v>
      </c>
      <c r="E24" s="316">
        <f t="shared" si="11"/>
        <v>432270</v>
      </c>
      <c r="F24" s="616">
        <v>58412</v>
      </c>
      <c r="G24" s="160">
        <f t="shared" si="1"/>
        <v>410</v>
      </c>
      <c r="H24" s="616">
        <v>222876</v>
      </c>
      <c r="I24" s="161">
        <f t="shared" si="2"/>
        <v>1702</v>
      </c>
      <c r="J24" s="602">
        <v>150980</v>
      </c>
      <c r="K24" s="162">
        <f t="shared" si="3"/>
        <v>1568</v>
      </c>
      <c r="L24" s="304">
        <f t="shared" si="21"/>
        <v>87.031509121061362</v>
      </c>
      <c r="M24" s="304">
        <f t="shared" si="22"/>
        <v>126.45041459369817</v>
      </c>
      <c r="N24" s="304">
        <f t="shared" si="23"/>
        <v>83.210613598673305</v>
      </c>
      <c r="O24" s="304">
        <f t="shared" si="7"/>
        <v>117.30630256126773</v>
      </c>
      <c r="P24" s="305">
        <f t="shared" si="9"/>
        <v>413.99883987470059</v>
      </c>
      <c r="Q24" s="305">
        <f>SUM(-tanks!AX26*tanks!$AU$37)</f>
        <v>496.81741935483035</v>
      </c>
      <c r="R24" s="305">
        <f t="shared" si="10"/>
        <v>910.81625922953094</v>
      </c>
      <c r="S24" s="307">
        <f>SUM(ELEC!N23)</f>
        <v>9258</v>
      </c>
      <c r="T24" s="344">
        <f t="shared" si="12"/>
        <v>9.8381535885669794E-2</v>
      </c>
      <c r="V24" s="683" t="s">
        <v>204</v>
      </c>
      <c r="W24" s="684"/>
      <c r="X24" s="685" t="s">
        <v>205</v>
      </c>
      <c r="Y24" s="686"/>
      <c r="Z24" s="687"/>
      <c r="AA24" s="170"/>
      <c r="AB24" s="673"/>
      <c r="AC24" s="674"/>
    </row>
    <row r="25" spans="1:32" ht="17.25" customHeight="1" thickBot="1">
      <c r="A25" s="163">
        <f>ELEC!C24</f>
        <v>44096</v>
      </c>
      <c r="B25" s="566">
        <v>435726</v>
      </c>
      <c r="C25" s="270">
        <f t="shared" si="0"/>
        <v>3458</v>
      </c>
      <c r="D25" s="316">
        <f t="shared" si="8"/>
        <v>3456</v>
      </c>
      <c r="E25" s="316">
        <f t="shared" si="11"/>
        <v>435724</v>
      </c>
      <c r="F25" s="566">
        <v>58661</v>
      </c>
      <c r="G25" s="160">
        <f t="shared" si="1"/>
        <v>249</v>
      </c>
      <c r="H25" s="566">
        <v>224635</v>
      </c>
      <c r="I25" s="161">
        <f t="shared" si="2"/>
        <v>1759</v>
      </c>
      <c r="J25" s="566">
        <v>152428</v>
      </c>
      <c r="K25" s="162">
        <f t="shared" si="3"/>
        <v>1448</v>
      </c>
      <c r="L25" s="304">
        <f t="shared" si="21"/>
        <v>52.855721393034827</v>
      </c>
      <c r="M25" s="304">
        <f t="shared" si="22"/>
        <v>130.68524046434493</v>
      </c>
      <c r="N25" s="304">
        <f t="shared" si="23"/>
        <v>76.842454394693206</v>
      </c>
      <c r="O25" s="304">
        <f t="shared" si="7"/>
        <v>117.30630256126773</v>
      </c>
      <c r="P25" s="305">
        <f t="shared" si="9"/>
        <v>377.68971881334068</v>
      </c>
      <c r="Q25" s="305">
        <f>SUM(-tanks!AX27*tanks!$AU$37)</f>
        <v>662.42322580645225</v>
      </c>
      <c r="R25" s="305">
        <f t="shared" si="10"/>
        <v>1040.1129446197929</v>
      </c>
      <c r="S25" s="307">
        <f>SUM(ELEC!N24)</f>
        <v>10688</v>
      </c>
      <c r="T25" s="344">
        <f t="shared" si="12"/>
        <v>9.7315956644815946E-2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6">
        <f t="shared" ref="B26:B33" si="24">B25</f>
        <v>435726</v>
      </c>
      <c r="C26" s="270">
        <f t="shared" si="0"/>
        <v>0</v>
      </c>
      <c r="D26" s="316">
        <f t="shared" si="8"/>
        <v>0</v>
      </c>
      <c r="E26" s="316">
        <f t="shared" si="11"/>
        <v>435726</v>
      </c>
      <c r="F26" s="566">
        <f t="shared" ref="F26:F33" si="25">F25</f>
        <v>58661</v>
      </c>
      <c r="G26" s="160">
        <f t="shared" si="1"/>
        <v>0</v>
      </c>
      <c r="H26" s="566">
        <f t="shared" ref="H26:H33" si="26">H25</f>
        <v>224635</v>
      </c>
      <c r="I26" s="161">
        <f t="shared" si="2"/>
        <v>0</v>
      </c>
      <c r="J26" s="566">
        <f t="shared" si="13"/>
        <v>152428</v>
      </c>
      <c r="K26" s="162">
        <f t="shared" si="3"/>
        <v>0</v>
      </c>
      <c r="L26" s="304">
        <f t="shared" si="21"/>
        <v>0</v>
      </c>
      <c r="M26" s="304">
        <f t="shared" si="22"/>
        <v>0</v>
      </c>
      <c r="N26" s="304">
        <f t="shared" si="23"/>
        <v>0</v>
      </c>
      <c r="O26" s="304">
        <f t="shared" si="7"/>
        <v>117.30630256126773</v>
      </c>
      <c r="P26" s="305">
        <f t="shared" si="9"/>
        <v>117.30630256126773</v>
      </c>
      <c r="Q26" s="305">
        <f>SUM(-tanks!AX28*tanks!$AU$37)</f>
        <v>0</v>
      </c>
      <c r="R26" s="305">
        <f t="shared" si="10"/>
        <v>117.30630256126773</v>
      </c>
      <c r="S26" s="307">
        <f>SUM(ELEC!N25)</f>
        <v>0</v>
      </c>
      <c r="T26" s="344">
        <f t="shared" si="12"/>
        <v>0</v>
      </c>
      <c r="V26" s="259">
        <f>W9</f>
        <v>119653</v>
      </c>
      <c r="W26" s="170">
        <f>J33</f>
        <v>152428</v>
      </c>
      <c r="X26" s="172" t="s">
        <v>199</v>
      </c>
      <c r="Y26" s="172">
        <v>80</v>
      </c>
      <c r="Z26" s="172">
        <v>1</v>
      </c>
      <c r="AA26" s="199">
        <f>(W26-V26)*Z26</f>
        <v>32775</v>
      </c>
      <c r="AB26" s="199">
        <f>AA26*Y26</f>
        <v>2622000</v>
      </c>
      <c r="AC26" s="254">
        <f>AC9</f>
        <v>1033333</v>
      </c>
      <c r="AD26" s="215">
        <f>SUM(K37)</f>
        <v>0.37912965019433648</v>
      </c>
    </row>
    <row r="27" spans="1:32" ht="15.75" thickBot="1">
      <c r="A27" s="163">
        <f>ELEC!C26</f>
        <v>44098</v>
      </c>
      <c r="B27" s="566">
        <f t="shared" si="24"/>
        <v>435726</v>
      </c>
      <c r="C27" s="270">
        <f t="shared" si="0"/>
        <v>0</v>
      </c>
      <c r="D27" s="316">
        <f t="shared" si="8"/>
        <v>0</v>
      </c>
      <c r="E27" s="316">
        <f t="shared" si="11"/>
        <v>435726</v>
      </c>
      <c r="F27" s="566">
        <f t="shared" si="25"/>
        <v>58661</v>
      </c>
      <c r="G27" s="160">
        <f t="shared" si="1"/>
        <v>0</v>
      </c>
      <c r="H27" s="566">
        <f t="shared" si="26"/>
        <v>224635</v>
      </c>
      <c r="I27" s="161">
        <f t="shared" si="2"/>
        <v>0</v>
      </c>
      <c r="J27" s="566">
        <f t="shared" si="13"/>
        <v>152428</v>
      </c>
      <c r="K27" s="162">
        <f t="shared" si="3"/>
        <v>0</v>
      </c>
      <c r="L27" s="304">
        <f t="shared" si="21"/>
        <v>0</v>
      </c>
      <c r="M27" s="304">
        <f t="shared" si="22"/>
        <v>0</v>
      </c>
      <c r="N27" s="304">
        <f t="shared" si="23"/>
        <v>0</v>
      </c>
      <c r="O27" s="304">
        <f t="shared" si="7"/>
        <v>117.30630256126773</v>
      </c>
      <c r="P27" s="305">
        <f t="shared" si="9"/>
        <v>117.30630256126773</v>
      </c>
      <c r="Q27" s="305">
        <f>SUM(-tanks!AX29*tanks!$AU$37)</f>
        <v>0</v>
      </c>
      <c r="R27" s="305">
        <f t="shared" si="10"/>
        <v>117.30630256126773</v>
      </c>
      <c r="S27" s="307">
        <f>SUM(ELEC!N26)</f>
        <v>0</v>
      </c>
      <c r="T27" s="344">
        <f t="shared" si="12"/>
        <v>0</v>
      </c>
      <c r="V27" s="259">
        <f t="shared" ref="V27:V28" si="27">W10</f>
        <v>182116</v>
      </c>
      <c r="W27" s="170">
        <f>H33</f>
        <v>224635</v>
      </c>
      <c r="X27" s="172" t="s">
        <v>213</v>
      </c>
      <c r="Y27" s="172">
        <v>112</v>
      </c>
      <c r="Z27" s="172">
        <v>1</v>
      </c>
      <c r="AA27" s="199">
        <f>(W27-V27)*Z27</f>
        <v>42519</v>
      </c>
      <c r="AB27" s="199">
        <f>SUM(AA27*Y27)</f>
        <v>4762128</v>
      </c>
      <c r="AC27" s="254">
        <f>AC10</f>
        <v>6200000</v>
      </c>
      <c r="AD27" s="215">
        <f>SUM(I37)</f>
        <v>0.4918448084397557</v>
      </c>
    </row>
    <row r="28" spans="1:32" ht="15.75" thickBot="1">
      <c r="A28" s="163">
        <f>ELEC!C27</f>
        <v>44099</v>
      </c>
      <c r="B28" s="566">
        <f t="shared" si="24"/>
        <v>435726</v>
      </c>
      <c r="C28" s="270">
        <f t="shared" si="0"/>
        <v>0</v>
      </c>
      <c r="D28" s="316">
        <f t="shared" si="8"/>
        <v>0</v>
      </c>
      <c r="E28" s="316">
        <f t="shared" si="11"/>
        <v>435726</v>
      </c>
      <c r="F28" s="566">
        <f t="shared" si="25"/>
        <v>58661</v>
      </c>
      <c r="G28" s="160">
        <f t="shared" si="1"/>
        <v>0</v>
      </c>
      <c r="H28" s="566">
        <f t="shared" si="26"/>
        <v>224635</v>
      </c>
      <c r="I28" s="161">
        <f t="shared" si="2"/>
        <v>0</v>
      </c>
      <c r="J28" s="566">
        <f t="shared" si="13"/>
        <v>152428</v>
      </c>
      <c r="K28" s="162">
        <f t="shared" si="3"/>
        <v>0</v>
      </c>
      <c r="L28" s="304">
        <f t="shared" si="21"/>
        <v>0</v>
      </c>
      <c r="M28" s="304">
        <f t="shared" si="22"/>
        <v>0</v>
      </c>
      <c r="N28" s="304">
        <f t="shared" si="23"/>
        <v>0</v>
      </c>
      <c r="O28" s="304">
        <f t="shared" si="7"/>
        <v>117.30630256126773</v>
      </c>
      <c r="P28" s="305">
        <f t="shared" si="9"/>
        <v>117.30630256126773</v>
      </c>
      <c r="Q28" s="305">
        <f>SUM(-tanks!AX30*tanks!$AU$37)</f>
        <v>0</v>
      </c>
      <c r="R28" s="305">
        <f t="shared" si="10"/>
        <v>117.30630256126773</v>
      </c>
      <c r="S28" s="307">
        <f>SUM(ELEC!N27)</f>
        <v>0</v>
      </c>
      <c r="T28" s="344">
        <f t="shared" si="12"/>
        <v>0</v>
      </c>
      <c r="V28" s="259">
        <f t="shared" si="27"/>
        <v>47510</v>
      </c>
      <c r="W28" s="170">
        <f>F33</f>
        <v>58661</v>
      </c>
      <c r="X28" s="172" t="s">
        <v>197</v>
      </c>
      <c r="Y28" s="172">
        <v>320</v>
      </c>
      <c r="Z28" s="172">
        <v>1</v>
      </c>
      <c r="AA28" s="199">
        <f>(W28-V28)*Z28</f>
        <v>11151</v>
      </c>
      <c r="AB28" s="199">
        <f>SUM(AA28*Y28)</f>
        <v>3568320</v>
      </c>
      <c r="AC28" s="254">
        <f>AC11</f>
        <v>1000</v>
      </c>
      <c r="AD28" s="215">
        <f>SUM(G37)</f>
        <v>0.12899083842309828</v>
      </c>
      <c r="AE28" s="40">
        <f>SUM(AB28*5%)</f>
        <v>178416</v>
      </c>
      <c r="AF28" s="82">
        <f>SUM(AE28/7)*31</f>
        <v>790128</v>
      </c>
    </row>
    <row r="29" spans="1:32" ht="15.75" thickBot="1">
      <c r="A29" s="163">
        <f>ELEC!C28</f>
        <v>44100</v>
      </c>
      <c r="B29" s="566">
        <f t="shared" si="24"/>
        <v>435726</v>
      </c>
      <c r="C29" s="270">
        <f t="shared" si="0"/>
        <v>0</v>
      </c>
      <c r="D29" s="316">
        <f t="shared" si="8"/>
        <v>0</v>
      </c>
      <c r="E29" s="316">
        <f t="shared" si="11"/>
        <v>435726</v>
      </c>
      <c r="F29" s="566">
        <f t="shared" si="25"/>
        <v>58661</v>
      </c>
      <c r="G29" s="160">
        <f t="shared" si="1"/>
        <v>0</v>
      </c>
      <c r="H29" s="566">
        <f t="shared" si="26"/>
        <v>224635</v>
      </c>
      <c r="I29" s="161">
        <f t="shared" si="2"/>
        <v>0</v>
      </c>
      <c r="J29" s="566">
        <f t="shared" si="13"/>
        <v>152428</v>
      </c>
      <c r="K29" s="162">
        <f t="shared" si="3"/>
        <v>0</v>
      </c>
      <c r="L29" s="304">
        <f t="shared" si="21"/>
        <v>0</v>
      </c>
      <c r="M29" s="304">
        <f t="shared" si="22"/>
        <v>0</v>
      </c>
      <c r="N29" s="304">
        <f t="shared" si="23"/>
        <v>0</v>
      </c>
      <c r="O29" s="304">
        <f t="shared" si="7"/>
        <v>117.30630256126773</v>
      </c>
      <c r="P29" s="305">
        <f t="shared" si="9"/>
        <v>117.30630256126773</v>
      </c>
      <c r="Q29" s="305">
        <f>SUM(-tanks!AX31*tanks!$AU$37)</f>
        <v>0</v>
      </c>
      <c r="R29" s="305">
        <f t="shared" si="10"/>
        <v>117.30630256126773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86445</v>
      </c>
      <c r="AB29" s="199"/>
      <c r="AC29" s="254"/>
    </row>
    <row r="30" spans="1:32" ht="14.25" customHeight="1" thickBot="1">
      <c r="A30" s="163">
        <f>ELEC!C29</f>
        <v>44101</v>
      </c>
      <c r="B30" s="566">
        <f t="shared" si="24"/>
        <v>435726</v>
      </c>
      <c r="C30" s="270">
        <f t="shared" si="0"/>
        <v>0</v>
      </c>
      <c r="D30" s="316">
        <f t="shared" si="8"/>
        <v>0</v>
      </c>
      <c r="E30" s="316">
        <f t="shared" si="11"/>
        <v>435726</v>
      </c>
      <c r="F30" s="566">
        <f t="shared" si="25"/>
        <v>58661</v>
      </c>
      <c r="G30" s="160">
        <f t="shared" si="1"/>
        <v>0</v>
      </c>
      <c r="H30" s="566">
        <f t="shared" si="26"/>
        <v>224635</v>
      </c>
      <c r="I30" s="161">
        <f t="shared" si="2"/>
        <v>0</v>
      </c>
      <c r="J30" s="566">
        <f t="shared" si="13"/>
        <v>152428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7"/>
        <v>117.30630256126773</v>
      </c>
      <c r="P30" s="305">
        <f t="shared" si="9"/>
        <v>117.30630256126773</v>
      </c>
      <c r="Q30" s="305">
        <f>SUM(-tanks!AX32*tanks!$AU$37)</f>
        <v>0</v>
      </c>
      <c r="R30" s="305">
        <f t="shared" si="10"/>
        <v>117.30630256126773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10952448</v>
      </c>
      <c r="AC30" s="254">
        <f>SUM(AC26:AC29)/A38*A36</f>
        <v>5305177.5333333332</v>
      </c>
    </row>
    <row r="31" spans="1:32" ht="15.75" thickBot="1">
      <c r="A31" s="163">
        <f>ELEC!C30</f>
        <v>44102</v>
      </c>
      <c r="B31" s="566">
        <f t="shared" si="24"/>
        <v>435726</v>
      </c>
      <c r="C31" s="270">
        <f t="shared" si="0"/>
        <v>0</v>
      </c>
      <c r="D31" s="316">
        <f t="shared" si="8"/>
        <v>0</v>
      </c>
      <c r="E31" s="316">
        <f t="shared" si="11"/>
        <v>435726</v>
      </c>
      <c r="F31" s="566">
        <f t="shared" si="25"/>
        <v>58661</v>
      </c>
      <c r="G31" s="160">
        <f t="shared" si="1"/>
        <v>0</v>
      </c>
      <c r="H31" s="566">
        <f t="shared" si="26"/>
        <v>224635</v>
      </c>
      <c r="I31" s="161">
        <f t="shared" si="2"/>
        <v>0</v>
      </c>
      <c r="J31" s="566">
        <f t="shared" si="13"/>
        <v>152428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7"/>
        <v>117.30630256126773</v>
      </c>
      <c r="P31" s="305">
        <f t="shared" si="9"/>
        <v>117.30630256126773</v>
      </c>
      <c r="Q31" s="305">
        <f>SUM(-tanks!AX33*tanks!$AU$37)</f>
        <v>0</v>
      </c>
      <c r="R31" s="305">
        <f t="shared" si="10"/>
        <v>117.30630256126773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125</v>
      </c>
      <c r="X31" s="225">
        <f>SUM(W31/A36)</f>
        <v>5.6818181818181817</v>
      </c>
      <c r="Y31" s="266">
        <f>SUM(X31/2)</f>
        <v>2.8409090909090908</v>
      </c>
      <c r="Z31" s="3"/>
      <c r="AA31" s="3"/>
      <c r="AB31" s="570">
        <f>SUM(AB30+AC31)</f>
        <v>16257625.533333333</v>
      </c>
      <c r="AC31" s="254">
        <f>SUM(AC30)</f>
        <v>5305177.5333333332</v>
      </c>
    </row>
    <row r="32" spans="1:32" ht="15.75" thickBot="1">
      <c r="A32" s="163">
        <f>ELEC!C31</f>
        <v>44103</v>
      </c>
      <c r="B32" s="566">
        <f t="shared" si="24"/>
        <v>435726</v>
      </c>
      <c r="C32" s="270">
        <f t="shared" si="0"/>
        <v>0</v>
      </c>
      <c r="D32" s="316">
        <f t="shared" si="8"/>
        <v>0</v>
      </c>
      <c r="E32" s="316">
        <f t="shared" si="11"/>
        <v>435726</v>
      </c>
      <c r="F32" s="566">
        <f t="shared" si="25"/>
        <v>58661</v>
      </c>
      <c r="G32" s="160">
        <f t="shared" si="1"/>
        <v>0</v>
      </c>
      <c r="H32" s="566">
        <f t="shared" si="26"/>
        <v>224635</v>
      </c>
      <c r="I32" s="161">
        <f t="shared" si="2"/>
        <v>0</v>
      </c>
      <c r="J32" s="566">
        <f t="shared" si="13"/>
        <v>152428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7"/>
        <v>117.30630256126773</v>
      </c>
      <c r="P32" s="305">
        <f t="shared" si="9"/>
        <v>117.30630256126773</v>
      </c>
      <c r="Q32" s="305">
        <f>SUM(-tanks!AX34*tanks!$AU$37)</f>
        <v>0</v>
      </c>
      <c r="R32" s="305">
        <f t="shared" si="10"/>
        <v>117.30630256126773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6">
        <f t="shared" si="24"/>
        <v>435726</v>
      </c>
      <c r="C33" s="270">
        <f t="shared" si="0"/>
        <v>0</v>
      </c>
      <c r="D33" s="316">
        <f t="shared" si="8"/>
        <v>0</v>
      </c>
      <c r="E33" s="316">
        <f t="shared" si="11"/>
        <v>435726</v>
      </c>
      <c r="F33" s="566">
        <f t="shared" si="25"/>
        <v>58661</v>
      </c>
      <c r="G33" s="160">
        <f>F33-F32</f>
        <v>0</v>
      </c>
      <c r="H33" s="566">
        <f t="shared" si="26"/>
        <v>224635</v>
      </c>
      <c r="I33" s="161">
        <f t="shared" si="2"/>
        <v>0</v>
      </c>
      <c r="J33" s="566">
        <f t="shared" si="13"/>
        <v>152428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7"/>
        <v>117.30630256126773</v>
      </c>
      <c r="P33" s="305">
        <f>SUM(L33:O33)</f>
        <v>117.30630256126773</v>
      </c>
      <c r="Q33" s="305">
        <f>SUM(-tanks!AX35*tanks!$AU$37)</f>
        <v>0</v>
      </c>
      <c r="R33" s="305">
        <f>SUM(P33:Q33)</f>
        <v>117.30630256126773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6"/>
      <c r="B34" s="557"/>
      <c r="C34" s="558"/>
      <c r="D34" s="557"/>
      <c r="E34" s="557"/>
      <c r="F34" s="557"/>
      <c r="G34" s="557"/>
      <c r="H34" s="557"/>
      <c r="I34" s="557"/>
      <c r="J34" s="557"/>
      <c r="K34" s="557"/>
      <c r="L34" s="559"/>
      <c r="M34" s="559"/>
      <c r="N34" s="559"/>
      <c r="O34" s="559"/>
      <c r="P34" s="560"/>
      <c r="Q34" s="560"/>
      <c r="R34" s="560"/>
      <c r="S34" s="561"/>
      <c r="T34" s="562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6"/>
      <c r="B35" s="557"/>
      <c r="C35" s="558"/>
      <c r="D35" s="558"/>
      <c r="E35" s="558"/>
      <c r="F35" s="557"/>
      <c r="G35" s="557"/>
      <c r="H35" s="557"/>
      <c r="I35" s="557"/>
      <c r="J35" s="557"/>
      <c r="K35" s="563"/>
      <c r="L35" s="560"/>
      <c r="M35" s="560"/>
      <c r="N35" s="560"/>
      <c r="O35" s="560"/>
      <c r="P35" s="561"/>
      <c r="Q35" s="561"/>
      <c r="R35" s="561"/>
      <c r="S35" s="561"/>
      <c r="T35" s="562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1788338.8086666667</v>
      </c>
      <c r="AC35" s="286"/>
    </row>
    <row r="36" spans="1:32" ht="15.75" thickBot="1">
      <c r="A36" s="555">
        <f>A38-COUNTIF(C4:C34,0)</f>
        <v>22</v>
      </c>
      <c r="C36" s="176">
        <f>SUM(C4:C34)/A36</f>
        <v>3929.4545454545455</v>
      </c>
      <c r="D36" s="176"/>
      <c r="E36" s="176"/>
      <c r="G36" s="176">
        <f>SUM(G4:G34)/A36</f>
        <v>506.86363636363637</v>
      </c>
      <c r="I36" s="176">
        <f>SUM(I4:I34)/A36</f>
        <v>1932.6818181818182</v>
      </c>
      <c r="K36" s="176">
        <f>SUM(K4:K35)/A36</f>
        <v>1489.7727272727273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18045964.342</v>
      </c>
      <c r="AC36" s="286"/>
    </row>
    <row r="37" spans="1:32" ht="15.75" thickBot="1">
      <c r="A37" s="213"/>
      <c r="C37" s="215">
        <f>SUM(G37:K37)</f>
        <v>0.99996529705719039</v>
      </c>
      <c r="G37" s="228">
        <f>IF(C36&gt;0,G36/C36,0)</f>
        <v>0.12899083842309828</v>
      </c>
      <c r="H37" s="215"/>
      <c r="I37" s="228">
        <f>SUM(I36/C36)</f>
        <v>0.4918448084397557</v>
      </c>
      <c r="J37" s="215"/>
      <c r="K37" s="228">
        <f>SUM(K36/C36)</f>
        <v>0.37912965019433648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10784.494549474848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3519.1890768380322</v>
      </c>
      <c r="Z39" s="40"/>
      <c r="AA39" s="300" t="s">
        <v>215</v>
      </c>
      <c r="AB39" s="301">
        <f>SUM(AB37)</f>
        <v>10784.494549474848</v>
      </c>
    </row>
    <row r="40" spans="1:32">
      <c r="V40" s="220"/>
      <c r="W40" s="82">
        <f>(AB30+AB55)/1507.5</f>
        <v>7265.3054726368155</v>
      </c>
      <c r="X40" s="571"/>
      <c r="Z40" s="302">
        <f>SUM(AB39)</f>
        <v>10784.494549474848</v>
      </c>
      <c r="AA40" s="301"/>
      <c r="AB40" s="301"/>
    </row>
    <row r="41" spans="1:32">
      <c r="V41" s="17"/>
      <c r="W41" s="82">
        <f>SUM(W39:W40)</f>
        <v>10784.494549474848</v>
      </c>
      <c r="X41" s="571"/>
      <c r="Y41" s="82"/>
      <c r="Z41" s="302">
        <f>SUM(-tanks!AX37)*tanks!AU37</f>
        <v>12262.842580645151</v>
      </c>
      <c r="AA41" s="101">
        <f>SUM(AB31/A36)</f>
        <v>738982.97878787876</v>
      </c>
      <c r="AB41" s="358">
        <f>SUM(AA41*A38)</f>
        <v>22169489.363636363</v>
      </c>
    </row>
    <row r="42" spans="1:32" ht="18.75">
      <c r="W42" s="82">
        <f>(AB30+AB55)/1507.5</f>
        <v>7265.3054726368155</v>
      </c>
      <c r="Z42" s="282">
        <f>SUM(Z40:Z41)</f>
        <v>23047.337130119999</v>
      </c>
      <c r="AA42" s="301">
        <f>SUM(AA41/1507.5)</f>
        <v>490.20429770340218</v>
      </c>
      <c r="AB42" s="357">
        <f>SUM(AB41/1507.5)</f>
        <v>14706.128931102065</v>
      </c>
    </row>
    <row r="43" spans="1:32">
      <c r="D43" s="533"/>
      <c r="E43" s="533"/>
      <c r="F43" s="533"/>
      <c r="W43" s="82">
        <f>SUM(W41:W42)</f>
        <v>18049.800022111664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4"/>
      <c r="W46" s="575"/>
      <c r="X46" s="17"/>
      <c r="Y46" s="17"/>
      <c r="Z46" s="576"/>
      <c r="AA46" s="17"/>
      <c r="AB46" s="688"/>
      <c r="AC46" s="688"/>
      <c r="AD46" s="17"/>
      <c r="AE46" s="17"/>
      <c r="AF46" s="17"/>
    </row>
    <row r="47" spans="1:32">
      <c r="V47" s="688"/>
      <c r="W47" s="688"/>
      <c r="X47" s="688"/>
      <c r="Y47" s="688"/>
      <c r="Z47" s="576"/>
      <c r="AA47" s="576"/>
      <c r="AB47" s="688"/>
      <c r="AC47" s="688"/>
      <c r="AD47" s="17"/>
      <c r="AE47" s="17"/>
      <c r="AF47" s="17"/>
    </row>
    <row r="48" spans="1:32">
      <c r="V48" s="688"/>
      <c r="W48" s="688"/>
      <c r="X48" s="688"/>
      <c r="Y48" s="688"/>
      <c r="Z48" s="688"/>
      <c r="AA48" s="688"/>
      <c r="AB48" s="688"/>
      <c r="AC48" s="688"/>
      <c r="AD48" s="17"/>
      <c r="AE48" s="17"/>
      <c r="AF48" s="17"/>
    </row>
    <row r="49" spans="22:32">
      <c r="V49" s="689"/>
      <c r="W49" s="689"/>
      <c r="X49" s="690"/>
      <c r="Y49" s="690"/>
      <c r="Z49" s="690"/>
      <c r="AA49" s="577"/>
      <c r="AB49" s="688"/>
      <c r="AC49" s="688"/>
      <c r="AD49" s="17"/>
      <c r="AE49" s="17"/>
      <c r="AF49" s="17"/>
    </row>
    <row r="50" spans="22:32">
      <c r="V50" s="574"/>
      <c r="W50" s="574"/>
      <c r="X50" s="574"/>
      <c r="Y50" s="574"/>
      <c r="Z50" s="574"/>
      <c r="AA50" s="574"/>
      <c r="AB50" s="574"/>
      <c r="AC50" s="578"/>
      <c r="AD50" s="17"/>
      <c r="AE50" s="17"/>
      <c r="AF50" s="17"/>
    </row>
    <row r="51" spans="22:32">
      <c r="V51" s="577"/>
      <c r="W51" s="577"/>
      <c r="X51" s="579"/>
      <c r="Y51" s="579"/>
      <c r="Z51" s="579"/>
      <c r="AA51" s="73"/>
      <c r="AB51" s="73"/>
      <c r="AC51" s="73"/>
      <c r="AD51" s="580"/>
      <c r="AE51" s="17"/>
      <c r="AF51" s="17"/>
    </row>
    <row r="52" spans="22:32">
      <c r="V52" s="577"/>
      <c r="W52" s="577"/>
      <c r="X52" s="579"/>
      <c r="Y52" s="579"/>
      <c r="Z52" s="579"/>
      <c r="AA52" s="73"/>
      <c r="AB52" s="73"/>
      <c r="AC52" s="73"/>
      <c r="AD52" s="580"/>
      <c r="AE52" s="17"/>
      <c r="AF52" s="17"/>
    </row>
    <row r="53" spans="22:32">
      <c r="V53" s="577"/>
      <c r="W53" s="577"/>
      <c r="X53" s="579"/>
      <c r="Y53" s="579"/>
      <c r="Z53" s="579"/>
      <c r="AA53" s="73"/>
      <c r="AB53" s="73"/>
      <c r="AC53" s="73"/>
      <c r="AD53" s="580"/>
      <c r="AE53" s="581"/>
      <c r="AF53" s="582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3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4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5"/>
      <c r="AB60" s="586"/>
      <c r="AC60" s="58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8"/>
      <c r="AB61" s="586"/>
      <c r="AC61" s="587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6"/>
      <c r="AC62" s="587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89"/>
      <c r="AC63" s="17"/>
      <c r="AD63" s="17"/>
      <c r="AE63" s="17"/>
      <c r="AF63" s="17"/>
    </row>
    <row r="64" spans="22:32">
      <c r="V64" s="220"/>
      <c r="W64" s="582"/>
      <c r="X64" s="17"/>
      <c r="Y64" s="17"/>
      <c r="Z64" s="581"/>
      <c r="AA64" s="590"/>
      <c r="AB64" s="579"/>
      <c r="AC64" s="17"/>
      <c r="AD64" s="17"/>
      <c r="AE64" s="17"/>
      <c r="AF64" s="17"/>
    </row>
    <row r="65" spans="22:32">
      <c r="V65" s="220"/>
      <c r="W65" s="582"/>
      <c r="X65" s="17"/>
      <c r="Y65" s="17"/>
      <c r="Z65" s="433"/>
      <c r="AA65" s="579"/>
      <c r="AB65" s="579"/>
      <c r="AC65" s="17"/>
      <c r="AD65" s="17"/>
      <c r="AE65" s="17"/>
      <c r="AF65" s="17"/>
    </row>
    <row r="66" spans="22:32">
      <c r="V66" s="17"/>
      <c r="W66" s="582"/>
      <c r="X66" s="17"/>
      <c r="Y66" s="582"/>
      <c r="Z66" s="433"/>
      <c r="AA66" s="579"/>
      <c r="AB66" s="591"/>
      <c r="AC66" s="17"/>
      <c r="AD66" s="17"/>
      <c r="AE66" s="17"/>
      <c r="AF66" s="17"/>
    </row>
    <row r="67" spans="22:32" ht="18.75">
      <c r="V67" s="17"/>
      <c r="W67" s="582"/>
      <c r="X67" s="17"/>
      <c r="Y67" s="17"/>
      <c r="Z67" s="592"/>
      <c r="AA67" s="579"/>
      <c r="AB67" s="593"/>
      <c r="AC67" s="17"/>
      <c r="AD67" s="17"/>
      <c r="AE67" s="17"/>
      <c r="AF67" s="17"/>
    </row>
    <row r="68" spans="22:32">
      <c r="V68" s="17"/>
      <c r="W68" s="582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9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13" sqref="H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3" customWidth="1"/>
    <col min="9" max="9" width="12.7109375" bestFit="1" customWidth="1"/>
    <col min="10" max="10" width="25.42578125" style="504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320</v>
      </c>
      <c r="C1" s="704"/>
      <c r="D1" s="706"/>
      <c r="E1" s="703" t="s">
        <v>321</v>
      </c>
      <c r="F1" s="704"/>
      <c r="G1" s="705"/>
      <c r="H1" s="700" t="s">
        <v>326</v>
      </c>
      <c r="I1" s="697" t="s">
        <v>327</v>
      </c>
      <c r="J1" s="694" t="s">
        <v>43</v>
      </c>
    </row>
    <row r="2" spans="1:18" ht="38.25" thickBot="1">
      <c r="A2" s="692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701"/>
      <c r="I2" s="698"/>
      <c r="J2" s="695"/>
    </row>
    <row r="3" spans="1:18" ht="24" customHeight="1" thickBot="1">
      <c r="A3" s="693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702"/>
      <c r="I3" s="699"/>
      <c r="J3" s="696"/>
    </row>
    <row r="4" spans="1:18" ht="19.5" thickBot="1">
      <c r="A4" s="248"/>
      <c r="B4" s="522"/>
      <c r="C4" s="522"/>
      <c r="D4" s="522"/>
      <c r="E4" s="522"/>
      <c r="F4" s="522"/>
      <c r="G4" s="522"/>
      <c r="H4" s="249">
        <v>0</v>
      </c>
      <c r="I4" s="249"/>
      <c r="J4" s="499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1">
        <f>ELEC!C2</f>
        <v>44074</v>
      </c>
      <c r="B5" s="523"/>
      <c r="C5" s="523"/>
      <c r="D5" s="523"/>
      <c r="E5" s="523"/>
      <c r="F5" s="523"/>
      <c r="G5" s="523"/>
      <c r="H5" s="523">
        <v>6541</v>
      </c>
      <c r="I5" s="523">
        <f>'[2]Swimming Pool quality check '!$B$36</f>
        <v>2.5</v>
      </c>
      <c r="J5" s="531">
        <f>'[9]Swimming Pool quality check '!J36</f>
        <v>0.33333333333333398</v>
      </c>
      <c r="K5" s="417">
        <v>0</v>
      </c>
      <c r="L5" s="548">
        <f>A5</f>
        <v>44074</v>
      </c>
      <c r="M5" s="523">
        <v>6541</v>
      </c>
      <c r="N5" s="523">
        <f>'[5]Swimming Pool quality check '!N36</f>
        <v>642</v>
      </c>
      <c r="O5" s="523">
        <f>'[5]Swimming Pool quality check '!O36</f>
        <v>6836</v>
      </c>
    </row>
    <row r="6" spans="1:18" ht="15.75" customHeight="1" thickBot="1">
      <c r="A6" s="244">
        <f>ELEC!C3</f>
        <v>44075</v>
      </c>
      <c r="B6" s="565"/>
      <c r="C6" s="566"/>
      <c r="D6" s="567"/>
      <c r="E6" s="567"/>
      <c r="F6" s="567"/>
      <c r="G6" s="567"/>
      <c r="H6" s="567">
        <v>6543</v>
      </c>
      <c r="I6" s="523">
        <f>H6-H5</f>
        <v>2</v>
      </c>
      <c r="J6" s="500">
        <v>0.29166666666666669</v>
      </c>
      <c r="L6" s="99">
        <f t="shared" ref="L6:L35" si="0">A6</f>
        <v>44075</v>
      </c>
      <c r="M6" s="3">
        <v>6543</v>
      </c>
      <c r="N6" s="523">
        <v>487</v>
      </c>
      <c r="O6" s="523">
        <f t="shared" ref="O6:O35" si="1">M6+N6</f>
        <v>7030</v>
      </c>
    </row>
    <row r="7" spans="1:18" ht="15.75" thickBot="1">
      <c r="A7" s="244">
        <f>ELEC!C4</f>
        <v>44076</v>
      </c>
      <c r="B7" s="552"/>
      <c r="C7" s="564"/>
      <c r="D7" s="170"/>
      <c r="E7" s="170"/>
      <c r="F7" s="170"/>
      <c r="G7" s="170"/>
      <c r="H7" s="567">
        <v>6550</v>
      </c>
      <c r="I7" s="523">
        <f t="shared" ref="I7:I35" si="2">H7-H6</f>
        <v>7</v>
      </c>
      <c r="J7" s="501">
        <v>0.29166666666666669</v>
      </c>
      <c r="L7" s="99">
        <f t="shared" si="0"/>
        <v>44076</v>
      </c>
      <c r="M7" s="3">
        <v>6550</v>
      </c>
      <c r="N7" s="523">
        <v>487</v>
      </c>
      <c r="O7" s="523">
        <f t="shared" si="1"/>
        <v>7037</v>
      </c>
    </row>
    <row r="8" spans="1:18" ht="15.75" thickBot="1">
      <c r="A8" s="244">
        <f>ELEC!C5</f>
        <v>44077</v>
      </c>
      <c r="B8" s="552"/>
      <c r="C8" s="551"/>
      <c r="D8" s="170"/>
      <c r="E8" s="170"/>
      <c r="F8" s="170"/>
      <c r="G8" s="170"/>
      <c r="H8" s="567">
        <v>6555</v>
      </c>
      <c r="I8" s="523">
        <f t="shared" si="2"/>
        <v>5</v>
      </c>
      <c r="J8" s="501">
        <v>0.29166666666666669</v>
      </c>
      <c r="L8" s="99">
        <f t="shared" si="0"/>
        <v>44077</v>
      </c>
      <c r="M8" s="3">
        <v>6555</v>
      </c>
      <c r="N8" s="523">
        <v>487</v>
      </c>
      <c r="O8" s="523">
        <f t="shared" si="1"/>
        <v>7042</v>
      </c>
    </row>
    <row r="9" spans="1:18" ht="15.75" thickBot="1">
      <c r="A9" s="244">
        <f>ELEC!C6</f>
        <v>44078</v>
      </c>
      <c r="B9" s="552"/>
      <c r="C9" s="552"/>
      <c r="D9" s="552"/>
      <c r="E9" s="552"/>
      <c r="F9" s="552"/>
      <c r="G9" s="552"/>
      <c r="H9" s="567">
        <f t="shared" ref="H9:H36" si="3">H8</f>
        <v>6555</v>
      </c>
      <c r="I9" s="523">
        <f t="shared" si="2"/>
        <v>0</v>
      </c>
      <c r="J9" s="501">
        <v>0.29166666666666669</v>
      </c>
      <c r="L9" s="99">
        <f t="shared" si="0"/>
        <v>44078</v>
      </c>
      <c r="M9" s="3">
        <f t="shared" ref="M9:M36" si="4">M8</f>
        <v>6555</v>
      </c>
      <c r="N9" s="523">
        <v>487</v>
      </c>
      <c r="O9" s="523">
        <f t="shared" si="1"/>
        <v>7042</v>
      </c>
    </row>
    <row r="10" spans="1:18" ht="15.75" thickBot="1">
      <c r="A10" s="244">
        <f>ELEC!C7</f>
        <v>44079</v>
      </c>
      <c r="B10" s="552"/>
      <c r="C10" s="552"/>
      <c r="D10" s="552"/>
      <c r="E10" s="552"/>
      <c r="F10" s="552"/>
      <c r="G10" s="552"/>
      <c r="H10" s="567">
        <f t="shared" si="3"/>
        <v>6555</v>
      </c>
      <c r="I10" s="523">
        <f t="shared" si="2"/>
        <v>0</v>
      </c>
      <c r="J10" s="501">
        <v>0.29166666666666669</v>
      </c>
      <c r="L10" s="99">
        <f t="shared" si="0"/>
        <v>44079</v>
      </c>
      <c r="M10" s="3">
        <f t="shared" si="4"/>
        <v>6555</v>
      </c>
      <c r="N10" s="523">
        <v>487</v>
      </c>
      <c r="O10" s="523">
        <f t="shared" si="1"/>
        <v>7042</v>
      </c>
    </row>
    <row r="11" spans="1:18" ht="15.75" thickBot="1">
      <c r="A11" s="244">
        <f>ELEC!C8</f>
        <v>44080</v>
      </c>
      <c r="B11" s="552"/>
      <c r="C11" s="552"/>
      <c r="D11" s="552"/>
      <c r="E11" s="552"/>
      <c r="F11" s="552"/>
      <c r="G11" s="552"/>
      <c r="H11" s="567">
        <f t="shared" si="3"/>
        <v>6555</v>
      </c>
      <c r="I11" s="523">
        <f t="shared" si="2"/>
        <v>0</v>
      </c>
      <c r="J11" s="501">
        <v>0.29166666666666669</v>
      </c>
      <c r="L11" s="99">
        <f t="shared" si="0"/>
        <v>44080</v>
      </c>
      <c r="M11" s="3">
        <f t="shared" si="4"/>
        <v>6555</v>
      </c>
      <c r="N11" s="523">
        <v>487</v>
      </c>
      <c r="O11" s="523">
        <f t="shared" si="1"/>
        <v>7042</v>
      </c>
    </row>
    <row r="12" spans="1:18" ht="16.5" thickBot="1">
      <c r="A12" s="244">
        <f>ELEC!C9</f>
        <v>44081</v>
      </c>
      <c r="B12" s="552"/>
      <c r="C12" s="552"/>
      <c r="D12" s="552"/>
      <c r="E12" s="552"/>
      <c r="F12" s="552"/>
      <c r="G12" s="552"/>
      <c r="H12" s="567">
        <f t="shared" si="3"/>
        <v>6555</v>
      </c>
      <c r="I12" s="523">
        <f t="shared" si="2"/>
        <v>0</v>
      </c>
      <c r="J12" s="501">
        <v>0.29166666666666669</v>
      </c>
      <c r="L12" s="99">
        <f t="shared" si="0"/>
        <v>44081</v>
      </c>
      <c r="M12" s="3">
        <f t="shared" si="4"/>
        <v>6555</v>
      </c>
      <c r="N12" s="523">
        <v>487</v>
      </c>
      <c r="O12" s="523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2"/>
      <c r="C13" s="552"/>
      <c r="D13" s="552"/>
      <c r="E13" s="552"/>
      <c r="F13" s="552"/>
      <c r="G13" s="552"/>
      <c r="H13" s="567">
        <f t="shared" si="3"/>
        <v>6555</v>
      </c>
      <c r="I13" s="523">
        <f t="shared" si="2"/>
        <v>0</v>
      </c>
      <c r="J13" s="501">
        <v>0.29166666666666669</v>
      </c>
      <c r="L13" s="99">
        <f t="shared" si="0"/>
        <v>44082</v>
      </c>
      <c r="M13" s="3">
        <f t="shared" si="4"/>
        <v>6555</v>
      </c>
      <c r="N13" s="523">
        <v>487</v>
      </c>
      <c r="O13" s="523">
        <f t="shared" si="1"/>
        <v>7042</v>
      </c>
    </row>
    <row r="14" spans="1:18" ht="15.75" thickBot="1">
      <c r="A14" s="244">
        <f>ELEC!C11</f>
        <v>44083</v>
      </c>
      <c r="B14" s="552"/>
      <c r="C14" s="552"/>
      <c r="D14" s="552"/>
      <c r="E14" s="552"/>
      <c r="F14" s="552"/>
      <c r="G14" s="552"/>
      <c r="H14" s="567">
        <f t="shared" si="3"/>
        <v>6555</v>
      </c>
      <c r="I14" s="523">
        <f t="shared" si="2"/>
        <v>0</v>
      </c>
      <c r="J14" s="501">
        <v>0.29166666666666669</v>
      </c>
      <c r="L14" s="99">
        <f t="shared" si="0"/>
        <v>44083</v>
      </c>
      <c r="M14" s="3">
        <f t="shared" si="4"/>
        <v>6555</v>
      </c>
      <c r="N14" s="523">
        <v>487</v>
      </c>
      <c r="O14" s="523">
        <f t="shared" si="1"/>
        <v>7042</v>
      </c>
    </row>
    <row r="15" spans="1:18" ht="15.75" thickBot="1">
      <c r="A15" s="244">
        <f>ELEC!C12</f>
        <v>44084</v>
      </c>
      <c r="B15" s="552"/>
      <c r="C15" s="552"/>
      <c r="D15" s="552"/>
      <c r="E15" s="552"/>
      <c r="F15" s="552"/>
      <c r="G15" s="552"/>
      <c r="H15" s="567">
        <f t="shared" si="3"/>
        <v>6555</v>
      </c>
      <c r="I15" s="523">
        <f t="shared" si="2"/>
        <v>0</v>
      </c>
      <c r="J15" s="501">
        <v>0.29166666666666669</v>
      </c>
      <c r="L15" s="99">
        <f t="shared" si="0"/>
        <v>44084</v>
      </c>
      <c r="M15" s="3">
        <f t="shared" si="4"/>
        <v>6555</v>
      </c>
      <c r="N15" s="523">
        <v>487</v>
      </c>
      <c r="O15" s="523">
        <f t="shared" si="1"/>
        <v>7042</v>
      </c>
    </row>
    <row r="16" spans="1:18" ht="15.75" thickBot="1">
      <c r="A16" s="244">
        <f>ELEC!C13</f>
        <v>44085</v>
      </c>
      <c r="B16" s="552"/>
      <c r="C16" s="552"/>
      <c r="D16" s="552"/>
      <c r="E16" s="552"/>
      <c r="F16" s="552"/>
      <c r="G16" s="552"/>
      <c r="H16" s="567">
        <f t="shared" si="3"/>
        <v>6555</v>
      </c>
      <c r="I16" s="523">
        <f t="shared" si="2"/>
        <v>0</v>
      </c>
      <c r="J16" s="501">
        <v>0.29166666666666669</v>
      </c>
      <c r="L16" s="99">
        <f t="shared" si="0"/>
        <v>44085</v>
      </c>
      <c r="M16" s="3">
        <f t="shared" si="4"/>
        <v>6555</v>
      </c>
      <c r="N16" s="523">
        <v>487</v>
      </c>
      <c r="O16" s="523">
        <f t="shared" si="1"/>
        <v>7042</v>
      </c>
    </row>
    <row r="17" spans="1:17" ht="15.75" thickBot="1">
      <c r="A17" s="244">
        <f>ELEC!C14</f>
        <v>44086</v>
      </c>
      <c r="B17" s="552"/>
      <c r="C17" s="552"/>
      <c r="D17" s="552"/>
      <c r="E17" s="552"/>
      <c r="F17" s="552"/>
      <c r="G17" s="552"/>
      <c r="H17" s="567">
        <f t="shared" si="3"/>
        <v>6555</v>
      </c>
      <c r="I17" s="523">
        <f t="shared" si="2"/>
        <v>0</v>
      </c>
      <c r="J17" s="501">
        <v>0.29166666666666669</v>
      </c>
      <c r="L17" s="99">
        <f t="shared" si="0"/>
        <v>44086</v>
      </c>
      <c r="M17" s="3">
        <f t="shared" si="4"/>
        <v>6555</v>
      </c>
      <c r="N17" s="523">
        <v>487</v>
      </c>
      <c r="O17" s="523">
        <f t="shared" si="1"/>
        <v>7042</v>
      </c>
    </row>
    <row r="18" spans="1:17" ht="15.75" thickBot="1">
      <c r="A18" s="244">
        <f>ELEC!C15</f>
        <v>44087</v>
      </c>
      <c r="B18" s="552"/>
      <c r="C18" s="552"/>
      <c r="D18" s="552"/>
      <c r="E18" s="552"/>
      <c r="F18" s="552"/>
      <c r="G18" s="552"/>
      <c r="H18" s="567">
        <f t="shared" si="3"/>
        <v>6555</v>
      </c>
      <c r="I18" s="523">
        <f t="shared" si="2"/>
        <v>0</v>
      </c>
      <c r="J18" s="501">
        <v>0.29166666666666669</v>
      </c>
      <c r="L18" s="99">
        <f t="shared" si="0"/>
        <v>44087</v>
      </c>
      <c r="M18" s="3">
        <f t="shared" si="4"/>
        <v>6555</v>
      </c>
      <c r="N18" s="523">
        <v>487</v>
      </c>
      <c r="O18" s="523">
        <f t="shared" si="1"/>
        <v>7042</v>
      </c>
    </row>
    <row r="19" spans="1:17" ht="15.75" thickBot="1">
      <c r="A19" s="244">
        <f>ELEC!C16</f>
        <v>44088</v>
      </c>
      <c r="B19" s="552"/>
      <c r="C19" s="552"/>
      <c r="D19" s="552"/>
      <c r="E19" s="552"/>
      <c r="F19" s="552"/>
      <c r="G19" s="552"/>
      <c r="H19" s="567">
        <f t="shared" si="3"/>
        <v>6555</v>
      </c>
      <c r="I19" s="523">
        <f t="shared" si="2"/>
        <v>0</v>
      </c>
      <c r="J19" s="501">
        <v>0.29166666666666669</v>
      </c>
      <c r="L19" s="99">
        <f t="shared" si="0"/>
        <v>44088</v>
      </c>
      <c r="M19" s="3">
        <f t="shared" si="4"/>
        <v>6555</v>
      </c>
      <c r="N19" s="523">
        <v>487</v>
      </c>
      <c r="O19" s="523">
        <f t="shared" si="1"/>
        <v>7042</v>
      </c>
    </row>
    <row r="20" spans="1:17" ht="15.75" thickBot="1">
      <c r="A20" s="244">
        <f>ELEC!C17</f>
        <v>44089</v>
      </c>
      <c r="B20" s="552"/>
      <c r="C20" s="552"/>
      <c r="D20" s="552"/>
      <c r="E20" s="552"/>
      <c r="F20" s="552"/>
      <c r="G20" s="552"/>
      <c r="H20" s="567">
        <f t="shared" si="3"/>
        <v>6555</v>
      </c>
      <c r="I20" s="523">
        <f t="shared" si="2"/>
        <v>0</v>
      </c>
      <c r="J20" s="501">
        <v>0.29166666666666669</v>
      </c>
      <c r="L20" s="99">
        <f t="shared" si="0"/>
        <v>44089</v>
      </c>
      <c r="M20" s="3">
        <f t="shared" si="4"/>
        <v>6555</v>
      </c>
      <c r="N20" s="523">
        <v>487</v>
      </c>
      <c r="O20" s="523">
        <f t="shared" si="1"/>
        <v>7042</v>
      </c>
    </row>
    <row r="21" spans="1:17" ht="15.75" thickBot="1">
      <c r="A21" s="244">
        <f>ELEC!C18</f>
        <v>44090</v>
      </c>
      <c r="B21" s="552"/>
      <c r="C21" s="552"/>
      <c r="D21" s="552"/>
      <c r="E21" s="552"/>
      <c r="F21" s="552"/>
      <c r="G21" s="552"/>
      <c r="H21" s="567">
        <f t="shared" si="3"/>
        <v>6555</v>
      </c>
      <c r="I21" s="523">
        <f t="shared" si="2"/>
        <v>0</v>
      </c>
      <c r="J21" s="501">
        <v>0.29166666666666669</v>
      </c>
      <c r="L21" s="99">
        <f t="shared" si="0"/>
        <v>44090</v>
      </c>
      <c r="M21" s="3">
        <f t="shared" si="4"/>
        <v>6555</v>
      </c>
      <c r="N21" s="523">
        <v>487</v>
      </c>
      <c r="O21" s="523">
        <f t="shared" si="1"/>
        <v>7042</v>
      </c>
    </row>
    <row r="22" spans="1:17" ht="15.75" thickBot="1">
      <c r="A22" s="244">
        <f>ELEC!C19</f>
        <v>44091</v>
      </c>
      <c r="B22" s="552"/>
      <c r="C22" s="552"/>
      <c r="D22" s="552"/>
      <c r="E22" s="552"/>
      <c r="F22" s="552"/>
      <c r="G22" s="552"/>
      <c r="H22" s="567">
        <f t="shared" si="3"/>
        <v>6555</v>
      </c>
      <c r="I22" s="523">
        <f t="shared" si="2"/>
        <v>0</v>
      </c>
      <c r="J22" s="501">
        <v>0.29166666666666669</v>
      </c>
      <c r="L22" s="99">
        <f t="shared" si="0"/>
        <v>44091</v>
      </c>
      <c r="M22" s="3">
        <f t="shared" si="4"/>
        <v>6555</v>
      </c>
      <c r="N22" s="523">
        <v>487</v>
      </c>
      <c r="O22" s="523">
        <f t="shared" si="1"/>
        <v>7042</v>
      </c>
    </row>
    <row r="23" spans="1:17" ht="15.75" thickBot="1">
      <c r="A23" s="244">
        <f>ELEC!C20</f>
        <v>44092</v>
      </c>
      <c r="B23" s="552"/>
      <c r="C23" s="552"/>
      <c r="D23" s="552"/>
      <c r="E23" s="552"/>
      <c r="F23" s="552"/>
      <c r="G23" s="552"/>
      <c r="H23" s="567">
        <f t="shared" si="3"/>
        <v>6555</v>
      </c>
      <c r="I23" s="523">
        <f t="shared" si="2"/>
        <v>0</v>
      </c>
      <c r="J23" s="501">
        <v>0.29166666666666669</v>
      </c>
      <c r="L23" s="99">
        <f t="shared" si="0"/>
        <v>44092</v>
      </c>
      <c r="M23" s="3">
        <f t="shared" si="4"/>
        <v>6555</v>
      </c>
      <c r="N23" s="523">
        <v>487</v>
      </c>
      <c r="O23" s="523">
        <f t="shared" si="1"/>
        <v>7042</v>
      </c>
    </row>
    <row r="24" spans="1:17" ht="15.75" thickBot="1">
      <c r="A24" s="244">
        <f>ELEC!C21</f>
        <v>44093</v>
      </c>
      <c r="B24" s="552"/>
      <c r="C24" s="552"/>
      <c r="D24" s="552"/>
      <c r="E24" s="552"/>
      <c r="F24" s="552"/>
      <c r="G24" s="552"/>
      <c r="H24" s="567">
        <f t="shared" si="3"/>
        <v>6555</v>
      </c>
      <c r="I24" s="523">
        <f t="shared" si="2"/>
        <v>0</v>
      </c>
      <c r="J24" s="501">
        <v>0.29166666666666702</v>
      </c>
      <c r="L24" s="99">
        <f t="shared" si="0"/>
        <v>44093</v>
      </c>
      <c r="M24" s="3">
        <f t="shared" si="4"/>
        <v>6555</v>
      </c>
      <c r="N24" s="523">
        <v>487</v>
      </c>
      <c r="O24" s="523">
        <f t="shared" si="1"/>
        <v>7042</v>
      </c>
    </row>
    <row r="25" spans="1:17" ht="15.75" thickBot="1">
      <c r="A25" s="244">
        <f>ELEC!C22</f>
        <v>44094</v>
      </c>
      <c r="B25" s="552"/>
      <c r="C25" s="552"/>
      <c r="D25" s="552"/>
      <c r="E25" s="552"/>
      <c r="F25" s="552"/>
      <c r="G25" s="552"/>
      <c r="H25" s="567">
        <f t="shared" si="3"/>
        <v>6555</v>
      </c>
      <c r="I25" s="523">
        <f t="shared" si="2"/>
        <v>0</v>
      </c>
      <c r="J25" s="501">
        <v>0.29166666666666702</v>
      </c>
      <c r="L25" s="99">
        <f t="shared" si="0"/>
        <v>44094</v>
      </c>
      <c r="M25" s="3">
        <f t="shared" si="4"/>
        <v>6555</v>
      </c>
      <c r="N25" s="523">
        <v>487</v>
      </c>
      <c r="O25" s="523">
        <f t="shared" si="1"/>
        <v>7042</v>
      </c>
    </row>
    <row r="26" spans="1:17" ht="15.75" thickBot="1">
      <c r="A26" s="244">
        <f>ELEC!C23</f>
        <v>44095</v>
      </c>
      <c r="B26" s="552"/>
      <c r="C26" s="552"/>
      <c r="D26" s="552"/>
      <c r="E26" s="552"/>
      <c r="F26" s="552"/>
      <c r="G26" s="552"/>
      <c r="H26" s="567">
        <f t="shared" si="3"/>
        <v>6555</v>
      </c>
      <c r="I26" s="523">
        <f t="shared" si="2"/>
        <v>0</v>
      </c>
      <c r="J26" s="501">
        <v>0.29166666666666702</v>
      </c>
      <c r="L26" s="99">
        <f t="shared" si="0"/>
        <v>44095</v>
      </c>
      <c r="M26" s="3">
        <f t="shared" si="4"/>
        <v>6555</v>
      </c>
      <c r="N26" s="523">
        <v>487</v>
      </c>
      <c r="O26" s="523">
        <f t="shared" si="1"/>
        <v>7042</v>
      </c>
    </row>
    <row r="27" spans="1:17" ht="15.75" thickBot="1">
      <c r="A27" s="244">
        <f>ELEC!C24</f>
        <v>44096</v>
      </c>
      <c r="B27" s="552"/>
      <c r="C27" s="552"/>
      <c r="D27" s="552"/>
      <c r="E27" s="552"/>
      <c r="F27" s="552"/>
      <c r="G27" s="552"/>
      <c r="H27" s="567">
        <f t="shared" si="3"/>
        <v>6555</v>
      </c>
      <c r="I27" s="523">
        <f t="shared" si="2"/>
        <v>0</v>
      </c>
      <c r="J27" s="501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3">
        <f t="shared" si="1"/>
        <v>7197</v>
      </c>
    </row>
    <row r="28" spans="1:17" ht="15.75" thickBot="1">
      <c r="A28" s="244">
        <f>ELEC!C25</f>
        <v>44097</v>
      </c>
      <c r="B28" s="552"/>
      <c r="C28" s="552"/>
      <c r="D28" s="552"/>
      <c r="E28" s="552"/>
      <c r="F28" s="552"/>
      <c r="G28" s="552"/>
      <c r="H28" s="567">
        <f t="shared" si="3"/>
        <v>6555</v>
      </c>
      <c r="I28" s="523">
        <f t="shared" si="2"/>
        <v>0</v>
      </c>
      <c r="J28" s="502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3">
        <f t="shared" si="1"/>
        <v>7197</v>
      </c>
    </row>
    <row r="29" spans="1:17" ht="15.75" thickBot="1">
      <c r="A29" s="244">
        <f>ELEC!C26</f>
        <v>44098</v>
      </c>
      <c r="B29" s="552"/>
      <c r="C29" s="552"/>
      <c r="D29" s="552"/>
      <c r="E29" s="552"/>
      <c r="F29" s="552"/>
      <c r="G29" s="552"/>
      <c r="H29" s="567">
        <f t="shared" si="3"/>
        <v>6555</v>
      </c>
      <c r="I29" s="523">
        <f t="shared" si="2"/>
        <v>0</v>
      </c>
      <c r="J29" s="501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3">
        <f t="shared" si="1"/>
        <v>7197</v>
      </c>
    </row>
    <row r="30" spans="1:17" ht="15.75" thickBot="1">
      <c r="A30" s="244">
        <f>ELEC!C27</f>
        <v>44099</v>
      </c>
      <c r="B30" s="523"/>
      <c r="C30" s="523"/>
      <c r="D30" s="170"/>
      <c r="E30" s="170"/>
      <c r="F30" s="170"/>
      <c r="G30" s="170"/>
      <c r="H30" s="567">
        <f t="shared" si="3"/>
        <v>6555</v>
      </c>
      <c r="I30" s="523">
        <f t="shared" si="2"/>
        <v>0</v>
      </c>
      <c r="J30" s="501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3">
        <f t="shared" si="1"/>
        <v>7197</v>
      </c>
    </row>
    <row r="31" spans="1:17" ht="15.75" thickBot="1">
      <c r="A31" s="244">
        <f>ELEC!C28</f>
        <v>44100</v>
      </c>
      <c r="B31" s="259"/>
      <c r="C31" s="554"/>
      <c r="D31" s="170"/>
      <c r="E31" s="170"/>
      <c r="F31" s="170"/>
      <c r="G31" s="170"/>
      <c r="H31" s="567">
        <f t="shared" si="3"/>
        <v>6555</v>
      </c>
      <c r="I31" s="523">
        <f t="shared" si="2"/>
        <v>0</v>
      </c>
      <c r="J31" s="501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3">
        <f t="shared" si="1"/>
        <v>7197</v>
      </c>
    </row>
    <row r="32" spans="1:17" ht="15.75" thickBot="1">
      <c r="A32" s="244">
        <f>ELEC!C29</f>
        <v>44101</v>
      </c>
      <c r="B32" s="523"/>
      <c r="C32" s="523"/>
      <c r="D32" s="523"/>
      <c r="E32" s="523"/>
      <c r="F32" s="523"/>
      <c r="G32" s="523"/>
      <c r="H32" s="567">
        <f t="shared" si="3"/>
        <v>6555</v>
      </c>
      <c r="I32" s="523">
        <f t="shared" si="2"/>
        <v>0</v>
      </c>
      <c r="J32" s="501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3">
        <f t="shared" si="1"/>
        <v>7197</v>
      </c>
    </row>
    <row r="33" spans="1:15" ht="15.75" thickBot="1">
      <c r="A33" s="244">
        <f>ELEC!C30</f>
        <v>44102</v>
      </c>
      <c r="B33" s="523"/>
      <c r="C33" s="523"/>
      <c r="D33" s="523"/>
      <c r="E33" s="523"/>
      <c r="F33" s="523"/>
      <c r="G33" s="523"/>
      <c r="H33" s="567">
        <f t="shared" si="3"/>
        <v>6555</v>
      </c>
      <c r="I33" s="523">
        <f t="shared" si="2"/>
        <v>0</v>
      </c>
      <c r="J33" s="501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3">
        <f t="shared" si="1"/>
        <v>7197</v>
      </c>
    </row>
    <row r="34" spans="1:15" ht="15.75" thickBot="1">
      <c r="A34" s="244">
        <f>ELEC!C31</f>
        <v>44103</v>
      </c>
      <c r="B34" s="523"/>
      <c r="C34" s="523"/>
      <c r="D34" s="523"/>
      <c r="E34" s="523"/>
      <c r="F34" s="523"/>
      <c r="G34" s="523"/>
      <c r="H34" s="567">
        <f t="shared" si="3"/>
        <v>6555</v>
      </c>
      <c r="I34" s="523">
        <f t="shared" si="2"/>
        <v>0</v>
      </c>
      <c r="J34" s="501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3">
        <f t="shared" si="1"/>
        <v>7197</v>
      </c>
    </row>
    <row r="35" spans="1:15" ht="15.75" thickBot="1">
      <c r="A35" s="418">
        <f>ELEC!C32</f>
        <v>44104</v>
      </c>
      <c r="B35" s="523"/>
      <c r="C35" s="523"/>
      <c r="D35" s="523"/>
      <c r="E35" s="523"/>
      <c r="F35" s="523"/>
      <c r="G35" s="523"/>
      <c r="H35" s="567">
        <f t="shared" si="3"/>
        <v>6555</v>
      </c>
      <c r="I35" s="523">
        <f t="shared" si="2"/>
        <v>0</v>
      </c>
      <c r="J35" s="503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3">
        <f t="shared" si="1"/>
        <v>7197</v>
      </c>
    </row>
    <row r="36" spans="1:15">
      <c r="A36" s="418">
        <f>ELEC!C33</f>
        <v>44105</v>
      </c>
      <c r="B36" s="523"/>
      <c r="C36" s="523"/>
      <c r="D36" s="523"/>
      <c r="E36" s="523"/>
      <c r="F36" s="523"/>
      <c r="G36" s="523"/>
      <c r="H36" s="567">
        <f t="shared" si="3"/>
        <v>6555</v>
      </c>
      <c r="I36" s="523">
        <f t="shared" ref="I36" si="5">H36-H35</f>
        <v>0</v>
      </c>
      <c r="J36" s="503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3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8" t="s">
        <v>161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</row>
    <row r="2" spans="1:28" ht="19.5">
      <c r="A2" s="719"/>
      <c r="B2" s="719"/>
      <c r="C2" s="719"/>
      <c r="D2" s="719"/>
      <c r="E2" s="719"/>
      <c r="F2" s="719"/>
      <c r="G2" s="719"/>
      <c r="H2" s="719"/>
      <c r="I2" s="719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</row>
    <row r="3" spans="1:28" ht="19.5">
      <c r="A3" s="719" t="s">
        <v>162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9" t="s">
        <v>411</v>
      </c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  <c r="S5" s="719"/>
      <c r="T5" s="719"/>
      <c r="U5" s="719"/>
      <c r="V5" s="719"/>
      <c r="W5" s="719"/>
      <c r="X5" s="719"/>
    </row>
    <row r="6" spans="1:28" ht="15.75" thickBot="1">
      <c r="A6" s="720"/>
      <c r="B6" s="720"/>
      <c r="C6" s="720"/>
      <c r="D6" s="720"/>
      <c r="E6" s="720"/>
      <c r="F6" s="720"/>
      <c r="G6" s="720"/>
      <c r="H6" s="720"/>
      <c r="I6" s="720"/>
      <c r="J6" s="720"/>
      <c r="K6" s="720"/>
      <c r="L6" s="720"/>
      <c r="M6" s="720"/>
      <c r="N6" s="720"/>
      <c r="O6" s="720"/>
      <c r="P6" s="720"/>
      <c r="Q6" s="720"/>
      <c r="R6" s="720"/>
      <c r="S6" s="720"/>
      <c r="T6" s="720"/>
      <c r="U6" s="720"/>
      <c r="V6" s="720"/>
      <c r="W6" s="720"/>
      <c r="X6" s="720"/>
    </row>
    <row r="7" spans="1:28" ht="15.75" thickBot="1">
      <c r="A7" s="708" t="s">
        <v>163</v>
      </c>
      <c r="B7" s="709"/>
      <c r="C7" s="710" t="s">
        <v>164</v>
      </c>
      <c r="D7" s="711"/>
      <c r="E7" s="711"/>
      <c r="F7" s="711"/>
      <c r="G7" s="711"/>
      <c r="H7" s="711"/>
      <c r="I7" s="711"/>
      <c r="J7" s="711"/>
      <c r="K7" s="71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5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5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5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5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5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5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5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5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5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5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5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5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5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5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5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5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5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5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5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5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5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5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5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5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5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5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5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5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5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5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5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5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5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5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5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5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5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5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5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5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5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5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5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5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5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5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5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5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5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5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5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5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5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5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5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5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5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5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5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5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5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34</v>
      </c>
      <c r="K50" s="278">
        <f>'General information '!C8</f>
        <v>29</v>
      </c>
      <c r="L50" s="119">
        <f t="shared" si="11"/>
        <v>13.2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33</v>
      </c>
      <c r="K51" s="278">
        <f>'General information '!C9</f>
        <v>27</v>
      </c>
      <c r="L51" s="119">
        <f t="shared" si="11"/>
        <v>11.7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31</v>
      </c>
      <c r="K52" s="278">
        <f>'General information '!C10</f>
        <v>25</v>
      </c>
      <c r="L52" s="119">
        <f t="shared" si="11"/>
        <v>9.6999999999999993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31</v>
      </c>
      <c r="K53" s="278">
        <f>'General information '!C11</f>
        <v>25</v>
      </c>
      <c r="L53" s="119">
        <f t="shared" si="11"/>
        <v>9.6999999999999993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32</v>
      </c>
      <c r="K54" s="278">
        <f>'General information '!C12</f>
        <v>27</v>
      </c>
      <c r="L54" s="119">
        <f t="shared" si="11"/>
        <v>11.2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32</v>
      </c>
      <c r="K55" s="278">
        <f>'General information '!C13</f>
        <v>27</v>
      </c>
      <c r="L55" s="119">
        <f t="shared" si="11"/>
        <v>11.2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31</v>
      </c>
      <c r="K56" s="278">
        <f>'General information '!C14</f>
        <v>28</v>
      </c>
      <c r="L56" s="119">
        <f t="shared" si="11"/>
        <v>11.2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32</v>
      </c>
      <c r="K57" s="278">
        <f>'General information '!C15</f>
        <v>26</v>
      </c>
      <c r="L57" s="119">
        <f t="shared" si="11"/>
        <v>10.7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32</v>
      </c>
      <c r="K58" s="278">
        <f>'General information '!C16</f>
        <v>28</v>
      </c>
      <c r="L58" s="119">
        <f t="shared" si="11"/>
        <v>11.7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31</v>
      </c>
      <c r="K59" s="278">
        <f>'General information '!C17</f>
        <v>28</v>
      </c>
      <c r="L59" s="119">
        <f t="shared" si="11"/>
        <v>11.2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31</v>
      </c>
      <c r="K60" s="278">
        <f>'General information '!C18</f>
        <v>25</v>
      </c>
      <c r="L60" s="119">
        <f t="shared" si="11"/>
        <v>9.6999999999999993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31</v>
      </c>
      <c r="K61" s="278">
        <f>'General information '!C19</f>
        <v>26</v>
      </c>
      <c r="L61" s="119">
        <f t="shared" si="11"/>
        <v>10.199999999999999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30</v>
      </c>
      <c r="K62" s="278">
        <f>'General information '!C20</f>
        <v>23</v>
      </c>
      <c r="L62" s="119">
        <f t="shared" si="11"/>
        <v>8.1999999999999993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31</v>
      </c>
      <c r="K63" s="278">
        <f>'General information '!C21</f>
        <v>26</v>
      </c>
      <c r="L63" s="119">
        <f t="shared" si="11"/>
        <v>10.199999999999999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30</v>
      </c>
      <c r="K64" s="278">
        <f>'General information '!C22</f>
        <v>26</v>
      </c>
      <c r="L64" s="119">
        <f t="shared" si="11"/>
        <v>9.6999999999999993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30</v>
      </c>
      <c r="K65" s="278">
        <f>'General information '!C23</f>
        <v>25</v>
      </c>
      <c r="L65" s="119">
        <f t="shared" si="11"/>
        <v>9.1999999999999993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32</v>
      </c>
      <c r="K66" s="278">
        <f>'General information '!C24</f>
        <v>25</v>
      </c>
      <c r="L66" s="119">
        <f t="shared" si="11"/>
        <v>10.199999999999999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30</v>
      </c>
      <c r="K67" s="278">
        <f>'General information '!C25</f>
        <v>22</v>
      </c>
      <c r="L67" s="119">
        <f t="shared" si="11"/>
        <v>7.6999999999999993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30</v>
      </c>
      <c r="K68" s="278">
        <f>'General information '!C26</f>
        <v>27</v>
      </c>
      <c r="L68" s="119">
        <f t="shared" si="11"/>
        <v>10.199999999999999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30</v>
      </c>
      <c r="K69" s="278">
        <f>'General information '!C27</f>
        <v>26</v>
      </c>
      <c r="L69" s="119">
        <f t="shared" si="11"/>
        <v>9.6999999999999993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0</v>
      </c>
      <c r="K70" s="278">
        <f>'General information '!C28</f>
        <v>0</v>
      </c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0</v>
      </c>
      <c r="K71" s="278">
        <f>'General information '!C29</f>
        <v>0</v>
      </c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0</v>
      </c>
      <c r="K72" s="278">
        <f>'General information '!C30</f>
        <v>0</v>
      </c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0</v>
      </c>
      <c r="K73" s="278">
        <f>'General information '!C31</f>
        <v>0</v>
      </c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0</v>
      </c>
      <c r="K74" s="278">
        <f>'General information '!C32</f>
        <v>0</v>
      </c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0</v>
      </c>
      <c r="K75" s="278">
        <f>'General information '!C33</f>
        <v>0</v>
      </c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-146.4</v>
      </c>
      <c r="K81" s="119">
        <f>SUMIF(L48:L78,"&gt;0")</f>
        <v>228.89999999999989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3" t="s">
        <v>174</v>
      </c>
      <c r="O84" s="713" t="s">
        <v>175</v>
      </c>
      <c r="P84" s="134"/>
      <c r="T84" s="134"/>
      <c r="X84" s="134"/>
    </row>
    <row r="85" spans="1:24" ht="20.25" thickBot="1">
      <c r="D85" s="134"/>
      <c r="I85" s="715" t="s">
        <v>182</v>
      </c>
      <c r="J85" s="716"/>
      <c r="K85" s="716"/>
      <c r="L85" s="716"/>
      <c r="N85" s="714"/>
      <c r="O85" s="714"/>
      <c r="P85" s="134"/>
      <c r="R85" s="17"/>
      <c r="S85" s="17"/>
      <c r="T85" s="140"/>
      <c r="U85" s="141"/>
      <c r="X85" s="134"/>
    </row>
    <row r="86" spans="1:24" ht="18.75" thickBot="1">
      <c r="D86" s="134"/>
      <c r="I86" s="717" t="s">
        <v>183</v>
      </c>
      <c r="J86" s="717"/>
      <c r="K86" s="717"/>
      <c r="L86" s="717"/>
      <c r="N86" s="142">
        <f>B43+F43+J43+N43+R43+V43+B81+F81+J81+N81+R81+V81</f>
        <v>-2249.5</v>
      </c>
      <c r="O86" s="142">
        <f>C43+G43+K43+O43+S43+W43+C81+G81+K81+O81+S81+W81</f>
        <v>1164.2999999999995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216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22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WATER!H37</f>
        <v>684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5500</v>
      </c>
      <c r="G7" s="524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15000</v>
      </c>
      <c r="C8" s="507">
        <f>SUM(tanks!AU37)</f>
        <v>0.54</v>
      </c>
      <c r="D8" s="194">
        <f>SUM(B8*C8)*D4</f>
        <v>12210750.000000002</v>
      </c>
      <c r="E8" s="195">
        <f>SUM(D8/D4/F4)</f>
        <v>368.18181818181824</v>
      </c>
      <c r="F8" s="195">
        <f>SUM(E8*F4)</f>
        <v>8100.0000000000018</v>
      </c>
      <c r="G8" s="524">
        <f>E8*$F$4</f>
        <v>8100.0000000000018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3.1818181818181815E-3</v>
      </c>
      <c r="F9" s="192">
        <f>SUM(E9*F4)</f>
        <v>6.9999999999999993E-2</v>
      </c>
      <c r="G9" s="524">
        <f>E9*$G$4</f>
        <v>9.5454545454545445E-2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16257625.533333333</v>
      </c>
      <c r="E10" s="185">
        <f>SUM(D10/D4/F4)</f>
        <v>490.20429770340218</v>
      </c>
      <c r="F10" s="185">
        <f>SUM(E10*F4)</f>
        <v>10784.494549474848</v>
      </c>
      <c r="G10" s="524">
        <f>E10*$G$4</f>
        <v>14706.128931102065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1108.3892977034022</v>
      </c>
      <c r="F12" s="183">
        <f>SUM(F6:F10)</f>
        <v>24384.56454947485</v>
      </c>
      <c r="G12" s="182">
        <f>SUM(G6:G10)</f>
        <v>30306.224385647522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3">
        <v>0</v>
      </c>
      <c r="G14" s="433"/>
      <c r="H14" s="434">
        <f>SUM(G12-H12)</f>
        <v>-26193.775614352478</v>
      </c>
      <c r="I14" s="434">
        <f>SUM(G12-I12)</f>
        <v>-73293.775614352475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3">
        <v>0</v>
      </c>
      <c r="G15" s="433"/>
      <c r="H15" s="17"/>
      <c r="I15" s="17"/>
      <c r="J15" s="17"/>
    </row>
    <row r="16" spans="1:11">
      <c r="A16" s="462" t="s">
        <v>304</v>
      </c>
      <c r="B16" s="595">
        <f>'General information '!D38</f>
        <v>28.704545454545453</v>
      </c>
      <c r="C16" s="445">
        <f>'[11]Utility Cost '!D16</f>
        <v>27.833333333333332</v>
      </c>
      <c r="D16" s="445"/>
      <c r="E16" s="446">
        <f t="shared" si="0"/>
        <v>0.8712121212121211</v>
      </c>
      <c r="F16" s="543">
        <v>0</v>
      </c>
      <c r="G16" s="433"/>
      <c r="H16" s="17"/>
      <c r="I16" s="17"/>
      <c r="J16" s="17"/>
    </row>
    <row r="17" spans="1:10">
      <c r="A17" s="535" t="s">
        <v>316</v>
      </c>
      <c r="B17" s="538">
        <f>'General information '!F37</f>
        <v>0</v>
      </c>
      <c r="C17" s="537">
        <f>'[11]Utility Cost '!D17</f>
        <v>0.68726333333333334</v>
      </c>
      <c r="D17" s="490">
        <v>0</v>
      </c>
      <c r="E17" s="537">
        <f t="shared" si="0"/>
        <v>-0.68726333333333334</v>
      </c>
      <c r="F17" s="541">
        <f>B17-D17</f>
        <v>0</v>
      </c>
      <c r="G17" s="17"/>
      <c r="H17" s="17"/>
      <c r="I17" s="17"/>
      <c r="J17" s="17"/>
    </row>
    <row r="18" spans="1:10">
      <c r="A18" s="536" t="s">
        <v>388</v>
      </c>
      <c r="B18" s="540">
        <f>GEN!Z34</f>
        <v>125</v>
      </c>
      <c r="C18" s="445">
        <f>'[11]Utility Cost '!D18</f>
        <v>329</v>
      </c>
      <c r="D18" s="443">
        <f>'[12]Other Fuel Calculation 2020'!$J$60</f>
        <v>307.66666666666669</v>
      </c>
      <c r="E18" s="539">
        <f t="shared" si="0"/>
        <v>-204</v>
      </c>
      <c r="F18" s="542">
        <f>B18-D18</f>
        <v>-182.66666666666669</v>
      </c>
    </row>
    <row r="19" spans="1:10">
      <c r="A19" s="536" t="s">
        <v>413</v>
      </c>
      <c r="B19" s="534">
        <f>SUM(B18/$F$4)</f>
        <v>5.6818181818181817</v>
      </c>
      <c r="C19" s="445">
        <f>'[11]Utility Cost '!D19</f>
        <v>0</v>
      </c>
      <c r="D19" s="444"/>
      <c r="E19" s="444"/>
      <c r="F19" s="52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2020-09-23T07:00:50Z</dcterms:modified>
</cp:coreProperties>
</file>