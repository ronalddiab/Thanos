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F19" i="7" l="1"/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<sst xmlns="http://schemas.openxmlformats.org/spreadsheetml/2006/main" count="315" uniqueCount="148">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</sst>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 t="e">
        <f>Submetering!E19+Submetering!F19+Submetering!G19+Submetering!H19+Submetering!J19-Submetering!AV19</f>
        <v>#VALUE!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 t="e">
        <f>'FS Desroches Daily'!CM21</f>
        <v>#VALUE!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 t="str">
        <f>IF(LPG!F25-LPG!F24&lt;0,"0",(LPG!F25-LPG!F24)*1.8315)</f>
        <v>0</v>
      </c>
      <c r="AY18" s="31" t="str">
        <f>IF(LPG!H25-LPG!H24&lt;0,"0",(LPG!H25-LPG!H24)*1.8315)</f>
        <v>0</v>
      </c>
      <c r="AZ18" s="31" t="str">
        <f>IF(LPG!J25-LPG!J24&lt;0,"0",(LPG!J25-LPG!J24)*1.8315)</f>
        <v>0</v>
      </c>
      <c r="BA18" s="31" t="str">
        <f>IF(LPG!M25-LPG!M24&lt;0,"0",(LPG!M25-LPG!M24)*1.8315)</f>
        <v>0</v>
      </c>
      <c r="BB18" s="31" t="str">
        <f>IF(LPG!Q25-LPG!Q24&lt;0,"0",(LPG!Q25-LPG!Q24)*1.8315)</f>
        <v>0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 t="str">
        <f>'FS Desroches Daily'!D21</f>
        <v>0</v>
      </c>
      <c r="F19" s="32" t="str">
        <f>'FS Desroches Daily'!F21</f>
        <v>0</v>
      </c>
      <c r="G19" s="31" t="str">
        <f>'FS Desroches Daily'!H21</f>
        <v>0</v>
      </c>
      <c r="H19" s="32" t="str">
        <f>'FS Desroches Daily'!J21</f>
        <v>0</v>
      </c>
      <c r="I19" s="31" t="str">
        <f>'FS Desroches Daily'!L21</f>
        <v>0</v>
      </c>
      <c r="J19" s="32" t="str">
        <f>'FS Desroches Daily'!N21</f>
        <v/>
      </c>
      <c r="K19" s="13" t="str">
        <f>'FS Desroches Daily'!P21</f>
        <v/>
      </c>
      <c r="L19" s="31" t="str">
        <f>'FS Desroches Daily'!R21</f>
        <v/>
      </c>
      <c r="M19" s="31" t="e">
        <f>'FS Desroches Daily'!T21</f>
        <v>#VALUE!</v>
      </c>
      <c r="N19" s="31" t="str">
        <f>'FS Desroches Daily'!V21</f>
        <v/>
      </c>
      <c r="O19" s="31" t="str">
        <f>'FS Desroches Daily'!X21</f>
        <v/>
      </c>
      <c r="P19" s="31" t="str">
        <f>'FS Desroches Daily'!Z21</f>
        <v/>
      </c>
      <c r="Q19" s="31" t="str">
        <f>'FS Desroches Daily'!AB21</f>
        <v/>
      </c>
      <c r="R19" s="31" t="str">
        <f>'FS Desroches Daily'!AD21</f>
        <v/>
      </c>
      <c r="S19" s="31" t="str">
        <f>'FS Desroches Daily'!AF21</f>
        <v/>
      </c>
      <c r="T19" s="31" t="str">
        <f>'FS Desroches Daily'!AH21</f>
        <v/>
      </c>
      <c r="U19" s="35" t="str">
        <f>'FS Desroches Daily'!AJ21</f>
        <v/>
      </c>
      <c r="V19" s="35" t="str">
        <f>'FS Desroches Daily'!AL21</f>
        <v/>
      </c>
      <c r="W19" s="35" t="str">
        <f>'FS Desroches Daily'!AN21</f>
        <v/>
      </c>
      <c r="X19" s="35" t="str">
        <f>'FS Desroches Daily'!AP21</f>
        <v/>
      </c>
      <c r="Y19" s="35" t="str">
        <f>'FS Desroches Daily'!AR21</f>
        <v/>
      </c>
      <c r="Z19" s="35" t="str">
        <f>'FS Desroches Daily'!AT21</f>
        <v/>
      </c>
      <c r="AA19" s="35" t="str">
        <f>'FS Desroches Daily'!AT21</f>
        <v/>
      </c>
      <c r="AB19" s="35" t="str">
        <f>'FS Desroches Daily'!AV21</f>
        <v/>
      </c>
      <c r="AC19" s="35" t="str">
        <f>'FS Desroches Daily'!AZ21</f>
        <v/>
      </c>
      <c r="AD19" s="35" t="str">
        <f>'FS Desroches Daily'!BB21</f>
        <v/>
      </c>
      <c r="AE19" s="35" t="str">
        <f>'FS Desroches Daily'!BD21</f>
        <v/>
      </c>
      <c r="AF19" s="31" t="str">
        <f>'FS Desroches Daily'!BF21</f>
        <v/>
      </c>
      <c r="AG19" s="32" t="str">
        <f>'FS Desroches Daily'!BH21</f>
        <v/>
      </c>
      <c r="AH19" s="32" t="str">
        <f>'FS Desroches Daily'!BJ21</f>
        <v/>
      </c>
      <c r="AI19" s="32" t="str">
        <f>'FS Desroches Daily'!BL21</f>
        <v/>
      </c>
      <c r="AJ19" s="32" t="str">
        <f>'FS Desroches Daily'!BN21</f>
        <v/>
      </c>
      <c r="AK19" s="32" t="str">
        <f>'FS Desroches Daily'!BP21</f>
        <v/>
      </c>
      <c r="AL19" s="32" t="str">
        <f>'FS Desroches Daily'!BR21</f>
        <v/>
      </c>
      <c r="AM19" s="32" t="str">
        <f>'FS Desroches Daily'!BT21</f>
        <v/>
      </c>
      <c r="AN19" s="32" t="str">
        <f>'FS Desroches Daily'!BV21</f>
        <v/>
      </c>
      <c r="AO19" s="32" t="str">
        <f>'FS Desroches Daily'!BX21</f>
        <v/>
      </c>
      <c r="AP19" s="32" t="str">
        <f>'FS Desroches Daily'!BZ21</f>
        <v/>
      </c>
      <c r="AQ19" s="31" t="str">
        <f>'FS Desroches Daily'!CB21</f>
        <v/>
      </c>
      <c r="AR19" s="31" t="str">
        <f>'FS Desroches Daily'!CD21</f>
        <v/>
      </c>
      <c r="AS19" s="31" t="str">
        <f>'FS Desroches Daily'!CF21</f>
        <v/>
      </c>
      <c r="AT19" s="31" t="str">
        <f>'FS Desroches Daily'!CH21</f>
        <v/>
      </c>
      <c r="AU19" s="31" t="str">
        <f>'FS Desroches Daily'!CJ21</f>
        <v/>
      </c>
      <c r="AV19" s="31" t="str">
        <f>'FS Desroches Daily'!CL21</f>
        <v/>
      </c>
      <c r="AW19" s="31" t="e">
        <f>'FS Desroches Daily'!CM21</f>
        <v>#VALUE!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56000.000000000073</v>
      </c>
      <c r="F33" s="17">
        <f t="shared" ref="F33:BC33" si="0">SUM(F2:F32)</f>
        <v>57500.000000000124</v>
      </c>
      <c r="G33" s="17">
        <f t="shared" si="0"/>
        <v>69799.999999999884</v>
      </c>
      <c r="H33" s="17">
        <f t="shared" si="0"/>
        <v>28200.000000000011</v>
      </c>
      <c r="I33" s="17">
        <f t="shared" si="0"/>
        <v>45599.999999999869</v>
      </c>
      <c r="J33" s="17">
        <f t="shared" si="0"/>
        <v>28599.999999999971</v>
      </c>
      <c r="K33" s="17">
        <f t="shared" si="0"/>
        <v>502</v>
      </c>
      <c r="L33" s="17">
        <f t="shared" si="0"/>
        <v>76</v>
      </c>
      <c r="M33" s="17" t="e">
        <f t="shared" si="0"/>
        <v>#VALUE!</v>
      </c>
      <c r="N33" s="17">
        <f t="shared" si="0"/>
        <v>8770.1999999999534</v>
      </c>
      <c r="O33" s="17">
        <f t="shared" si="0"/>
        <v>5830.0000000000409</v>
      </c>
      <c r="P33" s="17">
        <f t="shared" si="0"/>
        <v>51200.000000000589</v>
      </c>
      <c r="Q33" s="17">
        <f t="shared" si="0"/>
        <v>5789.9999999999636</v>
      </c>
      <c r="R33" s="17">
        <f t="shared" si="0"/>
        <v>6389.9999999999864</v>
      </c>
      <c r="S33" s="17">
        <f t="shared" si="0"/>
        <v>14370.000000000004</v>
      </c>
      <c r="T33" s="17">
        <f t="shared" si="0"/>
        <v>797</v>
      </c>
      <c r="U33" s="35">
        <f t="shared" si="0"/>
        <v>15100.000000000115</v>
      </c>
      <c r="V33" s="35">
        <f t="shared" si="0"/>
        <v>4170.0000000000164</v>
      </c>
      <c r="W33" s="35">
        <f t="shared" si="0"/>
        <v>2870.0000000000045</v>
      </c>
      <c r="X33" s="35">
        <f t="shared" si="0"/>
        <v>4220.0000000000273</v>
      </c>
      <c r="Y33" s="35">
        <f t="shared" si="0"/>
        <v>3620.0000000000045</v>
      </c>
      <c r="Z33" s="35">
        <f t="shared" si="0"/>
        <v>5025.5199999999868</v>
      </c>
      <c r="AA33" s="35">
        <f t="shared" si="0"/>
        <v>5025.5199999999868</v>
      </c>
      <c r="AB33" s="35">
        <f t="shared" si="0"/>
        <v>3359.9999999999568</v>
      </c>
      <c r="AC33" s="35">
        <f t="shared" si="0"/>
        <v>3089.999999999975</v>
      </c>
      <c r="AD33" s="35">
        <f t="shared" si="0"/>
        <v>2970.0000000000273</v>
      </c>
      <c r="AE33" s="35">
        <f t="shared" si="0"/>
        <v>2500</v>
      </c>
      <c r="AF33" s="17">
        <f t="shared" si="0"/>
        <v>789</v>
      </c>
      <c r="AG33" s="32">
        <f t="shared" si="0"/>
        <v>670.00000000001592</v>
      </c>
      <c r="AH33" s="32">
        <f t="shared" si="0"/>
        <v>719.99999999997044</v>
      </c>
      <c r="AI33" s="32">
        <f t="shared" si="0"/>
        <v>1089.999999999975</v>
      </c>
      <c r="AJ33" s="32">
        <f t="shared" si="0"/>
        <v>729.99999999998977</v>
      </c>
      <c r="AK33" s="32">
        <f t="shared" si="0"/>
        <v>620.00000000000455</v>
      </c>
      <c r="AL33" s="32">
        <f t="shared" si="0"/>
        <v>757</v>
      </c>
      <c r="AM33" s="32">
        <f t="shared" si="0"/>
        <v>750</v>
      </c>
      <c r="AN33" s="32">
        <f t="shared" si="0"/>
        <v>740</v>
      </c>
      <c r="AO33" s="32">
        <f t="shared" si="0"/>
        <v>689.99999999999773</v>
      </c>
      <c r="AP33" s="32">
        <f t="shared" si="0"/>
        <v>886</v>
      </c>
      <c r="AQ33" s="17">
        <f t="shared" si="0"/>
        <v>1382.0999999999985</v>
      </c>
      <c r="AR33" s="17">
        <f t="shared" si="0"/>
        <v>265.80000000000291</v>
      </c>
      <c r="AS33" s="17">
        <f t="shared" si="0"/>
        <v>56.199999999998909</v>
      </c>
      <c r="AT33" s="17">
        <f t="shared" si="0"/>
        <v>997.60000000000582</v>
      </c>
      <c r="AU33" s="17">
        <f t="shared" si="0"/>
        <v>5334</v>
      </c>
      <c r="AV33" s="17">
        <f t="shared" si="0"/>
        <v>18399.999999999862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84.248999999999995</v>
      </c>
      <c r="BC33" s="17">
        <f t="shared" si="0"/>
        <v>600</v>
      </c>
    </row>
    <row r="35" spans="5:55" x14ac:dyDescent="0.25">
      <c r="E35" s="38">
        <f>E33/E37</f>
        <v>0.24217472906702212</v>
      </c>
      <c r="G35" s="29" t="e">
        <f>G33-M36</f>
        <v>#VALUE!</v>
      </c>
      <c r="AE35" s="35">
        <f>SUM(U33:AE33)</f>
        <v>51951.040000000103</v>
      </c>
      <c r="AG35" s="32">
        <f>SUM(AG33:AP33)</f>
        <v>7652.9999999999527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231238.00000000006</v>
      </c>
      <c r="G37" s="37" t="e">
        <f>M36/E37</f>
        <v>#VALUE!</v>
      </c>
      <c r="M37" s="35">
        <f>AE35</f>
        <v>51951.040000000103</v>
      </c>
    </row>
    <row r="38" spans="5:55" x14ac:dyDescent="0.25">
      <c r="L38" s="27">
        <f>M38/E37</f>
        <v>3.3095771456248327E-2</v>
      </c>
      <c r="M38" s="29">
        <f>AG35</f>
        <v>7652.9999999999527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C1" zoomScale="82" zoomScaleNormal="82" workbookViewId="0">
      <pane ySplit="1" topLeftCell="A2" activePane="bottomLeft" state="frozen"/>
      <selection pane="bottomLeft" activeCell="BF20" sqref="BF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/>
      <c r="D21" s="64" t="str">
        <f t="shared" si="0"/>
        <v>0</v>
      </c>
      <c r="E21" s="58"/>
      <c r="F21" s="64" t="str">
        <f t="shared" si="1"/>
        <v>0</v>
      </c>
      <c r="G21" s="58"/>
      <c r="H21" s="64" t="str">
        <f t="shared" si="2"/>
        <v>0</v>
      </c>
      <c r="I21" s="58"/>
      <c r="J21" s="64" t="str">
        <f t="shared" si="3"/>
        <v>0</v>
      </c>
      <c r="K21" s="58"/>
      <c r="L21" s="64" t="str">
        <f t="shared" si="48"/>
        <v>0</v>
      </c>
      <c r="M21" s="58"/>
      <c r="N21" s="64" t="str">
        <f t="shared" si="49"/>
        <v/>
      </c>
      <c r="O21" s="58"/>
      <c r="P21" s="67" t="str">
        <f t="shared" si="6"/>
        <v/>
      </c>
      <c r="Q21" s="58"/>
      <c r="R21" s="67" t="str">
        <f t="shared" si="7"/>
        <v/>
      </c>
      <c r="S21" s="58"/>
      <c r="T21" s="67" t="e">
        <f t="shared" si="8"/>
        <v>#VALUE!</v>
      </c>
      <c r="U21" s="58"/>
      <c r="V21" s="67" t="str">
        <f t="shared" si="9"/>
        <v/>
      </c>
      <c r="W21" s="58"/>
      <c r="X21" s="65" t="str">
        <f t="shared" si="10"/>
        <v/>
      </c>
      <c r="Y21" s="58"/>
      <c r="Z21" s="65" t="str">
        <f t="shared" si="11"/>
        <v/>
      </c>
      <c r="AA21" s="58"/>
      <c r="AB21" s="65" t="str">
        <f t="shared" si="12"/>
        <v/>
      </c>
      <c r="AC21" s="58"/>
      <c r="AD21" s="65" t="str">
        <f t="shared" si="13"/>
        <v/>
      </c>
      <c r="AE21" s="58"/>
      <c r="AF21" s="65" t="str">
        <f t="shared" si="14"/>
        <v/>
      </c>
      <c r="AG21" s="58"/>
      <c r="AH21" s="67" t="str">
        <f t="shared" si="15"/>
        <v/>
      </c>
      <c r="AI21" s="58"/>
      <c r="AJ21" s="65" t="str">
        <f t="shared" si="16"/>
        <v/>
      </c>
      <c r="AK21" s="58"/>
      <c r="AL21" s="65" t="str">
        <f t="shared" si="17"/>
        <v/>
      </c>
      <c r="AM21" s="58"/>
      <c r="AN21" s="65" t="str">
        <f t="shared" si="18"/>
        <v/>
      </c>
      <c r="AO21" s="58"/>
      <c r="AP21" s="65" t="str">
        <f t="shared" si="19"/>
        <v/>
      </c>
      <c r="AQ21" s="58"/>
      <c r="AR21" s="65" t="str">
        <f t="shared" si="20"/>
        <v/>
      </c>
      <c r="AS21" s="58"/>
      <c r="AT21" s="65" t="str">
        <f t="shared" si="21"/>
        <v/>
      </c>
      <c r="AU21" s="58"/>
      <c r="AV21" s="65" t="str">
        <f t="shared" si="22"/>
        <v/>
      </c>
      <c r="AW21" s="58"/>
      <c r="AX21" s="65" t="str">
        <f t="shared" si="23"/>
        <v/>
      </c>
      <c r="AY21" s="58"/>
      <c r="AZ21" s="65" t="str">
        <f t="shared" si="24"/>
        <v/>
      </c>
      <c r="BA21" s="58"/>
      <c r="BB21" s="65" t="str">
        <f t="shared" si="25"/>
        <v/>
      </c>
      <c r="BC21" s="58"/>
      <c r="BD21" s="65" t="str">
        <f t="shared" si="26"/>
        <v/>
      </c>
      <c r="BE21" s="59"/>
      <c r="BF21" s="67" t="str">
        <f t="shared" si="27"/>
        <v/>
      </c>
      <c r="BG21" s="60"/>
      <c r="BH21" s="65" t="str">
        <f t="shared" si="28"/>
        <v/>
      </c>
      <c r="BI21" s="60"/>
      <c r="BJ21" s="65" t="str">
        <f t="shared" si="29"/>
        <v/>
      </c>
      <c r="BK21" s="60"/>
      <c r="BL21" s="65" t="str">
        <f t="shared" si="30"/>
        <v/>
      </c>
      <c r="BM21" s="60"/>
      <c r="BN21" s="65" t="str">
        <f t="shared" si="31"/>
        <v/>
      </c>
      <c r="BO21" s="60"/>
      <c r="BP21" s="65" t="str">
        <f t="shared" si="32"/>
        <v/>
      </c>
      <c r="BQ21" s="60"/>
      <c r="BR21" s="65" t="str">
        <f t="shared" si="33"/>
        <v/>
      </c>
      <c r="BS21" s="60"/>
      <c r="BT21" s="65" t="str">
        <f t="shared" si="34"/>
        <v/>
      </c>
      <c r="BU21" s="60"/>
      <c r="BV21" s="65" t="str">
        <f t="shared" si="35"/>
        <v/>
      </c>
      <c r="BW21" s="60"/>
      <c r="BX21" s="65" t="str">
        <f t="shared" si="36"/>
        <v/>
      </c>
      <c r="BY21" s="60"/>
      <c r="BZ21" s="67" t="str">
        <f t="shared" si="37"/>
        <v/>
      </c>
      <c r="CA21" s="60"/>
      <c r="CB21" s="67" t="str">
        <f t="shared" si="38"/>
        <v/>
      </c>
      <c r="CC21" s="60"/>
      <c r="CD21" s="67" t="str">
        <f t="shared" si="39"/>
        <v/>
      </c>
      <c r="CE21" s="60"/>
      <c r="CF21" s="67" t="str">
        <f t="shared" si="40"/>
        <v/>
      </c>
      <c r="CG21" s="60"/>
      <c r="CH21" s="67" t="str">
        <f t="shared" si="41"/>
        <v/>
      </c>
      <c r="CI21" s="60"/>
      <c r="CJ21" s="67" t="str">
        <f t="shared" si="42"/>
        <v/>
      </c>
      <c r="CK21" s="60"/>
      <c r="CL21" s="64" t="str">
        <f t="shared" si="43"/>
        <v/>
      </c>
      <c r="CM21" s="65" t="e">
        <f t="shared" si="50"/>
        <v>#VALUE!</v>
      </c>
      <c r="CN21" s="62"/>
      <c r="CO21" s="62"/>
      <c r="CP21" s="68"/>
      <c r="CQ21" s="67" t="str">
        <f t="shared" si="51"/>
        <v/>
      </c>
      <c r="CR21" s="68"/>
      <c r="CS21" s="67" t="str">
        <f t="shared" si="44"/>
        <v/>
      </c>
      <c r="CT21" s="75"/>
      <c r="CU21" s="67" t="str">
        <f t="shared" si="45"/>
        <v/>
      </c>
      <c r="CV21" s="68"/>
      <c r="CW21" s="67" t="str">
        <f t="shared" si="46"/>
        <v/>
      </c>
      <c r="CX21" s="58"/>
      <c r="CY21" s="67" t="str">
        <f t="shared" si="47"/>
        <v/>
      </c>
    </row>
    <row r="22" spans="1:103" ht="25.5" customHeight="1" thickBot="1" x14ac:dyDescent="0.45">
      <c r="A22" s="63">
        <v>44945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8"/>
        <v>0</v>
      </c>
      <c r="M22" s="58"/>
      <c r="N22" s="64">
        <f t="shared" si="49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50"/>
        <v>0</v>
      </c>
      <c r="CN22" s="62"/>
      <c r="CO22" s="62"/>
      <c r="CP22" s="68"/>
      <c r="CQ22" s="67">
        <f t="shared" si="51"/>
        <v>0</v>
      </c>
      <c r="CR22" s="68"/>
      <c r="CS22" s="67">
        <f t="shared" si="44"/>
        <v>0</v>
      </c>
      <c r="CT22" s="75"/>
      <c r="CU22" s="67">
        <f t="shared" si="45"/>
        <v>0</v>
      </c>
      <c r="CV22" s="68"/>
      <c r="CW22" s="67">
        <f t="shared" si="46"/>
        <v>0</v>
      </c>
      <c r="CX22" s="58"/>
      <c r="CY22" s="67">
        <f t="shared" si="47"/>
        <v>0</v>
      </c>
    </row>
    <row r="23" spans="1:103" ht="25.5" customHeight="1" thickBot="1" x14ac:dyDescent="0.45">
      <c r="A23" s="63">
        <v>44946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8"/>
        <v>0</v>
      </c>
      <c r="M23" s="58"/>
      <c r="N23" s="64">
        <f t="shared" si="49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51"/>
        <v>0</v>
      </c>
      <c r="CR23" s="68"/>
      <c r="CS23" s="67">
        <f t="shared" si="44"/>
        <v>0</v>
      </c>
      <c r="CT23" s="75"/>
      <c r="CU23" s="67">
        <f t="shared" si="45"/>
        <v>0</v>
      </c>
      <c r="CV23" s="68"/>
      <c r="CW23" s="67">
        <f t="shared" si="46"/>
        <v>0</v>
      </c>
      <c r="CX23" s="58"/>
      <c r="CY23" s="67">
        <f t="shared" si="47"/>
        <v>0</v>
      </c>
    </row>
    <row r="24" spans="1:103" ht="25.5" customHeight="1" thickBot="1" x14ac:dyDescent="0.45">
      <c r="A24" s="63">
        <v>44947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8"/>
        <v>0</v>
      </c>
      <c r="M24" s="58"/>
      <c r="N24" s="64">
        <f t="shared" si="49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50"/>
        <v>0</v>
      </c>
      <c r="CN24" s="62"/>
      <c r="CO24" s="62"/>
      <c r="CP24" s="68"/>
      <c r="CQ24" s="67">
        <f t="shared" si="51"/>
        <v>0</v>
      </c>
      <c r="CR24" s="68"/>
      <c r="CS24" s="67">
        <f t="shared" si="44"/>
        <v>0</v>
      </c>
      <c r="CT24" s="75"/>
      <c r="CU24" s="67">
        <f t="shared" si="45"/>
        <v>0</v>
      </c>
      <c r="CV24" s="68"/>
      <c r="CW24" s="67">
        <f t="shared" si="46"/>
        <v>0</v>
      </c>
      <c r="CX24" s="58"/>
      <c r="CY24" s="67">
        <f t="shared" si="47"/>
        <v>0</v>
      </c>
    </row>
    <row r="25" spans="1:103" ht="25.5" customHeight="1" thickBot="1" x14ac:dyDescent="0.45">
      <c r="A25" s="63">
        <v>44948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8"/>
        <v>0</v>
      </c>
      <c r="M25" s="58"/>
      <c r="N25" s="64">
        <f t="shared" si="49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50"/>
        <v>0</v>
      </c>
      <c r="CN25" s="62"/>
      <c r="CO25" s="62"/>
      <c r="CP25" s="68"/>
      <c r="CQ25" s="67">
        <f t="shared" si="51"/>
        <v>0</v>
      </c>
      <c r="CR25" s="68"/>
      <c r="CS25" s="67">
        <f t="shared" si="44"/>
        <v>0</v>
      </c>
      <c r="CT25" s="75"/>
      <c r="CU25" s="67">
        <f t="shared" si="45"/>
        <v>0</v>
      </c>
      <c r="CV25" s="68"/>
      <c r="CW25" s="67">
        <f t="shared" si="46"/>
        <v>0</v>
      </c>
      <c r="CX25" s="58"/>
      <c r="CY25" s="67">
        <f t="shared" si="47"/>
        <v>0</v>
      </c>
    </row>
    <row r="26" spans="1:103" ht="25.5" customHeight="1" thickBot="1" x14ac:dyDescent="0.45">
      <c r="A26" s="63">
        <v>44949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8"/>
        <v>0</v>
      </c>
      <c r="M26" s="58"/>
      <c r="N26" s="64">
        <f t="shared" si="49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50"/>
        <v>0</v>
      </c>
      <c r="CN26" s="62"/>
      <c r="CO26" s="62"/>
      <c r="CP26" s="68"/>
      <c r="CQ26" s="67">
        <f t="shared" si="51"/>
        <v>0</v>
      </c>
      <c r="CR26" s="68"/>
      <c r="CS26" s="67">
        <f t="shared" si="44"/>
        <v>0</v>
      </c>
      <c r="CT26" s="75"/>
      <c r="CU26" s="67">
        <f t="shared" si="45"/>
        <v>0</v>
      </c>
      <c r="CV26" s="68"/>
      <c r="CW26" s="67">
        <f t="shared" si="46"/>
        <v>0</v>
      </c>
      <c r="CX26" s="58"/>
      <c r="CY26" s="67">
        <f t="shared" si="47"/>
        <v>0</v>
      </c>
    </row>
    <row r="27" spans="1:103" ht="25.5" customHeight="1" thickBot="1" x14ac:dyDescent="0.45">
      <c r="A27" s="63">
        <v>44950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8"/>
        <v>0</v>
      </c>
      <c r="M27" s="58"/>
      <c r="N27" s="64">
        <f t="shared" si="49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50"/>
        <v>0</v>
      </c>
      <c r="CN27" s="62"/>
      <c r="CO27" s="62"/>
      <c r="CP27" s="68"/>
      <c r="CQ27" s="67">
        <f t="shared" si="51"/>
        <v>0</v>
      </c>
      <c r="CR27" s="68"/>
      <c r="CS27" s="67">
        <f t="shared" si="44"/>
        <v>0</v>
      </c>
      <c r="CT27" s="75"/>
      <c r="CU27" s="67">
        <f t="shared" si="45"/>
        <v>0</v>
      </c>
      <c r="CV27" s="68"/>
      <c r="CW27" s="67">
        <f t="shared" si="46"/>
        <v>0</v>
      </c>
      <c r="CX27" s="58"/>
      <c r="CY27" s="67">
        <f t="shared" si="47"/>
        <v>0</v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24" sqref="C24:Q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-233</v>
      </c>
    </row>
    <row r="26" spans="1:20" x14ac:dyDescent="0.25">
      <c r="A26" s="73">
        <v>44945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44946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44947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44948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44949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2023-01-18T14:39:43Z</dcterms:modified>
</cp:coreProperties>
</file>