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43" documentId="11_16C02DE5817AB4E5013882DAF72120FF9C7DF6D5" xr6:coauthVersionLast="47" xr6:coauthVersionMax="47" xr10:uidLastSave="{6487D707-E5B7-47E3-8F8A-848C6A9A9897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August 2018" sheetId="14" r:id="rId2"/>
    <sheet name="RNs &amp; Covers August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0" i="14" l="1"/>
  <c r="V50" i="14"/>
  <c r="I12" i="14"/>
  <c r="N12" i="14"/>
  <c r="P12" i="14"/>
  <c r="Q12" i="14"/>
  <c r="V12" i="14"/>
  <c r="W12" i="14"/>
  <c r="AB12" i="14"/>
  <c r="I13" i="14"/>
  <c r="N13" i="14"/>
  <c r="P13" i="14"/>
  <c r="Q13" i="14"/>
  <c r="V13" i="14"/>
  <c r="W13" i="14" s="1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O13" i="14" l="1"/>
  <c r="O12" i="14"/>
  <c r="AB47" i="14"/>
  <c r="AG42" i="14"/>
  <c r="AD42" i="14"/>
  <c r="G32" i="11"/>
  <c r="V42" i="14"/>
  <c r="Q42" i="14"/>
  <c r="K32" i="11" s="1"/>
  <c r="N42" i="14"/>
  <c r="P42" i="14"/>
  <c r="E32" i="11" s="1"/>
  <c r="I42" i="14"/>
  <c r="I32" i="11"/>
  <c r="J32" i="11"/>
  <c r="V14" i="14"/>
  <c r="W14" i="14" s="1"/>
  <c r="V15" i="14"/>
  <c r="W15" i="14" s="1"/>
  <c r="V16" i="14"/>
  <c r="V17" i="14"/>
  <c r="W17" i="14" s="1"/>
  <c r="V18" i="14"/>
  <c r="W18" i="14" s="1"/>
  <c r="V19" i="14"/>
  <c r="V20" i="14"/>
  <c r="W20" i="14" s="1"/>
  <c r="V21" i="14"/>
  <c r="W21" i="14" s="1"/>
  <c r="V22" i="14"/>
  <c r="V23" i="14"/>
  <c r="V24" i="14"/>
  <c r="W24" i="14" s="1"/>
  <c r="V25" i="14"/>
  <c r="W25" i="14" s="1"/>
  <c r="V26" i="14"/>
  <c r="W26" i="14" s="1"/>
  <c r="V27" i="14"/>
  <c r="V28" i="14"/>
  <c r="W28" i="14" s="1"/>
  <c r="V29" i="14"/>
  <c r="W29" i="14" s="1"/>
  <c r="V30" i="14"/>
  <c r="W30" i="14" s="1"/>
  <c r="V31" i="14"/>
  <c r="W31" i="14" s="1"/>
  <c r="G2" i="11"/>
  <c r="H3" i="11"/>
  <c r="H4" i="11"/>
  <c r="H5" i="11"/>
  <c r="H6" i="11"/>
  <c r="G11" i="11"/>
  <c r="G12" i="11"/>
  <c r="H13" i="11"/>
  <c r="G14" i="11"/>
  <c r="H18" i="11"/>
  <c r="H19" i="11"/>
  <c r="G20" i="11"/>
  <c r="H21" i="11"/>
  <c r="B38" i="10"/>
  <c r="G31" i="11"/>
  <c r="H22" i="11"/>
  <c r="H23" i="11"/>
  <c r="G24" i="11"/>
  <c r="H25" i="11"/>
  <c r="G28" i="11"/>
  <c r="H29" i="11"/>
  <c r="G30" i="11"/>
  <c r="N32" i="14"/>
  <c r="N33" i="14"/>
  <c r="N34" i="14"/>
  <c r="N35" i="14"/>
  <c r="N36" i="14"/>
  <c r="N37" i="14"/>
  <c r="N38" i="14"/>
  <c r="N39" i="14"/>
  <c r="N40" i="14"/>
  <c r="N41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C38" i="10"/>
  <c r="AD40" i="14"/>
  <c r="AG40" i="14"/>
  <c r="AG41" i="14"/>
  <c r="AD41" i="14"/>
  <c r="V40" i="14"/>
  <c r="W40" i="14" s="1"/>
  <c r="V41" i="14"/>
  <c r="W41" i="14" s="1"/>
  <c r="Q40" i="14"/>
  <c r="K30" i="11" s="1"/>
  <c r="Q41" i="14"/>
  <c r="K31" i="11" s="1"/>
  <c r="P40" i="14"/>
  <c r="E30" i="11" s="1"/>
  <c r="P41" i="14"/>
  <c r="E31" i="11" s="1"/>
  <c r="I40" i="14"/>
  <c r="I41" i="14"/>
  <c r="I30" i="11"/>
  <c r="J30" i="11"/>
  <c r="H31" i="11"/>
  <c r="I31" i="11"/>
  <c r="J31" i="11"/>
  <c r="Q33" i="14"/>
  <c r="Q34" i="14"/>
  <c r="Q35" i="14"/>
  <c r="K25" i="11" s="1"/>
  <c r="Q36" i="14"/>
  <c r="K26" i="11" s="1"/>
  <c r="Q37" i="14"/>
  <c r="K27" i="11" s="1"/>
  <c r="Q38" i="14"/>
  <c r="K28" i="11" s="1"/>
  <c r="Q39" i="14"/>
  <c r="K29" i="11" s="1"/>
  <c r="Q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/>
  <c r="AG32" i="14"/>
  <c r="AG33" i="14"/>
  <c r="AG34" i="14"/>
  <c r="AG35" i="14"/>
  <c r="AG36" i="14"/>
  <c r="AG37" i="14"/>
  <c r="AG38" i="14"/>
  <c r="AG39" i="14"/>
  <c r="AD31" i="14"/>
  <c r="AD32" i="14"/>
  <c r="AD33" i="14"/>
  <c r="AD34" i="14"/>
  <c r="AD35" i="14"/>
  <c r="AD36" i="14"/>
  <c r="AD37" i="14"/>
  <c r="AD38" i="14"/>
  <c r="AD39" i="14"/>
  <c r="G29" i="11"/>
  <c r="H27" i="11"/>
  <c r="G27" i="11"/>
  <c r="H28" i="11"/>
  <c r="H26" i="11"/>
  <c r="G26" i="11"/>
  <c r="V32" i="14"/>
  <c r="V33" i="14"/>
  <c r="V34" i="14"/>
  <c r="L24" i="11" s="1"/>
  <c r="V35" i="14"/>
  <c r="W35" i="14" s="1"/>
  <c r="V36" i="14"/>
  <c r="L26" i="11" s="1"/>
  <c r="V37" i="14"/>
  <c r="V38" i="14"/>
  <c r="V39" i="14"/>
  <c r="Q31" i="14"/>
  <c r="K21" i="11" s="1"/>
  <c r="Q32" i="14"/>
  <c r="K23" i="11"/>
  <c r="K24" i="11"/>
  <c r="I39" i="14"/>
  <c r="I38" i="14"/>
  <c r="I37" i="14"/>
  <c r="I36" i="14"/>
  <c r="O36" i="14" s="1"/>
  <c r="I35" i="14"/>
  <c r="O35" i="14" s="1"/>
  <c r="I34" i="14"/>
  <c r="O34" i="14" s="1"/>
  <c r="I33" i="14"/>
  <c r="I32" i="14"/>
  <c r="I31" i="14"/>
  <c r="O31" i="14" s="1"/>
  <c r="W39" i="14"/>
  <c r="W33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W32" i="14"/>
  <c r="Q30" i="14"/>
  <c r="Q29" i="14"/>
  <c r="K19" i="11" s="1"/>
  <c r="Q28" i="14"/>
  <c r="Q27" i="14"/>
  <c r="K17" i="11" s="1"/>
  <c r="Q26" i="14"/>
  <c r="Q25" i="14"/>
  <c r="K15" i="11" s="1"/>
  <c r="Q23" i="14"/>
  <c r="Q22" i="14"/>
  <c r="K12" i="11" s="1"/>
  <c r="Q21" i="14"/>
  <c r="L11" i="11" s="1"/>
  <c r="Q20" i="14"/>
  <c r="K10" i="11" s="1"/>
  <c r="Q19" i="14"/>
  <c r="K9" i="11" s="1"/>
  <c r="Q18" i="14"/>
  <c r="Q17" i="14"/>
  <c r="Q16" i="14"/>
  <c r="K6" i="11" s="1"/>
  <c r="Q15" i="14"/>
  <c r="Q14" i="14"/>
  <c r="K4" i="11" s="1"/>
  <c r="K3" i="11"/>
  <c r="K2" i="11"/>
  <c r="AE47" i="14"/>
  <c r="J7" i="11"/>
  <c r="I3" i="11"/>
  <c r="I5" i="11"/>
  <c r="I11" i="11"/>
  <c r="I13" i="11"/>
  <c r="I19" i="11"/>
  <c r="I20" i="11"/>
  <c r="I2" i="11"/>
  <c r="Y47" i="14"/>
  <c r="D47" i="14"/>
  <c r="C47" i="14"/>
  <c r="Z47" i="14"/>
  <c r="J20" i="11"/>
  <c r="I30" i="14"/>
  <c r="O30" i="14" s="1"/>
  <c r="AG29" i="14"/>
  <c r="I29" i="14"/>
  <c r="AG28" i="14"/>
  <c r="I28" i="14"/>
  <c r="O28" i="14" s="1"/>
  <c r="I27" i="14"/>
  <c r="AG26" i="14"/>
  <c r="AD26" i="14"/>
  <c r="I26" i="14"/>
  <c r="AG25" i="14"/>
  <c r="I15" i="11"/>
  <c r="P25" i="14"/>
  <c r="E15" i="11" s="1"/>
  <c r="AG24" i="14"/>
  <c r="I24" i="14"/>
  <c r="AG23" i="14"/>
  <c r="P23" i="14"/>
  <c r="E13" i="11" s="1"/>
  <c r="I22" i="14"/>
  <c r="O22" i="14" s="1"/>
  <c r="P21" i="14"/>
  <c r="AG20" i="14"/>
  <c r="I20" i="14"/>
  <c r="I9" i="11"/>
  <c r="W19" i="14"/>
  <c r="AG18" i="14"/>
  <c r="P18" i="14"/>
  <c r="I18" i="14"/>
  <c r="AG17" i="14"/>
  <c r="I7" i="11"/>
  <c r="P17" i="14"/>
  <c r="E7" i="11" s="1"/>
  <c r="AG16" i="14"/>
  <c r="I16" i="14"/>
  <c r="AG15" i="14"/>
  <c r="P15" i="14"/>
  <c r="E5" i="11" s="1"/>
  <c r="AG13" i="14"/>
  <c r="H11" i="11"/>
  <c r="H7" i="11"/>
  <c r="E11" i="11"/>
  <c r="G8" i="11"/>
  <c r="H8" i="11"/>
  <c r="G9" i="11"/>
  <c r="H9" i="11"/>
  <c r="AD22" i="14"/>
  <c r="AD24" i="14"/>
  <c r="H14" i="11"/>
  <c r="AD25" i="14"/>
  <c r="H15" i="11"/>
  <c r="G16" i="11"/>
  <c r="H16" i="11"/>
  <c r="AD28" i="14"/>
  <c r="AD29" i="14"/>
  <c r="AD30" i="14"/>
  <c r="AD14" i="14"/>
  <c r="AD16" i="14"/>
  <c r="AD20" i="14"/>
  <c r="H10" i="11"/>
  <c r="AD27" i="14"/>
  <c r="H17" i="11"/>
  <c r="O29" i="14"/>
  <c r="G15" i="11"/>
  <c r="J13" i="11"/>
  <c r="J14" i="11"/>
  <c r="AG30" i="14"/>
  <c r="J6" i="11"/>
  <c r="J5" i="11"/>
  <c r="G7" i="11"/>
  <c r="AG27" i="14"/>
  <c r="J17" i="11"/>
  <c r="J4" i="11"/>
  <c r="AG14" i="14"/>
  <c r="G3" i="11"/>
  <c r="AG21" i="14"/>
  <c r="J11" i="11"/>
  <c r="J12" i="11"/>
  <c r="AG22" i="14"/>
  <c r="J47" i="14"/>
  <c r="G47" i="14"/>
  <c r="R47" i="14"/>
  <c r="P27" i="14"/>
  <c r="E17" i="11" s="1"/>
  <c r="P29" i="14"/>
  <c r="P30" i="14"/>
  <c r="J16" i="11"/>
  <c r="J8" i="11"/>
  <c r="I12" i="11"/>
  <c r="I4" i="11"/>
  <c r="J15" i="11"/>
  <c r="I19" i="14"/>
  <c r="I18" i="11"/>
  <c r="K16" i="11"/>
  <c r="K8" i="11"/>
  <c r="L47" i="14"/>
  <c r="P14" i="14"/>
  <c r="E4" i="11" s="1"/>
  <c r="P20" i="14"/>
  <c r="E10" i="11" s="1"/>
  <c r="P22" i="14"/>
  <c r="E12" i="11" s="1"/>
  <c r="G19" i="11"/>
  <c r="I17" i="11"/>
  <c r="K7" i="11"/>
  <c r="E3" i="11"/>
  <c r="AA47" i="14"/>
  <c r="I10" i="11"/>
  <c r="M47" i="14"/>
  <c r="P16" i="14"/>
  <c r="E6" i="11" s="1"/>
  <c r="I17" i="14"/>
  <c r="I21" i="14"/>
  <c r="O21" i="14" s="1"/>
  <c r="F11" i="11" s="1"/>
  <c r="G18" i="11"/>
  <c r="G10" i="11"/>
  <c r="I16" i="11"/>
  <c r="I8" i="11"/>
  <c r="J19" i="11"/>
  <c r="J3" i="11"/>
  <c r="K47" i="14"/>
  <c r="P26" i="14"/>
  <c r="E16" i="11" s="1"/>
  <c r="E47" i="14"/>
  <c r="F3" i="11"/>
  <c r="I15" i="14"/>
  <c r="O15" i="14" s="1"/>
  <c r="P19" i="14"/>
  <c r="E9" i="11" s="1"/>
  <c r="I23" i="14"/>
  <c r="O23" i="14" s="1"/>
  <c r="P28" i="14"/>
  <c r="E18" i="11" s="1"/>
  <c r="G17" i="11"/>
  <c r="J18" i="11"/>
  <c r="J10" i="11"/>
  <c r="K13" i="11"/>
  <c r="K5" i="11"/>
  <c r="F47" i="14"/>
  <c r="I14" i="14"/>
  <c r="O14" i="14" s="1"/>
  <c r="P24" i="14"/>
  <c r="E14" i="11" s="1"/>
  <c r="I25" i="14"/>
  <c r="I14" i="11"/>
  <c r="I6" i="11"/>
  <c r="H2" i="11"/>
  <c r="H47" i="14"/>
  <c r="E2" i="11"/>
  <c r="J2" i="11"/>
  <c r="X47" i="14"/>
  <c r="E20" i="11"/>
  <c r="AD18" i="14"/>
  <c r="AD19" i="14"/>
  <c r="W22" i="14"/>
  <c r="AD13" i="14"/>
  <c r="AD15" i="14"/>
  <c r="S47" i="14"/>
  <c r="AD21" i="14"/>
  <c r="L16" i="11"/>
  <c r="T47" i="14"/>
  <c r="W27" i="14"/>
  <c r="L17" i="11"/>
  <c r="AD23" i="14"/>
  <c r="AD17" i="14"/>
  <c r="AG19" i="14"/>
  <c r="J9" i="11"/>
  <c r="AF47" i="14"/>
  <c r="AG47" i="14" s="1"/>
  <c r="AG12" i="14"/>
  <c r="AC47" i="14"/>
  <c r="AD47" i="14" s="1"/>
  <c r="AD12" i="14"/>
  <c r="U47" i="14"/>
  <c r="W16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 s="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C50" i="14" l="1"/>
  <c r="W34" i="14"/>
  <c r="L22" i="11"/>
  <c r="L19" i="11"/>
  <c r="L21" i="11"/>
  <c r="L28" i="11"/>
  <c r="L6" i="11"/>
  <c r="L18" i="11"/>
  <c r="L27" i="11"/>
  <c r="G13" i="11"/>
  <c r="G21" i="11"/>
  <c r="H32" i="11"/>
  <c r="G5" i="11"/>
  <c r="G23" i="11"/>
  <c r="L12" i="11"/>
  <c r="W38" i="14"/>
  <c r="L13" i="11"/>
  <c r="L14" i="11"/>
  <c r="L31" i="11"/>
  <c r="O19" i="14"/>
  <c r="F13" i="11"/>
  <c r="F4" i="11"/>
  <c r="O27" i="14"/>
  <c r="F17" i="11" s="1"/>
  <c r="O32" i="14"/>
  <c r="F22" i="11" s="1"/>
  <c r="F26" i="11"/>
  <c r="O25" i="14"/>
  <c r="O38" i="14"/>
  <c r="F28" i="11" s="1"/>
  <c r="O40" i="14"/>
  <c r="F30" i="11" s="1"/>
  <c r="F9" i="11"/>
  <c r="O24" i="14"/>
  <c r="F5" i="11"/>
  <c r="H24" i="11"/>
  <c r="G25" i="11"/>
  <c r="H20" i="11"/>
  <c r="O16" i="14"/>
  <c r="F6" i="11" s="1"/>
  <c r="O37" i="14"/>
  <c r="F27" i="11" s="1"/>
  <c r="F21" i="11"/>
  <c r="F14" i="11"/>
  <c r="F20" i="11"/>
  <c r="O42" i="14"/>
  <c r="F32" i="11" s="1"/>
  <c r="F15" i="11"/>
  <c r="F19" i="11"/>
  <c r="F24" i="11"/>
  <c r="F25" i="11"/>
  <c r="I47" i="14"/>
  <c r="O20" i="14"/>
  <c r="F10" i="11" s="1"/>
  <c r="O41" i="14"/>
  <c r="F31" i="11" s="1"/>
  <c r="O33" i="14"/>
  <c r="F23" i="11" s="1"/>
  <c r="F18" i="11"/>
  <c r="F12" i="11"/>
  <c r="P47" i="14"/>
  <c r="O26" i="14"/>
  <c r="F16" i="11" s="1"/>
  <c r="O18" i="14"/>
  <c r="F8" i="11" s="1"/>
  <c r="O39" i="14"/>
  <c r="F29" i="11" s="1"/>
  <c r="L5" i="11"/>
  <c r="W23" i="14"/>
  <c r="L9" i="11"/>
  <c r="L20" i="11"/>
  <c r="L4" i="11"/>
  <c r="L10" i="11"/>
  <c r="L15" i="11"/>
  <c r="K14" i="11"/>
  <c r="L29" i="11"/>
  <c r="L32" i="11"/>
  <c r="L7" i="11"/>
  <c r="V47" i="14"/>
  <c r="W47" i="14" s="1"/>
  <c r="L30" i="11"/>
  <c r="L3" i="11"/>
  <c r="L23" i="11"/>
  <c r="L8" i="11"/>
  <c r="N47" i="14"/>
  <c r="L2" i="11"/>
  <c r="K20" i="11"/>
  <c r="K22" i="11"/>
  <c r="W42" i="14"/>
  <c r="W36" i="14"/>
  <c r="F2" i="11"/>
  <c r="G6" i="11"/>
  <c r="K18" i="11"/>
  <c r="L25" i="11"/>
  <c r="O17" i="14"/>
  <c r="F7" i="11" s="1"/>
  <c r="Q47" i="14"/>
  <c r="G4" i="11"/>
  <c r="H12" i="11"/>
  <c r="W37" i="14"/>
  <c r="E19" i="11"/>
  <c r="K11" i="11"/>
  <c r="G22" i="11"/>
  <c r="H30" i="11"/>
  <c r="E8" i="11"/>
  <c r="O47" i="14" l="1"/>
  <c r="P50" i="14" s="1"/>
</calcChain>
</file>

<file path=xl/sharedStrings.xml><?xml version="1.0" encoding="utf-8"?>
<sst xmlns="http://schemas.openxmlformats.org/spreadsheetml/2006/main" count="94" uniqueCount="50">
  <si>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</si>
  <si>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</si>
  <si>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</si>
  <si>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</si>
  <si>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</si>
  <si>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</si>
  <si>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</si>
  <si>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</si>
  <si>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</si>
  <si>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</si>
  <si>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</si>
  <si>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</si>
  <si>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</si>
  <si>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</si>
  <si>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</si>
  <si>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</si>
  <si>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</si>
  <si>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AUGUST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</si>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</sst>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</cellStyleXfs>
  <cellXfs count="212">
    <xf numFmtId="0" fontId="0" fillId="0" borderId="0" xfId="0"/>
    <xf numFmtId="0" fontId="0" fillId="0" borderId="8" xfId="0" applyBorder="1"/>
    <xf numFmtId="165" fontId="0" fillId="0" borderId="8" xfId="1" applyNumberFormat="1" applyFont="1" applyBorder="1"/>
    <xf numFmtId="165" fontId="0" fillId="0" borderId="0" xfId="1" applyNumberFormat="1" applyFont="1"/>
    <xf numFmtId="165" fontId="0" fillId="0" borderId="0" xfId="1" applyNumberFormat="1" applyFont="1" applyBorder="1"/>
    <xf numFmtId="165" fontId="1" fillId="0" borderId="0" xfId="1" applyNumberFormat="1" applyFont="1"/>
    <xf numFmtId="165" fontId="0" fillId="3" borderId="0" xfId="1" applyNumberFormat="1" applyFont="1" applyFill="1" applyBorder="1"/>
    <xf numFmtId="0" fontId="0" fillId="3" borderId="0" xfId="0" applyFill="1"/>
    <xf numFmtId="164" fontId="4" fillId="0" borderId="0" xfId="1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1" applyNumberFormat="1" applyFont="1" applyBorder="1"/>
    <xf numFmtId="0" fontId="0" fillId="0" borderId="9" xfId="0" applyBorder="1"/>
    <xf numFmtId="165" fontId="0" fillId="0" borderId="11" xfId="1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1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1" applyNumberFormat="1" applyFont="1" applyFill="1" applyBorder="1" applyAlignment="1">
      <alignment horizontal="right"/>
    </xf>
    <xf numFmtId="165" fontId="6" fillId="3" borderId="0" xfId="1" applyNumberFormat="1" applyFont="1" applyFill="1" applyBorder="1" applyAlignment="1"/>
    <xf numFmtId="166" fontId="0" fillId="0" borderId="8" xfId="1" applyNumberFormat="1" applyFont="1" applyBorder="1"/>
    <xf numFmtId="167" fontId="6" fillId="3" borderId="0" xfId="0" applyNumberFormat="1" applyFont="1" applyFill="1"/>
    <xf numFmtId="167" fontId="0" fillId="0" borderId="20" xfId="1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1" applyNumberFormat="1" applyFont="1" applyBorder="1"/>
    <xf numFmtId="164" fontId="0" fillId="3" borderId="22" xfId="0" applyNumberFormat="1" applyFill="1" applyBorder="1"/>
    <xf numFmtId="165" fontId="0" fillId="0" borderId="12" xfId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1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1" applyFont="1" applyFill="1" applyBorder="1" applyAlignment="1"/>
    <xf numFmtId="164" fontId="7" fillId="0" borderId="15" xfId="1" applyFont="1" applyBorder="1" applyAlignment="1">
      <alignment horizontal="center" vertical="center" wrapText="1"/>
    </xf>
    <xf numFmtId="164" fontId="7" fillId="0" borderId="27" xfId="1" applyFont="1" applyBorder="1" applyAlignment="1">
      <alignment horizontal="center" vertical="center" wrapText="1"/>
    </xf>
    <xf numFmtId="164" fontId="7" fillId="3" borderId="0" xfId="1" applyFont="1" applyFill="1" applyBorder="1"/>
    <xf numFmtId="164" fontId="11" fillId="0" borderId="0" xfId="1" applyFont="1" applyBorder="1"/>
    <xf numFmtId="164" fontId="7" fillId="0" borderId="0" xfId="1" applyFont="1"/>
    <xf numFmtId="165" fontId="8" fillId="3" borderId="0" xfId="1" applyNumberFormat="1" applyFont="1" applyFill="1" applyBorder="1" applyAlignment="1"/>
    <xf numFmtId="165" fontId="7" fillId="3" borderId="0" xfId="1" applyNumberFormat="1" applyFont="1" applyFill="1" applyBorder="1"/>
    <xf numFmtId="165" fontId="11" fillId="0" borderId="0" xfId="1" applyNumberFormat="1" applyFont="1" applyBorder="1"/>
    <xf numFmtId="165" fontId="7" fillId="0" borderId="0" xfId="1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1" applyNumberFormat="1" applyFont="1" applyFill="1" applyBorder="1"/>
    <xf numFmtId="164" fontId="7" fillId="3" borderId="43" xfId="1" applyFont="1" applyFill="1" applyBorder="1"/>
    <xf numFmtId="165" fontId="7" fillId="3" borderId="43" xfId="1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1" applyNumberFormat="1" applyFont="1" applyBorder="1"/>
    <xf numFmtId="167" fontId="0" fillId="3" borderId="45" xfId="0" applyNumberFormat="1" applyFill="1" applyBorder="1"/>
    <xf numFmtId="165" fontId="8" fillId="6" borderId="22" xfId="1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1" applyNumberFormat="1" applyFont="1" applyFill="1" applyBorder="1" applyAlignment="1"/>
    <xf numFmtId="168" fontId="0" fillId="3" borderId="0" xfId="1" applyNumberFormat="1" applyFont="1" applyFill="1" applyBorder="1"/>
    <xf numFmtId="168" fontId="0" fillId="0" borderId="0" xfId="1" applyNumberFormat="1" applyFont="1" applyBorder="1"/>
    <xf numFmtId="168" fontId="0" fillId="0" borderId="0" xfId="1" applyNumberFormat="1" applyFont="1"/>
    <xf numFmtId="165" fontId="0" fillId="0" borderId="18" xfId="1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8" fillId="0" borderId="49" xfId="1" applyNumberFormat="1" applyFont="1" applyBorder="1" applyAlignment="1">
      <alignment horizontal="center" vertical="center" wrapText="1"/>
    </xf>
    <xf numFmtId="165" fontId="7" fillId="0" borderId="50" xfId="1" applyNumberFormat="1" applyFont="1" applyBorder="1" applyAlignment="1">
      <alignment horizontal="center" vertical="center" wrapText="1"/>
    </xf>
    <xf numFmtId="165" fontId="7" fillId="0" borderId="20" xfId="1" applyNumberFormat="1" applyFont="1" applyBorder="1"/>
    <xf numFmtId="0" fontId="0" fillId="0" borderId="28" xfId="0" applyBorder="1"/>
    <xf numFmtId="165" fontId="0" fillId="0" borderId="28" xfId="1" applyNumberFormat="1" applyFont="1" applyBorder="1"/>
    <xf numFmtId="164" fontId="7" fillId="0" borderId="28" xfId="1" applyFont="1" applyBorder="1"/>
    <xf numFmtId="165" fontId="7" fillId="0" borderId="31" xfId="1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2" xfId="1" applyNumberFormat="1" applyFont="1" applyBorder="1"/>
    <xf numFmtId="0" fontId="0" fillId="0" borderId="31" xfId="0" applyBorder="1"/>
    <xf numFmtId="165" fontId="0" fillId="0" borderId="10" xfId="1" applyNumberFormat="1" applyFont="1" applyBorder="1"/>
    <xf numFmtId="0" fontId="0" fillId="0" borderId="53" xfId="0" applyBorder="1"/>
    <xf numFmtId="164" fontId="0" fillId="0" borderId="42" xfId="1" applyFont="1" applyBorder="1"/>
    <xf numFmtId="164" fontId="0" fillId="0" borderId="54" xfId="1" applyFont="1" applyBorder="1"/>
    <xf numFmtId="165" fontId="7" fillId="0" borderId="41" xfId="1" applyNumberFormat="1" applyFont="1" applyBorder="1" applyAlignment="1">
      <alignment horizontal="center" vertical="center" wrapText="1"/>
    </xf>
    <xf numFmtId="165" fontId="7" fillId="0" borderId="42" xfId="1" applyNumberFormat="1" applyFont="1" applyBorder="1"/>
    <xf numFmtId="165" fontId="7" fillId="0" borderId="54" xfId="1" applyNumberFormat="1" applyFont="1" applyBorder="1"/>
    <xf numFmtId="165" fontId="0" fillId="3" borderId="13" xfId="1" applyNumberFormat="1" applyFont="1" applyFill="1" applyBorder="1"/>
    <xf numFmtId="0" fontId="0" fillId="3" borderId="56" xfId="0" applyFill="1" applyBorder="1"/>
    <xf numFmtId="0" fontId="0" fillId="3" borderId="14" xfId="0" applyFill="1" applyBorder="1"/>
    <xf numFmtId="0" fontId="0" fillId="3" borderId="57" xfId="0" applyFill="1" applyBorder="1"/>
    <xf numFmtId="0" fontId="0" fillId="3" borderId="58" xfId="0" applyFill="1" applyBorder="1"/>
    <xf numFmtId="165" fontId="0" fillId="3" borderId="44" xfId="1" applyNumberFormat="1" applyFont="1" applyFill="1" applyBorder="1"/>
    <xf numFmtId="0" fontId="10" fillId="11" borderId="54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5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60" xfId="0" applyFill="1" applyBorder="1"/>
    <xf numFmtId="165" fontId="1" fillId="0" borderId="11" xfId="1" applyNumberFormat="1" applyFont="1" applyBorder="1" applyAlignment="1">
      <alignment horizontal="center" vertical="center" wrapText="1"/>
    </xf>
    <xf numFmtId="165" fontId="13" fillId="3" borderId="8" xfId="1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1" applyNumberFormat="1" applyFont="1" applyFill="1" applyBorder="1"/>
    <xf numFmtId="43" fontId="0" fillId="0" borderId="0" xfId="0" applyNumberFormat="1"/>
    <xf numFmtId="168" fontId="0" fillId="0" borderId="38" xfId="1" applyNumberFormat="1" applyFont="1" applyBorder="1" applyAlignment="1">
      <alignment horizontal="center" vertical="center" wrapText="1"/>
    </xf>
    <xf numFmtId="168" fontId="0" fillId="0" borderId="24" xfId="1" applyNumberFormat="1" applyFont="1" applyBorder="1" applyAlignment="1">
      <alignment horizontal="center" vertical="center" wrapText="1"/>
    </xf>
    <xf numFmtId="168" fontId="0" fillId="0" borderId="21" xfId="1" applyNumberFormat="1" applyFont="1" applyBorder="1"/>
    <xf numFmtId="168" fontId="0" fillId="0" borderId="43" xfId="1" applyNumberFormat="1" applyFont="1" applyBorder="1"/>
    <xf numFmtId="165" fontId="1" fillId="12" borderId="6" xfId="1" applyNumberFormat="1" applyFont="1" applyFill="1" applyBorder="1"/>
    <xf numFmtId="167" fontId="1" fillId="12" borderId="7" xfId="0" applyNumberFormat="1" applyFont="1" applyFill="1" applyBorder="1"/>
    <xf numFmtId="165" fontId="1" fillId="12" borderId="30" xfId="1" applyNumberFormat="1" applyFont="1" applyFill="1" applyBorder="1"/>
    <xf numFmtId="167" fontId="1" fillId="12" borderId="32" xfId="1" applyNumberFormat="1" applyFont="1" applyFill="1" applyBorder="1"/>
    <xf numFmtId="164" fontId="5" fillId="0" borderId="0" xfId="1" applyFont="1" applyBorder="1"/>
    <xf numFmtId="166" fontId="0" fillId="0" borderId="51" xfId="1" applyNumberFormat="1" applyFont="1" applyBorder="1"/>
    <xf numFmtId="165" fontId="0" fillId="0" borderId="54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3" applyFont="1"/>
    <xf numFmtId="9" fontId="0" fillId="0" borderId="0" xfId="0" applyNumberFormat="1"/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2" fillId="0" borderId="8" xfId="1" applyNumberFormat="1" applyFont="1" applyBorder="1"/>
    <xf numFmtId="164" fontId="2" fillId="0" borderId="8" xfId="1" applyFont="1" applyBorder="1"/>
    <xf numFmtId="165" fontId="1" fillId="0" borderId="10" xfId="1" applyNumberFormat="1" applyFont="1" applyBorder="1"/>
    <xf numFmtId="165" fontId="18" fillId="0" borderId="0" xfId="1" applyNumberFormat="1" applyFont="1" applyBorder="1"/>
    <xf numFmtId="0" fontId="16" fillId="3" borderId="0" xfId="0" applyFont="1" applyFill="1"/>
    <xf numFmtId="165" fontId="16" fillId="0" borderId="0" xfId="1" applyNumberFormat="1" applyFont="1"/>
    <xf numFmtId="0" fontId="16" fillId="0" borderId="0" xfId="0" applyFont="1"/>
    <xf numFmtId="164" fontId="17" fillId="0" borderId="0" xfId="1" applyFont="1"/>
    <xf numFmtId="165" fontId="17" fillId="0" borderId="0" xfId="1" applyNumberFormat="1" applyFont="1"/>
    <xf numFmtId="168" fontId="16" fillId="0" borderId="0" xfId="1" applyNumberFormat="1" applyFont="1"/>
    <xf numFmtId="167" fontId="16" fillId="0" borderId="0" xfId="0" applyNumberFormat="1" applyFont="1"/>
    <xf numFmtId="168" fontId="0" fillId="13" borderId="6" xfId="1" applyNumberFormat="1" applyFont="1" applyFill="1" applyBorder="1"/>
    <xf numFmtId="165" fontId="12" fillId="3" borderId="22" xfId="0" applyNumberFormat="1" applyFont="1" applyFill="1" applyBorder="1"/>
    <xf numFmtId="166" fontId="19" fillId="0" borderId="8" xfId="0" applyNumberFormat="1" applyFont="1" applyBorder="1"/>
    <xf numFmtId="37" fontId="19" fillId="0" borderId="8" xfId="0" applyNumberFormat="1" applyFont="1" applyBorder="1"/>
    <xf numFmtId="1" fontId="16" fillId="0" borderId="0" xfId="0" applyNumberFormat="1" applyFont="1"/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1" applyFont="1" applyBorder="1" applyAlignment="1">
      <alignment horizontal="center" vertical="center" wrapText="1"/>
    </xf>
    <xf numFmtId="164" fontId="0" fillId="0" borderId="35" xfId="1" applyFont="1" applyBorder="1" applyAlignment="1">
      <alignment horizontal="center" vertical="center" wrapText="1"/>
    </xf>
    <xf numFmtId="164" fontId="0" fillId="0" borderId="36" xfId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1" applyNumberFormat="1" applyFont="1" applyBorder="1" applyAlignment="1">
      <alignment horizontal="center" vertical="center" wrapText="1"/>
    </xf>
    <xf numFmtId="165" fontId="8" fillId="0" borderId="36" xfId="1" applyNumberFormat="1" applyFont="1" applyBorder="1" applyAlignment="1">
      <alignment horizontal="center" vertical="center" wrapText="1"/>
    </xf>
    <xf numFmtId="168" fontId="1" fillId="4" borderId="1" xfId="1" applyNumberFormat="1" applyFont="1" applyFill="1" applyBorder="1" applyAlignment="1">
      <alignment horizontal="center" vertical="center"/>
    </xf>
    <xf numFmtId="168" fontId="1" fillId="4" borderId="37" xfId="1" applyNumberFormat="1" applyFont="1" applyFill="1" applyBorder="1" applyAlignment="1">
      <alignment horizontal="center" vertical="center"/>
    </xf>
    <xf numFmtId="168" fontId="1" fillId="4" borderId="2" xfId="1" applyNumberFormat="1" applyFont="1" applyFill="1" applyBorder="1" applyAlignment="1">
      <alignment horizontal="center" vertical="center"/>
    </xf>
    <xf numFmtId="17" fontId="6" fillId="3" borderId="55" xfId="0" applyNumberFormat="1" applyFont="1" applyFill="1" applyBorder="1" applyAlignment="1">
      <alignment horizontal="center"/>
    </xf>
    <xf numFmtId="0" fontId="6" fillId="3" borderId="5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6" xr:uid="{00000000-0005-0000-0000-000001000000}"/>
    <cellStyle name="Comma 10" xfId="2" xr:uid="{00000000-0005-0000-0000-000002000000}"/>
    <cellStyle name="Comma 2" xfId="4" xr:uid="{00000000-0005-0000-0000-000003000000}"/>
    <cellStyle name="Comma 3" xfId="8" xr:uid="{00000000-0005-0000-0000-000004000000}"/>
    <cellStyle name="Hyperlink 2" xfId="5" xr:uid="{00000000-0005-0000-0000-000007000000}"/>
    <cellStyle name="Normal" xfId="0" builtinId="0"/>
    <cellStyle name="Normal 2" xfId="7" xr:uid="{00000000-0005-0000-0000-000009000000}"/>
    <cellStyle name="Percent" xfId="3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159668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M2" sqref="M2:N32"/>
    </sheetView>
  </sheetViews>
  <sheetFormatPr defaultColWidth="11.5703125" defaultRowHeight="15"/>
  <cols>
    <col min="1" max="1" width="18.42578125" style="148" customWidth="1"/>
    <col min="2" max="2" width="11.5703125" style="149"/>
    <col min="3" max="3" width="11.5703125" style="150"/>
    <col min="4" max="4" width="13.42578125" style="149" customWidth="1"/>
    <col min="5" max="5" width="12.5703125" style="147" customWidth="1"/>
    <col min="6" max="6" width="12.5703125" style="151" customWidth="1"/>
    <col min="7" max="7" width="11.5703125" style="147"/>
    <col min="8" max="8" width="11.5703125" style="151"/>
    <col min="9" max="9" width="11.5703125" style="152"/>
    <col min="10" max="10" width="11.5703125" style="153"/>
    <col min="11" max="11" width="11.5703125" style="147"/>
    <col min="12" max="12" width="11.5703125" style="153"/>
    <col min="13" max="26" width="11.5703125" style="147"/>
  </cols>
  <sheetData>
    <row r="1" spans="1:15" s="141" customFormat="1" ht="60.75">
      <c r="A1" s="137" t="s">
        <v>0</v>
      </c>
      <c r="B1" s="137" t="s">
        <v>1</v>
      </c>
      <c r="C1" s="138" t="s">
        <v>2</v>
      </c>
      <c r="D1" s="137" t="s">
        <v>3</v>
      </c>
      <c r="E1" s="136" t="s">
        <v>4</v>
      </c>
      <c r="F1" s="139" t="s">
        <v>5</v>
      </c>
      <c r="G1" s="136" t="s">
        <v>6</v>
      </c>
      <c r="H1" s="139" t="s">
        <v>7</v>
      </c>
      <c r="I1" s="136" t="s">
        <v>8</v>
      </c>
      <c r="J1" s="139" t="s">
        <v>9</v>
      </c>
      <c r="K1" s="136" t="s">
        <v>10</v>
      </c>
      <c r="L1" s="140" t="s">
        <v>11</v>
      </c>
      <c r="M1" s="136" t="s">
        <v>12</v>
      </c>
      <c r="N1" s="136" t="s">
        <v>13</v>
      </c>
    </row>
    <row r="2" spans="1:15">
      <c r="A2" s="142" t="s">
        <v>14</v>
      </c>
      <c r="B2" s="143">
        <v>1</v>
      </c>
      <c r="C2" s="144">
        <v>8</v>
      </c>
      <c r="D2" s="143">
        <v>2018</v>
      </c>
      <c r="E2" s="145">
        <f>'FS Jimbaran August 2018'!P12</f>
        <v>12999.999999999887</v>
      </c>
      <c r="F2" s="154">
        <f>'FS Jimbaran August 2018'!O12/'FS Jimbaran August 2018'!P12</f>
        <v>1261.5800400000003</v>
      </c>
      <c r="G2" s="145">
        <f>'FS Jimbaran August 2018'!AB12</f>
        <v>111.73672000002109</v>
      </c>
      <c r="H2" s="154">
        <f>'FS Jimbaran August 2018'!AC12/'FS Jimbaran August 2018'!AB12</f>
        <v>10153</v>
      </c>
      <c r="I2" s="145">
        <f>'FS Jimbaran August 2018'!AE12</f>
        <v>808.61000000007334</v>
      </c>
      <c r="J2" s="146">
        <f>'FS Jimbaran August 2018'!AF12/'FS Jimbaran August 2018'!AE12</f>
        <v>9500</v>
      </c>
      <c r="K2" s="145">
        <f>'FS Jimbaran August 2018'!Q12</f>
        <v>756.69999999999709</v>
      </c>
      <c r="L2" s="154">
        <f>'FS Jimbaran August 2018'!V12/'FS Jimbaran August 2018'!Q12</f>
        <v>9774.2816386943505</v>
      </c>
      <c r="M2" s="145">
        <v>65</v>
      </c>
      <c r="N2" s="145">
        <v>576</v>
      </c>
    </row>
    <row r="3" spans="1:15">
      <c r="A3" s="142" t="s">
        <v>14</v>
      </c>
      <c r="B3" s="143">
        <f>B2+1</f>
        <v>2</v>
      </c>
      <c r="C3" s="144">
        <v>8</v>
      </c>
      <c r="D3" s="143">
        <v>2018</v>
      </c>
      <c r="E3" s="145">
        <f>'FS Jimbaran August 2018'!P13</f>
        <v>23140.000000000495</v>
      </c>
      <c r="F3" s="154">
        <f>'FS Jimbaran August 2018'!O13/'FS Jimbaran August 2018'!P13</f>
        <v>1179.6880682800329</v>
      </c>
      <c r="G3" s="145">
        <f>'FS Jimbaran August 2018'!AB13</f>
        <v>383.64216000000465</v>
      </c>
      <c r="H3" s="154">
        <f>'FS Jimbaran August 2018'!AC13/'FS Jimbaran August 2018'!AB13</f>
        <v>10907.812766146444</v>
      </c>
      <c r="I3" s="145">
        <f>'FS Jimbaran August 2018'!AE13</f>
        <v>638.11000000004424</v>
      </c>
      <c r="J3" s="146">
        <f>'FS Jimbaran August 2018'!AF13/'FS Jimbaran August 2018'!AE13</f>
        <v>9500</v>
      </c>
      <c r="K3" s="145">
        <f>'FS Jimbaran August 2018'!Q13</f>
        <v>452.80000000000291</v>
      </c>
      <c r="L3" s="154">
        <f>'FS Jimbaran August 2018'!V13/'FS Jimbaran August 2018'!Q13</f>
        <v>11460.830044169568</v>
      </c>
      <c r="M3" s="145">
        <v>66</v>
      </c>
      <c r="N3" s="145">
        <v>612</v>
      </c>
    </row>
    <row r="4" spans="1:15">
      <c r="A4" s="142" t="s">
        <v>14</v>
      </c>
      <c r="B4" s="143">
        <f t="shared" ref="B4:B32" si="0">B3+1</f>
        <v>3</v>
      </c>
      <c r="C4" s="144">
        <v>8</v>
      </c>
      <c r="D4" s="143">
        <v>2018</v>
      </c>
      <c r="E4" s="145">
        <f>'FS Jimbaran August 2018'!P14</f>
        <v>21760.000000000047</v>
      </c>
      <c r="F4" s="154">
        <f>'FS Jimbaran August 2018'!O14/'FS Jimbaran August 2018'!P14</f>
        <v>1183.5309705882403</v>
      </c>
      <c r="G4" s="145">
        <f>'FS Jimbaran August 2018'!AB14</f>
        <v>546.21296000002815</v>
      </c>
      <c r="H4" s="154">
        <f>'FS Jimbaran August 2018'!AC14/'FS Jimbaran August 2018'!AB14</f>
        <v>11952.598456982692</v>
      </c>
      <c r="I4" s="145">
        <f>'FS Jimbaran August 2018'!AE14</f>
        <v>511.40999999991618</v>
      </c>
      <c r="J4" s="146">
        <f>'FS Jimbaran August 2018'!AF14/'FS Jimbaran August 2018'!AE14</f>
        <v>9500</v>
      </c>
      <c r="K4" s="145">
        <f>'FS Jimbaran August 2018'!Q14</f>
        <v>840.69999999999709</v>
      </c>
      <c r="L4" s="154">
        <f>'FS Jimbaran August 2018'!V14/'FS Jimbaran August 2018'!Q14</f>
        <v>8980.904765076737</v>
      </c>
      <c r="M4" s="145">
        <v>74</v>
      </c>
      <c r="N4" s="145">
        <v>647</v>
      </c>
    </row>
    <row r="5" spans="1:15">
      <c r="A5" s="142" t="s">
        <v>14</v>
      </c>
      <c r="B5" s="143">
        <f t="shared" si="0"/>
        <v>4</v>
      </c>
      <c r="C5" s="144">
        <v>8</v>
      </c>
      <c r="D5" s="143">
        <v>2018</v>
      </c>
      <c r="E5" s="145">
        <f>'FS Jimbaran August 2018'!P15</f>
        <v>22120.000000000062</v>
      </c>
      <c r="F5" s="154">
        <f>'FS Jimbaran August 2018'!O15/'FS Jimbaran August 2018'!P15</f>
        <v>1185.9025443037958</v>
      </c>
      <c r="G5" s="145">
        <f>'FS Jimbaran August 2018'!AB15</f>
        <v>12</v>
      </c>
      <c r="H5" s="154">
        <f>'FS Jimbaran August 2018'!AC15/'FS Jimbaran August 2018'!AB15</f>
        <v>11625</v>
      </c>
      <c r="I5" s="145">
        <f>'FS Jimbaran August 2018'!AE15</f>
        <v>574.78000000001339</v>
      </c>
      <c r="J5" s="146">
        <f>'FS Jimbaran August 2018'!AF15/'FS Jimbaran August 2018'!AE15</f>
        <v>9500</v>
      </c>
      <c r="K5" s="145">
        <f>'FS Jimbaran August 2018'!Q15</f>
        <v>738.5</v>
      </c>
      <c r="L5" s="154">
        <f>'FS Jimbaran August 2018'!V15/'FS Jimbaran August 2018'!Q15</f>
        <v>9054.0651049424505</v>
      </c>
      <c r="M5" s="145">
        <v>78</v>
      </c>
      <c r="N5" s="145">
        <v>969</v>
      </c>
    </row>
    <row r="6" spans="1:15">
      <c r="A6" s="142" t="s">
        <v>14</v>
      </c>
      <c r="B6" s="143">
        <f t="shared" si="0"/>
        <v>5</v>
      </c>
      <c r="C6" s="144">
        <v>8</v>
      </c>
      <c r="D6" s="143">
        <v>2018</v>
      </c>
      <c r="E6" s="145">
        <f>'FS Jimbaran August 2018'!P16</f>
        <v>20819.999999999709</v>
      </c>
      <c r="F6" s="154">
        <f>'FS Jimbaran August 2018'!O16/'FS Jimbaran August 2018'!P16</f>
        <v>1183.6846080691673</v>
      </c>
      <c r="G6" s="145">
        <f>'FS Jimbaran August 2018'!AB16</f>
        <v>123.77699999999999</v>
      </c>
      <c r="H6" s="154">
        <f>'FS Jimbaran August 2018'!AC16/'FS Jimbaran August 2018'!AB16</f>
        <v>10295.708257592283</v>
      </c>
      <c r="I6" s="145">
        <f>'FS Jimbaran August 2018'!AE16</f>
        <v>747.27000000000407</v>
      </c>
      <c r="J6" s="146">
        <f>'FS Jimbaran August 2018'!AF16/'FS Jimbaran August 2018'!AE16</f>
        <v>9500</v>
      </c>
      <c r="K6" s="145">
        <f>'FS Jimbaran August 2018'!Q16</f>
        <v>688.09999999999127</v>
      </c>
      <c r="L6" s="154">
        <f>'FS Jimbaran August 2018'!V16/'FS Jimbaran August 2018'!Q16</f>
        <v>9412.9601627670982</v>
      </c>
      <c r="M6" s="145">
        <v>66</v>
      </c>
      <c r="N6" s="145">
        <v>734</v>
      </c>
    </row>
    <row r="7" spans="1:15">
      <c r="A7" s="142" t="s">
        <v>14</v>
      </c>
      <c r="B7" s="143">
        <f t="shared" si="0"/>
        <v>6</v>
      </c>
      <c r="C7" s="144">
        <v>8</v>
      </c>
      <c r="D7" s="143">
        <v>2018</v>
      </c>
      <c r="E7" s="145">
        <f>'FS Jimbaran August 2018'!P17</f>
        <v>23099.999999999567</v>
      </c>
      <c r="F7" s="154">
        <f>'FS Jimbaran August 2018'!O17/'FS Jimbaran August 2018'!P17</f>
        <v>1221.2787818181832</v>
      </c>
      <c r="G7" s="145">
        <f>'FS Jimbaran August 2018'!AB17</f>
        <v>204.47748000001405</v>
      </c>
      <c r="H7" s="154">
        <f>'FS Jimbaran August 2018'!AC17/'FS Jimbaran August 2018'!AB17</f>
        <v>10757.702287997638</v>
      </c>
      <c r="I7" s="145">
        <f>'FS Jimbaran August 2018'!AE17</f>
        <v>586.36000000000058</v>
      </c>
      <c r="J7" s="146">
        <f>'FS Jimbaran August 2018'!AF17/'FS Jimbaran August 2018'!AE17</f>
        <v>9500</v>
      </c>
      <c r="K7" s="145">
        <f>'FS Jimbaran August 2018'!Q17</f>
        <v>728.60000000000582</v>
      </c>
      <c r="L7" s="154">
        <f>'FS Jimbaran August 2018'!V17/'FS Jimbaran August 2018'!Q17</f>
        <v>9751.8321822673224</v>
      </c>
      <c r="M7" s="145">
        <v>69</v>
      </c>
      <c r="N7" s="145">
        <v>643</v>
      </c>
    </row>
    <row r="8" spans="1:15">
      <c r="A8" s="142" t="s">
        <v>14</v>
      </c>
      <c r="B8" s="143">
        <f t="shared" si="0"/>
        <v>7</v>
      </c>
      <c r="C8" s="144">
        <v>8</v>
      </c>
      <c r="D8" s="143">
        <v>2018</v>
      </c>
      <c r="E8" s="145">
        <f>'FS Jimbaran August 2018'!P18</f>
        <v>20200.000000000044</v>
      </c>
      <c r="F8" s="154">
        <f>'FS Jimbaran August 2018'!O18/'FS Jimbaran August 2018'!P18</f>
        <v>1148.9466564356428</v>
      </c>
      <c r="G8" s="145">
        <f>'FS Jimbaran August 2018'!AB18</f>
        <v>371.44419999997655</v>
      </c>
      <c r="H8" s="154">
        <f>'FS Jimbaran August 2018'!AC18/'FS Jimbaran August 2018'!AB18</f>
        <v>10837.490429518124</v>
      </c>
      <c r="I8" s="145">
        <f>'FS Jimbaran August 2018'!AE18</f>
        <v>610.77999999999884</v>
      </c>
      <c r="J8" s="146">
        <f>'FS Jimbaran August 2018'!AF18/'FS Jimbaran August 2018'!AE18</f>
        <v>9500</v>
      </c>
      <c r="K8" s="145">
        <f>'FS Jimbaran August 2018'!Q18</f>
        <v>574</v>
      </c>
      <c r="L8" s="154">
        <f>'FS Jimbaran August 2018'!V18/'FS Jimbaran August 2018'!Q18</f>
        <v>6857.6782578397206</v>
      </c>
      <c r="M8" s="145">
        <v>76</v>
      </c>
      <c r="N8" s="145">
        <v>626</v>
      </c>
    </row>
    <row r="9" spans="1:15">
      <c r="A9" s="142" t="s">
        <v>14</v>
      </c>
      <c r="B9" s="143">
        <f t="shared" si="0"/>
        <v>8</v>
      </c>
      <c r="C9" s="144">
        <v>8</v>
      </c>
      <c r="D9" s="143">
        <v>2018</v>
      </c>
      <c r="E9" s="145">
        <f>'FS Jimbaran August 2018'!P19</f>
        <v>24640.000000000895</v>
      </c>
      <c r="F9" s="154">
        <f>'FS Jimbaran August 2018'!O19/'FS Jimbaran August 2018'!P19</f>
        <v>1182.9078409090887</v>
      </c>
      <c r="G9" s="145">
        <f>'FS Jimbaran August 2018'!AB19</f>
        <v>527.56332000000941</v>
      </c>
      <c r="H9" s="154">
        <f>'FS Jimbaran August 2018'!AC19/'FS Jimbaran August 2018'!AB19</f>
        <v>10957.574510600911</v>
      </c>
      <c r="I9" s="145">
        <f>'FS Jimbaran August 2018'!AE19</f>
        <v>758.60999999992782</v>
      </c>
      <c r="J9" s="146">
        <f>'FS Jimbaran August 2018'!AF19/'FS Jimbaran August 2018'!AE19</f>
        <v>9500</v>
      </c>
      <c r="K9" s="145">
        <f>'FS Jimbaran August 2018'!Q19</f>
        <v>682</v>
      </c>
      <c r="L9" s="154">
        <f>'FS Jimbaran August 2018'!V19/'FS Jimbaran August 2018'!Q19</f>
        <v>8247.2162170087959</v>
      </c>
      <c r="M9" s="145">
        <v>82</v>
      </c>
      <c r="N9" s="145">
        <v>838</v>
      </c>
      <c r="O9" s="147" t="s">
        <v>15</v>
      </c>
    </row>
    <row r="10" spans="1:15">
      <c r="A10" s="142" t="s">
        <v>14</v>
      </c>
      <c r="B10" s="143">
        <f t="shared" si="0"/>
        <v>9</v>
      </c>
      <c r="C10" s="144">
        <v>8</v>
      </c>
      <c r="D10" s="143">
        <v>2018</v>
      </c>
      <c r="E10" s="145">
        <f>'FS Jimbaran August 2018'!P20</f>
        <v>23519.999999999127</v>
      </c>
      <c r="F10" s="154">
        <f>'FS Jimbaran August 2018'!O20/'FS Jimbaran August 2018'!P20</f>
        <v>1188.3725892857171</v>
      </c>
      <c r="G10" s="145">
        <f>'FS Jimbaran August 2018'!AB20</f>
        <v>119.59132000000936</v>
      </c>
      <c r="H10" s="154">
        <f>'FS Jimbaran August 2018'!AC20/'FS Jimbaran August 2018'!AB20</f>
        <v>14823.071373072529</v>
      </c>
      <c r="I10" s="145">
        <f>'FS Jimbaran August 2018'!AE20</f>
        <v>626.11000000000058</v>
      </c>
      <c r="J10" s="146">
        <f>'FS Jimbaran August 2018'!AF20/'FS Jimbaran August 2018'!AE20</f>
        <v>9500</v>
      </c>
      <c r="K10" s="145">
        <f>'FS Jimbaran August 2018'!Q20</f>
        <v>630</v>
      </c>
      <c r="L10" s="154">
        <f>'FS Jimbaran August 2018'!V20/'FS Jimbaran August 2018'!Q20</f>
        <v>9954.7736507936515</v>
      </c>
      <c r="M10" s="145">
        <v>95</v>
      </c>
      <c r="N10" s="145">
        <v>832</v>
      </c>
    </row>
    <row r="11" spans="1:15">
      <c r="A11" s="142" t="s">
        <v>14</v>
      </c>
      <c r="B11" s="143">
        <f t="shared" si="0"/>
        <v>10</v>
      </c>
      <c r="C11" s="144">
        <v>8</v>
      </c>
      <c r="D11" s="143">
        <v>2018</v>
      </c>
      <c r="E11" s="145">
        <f>'FS Jimbaran August 2018'!P21</f>
        <v>22840.000000000655</v>
      </c>
      <c r="F11" s="154">
        <f>'FS Jimbaran August 2018'!O21/'FS Jimbaran August 2018'!P21</f>
        <v>1190.4214098073526</v>
      </c>
      <c r="G11" s="145">
        <f>'FS Jimbaran August 2018'!AB21</f>
        <v>148.58603999997183</v>
      </c>
      <c r="H11" s="154">
        <f>'FS Jimbaran August 2018'!AC21/'FS Jimbaran August 2018'!AB21</f>
        <v>10390.761232481913</v>
      </c>
      <c r="I11" s="145">
        <f>'FS Jimbaran August 2018'!AE21</f>
        <v>546.31000000001222</v>
      </c>
      <c r="J11" s="146">
        <f>'FS Jimbaran August 2018'!AF21/'FS Jimbaran August 2018'!AE21</f>
        <v>9500</v>
      </c>
      <c r="K11" s="145">
        <f>'FS Jimbaran August 2018'!Q21</f>
        <v>650</v>
      </c>
      <c r="L11" s="154">
        <f>'FS Jimbaran August 2018'!V21/'FS Jimbaran August 2018'!Q21</f>
        <v>10078.736615384616</v>
      </c>
      <c r="M11" s="145">
        <v>113</v>
      </c>
      <c r="N11" s="145">
        <v>905</v>
      </c>
    </row>
    <row r="12" spans="1:15">
      <c r="A12" s="142" t="s">
        <v>14</v>
      </c>
      <c r="B12" s="143">
        <f t="shared" si="0"/>
        <v>11</v>
      </c>
      <c r="C12" s="144">
        <v>8</v>
      </c>
      <c r="D12" s="143">
        <v>2018</v>
      </c>
      <c r="E12" s="145">
        <f>'FS Jimbaran August 2018'!P22</f>
        <v>23399.999999999807</v>
      </c>
      <c r="F12" s="154">
        <f>'FS Jimbaran August 2018'!O22/'FS Jimbaran August 2018'!P22</f>
        <v>1185.171346153847</v>
      </c>
      <c r="G12" s="145">
        <f>'FS Jimbaran August 2018'!AB22</f>
        <v>135.69988000002576</v>
      </c>
      <c r="H12" s="154">
        <f>'FS Jimbaran August 2018'!AC22/'FS Jimbaran August 2018'!AB22</f>
        <v>10283.169606634854</v>
      </c>
      <c r="I12" s="145">
        <f>'FS Jimbaran August 2018'!AE22</f>
        <v>385.17999999999302</v>
      </c>
      <c r="J12" s="146">
        <f>'FS Jimbaran August 2018'!AF22/'FS Jimbaran August 2018'!AE22</f>
        <v>9500</v>
      </c>
      <c r="K12" s="145">
        <f>'FS Jimbaran August 2018'!Q22</f>
        <v>690</v>
      </c>
      <c r="L12" s="154">
        <f>'FS Jimbaran August 2018'!V22/'FS Jimbaran August 2018'!Q22</f>
        <v>10767.319420289854</v>
      </c>
      <c r="M12" s="145">
        <v>120</v>
      </c>
      <c r="N12" s="145">
        <v>944</v>
      </c>
    </row>
    <row r="13" spans="1:15">
      <c r="A13" s="142" t="s">
        <v>14</v>
      </c>
      <c r="B13" s="143">
        <f t="shared" si="0"/>
        <v>12</v>
      </c>
      <c r="C13" s="144">
        <v>8</v>
      </c>
      <c r="D13" s="143">
        <v>2018</v>
      </c>
      <c r="E13" s="145">
        <f>'FS Jimbaran August 2018'!P23</f>
        <v>23900.000000000033</v>
      </c>
      <c r="F13" s="154">
        <f>'FS Jimbaran August 2018'!O23/'FS Jimbaran August 2018'!P23</f>
        <v>1183.1294560669453</v>
      </c>
      <c r="G13" s="145">
        <f>'FS Jimbaran August 2018'!AB23</f>
        <v>128.81199999999998</v>
      </c>
      <c r="H13" s="154">
        <f>'FS Jimbaran August 2018'!AC23/'FS Jimbaran August 2018'!AB23</f>
        <v>10290.13008104835</v>
      </c>
      <c r="I13" s="145">
        <f>'FS Jimbaran August 2018'!AE23</f>
        <v>561.24000000000524</v>
      </c>
      <c r="J13" s="146">
        <f>'FS Jimbaran August 2018'!AF23/'FS Jimbaran August 2018'!AE23</f>
        <v>9500</v>
      </c>
      <c r="K13" s="145">
        <f>'FS Jimbaran August 2018'!Q23</f>
        <v>478.10000000000582</v>
      </c>
      <c r="L13" s="154">
        <f>'FS Jimbaran August 2018'!V23/'FS Jimbaran August 2018'!Q23</f>
        <v>12047.10539217728</v>
      </c>
      <c r="M13" s="145">
        <v>110</v>
      </c>
      <c r="N13" s="145">
        <v>1116</v>
      </c>
    </row>
    <row r="14" spans="1:15">
      <c r="A14" s="142" t="s">
        <v>14</v>
      </c>
      <c r="B14" s="143">
        <f t="shared" si="0"/>
        <v>13</v>
      </c>
      <c r="C14" s="144">
        <v>8</v>
      </c>
      <c r="D14" s="143">
        <v>2018</v>
      </c>
      <c r="E14" s="145">
        <f>'FS Jimbaran August 2018'!P24</f>
        <v>22879.999999999884</v>
      </c>
      <c r="F14" s="154">
        <f>'FS Jimbaran August 2018'!O24/'FS Jimbaran August 2018'!P24</f>
        <v>1188.3402534965044</v>
      </c>
      <c r="G14" s="145">
        <f>'FS Jimbaran August 2018'!AB24</f>
        <v>791.98356000001638</v>
      </c>
      <c r="H14" s="154">
        <f>'FS Jimbaran August 2018'!AC24/'FS Jimbaran August 2018'!AB24</f>
        <v>11009.979910037509</v>
      </c>
      <c r="I14" s="145">
        <f>'FS Jimbaran August 2018'!AE24</f>
        <v>866.41000000000349</v>
      </c>
      <c r="J14" s="146">
        <f>'FS Jimbaran August 2018'!AF24/'FS Jimbaran August 2018'!AE24</f>
        <v>9500</v>
      </c>
      <c r="K14" s="145">
        <f>'FS Jimbaran August 2018'!Q24</f>
        <v>503</v>
      </c>
      <c r="L14" s="154">
        <f>'FS Jimbaran August 2018'!V24/'FS Jimbaran August 2018'!Q24</f>
        <v>12686.402664015905</v>
      </c>
      <c r="M14" s="145">
        <v>105</v>
      </c>
      <c r="N14" s="145">
        <v>921</v>
      </c>
    </row>
    <row r="15" spans="1:15">
      <c r="A15" s="142" t="s">
        <v>14</v>
      </c>
      <c r="B15" s="143">
        <f t="shared" si="0"/>
        <v>14</v>
      </c>
      <c r="C15" s="144">
        <v>8</v>
      </c>
      <c r="D15" s="143">
        <v>2018</v>
      </c>
      <c r="E15" s="145">
        <f>'FS Jimbaran August 2018'!P25</f>
        <v>24179.999999999894</v>
      </c>
      <c r="F15" s="154">
        <f>'FS Jimbaran August 2018'!O25/'FS Jimbaran August 2018'!P25</f>
        <v>1185.1713461538461</v>
      </c>
      <c r="G15" s="145">
        <f>'FS Jimbaran August 2018'!AB25</f>
        <v>122.1692399999484</v>
      </c>
      <c r="H15" s="154">
        <f>'FS Jimbaran August 2018'!AC25/'FS Jimbaran August 2018'!AB25</f>
        <v>10153</v>
      </c>
      <c r="I15" s="145">
        <f>'FS Jimbaran August 2018'!AE25</f>
        <v>613.51000000000931</v>
      </c>
      <c r="J15" s="146">
        <f>'FS Jimbaran August 2018'!AF25/'FS Jimbaran August 2018'!AE25</f>
        <v>9500</v>
      </c>
      <c r="K15" s="145">
        <f>'FS Jimbaran August 2018'!Q25</f>
        <v>500</v>
      </c>
      <c r="L15" s="154">
        <f>'FS Jimbaran August 2018'!V25/'FS Jimbaran August 2018'!Q25</f>
        <v>12601.545199999999</v>
      </c>
      <c r="M15" s="145">
        <v>92</v>
      </c>
      <c r="N15" s="145">
        <v>884</v>
      </c>
    </row>
    <row r="16" spans="1:15">
      <c r="A16" s="142" t="s">
        <v>14</v>
      </c>
      <c r="B16" s="143">
        <f t="shared" si="0"/>
        <v>15</v>
      </c>
      <c r="C16" s="144">
        <v>8</v>
      </c>
      <c r="D16" s="143">
        <v>2018</v>
      </c>
      <c r="E16" s="145">
        <f>'FS Jimbaran August 2018'!P26</f>
        <v>23859.999999999844</v>
      </c>
      <c r="F16" s="154">
        <f>'FS Jimbaran August 2018'!O26/'FS Jimbaran August 2018'!P26</f>
        <v>1183.7454706621961</v>
      </c>
      <c r="G16" s="145">
        <f>'FS Jimbaran August 2018'!AB26</f>
        <v>145.44764000001874</v>
      </c>
      <c r="H16" s="154">
        <f>'FS Jimbaran August 2018'!AC26/'FS Jimbaran August 2018'!AB26</f>
        <v>14114.315563455864</v>
      </c>
      <c r="I16" s="145">
        <f>'FS Jimbaran August 2018'!AE26</f>
        <v>554.11000000000058</v>
      </c>
      <c r="J16" s="146">
        <f>'FS Jimbaran August 2018'!AF26/'FS Jimbaran August 2018'!AE26</f>
        <v>9500</v>
      </c>
      <c r="K16" s="145">
        <f>'FS Jimbaran August 2018'!Q26</f>
        <v>492</v>
      </c>
      <c r="L16" s="154">
        <f>'FS Jimbaran August 2018'!V26/'FS Jimbaran August 2018'!Q26</f>
        <v>12460.231219512194</v>
      </c>
      <c r="M16" s="145">
        <v>91</v>
      </c>
      <c r="N16" s="145">
        <v>754</v>
      </c>
    </row>
    <row r="17" spans="1:14">
      <c r="A17" s="142" t="s">
        <v>14</v>
      </c>
      <c r="B17" s="143">
        <f t="shared" si="0"/>
        <v>16</v>
      </c>
      <c r="C17" s="144">
        <v>8</v>
      </c>
      <c r="D17" s="143">
        <v>2018</v>
      </c>
      <c r="E17" s="145">
        <f>'FS Jimbaran August 2018'!P27</f>
        <v>22600.000000000477</v>
      </c>
      <c r="F17" s="154">
        <f>'FS Jimbaran August 2018'!O27/'FS Jimbaran August 2018'!P27</f>
        <v>1185.257719911504</v>
      </c>
      <c r="G17" s="145">
        <f>'FS Jimbaran August 2018'!AB27</f>
        <v>131.03083999999529</v>
      </c>
      <c r="H17" s="154">
        <f>'FS Jimbaran August 2018'!AC27/'FS Jimbaran August 2018'!AB27</f>
        <v>10153</v>
      </c>
      <c r="I17" s="145">
        <f>'FS Jimbaran August 2018'!AE27</f>
        <v>520.16000000000349</v>
      </c>
      <c r="J17" s="146">
        <f>'FS Jimbaran August 2018'!AF27/'FS Jimbaran August 2018'!AE27</f>
        <v>9500</v>
      </c>
      <c r="K17" s="145">
        <f>'FS Jimbaran August 2018'!Q27</f>
        <v>570</v>
      </c>
      <c r="L17" s="154">
        <f>'FS Jimbaran August 2018'!V27/'FS Jimbaran August 2018'!Q27</f>
        <v>10509.857192982456</v>
      </c>
      <c r="M17" s="145">
        <v>93</v>
      </c>
      <c r="N17" s="145">
        <v>806</v>
      </c>
    </row>
    <row r="18" spans="1:14">
      <c r="A18" s="142" t="s">
        <v>14</v>
      </c>
      <c r="B18" s="143">
        <f t="shared" si="0"/>
        <v>17</v>
      </c>
      <c r="C18" s="144">
        <v>8</v>
      </c>
      <c r="D18" s="143">
        <v>2018</v>
      </c>
      <c r="E18" s="145">
        <f>'FS Jimbaran August 2018'!P28</f>
        <v>21480.000000000018</v>
      </c>
      <c r="F18" s="154">
        <f>'FS Jimbaran August 2018'!O28/'FS Jimbaran August 2018'!P28</f>
        <v>1186.8071396648063</v>
      </c>
      <c r="G18" s="145">
        <f>'FS Jimbaran August 2018'!AB28</f>
        <v>161.1568399999953</v>
      </c>
      <c r="H18" s="154">
        <f>'FS Jimbaran August 2018'!AC28/'FS Jimbaran August 2018'!AB28</f>
        <v>10262.607510298665</v>
      </c>
      <c r="I18" s="145">
        <f>'FS Jimbaran August 2018'!AE28</f>
        <v>538.76000000000931</v>
      </c>
      <c r="J18" s="146">
        <f>'FS Jimbaran August 2018'!AF28/'FS Jimbaran August 2018'!AE28</f>
        <v>9500</v>
      </c>
      <c r="K18" s="145">
        <f>'FS Jimbaran August 2018'!Q28</f>
        <v>518</v>
      </c>
      <c r="L18" s="154">
        <f>'FS Jimbaran August 2018'!V28/'FS Jimbaran August 2018'!Q28</f>
        <v>11838.907220077219</v>
      </c>
      <c r="M18" s="145">
        <v>123</v>
      </c>
      <c r="N18" s="145">
        <v>948</v>
      </c>
    </row>
    <row r="19" spans="1:14">
      <c r="A19" s="142" t="s">
        <v>14</v>
      </c>
      <c r="B19" s="143">
        <f t="shared" si="0"/>
        <v>18</v>
      </c>
      <c r="C19" s="144">
        <v>8</v>
      </c>
      <c r="D19" s="143">
        <v>2018</v>
      </c>
      <c r="E19" s="145">
        <f>'FS Jimbaran August 2018'!P29</f>
        <v>22419.999999999673</v>
      </c>
      <c r="F19" s="154">
        <f>'FS Jimbaran August 2018'!O29/'FS Jimbaran August 2018'!P29</f>
        <v>1181.1911306868872</v>
      </c>
      <c r="G19" s="145">
        <f>'FS Jimbaran August 2018'!AB29</f>
        <v>531.47048000001405</v>
      </c>
      <c r="H19" s="154">
        <f>'FS Jimbaran August 2018'!AC29/'FS Jimbaran August 2018'!AB29</f>
        <v>10951.659598177474</v>
      </c>
      <c r="I19" s="145">
        <f>'FS Jimbaran August 2018'!AE29</f>
        <v>571.07999999999311</v>
      </c>
      <c r="J19" s="146">
        <f>'FS Jimbaran August 2018'!AF29/'FS Jimbaran August 2018'!AE29</f>
        <v>9500</v>
      </c>
      <c r="K19" s="145">
        <f>'FS Jimbaran August 2018'!Q29</f>
        <v>492</v>
      </c>
      <c r="L19" s="154">
        <f>'FS Jimbaran August 2018'!V29/'FS Jimbaran August 2018'!Q29</f>
        <v>11541.906422764228</v>
      </c>
      <c r="M19" s="145">
        <v>116</v>
      </c>
      <c r="N19" s="145">
        <v>907</v>
      </c>
    </row>
    <row r="20" spans="1:14">
      <c r="A20" s="142" t="s">
        <v>14</v>
      </c>
      <c r="B20" s="143">
        <f t="shared" si="0"/>
        <v>19</v>
      </c>
      <c r="C20" s="144">
        <v>8</v>
      </c>
      <c r="D20" s="143">
        <v>2018</v>
      </c>
      <c r="E20" s="145">
        <f>'FS Jimbaran August 2018'!P30</f>
        <v>23700.000000000444</v>
      </c>
      <c r="F20" s="154">
        <f>'FS Jimbaran August 2018'!O30/'FS Jimbaran August 2018'!P30</f>
        <v>1189.4425518987323</v>
      </c>
      <c r="G20" s="145">
        <f>'FS Jimbaran August 2018'!AB30</f>
        <v>377.16051999998592</v>
      </c>
      <c r="H20" s="154">
        <f>'FS Jimbaran August 2018'!AC30/'FS Jimbaran August 2018'!AB30</f>
        <v>10873.950326402164</v>
      </c>
      <c r="I20" s="145">
        <f>'FS Jimbaran August 2018'!AE30</f>
        <v>574.78000000001339</v>
      </c>
      <c r="J20" s="146">
        <f>'FS Jimbaran August 2018'!AF30/'FS Jimbaran August 2018'!AE30</f>
        <v>9500</v>
      </c>
      <c r="K20" s="145">
        <f>'FS Jimbaran August 2018'!Q30</f>
        <v>265</v>
      </c>
      <c r="L20" s="154">
        <f>'FS Jimbaran August 2018'!V30/'FS Jimbaran August 2018'!Q30</f>
        <v>5283.2324528301879</v>
      </c>
      <c r="M20" s="145">
        <v>84</v>
      </c>
      <c r="N20" s="145">
        <v>1015</v>
      </c>
    </row>
    <row r="21" spans="1:14">
      <c r="A21" s="142" t="s">
        <v>14</v>
      </c>
      <c r="B21" s="143">
        <f t="shared" si="0"/>
        <v>20</v>
      </c>
      <c r="C21" s="144">
        <v>8</v>
      </c>
      <c r="D21" s="143">
        <v>2018</v>
      </c>
      <c r="E21" s="145">
        <f>'FS Jimbaran August 2018'!P31</f>
        <v>23679.999999999607</v>
      </c>
      <c r="F21" s="154">
        <f>'FS Jimbaran August 2018'!O31/'FS Jimbaran August 2018'!P31</f>
        <v>1184.4765418074346</v>
      </c>
      <c r="G21" s="145">
        <f>'FS Jimbaran August 2018'!AB31</f>
        <v>125.14652000004453</v>
      </c>
      <c r="H21" s="154">
        <f>'FS Jimbaran August 2018'!AC31/'FS Jimbaran August 2018'!AB31</f>
        <v>10294.146553655617</v>
      </c>
      <c r="I21" s="145">
        <f>'FS Jimbaran August 2018'!AE31</f>
        <v>747.2699999999968</v>
      </c>
      <c r="J21" s="146">
        <f>'FS Jimbaran August 2018'!AF31/'FS Jimbaran August 2018'!AE31</f>
        <v>9500</v>
      </c>
      <c r="K21" s="145">
        <f>'FS Jimbaran August 2018'!Q31</f>
        <v>523</v>
      </c>
      <c r="L21" s="154">
        <f>'FS Jimbaran August 2018'!V31/'FS Jimbaran August 2018'!Q31</f>
        <v>9814.0180497131914</v>
      </c>
      <c r="M21" s="145">
        <v>73</v>
      </c>
      <c r="N21" s="145">
        <v>843</v>
      </c>
    </row>
    <row r="22" spans="1:14">
      <c r="A22" s="142" t="s">
        <v>14</v>
      </c>
      <c r="B22" s="143">
        <f t="shared" si="0"/>
        <v>21</v>
      </c>
      <c r="C22" s="144">
        <v>8</v>
      </c>
      <c r="D22" s="143">
        <v>2018</v>
      </c>
      <c r="E22" s="145">
        <f>'FS Jimbaran August 2018'!P32</f>
        <v>24140.000000000102</v>
      </c>
      <c r="F22" s="154">
        <f>'FS Jimbaran August 2018'!O32/'FS Jimbaran August 2018'!P32</f>
        <v>1184.4320219552596</v>
      </c>
      <c r="G22" s="145">
        <f>'FS Jimbaran August 2018'!AB32</f>
        <v>146.9345599999578</v>
      </c>
      <c r="H22" s="154">
        <f>'FS Jimbaran August 2018'!AC32/'FS Jimbaran August 2018'!AB32</f>
        <v>14194.445389023322</v>
      </c>
      <c r="I22" s="145">
        <f>'FS Jimbaran August 2018'!AE32</f>
        <v>586.36000000000058</v>
      </c>
      <c r="J22" s="146">
        <f>'FS Jimbaran August 2018'!AF32/'FS Jimbaran August 2018'!AE32</f>
        <v>9500</v>
      </c>
      <c r="K22" s="145">
        <f>'FS Jimbaran August 2018'!Q32</f>
        <v>375</v>
      </c>
      <c r="L22" s="154">
        <f>'FS Jimbaran August 2018'!V32/'FS Jimbaran August 2018'!Q32</f>
        <v>4681.4799999999996</v>
      </c>
      <c r="M22" s="145">
        <v>77</v>
      </c>
      <c r="N22" s="145">
        <v>785</v>
      </c>
    </row>
    <row r="23" spans="1:14">
      <c r="A23" s="142" t="s">
        <v>14</v>
      </c>
      <c r="B23" s="143">
        <f t="shared" si="0"/>
        <v>22</v>
      </c>
      <c r="C23" s="144">
        <v>8</v>
      </c>
      <c r="D23" s="143">
        <v>2018</v>
      </c>
      <c r="E23" s="145">
        <f>'FS Jimbaran August 2018'!P33</f>
        <v>23100.000000000138</v>
      </c>
      <c r="F23" s="154">
        <f>'FS Jimbaran August 2018'!O33/'FS Jimbaran August 2018'!P33</f>
        <v>1186.9097181818181</v>
      </c>
      <c r="G23" s="145">
        <f>'FS Jimbaran August 2018'!AB33</f>
        <v>145.40391999999764</v>
      </c>
      <c r="H23" s="154">
        <f>'FS Jimbaran August 2018'!AC33/'FS Jimbaran August 2018'!AB33</f>
        <v>10395.96456381644</v>
      </c>
      <c r="I23" s="145">
        <f>'FS Jimbaran August 2018'!AE33</f>
        <v>610.77999999999884</v>
      </c>
      <c r="J23" s="146">
        <f>'FS Jimbaran August 2018'!AF33/'FS Jimbaran August 2018'!AE33</f>
        <v>9500</v>
      </c>
      <c r="K23" s="145">
        <f>'FS Jimbaran August 2018'!Q33</f>
        <v>402</v>
      </c>
      <c r="L23" s="154">
        <f>'FS Jimbaran August 2018'!V33/'FS Jimbaran August 2018'!Q33</f>
        <v>4681.4799999999996</v>
      </c>
      <c r="M23" s="145">
        <v>77</v>
      </c>
      <c r="N23" s="145">
        <v>705</v>
      </c>
    </row>
    <row r="24" spans="1:14">
      <c r="A24" s="142" t="s">
        <v>14</v>
      </c>
      <c r="B24" s="143">
        <f t="shared" si="0"/>
        <v>23</v>
      </c>
      <c r="C24" s="144">
        <v>8</v>
      </c>
      <c r="D24" s="143">
        <v>2018</v>
      </c>
      <c r="E24" s="145">
        <f>'FS Jimbaran August 2018'!P34</f>
        <v>27259.999999999534</v>
      </c>
      <c r="F24" s="154">
        <f>'FS Jimbaran August 2018'!O34/'FS Jimbaran August 2018'!P34</f>
        <v>1167.3612964049903</v>
      </c>
      <c r="G24" s="145">
        <f>'FS Jimbaran August 2018'!AB34</f>
        <v>123.69988000002577</v>
      </c>
      <c r="H24" s="154">
        <f>'FS Jimbaran August 2018'!AC34/'FS Jimbaran August 2018'!AB34</f>
        <v>10153</v>
      </c>
      <c r="I24" s="145">
        <f>'FS Jimbaran August 2018'!AE34</f>
        <v>555.79000000000815</v>
      </c>
      <c r="J24" s="146">
        <f>'FS Jimbaran August 2018'!AF34/'FS Jimbaran August 2018'!AE34</f>
        <v>9500</v>
      </c>
      <c r="K24" s="145">
        <f>'FS Jimbaran August 2018'!Q34</f>
        <v>488</v>
      </c>
      <c r="L24" s="154">
        <f>'FS Jimbaran August 2018'!V34/'FS Jimbaran August 2018'!Q34</f>
        <v>11897.679795081967</v>
      </c>
      <c r="M24" s="145">
        <v>76</v>
      </c>
      <c r="N24" s="145">
        <v>673</v>
      </c>
    </row>
    <row r="25" spans="1:14">
      <c r="A25" s="142" t="s">
        <v>14</v>
      </c>
      <c r="B25" s="143">
        <f t="shared" si="0"/>
        <v>24</v>
      </c>
      <c r="C25" s="144">
        <v>8</v>
      </c>
      <c r="D25" s="143">
        <v>2018</v>
      </c>
      <c r="E25" s="145">
        <f>'FS Jimbaran August 2018'!P35</f>
        <v>18060.000000000342</v>
      </c>
      <c r="F25" s="154">
        <f>'FS Jimbaran August 2018'!O35/'FS Jimbaran August 2018'!P35</f>
        <v>1205.599744186045</v>
      </c>
      <c r="G25" s="145">
        <f>'FS Jimbaran August 2018'!AB35</f>
        <v>832.49148000001401</v>
      </c>
      <c r="H25" s="154">
        <f>'FS Jimbaran August 2018'!AC35/'FS Jimbaran August 2018'!AB35</f>
        <v>11053.153356524426</v>
      </c>
      <c r="I25" s="145">
        <f>'FS Jimbaran August 2018'!AE35</f>
        <v>607.5</v>
      </c>
      <c r="J25" s="146">
        <f>'FS Jimbaran August 2018'!AF35/'FS Jimbaran August 2018'!AE35</f>
        <v>9500</v>
      </c>
      <c r="K25" s="145">
        <f>'FS Jimbaran August 2018'!Q35</f>
        <v>637</v>
      </c>
      <c r="L25" s="154">
        <f>'FS Jimbaran August 2018'!V35/'FS Jimbaran August 2018'!Q35</f>
        <v>8978.9245839874402</v>
      </c>
      <c r="M25" s="145">
        <v>77</v>
      </c>
      <c r="N25" s="145">
        <v>727</v>
      </c>
    </row>
    <row r="26" spans="1:14">
      <c r="A26" s="142" t="s">
        <v>14</v>
      </c>
      <c r="B26" s="143">
        <f>B25+1</f>
        <v>25</v>
      </c>
      <c r="C26" s="144">
        <v>8</v>
      </c>
      <c r="D26" s="143">
        <v>2018</v>
      </c>
      <c r="E26" s="145">
        <f>'FS Jimbaran August 2018'!P36</f>
        <v>21959.999999999753</v>
      </c>
      <c r="F26" s="154">
        <f>'FS Jimbaran August 2018'!O36/'FS Jimbaran August 2018'!P36</f>
        <v>1185.133250000001</v>
      </c>
      <c r="G26" s="145">
        <f>'FS Jimbaran August 2018'!AB36</f>
        <v>126.15351999998592</v>
      </c>
      <c r="H26" s="154">
        <f>'FS Jimbaran August 2018'!AC36/'FS Jimbaran August 2018'!AB36</f>
        <v>10293.019874197738</v>
      </c>
      <c r="I26" s="145">
        <f>'FS Jimbaran August 2018'!AE36</f>
        <v>604.25999999999476</v>
      </c>
      <c r="J26" s="146">
        <f>'FS Jimbaran August 2018'!AF36/'FS Jimbaran August 2018'!AE36</f>
        <v>9500</v>
      </c>
      <c r="K26" s="145">
        <f>'FS Jimbaran August 2018'!Q36</f>
        <v>664.89999999999418</v>
      </c>
      <c r="L26" s="154">
        <f>'FS Jimbaran August 2018'!V36/'FS Jimbaran August 2018'!Q36</f>
        <v>8418.8644187096124</v>
      </c>
      <c r="M26" s="145">
        <v>69</v>
      </c>
      <c r="N26" s="145">
        <v>720</v>
      </c>
    </row>
    <row r="27" spans="1:14">
      <c r="A27" s="142" t="s">
        <v>14</v>
      </c>
      <c r="B27" s="143">
        <f t="shared" si="0"/>
        <v>26</v>
      </c>
      <c r="C27" s="144">
        <v>8</v>
      </c>
      <c r="D27" s="143">
        <v>2018</v>
      </c>
      <c r="E27" s="145">
        <f>'FS Jimbaran August 2018'!P37</f>
        <v>22700.000000000331</v>
      </c>
      <c r="F27" s="154">
        <f>'FS Jimbaran August 2018'!O37/'FS Jimbaran August 2018'!P37</f>
        <v>1184.3482678414036</v>
      </c>
      <c r="G27" s="145">
        <f>'FS Jimbaran August 2018'!AB37</f>
        <v>123.05195999996951</v>
      </c>
      <c r="H27" s="154">
        <f>'FS Jimbaran August 2018'!AC37/'FS Jimbaran August 2018'!AB37</f>
        <v>10296.549115349357</v>
      </c>
      <c r="I27" s="145">
        <f>'FS Jimbaran August 2018'!AE37</f>
        <v>610.86000000001513</v>
      </c>
      <c r="J27" s="146">
        <f>'FS Jimbaran August 2018'!AF37/'FS Jimbaran August 2018'!AE37</f>
        <v>9500</v>
      </c>
      <c r="K27" s="145">
        <f>'FS Jimbaran August 2018'!Q37</f>
        <v>645</v>
      </c>
      <c r="L27" s="154">
        <f>'FS Jimbaran August 2018'!V37/'FS Jimbaran August 2018'!Q37</f>
        <v>8225.1333333333332</v>
      </c>
      <c r="M27" s="145">
        <v>59</v>
      </c>
      <c r="N27" s="145">
        <v>695</v>
      </c>
    </row>
    <row r="28" spans="1:14">
      <c r="A28" s="142" t="s">
        <v>14</v>
      </c>
      <c r="B28" s="143">
        <f t="shared" si="0"/>
        <v>27</v>
      </c>
      <c r="C28" s="144">
        <v>8</v>
      </c>
      <c r="D28" s="143">
        <v>2018</v>
      </c>
      <c r="E28" s="145">
        <f>'FS Jimbaran August 2018'!P38</f>
        <v>21979.999999999622</v>
      </c>
      <c r="F28" s="154">
        <f>'FS Jimbaran August 2018'!O38/'FS Jimbaran August 2018'!P38</f>
        <v>1187.5184713375818</v>
      </c>
      <c r="G28" s="145">
        <f>'FS Jimbaran August 2018'!AB38</f>
        <v>138.63688000002577</v>
      </c>
      <c r="H28" s="154">
        <f>'FS Jimbaran August 2018'!AC38/'FS Jimbaran August 2018'!AB38</f>
        <v>14436.3335545339</v>
      </c>
      <c r="I28" s="145">
        <f>'FS Jimbaran August 2018'!AE38</f>
        <v>503.61000000000058</v>
      </c>
      <c r="J28" s="146">
        <f>'FS Jimbaran August 2018'!AF38/'FS Jimbaran August 2018'!AE38</f>
        <v>9500</v>
      </c>
      <c r="K28" s="145">
        <f>'FS Jimbaran August 2018'!Q38</f>
        <v>665</v>
      </c>
      <c r="L28" s="154">
        <f>'FS Jimbaran August 2018'!V38/'FS Jimbaran August 2018'!Q38</f>
        <v>7678.9311278195473</v>
      </c>
      <c r="M28" s="145">
        <v>43</v>
      </c>
      <c r="N28" s="145">
        <v>566</v>
      </c>
    </row>
    <row r="29" spans="1:14">
      <c r="A29" s="142" t="s">
        <v>14</v>
      </c>
      <c r="B29" s="143">
        <f t="shared" si="0"/>
        <v>28</v>
      </c>
      <c r="C29" s="144">
        <v>8</v>
      </c>
      <c r="D29" s="143">
        <v>2018</v>
      </c>
      <c r="E29" s="145">
        <f>'FS Jimbaran August 2018'!P39</f>
        <v>22239.999999999669</v>
      </c>
      <c r="F29" s="154">
        <f>'FS Jimbaran August 2018'!O39/'FS Jimbaran August 2018'!P39</f>
        <v>1186.8390121402908</v>
      </c>
      <c r="G29" s="145">
        <f>'FS Jimbaran August 2018'!AB39</f>
        <v>110.89083999999529</v>
      </c>
      <c r="H29" s="154">
        <f>'FS Jimbaran August 2018'!AC39/'FS Jimbaran August 2018'!AB39</f>
        <v>10153</v>
      </c>
      <c r="I29" s="145">
        <f>'FS Jimbaran August 2018'!AE39</f>
        <v>866.41000000000349</v>
      </c>
      <c r="J29" s="146">
        <f>'FS Jimbaran August 2018'!AF39/'FS Jimbaran August 2018'!AE39</f>
        <v>9500</v>
      </c>
      <c r="K29" s="145">
        <f>'FS Jimbaran August 2018'!Q39</f>
        <v>509</v>
      </c>
      <c r="L29" s="154">
        <f>'FS Jimbaran August 2018'!V39/'FS Jimbaran August 2018'!Q39</f>
        <v>4681.4799999999996</v>
      </c>
      <c r="M29" s="145">
        <v>37</v>
      </c>
      <c r="N29" s="145">
        <v>361</v>
      </c>
    </row>
    <row r="30" spans="1:14">
      <c r="A30" s="142" t="s">
        <v>14</v>
      </c>
      <c r="B30" s="143">
        <f t="shared" si="0"/>
        <v>29</v>
      </c>
      <c r="C30" s="144">
        <v>8</v>
      </c>
      <c r="D30" s="143">
        <v>2018</v>
      </c>
      <c r="E30" s="145">
        <f>'FS Jimbaran August 2018'!P40</f>
        <v>21580.000000000153</v>
      </c>
      <c r="F30" s="154">
        <f>'FS Jimbaran August 2018'!O40/'FS Jimbaran August 2018'!P40</f>
        <v>1179.2916867469899</v>
      </c>
      <c r="G30" s="145">
        <f>'FS Jimbaran August 2018'!AB40</f>
        <v>760.24635999998122</v>
      </c>
      <c r="H30" s="154">
        <f>'FS Jimbaran August 2018'!AC40/'FS Jimbaran August 2018'!AB40</f>
        <v>11022.520769556879</v>
      </c>
      <c r="I30" s="145">
        <f>'FS Jimbaran August 2018'!AE40</f>
        <v>613.51000000000931</v>
      </c>
      <c r="J30" s="146">
        <f>'FS Jimbaran August 2018'!AF40/'FS Jimbaran August 2018'!AE40</f>
        <v>9500</v>
      </c>
      <c r="K30" s="145">
        <f>'FS Jimbaran August 2018'!Q40</f>
        <v>486</v>
      </c>
      <c r="L30" s="154">
        <f>'FS Jimbaran August 2018'!V40/'FS Jimbaran August 2018'!Q40</f>
        <v>4681.4799999999996</v>
      </c>
      <c r="M30" s="145">
        <v>37</v>
      </c>
      <c r="N30" s="145">
        <v>396</v>
      </c>
    </row>
    <row r="31" spans="1:14">
      <c r="A31" s="142" t="s">
        <v>14</v>
      </c>
      <c r="B31" s="143">
        <f t="shared" si="0"/>
        <v>30</v>
      </c>
      <c r="C31" s="144">
        <v>8</v>
      </c>
      <c r="D31" s="143">
        <v>2018</v>
      </c>
      <c r="E31" s="145">
        <f>'FS Jimbaran August 2018'!P41</f>
        <v>20699.999999999989</v>
      </c>
      <c r="F31" s="154">
        <f>'FS Jimbaran August 2018'!O41/'FS Jimbaran August 2018'!P41</f>
        <v>1187.394173913041</v>
      </c>
      <c r="G31" s="145">
        <f>'FS Jimbaran August 2018'!AB41</f>
        <v>147.33736000003984</v>
      </c>
      <c r="H31" s="154">
        <f>'FS Jimbaran August 2018'!AC41/'FS Jimbaran August 2018'!AB41</f>
        <v>10392.776252268879</v>
      </c>
      <c r="I31" s="145">
        <f>'FS Jimbaran August 2018'!AE41</f>
        <v>554.11000000000058</v>
      </c>
      <c r="J31" s="146">
        <f>'FS Jimbaran August 2018'!AF41/'FS Jimbaran August 2018'!AE41</f>
        <v>9500</v>
      </c>
      <c r="K31" s="145">
        <f>'FS Jimbaran August 2018'!Q41</f>
        <v>712</v>
      </c>
      <c r="L31" s="154">
        <f>'FS Jimbaran August 2018'!V41/'FS Jimbaran August 2018'!Q41</f>
        <v>8096.974522471909</v>
      </c>
      <c r="M31" s="145">
        <v>33</v>
      </c>
      <c r="N31" s="145">
        <v>464</v>
      </c>
    </row>
    <row r="32" spans="1:14">
      <c r="A32" s="142" t="s">
        <v>14</v>
      </c>
      <c r="B32" s="143">
        <f t="shared" si="0"/>
        <v>31</v>
      </c>
      <c r="C32" s="144">
        <v>8</v>
      </c>
      <c r="D32" s="143">
        <v>2018</v>
      </c>
      <c r="E32" s="145">
        <f>'FS Jimbaran August 2018'!P42</f>
        <v>31160.000000000029</v>
      </c>
      <c r="F32" s="154">
        <f>'FS Jimbaran August 2018'!O42/'FS Jimbaran August 2018'!P42</f>
        <v>1154.9312647625172</v>
      </c>
      <c r="G32" s="145">
        <f>'FS Jimbaran August 2018'!AB42</f>
        <v>133.36363999996013</v>
      </c>
      <c r="H32" s="154">
        <f>'FS Jimbaran August 2018'!AC42/'FS Jimbaran August 2018'!AB42</f>
        <v>10285.449894139101</v>
      </c>
      <c r="I32" s="145">
        <f>'FS Jimbaran August 2018'!AE42</f>
        <v>758.4600000000064</v>
      </c>
      <c r="J32" s="146">
        <f>'FS Jimbaran August 2018'!AF42/'FS Jimbaran August 2018'!AE42</f>
        <v>9500</v>
      </c>
      <c r="K32" s="145">
        <f>'FS Jimbaran August 2018'!Q42</f>
        <v>742</v>
      </c>
      <c r="L32" s="154">
        <f>'FS Jimbaran August 2018'!V42/'FS Jimbaran August 2018'!Q42</f>
        <v>7779.7887601078164</v>
      </c>
      <c r="M32" s="145">
        <v>35</v>
      </c>
      <c r="N32" s="145">
        <v>418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66"/>
  <sheetViews>
    <sheetView tabSelected="1" zoomScale="62" zoomScaleNormal="62" workbookViewId="0">
      <pane xSplit="4" ySplit="10" topLeftCell="V34" activePane="bottomRight" state="frozen"/>
      <selection pane="bottomRight" activeCell="AC50" sqref="AC50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1.42578125" style="3" customWidth="1"/>
    <col min="4" max="4" width="11.425781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8" bestFit="1" customWidth="1"/>
    <col min="14" max="14" width="20.42578125" style="62" customWidth="1"/>
    <col min="15" max="15" width="18.85546875" customWidth="1"/>
    <col min="16" max="16" width="15.140625" style="62" customWidth="1"/>
    <col min="17" max="17" width="19.710937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" bestFit="1" customWidth="1"/>
    <col min="29" max="29" width="19" style="3" customWidth="1"/>
    <col min="30" max="30" width="10.5703125" customWidth="1"/>
    <col min="31" max="31" width="13.28515625" style="80" bestFit="1" customWidth="1"/>
    <col min="32" max="32" width="20.7109375" bestFit="1" customWidth="1"/>
    <col min="33" max="33" width="10.85546875" style="35" customWidth="1"/>
    <col min="34" max="34" width="2.28515625" style="7" customWidth="1"/>
  </cols>
  <sheetData>
    <row r="5" spans="1:34">
      <c r="N5" s="155"/>
      <c r="S5" s="156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3"/>
      <c r="N6" s="59"/>
      <c r="P6" s="59"/>
      <c r="Y6" s="30"/>
      <c r="AC6" s="30"/>
      <c r="AE6" s="77"/>
      <c r="AG6" s="32"/>
    </row>
    <row r="7" spans="1:34" s="11" customFormat="1">
      <c r="A7" s="26"/>
      <c r="B7" s="180" t="s">
        <v>17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2"/>
      <c r="AH7" s="26"/>
    </row>
    <row r="8" spans="1:34" s="7" customFormat="1" ht="15.75" customHeight="1">
      <c r="A8" s="23"/>
      <c r="B8" s="183" t="s">
        <v>18</v>
      </c>
      <c r="C8" s="186" t="s">
        <v>19</v>
      </c>
      <c r="D8" s="189" t="s">
        <v>13</v>
      </c>
      <c r="E8" s="192" t="s">
        <v>20</v>
      </c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3" t="s">
        <v>21</v>
      </c>
      <c r="R8" s="194"/>
      <c r="S8" s="194"/>
      <c r="T8" s="194"/>
      <c r="U8" s="194"/>
      <c r="V8" s="194"/>
      <c r="W8" s="195"/>
      <c r="X8" s="196" t="s">
        <v>22</v>
      </c>
      <c r="Y8" s="196"/>
      <c r="Z8" s="196"/>
      <c r="AA8" s="196"/>
      <c r="AB8" s="196"/>
      <c r="AC8" s="196"/>
      <c r="AD8" s="196"/>
      <c r="AE8" s="196"/>
      <c r="AF8" s="196"/>
      <c r="AG8" s="197"/>
      <c r="AH8" s="25"/>
    </row>
    <row r="9" spans="1:34" ht="15" customHeight="1">
      <c r="B9" s="184"/>
      <c r="C9" s="187"/>
      <c r="D9" s="190"/>
      <c r="E9" s="198" t="s">
        <v>23</v>
      </c>
      <c r="F9" s="199"/>
      <c r="G9" s="199"/>
      <c r="H9" s="199"/>
      <c r="I9" s="200"/>
      <c r="J9" s="201" t="s">
        <v>24</v>
      </c>
      <c r="K9" s="201"/>
      <c r="L9" s="201"/>
      <c r="M9" s="201"/>
      <c r="N9" s="202"/>
      <c r="O9" s="189" t="s">
        <v>25</v>
      </c>
      <c r="P9" s="203" t="s">
        <v>26</v>
      </c>
      <c r="Q9" s="47"/>
      <c r="R9" s="47" t="s">
        <v>27</v>
      </c>
      <c r="S9" s="47"/>
      <c r="T9" s="48"/>
      <c r="U9" s="158"/>
      <c r="V9" s="178" t="s">
        <v>28</v>
      </c>
      <c r="W9" s="179"/>
      <c r="X9" s="196" t="s">
        <v>29</v>
      </c>
      <c r="Y9" s="196"/>
      <c r="Z9" s="196"/>
      <c r="AA9" s="196"/>
      <c r="AB9" s="196"/>
      <c r="AC9" s="196"/>
      <c r="AD9" s="197"/>
      <c r="AE9" s="205" t="s">
        <v>30</v>
      </c>
      <c r="AF9" s="206"/>
      <c r="AG9" s="207"/>
    </row>
    <row r="10" spans="1:34" ht="61.5" customHeight="1">
      <c r="A10" s="24"/>
      <c r="B10" s="185"/>
      <c r="C10" s="188"/>
      <c r="D10" s="191"/>
      <c r="E10" s="90" t="s">
        <v>31</v>
      </c>
      <c r="F10" s="75" t="s">
        <v>32</v>
      </c>
      <c r="G10" s="120" t="s">
        <v>33</v>
      </c>
      <c r="H10" s="16" t="s">
        <v>32</v>
      </c>
      <c r="I10" s="91" t="s">
        <v>34</v>
      </c>
      <c r="J10" s="90" t="s">
        <v>31</v>
      </c>
      <c r="K10" s="76" t="s">
        <v>32</v>
      </c>
      <c r="L10" s="120" t="s">
        <v>33</v>
      </c>
      <c r="M10" s="54" t="s">
        <v>32</v>
      </c>
      <c r="N10" s="83" t="s">
        <v>35</v>
      </c>
      <c r="O10" s="191"/>
      <c r="P10" s="204"/>
      <c r="Q10" s="159" t="s">
        <v>36</v>
      </c>
      <c r="R10" s="49" t="s">
        <v>37</v>
      </c>
      <c r="S10" s="49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2" t="s">
        <v>43</v>
      </c>
      <c r="Y10" s="42" t="s">
        <v>44</v>
      </c>
      <c r="Z10" s="41" t="s">
        <v>45</v>
      </c>
      <c r="AA10" s="41" t="s">
        <v>46</v>
      </c>
      <c r="AB10" s="41" t="s">
        <v>47</v>
      </c>
      <c r="AC10" s="42" t="s">
        <v>41</v>
      </c>
      <c r="AD10" s="43" t="s">
        <v>42</v>
      </c>
      <c r="AE10" s="125" t="s">
        <v>48</v>
      </c>
      <c r="AF10" s="41" t="s">
        <v>41</v>
      </c>
      <c r="AG10" s="45" t="s">
        <v>42</v>
      </c>
      <c r="AH10" s="24"/>
    </row>
    <row r="11" spans="1:34">
      <c r="A11" s="24"/>
      <c r="B11" s="51"/>
      <c r="C11" s="92"/>
      <c r="D11" s="160"/>
      <c r="E11" s="161"/>
      <c r="F11" s="81"/>
      <c r="G11" s="17"/>
      <c r="H11" s="18"/>
      <c r="I11" s="93"/>
      <c r="J11" s="82"/>
      <c r="K11" s="17"/>
      <c r="L11" s="18"/>
      <c r="M11" s="55"/>
      <c r="N11" s="84"/>
      <c r="O11" s="50"/>
      <c r="P11" s="101"/>
      <c r="Q11" s="82"/>
      <c r="R11" s="17"/>
      <c r="S11" s="17"/>
      <c r="T11" s="19"/>
      <c r="U11" s="19"/>
      <c r="V11" s="19"/>
      <c r="W11" s="93"/>
      <c r="X11" s="113"/>
      <c r="Y11" s="39"/>
      <c r="Z11" s="36"/>
      <c r="AA11" s="36"/>
      <c r="AB11" s="36"/>
      <c r="AC11" s="39"/>
      <c r="AD11" s="40"/>
      <c r="AE11" s="126"/>
      <c r="AF11" s="36"/>
      <c r="AG11" s="44"/>
      <c r="AH11" s="24"/>
    </row>
    <row r="12" spans="1:34">
      <c r="A12" s="29"/>
      <c r="B12" s="52">
        <v>1</v>
      </c>
      <c r="C12" s="175">
        <v>65</v>
      </c>
      <c r="D12" s="176">
        <v>576</v>
      </c>
      <c r="E12" s="97">
        <v>7640.0000000001</v>
      </c>
      <c r="F12" s="2">
        <v>8309027.1600001091</v>
      </c>
      <c r="G12" s="31">
        <v>3639.9999999999864</v>
      </c>
      <c r="H12" s="2">
        <v>5938126.7399999788</v>
      </c>
      <c r="I12" s="94">
        <f>F12+H12</f>
        <v>14247153.900000088</v>
      </c>
      <c r="J12" s="97">
        <v>1199.9999999998181</v>
      </c>
      <c r="K12" s="2">
        <v>1305082.7999998024</v>
      </c>
      <c r="L12" s="162">
        <v>519.99999999998181</v>
      </c>
      <c r="M12" s="163">
        <v>848303.81999997038</v>
      </c>
      <c r="N12" s="85">
        <f>+K12+M12</f>
        <v>2153386.6199997729</v>
      </c>
      <c r="O12" s="99">
        <f>N12+I12</f>
        <v>16400540.519999862</v>
      </c>
      <c r="P12" s="102">
        <f>L12+J12+G12+E12</f>
        <v>12999.999999999887</v>
      </c>
      <c r="Q12" s="164">
        <f>T12+R12</f>
        <v>756.69999999999709</v>
      </c>
      <c r="R12" s="2">
        <v>290</v>
      </c>
      <c r="S12" s="2">
        <v>5211352.2</v>
      </c>
      <c r="T12" s="27">
        <v>466.69999999999709</v>
      </c>
      <c r="U12" s="27">
        <v>2184846.715999986</v>
      </c>
      <c r="V12" s="27">
        <f t="shared" ref="V12:V39" si="0">U12+S12</f>
        <v>7396198.9159999862</v>
      </c>
      <c r="W12" s="115">
        <f t="shared" ref="W12:W39" si="1">V12/$AG$48</f>
        <v>569.98671525860152</v>
      </c>
      <c r="X12" s="121">
        <v>111.73672000002109</v>
      </c>
      <c r="Y12" s="2"/>
      <c r="Z12" s="2"/>
      <c r="AA12" s="2">
        <v>0</v>
      </c>
      <c r="AB12" s="2">
        <f>X12+Z12+Y12+AA12</f>
        <v>111.73672000002109</v>
      </c>
      <c r="AC12" s="2">
        <v>1134462.9181602141</v>
      </c>
      <c r="AD12" s="37">
        <f t="shared" ref="AD12:AD39" si="2">AC12/$AG$48</f>
        <v>87.427177074158251</v>
      </c>
      <c r="AE12" s="127">
        <v>808.61000000007334</v>
      </c>
      <c r="AF12" s="2">
        <v>7681795.0000006966</v>
      </c>
      <c r="AG12" s="33">
        <f t="shared" ref="AG12:AG42" si="3">AF12/$AG$48</f>
        <v>591.99612518105971</v>
      </c>
      <c r="AH12" s="6"/>
    </row>
    <row r="13" spans="1:34">
      <c r="A13" s="29"/>
      <c r="B13" s="52">
        <v>2</v>
      </c>
      <c r="C13" s="175">
        <v>66</v>
      </c>
      <c r="D13" s="176">
        <v>612</v>
      </c>
      <c r="E13" s="97">
        <v>17279.999999999971</v>
      </c>
      <c r="F13" s="2">
        <v>18793192.319999967</v>
      </c>
      <c r="G13" s="31">
        <v>3400.0000000000341</v>
      </c>
      <c r="H13" s="2">
        <v>5546601.9000000563</v>
      </c>
      <c r="I13" s="94">
        <f t="shared" ref="I13:I42" si="4">F13+H13</f>
        <v>24339794.220000021</v>
      </c>
      <c r="J13" s="97">
        <v>1940.0000000005093</v>
      </c>
      <c r="K13" s="2">
        <v>2109883.860000554</v>
      </c>
      <c r="L13" s="162">
        <v>519.99999999998181</v>
      </c>
      <c r="M13" s="163">
        <v>848303.81999997038</v>
      </c>
      <c r="N13" s="85">
        <f t="shared" ref="N13:N41" si="5">+K13+M13</f>
        <v>2958187.6800005245</v>
      </c>
      <c r="O13" s="99">
        <f t="shared" ref="O13:O39" si="6">N13+I13</f>
        <v>27297981.900000546</v>
      </c>
      <c r="P13" s="102">
        <f t="shared" ref="P13:P39" si="7">L13+J13+G13+E13</f>
        <v>23140.000000000495</v>
      </c>
      <c r="Q13" s="164">
        <f t="shared" ref="Q13:Q41" si="8">T13+R13</f>
        <v>452.80000000000291</v>
      </c>
      <c r="R13" s="2">
        <v>231</v>
      </c>
      <c r="S13" s="2">
        <v>4151111.58</v>
      </c>
      <c r="T13" s="27">
        <v>221.80000000000291</v>
      </c>
      <c r="U13" s="27">
        <v>1038352.2640000135</v>
      </c>
      <c r="V13" s="27">
        <f t="shared" si="0"/>
        <v>5189463.8440000135</v>
      </c>
      <c r="W13" s="115">
        <f t="shared" si="1"/>
        <v>399.92508097585738</v>
      </c>
      <c r="X13" s="121">
        <v>109.64216000000468</v>
      </c>
      <c r="Y13" s="2">
        <v>250</v>
      </c>
      <c r="Z13" s="2"/>
      <c r="AA13" s="2">
        <v>24</v>
      </c>
      <c r="AB13" s="2">
        <f t="shared" ref="AB13:AB42" si="9">X13+Z13+Y13+AA13</f>
        <v>383.64216000000465</v>
      </c>
      <c r="AC13" s="2">
        <v>4184696.8504800475</v>
      </c>
      <c r="AD13" s="37">
        <f t="shared" si="2"/>
        <v>322.49289658749649</v>
      </c>
      <c r="AE13" s="127">
        <v>638.11000000004424</v>
      </c>
      <c r="AF13" s="2">
        <v>6062045.00000042</v>
      </c>
      <c r="AG13" s="33">
        <f t="shared" si="3"/>
        <v>467.17038799826605</v>
      </c>
      <c r="AH13" s="6"/>
    </row>
    <row r="14" spans="1:34">
      <c r="A14" s="29"/>
      <c r="B14" s="52">
        <v>3</v>
      </c>
      <c r="C14" s="175">
        <v>74</v>
      </c>
      <c r="D14" s="176">
        <v>647</v>
      </c>
      <c r="E14" s="97">
        <v>15799.999999999955</v>
      </c>
      <c r="F14" s="2">
        <v>17183590.199999951</v>
      </c>
      <c r="G14" s="31">
        <v>3319.9999999999932</v>
      </c>
      <c r="H14" s="2">
        <v>5416093.6199999889</v>
      </c>
      <c r="I14" s="94">
        <f t="shared" si="4"/>
        <v>22599683.819999941</v>
      </c>
      <c r="J14" s="97">
        <v>2119.9999999998909</v>
      </c>
      <c r="K14" s="2">
        <v>2305646.2799998815</v>
      </c>
      <c r="L14" s="162">
        <v>520.00000000020918</v>
      </c>
      <c r="M14" s="163">
        <v>848303.82000034139</v>
      </c>
      <c r="N14" s="85">
        <f t="shared" si="5"/>
        <v>3153950.1000002231</v>
      </c>
      <c r="O14" s="99">
        <f t="shared" si="6"/>
        <v>25753633.920000166</v>
      </c>
      <c r="P14" s="102">
        <f t="shared" si="7"/>
        <v>21760.000000000047</v>
      </c>
      <c r="Q14" s="164">
        <f t="shared" si="8"/>
        <v>840.69999999999709</v>
      </c>
      <c r="R14" s="2">
        <v>272</v>
      </c>
      <c r="S14" s="2">
        <v>4887888.96</v>
      </c>
      <c r="T14" s="27">
        <v>568.69999999999709</v>
      </c>
      <c r="U14" s="27">
        <v>2662357.675999986</v>
      </c>
      <c r="V14" s="27">
        <f t="shared" si="0"/>
        <v>7550246.635999986</v>
      </c>
      <c r="W14" s="115">
        <f t="shared" si="1"/>
        <v>581.85837459511959</v>
      </c>
      <c r="X14" s="121">
        <v>134.21296000002812</v>
      </c>
      <c r="Y14" s="2"/>
      <c r="Z14" s="2">
        <v>400</v>
      </c>
      <c r="AA14" s="2">
        <v>12</v>
      </c>
      <c r="AB14" s="2">
        <f t="shared" si="9"/>
        <v>546.21296000002815</v>
      </c>
      <c r="AC14" s="2">
        <v>6528664.1828802852</v>
      </c>
      <c r="AD14" s="37">
        <f t="shared" si="2"/>
        <v>503.13030989152242</v>
      </c>
      <c r="AE14" s="127">
        <v>511.40999999991618</v>
      </c>
      <c r="AF14" s="2">
        <v>4858394.9999992037</v>
      </c>
      <c r="AG14" s="33">
        <f t="shared" si="3"/>
        <v>374.41132112980131</v>
      </c>
      <c r="AH14" s="6"/>
    </row>
    <row r="15" spans="1:34">
      <c r="A15" s="29"/>
      <c r="B15" s="52">
        <v>4</v>
      </c>
      <c r="C15" s="175">
        <v>78</v>
      </c>
      <c r="D15" s="176">
        <v>969</v>
      </c>
      <c r="E15" s="97">
        <v>16080.000000000155</v>
      </c>
      <c r="F15" s="2">
        <v>17488109.520000171</v>
      </c>
      <c r="G15" s="31">
        <v>3479.9999999999613</v>
      </c>
      <c r="H15" s="2">
        <v>5677110.1799999373</v>
      </c>
      <c r="I15" s="94">
        <f t="shared" si="4"/>
        <v>23165219.700000107</v>
      </c>
      <c r="J15" s="97">
        <v>2039.9999999999636</v>
      </c>
      <c r="K15" s="2">
        <v>2218640.7599999607</v>
      </c>
      <c r="L15" s="162">
        <v>519.99999999998181</v>
      </c>
      <c r="M15" s="163">
        <v>848303.81999997038</v>
      </c>
      <c r="N15" s="85">
        <f t="shared" si="5"/>
        <v>3066944.5799999312</v>
      </c>
      <c r="O15" s="99">
        <f t="shared" si="6"/>
        <v>26232164.280000038</v>
      </c>
      <c r="P15" s="102">
        <f t="shared" si="7"/>
        <v>22120.000000000062</v>
      </c>
      <c r="Q15" s="164">
        <f t="shared" si="8"/>
        <v>738.5</v>
      </c>
      <c r="R15" s="2">
        <v>243</v>
      </c>
      <c r="S15" s="2">
        <v>4366753.74</v>
      </c>
      <c r="T15" s="27">
        <v>495.5</v>
      </c>
      <c r="U15" s="27">
        <v>2319673.34</v>
      </c>
      <c r="V15" s="27">
        <f t="shared" si="0"/>
        <v>6686427.0800000001</v>
      </c>
      <c r="W15" s="115">
        <f t="shared" si="1"/>
        <v>515.28827867254313</v>
      </c>
      <c r="X15" s="121">
        <v>0</v>
      </c>
      <c r="Y15" s="2"/>
      <c r="Z15" s="2"/>
      <c r="AA15" s="2">
        <v>12</v>
      </c>
      <c r="AB15" s="2">
        <f t="shared" si="9"/>
        <v>12</v>
      </c>
      <c r="AC15" s="2">
        <v>139500</v>
      </c>
      <c r="AD15" s="37">
        <f t="shared" si="2"/>
        <v>10.750541958324888</v>
      </c>
      <c r="AE15" s="127">
        <v>574.78000000001339</v>
      </c>
      <c r="AF15" s="2">
        <v>5460410.0000001276</v>
      </c>
      <c r="AG15" s="33">
        <f t="shared" si="3"/>
        <v>420.80549687927009</v>
      </c>
      <c r="AH15" s="6"/>
    </row>
    <row r="16" spans="1:34">
      <c r="A16" s="29"/>
      <c r="B16" s="52">
        <v>5</v>
      </c>
      <c r="C16" s="175">
        <v>66</v>
      </c>
      <c r="D16" s="176">
        <v>734</v>
      </c>
      <c r="E16" s="97">
        <v>15359.9999999999</v>
      </c>
      <c r="F16" s="2">
        <v>16705059.839999892</v>
      </c>
      <c r="G16" s="31">
        <v>3200.0000000000455</v>
      </c>
      <c r="H16" s="2">
        <v>5220331.2000000747</v>
      </c>
      <c r="I16" s="94">
        <f t="shared" si="4"/>
        <v>21925391.039999966</v>
      </c>
      <c r="J16" s="97">
        <v>1779.9999999997453</v>
      </c>
      <c r="K16" s="2">
        <v>1935872.819999723</v>
      </c>
      <c r="L16" s="162">
        <v>480.00000000001819</v>
      </c>
      <c r="M16" s="163">
        <v>783049.68000002974</v>
      </c>
      <c r="N16" s="85">
        <f t="shared" si="5"/>
        <v>2718922.4999997527</v>
      </c>
      <c r="O16" s="99">
        <f t="shared" si="6"/>
        <v>24644313.53999972</v>
      </c>
      <c r="P16" s="102">
        <f t="shared" si="7"/>
        <v>20819.999999999709</v>
      </c>
      <c r="Q16" s="164">
        <f t="shared" si="8"/>
        <v>688.09999999999127</v>
      </c>
      <c r="R16" s="2">
        <v>245</v>
      </c>
      <c r="S16" s="2">
        <v>4402694.0999999996</v>
      </c>
      <c r="T16" s="27">
        <v>443.09999999999127</v>
      </c>
      <c r="U16" s="27">
        <v>2074363.787999959</v>
      </c>
      <c r="V16" s="27">
        <f t="shared" si="0"/>
        <v>6477057.8879999584</v>
      </c>
      <c r="W16" s="115">
        <f t="shared" si="1"/>
        <v>499.15328022539597</v>
      </c>
      <c r="X16" s="121">
        <v>111.77699999999999</v>
      </c>
      <c r="Y16" s="2"/>
      <c r="Z16" s="2"/>
      <c r="AA16" s="2">
        <v>12</v>
      </c>
      <c r="AB16" s="2">
        <f t="shared" si="9"/>
        <v>123.77699999999999</v>
      </c>
      <c r="AC16" s="2">
        <v>1274371.8809999998</v>
      </c>
      <c r="AD16" s="37">
        <f t="shared" si="2"/>
        <v>98.209235678852394</v>
      </c>
      <c r="AE16" s="127">
        <v>747.27000000000407</v>
      </c>
      <c r="AF16" s="2">
        <v>7099065.0000000391</v>
      </c>
      <c r="AG16" s="33">
        <f t="shared" si="3"/>
        <v>547.08814442563505</v>
      </c>
      <c r="AH16" s="6"/>
    </row>
    <row r="17" spans="1:34">
      <c r="A17" s="29"/>
      <c r="B17" s="52">
        <v>6</v>
      </c>
      <c r="C17" s="175">
        <v>69</v>
      </c>
      <c r="D17" s="176">
        <v>643</v>
      </c>
      <c r="E17" s="97">
        <v>15440.000000000055</v>
      </c>
      <c r="F17" s="2">
        <v>16792065.360000059</v>
      </c>
      <c r="G17" s="31">
        <v>5159.9999999999682</v>
      </c>
      <c r="H17" s="2">
        <v>8417784.0599999484</v>
      </c>
      <c r="I17" s="94">
        <f t="shared" si="4"/>
        <v>25209849.420000009</v>
      </c>
      <c r="J17" s="97">
        <v>1979.9999999995634</v>
      </c>
      <c r="K17" s="2">
        <v>2153386.6199995251</v>
      </c>
      <c r="L17" s="162">
        <v>519.99999999998181</v>
      </c>
      <c r="M17" s="163">
        <v>848303.81999997038</v>
      </c>
      <c r="N17" s="85">
        <f t="shared" si="5"/>
        <v>3001690.4399994956</v>
      </c>
      <c r="O17" s="99">
        <f t="shared" si="6"/>
        <v>28211539.859999504</v>
      </c>
      <c r="P17" s="102">
        <f t="shared" si="7"/>
        <v>23099.999999999567</v>
      </c>
      <c r="Q17" s="164">
        <f t="shared" si="8"/>
        <v>728.60000000000582</v>
      </c>
      <c r="R17" s="2">
        <v>278</v>
      </c>
      <c r="S17" s="2">
        <v>4995710.04</v>
      </c>
      <c r="T17" s="27">
        <v>450.60000000000582</v>
      </c>
      <c r="U17" s="27">
        <v>2109474.8880000273</v>
      </c>
      <c r="V17" s="27">
        <f t="shared" si="0"/>
        <v>7105184.9280000273</v>
      </c>
      <c r="W17" s="115">
        <f t="shared" si="1"/>
        <v>547.55977555642937</v>
      </c>
      <c r="X17" s="121">
        <v>120.47748000001405</v>
      </c>
      <c r="Y17" s="2"/>
      <c r="Z17" s="2"/>
      <c r="AA17" s="2">
        <v>84</v>
      </c>
      <c r="AB17" s="2">
        <f t="shared" si="9"/>
        <v>204.47748000001405</v>
      </c>
      <c r="AC17" s="2">
        <v>2199707.8544401424</v>
      </c>
      <c r="AD17" s="37">
        <f t="shared" si="2"/>
        <v>169.52008304814026</v>
      </c>
      <c r="AE17" s="127">
        <v>586.36000000000058</v>
      </c>
      <c r="AF17" s="2">
        <v>5570420.0000000056</v>
      </c>
      <c r="AG17" s="33">
        <f t="shared" si="3"/>
        <v>429.28339738704074</v>
      </c>
      <c r="AH17" s="6"/>
    </row>
    <row r="18" spans="1:34">
      <c r="A18" s="29"/>
      <c r="B18" s="52">
        <v>7</v>
      </c>
      <c r="C18" s="175">
        <v>76</v>
      </c>
      <c r="D18" s="176">
        <v>626</v>
      </c>
      <c r="E18" s="97">
        <v>15960.000000000036</v>
      </c>
      <c r="F18" s="2">
        <v>17357601.240000039</v>
      </c>
      <c r="G18" s="31">
        <v>1759.9999999999909</v>
      </c>
      <c r="H18" s="2">
        <v>2871182.1599999857</v>
      </c>
      <c r="I18" s="94">
        <f t="shared" si="4"/>
        <v>20228783.400000025</v>
      </c>
      <c r="J18" s="97">
        <v>1960.0000000000364</v>
      </c>
      <c r="K18" s="2">
        <v>2131635.2400000393</v>
      </c>
      <c r="L18" s="162">
        <v>519.99999999998181</v>
      </c>
      <c r="M18" s="163">
        <v>848303.81999997038</v>
      </c>
      <c r="N18" s="85">
        <f t="shared" si="5"/>
        <v>2979939.0600000098</v>
      </c>
      <c r="O18" s="99">
        <f t="shared" si="6"/>
        <v>23208722.460000034</v>
      </c>
      <c r="P18" s="102">
        <f t="shared" si="7"/>
        <v>20200.000000000044</v>
      </c>
      <c r="Q18" s="164">
        <f t="shared" si="8"/>
        <v>574</v>
      </c>
      <c r="R18" s="2">
        <v>94</v>
      </c>
      <c r="S18" s="2">
        <v>1689196.92</v>
      </c>
      <c r="T18" s="27">
        <v>480</v>
      </c>
      <c r="U18" s="27">
        <v>2247110.4</v>
      </c>
      <c r="V18" s="27">
        <f t="shared" si="0"/>
        <v>3936307.32</v>
      </c>
      <c r="W18" s="115">
        <f t="shared" si="1"/>
        <v>303.35080289979493</v>
      </c>
      <c r="X18" s="121">
        <v>121.44419999997655</v>
      </c>
      <c r="Y18" s="2">
        <v>250</v>
      </c>
      <c r="Z18" s="2"/>
      <c r="AA18" s="2">
        <v>0</v>
      </c>
      <c r="AB18" s="2">
        <f t="shared" si="9"/>
        <v>371.44419999997655</v>
      </c>
      <c r="AC18" s="2">
        <v>4025522.9625997618</v>
      </c>
      <c r="AD18" s="37">
        <f t="shared" si="2"/>
        <v>310.22619006185698</v>
      </c>
      <c r="AE18" s="127">
        <v>610.77999999999884</v>
      </c>
      <c r="AF18" s="2">
        <v>5802409.9999999888</v>
      </c>
      <c r="AG18" s="33">
        <f t="shared" si="3"/>
        <v>447.16166426095907</v>
      </c>
      <c r="AH18" s="6"/>
    </row>
    <row r="19" spans="1:34">
      <c r="A19" s="29"/>
      <c r="B19" s="52">
        <v>8</v>
      </c>
      <c r="C19" s="175">
        <v>82</v>
      </c>
      <c r="D19" s="176">
        <v>838</v>
      </c>
      <c r="E19" s="97">
        <v>18240.000000000007</v>
      </c>
      <c r="F19" s="2">
        <v>19837258.560000006</v>
      </c>
      <c r="G19" s="31">
        <v>3840.0000000000318</v>
      </c>
      <c r="H19" s="2">
        <v>6264397.4400000526</v>
      </c>
      <c r="I19" s="94">
        <f t="shared" si="4"/>
        <v>26101656.00000006</v>
      </c>
      <c r="J19" s="97">
        <v>2080.0000000008367</v>
      </c>
      <c r="K19" s="2">
        <v>2262143.5200009099</v>
      </c>
      <c r="L19" s="162">
        <v>480.00000000001819</v>
      </c>
      <c r="M19" s="163">
        <v>783049.68000002974</v>
      </c>
      <c r="N19" s="85">
        <f t="shared" si="5"/>
        <v>3045193.2000009399</v>
      </c>
      <c r="O19" s="99">
        <f t="shared" si="6"/>
        <v>29146849.200001001</v>
      </c>
      <c r="P19" s="102">
        <f t="shared" si="7"/>
        <v>24640.000000000895</v>
      </c>
      <c r="Q19" s="164">
        <f t="shared" si="8"/>
        <v>682</v>
      </c>
      <c r="R19" s="2">
        <v>183</v>
      </c>
      <c r="S19" s="2">
        <v>3288542.94</v>
      </c>
      <c r="T19" s="27">
        <v>499</v>
      </c>
      <c r="U19" s="27">
        <v>2336058.5199999996</v>
      </c>
      <c r="V19" s="27">
        <f t="shared" si="0"/>
        <v>5624601.459999999</v>
      </c>
      <c r="W19" s="115">
        <f t="shared" si="1"/>
        <v>433.45888168161588</v>
      </c>
      <c r="X19" s="121">
        <v>115.56332000000937</v>
      </c>
      <c r="Y19" s="2"/>
      <c r="Z19" s="2">
        <v>400</v>
      </c>
      <c r="AA19" s="2">
        <v>12</v>
      </c>
      <c r="AB19" s="2">
        <f t="shared" si="9"/>
        <v>527.56332000000941</v>
      </c>
      <c r="AC19" s="2">
        <v>5780814.387960095</v>
      </c>
      <c r="AD19" s="37">
        <f t="shared" si="2"/>
        <v>445.49740237314131</v>
      </c>
      <c r="AE19" s="127">
        <v>758.60999999992782</v>
      </c>
      <c r="AF19" s="2">
        <v>7206794.9999993145</v>
      </c>
      <c r="AG19" s="33">
        <f t="shared" si="3"/>
        <v>555.39033715081462</v>
      </c>
      <c r="AH19" s="6"/>
    </row>
    <row r="20" spans="1:34">
      <c r="A20" s="29"/>
      <c r="B20" s="52">
        <v>9</v>
      </c>
      <c r="C20" s="175">
        <v>95</v>
      </c>
      <c r="D20" s="176">
        <v>832</v>
      </c>
      <c r="E20" s="97">
        <v>17279.999999999971</v>
      </c>
      <c r="F20" s="2">
        <v>18793192.319999967</v>
      </c>
      <c r="G20" s="31">
        <v>3839.999999999975</v>
      </c>
      <c r="H20" s="2">
        <v>6264397.4399999604</v>
      </c>
      <c r="I20" s="94">
        <f t="shared" si="4"/>
        <v>25057589.759999927</v>
      </c>
      <c r="J20" s="97">
        <v>1879.9999999991996</v>
      </c>
      <c r="K20" s="2">
        <v>2044629.7199991297</v>
      </c>
      <c r="L20" s="162">
        <v>519.99999999998181</v>
      </c>
      <c r="M20" s="163">
        <v>848303.81999997038</v>
      </c>
      <c r="N20" s="85">
        <f t="shared" si="5"/>
        <v>2892933.5399990999</v>
      </c>
      <c r="O20" s="99">
        <f t="shared" si="6"/>
        <v>27950523.299999028</v>
      </c>
      <c r="P20" s="102">
        <f t="shared" si="7"/>
        <v>23519.999999999127</v>
      </c>
      <c r="Q20" s="164">
        <f t="shared" si="8"/>
        <v>630</v>
      </c>
      <c r="R20" s="2">
        <v>250</v>
      </c>
      <c r="S20" s="2">
        <v>4492545</v>
      </c>
      <c r="T20" s="27">
        <v>380</v>
      </c>
      <c r="U20" s="27">
        <v>1778962.4</v>
      </c>
      <c r="V20" s="27">
        <f t="shared" si="0"/>
        <v>6271507.4000000004</v>
      </c>
      <c r="W20" s="115">
        <f t="shared" si="1"/>
        <v>483.31256950283176</v>
      </c>
      <c r="X20" s="121">
        <v>119.59132000000936</v>
      </c>
      <c r="Y20" s="2"/>
      <c r="Z20" s="2"/>
      <c r="AA20" s="2">
        <v>0</v>
      </c>
      <c r="AB20" s="2">
        <f t="shared" si="9"/>
        <v>119.59132000000936</v>
      </c>
      <c r="AC20" s="2">
        <v>1772710.6719600949</v>
      </c>
      <c r="AD20" s="37">
        <f t="shared" si="2"/>
        <v>136.61362336112765</v>
      </c>
      <c r="AE20" s="127">
        <v>626.11000000000058</v>
      </c>
      <c r="AF20" s="2">
        <v>5948045.0000000056</v>
      </c>
      <c r="AG20" s="33">
        <f t="shared" si="3"/>
        <v>458.38499887100085</v>
      </c>
      <c r="AH20" s="6"/>
    </row>
    <row r="21" spans="1:34">
      <c r="A21" s="29"/>
      <c r="B21" s="52">
        <v>10</v>
      </c>
      <c r="C21" s="175">
        <v>113</v>
      </c>
      <c r="D21" s="176">
        <v>905</v>
      </c>
      <c r="E21" s="97">
        <v>16319.999999999936</v>
      </c>
      <c r="F21" s="2">
        <v>17749126.079999931</v>
      </c>
      <c r="G21" s="31">
        <v>3800.0000000000114</v>
      </c>
      <c r="H21" s="2">
        <v>6199143.3000000184</v>
      </c>
      <c r="I21" s="94">
        <f t="shared" si="4"/>
        <v>23948269.379999951</v>
      </c>
      <c r="J21" s="97">
        <v>2200.0000000007276</v>
      </c>
      <c r="K21" s="2">
        <v>2392651.8000007914</v>
      </c>
      <c r="L21" s="162">
        <v>519.99999999998181</v>
      </c>
      <c r="M21" s="163">
        <v>848303.81999997038</v>
      </c>
      <c r="N21" s="85">
        <f t="shared" si="5"/>
        <v>3240955.6200007619</v>
      </c>
      <c r="O21" s="99">
        <f t="shared" si="6"/>
        <v>27189225.000000712</v>
      </c>
      <c r="P21" s="102">
        <f t="shared" si="7"/>
        <v>22840.000000000655</v>
      </c>
      <c r="Q21" s="164">
        <f t="shared" si="8"/>
        <v>650</v>
      </c>
      <c r="R21" s="2">
        <v>264</v>
      </c>
      <c r="S21" s="2">
        <v>4744127.5200000005</v>
      </c>
      <c r="T21" s="27">
        <v>386</v>
      </c>
      <c r="U21" s="27">
        <v>1807051.2799999998</v>
      </c>
      <c r="V21" s="27">
        <f t="shared" si="0"/>
        <v>6551178.8000000007</v>
      </c>
      <c r="W21" s="115">
        <f t="shared" si="1"/>
        <v>504.86539473755198</v>
      </c>
      <c r="X21" s="121">
        <v>124.58603999997185</v>
      </c>
      <c r="Y21" s="2"/>
      <c r="Z21" s="2"/>
      <c r="AA21" s="2">
        <v>24</v>
      </c>
      <c r="AB21" s="2">
        <f t="shared" si="9"/>
        <v>148.58603999997183</v>
      </c>
      <c r="AC21" s="2">
        <v>1543922.0641197141</v>
      </c>
      <c r="AD21" s="37">
        <f t="shared" si="2"/>
        <v>118.98207118783193</v>
      </c>
      <c r="AE21" s="127">
        <v>546.31000000001222</v>
      </c>
      <c r="AF21" s="2">
        <v>5189945.0000001164</v>
      </c>
      <c r="AG21" s="33">
        <f t="shared" si="3"/>
        <v>399.96216117490832</v>
      </c>
      <c r="AH21" s="6"/>
    </row>
    <row r="22" spans="1:34">
      <c r="A22" s="29"/>
      <c r="B22" s="52">
        <v>11</v>
      </c>
      <c r="C22" s="175">
        <v>120</v>
      </c>
      <c r="D22" s="176">
        <v>944</v>
      </c>
      <c r="E22" s="97">
        <v>16880.000000000109</v>
      </c>
      <c r="F22" s="2">
        <v>18358164.720000122</v>
      </c>
      <c r="G22" s="31">
        <v>3680.0000000000068</v>
      </c>
      <c r="H22" s="2">
        <v>6003380.880000012</v>
      </c>
      <c r="I22" s="94">
        <f t="shared" si="4"/>
        <v>24361545.600000136</v>
      </c>
      <c r="J22" s="97">
        <v>2319.999999999709</v>
      </c>
      <c r="K22" s="2">
        <v>2523160.0799996834</v>
      </c>
      <c r="L22" s="162">
        <v>519.99999999998181</v>
      </c>
      <c r="M22" s="163">
        <v>848303.81999997038</v>
      </c>
      <c r="N22" s="85">
        <f t="shared" si="5"/>
        <v>3371463.8999996539</v>
      </c>
      <c r="O22" s="99">
        <f t="shared" si="6"/>
        <v>27733009.499999791</v>
      </c>
      <c r="P22" s="102">
        <f t="shared" si="7"/>
        <v>23399.999999999807</v>
      </c>
      <c r="Q22" s="164">
        <f t="shared" si="8"/>
        <v>690</v>
      </c>
      <c r="R22" s="2">
        <v>316</v>
      </c>
      <c r="S22" s="2">
        <v>5678576.8799999999</v>
      </c>
      <c r="T22" s="27">
        <v>374</v>
      </c>
      <c r="U22" s="27">
        <v>1750873.5199999998</v>
      </c>
      <c r="V22" s="27">
        <f t="shared" si="0"/>
        <v>7429450.3999999994</v>
      </c>
      <c r="W22" s="115">
        <f t="shared" si="1"/>
        <v>572.54923478490048</v>
      </c>
      <c r="X22" s="121">
        <v>123.69988000002577</v>
      </c>
      <c r="Y22" s="2"/>
      <c r="Z22" s="2"/>
      <c r="AA22" s="2">
        <v>12</v>
      </c>
      <c r="AB22" s="2">
        <f t="shared" si="9"/>
        <v>135.69988000002576</v>
      </c>
      <c r="AC22" s="2">
        <v>1395424.8816402617</v>
      </c>
      <c r="AD22" s="37">
        <f t="shared" si="2"/>
        <v>107.53816300906219</v>
      </c>
      <c r="AE22" s="127">
        <v>385.17999999999302</v>
      </c>
      <c r="AF22" s="2">
        <v>3659209.9999999339</v>
      </c>
      <c r="AG22" s="33">
        <f t="shared" si="3"/>
        <v>281.99634866896992</v>
      </c>
      <c r="AH22" s="6"/>
    </row>
    <row r="23" spans="1:34">
      <c r="A23" s="29"/>
      <c r="B23" s="52">
        <v>12</v>
      </c>
      <c r="C23" s="175">
        <v>110</v>
      </c>
      <c r="D23" s="176">
        <v>1116</v>
      </c>
      <c r="E23" s="97">
        <v>17319.999999999935</v>
      </c>
      <c r="F23" s="2">
        <v>18836695.079999927</v>
      </c>
      <c r="G23" s="31">
        <v>3680.0000000000068</v>
      </c>
      <c r="H23" s="2">
        <v>6003380.880000012</v>
      </c>
      <c r="I23" s="94">
        <f t="shared" si="4"/>
        <v>24840075.959999941</v>
      </c>
      <c r="J23" s="97">
        <v>2380.0000000001091</v>
      </c>
      <c r="K23" s="2">
        <v>2588414.2200001189</v>
      </c>
      <c r="L23" s="162">
        <v>519.99999999998181</v>
      </c>
      <c r="M23" s="163">
        <v>848303.81999997038</v>
      </c>
      <c r="N23" s="85">
        <f t="shared" si="5"/>
        <v>3436718.0400000894</v>
      </c>
      <c r="O23" s="99">
        <f t="shared" si="6"/>
        <v>28276794.00000003</v>
      </c>
      <c r="P23" s="102">
        <f t="shared" si="7"/>
        <v>23900.000000000033</v>
      </c>
      <c r="Q23" s="164">
        <f t="shared" si="8"/>
        <v>478.10000000000582</v>
      </c>
      <c r="R23" s="2">
        <v>265</v>
      </c>
      <c r="S23" s="2">
        <v>4762097.7</v>
      </c>
      <c r="T23" s="27">
        <v>213.10000000000582</v>
      </c>
      <c r="U23" s="27">
        <v>997623.38800002716</v>
      </c>
      <c r="V23" s="27">
        <f t="shared" si="0"/>
        <v>5759721.0880000275</v>
      </c>
      <c r="W23" s="115">
        <f t="shared" si="1"/>
        <v>443.87185107378474</v>
      </c>
      <c r="X23" s="121">
        <v>116.81199999999998</v>
      </c>
      <c r="Y23" s="2"/>
      <c r="Z23" s="2"/>
      <c r="AA23" s="2">
        <v>12</v>
      </c>
      <c r="AB23" s="2">
        <f t="shared" si="9"/>
        <v>128.81199999999998</v>
      </c>
      <c r="AC23" s="2">
        <v>1325492.2359999998</v>
      </c>
      <c r="AD23" s="37">
        <f t="shared" si="2"/>
        <v>102.14881647707436</v>
      </c>
      <c r="AE23" s="127">
        <v>561.24000000000524</v>
      </c>
      <c r="AF23" s="2">
        <v>5331780.0000000494</v>
      </c>
      <c r="AG23" s="33">
        <f t="shared" si="3"/>
        <v>410.89264948070252</v>
      </c>
      <c r="AH23" s="6"/>
    </row>
    <row r="24" spans="1:34">
      <c r="A24" s="29"/>
      <c r="B24" s="52">
        <v>13</v>
      </c>
      <c r="C24" s="175">
        <v>105</v>
      </c>
      <c r="D24" s="176">
        <v>921</v>
      </c>
      <c r="E24" s="97">
        <v>16559.999999999945</v>
      </c>
      <c r="F24" s="2">
        <v>18010142.639999945</v>
      </c>
      <c r="G24" s="31">
        <v>3759.9999999999909</v>
      </c>
      <c r="H24" s="2">
        <v>6133889.1599999862</v>
      </c>
      <c r="I24" s="94">
        <f t="shared" si="4"/>
        <v>24144031.79999993</v>
      </c>
      <c r="J24" s="97">
        <v>2079.9999999999272</v>
      </c>
      <c r="K24" s="2">
        <v>2262143.5199999209</v>
      </c>
      <c r="L24" s="162">
        <v>480.00000000001819</v>
      </c>
      <c r="M24" s="163">
        <v>783049.68000002974</v>
      </c>
      <c r="N24" s="85">
        <f t="shared" si="5"/>
        <v>3045193.1999999508</v>
      </c>
      <c r="O24" s="99">
        <f t="shared" si="6"/>
        <v>27189224.999999881</v>
      </c>
      <c r="P24" s="102">
        <f t="shared" si="7"/>
        <v>22879.999999999884</v>
      </c>
      <c r="Q24" s="164">
        <f>T24+R24</f>
        <v>503</v>
      </c>
      <c r="R24" s="2">
        <v>303</v>
      </c>
      <c r="S24" s="2">
        <v>5444964.54</v>
      </c>
      <c r="T24" s="27">
        <v>200</v>
      </c>
      <c r="U24" s="27">
        <v>936295.99999999988</v>
      </c>
      <c r="V24" s="27">
        <f t="shared" si="0"/>
        <v>6381260.54</v>
      </c>
      <c r="W24" s="115">
        <f t="shared" si="1"/>
        <v>491.77067514174144</v>
      </c>
      <c r="X24" s="121">
        <v>129.98356000001641</v>
      </c>
      <c r="Y24" s="2">
        <v>250</v>
      </c>
      <c r="Z24" s="2">
        <v>400</v>
      </c>
      <c r="AA24" s="2">
        <v>12</v>
      </c>
      <c r="AB24" s="2">
        <f t="shared" si="9"/>
        <v>791.98356000001638</v>
      </c>
      <c r="AC24" s="2">
        <v>8719723.0846801661</v>
      </c>
      <c r="AD24" s="37">
        <f t="shared" si="2"/>
        <v>671.98386298801609</v>
      </c>
      <c r="AE24" s="127">
        <v>866.41000000000349</v>
      </c>
      <c r="AF24" s="2">
        <v>8230895.0000000335</v>
      </c>
      <c r="AG24" s="33">
        <f t="shared" si="3"/>
        <v>634.31241614384874</v>
      </c>
      <c r="AH24" s="6"/>
    </row>
    <row r="25" spans="1:34">
      <c r="A25" s="29"/>
      <c r="B25" s="52">
        <v>14</v>
      </c>
      <c r="C25" s="175">
        <v>92</v>
      </c>
      <c r="D25" s="176">
        <v>884</v>
      </c>
      <c r="E25" s="97">
        <v>17640.000000000102</v>
      </c>
      <c r="F25" s="2">
        <v>19184717.160000108</v>
      </c>
      <c r="G25" s="31">
        <v>3800.0000000000114</v>
      </c>
      <c r="H25" s="2">
        <v>6199143.3000000184</v>
      </c>
      <c r="I25" s="94">
        <f t="shared" si="4"/>
        <v>25383860.460000128</v>
      </c>
      <c r="J25" s="97">
        <v>2199.9999999998181</v>
      </c>
      <c r="K25" s="2">
        <v>2392651.7999998019</v>
      </c>
      <c r="L25" s="162">
        <v>539.99999999996362</v>
      </c>
      <c r="M25" s="163">
        <v>880930.88999994064</v>
      </c>
      <c r="N25" s="85">
        <f t="shared" si="5"/>
        <v>3273582.6899997424</v>
      </c>
      <c r="O25" s="99">
        <f t="shared" si="6"/>
        <v>28657443.149999872</v>
      </c>
      <c r="P25" s="102">
        <f t="shared" si="7"/>
        <v>24179.999999999894</v>
      </c>
      <c r="Q25" s="164">
        <f t="shared" si="8"/>
        <v>500</v>
      </c>
      <c r="R25" s="2">
        <v>298</v>
      </c>
      <c r="S25" s="2">
        <v>5355113.6399999997</v>
      </c>
      <c r="T25" s="27">
        <v>202</v>
      </c>
      <c r="U25" s="27">
        <v>945658.96</v>
      </c>
      <c r="V25" s="27">
        <f t="shared" si="0"/>
        <v>6300772.5999999996</v>
      </c>
      <c r="W25" s="115">
        <f t="shared" si="1"/>
        <v>485.56788678253616</v>
      </c>
      <c r="X25" s="121">
        <v>122.1692399999484</v>
      </c>
      <c r="Y25" s="2"/>
      <c r="Z25" s="2"/>
      <c r="AA25" s="2">
        <v>0</v>
      </c>
      <c r="AB25" s="2">
        <f t="shared" si="9"/>
        <v>122.1692399999484</v>
      </c>
      <c r="AC25" s="2">
        <v>1240384.2937194761</v>
      </c>
      <c r="AD25" s="37">
        <f t="shared" si="2"/>
        <v>95.589988488017269</v>
      </c>
      <c r="AE25" s="127">
        <v>613.51000000000931</v>
      </c>
      <c r="AF25" s="2">
        <v>5828345.0000000885</v>
      </c>
      <c r="AG25" s="33">
        <f t="shared" si="3"/>
        <v>449.16034028741234</v>
      </c>
      <c r="AH25" s="6"/>
    </row>
    <row r="26" spans="1:34">
      <c r="A26" s="29"/>
      <c r="B26" s="52">
        <v>15</v>
      </c>
      <c r="C26" s="175">
        <v>91</v>
      </c>
      <c r="D26" s="176">
        <v>754</v>
      </c>
      <c r="E26" s="97">
        <v>17519.999999999982</v>
      </c>
      <c r="F26" s="2">
        <v>19054208.87999998</v>
      </c>
      <c r="G26" s="31">
        <v>3719.9999999999704</v>
      </c>
      <c r="H26" s="2">
        <v>6068635.019999953</v>
      </c>
      <c r="I26" s="94">
        <f t="shared" si="4"/>
        <v>25122843.899999931</v>
      </c>
      <c r="J26" s="97">
        <v>2119.9999999998909</v>
      </c>
      <c r="K26" s="2">
        <v>2305646.2799998815</v>
      </c>
      <c r="L26" s="162">
        <v>500</v>
      </c>
      <c r="M26" s="163">
        <v>815676.75</v>
      </c>
      <c r="N26" s="85">
        <f t="shared" si="5"/>
        <v>3121323.0299998815</v>
      </c>
      <c r="O26" s="99">
        <f t="shared" si="6"/>
        <v>28244166.929999813</v>
      </c>
      <c r="P26" s="102">
        <f t="shared" si="7"/>
        <v>23859.999999999844</v>
      </c>
      <c r="Q26" s="164">
        <f t="shared" si="8"/>
        <v>492</v>
      </c>
      <c r="R26" s="2">
        <v>288</v>
      </c>
      <c r="S26" s="2">
        <v>5175411.84</v>
      </c>
      <c r="T26" s="27">
        <v>204</v>
      </c>
      <c r="U26" s="27">
        <v>955021.91999999993</v>
      </c>
      <c r="V26" s="27">
        <f t="shared" si="0"/>
        <v>6130433.7599999998</v>
      </c>
      <c r="W26" s="115">
        <f t="shared" si="1"/>
        <v>472.4407552660316</v>
      </c>
      <c r="X26" s="121">
        <v>133.44764000001874</v>
      </c>
      <c r="Y26" s="2"/>
      <c r="Z26" s="2"/>
      <c r="AA26" s="2">
        <v>12</v>
      </c>
      <c r="AB26" s="2">
        <f t="shared" si="9"/>
        <v>145.44764000001874</v>
      </c>
      <c r="AC26" s="2">
        <v>2052893.8889201903</v>
      </c>
      <c r="AD26" s="37">
        <f t="shared" si="2"/>
        <v>158.20589167616671</v>
      </c>
      <c r="AE26" s="127">
        <v>554.11000000000058</v>
      </c>
      <c r="AF26" s="2">
        <v>5264045.0000000056</v>
      </c>
      <c r="AG26" s="33">
        <f t="shared" si="3"/>
        <v>405.67266410760141</v>
      </c>
      <c r="AH26" s="6"/>
    </row>
    <row r="27" spans="1:34">
      <c r="A27" s="29"/>
      <c r="B27" s="52">
        <v>16</v>
      </c>
      <c r="C27" s="175">
        <v>93</v>
      </c>
      <c r="D27" s="176">
        <v>806</v>
      </c>
      <c r="E27" s="97">
        <v>16599.999999999909</v>
      </c>
      <c r="F27" s="2">
        <v>18053645.399999902</v>
      </c>
      <c r="G27" s="31">
        <v>3600.0000000000227</v>
      </c>
      <c r="H27" s="2">
        <v>5872872.6000000378</v>
      </c>
      <c r="I27" s="94">
        <f t="shared" si="4"/>
        <v>23926517.99999994</v>
      </c>
      <c r="J27" s="97">
        <v>1940.0000000005093</v>
      </c>
      <c r="K27" s="2">
        <v>2109883.860000554</v>
      </c>
      <c r="L27" s="162">
        <v>460.00000000003638</v>
      </c>
      <c r="M27" s="163">
        <v>750422.61000005936</v>
      </c>
      <c r="N27" s="85">
        <f t="shared" si="5"/>
        <v>2860306.4700006135</v>
      </c>
      <c r="O27" s="99">
        <f t="shared" si="6"/>
        <v>26786824.470000554</v>
      </c>
      <c r="P27" s="102">
        <f t="shared" si="7"/>
        <v>22600.000000000477</v>
      </c>
      <c r="Q27" s="164">
        <f t="shared" si="8"/>
        <v>570</v>
      </c>
      <c r="R27" s="2">
        <v>250</v>
      </c>
      <c r="S27" s="2">
        <v>4492545</v>
      </c>
      <c r="T27" s="27">
        <v>320</v>
      </c>
      <c r="U27" s="27">
        <v>1498073.5999999999</v>
      </c>
      <c r="V27" s="27">
        <f t="shared" si="0"/>
        <v>5990618.5999999996</v>
      </c>
      <c r="W27" s="115">
        <f t="shared" si="1"/>
        <v>461.66592556001075</v>
      </c>
      <c r="X27" s="121">
        <v>131.03083999999529</v>
      </c>
      <c r="Y27" s="2"/>
      <c r="Z27" s="2"/>
      <c r="AA27" s="2">
        <v>0</v>
      </c>
      <c r="AB27" s="2">
        <f t="shared" si="9"/>
        <v>131.03083999999529</v>
      </c>
      <c r="AC27" s="2">
        <v>1330356.1185199523</v>
      </c>
      <c r="AD27" s="37">
        <f t="shared" si="2"/>
        <v>102.52365069292462</v>
      </c>
      <c r="AE27" s="127">
        <v>520.16000000000349</v>
      </c>
      <c r="AF27" s="2">
        <v>4941520.0000000335</v>
      </c>
      <c r="AG27" s="33">
        <f t="shared" si="3"/>
        <v>380.81733403513954</v>
      </c>
      <c r="AH27" s="6"/>
    </row>
    <row r="28" spans="1:34">
      <c r="A28" s="29"/>
      <c r="B28" s="52">
        <v>17</v>
      </c>
      <c r="C28" s="175">
        <v>123</v>
      </c>
      <c r="D28" s="176">
        <v>948</v>
      </c>
      <c r="E28" s="97">
        <v>15400.000000000091</v>
      </c>
      <c r="F28" s="2">
        <v>16748562.600000098</v>
      </c>
      <c r="G28" s="31">
        <v>3480.0000000000182</v>
      </c>
      <c r="H28" s="2">
        <v>5677110.1800000304</v>
      </c>
      <c r="I28" s="94">
        <f t="shared" si="4"/>
        <v>22425672.780000128</v>
      </c>
      <c r="J28" s="97">
        <v>2159.9999999998545</v>
      </c>
      <c r="K28" s="2">
        <v>2349149.0399998422</v>
      </c>
      <c r="L28" s="162">
        <v>440.00000000005457</v>
      </c>
      <c r="M28" s="163">
        <v>717795.54000008909</v>
      </c>
      <c r="N28" s="85">
        <f t="shared" si="5"/>
        <v>3066944.5799999312</v>
      </c>
      <c r="O28" s="99">
        <f t="shared" si="6"/>
        <v>25492617.360000059</v>
      </c>
      <c r="P28" s="102">
        <f t="shared" si="7"/>
        <v>21480.000000000018</v>
      </c>
      <c r="Q28" s="164">
        <f t="shared" si="8"/>
        <v>518</v>
      </c>
      <c r="R28" s="2">
        <v>279</v>
      </c>
      <c r="S28" s="2">
        <v>5013680.22</v>
      </c>
      <c r="T28" s="27">
        <v>239</v>
      </c>
      <c r="U28" s="27">
        <v>1118873.72</v>
      </c>
      <c r="V28" s="27">
        <f t="shared" si="0"/>
        <v>6132553.9399999995</v>
      </c>
      <c r="W28" s="115">
        <f t="shared" si="1"/>
        <v>472.60414654953837</v>
      </c>
      <c r="X28" s="121">
        <v>149.1568399999953</v>
      </c>
      <c r="Y28" s="2"/>
      <c r="Z28" s="2"/>
      <c r="AA28" s="2">
        <v>12</v>
      </c>
      <c r="AB28" s="2">
        <f t="shared" si="9"/>
        <v>161.1568399999953</v>
      </c>
      <c r="AC28" s="2">
        <v>1653889.3965199522</v>
      </c>
      <c r="AD28" s="37">
        <f t="shared" si="2"/>
        <v>127.45668352484856</v>
      </c>
      <c r="AE28" s="127">
        <v>538.76000000000931</v>
      </c>
      <c r="AF28" s="2">
        <v>5118220.0000000885</v>
      </c>
      <c r="AG28" s="33">
        <f t="shared" si="3"/>
        <v>394.43468718235528</v>
      </c>
      <c r="AH28" s="6"/>
    </row>
    <row r="29" spans="1:34">
      <c r="A29" s="29"/>
      <c r="B29" s="52">
        <v>18</v>
      </c>
      <c r="C29" s="175">
        <v>116</v>
      </c>
      <c r="D29" s="176">
        <v>907</v>
      </c>
      <c r="E29" s="97">
        <v>16399.999999999862</v>
      </c>
      <c r="F29" s="2">
        <v>17836131.599999849</v>
      </c>
      <c r="G29" s="31">
        <v>3319.9999999999932</v>
      </c>
      <c r="H29" s="2">
        <v>5416093.6199999889</v>
      </c>
      <c r="I29" s="94">
        <f t="shared" si="4"/>
        <v>23252225.219999839</v>
      </c>
      <c r="J29" s="97">
        <v>2159.9999999998545</v>
      </c>
      <c r="K29" s="2">
        <v>2349149.0399998422</v>
      </c>
      <c r="L29" s="162">
        <v>539.99999999996362</v>
      </c>
      <c r="M29" s="163">
        <v>880930.88999994064</v>
      </c>
      <c r="N29" s="85">
        <f t="shared" si="5"/>
        <v>3230079.9299997827</v>
      </c>
      <c r="O29" s="99">
        <f t="shared" si="6"/>
        <v>26482305.149999622</v>
      </c>
      <c r="P29" s="102">
        <f t="shared" si="7"/>
        <v>22419.999999999673</v>
      </c>
      <c r="Q29" s="164">
        <f t="shared" si="8"/>
        <v>492</v>
      </c>
      <c r="R29" s="2">
        <v>254</v>
      </c>
      <c r="S29" s="2">
        <v>4564425.72</v>
      </c>
      <c r="T29" s="27">
        <v>238</v>
      </c>
      <c r="U29" s="27">
        <v>1114192.24</v>
      </c>
      <c r="V29" s="27">
        <f t="shared" si="0"/>
        <v>5678617.96</v>
      </c>
      <c r="W29" s="115">
        <f t="shared" si="1"/>
        <v>437.62165336399482</v>
      </c>
      <c r="X29" s="121">
        <v>119.47048000001405</v>
      </c>
      <c r="Y29" s="2"/>
      <c r="Z29" s="2">
        <v>400</v>
      </c>
      <c r="AA29" s="2">
        <v>12</v>
      </c>
      <c r="AB29" s="2">
        <f t="shared" si="9"/>
        <v>531.47048000001405</v>
      </c>
      <c r="AC29" s="2">
        <v>5820483.7834401429</v>
      </c>
      <c r="AD29" s="37">
        <f t="shared" si="2"/>
        <v>448.5545170725652</v>
      </c>
      <c r="AE29" s="127">
        <v>571.07999999999311</v>
      </c>
      <c r="AF29" s="2">
        <v>5425259.9999999348</v>
      </c>
      <c r="AG29" s="33">
        <f t="shared" si="3"/>
        <v>418.09666856502497</v>
      </c>
      <c r="AH29" s="6"/>
    </row>
    <row r="30" spans="1:34">
      <c r="A30" s="29"/>
      <c r="B30" s="52">
        <v>19</v>
      </c>
      <c r="C30" s="175">
        <v>84</v>
      </c>
      <c r="D30" s="176">
        <v>1015</v>
      </c>
      <c r="E30" s="97">
        <v>17160.00000000008</v>
      </c>
      <c r="F30" s="2">
        <v>18662684.040000089</v>
      </c>
      <c r="G30" s="31">
        <v>3959.9999999999795</v>
      </c>
      <c r="H30" s="2">
        <v>6460159.8599999668</v>
      </c>
      <c r="I30" s="94">
        <f t="shared" si="4"/>
        <v>25122843.900000054</v>
      </c>
      <c r="J30" s="97">
        <v>2100.0000000003638</v>
      </c>
      <c r="K30" s="2">
        <v>2283894.9000003957</v>
      </c>
      <c r="L30" s="162">
        <v>480.00000000001819</v>
      </c>
      <c r="M30" s="163">
        <v>783049.68000002974</v>
      </c>
      <c r="N30" s="85">
        <f t="shared" si="5"/>
        <v>3066944.5800004257</v>
      </c>
      <c r="O30" s="99">
        <f t="shared" si="6"/>
        <v>28189788.480000481</v>
      </c>
      <c r="P30" s="102">
        <f t="shared" si="7"/>
        <v>23700.000000000444</v>
      </c>
      <c r="Q30" s="164">
        <f t="shared" si="8"/>
        <v>265</v>
      </c>
      <c r="R30" s="2">
        <v>12</v>
      </c>
      <c r="S30" s="2">
        <v>215642.16</v>
      </c>
      <c r="T30" s="27">
        <v>253</v>
      </c>
      <c r="U30" s="27">
        <v>1184414.44</v>
      </c>
      <c r="V30" s="27">
        <f t="shared" si="0"/>
        <v>1400056.5999999999</v>
      </c>
      <c r="W30" s="115">
        <f t="shared" si="1"/>
        <v>107.8951055364135</v>
      </c>
      <c r="X30" s="121">
        <v>115.16051999998592</v>
      </c>
      <c r="Y30" s="2">
        <v>250</v>
      </c>
      <c r="Z30" s="2"/>
      <c r="AA30" s="2">
        <v>12</v>
      </c>
      <c r="AB30" s="2">
        <f t="shared" si="9"/>
        <v>377.16051999998592</v>
      </c>
      <c r="AC30" s="2">
        <v>4101224.7595598567</v>
      </c>
      <c r="AD30" s="37">
        <f t="shared" si="2"/>
        <v>316.06013518400817</v>
      </c>
      <c r="AE30" s="127">
        <v>574.78000000001339</v>
      </c>
      <c r="AF30" s="2">
        <v>5460410.0000001276</v>
      </c>
      <c r="AG30" s="33">
        <f t="shared" si="3"/>
        <v>420.80549687927009</v>
      </c>
      <c r="AH30" s="6"/>
    </row>
    <row r="31" spans="1:34">
      <c r="A31" s="29"/>
      <c r="B31" s="52">
        <v>20</v>
      </c>
      <c r="C31" s="175">
        <v>73</v>
      </c>
      <c r="D31" s="176">
        <v>843</v>
      </c>
      <c r="E31" s="97">
        <v>17519.999999999982</v>
      </c>
      <c r="F31" s="2">
        <v>19054208.87999998</v>
      </c>
      <c r="G31" s="31">
        <v>3720.0000000000273</v>
      </c>
      <c r="H31" s="2">
        <v>6068635.0200000443</v>
      </c>
      <c r="I31" s="94">
        <f t="shared" si="4"/>
        <v>25122843.900000025</v>
      </c>
      <c r="J31" s="97">
        <v>1939.9999999995998</v>
      </c>
      <c r="K31" s="2">
        <v>2109883.8599995649</v>
      </c>
      <c r="L31" s="162">
        <v>500</v>
      </c>
      <c r="M31" s="163">
        <v>815676.75</v>
      </c>
      <c r="N31" s="85">
        <f t="shared" si="5"/>
        <v>2925560.6099995649</v>
      </c>
      <c r="O31" s="99">
        <f t="shared" si="6"/>
        <v>28048404.509999588</v>
      </c>
      <c r="P31" s="102">
        <f t="shared" si="7"/>
        <v>23679.999999999607</v>
      </c>
      <c r="Q31" s="164">
        <f t="shared" si="8"/>
        <v>523</v>
      </c>
      <c r="R31" s="2">
        <v>202</v>
      </c>
      <c r="S31" s="2">
        <v>3629976.36</v>
      </c>
      <c r="T31" s="27">
        <v>321</v>
      </c>
      <c r="U31" s="27">
        <v>1502755.0799999998</v>
      </c>
      <c r="V31" s="27">
        <f t="shared" si="0"/>
        <v>5132731.4399999995</v>
      </c>
      <c r="W31" s="115">
        <f t="shared" si="1"/>
        <v>395.55300864898436</v>
      </c>
      <c r="X31" s="121">
        <v>113.14652000004453</v>
      </c>
      <c r="Y31" s="2"/>
      <c r="Z31" s="2"/>
      <c r="AA31" s="2">
        <v>12</v>
      </c>
      <c r="AB31" s="2">
        <f t="shared" si="9"/>
        <v>125.14652000004453</v>
      </c>
      <c r="AC31" s="2">
        <v>1288276.6175604521</v>
      </c>
      <c r="AD31" s="37">
        <f t="shared" si="2"/>
        <v>99.280801656003618</v>
      </c>
      <c r="AE31" s="127">
        <v>747.2699999999968</v>
      </c>
      <c r="AF31" s="2">
        <v>7099064.9999999693</v>
      </c>
      <c r="AG31" s="33">
        <f t="shared" si="3"/>
        <v>547.08814442562971</v>
      </c>
      <c r="AH31" s="6"/>
    </row>
    <row r="32" spans="1:34">
      <c r="A32" s="29"/>
      <c r="B32" s="52">
        <v>21</v>
      </c>
      <c r="C32" s="175">
        <v>77</v>
      </c>
      <c r="D32" s="176">
        <v>785</v>
      </c>
      <c r="E32" s="97">
        <v>17920.000000000073</v>
      </c>
      <c r="F32" s="2">
        <v>19489236.480000082</v>
      </c>
      <c r="G32" s="31">
        <v>3799.9999999999545</v>
      </c>
      <c r="H32" s="2">
        <v>6199143.2999999262</v>
      </c>
      <c r="I32" s="94">
        <f t="shared" si="4"/>
        <v>25688379.780000009</v>
      </c>
      <c r="J32" s="97">
        <v>1920.0000000000728</v>
      </c>
      <c r="K32" s="2">
        <v>2088132.4800000791</v>
      </c>
      <c r="L32" s="162">
        <v>500</v>
      </c>
      <c r="M32" s="163">
        <v>815676.75</v>
      </c>
      <c r="N32" s="85">
        <f>+K32+M32</f>
        <v>2903809.2300000791</v>
      </c>
      <c r="O32" s="99">
        <f t="shared" si="6"/>
        <v>28592189.010000087</v>
      </c>
      <c r="P32" s="102">
        <f t="shared" si="7"/>
        <v>24140.000000000102</v>
      </c>
      <c r="Q32" s="164">
        <f t="shared" si="8"/>
        <v>375</v>
      </c>
      <c r="R32" s="2">
        <v>0</v>
      </c>
      <c r="S32" s="2">
        <v>0</v>
      </c>
      <c r="T32" s="27">
        <v>375</v>
      </c>
      <c r="U32" s="27">
        <v>1755554.9999999998</v>
      </c>
      <c r="V32" s="27">
        <f t="shared" si="0"/>
        <v>1755554.9999999998</v>
      </c>
      <c r="W32" s="115">
        <f t="shared" si="1"/>
        <v>135.29152464263115</v>
      </c>
      <c r="X32" s="121">
        <v>122.93455999995778</v>
      </c>
      <c r="Y32" s="2"/>
      <c r="Z32" s="2"/>
      <c r="AA32" s="2">
        <v>24</v>
      </c>
      <c r="AB32" s="2">
        <f t="shared" si="9"/>
        <v>146.9345599999578</v>
      </c>
      <c r="AC32" s="2">
        <v>2085654.5876795715</v>
      </c>
      <c r="AD32" s="37">
        <f t="shared" si="2"/>
        <v>160.73058892775646</v>
      </c>
      <c r="AE32" s="127">
        <v>586.36000000000058</v>
      </c>
      <c r="AF32" s="2">
        <v>5570420.0000000056</v>
      </c>
      <c r="AG32" s="33">
        <f t="shared" si="3"/>
        <v>429.28339738704074</v>
      </c>
      <c r="AH32" s="6"/>
    </row>
    <row r="33" spans="1:34">
      <c r="A33" s="29"/>
      <c r="B33" s="52">
        <v>22</v>
      </c>
      <c r="C33" s="175">
        <v>77</v>
      </c>
      <c r="D33" s="176">
        <v>705</v>
      </c>
      <c r="E33" s="97">
        <v>16960.000000000036</v>
      </c>
      <c r="F33" s="2">
        <v>18445170.240000039</v>
      </c>
      <c r="G33" s="31">
        <v>3720.0000000000273</v>
      </c>
      <c r="H33" s="2">
        <v>6068635.0200000443</v>
      </c>
      <c r="I33" s="94">
        <f t="shared" si="4"/>
        <v>24513805.260000084</v>
      </c>
      <c r="J33" s="97">
        <v>1920.0000000000728</v>
      </c>
      <c r="K33" s="2">
        <v>2088132.4800000791</v>
      </c>
      <c r="L33" s="162">
        <v>500</v>
      </c>
      <c r="M33" s="163">
        <v>815676.75</v>
      </c>
      <c r="N33" s="85">
        <f t="shared" si="5"/>
        <v>2903809.2300000791</v>
      </c>
      <c r="O33" s="99">
        <f t="shared" si="6"/>
        <v>27417614.490000162</v>
      </c>
      <c r="P33" s="102">
        <f t="shared" si="7"/>
        <v>23100.000000000138</v>
      </c>
      <c r="Q33" s="164">
        <f t="shared" si="8"/>
        <v>402</v>
      </c>
      <c r="R33" s="2">
        <v>0</v>
      </c>
      <c r="S33" s="2">
        <v>0</v>
      </c>
      <c r="T33" s="27">
        <v>402</v>
      </c>
      <c r="U33" s="27">
        <v>1881954.9599999997</v>
      </c>
      <c r="V33" s="27">
        <f t="shared" si="0"/>
        <v>1881954.9599999997</v>
      </c>
      <c r="W33" s="115">
        <f t="shared" si="1"/>
        <v>145.0325144169006</v>
      </c>
      <c r="X33" s="121">
        <v>121.40391999999764</v>
      </c>
      <c r="Y33" s="2"/>
      <c r="Z33" s="2"/>
      <c r="AA33" s="2">
        <v>24</v>
      </c>
      <c r="AB33" s="2">
        <f t="shared" si="9"/>
        <v>145.40391999999764</v>
      </c>
      <c r="AC33" s="2">
        <v>1511613.9997599761</v>
      </c>
      <c r="AD33" s="37">
        <f t="shared" si="2"/>
        <v>116.49225612337584</v>
      </c>
      <c r="AE33" s="127">
        <v>610.77999999999884</v>
      </c>
      <c r="AF33" s="2">
        <v>5802409.9999999888</v>
      </c>
      <c r="AG33" s="33">
        <f t="shared" si="3"/>
        <v>447.16166426095907</v>
      </c>
      <c r="AH33" s="6"/>
    </row>
    <row r="34" spans="1:34">
      <c r="A34" s="29"/>
      <c r="B34" s="52">
        <v>23</v>
      </c>
      <c r="C34" s="175">
        <v>76</v>
      </c>
      <c r="D34" s="176">
        <v>673</v>
      </c>
      <c r="E34" s="97">
        <v>21319.999999999935</v>
      </c>
      <c r="F34" s="2">
        <v>23186971.079999927</v>
      </c>
      <c r="G34" s="31">
        <v>3519.9999999999818</v>
      </c>
      <c r="H34" s="2">
        <v>5742364.3199999714</v>
      </c>
      <c r="I34" s="94">
        <f t="shared" si="4"/>
        <v>28929335.399999898</v>
      </c>
      <c r="J34" s="97">
        <v>1939.9999999995998</v>
      </c>
      <c r="K34" s="2">
        <v>2109883.8599995649</v>
      </c>
      <c r="L34" s="162">
        <v>480.00000000001819</v>
      </c>
      <c r="M34" s="163">
        <v>783049.68000002974</v>
      </c>
      <c r="N34" s="85">
        <f t="shared" si="5"/>
        <v>2892933.5399995949</v>
      </c>
      <c r="O34" s="99">
        <f t="shared" si="6"/>
        <v>31822268.939999491</v>
      </c>
      <c r="P34" s="102">
        <f t="shared" si="7"/>
        <v>27259.999999999534</v>
      </c>
      <c r="Q34" s="164">
        <f t="shared" si="8"/>
        <v>488</v>
      </c>
      <c r="R34" s="2">
        <v>265</v>
      </c>
      <c r="S34" s="2">
        <v>4762097.7</v>
      </c>
      <c r="T34" s="27">
        <v>223</v>
      </c>
      <c r="U34" s="27">
        <v>1043970.0399999999</v>
      </c>
      <c r="V34" s="27">
        <f t="shared" si="0"/>
        <v>5806067.7400000002</v>
      </c>
      <c r="W34" s="115">
        <f t="shared" si="1"/>
        <v>447.44354732434812</v>
      </c>
      <c r="X34" s="121">
        <v>123.69988000002577</v>
      </c>
      <c r="Y34" s="2"/>
      <c r="Z34" s="2"/>
      <c r="AA34" s="2">
        <v>0</v>
      </c>
      <c r="AB34" s="2">
        <f t="shared" si="9"/>
        <v>123.69988000002577</v>
      </c>
      <c r="AC34" s="2">
        <v>1255924.8816402617</v>
      </c>
      <c r="AD34" s="37">
        <f t="shared" si="2"/>
        <v>96.7876210507373</v>
      </c>
      <c r="AE34" s="127">
        <v>555.79000000000815</v>
      </c>
      <c r="AF34" s="2">
        <v>5280005.0000000773</v>
      </c>
      <c r="AG34" s="33">
        <f t="shared" si="3"/>
        <v>406.90261858541959</v>
      </c>
      <c r="AH34" s="6"/>
    </row>
    <row r="35" spans="1:34">
      <c r="A35" s="29"/>
      <c r="B35" s="52">
        <v>24</v>
      </c>
      <c r="C35" s="175">
        <v>77</v>
      </c>
      <c r="D35" s="176">
        <v>727</v>
      </c>
      <c r="E35" s="97">
        <v>12119.999999999891</v>
      </c>
      <c r="F35" s="2">
        <v>13181336.27999988</v>
      </c>
      <c r="G35" s="31">
        <v>3439.9999999999977</v>
      </c>
      <c r="H35" s="2">
        <v>5611856.0399999972</v>
      </c>
      <c r="I35" s="94">
        <f t="shared" si="4"/>
        <v>18793192.319999877</v>
      </c>
      <c r="J35" s="97">
        <v>2020.0000000004366</v>
      </c>
      <c r="K35" s="2">
        <v>2196889.3800004749</v>
      </c>
      <c r="L35" s="162">
        <v>480.00000000001819</v>
      </c>
      <c r="M35" s="163">
        <v>783049.68000002974</v>
      </c>
      <c r="N35" s="85">
        <f t="shared" si="5"/>
        <v>2979939.0600005044</v>
      </c>
      <c r="O35" s="99">
        <f t="shared" si="6"/>
        <v>21773131.380000383</v>
      </c>
      <c r="P35" s="102">
        <f t="shared" si="7"/>
        <v>18060.000000000342</v>
      </c>
      <c r="Q35" s="164">
        <f t="shared" si="8"/>
        <v>637</v>
      </c>
      <c r="R35" s="2">
        <v>206</v>
      </c>
      <c r="S35" s="2">
        <v>3701857.08</v>
      </c>
      <c r="T35" s="27">
        <v>431</v>
      </c>
      <c r="U35" s="27">
        <v>2017717.88</v>
      </c>
      <c r="V35" s="27">
        <f t="shared" si="0"/>
        <v>5719574.96</v>
      </c>
      <c r="W35" s="115">
        <f t="shared" si="1"/>
        <v>440.77799706999565</v>
      </c>
      <c r="X35" s="121">
        <v>122.49148000001405</v>
      </c>
      <c r="Y35" s="2">
        <v>250</v>
      </c>
      <c r="Z35" s="2">
        <v>400</v>
      </c>
      <c r="AA35" s="2">
        <v>60</v>
      </c>
      <c r="AB35" s="2">
        <f t="shared" si="9"/>
        <v>832.49148000001401</v>
      </c>
      <c r="AC35" s="2">
        <v>9201655.9964401424</v>
      </c>
      <c r="AD35" s="37">
        <f t="shared" si="2"/>
        <v>709.12393459355951</v>
      </c>
      <c r="AE35" s="127">
        <v>607.5</v>
      </c>
      <c r="AF35" s="2">
        <v>5771250</v>
      </c>
      <c r="AG35" s="33">
        <f t="shared" si="3"/>
        <v>444.76032456618287</v>
      </c>
      <c r="AH35" s="6"/>
    </row>
    <row r="36" spans="1:34">
      <c r="A36" s="29"/>
      <c r="B36" s="52">
        <v>25</v>
      </c>
      <c r="C36" s="175">
        <v>69</v>
      </c>
      <c r="D36" s="176">
        <v>720</v>
      </c>
      <c r="E36" s="97">
        <v>16120.000000000118</v>
      </c>
      <c r="F36" s="2">
        <v>17531612.280000128</v>
      </c>
      <c r="G36" s="31">
        <v>3439.9999999999977</v>
      </c>
      <c r="H36" s="2">
        <v>5611856.0399999972</v>
      </c>
      <c r="I36" s="94">
        <f t="shared" si="4"/>
        <v>23143468.320000127</v>
      </c>
      <c r="J36" s="97">
        <v>1899.9999999996362</v>
      </c>
      <c r="K36" s="2">
        <v>2066381.0999996043</v>
      </c>
      <c r="L36" s="162">
        <v>500</v>
      </c>
      <c r="M36" s="163">
        <v>815676.75</v>
      </c>
      <c r="N36" s="85">
        <f t="shared" si="5"/>
        <v>2882057.8499996043</v>
      </c>
      <c r="O36" s="99">
        <f t="shared" si="6"/>
        <v>26025526.16999973</v>
      </c>
      <c r="P36" s="102">
        <f t="shared" si="7"/>
        <v>21959.999999999753</v>
      </c>
      <c r="Q36" s="164">
        <f t="shared" si="8"/>
        <v>664.89999999999418</v>
      </c>
      <c r="R36" s="2">
        <v>187</v>
      </c>
      <c r="S36" s="2">
        <v>3360423.66</v>
      </c>
      <c r="T36" s="27">
        <v>477.89999999999418</v>
      </c>
      <c r="U36" s="27">
        <v>2237279.2919999724</v>
      </c>
      <c r="V36" s="27">
        <f t="shared" si="0"/>
        <v>5597702.9519999726</v>
      </c>
      <c r="W36" s="115">
        <f t="shared" si="1"/>
        <v>431.38595308756123</v>
      </c>
      <c r="X36" s="121">
        <v>114.15351999998592</v>
      </c>
      <c r="Y36" s="2"/>
      <c r="Z36" s="2"/>
      <c r="AA36" s="2">
        <v>12</v>
      </c>
      <c r="AB36" s="2">
        <f t="shared" si="9"/>
        <v>126.15351999998592</v>
      </c>
      <c r="AC36" s="2">
        <v>1298500.688559857</v>
      </c>
      <c r="AD36" s="37">
        <f t="shared" si="2"/>
        <v>100.06871781560216</v>
      </c>
      <c r="AE36" s="127">
        <v>604.25999999999476</v>
      </c>
      <c r="AF36" s="2">
        <v>5740469.9999999506</v>
      </c>
      <c r="AG36" s="33">
        <f t="shared" si="3"/>
        <v>442.38826950182607</v>
      </c>
      <c r="AH36" s="6"/>
    </row>
    <row r="37" spans="1:34">
      <c r="A37" s="29"/>
      <c r="B37" s="52">
        <v>26</v>
      </c>
      <c r="C37" s="175">
        <v>59</v>
      </c>
      <c r="D37" s="176">
        <v>695</v>
      </c>
      <c r="E37" s="97">
        <v>16799.999999999956</v>
      </c>
      <c r="F37" s="2">
        <v>18271159.199999955</v>
      </c>
      <c r="G37" s="31">
        <v>3560.0000000000023</v>
      </c>
      <c r="H37" s="2">
        <v>5807618.4600000046</v>
      </c>
      <c r="I37" s="94">
        <f t="shared" si="4"/>
        <v>24078777.659999959</v>
      </c>
      <c r="J37" s="97">
        <v>1860.0000000005821</v>
      </c>
      <c r="K37" s="2">
        <v>2022878.3400006332</v>
      </c>
      <c r="L37" s="162">
        <v>479.99999999979082</v>
      </c>
      <c r="M37" s="163">
        <v>783049.67999965884</v>
      </c>
      <c r="N37" s="85">
        <f t="shared" si="5"/>
        <v>2805928.020000292</v>
      </c>
      <c r="O37" s="99">
        <f t="shared" si="6"/>
        <v>26884705.680000253</v>
      </c>
      <c r="P37" s="102">
        <f t="shared" si="7"/>
        <v>22700.000000000331</v>
      </c>
      <c r="Q37" s="164">
        <f t="shared" si="8"/>
        <v>645</v>
      </c>
      <c r="R37" s="2">
        <v>172</v>
      </c>
      <c r="S37" s="2">
        <v>3090870.96</v>
      </c>
      <c r="T37" s="27">
        <v>473</v>
      </c>
      <c r="U37" s="27">
        <v>2214340.0399999996</v>
      </c>
      <c r="V37" s="27">
        <f t="shared" si="0"/>
        <v>5305211</v>
      </c>
      <c r="W37" s="115">
        <f t="shared" si="1"/>
        <v>408.84511436033506</v>
      </c>
      <c r="X37" s="121">
        <v>111.05195999996951</v>
      </c>
      <c r="Y37" s="2"/>
      <c r="Z37" s="2"/>
      <c r="AA37" s="2">
        <v>12</v>
      </c>
      <c r="AB37" s="2">
        <f t="shared" si="9"/>
        <v>123.05195999996951</v>
      </c>
      <c r="AC37" s="2">
        <v>1267010.5498796904</v>
      </c>
      <c r="AD37" s="37">
        <f t="shared" si="2"/>
        <v>97.641936043884584</v>
      </c>
      <c r="AE37" s="127">
        <v>610.86000000001513</v>
      </c>
      <c r="AF37" s="2">
        <v>5803170.0000001434</v>
      </c>
      <c r="AG37" s="33">
        <f t="shared" si="3"/>
        <v>447.22023352181924</v>
      </c>
      <c r="AH37" s="6"/>
    </row>
    <row r="38" spans="1:34">
      <c r="A38" s="29"/>
      <c r="B38" s="52">
        <v>27</v>
      </c>
      <c r="C38" s="175">
        <v>43</v>
      </c>
      <c r="D38" s="176">
        <v>566</v>
      </c>
      <c r="E38" s="97">
        <v>16000</v>
      </c>
      <c r="F38" s="2">
        <v>17401104</v>
      </c>
      <c r="G38" s="31">
        <v>3560.0000000000023</v>
      </c>
      <c r="H38" s="2">
        <v>5807618.4600000046</v>
      </c>
      <c r="I38" s="94">
        <f t="shared" si="4"/>
        <v>23208722.460000005</v>
      </c>
      <c r="J38" s="97">
        <v>1939.9999999995998</v>
      </c>
      <c r="K38" s="2">
        <v>2109883.8599995649</v>
      </c>
      <c r="L38" s="162">
        <v>480.00000000001819</v>
      </c>
      <c r="M38" s="163">
        <v>783049.68000002974</v>
      </c>
      <c r="N38" s="85">
        <f t="shared" si="5"/>
        <v>2892933.5399995949</v>
      </c>
      <c r="O38" s="99">
        <f t="shared" si="6"/>
        <v>26101655.999999598</v>
      </c>
      <c r="P38" s="102">
        <f t="shared" si="7"/>
        <v>21979.999999999622</v>
      </c>
      <c r="Q38" s="164">
        <f t="shared" si="8"/>
        <v>665</v>
      </c>
      <c r="R38" s="2">
        <v>150</v>
      </c>
      <c r="S38" s="2">
        <v>2695527</v>
      </c>
      <c r="T38" s="27">
        <v>515</v>
      </c>
      <c r="U38" s="27">
        <v>2410962.1999999997</v>
      </c>
      <c r="V38" s="27">
        <f t="shared" si="0"/>
        <v>5106489.1999999993</v>
      </c>
      <c r="W38" s="115">
        <f t="shared" si="1"/>
        <v>393.5306552281927</v>
      </c>
      <c r="X38" s="121">
        <v>114.63688000002578</v>
      </c>
      <c r="Y38" s="2"/>
      <c r="Z38" s="2"/>
      <c r="AA38" s="2">
        <v>24</v>
      </c>
      <c r="AB38" s="2">
        <f t="shared" si="9"/>
        <v>138.63688000002577</v>
      </c>
      <c r="AC38" s="2">
        <v>2001408.2426402618</v>
      </c>
      <c r="AD38" s="37">
        <f t="shared" si="2"/>
        <v>154.23815977233988</v>
      </c>
      <c r="AE38" s="127">
        <v>503.61000000000058</v>
      </c>
      <c r="AF38" s="2">
        <v>4784295.0000000056</v>
      </c>
      <c r="AG38" s="33">
        <f t="shared" si="3"/>
        <v>368.70081819716154</v>
      </c>
      <c r="AH38" s="6"/>
    </row>
    <row r="39" spans="1:34">
      <c r="A39" s="29"/>
      <c r="B39" s="52">
        <v>28</v>
      </c>
      <c r="C39" s="175">
        <v>37</v>
      </c>
      <c r="D39" s="176">
        <v>361</v>
      </c>
      <c r="E39" s="97">
        <v>16319.999999999936</v>
      </c>
      <c r="F39" s="2">
        <v>17749126.079999931</v>
      </c>
      <c r="G39" s="31">
        <v>3600.0000000000227</v>
      </c>
      <c r="H39" s="2">
        <v>5872872.6000000378</v>
      </c>
      <c r="I39" s="94">
        <f t="shared" si="4"/>
        <v>23621998.67999997</v>
      </c>
      <c r="J39" s="97">
        <v>1859.9999999996726</v>
      </c>
      <c r="K39" s="2">
        <v>2022878.3399996439</v>
      </c>
      <c r="L39" s="162">
        <v>460.00000000003638</v>
      </c>
      <c r="M39" s="163">
        <v>750422.61000005936</v>
      </c>
      <c r="N39" s="85">
        <f t="shared" si="5"/>
        <v>2773300.9499997031</v>
      </c>
      <c r="O39" s="99">
        <f t="shared" si="6"/>
        <v>26395299.629999675</v>
      </c>
      <c r="P39" s="102">
        <f t="shared" si="7"/>
        <v>22239.999999999669</v>
      </c>
      <c r="Q39" s="164">
        <f t="shared" si="8"/>
        <v>509</v>
      </c>
      <c r="R39" s="2">
        <v>0</v>
      </c>
      <c r="S39" s="2">
        <v>0</v>
      </c>
      <c r="T39" s="27">
        <v>509</v>
      </c>
      <c r="U39" s="27">
        <v>2382873.3199999998</v>
      </c>
      <c r="V39" s="27">
        <f t="shared" si="0"/>
        <v>2382873.3199999998</v>
      </c>
      <c r="W39" s="115">
        <f t="shared" si="1"/>
        <v>183.63569611493136</v>
      </c>
      <c r="X39" s="121">
        <v>110.89083999999529</v>
      </c>
      <c r="Y39" s="2"/>
      <c r="Z39" s="2"/>
      <c r="AA39" s="2">
        <v>0</v>
      </c>
      <c r="AB39" s="2">
        <f t="shared" si="9"/>
        <v>110.89083999999529</v>
      </c>
      <c r="AC39" s="2">
        <v>1125874.6985199521</v>
      </c>
      <c r="AD39" s="37">
        <f t="shared" si="2"/>
        <v>86.765327500036776</v>
      </c>
      <c r="AE39" s="127">
        <v>866.41000000000349</v>
      </c>
      <c r="AF39" s="2">
        <v>8230895.0000000335</v>
      </c>
      <c r="AG39" s="33">
        <f t="shared" si="3"/>
        <v>634.31241614384874</v>
      </c>
      <c r="AH39" s="6"/>
    </row>
    <row r="40" spans="1:34">
      <c r="A40" s="29"/>
      <c r="B40" s="52">
        <v>29</v>
      </c>
      <c r="C40" s="175">
        <v>37</v>
      </c>
      <c r="D40" s="176">
        <v>396</v>
      </c>
      <c r="E40" s="97">
        <v>16480.000000000018</v>
      </c>
      <c r="F40" s="2">
        <v>17923137.12000002</v>
      </c>
      <c r="G40" s="31">
        <v>3279.9999999999727</v>
      </c>
      <c r="H40" s="2">
        <v>5350839.4799999557</v>
      </c>
      <c r="I40" s="94">
        <f t="shared" si="4"/>
        <v>23273976.599999975</v>
      </c>
      <c r="J40" s="97">
        <v>1460.0000000000364</v>
      </c>
      <c r="K40" s="2">
        <v>1587850.7400000396</v>
      </c>
      <c r="L40" s="162">
        <v>360.00000000012733</v>
      </c>
      <c r="M40" s="163">
        <v>587287.26000020781</v>
      </c>
      <c r="N40" s="85">
        <f t="shared" si="5"/>
        <v>2175138.0000002473</v>
      </c>
      <c r="O40" s="99">
        <f t="shared" ref="O40:O41" si="10">N40+I40</f>
        <v>25449114.600000221</v>
      </c>
      <c r="P40" s="102">
        <f t="shared" ref="P40:P41" si="11">L40+J40+G40+E40</f>
        <v>21580.000000000153</v>
      </c>
      <c r="Q40" s="164">
        <f t="shared" si="8"/>
        <v>486</v>
      </c>
      <c r="R40" s="2">
        <v>0</v>
      </c>
      <c r="S40" s="2">
        <v>0</v>
      </c>
      <c r="T40" s="27">
        <v>486</v>
      </c>
      <c r="U40" s="27">
        <v>2275199.2799999998</v>
      </c>
      <c r="V40" s="27">
        <f t="shared" ref="V40:V41" si="12">U40+S40</f>
        <v>2275199.2799999998</v>
      </c>
      <c r="W40" s="115">
        <f t="shared" ref="W40:W41" si="13">V40/$AG$48</f>
        <v>175.33781593684998</v>
      </c>
      <c r="X40" s="121">
        <v>110.24635999998124</v>
      </c>
      <c r="Y40" s="2">
        <v>250</v>
      </c>
      <c r="Z40" s="2">
        <v>400</v>
      </c>
      <c r="AA40" s="2">
        <v>0</v>
      </c>
      <c r="AB40" s="2">
        <f t="shared" si="9"/>
        <v>760.24635999998122</v>
      </c>
      <c r="AC40" s="2">
        <v>8379831.2930798093</v>
      </c>
      <c r="AD40" s="37">
        <f t="shared" ref="AD40:AD42" si="14">AC40/$AG$48</f>
        <v>645.79016430063359</v>
      </c>
      <c r="AE40" s="127">
        <v>613.51000000000931</v>
      </c>
      <c r="AF40" s="2">
        <v>5828345.0000000885</v>
      </c>
      <c r="AG40" s="33">
        <f t="shared" si="3"/>
        <v>449.16034028741234</v>
      </c>
      <c r="AH40" s="6"/>
    </row>
    <row r="41" spans="1:34" ht="17.25" customHeight="1">
      <c r="A41" s="29"/>
      <c r="B41" s="52">
        <v>30</v>
      </c>
      <c r="C41" s="175">
        <v>33</v>
      </c>
      <c r="D41" s="176">
        <v>464</v>
      </c>
      <c r="E41" s="97">
        <v>15440.000000000055</v>
      </c>
      <c r="F41" s="2">
        <v>16792065.360000059</v>
      </c>
      <c r="G41" s="31">
        <v>3400.0000000000341</v>
      </c>
      <c r="H41" s="2">
        <v>5546601.9000000563</v>
      </c>
      <c r="I41" s="94">
        <f t="shared" si="4"/>
        <v>22338667.260000117</v>
      </c>
      <c r="J41" s="97">
        <v>1460.0000000000364</v>
      </c>
      <c r="K41" s="2">
        <v>1587850.7400000396</v>
      </c>
      <c r="L41" s="162">
        <v>399.99999999986358</v>
      </c>
      <c r="M41" s="163">
        <v>652541.39999977755</v>
      </c>
      <c r="N41" s="85">
        <f t="shared" si="5"/>
        <v>2240392.1399998171</v>
      </c>
      <c r="O41" s="99">
        <f t="shared" si="10"/>
        <v>24579059.399999935</v>
      </c>
      <c r="P41" s="102">
        <f t="shared" si="11"/>
        <v>20699.999999999989</v>
      </c>
      <c r="Q41" s="164">
        <f t="shared" si="8"/>
        <v>712</v>
      </c>
      <c r="R41" s="2">
        <v>183</v>
      </c>
      <c r="S41" s="2">
        <v>3288542.94</v>
      </c>
      <c r="T41" s="27">
        <v>529</v>
      </c>
      <c r="U41" s="27">
        <v>2476502.92</v>
      </c>
      <c r="V41" s="27">
        <f t="shared" si="12"/>
        <v>5765045.8599999994</v>
      </c>
      <c r="W41" s="115">
        <f t="shared" si="13"/>
        <v>444.28220365302639</v>
      </c>
      <c r="X41" s="121">
        <v>123.33736000003985</v>
      </c>
      <c r="Y41" s="2"/>
      <c r="Z41" s="2"/>
      <c r="AA41" s="2">
        <v>24</v>
      </c>
      <c r="AB41" s="2">
        <f t="shared" si="9"/>
        <v>147.33736000003984</v>
      </c>
      <c r="AC41" s="2">
        <v>1531244.2160804046</v>
      </c>
      <c r="AD41" s="37">
        <f t="shared" si="14"/>
        <v>118.00505514992609</v>
      </c>
      <c r="AE41" s="127">
        <v>554.11000000000058</v>
      </c>
      <c r="AF41" s="2">
        <v>5264045.0000000056</v>
      </c>
      <c r="AG41" s="33">
        <f t="shared" si="3"/>
        <v>405.67266410760141</v>
      </c>
      <c r="AH41" s="6"/>
    </row>
    <row r="42" spans="1:34">
      <c r="A42" s="29"/>
      <c r="B42" s="52">
        <v>31</v>
      </c>
      <c r="C42" s="175">
        <v>35</v>
      </c>
      <c r="D42" s="176">
        <v>418</v>
      </c>
      <c r="E42" s="97">
        <v>24720.000000000029</v>
      </c>
      <c r="F42" s="2">
        <v>26884705.680000033</v>
      </c>
      <c r="G42" s="31">
        <v>3439.9999999999977</v>
      </c>
      <c r="H42" s="2">
        <v>5611856.0399999972</v>
      </c>
      <c r="I42" s="94">
        <f t="shared" si="4"/>
        <v>32496561.720000029</v>
      </c>
      <c r="J42" s="97">
        <v>2579.9999999999272</v>
      </c>
      <c r="K42" s="2">
        <v>2805928.0199999209</v>
      </c>
      <c r="L42" s="162">
        <v>420.00000000007276</v>
      </c>
      <c r="M42" s="163">
        <v>685168.47000011872</v>
      </c>
      <c r="N42" s="85">
        <f t="shared" ref="N42" si="15">+K42+M42</f>
        <v>3491096.4900000393</v>
      </c>
      <c r="O42" s="99">
        <f t="shared" ref="O42" si="16">N42+I42</f>
        <v>35987658.210000068</v>
      </c>
      <c r="P42" s="102">
        <f t="shared" ref="P42" si="17">L42+J42+G42+E42</f>
        <v>31160.000000000029</v>
      </c>
      <c r="Q42" s="164">
        <f t="shared" ref="Q42" si="18">T42+R42</f>
        <v>742</v>
      </c>
      <c r="R42" s="2">
        <v>173</v>
      </c>
      <c r="S42" s="2">
        <v>3108841.14</v>
      </c>
      <c r="T42" s="27">
        <v>569</v>
      </c>
      <c r="U42" s="27">
        <v>2663762.1199999996</v>
      </c>
      <c r="V42" s="27">
        <f t="shared" ref="V42" si="19">U42+S42</f>
        <v>5772603.2599999998</v>
      </c>
      <c r="W42" s="115">
        <f t="shared" ref="W42" si="20">V42/$AG$48</f>
        <v>444.86461330030846</v>
      </c>
      <c r="X42" s="121">
        <v>121.36363999996013</v>
      </c>
      <c r="Y42" s="2"/>
      <c r="Z42" s="2"/>
      <c r="AA42" s="2">
        <v>12</v>
      </c>
      <c r="AB42" s="2">
        <f t="shared" si="9"/>
        <v>133.36363999996013</v>
      </c>
      <c r="AC42" s="2">
        <v>1371705.0369195952</v>
      </c>
      <c r="AD42" s="37">
        <f t="shared" si="14"/>
        <v>105.71019751863582</v>
      </c>
      <c r="AE42" s="127">
        <v>758.4600000000064</v>
      </c>
      <c r="AF42" s="2">
        <v>7205370.0000000605</v>
      </c>
      <c r="AG42" s="33">
        <f t="shared" si="3"/>
        <v>555.28051978678172</v>
      </c>
      <c r="AH42" s="6"/>
    </row>
    <row r="43" spans="1:34">
      <c r="A43" s="29"/>
      <c r="B43" s="110"/>
      <c r="C43" s="134"/>
      <c r="D43" s="135"/>
      <c r="E43" s="95"/>
      <c r="F43" s="95"/>
      <c r="G43" s="86"/>
      <c r="H43" s="87"/>
      <c r="I43" s="96"/>
      <c r="J43" s="98"/>
      <c r="K43" s="86"/>
      <c r="L43" s="87"/>
      <c r="M43" s="88"/>
      <c r="N43" s="89"/>
      <c r="O43" s="100"/>
      <c r="P43" s="103"/>
      <c r="Q43" s="164"/>
      <c r="R43" s="2"/>
      <c r="S43" s="2"/>
      <c r="T43" s="27"/>
      <c r="U43" s="27"/>
      <c r="V43" s="15"/>
      <c r="W43" s="116"/>
      <c r="X43" s="114"/>
      <c r="Y43" s="2"/>
      <c r="Z43" s="1"/>
      <c r="AA43" s="1"/>
      <c r="AB43" s="1"/>
      <c r="AC43" s="2"/>
      <c r="AD43" s="37"/>
      <c r="AE43" s="127"/>
      <c r="AF43" s="2"/>
      <c r="AG43" s="33"/>
      <c r="AH43" s="6"/>
    </row>
    <row r="44" spans="1:34" s="7" customFormat="1" ht="4.5" customHeight="1">
      <c r="B44" s="105"/>
      <c r="C44" s="106"/>
      <c r="D44" s="106"/>
      <c r="E44" s="104"/>
      <c r="F44" s="6"/>
      <c r="H44" s="6"/>
      <c r="L44" s="6"/>
      <c r="M44" s="56"/>
      <c r="N44" s="60"/>
      <c r="P44" s="60"/>
      <c r="Q44" s="117"/>
      <c r="W44" s="28"/>
      <c r="Y44" s="6"/>
      <c r="AE44" s="78"/>
      <c r="AG44" s="28"/>
    </row>
    <row r="45" spans="1:34" s="7" customFormat="1" ht="6" customHeight="1">
      <c r="B45" s="105"/>
      <c r="C45" s="106"/>
      <c r="D45" s="106"/>
      <c r="E45" s="104"/>
      <c r="F45" s="6"/>
      <c r="H45" s="6"/>
      <c r="L45" s="6"/>
      <c r="M45" s="56"/>
      <c r="N45" s="60"/>
      <c r="P45" s="60"/>
      <c r="Q45" s="117"/>
      <c r="W45" s="118"/>
      <c r="Y45" s="6"/>
      <c r="AC45" s="6"/>
      <c r="AE45" s="79"/>
      <c r="AF45" s="4"/>
      <c r="AG45" s="34"/>
    </row>
    <row r="46" spans="1:34" s="7" customFormat="1">
      <c r="B46" s="107"/>
      <c r="C46" s="108"/>
      <c r="D46" s="108"/>
      <c r="E46" s="109"/>
      <c r="F46" s="66"/>
      <c r="G46" s="65"/>
      <c r="H46" s="66"/>
      <c r="I46" s="65"/>
      <c r="J46" s="65"/>
      <c r="K46" s="65"/>
      <c r="L46" s="66"/>
      <c r="M46" s="67"/>
      <c r="N46" s="68"/>
      <c r="O46" s="65"/>
      <c r="P46" s="68"/>
      <c r="Q46" s="119"/>
      <c r="R46" s="70"/>
      <c r="S46" s="65"/>
      <c r="T46" s="65"/>
      <c r="U46" s="65"/>
      <c r="V46" s="65"/>
      <c r="W46" s="69"/>
      <c r="X46" s="71"/>
      <c r="Y46" s="66"/>
      <c r="Z46" s="71"/>
      <c r="AA46" s="71"/>
      <c r="AB46" s="71"/>
      <c r="AC46" s="66"/>
      <c r="AD46" s="65"/>
      <c r="AE46" s="128"/>
      <c r="AF46" s="72"/>
      <c r="AG46" s="73"/>
    </row>
    <row r="47" spans="1:34">
      <c r="A47" s="21"/>
      <c r="B47" s="63"/>
      <c r="C47" s="64">
        <f>SUM(C12:C43)</f>
        <v>2411</v>
      </c>
      <c r="D47" s="64">
        <f>SUM(D12:D43)</f>
        <v>23030</v>
      </c>
      <c r="E47" s="64">
        <f>SUM(E12:E43)</f>
        <v>514600.00000000012</v>
      </c>
      <c r="F47" s="64">
        <f>SUM(F12:F43)</f>
        <v>559663007.4000001</v>
      </c>
      <c r="G47" s="64">
        <f>SUM(G12:G43)</f>
        <v>110920.00000000003</v>
      </c>
      <c r="H47" s="64">
        <f t="shared" ref="H47:O47" si="21">SUM(H12:H43)</f>
        <v>180949730.22000003</v>
      </c>
      <c r="I47" s="64">
        <f t="shared" si="21"/>
        <v>740612737.62000048</v>
      </c>
      <c r="J47" s="64">
        <f t="shared" si="21"/>
        <v>61439.9999999996</v>
      </c>
      <c r="K47" s="64">
        <f t="shared" si="21"/>
        <v>66820239.359999567</v>
      </c>
      <c r="L47" s="64">
        <f t="shared" si="21"/>
        <v>15160.000000000082</v>
      </c>
      <c r="M47" s="64">
        <f t="shared" si="21"/>
        <v>24731319.060000133</v>
      </c>
      <c r="N47" s="64">
        <f t="shared" si="21"/>
        <v>91551558.419999719</v>
      </c>
      <c r="O47" s="64">
        <f t="shared" si="21"/>
        <v>832164296.03999984</v>
      </c>
      <c r="P47" s="74">
        <f>SUM(P12:P43)</f>
        <v>702119.99999999965</v>
      </c>
      <c r="Q47" s="157">
        <f>SUM(Q12:Q42)</f>
        <v>18098.399999999994</v>
      </c>
      <c r="R47" s="46">
        <f>SUM(R12:R42)</f>
        <v>6153</v>
      </c>
      <c r="S47" s="46">
        <f t="shared" ref="S47:U47" si="22">SUM(S12:S42)</f>
        <v>110570517.53999999</v>
      </c>
      <c r="T47" s="46">
        <f t="shared" si="22"/>
        <v>11945.399999999994</v>
      </c>
      <c r="U47" s="46">
        <f t="shared" si="22"/>
        <v>55922151.191999972</v>
      </c>
      <c r="V47" s="122">
        <f>SUM(V12:V42)</f>
        <v>166492668.73199993</v>
      </c>
      <c r="W47" s="111">
        <f>V47/$AG$48</f>
        <v>12830.727031948756</v>
      </c>
      <c r="X47" s="38">
        <f>SUM(X12:X41)</f>
        <v>3497.9554800000724</v>
      </c>
      <c r="Y47" s="123">
        <f>SUM(Z12:Z41)</f>
        <v>2400</v>
      </c>
      <c r="Z47" s="38" t="e">
        <f>SUM(#REF!)</f>
        <v>#REF!</v>
      </c>
      <c r="AA47" s="38">
        <f>SUM(AA12:AA42)</f>
        <v>468</v>
      </c>
      <c r="AB47" s="174">
        <f>SUM(AB12:AB42)</f>
        <v>7987.3191200000338</v>
      </c>
      <c r="AC47" s="131">
        <f>SUM(AC12:AC43)</f>
        <v>88542947.025360316</v>
      </c>
      <c r="AD47" s="132">
        <f>AC47/$AG$48</f>
        <v>6823.5460007876263</v>
      </c>
      <c r="AE47" s="173">
        <f>SUM(AE12:AE43)</f>
        <v>19212.500000000058</v>
      </c>
      <c r="AF47" s="129">
        <f>SUM(AF12:AF43)</f>
        <v>182518750.00000051</v>
      </c>
      <c r="AG47" s="130">
        <f>AF47/AG48</f>
        <v>14065.774050580761</v>
      </c>
      <c r="AH47" s="21"/>
    </row>
    <row r="48" spans="1:34">
      <c r="A48" s="21"/>
      <c r="B48" s="21"/>
      <c r="C48" s="4"/>
      <c r="D48" s="10"/>
      <c r="E48" s="4"/>
      <c r="F48" s="4"/>
      <c r="G48" s="10"/>
      <c r="H48" s="4"/>
      <c r="I48" s="8"/>
      <c r="J48" s="8"/>
      <c r="K48" s="8"/>
      <c r="L48" s="14"/>
      <c r="M48" s="57"/>
      <c r="N48" s="61"/>
      <c r="O48" s="9"/>
      <c r="P48" s="61"/>
      <c r="Q48" s="165" t="s">
        <v>49</v>
      </c>
      <c r="R48" s="10"/>
      <c r="S48" s="10"/>
      <c r="T48" s="124"/>
      <c r="U48" s="10"/>
      <c r="V48" s="10"/>
      <c r="W48" s="10"/>
      <c r="X48" s="13"/>
      <c r="Y48" s="6"/>
      <c r="Z48" s="13"/>
      <c r="AA48" s="13"/>
      <c r="AB48" s="6"/>
      <c r="AC48" s="4"/>
      <c r="AD48" s="10"/>
      <c r="AE48" s="79"/>
      <c r="AF48" s="10"/>
      <c r="AG48" s="133">
        <v>12976.09</v>
      </c>
      <c r="AH48" s="21"/>
    </row>
    <row r="49" spans="1:34" s="168" customFormat="1">
      <c r="A49" s="166"/>
      <c r="B49" s="166"/>
      <c r="C49" s="167"/>
      <c r="E49" s="167"/>
      <c r="F49" s="167"/>
      <c r="H49" s="167"/>
      <c r="L49" s="167"/>
      <c r="M49" s="169"/>
      <c r="N49" s="170"/>
      <c r="P49" s="170"/>
      <c r="Y49" s="167"/>
      <c r="AC49" s="167"/>
      <c r="AE49" s="171"/>
      <c r="AG49" s="172"/>
      <c r="AH49" s="166"/>
    </row>
    <row r="50" spans="1:34" s="168" customFormat="1">
      <c r="A50" s="166"/>
      <c r="B50" s="166"/>
      <c r="C50" s="167"/>
      <c r="E50" s="167"/>
      <c r="F50" s="167"/>
      <c r="H50" s="167"/>
      <c r="L50" s="167"/>
      <c r="M50" s="169"/>
      <c r="N50" s="170"/>
      <c r="P50" s="170">
        <f>O47/P47</f>
        <v>1185.2166239958985</v>
      </c>
      <c r="V50" s="177">
        <f>V47/Q47</f>
        <v>9199.3031832648176</v>
      </c>
      <c r="Y50" s="167"/>
      <c r="AC50" s="167">
        <f>AC47/AB47</f>
        <v>11085.440020000095</v>
      </c>
      <c r="AE50" s="171"/>
      <c r="AF50" s="168">
        <f>AF47/AE47</f>
        <v>9499.9999999999982</v>
      </c>
      <c r="AG50" s="172"/>
      <c r="AH50" s="166"/>
    </row>
    <row r="51" spans="1:34" s="168" customFormat="1">
      <c r="A51" s="166"/>
      <c r="B51" s="166"/>
      <c r="C51" s="167"/>
      <c r="E51" s="167"/>
      <c r="F51" s="167"/>
      <c r="H51" s="167"/>
      <c r="L51" s="167"/>
      <c r="M51" s="169"/>
      <c r="N51" s="170"/>
      <c r="P51" s="170"/>
      <c r="Y51" s="167"/>
      <c r="AC51" s="167"/>
      <c r="AE51" s="171"/>
      <c r="AG51" s="172"/>
      <c r="AH51" s="166"/>
    </row>
    <row r="52" spans="1:34" s="168" customFormat="1">
      <c r="A52" s="166"/>
      <c r="B52" s="166"/>
      <c r="C52" s="167"/>
      <c r="E52" s="167"/>
      <c r="F52" s="167"/>
      <c r="H52" s="167"/>
      <c r="L52" s="167"/>
      <c r="M52" s="169"/>
      <c r="N52" s="170"/>
      <c r="P52" s="170"/>
      <c r="Y52" s="167"/>
      <c r="AC52" s="167"/>
      <c r="AE52" s="171"/>
      <c r="AG52" s="172"/>
      <c r="AH52" s="166"/>
    </row>
    <row r="53" spans="1:34" s="168" customFormat="1">
      <c r="A53" s="166"/>
      <c r="B53" s="166"/>
      <c r="C53" s="167"/>
      <c r="E53" s="167"/>
      <c r="F53" s="167"/>
      <c r="H53" s="167"/>
      <c r="L53" s="167"/>
      <c r="M53" s="169"/>
      <c r="N53" s="170"/>
      <c r="P53" s="170"/>
      <c r="Y53" s="167"/>
      <c r="AC53" s="167"/>
      <c r="AE53" s="171"/>
      <c r="AG53" s="172"/>
      <c r="AH53" s="166"/>
    </row>
    <row r="54" spans="1:34" s="168" customFormat="1">
      <c r="A54" s="166"/>
      <c r="B54" s="166"/>
      <c r="C54" s="167"/>
      <c r="E54" s="167"/>
      <c r="F54" s="167"/>
      <c r="H54" s="167"/>
      <c r="L54" s="167"/>
      <c r="M54" s="169"/>
      <c r="N54" s="170"/>
      <c r="P54" s="170"/>
      <c r="Y54" s="167"/>
      <c r="AC54" s="167"/>
      <c r="AE54" s="171"/>
      <c r="AG54" s="172"/>
      <c r="AH54" s="166"/>
    </row>
    <row r="55" spans="1:34" s="168" customFormat="1">
      <c r="A55" s="166"/>
      <c r="B55" s="166"/>
      <c r="C55" s="167"/>
      <c r="E55" s="167"/>
      <c r="F55" s="167"/>
      <c r="H55" s="167"/>
      <c r="L55" s="167"/>
      <c r="M55" s="169"/>
      <c r="N55" s="170"/>
      <c r="P55" s="170"/>
      <c r="Y55" s="167"/>
      <c r="AC55" s="167"/>
      <c r="AE55" s="171"/>
      <c r="AG55" s="172"/>
      <c r="AH55" s="166"/>
    </row>
    <row r="56" spans="1:34" s="168" customFormat="1">
      <c r="A56" s="166"/>
      <c r="B56" s="166"/>
      <c r="C56" s="167"/>
      <c r="E56" s="167"/>
      <c r="F56" s="167"/>
      <c r="H56" s="167"/>
      <c r="L56" s="167"/>
      <c r="M56" s="169"/>
      <c r="N56" s="170"/>
      <c r="P56" s="170"/>
      <c r="Y56" s="167"/>
      <c r="AC56" s="167"/>
      <c r="AE56" s="171"/>
      <c r="AG56" s="172"/>
      <c r="AH56" s="166"/>
    </row>
    <row r="57" spans="1:34" s="168" customFormat="1">
      <c r="A57" s="166"/>
      <c r="B57" s="166"/>
      <c r="C57" s="167"/>
      <c r="E57" s="167"/>
      <c r="F57" s="167"/>
      <c r="H57" s="167"/>
      <c r="L57" s="167"/>
      <c r="M57" s="169"/>
      <c r="N57" s="170"/>
      <c r="P57" s="170"/>
      <c r="Y57" s="167"/>
      <c r="AC57" s="167"/>
      <c r="AE57" s="171"/>
      <c r="AG57" s="172"/>
      <c r="AH57" s="166"/>
    </row>
    <row r="58" spans="1:34" s="168" customFormat="1">
      <c r="A58" s="166"/>
      <c r="B58" s="166"/>
      <c r="C58" s="167"/>
      <c r="E58" s="167"/>
      <c r="F58" s="167"/>
      <c r="H58" s="167"/>
      <c r="L58" s="167"/>
      <c r="M58" s="169"/>
      <c r="N58" s="170"/>
      <c r="P58" s="170"/>
      <c r="Y58" s="167"/>
      <c r="AC58" s="167"/>
      <c r="AE58" s="171"/>
      <c r="AG58" s="172"/>
      <c r="AH58" s="166"/>
    </row>
    <row r="59" spans="1:34" s="168" customFormat="1">
      <c r="A59" s="166"/>
      <c r="B59" s="166"/>
      <c r="C59" s="167"/>
      <c r="E59" s="167"/>
      <c r="F59" s="167"/>
      <c r="H59" s="167"/>
      <c r="L59" s="167"/>
      <c r="M59" s="169"/>
      <c r="N59" s="170"/>
      <c r="P59" s="170"/>
      <c r="Y59" s="167"/>
      <c r="AC59" s="167"/>
      <c r="AE59" s="171"/>
      <c r="AG59" s="172"/>
      <c r="AH59" s="166"/>
    </row>
    <row r="60" spans="1:34" s="168" customFormat="1">
      <c r="A60" s="166"/>
      <c r="B60" s="166"/>
      <c r="C60" s="167"/>
      <c r="E60" s="167"/>
      <c r="F60" s="167"/>
      <c r="H60" s="167"/>
      <c r="L60" s="167"/>
      <c r="M60" s="169"/>
      <c r="N60" s="170"/>
      <c r="P60" s="170"/>
      <c r="Y60" s="167"/>
      <c r="AC60" s="167"/>
      <c r="AE60" s="171"/>
      <c r="AG60" s="172"/>
      <c r="AH60" s="166"/>
    </row>
    <row r="61" spans="1:34" s="168" customFormat="1">
      <c r="A61" s="166"/>
      <c r="B61" s="166"/>
      <c r="C61" s="167"/>
      <c r="E61" s="167"/>
      <c r="F61" s="167"/>
      <c r="H61" s="167"/>
      <c r="L61" s="167"/>
      <c r="M61" s="169"/>
      <c r="N61" s="170"/>
      <c r="P61" s="170"/>
      <c r="Y61" s="167"/>
      <c r="AC61" s="167"/>
      <c r="AE61" s="171"/>
      <c r="AG61" s="172"/>
      <c r="AH61" s="166"/>
    </row>
    <row r="62" spans="1:34" s="168" customFormat="1">
      <c r="A62" s="166"/>
      <c r="B62" s="166"/>
      <c r="C62" s="167"/>
      <c r="E62" s="167"/>
      <c r="F62" s="167"/>
      <c r="H62" s="167"/>
      <c r="L62" s="167"/>
      <c r="M62" s="169"/>
      <c r="N62" s="170"/>
      <c r="P62" s="170"/>
      <c r="Y62" s="167"/>
      <c r="AC62" s="167"/>
      <c r="AE62" s="171"/>
      <c r="AG62" s="172"/>
      <c r="AH62" s="166"/>
    </row>
    <row r="63" spans="1:34" s="168" customFormat="1">
      <c r="A63" s="166"/>
      <c r="B63" s="166"/>
      <c r="C63" s="167"/>
      <c r="E63" s="167"/>
      <c r="F63" s="167"/>
      <c r="H63" s="167"/>
      <c r="L63" s="167"/>
      <c r="M63" s="169"/>
      <c r="N63" s="170"/>
      <c r="P63" s="170"/>
      <c r="Y63" s="167"/>
      <c r="AC63" s="167"/>
      <c r="AE63" s="171"/>
      <c r="AG63" s="172"/>
      <c r="AH63" s="166"/>
    </row>
    <row r="64" spans="1:34" s="168" customFormat="1">
      <c r="A64" s="166"/>
      <c r="B64" s="166"/>
      <c r="C64" s="167"/>
      <c r="E64" s="167"/>
      <c r="F64" s="167"/>
      <c r="H64" s="167"/>
      <c r="L64" s="167"/>
      <c r="M64" s="169"/>
      <c r="N64" s="170"/>
      <c r="P64" s="170"/>
      <c r="Y64" s="167"/>
      <c r="AC64" s="167"/>
      <c r="AE64" s="171"/>
      <c r="AG64" s="172"/>
      <c r="AH64" s="166"/>
    </row>
    <row r="65" spans="1:34" s="168" customFormat="1">
      <c r="A65" s="166"/>
      <c r="B65" s="166"/>
      <c r="C65" s="167"/>
      <c r="E65" s="167"/>
      <c r="F65" s="167"/>
      <c r="H65" s="167"/>
      <c r="L65" s="167"/>
      <c r="M65" s="169"/>
      <c r="N65" s="170"/>
      <c r="P65" s="170"/>
      <c r="Y65" s="167"/>
      <c r="AC65" s="167"/>
      <c r="AE65" s="171"/>
      <c r="AG65" s="172"/>
      <c r="AH65" s="166"/>
    </row>
    <row r="66" spans="1:34" s="168" customFormat="1">
      <c r="A66" s="166"/>
      <c r="B66" s="166"/>
      <c r="C66" s="167"/>
      <c r="E66" s="167"/>
      <c r="F66" s="167"/>
      <c r="H66" s="167"/>
      <c r="L66" s="167"/>
      <c r="M66" s="169"/>
      <c r="N66" s="170"/>
      <c r="P66" s="170"/>
      <c r="Y66" s="167"/>
      <c r="AC66" s="167"/>
      <c r="AE66" s="171"/>
      <c r="AG66" s="172"/>
      <c r="AH66" s="166"/>
    </row>
  </sheetData>
  <mergeCells count="14">
    <mergeCell ref="V9:W9"/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  <mergeCell ref="AE9:AG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E18" sqref="E18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2" t="s">
        <v>16</v>
      </c>
    </row>
    <row r="2" spans="1:3" ht="18">
      <c r="A2" s="208">
        <v>43313</v>
      </c>
      <c r="B2" s="209"/>
      <c r="C2" s="209"/>
    </row>
    <row r="3" spans="1:3">
      <c r="A3" s="211" t="s">
        <v>18</v>
      </c>
      <c r="B3" s="210" t="s">
        <v>19</v>
      </c>
      <c r="C3" s="210" t="s">
        <v>13</v>
      </c>
    </row>
    <row r="4" spans="1:3">
      <c r="A4" s="211"/>
      <c r="B4" s="210"/>
      <c r="C4" s="210"/>
    </row>
    <row r="5" spans="1:3">
      <c r="A5" s="211"/>
      <c r="B5" s="210"/>
      <c r="C5" s="210"/>
    </row>
    <row r="6" spans="1:3">
      <c r="A6" s="1">
        <v>1</v>
      </c>
      <c r="B6" s="175">
        <v>65</v>
      </c>
      <c r="C6" s="176">
        <v>576</v>
      </c>
    </row>
    <row r="7" spans="1:3">
      <c r="A7" s="1">
        <v>2</v>
      </c>
      <c r="B7" s="175">
        <v>66</v>
      </c>
      <c r="C7" s="176">
        <v>612</v>
      </c>
    </row>
    <row r="8" spans="1:3">
      <c r="A8" s="1">
        <f>A7+1</f>
        <v>3</v>
      </c>
      <c r="B8" s="175">
        <v>74</v>
      </c>
      <c r="C8" s="176">
        <v>647</v>
      </c>
    </row>
    <row r="9" spans="1:3">
      <c r="A9" s="1">
        <f>A8+1</f>
        <v>4</v>
      </c>
      <c r="B9" s="175">
        <v>78</v>
      </c>
      <c r="C9" s="176">
        <v>969</v>
      </c>
    </row>
    <row r="10" spans="1:3">
      <c r="A10" s="1">
        <f t="shared" ref="A10:A35" si="0">A9+1</f>
        <v>5</v>
      </c>
      <c r="B10" s="175">
        <v>66</v>
      </c>
      <c r="C10" s="176">
        <v>734</v>
      </c>
    </row>
    <row r="11" spans="1:3">
      <c r="A11" s="1">
        <f t="shared" si="0"/>
        <v>6</v>
      </c>
      <c r="B11" s="175">
        <v>69</v>
      </c>
      <c r="C11" s="176">
        <v>643</v>
      </c>
    </row>
    <row r="12" spans="1:3">
      <c r="A12" s="1">
        <f t="shared" si="0"/>
        <v>7</v>
      </c>
      <c r="B12" s="175">
        <v>76</v>
      </c>
      <c r="C12" s="176">
        <v>626</v>
      </c>
    </row>
    <row r="13" spans="1:3">
      <c r="A13" s="1">
        <f t="shared" si="0"/>
        <v>8</v>
      </c>
      <c r="B13" s="175">
        <v>82</v>
      </c>
      <c r="C13" s="176">
        <v>838</v>
      </c>
    </row>
    <row r="14" spans="1:3">
      <c r="A14" s="1">
        <f t="shared" si="0"/>
        <v>9</v>
      </c>
      <c r="B14" s="175">
        <v>95</v>
      </c>
      <c r="C14" s="176">
        <v>832</v>
      </c>
    </row>
    <row r="15" spans="1:3">
      <c r="A15" s="1">
        <f t="shared" si="0"/>
        <v>10</v>
      </c>
      <c r="B15" s="175">
        <v>113</v>
      </c>
      <c r="C15" s="176">
        <v>905</v>
      </c>
    </row>
    <row r="16" spans="1:3">
      <c r="A16" s="1">
        <f t="shared" si="0"/>
        <v>11</v>
      </c>
      <c r="B16" s="175">
        <v>120</v>
      </c>
      <c r="C16" s="176">
        <v>944</v>
      </c>
    </row>
    <row r="17" spans="1:3">
      <c r="A17" s="1">
        <f t="shared" si="0"/>
        <v>12</v>
      </c>
      <c r="B17" s="175">
        <v>110</v>
      </c>
      <c r="C17" s="176">
        <v>1116</v>
      </c>
    </row>
    <row r="18" spans="1:3">
      <c r="A18" s="1">
        <f t="shared" si="0"/>
        <v>13</v>
      </c>
      <c r="B18" s="175">
        <v>105</v>
      </c>
      <c r="C18" s="176">
        <v>921</v>
      </c>
    </row>
    <row r="19" spans="1:3">
      <c r="A19" s="1">
        <f t="shared" si="0"/>
        <v>14</v>
      </c>
      <c r="B19" s="175">
        <v>92</v>
      </c>
      <c r="C19" s="176">
        <v>884</v>
      </c>
    </row>
    <row r="20" spans="1:3">
      <c r="A20" s="1">
        <f t="shared" si="0"/>
        <v>15</v>
      </c>
      <c r="B20" s="175">
        <v>91</v>
      </c>
      <c r="C20" s="176">
        <v>754</v>
      </c>
    </row>
    <row r="21" spans="1:3">
      <c r="A21" s="1">
        <f t="shared" si="0"/>
        <v>16</v>
      </c>
      <c r="B21" s="175">
        <v>93</v>
      </c>
      <c r="C21" s="176">
        <v>806</v>
      </c>
    </row>
    <row r="22" spans="1:3">
      <c r="A22" s="1">
        <f t="shared" si="0"/>
        <v>17</v>
      </c>
      <c r="B22" s="175">
        <v>123</v>
      </c>
      <c r="C22" s="176">
        <v>948</v>
      </c>
    </row>
    <row r="23" spans="1:3">
      <c r="A23" s="1">
        <f t="shared" si="0"/>
        <v>18</v>
      </c>
      <c r="B23" s="175">
        <v>116</v>
      </c>
      <c r="C23" s="176">
        <v>907</v>
      </c>
    </row>
    <row r="24" spans="1:3">
      <c r="A24" s="1">
        <f t="shared" si="0"/>
        <v>19</v>
      </c>
      <c r="B24" s="175">
        <v>84</v>
      </c>
      <c r="C24" s="176">
        <v>1015</v>
      </c>
    </row>
    <row r="25" spans="1:3">
      <c r="A25" s="1">
        <f t="shared" si="0"/>
        <v>20</v>
      </c>
      <c r="B25" s="175">
        <v>73</v>
      </c>
      <c r="C25" s="176">
        <v>843</v>
      </c>
    </row>
    <row r="26" spans="1:3">
      <c r="A26" s="1">
        <f t="shared" si="0"/>
        <v>21</v>
      </c>
      <c r="B26" s="175">
        <v>77</v>
      </c>
      <c r="C26" s="176">
        <v>785</v>
      </c>
    </row>
    <row r="27" spans="1:3">
      <c r="A27" s="1">
        <f t="shared" si="0"/>
        <v>22</v>
      </c>
      <c r="B27" s="175">
        <v>77</v>
      </c>
      <c r="C27" s="176">
        <v>705</v>
      </c>
    </row>
    <row r="28" spans="1:3">
      <c r="A28" s="1">
        <f t="shared" si="0"/>
        <v>23</v>
      </c>
      <c r="B28" s="175">
        <v>76</v>
      </c>
      <c r="C28" s="176">
        <v>673</v>
      </c>
    </row>
    <row r="29" spans="1:3">
      <c r="A29" s="1">
        <f t="shared" si="0"/>
        <v>24</v>
      </c>
      <c r="B29" s="175">
        <v>77</v>
      </c>
      <c r="C29" s="176">
        <v>727</v>
      </c>
    </row>
    <row r="30" spans="1:3">
      <c r="A30" s="1">
        <f t="shared" si="0"/>
        <v>25</v>
      </c>
      <c r="B30" s="175">
        <v>69</v>
      </c>
      <c r="C30" s="176">
        <v>720</v>
      </c>
    </row>
    <row r="31" spans="1:3">
      <c r="A31" s="1">
        <f t="shared" si="0"/>
        <v>26</v>
      </c>
      <c r="B31" s="175">
        <v>59</v>
      </c>
      <c r="C31" s="176">
        <v>695</v>
      </c>
    </row>
    <row r="32" spans="1:3">
      <c r="A32" s="1">
        <f t="shared" si="0"/>
        <v>27</v>
      </c>
      <c r="B32" s="175">
        <v>43</v>
      </c>
      <c r="C32" s="176">
        <v>566</v>
      </c>
    </row>
    <row r="33" spans="1:3">
      <c r="A33" s="1">
        <f t="shared" si="0"/>
        <v>28</v>
      </c>
      <c r="B33" s="175">
        <v>37</v>
      </c>
      <c r="C33" s="176">
        <v>361</v>
      </c>
    </row>
    <row r="34" spans="1:3">
      <c r="A34" s="1">
        <f t="shared" si="0"/>
        <v>29</v>
      </c>
      <c r="B34" s="175">
        <v>37</v>
      </c>
      <c r="C34" s="176">
        <v>396</v>
      </c>
    </row>
    <row r="35" spans="1:3">
      <c r="A35" s="1">
        <f t="shared" si="0"/>
        <v>30</v>
      </c>
      <c r="B35" s="175">
        <v>33</v>
      </c>
      <c r="C35" s="176">
        <v>464</v>
      </c>
    </row>
    <row r="36" spans="1:3">
      <c r="A36" s="1">
        <v>31</v>
      </c>
      <c r="B36" s="175">
        <v>35</v>
      </c>
      <c r="C36" s="176">
        <v>418</v>
      </c>
    </row>
    <row r="38" spans="1:3">
      <c r="B38" s="5">
        <f>SUM(B6:B36)</f>
        <v>2411</v>
      </c>
      <c r="C38" s="5">
        <f>SUM(C6:C36)</f>
        <v>23030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8D094C90-67A5-4D1C-8DE5-A3E9197B6074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1892700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