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4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<sst xmlns="http://schemas.openxmlformats.org/spreadsheetml/2006/main" count="308" uniqueCount="145">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</sst>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 t="e">
        <f>Submetering!E5+Submetering!F5+Submetering!G5+Submetering!H5+Submetering!J5-Submetering!AV5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 t="e">
        <f>'FS Desroches Daily'!CM7</f>
        <v>#VALUE!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 t="str">
        <f>'FS Desroches Daily'!X7</f>
        <v/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3400.0000000000696</v>
      </c>
      <c r="F33" s="17">
        <f t="shared" ref="F33:BC33" si="1">SUM(F2:F32)</f>
        <v>1700.000000000035</v>
      </c>
      <c r="G33" s="17">
        <f t="shared" si="1"/>
        <v>4799.9999999999154</v>
      </c>
      <c r="H33" s="17">
        <f t="shared" si="1"/>
        <v>2599.9999999999354</v>
      </c>
      <c r="I33" s="17">
        <f t="shared" si="1"/>
        <v>5100.0000000001046</v>
      </c>
      <c r="J33" s="17">
        <f t="shared" si="1"/>
        <v>1200.0000000000898</v>
      </c>
      <c r="K33" s="17">
        <f t="shared" si="1"/>
        <v>2</v>
      </c>
      <c r="L33" s="17">
        <f t="shared" si="1"/>
        <v>9</v>
      </c>
      <c r="M33" s="17">
        <f t="shared" si="1"/>
        <v>497.09999999997672</v>
      </c>
      <c r="N33" s="17">
        <f t="shared" si="1"/>
        <v>184.89999999996508</v>
      </c>
      <c r="O33" s="17">
        <f t="shared" si="1"/>
        <v>150.00000000003411</v>
      </c>
      <c r="P33" s="17">
        <f t="shared" si="1"/>
        <v>1099.9999999996567</v>
      </c>
      <c r="Q33" s="17">
        <f t="shared" si="1"/>
        <v>189.99999999999773</v>
      </c>
      <c r="R33" s="17">
        <f t="shared" si="1"/>
        <v>270.00000000003865</v>
      </c>
      <c r="S33" s="17">
        <f t="shared" si="1"/>
        <v>460.00000000003638</v>
      </c>
      <c r="T33" s="17">
        <f t="shared" si="1"/>
        <v>3.5999999999999091</v>
      </c>
      <c r="U33" s="35">
        <f t="shared" si="1"/>
        <v>2239.9999999999523</v>
      </c>
      <c r="V33" s="35">
        <f t="shared" si="1"/>
        <v>100.00000000002274</v>
      </c>
      <c r="W33" s="35">
        <f t="shared" si="1"/>
        <v>110.00000000001364</v>
      </c>
      <c r="X33" s="35">
        <f t="shared" si="1"/>
        <v>90.000000000003411</v>
      </c>
      <c r="Y33" s="35">
        <f t="shared" si="1"/>
        <v>60.000000000002274</v>
      </c>
      <c r="Z33" s="35">
        <f t="shared" si="1"/>
        <v>50.000000000011369</v>
      </c>
      <c r="AA33" s="35">
        <f t="shared" si="1"/>
        <v>50.000000000011369</v>
      </c>
      <c r="AB33" s="35">
        <f t="shared" si="1"/>
        <v>40.000000000020464</v>
      </c>
      <c r="AC33" s="35">
        <f t="shared" si="1"/>
        <v>60.000000000002274</v>
      </c>
      <c r="AD33" s="35">
        <f t="shared" si="1"/>
        <v>40.000000000020464</v>
      </c>
      <c r="AE33" s="35">
        <f t="shared" si="1"/>
        <v>60.000000000002274</v>
      </c>
      <c r="AF33" s="17">
        <f t="shared" si="1"/>
        <v>88</v>
      </c>
      <c r="AG33" s="32">
        <f t="shared" si="1"/>
        <v>39.999999999992042</v>
      </c>
      <c r="AH33" s="32">
        <f t="shared" si="1"/>
        <v>99.999999999965894</v>
      </c>
      <c r="AI33" s="32">
        <f t="shared" si="1"/>
        <v>30.000000000001137</v>
      </c>
      <c r="AJ33" s="32">
        <f t="shared" si="1"/>
        <v>69.999999999993179</v>
      </c>
      <c r="AK33" s="32">
        <f t="shared" si="1"/>
        <v>80.000000000040927</v>
      </c>
      <c r="AL33" s="32">
        <f t="shared" si="1"/>
        <v>39</v>
      </c>
      <c r="AM33" s="32">
        <f t="shared" si="1"/>
        <v>30.000000000001137</v>
      </c>
      <c r="AN33" s="32">
        <f t="shared" si="1"/>
        <v>24</v>
      </c>
      <c r="AO33" s="32">
        <f t="shared" si="1"/>
        <v>50.000000000011369</v>
      </c>
      <c r="AP33" s="32">
        <f t="shared" si="1"/>
        <v>28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140.30000000000291</v>
      </c>
      <c r="AU33" s="17">
        <f t="shared" si="1"/>
        <v>597</v>
      </c>
      <c r="AV33" s="17">
        <f t="shared" si="1"/>
        <v>1179.99999999995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14.651999999999999</v>
      </c>
      <c r="BC33" s="17">
        <f t="shared" si="1"/>
        <v>0</v>
      </c>
    </row>
    <row r="35" spans="5:55" x14ac:dyDescent="0.25">
      <c r="E35" s="38">
        <f>E33/E37</f>
        <v>0.70276973956181021</v>
      </c>
      <c r="G35" s="29">
        <f>G33-M36</f>
        <v>4117.9999999999736</v>
      </c>
      <c r="AE35" s="35">
        <f>SUM(U33:AE33)</f>
        <v>2900.0000000000623</v>
      </c>
      <c r="AG35" s="32">
        <f>SUM(AG33:AP33)</f>
        <v>491.00000000000568</v>
      </c>
    </row>
    <row r="36" spans="5:55" x14ac:dyDescent="0.25">
      <c r="G36" s="29">
        <f>G35-633*14</f>
        <v>-4744.0000000000264</v>
      </c>
      <c r="M36" s="29">
        <f>M33+N33</f>
        <v>681.99999999994179</v>
      </c>
    </row>
    <row r="37" spans="5:55" x14ac:dyDescent="0.25">
      <c r="E37" s="17">
        <f>E33+F33+G33+H33+J33-633*14</f>
        <v>4838.0000000000455</v>
      </c>
      <c r="G37" s="37">
        <f>M36/E37</f>
        <v>0.14096734187679524</v>
      </c>
      <c r="M37" s="35">
        <f>AE35</f>
        <v>2900.0000000000623</v>
      </c>
    </row>
    <row r="38" spans="5:55" x14ac:dyDescent="0.25">
      <c r="L38" s="27">
        <f>M38/E37</f>
        <v>0.10148821827201344</v>
      </c>
      <c r="M38" s="29">
        <f>AG35</f>
        <v>491.00000000000568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D1" zoomScale="60" zoomScaleNormal="60" workbookViewId="0">
      <pane ySplit="1" topLeftCell="A2" activePane="bottomLeft" state="frozen"/>
      <selection pane="bottomLeft" activeCell="BF7" sqref="BF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79" t="s">
        <v>119</v>
      </c>
      <c r="X1" s="80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5.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/>
      <c r="D7" s="64" t="str">
        <f t="shared" si="0"/>
        <v>0</v>
      </c>
      <c r="E7" s="58"/>
      <c r="F7" s="64" t="str">
        <f t="shared" si="1"/>
        <v>0</v>
      </c>
      <c r="G7" s="58"/>
      <c r="H7" s="64" t="str">
        <f t="shared" si="2"/>
        <v>0</v>
      </c>
      <c r="I7" s="58"/>
      <c r="J7" s="64" t="str">
        <f t="shared" si="3"/>
        <v>0</v>
      </c>
      <c r="K7" s="58"/>
      <c r="L7" s="64" t="str">
        <f t="shared" si="4"/>
        <v>0</v>
      </c>
      <c r="M7" s="58"/>
      <c r="N7" s="64" t="str">
        <f t="shared" si="5"/>
        <v/>
      </c>
      <c r="O7" s="58"/>
      <c r="P7" s="67" t="str">
        <f t="shared" si="42"/>
        <v/>
      </c>
      <c r="Q7" s="58"/>
      <c r="R7" s="67" t="str">
        <f t="shared" si="6"/>
        <v/>
      </c>
      <c r="S7" s="58"/>
      <c r="T7" s="67" t="str">
        <f t="shared" si="7"/>
        <v/>
      </c>
      <c r="U7" s="58"/>
      <c r="V7" s="67" t="str">
        <f t="shared" si="8"/>
        <v/>
      </c>
      <c r="W7" s="58"/>
      <c r="X7" s="65" t="str">
        <f t="shared" si="9"/>
        <v/>
      </c>
      <c r="Y7" s="58"/>
      <c r="Z7" s="65" t="str">
        <f t="shared" si="10"/>
        <v/>
      </c>
      <c r="AA7" s="58"/>
      <c r="AB7" s="65" t="str">
        <f t="shared" si="11"/>
        <v/>
      </c>
      <c r="AC7" s="58"/>
      <c r="AD7" s="65" t="str">
        <f t="shared" si="12"/>
        <v/>
      </c>
      <c r="AE7" s="58"/>
      <c r="AF7" s="65" t="str">
        <f t="shared" si="13"/>
        <v/>
      </c>
      <c r="AG7" s="58"/>
      <c r="AH7" s="67" t="str">
        <f t="shared" si="14"/>
        <v/>
      </c>
      <c r="AI7" s="58"/>
      <c r="AJ7" s="65" t="str">
        <f t="shared" si="15"/>
        <v/>
      </c>
      <c r="AK7" s="58"/>
      <c r="AL7" s="65" t="str">
        <f t="shared" si="15"/>
        <v/>
      </c>
      <c r="AM7" s="58"/>
      <c r="AN7" s="65" t="str">
        <f t="shared" si="15"/>
        <v/>
      </c>
      <c r="AO7" s="58"/>
      <c r="AP7" s="65" t="str">
        <f t="shared" si="15"/>
        <v/>
      </c>
      <c r="AQ7" s="58"/>
      <c r="AR7" s="65" t="str">
        <f t="shared" si="16"/>
        <v/>
      </c>
      <c r="AS7" s="58"/>
      <c r="AT7" s="65" t="str">
        <f t="shared" si="17"/>
        <v/>
      </c>
      <c r="AU7" s="58"/>
      <c r="AV7" s="65" t="str">
        <f t="shared" si="18"/>
        <v/>
      </c>
      <c r="AW7" s="58"/>
      <c r="AX7" s="65" t="str">
        <f t="shared" si="19"/>
        <v/>
      </c>
      <c r="AY7" s="58"/>
      <c r="AZ7" s="65" t="str">
        <f t="shared" si="20"/>
        <v/>
      </c>
      <c r="BA7" s="58"/>
      <c r="BB7" s="65" t="str">
        <f t="shared" si="21"/>
        <v/>
      </c>
      <c r="BC7" s="58"/>
      <c r="BD7" s="65" t="str">
        <f t="shared" si="22"/>
        <v/>
      </c>
      <c r="BE7" s="59"/>
      <c r="BF7" s="67" t="str">
        <f t="shared" si="39"/>
        <v/>
      </c>
      <c r="BG7" s="60"/>
      <c r="BH7" s="65" t="str">
        <f t="shared" si="23"/>
        <v/>
      </c>
      <c r="BI7" s="60"/>
      <c r="BJ7" s="65" t="str">
        <f t="shared" si="40"/>
        <v/>
      </c>
      <c r="BK7" s="60"/>
      <c r="BL7" s="65" t="str">
        <f t="shared" si="24"/>
        <v/>
      </c>
      <c r="BM7" s="60"/>
      <c r="BN7" s="65" t="str">
        <f t="shared" si="25"/>
        <v/>
      </c>
      <c r="BO7" s="60"/>
      <c r="BP7" s="65" t="str">
        <f t="shared" si="26"/>
        <v/>
      </c>
      <c r="BQ7" s="60"/>
      <c r="BR7" s="65" t="str">
        <f t="shared" si="27"/>
        <v/>
      </c>
      <c r="BS7" s="60"/>
      <c r="BT7" s="65" t="str">
        <f t="shared" si="43"/>
        <v/>
      </c>
      <c r="BU7" s="60"/>
      <c r="BV7" s="65" t="str">
        <f t="shared" si="29"/>
        <v/>
      </c>
      <c r="BW7" s="60"/>
      <c r="BX7" s="65" t="str">
        <f t="shared" si="30"/>
        <v/>
      </c>
      <c r="BY7" s="60"/>
      <c r="BZ7" s="67" t="str">
        <f t="shared" si="31"/>
        <v/>
      </c>
      <c r="CA7" s="60"/>
      <c r="CB7" s="67" t="str">
        <f t="shared" si="32"/>
        <v/>
      </c>
      <c r="CC7" s="60"/>
      <c r="CD7" s="67" t="str">
        <f t="shared" si="33"/>
        <v/>
      </c>
      <c r="CE7" s="60"/>
      <c r="CF7" s="67" t="str">
        <f t="shared" si="34"/>
        <v/>
      </c>
      <c r="CG7" s="60"/>
      <c r="CH7" s="67" t="str">
        <f t="shared" si="35"/>
        <v/>
      </c>
      <c r="CI7" s="60"/>
      <c r="CJ7" s="67" t="str">
        <f t="shared" si="36"/>
        <v/>
      </c>
      <c r="CK7" s="60"/>
      <c r="CL7" s="64" t="str">
        <f t="shared" si="37"/>
        <v/>
      </c>
      <c r="CM7" s="65" t="e">
        <f t="shared" si="41"/>
        <v>#VALUE!</v>
      </c>
      <c r="CN7" s="62">
        <v>0</v>
      </c>
      <c r="CO7" s="62">
        <v>0</v>
      </c>
      <c r="CP7" s="68"/>
      <c r="CQ7" s="67" t="str">
        <f t="shared" si="38"/>
        <v/>
      </c>
      <c r="CR7" s="68"/>
      <c r="CS7" s="67" t="str">
        <f t="shared" si="38"/>
        <v/>
      </c>
      <c r="CT7" s="75"/>
      <c r="CU7" s="67" t="str">
        <f t="shared" si="38"/>
        <v/>
      </c>
      <c r="CV7" s="68"/>
      <c r="CW7" s="67" t="str">
        <f t="shared" si="38"/>
        <v/>
      </c>
    </row>
    <row r="8" spans="1:102" ht="25.5" customHeight="1" thickBot="1" x14ac:dyDescent="0.45">
      <c r="A8" s="63">
        <v>44017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2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3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44018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2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3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44019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2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3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 t="shared" si="38"/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44020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3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 t="shared" si="38"/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44021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3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 t="shared" si="38"/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44022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3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 t="shared" si="38"/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44023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ref="AL14:AL34" si="45">IF((AK14-AK13&lt;0), "",AK14-AK13)</f>
        <v>0</v>
      </c>
      <c r="AM14" s="58"/>
      <c r="AN14" s="65">
        <f t="shared" ref="AN14:AN34" si="46">IF((AM14-AM13&lt;0), "",AM14-AM13)</f>
        <v>0</v>
      </c>
      <c r="AO14" s="58"/>
      <c r="AP14" s="65">
        <f t="shared" ref="AP14:AP34" si="47">IF((AO14-AO13&lt;0), "",AO14-AO13)</f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3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44024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45"/>
        <v>0</v>
      </c>
      <c r="AM15" s="58"/>
      <c r="AN15" s="65">
        <f t="shared" si="46"/>
        <v>0</v>
      </c>
      <c r="AO15" s="58"/>
      <c r="AP15" s="65">
        <f t="shared" si="47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3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44025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45"/>
        <v>0</v>
      </c>
      <c r="AM16" s="58"/>
      <c r="AN16" s="65">
        <f t="shared" si="46"/>
        <v>0</v>
      </c>
      <c r="AO16" s="58"/>
      <c r="AP16" s="65">
        <f t="shared" si="47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3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44026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45"/>
        <v>0</v>
      </c>
      <c r="AM17" s="58"/>
      <c r="AN17" s="65">
        <f t="shared" si="46"/>
        <v>0</v>
      </c>
      <c r="AO17" s="58"/>
      <c r="AP17" s="65">
        <f t="shared" si="47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44027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45"/>
        <v>0</v>
      </c>
      <c r="AM18" s="58"/>
      <c r="AN18" s="65">
        <f t="shared" si="46"/>
        <v>0</v>
      </c>
      <c r="AO18" s="58"/>
      <c r="AP18" s="65">
        <f t="shared" si="47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44028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45"/>
        <v>0</v>
      </c>
      <c r="AM19" s="58"/>
      <c r="AN19" s="65">
        <f t="shared" si="46"/>
        <v>0</v>
      </c>
      <c r="AO19" s="58"/>
      <c r="AP19" s="65">
        <f t="shared" si="47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44029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45"/>
        <v>0</v>
      </c>
      <c r="AM20" s="58"/>
      <c r="AN20" s="65">
        <f t="shared" si="46"/>
        <v>0</v>
      </c>
      <c r="AO20" s="58"/>
      <c r="AP20" s="65">
        <f t="shared" si="47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44030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45"/>
        <v>0</v>
      </c>
      <c r="AM21" s="58"/>
      <c r="AN21" s="65">
        <f t="shared" si="46"/>
        <v>0</v>
      </c>
      <c r="AO21" s="58"/>
      <c r="AP21" s="65">
        <f t="shared" si="47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44031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45"/>
        <v>0</v>
      </c>
      <c r="AM22" s="58"/>
      <c r="AN22" s="65">
        <f t="shared" si="46"/>
        <v>0</v>
      </c>
      <c r="AO22" s="58"/>
      <c r="AP22" s="65">
        <f t="shared" si="47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44032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45"/>
        <v>0</v>
      </c>
      <c r="AM23" s="58"/>
      <c r="AN23" s="65">
        <f t="shared" si="46"/>
        <v>0</v>
      </c>
      <c r="AO23" s="58"/>
      <c r="AP23" s="65">
        <f t="shared" si="47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45"/>
        <v>0</v>
      </c>
      <c r="AM24" s="58"/>
      <c r="AN24" s="65">
        <f t="shared" si="46"/>
        <v>0</v>
      </c>
      <c r="AO24" s="58"/>
      <c r="AP24" s="65">
        <f t="shared" si="47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45"/>
        <v>0</v>
      </c>
      <c r="AM25" s="58"/>
      <c r="AN25" s="65">
        <f t="shared" si="46"/>
        <v>0</v>
      </c>
      <c r="AO25" s="58"/>
      <c r="AP25" s="65">
        <f t="shared" si="47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45"/>
        <v>0</v>
      </c>
      <c r="AM26" s="58"/>
      <c r="AN26" s="65">
        <f t="shared" si="46"/>
        <v>0</v>
      </c>
      <c r="AO26" s="58"/>
      <c r="AP26" s="65">
        <f t="shared" si="47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45"/>
        <v>0</v>
      </c>
      <c r="AM27" s="58"/>
      <c r="AN27" s="65">
        <f t="shared" si="46"/>
        <v>0</v>
      </c>
      <c r="AO27" s="58"/>
      <c r="AP27" s="65">
        <f t="shared" si="47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45"/>
        <v>0</v>
      </c>
      <c r="AM28" s="58"/>
      <c r="AN28" s="65">
        <f t="shared" si="46"/>
        <v>0</v>
      </c>
      <c r="AO28" s="58"/>
      <c r="AP28" s="65">
        <f t="shared" si="47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45"/>
        <v>0</v>
      </c>
      <c r="AM29" s="58"/>
      <c r="AN29" s="65">
        <f t="shared" si="46"/>
        <v>0</v>
      </c>
      <c r="AO29" s="58"/>
      <c r="AP29" s="65">
        <f t="shared" si="47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45"/>
        <v>0</v>
      </c>
      <c r="AM30" s="58"/>
      <c r="AN30" s="65">
        <f t="shared" si="46"/>
        <v>0</v>
      </c>
      <c r="AO30" s="58"/>
      <c r="AP30" s="65">
        <f t="shared" si="47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45"/>
        <v>0</v>
      </c>
      <c r="AM31" s="58"/>
      <c r="AN31" s="65">
        <f t="shared" si="46"/>
        <v>0</v>
      </c>
      <c r="AO31" s="58"/>
      <c r="AP31" s="65">
        <f t="shared" si="47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45"/>
        <v>0</v>
      </c>
      <c r="AM32" s="58"/>
      <c r="AN32" s="65">
        <f t="shared" si="46"/>
        <v>0</v>
      </c>
      <c r="AO32" s="58"/>
      <c r="AP32" s="65">
        <f t="shared" si="47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45"/>
        <v>0</v>
      </c>
      <c r="AM33" s="58"/>
      <c r="AN33" s="65">
        <f t="shared" si="46"/>
        <v>0</v>
      </c>
      <c r="AO33" s="58"/>
      <c r="AP33" s="65">
        <f t="shared" si="47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45"/>
        <v>0</v>
      </c>
      <c r="AM34" s="58"/>
      <c r="AN34" s="65">
        <f t="shared" si="46"/>
        <v>0</v>
      </c>
      <c r="AO34" s="58"/>
      <c r="AP34" s="65">
        <f t="shared" si="47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8">IF((CA34-CA33&lt;0), "",CA34-CA33)</f>
        <v>0</v>
      </c>
      <c r="CC34" s="60"/>
      <c r="CD34" s="67">
        <f t="shared" si="33"/>
        <v>0</v>
      </c>
      <c r="CE34" s="60"/>
      <c r="CF34" s="67">
        <f t="shared" ref="CF34" si="49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50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6" zoomScaleNormal="100" workbookViewId="0">
      <selection activeCell="V44" sqref="V4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4" t="s">
        <v>0</v>
      </c>
      <c r="B4" s="87" t="s">
        <v>52</v>
      </c>
      <c r="C4" s="87" t="s">
        <v>53</v>
      </c>
      <c r="D4" s="90" t="s">
        <v>54</v>
      </c>
      <c r="E4" s="93" t="s">
        <v>55</v>
      </c>
      <c r="F4" s="94"/>
      <c r="G4" s="94"/>
      <c r="H4" s="94"/>
      <c r="I4" s="94"/>
      <c r="J4" s="95"/>
      <c r="K4" s="103" t="s">
        <v>56</v>
      </c>
      <c r="L4" s="104"/>
      <c r="M4" s="105"/>
      <c r="N4" s="96" t="s">
        <v>35</v>
      </c>
      <c r="O4" s="96"/>
      <c r="P4" s="96"/>
      <c r="Q4" s="96"/>
    </row>
    <row r="5" spans="1:17" ht="33.75" customHeight="1" x14ac:dyDescent="0.25">
      <c r="A5" s="85"/>
      <c r="B5" s="88"/>
      <c r="C5" s="88"/>
      <c r="D5" s="91"/>
      <c r="E5" s="93" t="s">
        <v>57</v>
      </c>
      <c r="F5" s="95"/>
      <c r="G5" s="93" t="s">
        <v>58</v>
      </c>
      <c r="H5" s="95"/>
      <c r="I5" s="93" t="s">
        <v>59</v>
      </c>
      <c r="J5" s="95"/>
      <c r="K5" s="97" t="s">
        <v>60</v>
      </c>
      <c r="L5" s="98"/>
      <c r="M5" s="99"/>
      <c r="N5" s="100" t="s">
        <v>61</v>
      </c>
      <c r="O5" s="101"/>
      <c r="P5" s="101"/>
      <c r="Q5" s="102"/>
    </row>
    <row r="6" spans="1:17" x14ac:dyDescent="0.25">
      <c r="A6" s="86"/>
      <c r="B6" s="89"/>
      <c r="C6" s="89"/>
      <c r="D6" s="92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2020-07-04T12:45:24Z</dcterms:modified>
</cp:coreProperties>
</file>