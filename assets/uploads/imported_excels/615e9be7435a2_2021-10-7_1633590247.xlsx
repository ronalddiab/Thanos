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42604E11-CD14-4021-AA1A-532976AA2675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TOTAL" sheetId="11" r:id="rId1"/>
    <sheet name="FS Jimbaran September 2021" sheetId="14" r:id="rId2"/>
    <sheet name="RNs &amp; Covers September 2021" sheetId="10" r:id="rId3"/>
    <sheet name="Residence Electricity" sheetId="15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6" i="14" l="1"/>
  <c r="D27" i="15"/>
  <c r="R46" i="14" s="1"/>
  <c r="D26" i="15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B46" i="14" s="1"/>
  <c r="AH46" i="14"/>
  <c r="AI46" i="14" s="1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<sst xmlns="http://schemas.openxmlformats.org/spreadsheetml/2006/main" count="136" uniqueCount="80">
  <si>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</si>
  <si>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</si>
  <si>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</si>
  <si>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</si>
  <si>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</si>
  <si>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</si>
  <si>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</si>
  <si>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</si>
  <si>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</si>
  <si>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</si>
  <si>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</si>
  <si>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</si>
  <si>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</si>
  <si>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</si>
  <si>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</si>
  <si>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</si>
  <si>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</si>
  <si>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</si>
  <si>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</si>
  <si>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</si>
  <si>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</si>
  <si>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</si>
  <si>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</si>
  <si>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</si>
  <si>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</si>
  <si>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</si>
  <si>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</si>
  <si>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</si>
  <si>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</si>
  <si>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</si>
  <si>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</si>
  <si>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</si>
  <si>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</si>
  <si>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</si>
  <si>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</si>
  <si>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</si>
  <si>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</si>
  <si>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</si>
  <si>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</si>
  <si>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</si>
  <si>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</si>
  <si>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</si>
  <si>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</si>
  <si>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</si>
  <si>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</si>
  <si>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</si>
  <si>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</si>
  <si>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</si>
  <si>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</si>
  <si>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</si>
  <si>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</si>
  <si>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</si>
  <si>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</si>
  <si>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>SEPTEMBER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</si>
  <si>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</si>
  <si>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</si>
  <si>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</si>
  <si>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</si>
  <si>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</si>
  <si>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</si>
  <si>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</si>
  <si>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</si>
  <si>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</si>
  <si>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</si>
  <si>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</si>
  <si>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</si>
  <si>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</si>
  <si>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</si>
  <si>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</si>
  <si>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</si>
  <si>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</si>
  <si>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</si>
  <si>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</si>
  <si>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</si>
  <si>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</si>
  <si>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</si>
  <si>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</si>
  <si>
    <t xml:space="preserve">Refer to: </t>
  </si>
  <si>
    <t>Residence Electricity'!A1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</si>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</sst>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76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 applyBorder="1" applyAlignment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4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5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8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 applyBorder="1"/>
    <xf numFmtId="164" fontId="0" fillId="0" borderId="0" xfId="2" applyNumberFormat="1" applyFont="1" applyBorder="1"/>
    <xf numFmtId="164" fontId="0" fillId="0" borderId="0" xfId="2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43" fontId="2" fillId="0" borderId="8" xfId="3" applyFont="1" applyFill="1" applyBorder="1"/>
    <xf numFmtId="43" fontId="20" fillId="0" borderId="8" xfId="3" applyFont="1" applyFill="1" applyBorder="1"/>
    <xf numFmtId="0" fontId="21" fillId="0" borderId="8" xfId="0" applyFont="1" applyBorder="1" applyAlignment="1">
      <alignment horizontal="right"/>
    </xf>
    <xf numFmtId="43" fontId="22" fillId="0" borderId="8" xfId="3" applyFont="1" applyFill="1" applyBorder="1"/>
    <xf numFmtId="43" fontId="22" fillId="0" borderId="8" xfId="3" applyFont="1" applyBorder="1"/>
    <xf numFmtId="43" fontId="2" fillId="0" borderId="8" xfId="3" applyFont="1" applyBorder="1"/>
    <xf numFmtId="0" fontId="1" fillId="0" borderId="8" xfId="0" applyFont="1" applyBorder="1"/>
    <xf numFmtId="164" fontId="1" fillId="0" borderId="8" xfId="0" applyNumberFormat="1" applyFont="1" applyBorder="1"/>
    <xf numFmtId="164" fontId="20" fillId="0" borderId="8" xfId="0" applyNumberFormat="1" applyFont="1" applyBorder="1"/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right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1"/>
  <sheetViews>
    <sheetView tabSelected="1" workbookViewId="0">
      <selection activeCell="I1" sqref="I1"/>
    </sheetView>
  </sheetViews>
  <sheetFormatPr defaultColWidth="11.5703125" defaultRowHeight="15" x14ac:dyDescent="0.2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60" x14ac:dyDescent="0.25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79</v>
      </c>
      <c r="J1" s="157" t="s">
        <v>50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ht="14.45" x14ac:dyDescent="0.3">
      <c r="A2" s="160" t="s">
        <v>49</v>
      </c>
      <c r="B2" s="161">
        <v>1</v>
      </c>
      <c r="C2" s="162">
        <v>9</v>
      </c>
      <c r="D2" s="161">
        <v>2021</v>
      </c>
      <c r="E2" s="163">
        <f>'FS Jimbaran September 2021'!P12</f>
        <v>13599.999999999667</v>
      </c>
      <c r="F2" s="172">
        <f>'FS Jimbaran September 2021'!O12/'FS Jimbaran September 2021'!P12</f>
        <v>1181.931604411767</v>
      </c>
      <c r="G2" s="163">
        <f>'FS Jimbaran September 2021'!AG12</f>
        <v>50</v>
      </c>
      <c r="H2" s="172">
        <f>'FS Jimbaran September 2021'!AH12/'FS Jimbaran September 2021'!AG12</f>
        <v>14180</v>
      </c>
      <c r="I2" s="163">
        <f>'FS Jimbaran September 2021'!AJ12</f>
        <v>425.46999999999969</v>
      </c>
      <c r="J2" s="164">
        <f>'FS Jimbaran September 2021'!AK12/'FS Jimbaran September 2021'!AJ12</f>
        <v>9900</v>
      </c>
      <c r="K2" s="163">
        <f>'FS Jimbaran September 2021'!V12</f>
        <v>368</v>
      </c>
      <c r="L2" s="172">
        <f>'FS Jimbaran September 2021'!AA12/'FS Jimbaran September 2021'!V12</f>
        <v>9011.9261948119965</v>
      </c>
      <c r="M2" s="163">
        <f>+'RNs &amp; Covers September 2021'!B6</f>
        <v>3</v>
      </c>
      <c r="N2" s="174">
        <f>+'RNs &amp; Covers September 2021'!C6</f>
        <v>48</v>
      </c>
    </row>
    <row r="3" spans="1:15" ht="14.45" x14ac:dyDescent="0.3">
      <c r="A3" s="160" t="s">
        <v>49</v>
      </c>
      <c r="B3" s="161">
        <f>B2+1</f>
        <v>2</v>
      </c>
      <c r="C3" s="162">
        <v>9</v>
      </c>
      <c r="D3" s="161">
        <v>2021</v>
      </c>
      <c r="E3" s="174">
        <f>'FS Jimbaran September 2021'!P13</f>
        <v>13260.000000000304</v>
      </c>
      <c r="F3" s="172">
        <f>'FS Jimbaran September 2021'!O13/'FS Jimbaran September 2021'!P13</f>
        <v>1181.8905950226192</v>
      </c>
      <c r="G3" s="174">
        <f>'FS Jimbaran September 2021'!AG13</f>
        <v>50</v>
      </c>
      <c r="H3" s="172">
        <f>'FS Jimbaran September 2021'!AH13/'FS Jimbaran September 2021'!AG13</f>
        <v>14180</v>
      </c>
      <c r="I3" s="174">
        <f>'FS Jimbaran September 2021'!AJ13</f>
        <v>313.69000000000085</v>
      </c>
      <c r="J3" s="164">
        <f>'FS Jimbaran September 2021'!AK13/'FS Jimbaran September 2021'!AJ13</f>
        <v>9900</v>
      </c>
      <c r="K3" s="174">
        <f>'FS Jimbaran September 2021'!V13</f>
        <v>731</v>
      </c>
      <c r="L3" s="172">
        <f>'FS Jimbaran September 2021'!AA13/'FS Jimbaran September 2021'!V13</f>
        <v>6993.3540963572077</v>
      </c>
      <c r="M3" s="174">
        <f>+'RNs &amp; Covers September 2021'!B7</f>
        <v>5</v>
      </c>
      <c r="N3" s="174">
        <f>+'RNs &amp; Covers September 2021'!C7</f>
        <v>43</v>
      </c>
    </row>
    <row r="4" spans="1:15" ht="14.45" x14ac:dyDescent="0.3">
      <c r="A4" s="160" t="s">
        <v>49</v>
      </c>
      <c r="B4" s="161">
        <f t="shared" ref="B4:B31" si="0">B3+1</f>
        <v>3</v>
      </c>
      <c r="C4" s="162">
        <v>9</v>
      </c>
      <c r="D4" s="161">
        <v>2021</v>
      </c>
      <c r="E4" s="174">
        <f>'FS Jimbaran September 2021'!P14</f>
        <v>13559.999999999807</v>
      </c>
      <c r="F4" s="172">
        <f>'FS Jimbaran September 2021'!O14/'FS Jimbaran September 2021'!P14</f>
        <v>1188.6262964601792</v>
      </c>
      <c r="G4" s="174">
        <f>'FS Jimbaran September 2021'!AG14</f>
        <v>112</v>
      </c>
      <c r="H4" s="172">
        <f>'FS Jimbaran September 2021'!AH14/'FS Jimbaran September 2021'!AG14</f>
        <v>13888.392857142857</v>
      </c>
      <c r="I4" s="174">
        <f>'FS Jimbaran September 2021'!AJ14</f>
        <v>400.69999999999561</v>
      </c>
      <c r="J4" s="164">
        <f>'FS Jimbaran September 2021'!AK14/'FS Jimbaran September 2021'!AJ14</f>
        <v>9900</v>
      </c>
      <c r="K4" s="174">
        <f>'FS Jimbaran September 2021'!V14</f>
        <v>621</v>
      </c>
      <c r="L4" s="172">
        <f>'FS Jimbaran September 2021'!AA14/'FS Jimbaran September 2021'!V14</f>
        <v>6520.4363562288636</v>
      </c>
      <c r="M4" s="174">
        <f>+'RNs &amp; Covers September 2021'!B8</f>
        <v>6</v>
      </c>
      <c r="N4" s="174">
        <f>+'RNs &amp; Covers September 2021'!C8</f>
        <v>84</v>
      </c>
    </row>
    <row r="5" spans="1:15" ht="14.45" x14ac:dyDescent="0.3">
      <c r="A5" s="160" t="s">
        <v>49</v>
      </c>
      <c r="B5" s="161">
        <f t="shared" si="0"/>
        <v>4</v>
      </c>
      <c r="C5" s="162">
        <v>9</v>
      </c>
      <c r="D5" s="161">
        <v>2021</v>
      </c>
      <c r="E5" s="174">
        <f>'FS Jimbaran September 2021'!P15</f>
        <v>13720.000000000033</v>
      </c>
      <c r="F5" s="172">
        <f>'FS Jimbaran September 2021'!O15/'FS Jimbaran September 2021'!P15</f>
        <v>1180.3135867346948</v>
      </c>
      <c r="G5" s="174">
        <f>'FS Jimbaran September 2021'!AG15</f>
        <v>50</v>
      </c>
      <c r="H5" s="172">
        <f>'FS Jimbaran September 2021'!AH15/'FS Jimbaran September 2021'!AG15</f>
        <v>14180</v>
      </c>
      <c r="I5" s="174">
        <f>'FS Jimbaran September 2021'!AJ15</f>
        <v>381.5800000000221</v>
      </c>
      <c r="J5" s="164">
        <f>'FS Jimbaran September 2021'!AK15/'FS Jimbaran September 2021'!AJ15</f>
        <v>9900</v>
      </c>
      <c r="K5" s="174">
        <f>'FS Jimbaran September 2021'!V15</f>
        <v>466</v>
      </c>
      <c r="L5" s="172">
        <f>'FS Jimbaran September 2021'!AA15/'FS Jimbaran September 2021'!V15</f>
        <v>4728.1282423739367</v>
      </c>
      <c r="M5" s="174">
        <f>+'RNs &amp; Covers September 2021'!B9</f>
        <v>5</v>
      </c>
      <c r="N5" s="174">
        <f>+'RNs &amp; Covers September 2021'!C9</f>
        <v>67</v>
      </c>
    </row>
    <row r="6" spans="1:15" ht="14.45" x14ac:dyDescent="0.3">
      <c r="A6" s="160" t="s">
        <v>49</v>
      </c>
      <c r="B6" s="161">
        <f t="shared" si="0"/>
        <v>5</v>
      </c>
      <c r="C6" s="162">
        <v>9</v>
      </c>
      <c r="D6" s="161">
        <v>2021</v>
      </c>
      <c r="E6" s="174">
        <f>'FS Jimbaran September 2021'!P16</f>
        <v>13659.999999999798</v>
      </c>
      <c r="F6" s="172">
        <f>'FS Jimbaran September 2021'!O16/'FS Jimbaran September 2021'!P16</f>
        <v>1188.6826625183016</v>
      </c>
      <c r="G6" s="174">
        <f>'FS Jimbaran September 2021'!AG16</f>
        <v>112</v>
      </c>
      <c r="H6" s="172">
        <f>'FS Jimbaran September 2021'!AH16/'FS Jimbaran September 2021'!AG16</f>
        <v>13888.392857142857</v>
      </c>
      <c r="I6" s="174">
        <f>'FS Jimbaran September 2021'!AJ16</f>
        <v>347.23000000000172</v>
      </c>
      <c r="J6" s="164">
        <f>'FS Jimbaran September 2021'!AK16/'FS Jimbaran September 2021'!AJ16</f>
        <v>9900</v>
      </c>
      <c r="K6" s="174">
        <f>'FS Jimbaran September 2021'!V16</f>
        <v>430</v>
      </c>
      <c r="L6" s="172">
        <f>'FS Jimbaran September 2021'!AA16/'FS Jimbaran September 2021'!V16</f>
        <v>7747.6376884698166</v>
      </c>
      <c r="M6" s="174">
        <f>+'RNs &amp; Covers September 2021'!B10</f>
        <v>5</v>
      </c>
      <c r="N6" s="174">
        <f>+'RNs &amp; Covers September 2021'!C10</f>
        <v>84</v>
      </c>
    </row>
    <row r="7" spans="1:15" ht="14.45" x14ac:dyDescent="0.3">
      <c r="A7" s="160" t="s">
        <v>49</v>
      </c>
      <c r="B7" s="161">
        <f t="shared" si="0"/>
        <v>6</v>
      </c>
      <c r="C7" s="162">
        <v>9</v>
      </c>
      <c r="D7" s="161">
        <v>2021</v>
      </c>
      <c r="E7" s="174">
        <f>'FS Jimbaran September 2021'!P17</f>
        <v>13600.000000000207</v>
      </c>
      <c r="F7" s="172">
        <f>'FS Jimbaran September 2021'!O17/'FS Jimbaran September 2021'!P17</f>
        <v>1179.5325551470605</v>
      </c>
      <c r="G7" s="174">
        <f>'FS Jimbaran September 2021'!AG17</f>
        <v>62</v>
      </c>
      <c r="H7" s="172">
        <f>'FS Jimbaran September 2021'!AH17/'FS Jimbaran September 2021'!AG17</f>
        <v>13653.225806451614</v>
      </c>
      <c r="I7" s="174">
        <f>'FS Jimbaran September 2021'!AJ17</f>
        <v>380.96999999999969</v>
      </c>
      <c r="J7" s="164">
        <f>'FS Jimbaran September 2021'!AK17/'FS Jimbaran September 2021'!AJ17</f>
        <v>9900</v>
      </c>
      <c r="K7" s="174">
        <f>'FS Jimbaran September 2021'!V17</f>
        <v>598</v>
      </c>
      <c r="L7" s="172">
        <f>'FS Jimbaran September 2021'!AA17/'FS Jimbaran September 2021'!V17</f>
        <v>7386.4527495500251</v>
      </c>
      <c r="M7" s="174">
        <f>+'RNs &amp; Covers September 2021'!B11</f>
        <v>4</v>
      </c>
      <c r="N7" s="174">
        <f>+'RNs &amp; Covers September 2021'!C11</f>
        <v>65</v>
      </c>
    </row>
    <row r="8" spans="1:15" ht="14.45" x14ac:dyDescent="0.3">
      <c r="A8" s="160" t="s">
        <v>49</v>
      </c>
      <c r="B8" s="161">
        <f t="shared" si="0"/>
        <v>7</v>
      </c>
      <c r="C8" s="162">
        <v>9</v>
      </c>
      <c r="D8" s="161">
        <v>2021</v>
      </c>
      <c r="E8" s="174">
        <f>'FS Jimbaran September 2021'!P18</f>
        <v>13899.999999999822</v>
      </c>
      <c r="F8" s="172">
        <f>'FS Jimbaran September 2021'!O18/'FS Jimbaran September 2021'!P18</f>
        <v>1180.6774251798554</v>
      </c>
      <c r="G8" s="174">
        <f>'FS Jimbaran September 2021'!AG18</f>
        <v>50</v>
      </c>
      <c r="H8" s="172">
        <f>'FS Jimbaran September 2021'!AH18/'FS Jimbaran September 2021'!AG18</f>
        <v>14180</v>
      </c>
      <c r="I8" s="174">
        <f>'FS Jimbaran September 2021'!AJ18</f>
        <v>346.90999999999474</v>
      </c>
      <c r="J8" s="164">
        <f>'FS Jimbaran September 2021'!AK18/'FS Jimbaran September 2021'!AJ18</f>
        <v>9900</v>
      </c>
      <c r="K8" s="174">
        <f>'FS Jimbaran September 2021'!V18</f>
        <v>486</v>
      </c>
      <c r="L8" s="172">
        <f>'FS Jimbaran September 2021'!AA18/'FS Jimbaran September 2021'!V18</f>
        <v>6936.5688027065044</v>
      </c>
      <c r="M8" s="174">
        <f>+'RNs &amp; Covers September 2021'!B12</f>
        <v>4</v>
      </c>
      <c r="N8" s="174">
        <f>+'RNs &amp; Covers September 2021'!C12</f>
        <v>56</v>
      </c>
    </row>
    <row r="9" spans="1:15" ht="14.45" x14ac:dyDescent="0.3">
      <c r="A9" s="160" t="s">
        <v>49</v>
      </c>
      <c r="B9" s="161">
        <f t="shared" si="0"/>
        <v>8</v>
      </c>
      <c r="C9" s="162">
        <v>9</v>
      </c>
      <c r="D9" s="161">
        <v>2021</v>
      </c>
      <c r="E9" s="174">
        <f>'FS Jimbaran September 2021'!P19</f>
        <v>13940.000000000382</v>
      </c>
      <c r="F9" s="172">
        <f>'FS Jimbaran September 2021'!O19/'FS Jimbaran September 2021'!P19</f>
        <v>1182.7507919655657</v>
      </c>
      <c r="G9" s="174">
        <f>'FS Jimbaran September 2021'!AG19</f>
        <v>50</v>
      </c>
      <c r="H9" s="172">
        <f>'FS Jimbaran September 2021'!AH19/'FS Jimbaran September 2021'!AG19</f>
        <v>14180</v>
      </c>
      <c r="I9" s="174">
        <f>'FS Jimbaran September 2021'!AJ19</f>
        <v>418.6099999999991</v>
      </c>
      <c r="J9" s="164">
        <f>'FS Jimbaran September 2021'!AK19/'FS Jimbaran September 2021'!AJ19</f>
        <v>9900</v>
      </c>
      <c r="K9" s="174">
        <f>'FS Jimbaran September 2021'!V19</f>
        <v>510</v>
      </c>
      <c r="L9" s="172">
        <f>'FS Jimbaran September 2021'!AA19/'FS Jimbaran September 2021'!V19</f>
        <v>6962.4501174564821</v>
      </c>
      <c r="M9" s="174">
        <f>+'RNs &amp; Covers September 2021'!B13</f>
        <v>3</v>
      </c>
      <c r="N9" s="174">
        <f>+'RNs &amp; Covers September 2021'!C13</f>
        <v>58</v>
      </c>
      <c r="O9" s="165" t="s">
        <v>46</v>
      </c>
    </row>
    <row r="10" spans="1:15" ht="14.45" x14ac:dyDescent="0.3">
      <c r="A10" s="160" t="s">
        <v>49</v>
      </c>
      <c r="B10" s="161">
        <f t="shared" si="0"/>
        <v>9</v>
      </c>
      <c r="C10" s="162">
        <v>9</v>
      </c>
      <c r="D10" s="161">
        <v>2021</v>
      </c>
      <c r="E10" s="174">
        <f>'FS Jimbaran September 2021'!P20</f>
        <v>13719.999999999913</v>
      </c>
      <c r="F10" s="172">
        <f>'FS Jimbaran September 2021'!O20/'FS Jimbaran September 2021'!P20</f>
        <v>1179.5208979591819</v>
      </c>
      <c r="G10" s="174">
        <f>'FS Jimbaran September 2021'!AG20</f>
        <v>62</v>
      </c>
      <c r="H10" s="172">
        <f>'FS Jimbaran September 2021'!AH20/'FS Jimbaran September 2021'!AG20</f>
        <v>13653.225806451614</v>
      </c>
      <c r="I10" s="174">
        <f>'FS Jimbaran September 2021'!AJ20</f>
        <v>266.10000000000434</v>
      </c>
      <c r="J10" s="164">
        <f>'FS Jimbaran September 2021'!AK20/'FS Jimbaran September 2021'!AJ20</f>
        <v>9900</v>
      </c>
      <c r="K10" s="174">
        <f>'FS Jimbaran September 2021'!V20</f>
        <v>652</v>
      </c>
      <c r="L10" s="172">
        <f>'FS Jimbaran September 2021'!AA20/'FS Jimbaran September 2021'!V20</f>
        <v>7064.7478916390119</v>
      </c>
      <c r="M10" s="174">
        <f>+'RNs &amp; Covers September 2021'!B14</f>
        <v>2</v>
      </c>
      <c r="N10" s="174">
        <f>+'RNs &amp; Covers September 2021'!C14</f>
        <v>61</v>
      </c>
    </row>
    <row r="11" spans="1:15" ht="14.45" x14ac:dyDescent="0.3">
      <c r="A11" s="160" t="s">
        <v>49</v>
      </c>
      <c r="B11" s="161">
        <f t="shared" si="0"/>
        <v>10</v>
      </c>
      <c r="C11" s="162">
        <v>9</v>
      </c>
      <c r="D11" s="161">
        <v>2021</v>
      </c>
      <c r="E11" s="174">
        <f>'FS Jimbaran September 2021'!P21</f>
        <v>13979.999999999876</v>
      </c>
      <c r="F11" s="172">
        <f>'FS Jimbaran September 2021'!O21/'FS Jimbaran September 2021'!P21</f>
        <v>1181.7005085836913</v>
      </c>
      <c r="G11" s="174">
        <f>'FS Jimbaran September 2021'!AG21</f>
        <v>112</v>
      </c>
      <c r="H11" s="172">
        <f>'FS Jimbaran September 2021'!AH21/'FS Jimbaran September 2021'!AG21</f>
        <v>13888.392857142857</v>
      </c>
      <c r="I11" s="174">
        <f>'FS Jimbaran September 2021'!AJ21</f>
        <v>377.80999999999619</v>
      </c>
      <c r="J11" s="164">
        <f>'FS Jimbaran September 2021'!AK21/'FS Jimbaran September 2021'!AJ21</f>
        <v>9900</v>
      </c>
      <c r="K11" s="174">
        <f>'FS Jimbaran September 2021'!V21</f>
        <v>483</v>
      </c>
      <c r="L11" s="172">
        <f>'FS Jimbaran September 2021'!AA21/'FS Jimbaran September 2021'!V21</f>
        <v>8430.5799757128862</v>
      </c>
      <c r="M11" s="174">
        <f>+'RNs &amp; Covers September 2021'!B15</f>
        <v>2</v>
      </c>
      <c r="N11" s="174">
        <f>+'RNs &amp; Covers September 2021'!C15</f>
        <v>88</v>
      </c>
    </row>
    <row r="12" spans="1:15" ht="14.45" x14ac:dyDescent="0.3">
      <c r="A12" s="160" t="s">
        <v>49</v>
      </c>
      <c r="B12" s="161">
        <f t="shared" si="0"/>
        <v>11</v>
      </c>
      <c r="C12" s="162">
        <v>9</v>
      </c>
      <c r="D12" s="161">
        <v>2021</v>
      </c>
      <c r="E12" s="174">
        <f>'FS Jimbaran September 2021'!P22</f>
        <v>13360.000000000156</v>
      </c>
      <c r="F12" s="172">
        <f>'FS Jimbaran September 2021'!O22/'FS Jimbaran September 2021'!P22</f>
        <v>1177.9284004491008</v>
      </c>
      <c r="G12" s="174">
        <f>'FS Jimbaran September 2021'!AG22</f>
        <v>50</v>
      </c>
      <c r="H12" s="172">
        <f>'FS Jimbaran September 2021'!AH22/'FS Jimbaran September 2021'!AG22</f>
        <v>14180</v>
      </c>
      <c r="I12" s="174">
        <f>'FS Jimbaran September 2021'!AJ22</f>
        <v>178.34000000000233</v>
      </c>
      <c r="J12" s="164">
        <f>'FS Jimbaran September 2021'!AK22/'FS Jimbaran September 2021'!AJ22</f>
        <v>9900</v>
      </c>
      <c r="K12" s="174">
        <f>'FS Jimbaran September 2021'!V22</f>
        <v>365</v>
      </c>
      <c r="L12" s="172">
        <f>'FS Jimbaran September 2021'!AA22/'FS Jimbaran September 2021'!V22</f>
        <v>8575.5592894259407</v>
      </c>
      <c r="M12" s="174">
        <f>+'RNs &amp; Covers September 2021'!B16</f>
        <v>1</v>
      </c>
      <c r="N12" s="174">
        <f>+'RNs &amp; Covers September 2021'!C16</f>
        <v>55</v>
      </c>
    </row>
    <row r="13" spans="1:15" ht="14.45" x14ac:dyDescent="0.3">
      <c r="A13" s="160" t="s">
        <v>49</v>
      </c>
      <c r="B13" s="161">
        <f t="shared" si="0"/>
        <v>12</v>
      </c>
      <c r="C13" s="162">
        <v>9</v>
      </c>
      <c r="D13" s="161">
        <v>2021</v>
      </c>
      <c r="E13" s="174">
        <f>'FS Jimbaran September 2021'!P23</f>
        <v>12799.999999999683</v>
      </c>
      <c r="F13" s="172">
        <f>'FS Jimbaran September 2021'!O23/'FS Jimbaran September 2021'!P23</f>
        <v>1179.3326343750041</v>
      </c>
      <c r="G13" s="174">
        <f>'FS Jimbaran September 2021'!AG23</f>
        <v>62</v>
      </c>
      <c r="H13" s="172">
        <f>'FS Jimbaran September 2021'!AH23/'FS Jimbaran September 2021'!AG23</f>
        <v>13653.225806451614</v>
      </c>
      <c r="I13" s="174">
        <f>'FS Jimbaran September 2021'!AJ23</f>
        <v>178.73000000000175</v>
      </c>
      <c r="J13" s="164">
        <f>'FS Jimbaran September 2021'!AK23/'FS Jimbaran September 2021'!AJ23</f>
        <v>9900</v>
      </c>
      <c r="K13" s="174">
        <f>'FS Jimbaran September 2021'!V23</f>
        <v>533</v>
      </c>
      <c r="L13" s="172">
        <f>'FS Jimbaran September 2021'!AA23/'FS Jimbaran September 2021'!V23</f>
        <v>7064.765065347392</v>
      </c>
      <c r="M13" s="174">
        <f>+'RNs &amp; Covers September 2021'!B17</f>
        <v>2</v>
      </c>
      <c r="N13" s="174">
        <f>+'RNs &amp; Covers September 2021'!C17</f>
        <v>63</v>
      </c>
    </row>
    <row r="14" spans="1:15" ht="14.45" x14ac:dyDescent="0.3">
      <c r="A14" s="160" t="s">
        <v>49</v>
      </c>
      <c r="B14" s="161">
        <f t="shared" si="0"/>
        <v>13</v>
      </c>
      <c r="C14" s="162">
        <v>9</v>
      </c>
      <c r="D14" s="161">
        <v>2021</v>
      </c>
      <c r="E14" s="174">
        <f>'FS Jimbaran September 2021'!P24</f>
        <v>13100.000000000307</v>
      </c>
      <c r="F14" s="172">
        <f>'FS Jimbaran September 2021'!O24/'FS Jimbaran September 2021'!P24</f>
        <v>1178.8915877862569</v>
      </c>
      <c r="G14" s="174">
        <f>'FS Jimbaran September 2021'!AG24</f>
        <v>50</v>
      </c>
      <c r="H14" s="172">
        <f>'FS Jimbaran September 2021'!AH24/'FS Jimbaran September 2021'!AG24</f>
        <v>14180</v>
      </c>
      <c r="I14" s="174">
        <f>'FS Jimbaran September 2021'!AJ24</f>
        <v>447.20999999999765</v>
      </c>
      <c r="J14" s="164">
        <f>'FS Jimbaran September 2021'!AK24/'FS Jimbaran September 2021'!AJ24</f>
        <v>9900</v>
      </c>
      <c r="K14" s="174">
        <f>'FS Jimbaran September 2021'!V24</f>
        <v>464</v>
      </c>
      <c r="L14" s="172">
        <f>'FS Jimbaran September 2021'!AA24/'FS Jimbaran September 2021'!V24</f>
        <v>8154.1585339500152</v>
      </c>
      <c r="M14" s="174">
        <f>+'RNs &amp; Covers September 2021'!B18</f>
        <v>1</v>
      </c>
      <c r="N14" s="174">
        <f>+'RNs &amp; Covers September 2021'!C18</f>
        <v>24</v>
      </c>
    </row>
    <row r="15" spans="1:15" ht="14.45" x14ac:dyDescent="0.3">
      <c r="A15" s="160" t="s">
        <v>49</v>
      </c>
      <c r="B15" s="161">
        <f t="shared" si="0"/>
        <v>14</v>
      </c>
      <c r="C15" s="162">
        <v>9</v>
      </c>
      <c r="D15" s="161">
        <v>2021</v>
      </c>
      <c r="E15" s="174">
        <f>'FS Jimbaran September 2021'!P25</f>
        <v>13279.99999999966</v>
      </c>
      <c r="F15" s="172">
        <f>'FS Jimbaran September 2021'!O25/'FS Jimbaran September 2021'!P25</f>
        <v>1178.4727341867492</v>
      </c>
      <c r="G15" s="174">
        <f>'FS Jimbaran September 2021'!AG25</f>
        <v>50</v>
      </c>
      <c r="H15" s="172">
        <f>'FS Jimbaran September 2021'!AH25/'FS Jimbaran September 2021'!AG25</f>
        <v>14180</v>
      </c>
      <c r="I15" s="174">
        <f>'FS Jimbaran September 2021'!AJ25</f>
        <v>359.1099999999991</v>
      </c>
      <c r="J15" s="164">
        <f>'FS Jimbaran September 2021'!AK25/'FS Jimbaran September 2021'!AJ25</f>
        <v>9900</v>
      </c>
      <c r="K15" s="174">
        <f>'FS Jimbaran September 2021'!V25</f>
        <v>534</v>
      </c>
      <c r="L15" s="172">
        <f>'FS Jimbaran September 2021'!AA25/'FS Jimbaran September 2021'!V25</f>
        <v>7705.0534395486557</v>
      </c>
      <c r="M15" s="174">
        <f>+'RNs &amp; Covers September 2021'!B19</f>
        <v>13</v>
      </c>
      <c r="N15" s="174">
        <f>+'RNs &amp; Covers September 2021'!C19</f>
        <v>50</v>
      </c>
    </row>
    <row r="16" spans="1:15" ht="14.45" x14ac:dyDescent="0.3">
      <c r="A16" s="160" t="s">
        <v>49</v>
      </c>
      <c r="B16" s="161">
        <f t="shared" si="0"/>
        <v>15</v>
      </c>
      <c r="C16" s="162">
        <v>9</v>
      </c>
      <c r="D16" s="161">
        <v>2021</v>
      </c>
      <c r="E16" s="174">
        <f>'FS Jimbaran September 2021'!P26</f>
        <v>13740.000000000293</v>
      </c>
      <c r="F16" s="172">
        <f>'FS Jimbaran September 2021'!O26/'FS Jimbaran September 2021'!P26</f>
        <v>1180.9701222707386</v>
      </c>
      <c r="G16" s="174">
        <f>'FS Jimbaran September 2021'!AG26</f>
        <v>50</v>
      </c>
      <c r="H16" s="172">
        <f>'FS Jimbaran September 2021'!AH26/'FS Jimbaran September 2021'!AG26</f>
        <v>14180</v>
      </c>
      <c r="I16" s="174">
        <f>'FS Jimbaran September 2021'!AJ26</f>
        <v>244.30000000000146</v>
      </c>
      <c r="J16" s="164">
        <f>'FS Jimbaran September 2021'!AK26/'FS Jimbaran September 2021'!AJ26</f>
        <v>9900</v>
      </c>
      <c r="K16" s="174">
        <f>'FS Jimbaran September 2021'!V26</f>
        <v>515</v>
      </c>
      <c r="L16" s="172">
        <f>'FS Jimbaran September 2021'!AA26/'FS Jimbaran September 2021'!V26</f>
        <v>7814.8817477939374</v>
      </c>
      <c r="M16" s="174">
        <f>+'RNs &amp; Covers September 2021'!B20</f>
        <v>7</v>
      </c>
      <c r="N16" s="174">
        <f>+'RNs &amp; Covers September 2021'!C20</f>
        <v>52</v>
      </c>
    </row>
    <row r="17" spans="1:14" ht="14.45" x14ac:dyDescent="0.3">
      <c r="A17" s="160" t="s">
        <v>49</v>
      </c>
      <c r="B17" s="161">
        <f t="shared" si="0"/>
        <v>16</v>
      </c>
      <c r="C17" s="162">
        <v>9</v>
      </c>
      <c r="D17" s="161">
        <v>2021</v>
      </c>
      <c r="E17" s="174">
        <f>'FS Jimbaran September 2021'!P27</f>
        <v>13460.000000000036</v>
      </c>
      <c r="F17" s="172">
        <f>'FS Jimbaran September 2021'!O27/'FS Jimbaran September 2021'!P27</f>
        <v>1178.8730839524535</v>
      </c>
      <c r="G17" s="174">
        <f>'FS Jimbaran September 2021'!AG27</f>
        <v>50</v>
      </c>
      <c r="H17" s="172">
        <f>'FS Jimbaran September 2021'!AH27/'FS Jimbaran September 2021'!AG27</f>
        <v>14180</v>
      </c>
      <c r="I17" s="174">
        <f>'FS Jimbaran September 2021'!AJ27</f>
        <v>233.20000000000292</v>
      </c>
      <c r="J17" s="164">
        <f>'FS Jimbaran September 2021'!AK27/'FS Jimbaran September 2021'!AJ27</f>
        <v>9900</v>
      </c>
      <c r="K17" s="174">
        <f>'FS Jimbaran September 2021'!V27</f>
        <v>390</v>
      </c>
      <c r="L17" s="172">
        <f>'FS Jimbaran September 2021'!AA27/'FS Jimbaran September 2021'!V27</f>
        <v>8804.2258200439355</v>
      </c>
      <c r="M17" s="174">
        <f>+'RNs &amp; Covers September 2021'!B21</f>
        <v>4</v>
      </c>
      <c r="N17" s="174">
        <f>+'RNs &amp; Covers September 2021'!C21</f>
        <v>36</v>
      </c>
    </row>
    <row r="18" spans="1:14" ht="14.45" x14ac:dyDescent="0.3">
      <c r="A18" s="160" t="s">
        <v>49</v>
      </c>
      <c r="B18" s="161">
        <f t="shared" si="0"/>
        <v>17</v>
      </c>
      <c r="C18" s="162">
        <v>9</v>
      </c>
      <c r="D18" s="161">
        <v>2021</v>
      </c>
      <c r="E18" s="174">
        <f>'FS Jimbaran September 2021'!P28</f>
        <v>13639.999999999858</v>
      </c>
      <c r="F18" s="172">
        <f>'FS Jimbaran September 2021'!O28/'FS Jimbaran September 2021'!P28</f>
        <v>1178.4655293255125</v>
      </c>
      <c r="G18" s="174">
        <f>'FS Jimbaran September 2021'!AG28</f>
        <v>50</v>
      </c>
      <c r="H18" s="172">
        <f>'FS Jimbaran September 2021'!AH28/'FS Jimbaran September 2021'!AG28</f>
        <v>14180</v>
      </c>
      <c r="I18" s="174">
        <f>'FS Jimbaran September 2021'!AJ28</f>
        <v>234.01000000000059</v>
      </c>
      <c r="J18" s="164">
        <f>'FS Jimbaran September 2021'!AK28/'FS Jimbaran September 2021'!AJ28</f>
        <v>9899.9999999999982</v>
      </c>
      <c r="K18" s="174">
        <f>'FS Jimbaran September 2021'!V28</f>
        <v>521</v>
      </c>
      <c r="L18" s="172">
        <f>'FS Jimbaran September 2021'!AA28/'FS Jimbaran September 2021'!V28</f>
        <v>7753.9202701996674</v>
      </c>
      <c r="M18" s="174">
        <f>+'RNs &amp; Covers September 2021'!B22</f>
        <v>5</v>
      </c>
      <c r="N18" s="174">
        <f>+'RNs &amp; Covers September 2021'!C22</f>
        <v>50</v>
      </c>
    </row>
    <row r="19" spans="1:14" ht="14.45" x14ac:dyDescent="0.3">
      <c r="A19" s="160" t="s">
        <v>49</v>
      </c>
      <c r="B19" s="161">
        <f t="shared" si="0"/>
        <v>18</v>
      </c>
      <c r="C19" s="162">
        <v>9</v>
      </c>
      <c r="D19" s="161">
        <v>2021</v>
      </c>
      <c r="E19" s="174">
        <f>'FS Jimbaran September 2021'!P29</f>
        <v>14120.000000000076</v>
      </c>
      <c r="F19" s="172">
        <f>'FS Jimbaran September 2021'!O29/'FS Jimbaran September 2021'!P29</f>
        <v>1177.6862613314438</v>
      </c>
      <c r="G19" s="174">
        <f>'FS Jimbaran September 2021'!AG29</f>
        <v>162</v>
      </c>
      <c r="H19" s="172">
        <f>'FS Jimbaran September 2021'!AH29/'FS Jimbaran September 2021'!AG29</f>
        <v>13978.395061728395</v>
      </c>
      <c r="I19" s="174">
        <f>'FS Jimbaran September 2021'!AJ29</f>
        <v>186.39999999999273</v>
      </c>
      <c r="J19" s="164">
        <f>'FS Jimbaran September 2021'!AK29/'FS Jimbaran September 2021'!AJ29</f>
        <v>9900</v>
      </c>
      <c r="K19" s="174">
        <f>'FS Jimbaran September 2021'!V29</f>
        <v>476</v>
      </c>
      <c r="L19" s="172">
        <f>'FS Jimbaran September 2021'!AA29/'FS Jimbaran September 2021'!V29</f>
        <v>8039.972037536133</v>
      </c>
      <c r="M19" s="174">
        <f>+'RNs &amp; Covers September 2021'!B23</f>
        <v>6</v>
      </c>
      <c r="N19" s="174">
        <f>+'RNs &amp; Covers September 2021'!C23</f>
        <v>102</v>
      </c>
    </row>
    <row r="20" spans="1:14" ht="14.45" x14ac:dyDescent="0.3">
      <c r="A20" s="160" t="s">
        <v>49</v>
      </c>
      <c r="B20" s="161">
        <f t="shared" si="0"/>
        <v>19</v>
      </c>
      <c r="C20" s="162">
        <v>9</v>
      </c>
      <c r="D20" s="161">
        <v>2021</v>
      </c>
      <c r="E20" s="174">
        <f>'FS Jimbaran September 2021'!P30</f>
        <v>13799.999999999982</v>
      </c>
      <c r="F20" s="172">
        <f>'FS Jimbaran September 2021'!O30/'FS Jimbaran September 2021'!P30</f>
        <v>1181.3521239130469</v>
      </c>
      <c r="G20" s="174">
        <f>'FS Jimbaran September 2021'!AG30</f>
        <v>112</v>
      </c>
      <c r="H20" s="172">
        <f>'FS Jimbaran September 2021'!AH30/'FS Jimbaran September 2021'!AG30</f>
        <v>13888.392857142857</v>
      </c>
      <c r="I20" s="174">
        <f>'FS Jimbaran September 2021'!AJ30</f>
        <v>196.74999999999855</v>
      </c>
      <c r="J20" s="164">
        <f>'FS Jimbaran September 2021'!AK30/'FS Jimbaran September 2021'!AJ30</f>
        <v>9900</v>
      </c>
      <c r="K20" s="174">
        <f>'FS Jimbaran September 2021'!V30</f>
        <v>479</v>
      </c>
      <c r="L20" s="172">
        <f>'FS Jimbaran September 2021'!AA30/'FS Jimbaran September 2021'!V30</f>
        <v>8019.2298008232183</v>
      </c>
      <c r="M20" s="174">
        <f>+'RNs &amp; Covers September 2021'!B24</f>
        <v>3</v>
      </c>
      <c r="N20" s="174">
        <f>+'RNs &amp; Covers September 2021'!C24</f>
        <v>91</v>
      </c>
    </row>
    <row r="21" spans="1:14" ht="14.45" x14ac:dyDescent="0.3">
      <c r="A21" s="160" t="s">
        <v>49</v>
      </c>
      <c r="B21" s="161">
        <f t="shared" si="0"/>
        <v>20</v>
      </c>
      <c r="C21" s="162">
        <v>9</v>
      </c>
      <c r="D21" s="161">
        <v>2021</v>
      </c>
      <c r="E21" s="174">
        <f>'FS Jimbaran September 2021'!P31</f>
        <v>13359.999999999744</v>
      </c>
      <c r="F21" s="172">
        <f>'FS Jimbaran September 2021'!O31/'FS Jimbaran September 2021'!P31</f>
        <v>1181.9986437125769</v>
      </c>
      <c r="G21" s="174">
        <f>'FS Jimbaran September 2021'!AG31</f>
        <v>50</v>
      </c>
      <c r="H21" s="172">
        <f>'FS Jimbaran September 2021'!AH31/'FS Jimbaran September 2021'!AG31</f>
        <v>14180</v>
      </c>
      <c r="I21" s="174">
        <f>'FS Jimbaran September 2021'!AJ31</f>
        <v>257.17999999999881</v>
      </c>
      <c r="J21" s="164">
        <f>'FS Jimbaran September 2021'!AK31/'FS Jimbaran September 2021'!AJ31</f>
        <v>9900</v>
      </c>
      <c r="K21" s="174">
        <f>'FS Jimbaran September 2021'!V31</f>
        <v>449</v>
      </c>
      <c r="L21" s="172">
        <f>'FS Jimbaran September 2021'!AA31/'FS Jimbaran September 2021'!V31</f>
        <v>8121.1705838457174</v>
      </c>
      <c r="M21" s="174">
        <f>+'RNs &amp; Covers September 2021'!B25</f>
        <v>8</v>
      </c>
      <c r="N21" s="174">
        <f>+'RNs &amp; Covers September 2021'!C25</f>
        <v>42</v>
      </c>
    </row>
    <row r="22" spans="1:14" x14ac:dyDescent="0.25">
      <c r="A22" s="160" t="s">
        <v>49</v>
      </c>
      <c r="B22" s="161">
        <f t="shared" si="0"/>
        <v>21</v>
      </c>
      <c r="C22" s="162">
        <v>9</v>
      </c>
      <c r="D22" s="161">
        <v>2021</v>
      </c>
      <c r="E22" s="174">
        <f>'FS Jimbaran September 2021'!P32</f>
        <v>13720.000000000198</v>
      </c>
      <c r="F22" s="172">
        <f>'FS Jimbaran September 2021'!O32/'FS Jimbaran September 2021'!P32</f>
        <v>1179.5208979591821</v>
      </c>
      <c r="G22" s="174">
        <f>'FS Jimbaran September 2021'!AG32</f>
        <v>112</v>
      </c>
      <c r="H22" s="172">
        <f>'FS Jimbaran September 2021'!AH32/'FS Jimbaran September 2021'!AG32</f>
        <v>13888.392857142857</v>
      </c>
      <c r="I22" s="174">
        <f>'FS Jimbaran September 2021'!AJ32</f>
        <v>212.56999999999826</v>
      </c>
      <c r="J22" s="164">
        <f>'FS Jimbaran September 2021'!AK32/'FS Jimbaran September 2021'!AJ32</f>
        <v>9900</v>
      </c>
      <c r="K22" s="174">
        <f>'FS Jimbaran September 2021'!V32</f>
        <v>556</v>
      </c>
      <c r="L22" s="172">
        <f>'FS Jimbaran September 2021'!AA32/'FS Jimbaran September 2021'!V32</f>
        <v>7611.0751202253641</v>
      </c>
      <c r="M22" s="174">
        <f>+'RNs &amp; Covers September 2021'!B26</f>
        <v>9</v>
      </c>
      <c r="N22" s="174">
        <f>+'RNs &amp; Covers September 2021'!C26</f>
        <v>70</v>
      </c>
    </row>
    <row r="23" spans="1:14" x14ac:dyDescent="0.25">
      <c r="A23" s="160" t="s">
        <v>49</v>
      </c>
      <c r="B23" s="161">
        <f t="shared" si="0"/>
        <v>22</v>
      </c>
      <c r="C23" s="162">
        <v>9</v>
      </c>
      <c r="D23" s="161">
        <v>2021</v>
      </c>
      <c r="E23" s="174">
        <f>'FS Jimbaran September 2021'!P33</f>
        <v>14119.999999999876</v>
      </c>
      <c r="F23" s="172">
        <f>'FS Jimbaran September 2021'!O33/'FS Jimbaran September 2021'!P33</f>
        <v>1179.2267273371085</v>
      </c>
      <c r="G23" s="174">
        <f>'FS Jimbaran September 2021'!AG33</f>
        <v>112</v>
      </c>
      <c r="H23" s="172">
        <f>'FS Jimbaran September 2021'!AH33/'FS Jimbaran September 2021'!AG33</f>
        <v>13888.392857142857</v>
      </c>
      <c r="I23" s="174">
        <f>'FS Jimbaran September 2021'!AJ33</f>
        <v>422.89000000000522</v>
      </c>
      <c r="J23" s="164">
        <f>'FS Jimbaran September 2021'!AK33/'FS Jimbaran September 2021'!AJ33</f>
        <v>9900</v>
      </c>
      <c r="K23" s="174">
        <f>'FS Jimbaran September 2021'!V33</f>
        <v>672</v>
      </c>
      <c r="L23" s="172">
        <f>'FS Jimbaran September 2021'!AA33/'FS Jimbaran September 2021'!V33</f>
        <v>7074.0175972804927</v>
      </c>
      <c r="M23" s="174">
        <f>+'RNs &amp; Covers September 2021'!B27</f>
        <v>5</v>
      </c>
      <c r="N23" s="174">
        <f>+'RNs &amp; Covers September 2021'!C27</f>
        <v>93</v>
      </c>
    </row>
    <row r="24" spans="1:14" x14ac:dyDescent="0.25">
      <c r="A24" s="160" t="s">
        <v>49</v>
      </c>
      <c r="B24" s="161">
        <f t="shared" si="0"/>
        <v>23</v>
      </c>
      <c r="C24" s="162">
        <v>9</v>
      </c>
      <c r="D24" s="161">
        <v>2021</v>
      </c>
      <c r="E24" s="174">
        <f>'FS Jimbaran September 2021'!P34</f>
        <v>14060.000000000146</v>
      </c>
      <c r="F24" s="172">
        <f>'FS Jimbaran September 2021'!O34/'FS Jimbaran September 2021'!P34</f>
        <v>1180.3913897581783</v>
      </c>
      <c r="G24" s="174">
        <f>'FS Jimbaran September 2021'!AG34</f>
        <v>50</v>
      </c>
      <c r="H24" s="172">
        <f>'FS Jimbaran September 2021'!AH34/'FS Jimbaran September 2021'!AG34</f>
        <v>14180</v>
      </c>
      <c r="I24" s="174">
        <f>'FS Jimbaran September 2021'!AJ34</f>
        <v>153.44999999999564</v>
      </c>
      <c r="J24" s="164">
        <f>'FS Jimbaran September 2021'!AK34/'FS Jimbaran September 2021'!AJ34</f>
        <v>9900</v>
      </c>
      <c r="K24" s="174">
        <f>'FS Jimbaran September 2021'!V34</f>
        <v>614</v>
      </c>
      <c r="L24" s="172">
        <f>'FS Jimbaran September 2021'!AA34/'FS Jimbaran September 2021'!V34</f>
        <v>7274.052082281285</v>
      </c>
      <c r="M24" s="174">
        <f>+'RNs &amp; Covers September 2021'!B28</f>
        <v>3</v>
      </c>
      <c r="N24" s="174">
        <f>+'RNs &amp; Covers September 2021'!C28</f>
        <v>60</v>
      </c>
    </row>
    <row r="25" spans="1:14" x14ac:dyDescent="0.25">
      <c r="A25" s="160" t="s">
        <v>49</v>
      </c>
      <c r="B25" s="161">
        <f t="shared" si="0"/>
        <v>24</v>
      </c>
      <c r="C25" s="162">
        <v>9</v>
      </c>
      <c r="D25" s="161">
        <v>2021</v>
      </c>
      <c r="E25" s="174">
        <f>'FS Jimbaran September 2021'!P35</f>
        <v>13939.999999999942</v>
      </c>
      <c r="F25" s="172">
        <f>'FS Jimbaran September 2021'!O35/'FS Jimbaran September 2021'!P35</f>
        <v>1176.5093629842195</v>
      </c>
      <c r="G25" s="174">
        <f>'FS Jimbaran September 2021'!AG35</f>
        <v>174</v>
      </c>
      <c r="H25" s="172">
        <f>'FS Jimbaran September 2021'!AH35/'FS Jimbaran September 2021'!AG35</f>
        <v>13804.597701149425</v>
      </c>
      <c r="I25" s="174">
        <f>'FS Jimbaran September 2021'!AJ35</f>
        <v>427.63000000000318</v>
      </c>
      <c r="J25" s="164">
        <f>'FS Jimbaran September 2021'!AK35/'FS Jimbaran September 2021'!AJ35</f>
        <v>9900</v>
      </c>
      <c r="K25" s="174">
        <f>'FS Jimbaran September 2021'!V35</f>
        <v>644</v>
      </c>
      <c r="L25" s="172">
        <f>'FS Jimbaran September 2021'!AA35/'FS Jimbaran September 2021'!V35</f>
        <v>7196.572427608874</v>
      </c>
      <c r="M25" s="174">
        <f>+'RNs &amp; Covers September 2021'!B29</f>
        <v>6</v>
      </c>
      <c r="N25" s="174">
        <f>+'RNs &amp; Covers September 2021'!C29</f>
        <v>131</v>
      </c>
    </row>
    <row r="26" spans="1:14" x14ac:dyDescent="0.25">
      <c r="A26" s="160" t="s">
        <v>49</v>
      </c>
      <c r="B26" s="161">
        <f>B25+1</f>
        <v>25</v>
      </c>
      <c r="C26" s="162">
        <v>9</v>
      </c>
      <c r="D26" s="161">
        <v>2021</v>
      </c>
      <c r="E26" s="174">
        <f>'FS Jimbaran September 2021'!P36</f>
        <v>13479.999999999918</v>
      </c>
      <c r="F26" s="172">
        <f>'FS Jimbaran September 2021'!O36/'FS Jimbaran September 2021'!P36</f>
        <v>1177.9308160237381</v>
      </c>
      <c r="G26" s="174">
        <f>'FS Jimbaran September 2021'!AG36</f>
        <v>174</v>
      </c>
      <c r="H26" s="172">
        <f>'FS Jimbaran September 2021'!AH36/'FS Jimbaran September 2021'!AG36</f>
        <v>13804.597701149425</v>
      </c>
      <c r="I26" s="174">
        <f>'FS Jimbaran September 2021'!AJ36</f>
        <v>175.31000000001077</v>
      </c>
      <c r="J26" s="164">
        <f>'FS Jimbaran September 2021'!AK36/'FS Jimbaran September 2021'!AJ36</f>
        <v>9900</v>
      </c>
      <c r="K26" s="174">
        <f>'FS Jimbaran September 2021'!V36</f>
        <v>616</v>
      </c>
      <c r="L26" s="172">
        <f>'FS Jimbaran September 2021'!AA36/'FS Jimbaran September 2021'!V36</f>
        <v>7308.7744360286442</v>
      </c>
      <c r="M26" s="174">
        <f>+'RNs &amp; Covers September 2021'!B30</f>
        <v>8</v>
      </c>
      <c r="N26" s="174">
        <f>+'RNs &amp; Covers September 2021'!C30</f>
        <v>128</v>
      </c>
    </row>
    <row r="27" spans="1:14" x14ac:dyDescent="0.25">
      <c r="A27" s="160" t="s">
        <v>49</v>
      </c>
      <c r="B27" s="161">
        <f t="shared" si="0"/>
        <v>26</v>
      </c>
      <c r="C27" s="162">
        <v>9</v>
      </c>
      <c r="D27" s="161">
        <v>2021</v>
      </c>
      <c r="E27" s="174">
        <f>'FS Jimbaran September 2021'!P37</f>
        <v>13720.000000000155</v>
      </c>
      <c r="F27" s="172">
        <f>'FS Jimbaran September 2021'!O37/'FS Jimbaran September 2021'!P37</f>
        <v>1184.2770306122466</v>
      </c>
      <c r="G27" s="174">
        <f>'FS Jimbaran September 2021'!AG37</f>
        <v>174</v>
      </c>
      <c r="H27" s="172">
        <f>'FS Jimbaran September 2021'!AH37/'FS Jimbaran September 2021'!AG37</f>
        <v>13804.597701149425</v>
      </c>
      <c r="I27" s="174">
        <f>'FS Jimbaran September 2021'!AJ37</f>
        <v>221.06999999999826</v>
      </c>
      <c r="J27" s="164">
        <f>'FS Jimbaran September 2021'!AK37/'FS Jimbaran September 2021'!AJ37</f>
        <v>9900</v>
      </c>
      <c r="K27" s="174">
        <f>'FS Jimbaran September 2021'!V37</f>
        <v>656</v>
      </c>
      <c r="L27" s="172">
        <f>'FS Jimbaran September 2021'!AA37/'FS Jimbaran September 2021'!V37</f>
        <v>7151.4179608057957</v>
      </c>
      <c r="M27" s="174">
        <f>+'RNs &amp; Covers September 2021'!B31</f>
        <v>5</v>
      </c>
      <c r="N27" s="174">
        <f>+'RNs &amp; Covers September 2021'!C31</f>
        <v>117</v>
      </c>
    </row>
    <row r="28" spans="1:14" x14ac:dyDescent="0.25">
      <c r="A28" s="160" t="s">
        <v>49</v>
      </c>
      <c r="B28" s="161">
        <f t="shared" si="0"/>
        <v>27</v>
      </c>
      <c r="C28" s="162">
        <v>9</v>
      </c>
      <c r="D28" s="161">
        <v>2021</v>
      </c>
      <c r="E28" s="174">
        <f>'FS Jimbaran September 2021'!P38</f>
        <v>13539.999999999709</v>
      </c>
      <c r="F28" s="172">
        <f>'FS Jimbaran September 2021'!O38/'FS Jimbaran September 2021'!P38</f>
        <v>1179.9400745937951</v>
      </c>
      <c r="G28" s="174">
        <f>'FS Jimbaran September 2021'!AG38</f>
        <v>112</v>
      </c>
      <c r="H28" s="172">
        <f>'FS Jimbaran September 2021'!AH38/'FS Jimbaran September 2021'!AG38</f>
        <v>13888.392857142857</v>
      </c>
      <c r="I28" s="174">
        <f>'FS Jimbaran September 2021'!AJ38</f>
        <v>307.45000000000289</v>
      </c>
      <c r="J28" s="164">
        <f>'FS Jimbaran September 2021'!AK38/'FS Jimbaran September 2021'!AJ38</f>
        <v>9900</v>
      </c>
      <c r="K28" s="174">
        <f>'FS Jimbaran September 2021'!V38</f>
        <v>642</v>
      </c>
      <c r="L28" s="172">
        <f>'FS Jimbaran September 2021'!AA38/'FS Jimbaran September 2021'!V38</f>
        <v>7224.8859745941772</v>
      </c>
      <c r="M28" s="174">
        <f>+'RNs &amp; Covers September 2021'!B32</f>
        <v>6</v>
      </c>
      <c r="N28" s="174">
        <f>+'RNs &amp; Covers September 2021'!C32</f>
        <v>88</v>
      </c>
    </row>
    <row r="29" spans="1:14" x14ac:dyDescent="0.25">
      <c r="A29" s="160" t="s">
        <v>49</v>
      </c>
      <c r="B29" s="161">
        <f t="shared" si="0"/>
        <v>28</v>
      </c>
      <c r="C29" s="162">
        <v>9</v>
      </c>
      <c r="D29" s="161">
        <v>2021</v>
      </c>
      <c r="E29" s="174">
        <f>'FS Jimbaran September 2021'!P39</f>
        <v>13340.0000000004</v>
      </c>
      <c r="F29" s="172">
        <f>'FS Jimbaran September 2021'!O39/'FS Jimbaran September 2021'!P39</f>
        <v>1183.7707556221878</v>
      </c>
      <c r="G29" s="174">
        <f>'FS Jimbaran September 2021'!AG39</f>
        <v>112</v>
      </c>
      <c r="H29" s="172">
        <f>'FS Jimbaran September 2021'!AH39/'FS Jimbaran September 2021'!AG39</f>
        <v>13888.392857142857</v>
      </c>
      <c r="I29" s="174">
        <f>'FS Jimbaran September 2021'!AJ39</f>
        <v>258.05000000000143</v>
      </c>
      <c r="J29" s="164">
        <f>'FS Jimbaran September 2021'!AK39/'FS Jimbaran September 2021'!AJ39</f>
        <v>9900</v>
      </c>
      <c r="K29" s="174">
        <f>'FS Jimbaran September 2021'!V39</f>
        <v>667</v>
      </c>
      <c r="L29" s="172">
        <f>'FS Jimbaran September 2021'!AA39/'FS Jimbaran September 2021'!V39</f>
        <v>7111.453662600773</v>
      </c>
      <c r="M29" s="174">
        <f>+'RNs &amp; Covers September 2021'!B33</f>
        <v>7</v>
      </c>
      <c r="N29" s="174">
        <f>+'RNs &amp; Covers September 2021'!C33</f>
        <v>99</v>
      </c>
    </row>
    <row r="30" spans="1:14" x14ac:dyDescent="0.25">
      <c r="A30" s="160" t="s">
        <v>49</v>
      </c>
      <c r="B30" s="161">
        <f t="shared" si="0"/>
        <v>29</v>
      </c>
      <c r="C30" s="162">
        <v>9</v>
      </c>
      <c r="D30" s="161">
        <v>2021</v>
      </c>
      <c r="E30" s="174">
        <f>'FS Jimbaran September 2021'!P40</f>
        <v>13540.000000000064</v>
      </c>
      <c r="F30" s="172">
        <f>'FS Jimbaran September 2021'!O40/'FS Jimbaran September 2021'!P40</f>
        <v>1183.1529815361903</v>
      </c>
      <c r="G30" s="174">
        <f>'FS Jimbaran September 2021'!AG40</f>
        <v>100</v>
      </c>
      <c r="H30" s="172">
        <f>'FS Jimbaran September 2021'!AH40/'FS Jimbaran September 2021'!AG40</f>
        <v>14180</v>
      </c>
      <c r="I30" s="174">
        <f>'FS Jimbaran September 2021'!AJ40</f>
        <v>335.34999999999707</v>
      </c>
      <c r="J30" s="164">
        <f>'FS Jimbaran September 2021'!AK40/'FS Jimbaran September 2021'!AJ40</f>
        <v>9900</v>
      </c>
      <c r="K30" s="174">
        <f>'FS Jimbaran September 2021'!V40</f>
        <v>697</v>
      </c>
      <c r="L30" s="172">
        <f>'FS Jimbaran September 2021'!AA40/'FS Jimbaran September 2021'!V40</f>
        <v>7008.8715067803942</v>
      </c>
      <c r="M30" s="174">
        <f>+'RNs &amp; Covers September 2021'!B34</f>
        <v>9</v>
      </c>
      <c r="N30" s="174">
        <f>+'RNs &amp; Covers September 2021'!C34</f>
        <v>52</v>
      </c>
    </row>
    <row r="31" spans="1:14" x14ac:dyDescent="0.25">
      <c r="A31" s="160" t="s">
        <v>49</v>
      </c>
      <c r="B31" s="161">
        <f t="shared" si="0"/>
        <v>30</v>
      </c>
      <c r="C31" s="162">
        <v>9</v>
      </c>
      <c r="D31" s="161">
        <v>2021</v>
      </c>
      <c r="E31" s="174">
        <f>'FS Jimbaran September 2021'!P41</f>
        <v>13739.999999999767</v>
      </c>
      <c r="F31" s="172">
        <f>'FS Jimbaran September 2021'!O41/'FS Jimbaran September 2021'!P41</f>
        <v>1178.5955174672504</v>
      </c>
      <c r="G31" s="174">
        <f>'FS Jimbaran September 2021'!AG41</f>
        <v>112</v>
      </c>
      <c r="H31" s="172">
        <f>'FS Jimbaran September 2021'!AH41/'FS Jimbaran September 2021'!AG41</f>
        <v>13888.392857142857</v>
      </c>
      <c r="I31" s="174">
        <f>'FS Jimbaran September 2021'!AJ41</f>
        <v>313.38999999999794</v>
      </c>
      <c r="J31" s="164">
        <f>'FS Jimbaran September 2021'!AK41/'FS Jimbaran September 2021'!AJ41</f>
        <v>9900</v>
      </c>
      <c r="K31" s="174">
        <f>'FS Jimbaran September 2021'!V41</f>
        <v>680</v>
      </c>
      <c r="L31" s="172">
        <f>'FS Jimbaran September 2021'!AA41/'FS Jimbaran September 2021'!V41</f>
        <v>7143.7748460028733</v>
      </c>
      <c r="M31" s="174">
        <f>+'RNs &amp; Covers September 2021'!B35</f>
        <v>11</v>
      </c>
      <c r="N31" s="174">
        <f>+'RNs &amp; Covers September 2021'!C35</f>
        <v>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zoomScale="62" zoomScaleNormal="62" workbookViewId="0">
      <pane xSplit="4" ySplit="10" topLeftCell="S11" activePane="bottomRight" state="frozen"/>
      <selection pane="topRight" activeCell="E1" sqref="E1"/>
      <selection pane="bottomLeft" activeCell="A11" sqref="A11"/>
      <selection pane="bottomRight" activeCell="Z50" sqref="Z50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15" customWidth="1"/>
  </cols>
  <sheetData>
    <row r="5" spans="1:39" x14ac:dyDescent="0.25">
      <c r="N5" s="175"/>
      <c r="X5" s="176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44" t="s">
        <v>53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6"/>
      <c r="AM7" s="32"/>
    </row>
    <row r="8" spans="1:39" s="8" customFormat="1" ht="15.75" customHeight="1" thickBot="1" x14ac:dyDescent="0.3">
      <c r="A8" s="28"/>
      <c r="B8" s="247" t="s">
        <v>1</v>
      </c>
      <c r="C8" s="250" t="s">
        <v>2</v>
      </c>
      <c r="D8" s="253" t="s">
        <v>3</v>
      </c>
      <c r="E8" s="256" t="s">
        <v>34</v>
      </c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7"/>
      <c r="V8" s="258" t="s">
        <v>19</v>
      </c>
      <c r="W8" s="259"/>
      <c r="X8" s="259"/>
      <c r="Y8" s="259"/>
      <c r="Z8" s="259"/>
      <c r="AA8" s="259"/>
      <c r="AB8" s="260"/>
      <c r="AC8" s="261" t="s">
        <v>24</v>
      </c>
      <c r="AD8" s="261"/>
      <c r="AE8" s="261"/>
      <c r="AF8" s="261"/>
      <c r="AG8" s="261"/>
      <c r="AH8" s="261"/>
      <c r="AI8" s="261"/>
      <c r="AJ8" s="261"/>
      <c r="AK8" s="261"/>
      <c r="AL8" s="262"/>
      <c r="AM8" s="30"/>
    </row>
    <row r="9" spans="1:39" ht="15" customHeight="1" thickBot="1" x14ac:dyDescent="0.3">
      <c r="A9" s="31"/>
      <c r="B9" s="248"/>
      <c r="C9" s="251"/>
      <c r="D9" s="254"/>
      <c r="E9" s="263" t="s">
        <v>33</v>
      </c>
      <c r="F9" s="264"/>
      <c r="G9" s="264"/>
      <c r="H9" s="264"/>
      <c r="I9" s="265"/>
      <c r="J9" s="266" t="s">
        <v>5</v>
      </c>
      <c r="K9" s="266"/>
      <c r="L9" s="266"/>
      <c r="M9" s="266"/>
      <c r="N9" s="267"/>
      <c r="O9" s="253" t="s">
        <v>12</v>
      </c>
      <c r="P9" s="268" t="s">
        <v>32</v>
      </c>
      <c r="Q9" s="231" t="s">
        <v>51</v>
      </c>
      <c r="R9" s="236" t="s">
        <v>21</v>
      </c>
      <c r="S9" s="238" t="s">
        <v>13</v>
      </c>
      <c r="T9" s="240" t="s">
        <v>18</v>
      </c>
      <c r="U9" s="241"/>
      <c r="V9" s="53"/>
      <c r="W9" s="53" t="s">
        <v>4</v>
      </c>
      <c r="X9" s="53"/>
      <c r="Y9" s="54"/>
      <c r="Z9" s="179"/>
      <c r="AA9" s="242" t="s">
        <v>27</v>
      </c>
      <c r="AB9" s="243"/>
      <c r="AC9" s="261" t="s">
        <v>22</v>
      </c>
      <c r="AD9" s="261"/>
      <c r="AE9" s="261"/>
      <c r="AF9" s="261"/>
      <c r="AG9" s="261"/>
      <c r="AH9" s="261"/>
      <c r="AI9" s="262"/>
      <c r="AJ9" s="233" t="s">
        <v>20</v>
      </c>
      <c r="AK9" s="234"/>
      <c r="AL9" s="235"/>
      <c r="AM9" s="31"/>
    </row>
    <row r="10" spans="1:39" ht="61.5" customHeight="1" thickBot="1" x14ac:dyDescent="0.3">
      <c r="A10" s="29"/>
      <c r="B10" s="249"/>
      <c r="C10" s="252"/>
      <c r="D10" s="255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55"/>
      <c r="P10" s="269"/>
      <c r="Q10" s="232"/>
      <c r="R10" s="237"/>
      <c r="S10" s="239"/>
      <c r="T10" s="180" t="s">
        <v>16</v>
      </c>
      <c r="U10" s="24" t="s">
        <v>17</v>
      </c>
      <c r="V10" s="181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2"/>
      <c r="E11" s="183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4"/>
      <c r="R11" s="113"/>
      <c r="S11" s="185"/>
      <c r="T11" s="185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149">
        <v>3</v>
      </c>
      <c r="D12" s="151">
        <v>48</v>
      </c>
      <c r="E12" s="106">
        <v>9879.9999999996544</v>
      </c>
      <c r="F12" s="3">
        <v>10745181.719999623</v>
      </c>
      <c r="G12" s="37">
        <v>2000</v>
      </c>
      <c r="H12" s="3">
        <v>3262707</v>
      </c>
      <c r="I12" s="103">
        <f>F12+H12</f>
        <v>14007888.719999623</v>
      </c>
      <c r="J12" s="106">
        <v>1360.0000000000136</v>
      </c>
      <c r="K12" s="3">
        <v>1479093.8400000148</v>
      </c>
      <c r="L12" s="186">
        <v>359.99999999999943</v>
      </c>
      <c r="M12" s="187">
        <v>587287.25999999908</v>
      </c>
      <c r="N12" s="94">
        <f>+K12+M12</f>
        <v>2066381.1000000138</v>
      </c>
      <c r="O12" s="108">
        <f>N12+I12</f>
        <v>16074269.819999637</v>
      </c>
      <c r="P12" s="111">
        <f>L12+J12+G12+E12</f>
        <v>13599.999999999667</v>
      </c>
      <c r="Q12" s="135"/>
      <c r="R12" s="201"/>
      <c r="S12" s="215"/>
      <c r="T12" s="212"/>
      <c r="U12" s="210">
        <v>0</v>
      </c>
      <c r="V12" s="188">
        <f>Y12+W12</f>
        <v>368</v>
      </c>
      <c r="W12" s="3">
        <v>119</v>
      </c>
      <c r="X12" s="3">
        <v>2139084.9073397042</v>
      </c>
      <c r="Y12" s="33">
        <v>249</v>
      </c>
      <c r="Z12" s="33">
        <v>1177303.9323511103</v>
      </c>
      <c r="AA12" s="33">
        <f t="shared" ref="AA12:AA39" si="0">Z12+X12</f>
        <v>3316388.8396908147</v>
      </c>
      <c r="AB12" s="128">
        <f t="shared" ref="AB12:AB41" si="1">AA12/$AL$47</f>
        <v>255.57689871839781</v>
      </c>
      <c r="AC12" s="134">
        <v>0</v>
      </c>
      <c r="AD12" s="3">
        <v>0</v>
      </c>
      <c r="AE12" s="3">
        <v>50</v>
      </c>
      <c r="AF12" s="3">
        <v>0</v>
      </c>
      <c r="AG12" s="3">
        <f t="shared" ref="AG12:AG31" si="2">+AE12+AF12</f>
        <v>50</v>
      </c>
      <c r="AH12" s="3">
        <v>709000</v>
      </c>
      <c r="AI12" s="43">
        <f t="shared" ref="AI12:AI41" si="3">AH12/$AL$47</f>
        <v>54.638955186038324</v>
      </c>
      <c r="AJ12" s="142">
        <v>425.46999999999969</v>
      </c>
      <c r="AK12" s="3">
        <v>4212152.9999999972</v>
      </c>
      <c r="AL12" s="39">
        <f t="shared" ref="AL12:AL41" si="4">AK12/$AL$47</f>
        <v>324.60879972318298</v>
      </c>
      <c r="AM12" s="7"/>
    </row>
    <row r="13" spans="1:39" x14ac:dyDescent="0.25">
      <c r="A13" s="35"/>
      <c r="B13" s="58">
        <v>2</v>
      </c>
      <c r="C13" s="149">
        <v>5</v>
      </c>
      <c r="D13" s="151">
        <v>43</v>
      </c>
      <c r="E13" s="106">
        <v>9600.0000000003638</v>
      </c>
      <c r="F13" s="3">
        <v>10440662.400000395</v>
      </c>
      <c r="G13" s="37">
        <v>1959.9999999999227</v>
      </c>
      <c r="H13" s="3">
        <v>3197452.8599998741</v>
      </c>
      <c r="I13" s="103">
        <f t="shared" ref="I13:I41" si="5">F13+H13</f>
        <v>13638115.26000027</v>
      </c>
      <c r="J13" s="106">
        <v>1360.0000000000136</v>
      </c>
      <c r="K13" s="3">
        <v>1479093.8400000148</v>
      </c>
      <c r="L13" s="186">
        <v>340.00000000000341</v>
      </c>
      <c r="M13" s="187">
        <v>554660.19000000553</v>
      </c>
      <c r="N13" s="94">
        <f t="shared" ref="N13:N41" si="6">+K13+M13</f>
        <v>2033754.0300000203</v>
      </c>
      <c r="O13" s="108">
        <f t="shared" ref="O13:O39" si="7">N13+I13</f>
        <v>15671869.29000029</v>
      </c>
      <c r="P13" s="111">
        <f t="shared" ref="P13:P39" si="8">L13+J13+G13+E13</f>
        <v>13260.000000000304</v>
      </c>
      <c r="Q13" s="191"/>
      <c r="R13" s="202"/>
      <c r="S13" s="215"/>
      <c r="T13" s="212"/>
      <c r="U13" s="210">
        <v>0</v>
      </c>
      <c r="V13" s="188">
        <f t="shared" ref="V13:V41" si="9">Y13+W13</f>
        <v>731</v>
      </c>
      <c r="W13" s="3">
        <v>125</v>
      </c>
      <c r="X13" s="3">
        <v>2246896.1295585129</v>
      </c>
      <c r="Y13" s="33">
        <v>606</v>
      </c>
      <c r="Z13" s="33">
        <v>2865245.7148786057</v>
      </c>
      <c r="AA13" s="33">
        <f t="shared" si="0"/>
        <v>5112141.8444371186</v>
      </c>
      <c r="AB13" s="128">
        <f t="shared" si="1"/>
        <v>393.96627523677154</v>
      </c>
      <c r="AC13" s="134">
        <v>0</v>
      </c>
      <c r="AD13" s="3">
        <v>0</v>
      </c>
      <c r="AE13" s="3">
        <v>50</v>
      </c>
      <c r="AF13" s="3">
        <v>0</v>
      </c>
      <c r="AG13" s="3">
        <f t="shared" si="2"/>
        <v>50</v>
      </c>
      <c r="AH13" s="3">
        <v>709000</v>
      </c>
      <c r="AI13" s="43">
        <f t="shared" si="3"/>
        <v>54.638955186038324</v>
      </c>
      <c r="AJ13" s="142">
        <v>313.69000000000085</v>
      </c>
      <c r="AK13" s="3">
        <v>3105531.0000000084</v>
      </c>
      <c r="AL13" s="39">
        <f t="shared" si="4"/>
        <v>239.32717790952501</v>
      </c>
      <c r="AM13" s="7"/>
    </row>
    <row r="14" spans="1:39" x14ac:dyDescent="0.25">
      <c r="A14" s="35"/>
      <c r="B14" s="58">
        <v>3</v>
      </c>
      <c r="C14" s="149">
        <v>6</v>
      </c>
      <c r="D14" s="151">
        <v>84</v>
      </c>
      <c r="E14" s="106">
        <v>9679.9999999998363</v>
      </c>
      <c r="F14" s="3">
        <v>10527667.919999823</v>
      </c>
      <c r="G14" s="37">
        <v>2120.0000000000091</v>
      </c>
      <c r="H14" s="3">
        <v>3458469.4200000153</v>
      </c>
      <c r="I14" s="103">
        <f t="shared" si="5"/>
        <v>13986137.339999838</v>
      </c>
      <c r="J14" s="106">
        <v>1359.9999999999568</v>
      </c>
      <c r="K14" s="3">
        <v>1479093.8399999528</v>
      </c>
      <c r="L14" s="186">
        <v>400.00000000000568</v>
      </c>
      <c r="M14" s="187">
        <v>652541.40000000934</v>
      </c>
      <c r="N14" s="94">
        <f t="shared" si="6"/>
        <v>2131635.239999962</v>
      </c>
      <c r="O14" s="108">
        <f t="shared" si="7"/>
        <v>16117772.579999801</v>
      </c>
      <c r="P14" s="111">
        <f t="shared" si="8"/>
        <v>13559.999999999807</v>
      </c>
      <c r="Q14" s="191"/>
      <c r="R14" s="202"/>
      <c r="S14" s="215"/>
      <c r="T14" s="212"/>
      <c r="U14" s="210">
        <v>0</v>
      </c>
      <c r="V14" s="188">
        <f t="shared" si="9"/>
        <v>621</v>
      </c>
      <c r="W14" s="3">
        <v>84</v>
      </c>
      <c r="X14" s="3">
        <v>1510186.1110633207</v>
      </c>
      <c r="Y14" s="33">
        <v>537</v>
      </c>
      <c r="Z14" s="33">
        <v>2539004.8661548039</v>
      </c>
      <c r="AA14" s="33">
        <f t="shared" si="0"/>
        <v>4049190.9772181245</v>
      </c>
      <c r="AB14" s="128">
        <f t="shared" si="1"/>
        <v>312.05016127493911</v>
      </c>
      <c r="AC14" s="134">
        <v>0</v>
      </c>
      <c r="AD14" s="3">
        <v>0</v>
      </c>
      <c r="AE14" s="3">
        <v>100</v>
      </c>
      <c r="AF14" s="3">
        <v>12</v>
      </c>
      <c r="AG14" s="3">
        <f t="shared" si="2"/>
        <v>112</v>
      </c>
      <c r="AH14" s="3">
        <v>1555500</v>
      </c>
      <c r="AI14" s="43">
        <f t="shared" si="3"/>
        <v>119.87432269659043</v>
      </c>
      <c r="AJ14" s="142">
        <v>400.69999999999561</v>
      </c>
      <c r="AK14" s="3">
        <v>3966929.9999999567</v>
      </c>
      <c r="AL14" s="39">
        <f t="shared" si="4"/>
        <v>305.71073412714901</v>
      </c>
      <c r="AM14" s="7"/>
    </row>
    <row r="15" spans="1:39" x14ac:dyDescent="0.25">
      <c r="A15" s="35"/>
      <c r="B15" s="58">
        <v>4</v>
      </c>
      <c r="C15" s="149">
        <v>5</v>
      </c>
      <c r="D15" s="151">
        <v>67</v>
      </c>
      <c r="E15" s="106">
        <v>10000</v>
      </c>
      <c r="F15" s="3">
        <v>10875690</v>
      </c>
      <c r="G15" s="37">
        <v>1960.0000000000364</v>
      </c>
      <c r="H15" s="3">
        <v>3197452.8600000595</v>
      </c>
      <c r="I15" s="103">
        <f t="shared" si="5"/>
        <v>14073142.860000059</v>
      </c>
      <c r="J15" s="106">
        <v>1380</v>
      </c>
      <c r="K15" s="3">
        <v>1500845.22</v>
      </c>
      <c r="L15" s="186">
        <v>379.99999999999545</v>
      </c>
      <c r="M15" s="187">
        <v>619914.32999999262</v>
      </c>
      <c r="N15" s="94">
        <f t="shared" si="6"/>
        <v>2120759.5499999924</v>
      </c>
      <c r="O15" s="108">
        <f t="shared" si="7"/>
        <v>16193902.410000052</v>
      </c>
      <c r="P15" s="111">
        <f t="shared" si="8"/>
        <v>13720.000000000033</v>
      </c>
      <c r="Q15" s="191"/>
      <c r="R15" s="202"/>
      <c r="S15" s="215"/>
      <c r="T15" s="212"/>
      <c r="U15" s="210">
        <v>0</v>
      </c>
      <c r="V15" s="188">
        <f t="shared" si="9"/>
        <v>466</v>
      </c>
      <c r="W15" s="3">
        <v>0</v>
      </c>
      <c r="X15" s="3">
        <v>0</v>
      </c>
      <c r="Y15" s="33">
        <v>466</v>
      </c>
      <c r="Z15" s="33">
        <v>2203307.7609462547</v>
      </c>
      <c r="AA15" s="33">
        <f t="shared" si="0"/>
        <v>2203307.7609462547</v>
      </c>
      <c r="AB15" s="128">
        <f t="shared" si="1"/>
        <v>169.79750918391093</v>
      </c>
      <c r="AC15" s="134">
        <v>0</v>
      </c>
      <c r="AD15" s="3">
        <v>0</v>
      </c>
      <c r="AE15" s="3">
        <v>50</v>
      </c>
      <c r="AF15" s="3">
        <v>0</v>
      </c>
      <c r="AG15" s="3">
        <f t="shared" si="2"/>
        <v>50</v>
      </c>
      <c r="AH15" s="3">
        <v>709000</v>
      </c>
      <c r="AI15" s="43">
        <f t="shared" si="3"/>
        <v>54.638955186038324</v>
      </c>
      <c r="AJ15" s="142">
        <v>381.5800000000221</v>
      </c>
      <c r="AK15" s="3">
        <v>3777642.0000002189</v>
      </c>
      <c r="AL15" s="39">
        <f t="shared" si="4"/>
        <v>291.12328906475057</v>
      </c>
      <c r="AM15" s="7"/>
    </row>
    <row r="16" spans="1:39" x14ac:dyDescent="0.25">
      <c r="A16" s="35"/>
      <c r="B16" s="58">
        <v>5</v>
      </c>
      <c r="C16" s="149">
        <v>5</v>
      </c>
      <c r="D16" s="151">
        <v>84</v>
      </c>
      <c r="E16" s="106">
        <v>9679.9999999998363</v>
      </c>
      <c r="F16" s="3">
        <v>10527667.919999823</v>
      </c>
      <c r="G16" s="37">
        <v>2159.9999999999682</v>
      </c>
      <c r="H16" s="3">
        <v>3523723.5599999484</v>
      </c>
      <c r="I16" s="103">
        <f t="shared" si="5"/>
        <v>14051391.479999771</v>
      </c>
      <c r="J16" s="106">
        <v>1439.9999999999977</v>
      </c>
      <c r="K16" s="3">
        <v>1566099.3599999975</v>
      </c>
      <c r="L16" s="186">
        <v>379.99999999999545</v>
      </c>
      <c r="M16" s="187">
        <v>619914.32999999262</v>
      </c>
      <c r="N16" s="94">
        <f t="shared" si="6"/>
        <v>2186013.6899999902</v>
      </c>
      <c r="O16" s="108">
        <f t="shared" si="7"/>
        <v>16237405.169999762</v>
      </c>
      <c r="P16" s="111">
        <f t="shared" si="8"/>
        <v>13659.999999999798</v>
      </c>
      <c r="Q16" s="191"/>
      <c r="R16" s="202"/>
      <c r="S16" s="215"/>
      <c r="T16" s="212"/>
      <c r="U16" s="210">
        <v>0</v>
      </c>
      <c r="V16" s="188">
        <f t="shared" si="9"/>
        <v>430</v>
      </c>
      <c r="W16" s="3">
        <v>98</v>
      </c>
      <c r="X16" s="3">
        <v>1761745.6295738742</v>
      </c>
      <c r="Y16" s="33">
        <v>332</v>
      </c>
      <c r="Z16" s="33">
        <v>1569738.5764681469</v>
      </c>
      <c r="AA16" s="33">
        <f t="shared" si="0"/>
        <v>3331484.206042021</v>
      </c>
      <c r="AB16" s="128">
        <f t="shared" si="1"/>
        <v>256.74022036237579</v>
      </c>
      <c r="AC16" s="134">
        <v>0</v>
      </c>
      <c r="AD16" s="3">
        <v>0</v>
      </c>
      <c r="AE16" s="3">
        <v>100</v>
      </c>
      <c r="AF16" s="3">
        <v>12</v>
      </c>
      <c r="AG16" s="3">
        <f t="shared" si="2"/>
        <v>112</v>
      </c>
      <c r="AH16" s="3">
        <v>1555500</v>
      </c>
      <c r="AI16" s="43">
        <f t="shared" si="3"/>
        <v>119.87432269659043</v>
      </c>
      <c r="AJ16" s="142">
        <v>347.23000000000172</v>
      </c>
      <c r="AK16" s="3">
        <v>3437577.0000000172</v>
      </c>
      <c r="AL16" s="39">
        <f t="shared" si="4"/>
        <v>264.91624210374755</v>
      </c>
      <c r="AM16" s="7"/>
    </row>
    <row r="17" spans="1:39" x14ac:dyDescent="0.25">
      <c r="A17" s="35"/>
      <c r="B17" s="58">
        <v>6</v>
      </c>
      <c r="C17" s="149">
        <v>4</v>
      </c>
      <c r="D17" s="151">
        <v>65</v>
      </c>
      <c r="E17" s="106">
        <v>9880.0000000001091</v>
      </c>
      <c r="F17" s="3">
        <v>10745181.720000118</v>
      </c>
      <c r="G17" s="37">
        <v>1920.0000000000728</v>
      </c>
      <c r="H17" s="3">
        <v>3132198.7200001189</v>
      </c>
      <c r="I17" s="103">
        <f t="shared" si="5"/>
        <v>13877380.440000236</v>
      </c>
      <c r="J17" s="106">
        <v>1420.0000000000159</v>
      </c>
      <c r="K17" s="3">
        <v>1544347.9800000172</v>
      </c>
      <c r="L17" s="186">
        <v>380.00000000000966</v>
      </c>
      <c r="M17" s="187">
        <v>619914.33000001579</v>
      </c>
      <c r="N17" s="94">
        <f t="shared" si="6"/>
        <v>2164262.3100000331</v>
      </c>
      <c r="O17" s="108">
        <f t="shared" si="7"/>
        <v>16041642.750000268</v>
      </c>
      <c r="P17" s="111">
        <f t="shared" si="8"/>
        <v>13600.000000000207</v>
      </c>
      <c r="Q17" s="191"/>
      <c r="R17" s="202"/>
      <c r="S17" s="215"/>
      <c r="T17" s="212"/>
      <c r="U17" s="210">
        <v>0</v>
      </c>
      <c r="V17" s="188">
        <f t="shared" si="9"/>
        <v>598</v>
      </c>
      <c r="W17" s="3">
        <v>120</v>
      </c>
      <c r="X17" s="3">
        <v>2157053.4443761725</v>
      </c>
      <c r="Y17" s="33">
        <v>478</v>
      </c>
      <c r="Z17" s="33">
        <v>2260045.2998547419</v>
      </c>
      <c r="AA17" s="33">
        <f t="shared" si="0"/>
        <v>4417098.7442309149</v>
      </c>
      <c r="AB17" s="128">
        <f t="shared" si="1"/>
        <v>340.4029059779113</v>
      </c>
      <c r="AC17" s="134">
        <v>0</v>
      </c>
      <c r="AD17" s="3">
        <v>0</v>
      </c>
      <c r="AE17" s="3">
        <v>50</v>
      </c>
      <c r="AF17" s="3">
        <v>12</v>
      </c>
      <c r="AG17" s="3">
        <f t="shared" si="2"/>
        <v>62</v>
      </c>
      <c r="AH17" s="3">
        <v>846500</v>
      </c>
      <c r="AI17" s="43">
        <f t="shared" si="3"/>
        <v>65.235367510552095</v>
      </c>
      <c r="AJ17" s="142">
        <v>380.96999999999969</v>
      </c>
      <c r="AK17" s="3">
        <v>3771602.9999999967</v>
      </c>
      <c r="AL17" s="39">
        <f t="shared" si="4"/>
        <v>290.65789463544075</v>
      </c>
      <c r="AM17" s="7"/>
    </row>
    <row r="18" spans="1:39" x14ac:dyDescent="0.25">
      <c r="A18" s="35"/>
      <c r="B18" s="58">
        <v>7</v>
      </c>
      <c r="C18" s="149">
        <v>4</v>
      </c>
      <c r="D18" s="151">
        <v>56</v>
      </c>
      <c r="E18" s="106">
        <v>10119.999999999891</v>
      </c>
      <c r="F18" s="3">
        <v>11006198.27999988</v>
      </c>
      <c r="G18" s="37">
        <v>2039.9999999999636</v>
      </c>
      <c r="H18" s="3">
        <v>3327961.139999941</v>
      </c>
      <c r="I18" s="103">
        <f t="shared" si="5"/>
        <v>14334159.419999821</v>
      </c>
      <c r="J18" s="106">
        <v>1399.9999999999773</v>
      </c>
      <c r="K18" s="3">
        <v>1522596.5999999754</v>
      </c>
      <c r="L18" s="186">
        <v>339.9999999999892</v>
      </c>
      <c r="M18" s="187">
        <v>554660.18999998248</v>
      </c>
      <c r="N18" s="94">
        <f t="shared" si="6"/>
        <v>2077256.7899999579</v>
      </c>
      <c r="O18" s="108">
        <f t="shared" si="7"/>
        <v>16411416.209999779</v>
      </c>
      <c r="P18" s="111">
        <f t="shared" si="8"/>
        <v>13899.999999999822</v>
      </c>
      <c r="Q18" s="191"/>
      <c r="R18" s="202"/>
      <c r="S18" s="215"/>
      <c r="T18" s="212"/>
      <c r="U18" s="210">
        <v>0</v>
      </c>
      <c r="V18" s="188">
        <f t="shared" si="9"/>
        <v>486</v>
      </c>
      <c r="W18" s="3">
        <v>81</v>
      </c>
      <c r="X18" s="3">
        <v>1456280.4999539165</v>
      </c>
      <c r="Y18" s="33">
        <v>405</v>
      </c>
      <c r="Z18" s="33">
        <v>1914891.9381614444</v>
      </c>
      <c r="AA18" s="33">
        <f t="shared" si="0"/>
        <v>3371172.4381153611</v>
      </c>
      <c r="AB18" s="128">
        <f t="shared" si="1"/>
        <v>259.7987867004129</v>
      </c>
      <c r="AC18" s="134">
        <v>0</v>
      </c>
      <c r="AD18" s="3">
        <v>0</v>
      </c>
      <c r="AE18" s="3">
        <v>50</v>
      </c>
      <c r="AF18" s="3">
        <v>0</v>
      </c>
      <c r="AG18" s="3">
        <f t="shared" si="2"/>
        <v>50</v>
      </c>
      <c r="AH18" s="3">
        <v>709000</v>
      </c>
      <c r="AI18" s="43">
        <f t="shared" si="3"/>
        <v>54.638955186038324</v>
      </c>
      <c r="AJ18" s="142">
        <v>346.90999999999474</v>
      </c>
      <c r="AK18" s="3">
        <v>3434408.9999999478</v>
      </c>
      <c r="AL18" s="39">
        <f t="shared" si="4"/>
        <v>264.67210076378535</v>
      </c>
      <c r="AM18" s="7"/>
    </row>
    <row r="19" spans="1:39" x14ac:dyDescent="0.25">
      <c r="A19" s="35"/>
      <c r="B19" s="58">
        <v>8</v>
      </c>
      <c r="C19" s="149">
        <v>3</v>
      </c>
      <c r="D19" s="151">
        <v>58</v>
      </c>
      <c r="E19" s="106">
        <v>10160.000000000309</v>
      </c>
      <c r="F19" s="3">
        <v>11049701.040000336</v>
      </c>
      <c r="G19" s="37">
        <v>2080.0000000000409</v>
      </c>
      <c r="H19" s="3">
        <v>3393215.2800000673</v>
      </c>
      <c r="I19" s="103">
        <f t="shared" si="5"/>
        <v>14442916.320000403</v>
      </c>
      <c r="J19" s="106">
        <v>1340.0000000000318</v>
      </c>
      <c r="K19" s="3">
        <v>1457342.4600000347</v>
      </c>
      <c r="L19" s="186">
        <v>359.99999999999943</v>
      </c>
      <c r="M19" s="187">
        <v>587287.25999999908</v>
      </c>
      <c r="N19" s="94">
        <f t="shared" si="6"/>
        <v>2044629.7200000337</v>
      </c>
      <c r="O19" s="108">
        <f t="shared" si="7"/>
        <v>16487546.040000437</v>
      </c>
      <c r="P19" s="111">
        <f t="shared" si="8"/>
        <v>13940.000000000382</v>
      </c>
      <c r="Q19" s="191"/>
      <c r="R19" s="202"/>
      <c r="S19" s="215"/>
      <c r="T19" s="212"/>
      <c r="U19" s="210">
        <v>0</v>
      </c>
      <c r="V19" s="188">
        <f t="shared" si="9"/>
        <v>510</v>
      </c>
      <c r="W19" s="3">
        <v>86</v>
      </c>
      <c r="X19" s="3">
        <v>1546123.185136257</v>
      </c>
      <c r="Y19" s="33">
        <v>424</v>
      </c>
      <c r="Z19" s="33">
        <v>2004726.3747665491</v>
      </c>
      <c r="AA19" s="33">
        <f t="shared" si="0"/>
        <v>3550849.5599028058</v>
      </c>
      <c r="AB19" s="128">
        <f t="shared" si="1"/>
        <v>273.64557119307943</v>
      </c>
      <c r="AC19" s="134">
        <v>0</v>
      </c>
      <c r="AD19" s="3">
        <v>0</v>
      </c>
      <c r="AE19" s="3">
        <v>50</v>
      </c>
      <c r="AF19" s="3">
        <v>0</v>
      </c>
      <c r="AG19" s="3">
        <f t="shared" si="2"/>
        <v>50</v>
      </c>
      <c r="AH19" s="3">
        <v>709000</v>
      </c>
      <c r="AI19" s="43">
        <f t="shared" si="3"/>
        <v>54.638955186038324</v>
      </c>
      <c r="AJ19" s="142">
        <v>418.6099999999991</v>
      </c>
      <c r="AK19" s="3">
        <v>4144238.9999999912</v>
      </c>
      <c r="AL19" s="39">
        <f t="shared" si="4"/>
        <v>319.37501974785863</v>
      </c>
      <c r="AM19" s="7"/>
    </row>
    <row r="20" spans="1:39" x14ac:dyDescent="0.25">
      <c r="A20" s="35"/>
      <c r="B20" s="58">
        <v>9</v>
      </c>
      <c r="C20" s="149">
        <v>2</v>
      </c>
      <c r="D20" s="151">
        <v>61</v>
      </c>
      <c r="E20" s="106">
        <v>10000</v>
      </c>
      <c r="F20" s="3">
        <v>10875690</v>
      </c>
      <c r="G20" s="37">
        <v>1959.9999999999227</v>
      </c>
      <c r="H20" s="3">
        <v>3197452.8599998741</v>
      </c>
      <c r="I20" s="103">
        <f t="shared" si="5"/>
        <v>14073142.859999875</v>
      </c>
      <c r="J20" s="106">
        <v>1399.9999999999773</v>
      </c>
      <c r="K20" s="3">
        <v>1522596.5999999754</v>
      </c>
      <c r="L20" s="186">
        <v>360.00000000001364</v>
      </c>
      <c r="M20" s="187">
        <v>587287.26000002236</v>
      </c>
      <c r="N20" s="94">
        <f t="shared" si="6"/>
        <v>2109883.8599999975</v>
      </c>
      <c r="O20" s="108">
        <f t="shared" si="7"/>
        <v>16183026.719999872</v>
      </c>
      <c r="P20" s="111">
        <f t="shared" si="8"/>
        <v>13719.999999999913</v>
      </c>
      <c r="Q20" s="191"/>
      <c r="R20" s="202"/>
      <c r="S20" s="215"/>
      <c r="T20" s="212"/>
      <c r="U20" s="210">
        <v>0</v>
      </c>
      <c r="V20" s="188">
        <f t="shared" si="9"/>
        <v>652</v>
      </c>
      <c r="W20" s="3">
        <v>115</v>
      </c>
      <c r="X20" s="3">
        <v>2067210.7591938321</v>
      </c>
      <c r="Y20" s="33">
        <v>537</v>
      </c>
      <c r="Z20" s="33">
        <v>2539004.8661548039</v>
      </c>
      <c r="AA20" s="33">
        <f t="shared" si="0"/>
        <v>4606215.6253486359</v>
      </c>
      <c r="AB20" s="128">
        <f t="shared" si="1"/>
        <v>354.97716379499803</v>
      </c>
      <c r="AC20" s="134">
        <v>0</v>
      </c>
      <c r="AD20" s="3">
        <v>0</v>
      </c>
      <c r="AE20" s="3">
        <v>50</v>
      </c>
      <c r="AF20" s="3">
        <v>12</v>
      </c>
      <c r="AG20" s="3">
        <f t="shared" si="2"/>
        <v>62</v>
      </c>
      <c r="AH20" s="3">
        <v>846500</v>
      </c>
      <c r="AI20" s="43">
        <f t="shared" si="3"/>
        <v>65.235367510552095</v>
      </c>
      <c r="AJ20" s="142">
        <v>266.10000000000434</v>
      </c>
      <c r="AK20" s="3">
        <v>2634390.0000000428</v>
      </c>
      <c r="AL20" s="39">
        <f t="shared" si="4"/>
        <v>203.01878300782769</v>
      </c>
      <c r="AM20" s="7"/>
    </row>
    <row r="21" spans="1:39" x14ac:dyDescent="0.25">
      <c r="A21" s="35"/>
      <c r="B21" s="58">
        <v>10</v>
      </c>
      <c r="C21" s="149">
        <v>2</v>
      </c>
      <c r="D21" s="151">
        <v>88</v>
      </c>
      <c r="E21" s="106">
        <v>10159.999999999854</v>
      </c>
      <c r="F21" s="3">
        <v>11049701.039999843</v>
      </c>
      <c r="G21" s="37">
        <v>2000</v>
      </c>
      <c r="H21" s="3">
        <v>3262707</v>
      </c>
      <c r="I21" s="103">
        <f t="shared" si="5"/>
        <v>14312408.039999843</v>
      </c>
      <c r="J21" s="106">
        <v>1400.0000000000341</v>
      </c>
      <c r="K21" s="3">
        <v>1522596.6000000371</v>
      </c>
      <c r="L21" s="186">
        <v>419.99999999998749</v>
      </c>
      <c r="M21" s="187">
        <v>685168.4699999796</v>
      </c>
      <c r="N21" s="94">
        <f t="shared" si="6"/>
        <v>2207765.0700000166</v>
      </c>
      <c r="O21" s="108">
        <f t="shared" si="7"/>
        <v>16520173.10999986</v>
      </c>
      <c r="P21" s="111">
        <f t="shared" si="8"/>
        <v>13979.999999999876</v>
      </c>
      <c r="Q21" s="191"/>
      <c r="R21" s="202"/>
      <c r="S21" s="215"/>
      <c r="T21" s="212"/>
      <c r="U21" s="210">
        <v>0</v>
      </c>
      <c r="V21" s="188">
        <f t="shared" si="9"/>
        <v>483</v>
      </c>
      <c r="W21" s="3">
        <v>135</v>
      </c>
      <c r="X21" s="3">
        <v>2426581.4999231938</v>
      </c>
      <c r="Y21" s="33">
        <v>348</v>
      </c>
      <c r="Z21" s="33">
        <v>1645388.62834613</v>
      </c>
      <c r="AA21" s="33">
        <f t="shared" si="0"/>
        <v>4071970.1282693241</v>
      </c>
      <c r="AB21" s="128">
        <f t="shared" si="1"/>
        <v>313.80563237996375</v>
      </c>
      <c r="AC21" s="134">
        <v>0</v>
      </c>
      <c r="AD21" s="3">
        <v>0</v>
      </c>
      <c r="AE21" s="3">
        <v>100</v>
      </c>
      <c r="AF21" s="3">
        <v>12</v>
      </c>
      <c r="AG21" s="3">
        <f t="shared" si="2"/>
        <v>112</v>
      </c>
      <c r="AH21" s="3">
        <v>1555500</v>
      </c>
      <c r="AI21" s="43">
        <f t="shared" si="3"/>
        <v>119.87432269659043</v>
      </c>
      <c r="AJ21" s="142">
        <v>377.80999999999619</v>
      </c>
      <c r="AK21" s="3">
        <v>3740318.9999999623</v>
      </c>
      <c r="AL21" s="39">
        <f t="shared" si="4"/>
        <v>288.24699890336473</v>
      </c>
      <c r="AM21" s="7"/>
    </row>
    <row r="22" spans="1:39" x14ac:dyDescent="0.25">
      <c r="A22" s="35"/>
      <c r="B22" s="58">
        <v>11</v>
      </c>
      <c r="C22" s="149">
        <v>1</v>
      </c>
      <c r="D22" s="151">
        <v>55</v>
      </c>
      <c r="E22" s="106">
        <v>9800.0000000001819</v>
      </c>
      <c r="F22" s="3">
        <v>10658176.200000199</v>
      </c>
      <c r="G22" s="37">
        <v>1879.9999999999955</v>
      </c>
      <c r="H22" s="3">
        <v>3066944.5799999931</v>
      </c>
      <c r="I22" s="103">
        <f t="shared" si="5"/>
        <v>13725120.780000191</v>
      </c>
      <c r="J22" s="106">
        <v>1339.999999999975</v>
      </c>
      <c r="K22" s="3">
        <v>1457342.459999973</v>
      </c>
      <c r="L22" s="186">
        <v>340.00000000000341</v>
      </c>
      <c r="M22" s="187">
        <v>554660.19000000553</v>
      </c>
      <c r="N22" s="94">
        <f t="shared" si="6"/>
        <v>2012002.6499999785</v>
      </c>
      <c r="O22" s="108">
        <f t="shared" si="7"/>
        <v>15737123.430000169</v>
      </c>
      <c r="P22" s="111">
        <f t="shared" si="8"/>
        <v>13360.000000000156</v>
      </c>
      <c r="Q22" s="191"/>
      <c r="R22" s="202"/>
      <c r="S22" s="215"/>
      <c r="T22" s="212"/>
      <c r="U22" s="210">
        <v>0</v>
      </c>
      <c r="V22" s="188">
        <f t="shared" si="9"/>
        <v>365</v>
      </c>
      <c r="W22" s="3">
        <v>106</v>
      </c>
      <c r="X22" s="3">
        <v>1905493.925865619</v>
      </c>
      <c r="Y22" s="33">
        <v>259</v>
      </c>
      <c r="Z22" s="33">
        <v>1224585.2147748496</v>
      </c>
      <c r="AA22" s="33">
        <f t="shared" si="0"/>
        <v>3130079.1406404683</v>
      </c>
      <c r="AB22" s="128">
        <f t="shared" si="1"/>
        <v>241.21897587335386</v>
      </c>
      <c r="AC22" s="134">
        <v>0</v>
      </c>
      <c r="AD22" s="3">
        <v>0</v>
      </c>
      <c r="AE22" s="3">
        <v>50</v>
      </c>
      <c r="AF22" s="3">
        <v>0</v>
      </c>
      <c r="AG22" s="3">
        <f t="shared" si="2"/>
        <v>50</v>
      </c>
      <c r="AH22" s="3">
        <v>709000</v>
      </c>
      <c r="AI22" s="43">
        <f t="shared" si="3"/>
        <v>54.638955186038324</v>
      </c>
      <c r="AJ22" s="142">
        <v>178.34000000000233</v>
      </c>
      <c r="AK22" s="3">
        <v>1765566.0000000231</v>
      </c>
      <c r="AL22" s="39">
        <f t="shared" si="4"/>
        <v>136.06302052467447</v>
      </c>
      <c r="AM22" s="7"/>
    </row>
    <row r="23" spans="1:39" x14ac:dyDescent="0.25">
      <c r="A23" s="35"/>
      <c r="B23" s="58">
        <v>12</v>
      </c>
      <c r="C23" s="149">
        <v>2</v>
      </c>
      <c r="D23" s="151">
        <v>63</v>
      </c>
      <c r="E23" s="106">
        <v>9359.9999999996726</v>
      </c>
      <c r="F23" s="3">
        <v>10179645.839999644</v>
      </c>
      <c r="G23" s="37">
        <v>1840.0000000000318</v>
      </c>
      <c r="H23" s="3">
        <v>3001690.4400000521</v>
      </c>
      <c r="I23" s="103">
        <f t="shared" si="5"/>
        <v>13181336.279999696</v>
      </c>
      <c r="J23" s="106">
        <v>1279.9999999999727</v>
      </c>
      <c r="K23" s="3">
        <v>1392088.3199999705</v>
      </c>
      <c r="L23" s="186">
        <v>320.00000000000739</v>
      </c>
      <c r="M23" s="187">
        <v>522033.1200000121</v>
      </c>
      <c r="N23" s="94">
        <f t="shared" si="6"/>
        <v>1914121.4399999827</v>
      </c>
      <c r="O23" s="108">
        <f t="shared" si="7"/>
        <v>15095457.719999678</v>
      </c>
      <c r="P23" s="111">
        <f t="shared" si="8"/>
        <v>12799.999999999683</v>
      </c>
      <c r="Q23" s="191"/>
      <c r="R23" s="202"/>
      <c r="S23" s="215"/>
      <c r="T23" s="212"/>
      <c r="U23" s="210">
        <v>0</v>
      </c>
      <c r="V23" s="188">
        <f t="shared" si="9"/>
        <v>533</v>
      </c>
      <c r="W23" s="3">
        <v>94</v>
      </c>
      <c r="X23" s="3">
        <v>1689871.4814280018</v>
      </c>
      <c r="Y23" s="33">
        <v>439</v>
      </c>
      <c r="Z23" s="33">
        <v>2075648.2984021583</v>
      </c>
      <c r="AA23" s="33">
        <f t="shared" si="0"/>
        <v>3765519.7798301601</v>
      </c>
      <c r="AB23" s="128">
        <f t="shared" si="1"/>
        <v>290.18909238685615</v>
      </c>
      <c r="AC23" s="134">
        <v>0</v>
      </c>
      <c r="AD23" s="3">
        <v>0</v>
      </c>
      <c r="AE23" s="3">
        <v>50</v>
      </c>
      <c r="AF23" s="3">
        <v>12</v>
      </c>
      <c r="AG23" s="3">
        <f t="shared" si="2"/>
        <v>62</v>
      </c>
      <c r="AH23" s="3">
        <v>846500</v>
      </c>
      <c r="AI23" s="43">
        <f t="shared" si="3"/>
        <v>65.235367510552095</v>
      </c>
      <c r="AJ23" s="142">
        <v>178.73000000000175</v>
      </c>
      <c r="AK23" s="3">
        <v>1769427.0000000172</v>
      </c>
      <c r="AL23" s="39">
        <f t="shared" si="4"/>
        <v>136.36056778274636</v>
      </c>
      <c r="AM23" s="7"/>
    </row>
    <row r="24" spans="1:39" x14ac:dyDescent="0.25">
      <c r="A24" s="35"/>
      <c r="B24" s="58">
        <v>13</v>
      </c>
      <c r="C24" s="149">
        <v>1</v>
      </c>
      <c r="D24" s="151">
        <v>24</v>
      </c>
      <c r="E24" s="106">
        <v>9680.000000000291</v>
      </c>
      <c r="F24" s="3">
        <v>10527667.920000317</v>
      </c>
      <c r="G24" s="37">
        <v>1879.9999999999955</v>
      </c>
      <c r="H24" s="3">
        <v>3066944.5799999931</v>
      </c>
      <c r="I24" s="103">
        <f t="shared" si="5"/>
        <v>13594612.500000309</v>
      </c>
      <c r="J24" s="106">
        <v>1220.0000000000273</v>
      </c>
      <c r="K24" s="3">
        <v>1326834.1800000297</v>
      </c>
      <c r="L24" s="186">
        <v>319.99999999999318</v>
      </c>
      <c r="M24" s="187">
        <v>522033.11999998894</v>
      </c>
      <c r="N24" s="94">
        <f t="shared" si="6"/>
        <v>1848867.3000000187</v>
      </c>
      <c r="O24" s="108">
        <f t="shared" si="7"/>
        <v>15443479.800000329</v>
      </c>
      <c r="P24" s="111">
        <f t="shared" si="8"/>
        <v>13100.000000000307</v>
      </c>
      <c r="Q24" s="191"/>
      <c r="R24" s="202"/>
      <c r="S24" s="215"/>
      <c r="T24" s="212"/>
      <c r="U24" s="210">
        <v>0</v>
      </c>
      <c r="V24" s="188">
        <f>Y24+W24</f>
        <v>464</v>
      </c>
      <c r="W24" s="3">
        <v>120</v>
      </c>
      <c r="X24" s="3">
        <v>2157053.4443761725</v>
      </c>
      <c r="Y24" s="33">
        <v>344</v>
      </c>
      <c r="Z24" s="33">
        <v>1626476.1153766343</v>
      </c>
      <c r="AA24" s="33">
        <f t="shared" si="0"/>
        <v>3783529.559752807</v>
      </c>
      <c r="AB24" s="128">
        <f t="shared" si="1"/>
        <v>291.57701277910428</v>
      </c>
      <c r="AC24" s="134">
        <v>0</v>
      </c>
      <c r="AD24" s="3">
        <v>0</v>
      </c>
      <c r="AE24" s="3">
        <v>50</v>
      </c>
      <c r="AF24" s="3">
        <v>0</v>
      </c>
      <c r="AG24" s="3">
        <f t="shared" si="2"/>
        <v>50</v>
      </c>
      <c r="AH24" s="3">
        <v>709000</v>
      </c>
      <c r="AI24" s="43">
        <f t="shared" si="3"/>
        <v>54.638955186038324</v>
      </c>
      <c r="AJ24" s="142">
        <v>447.20999999999765</v>
      </c>
      <c r="AK24" s="3">
        <v>4427378.9999999767</v>
      </c>
      <c r="AL24" s="39">
        <f t="shared" si="4"/>
        <v>341.1951520064963</v>
      </c>
      <c r="AM24" s="7"/>
    </row>
    <row r="25" spans="1:39" x14ac:dyDescent="0.25">
      <c r="A25" s="35"/>
      <c r="B25" s="58">
        <v>14</v>
      </c>
      <c r="C25" s="149">
        <v>13</v>
      </c>
      <c r="D25" s="151">
        <v>50</v>
      </c>
      <c r="E25" s="106">
        <v>9879.9999999996544</v>
      </c>
      <c r="F25" s="3">
        <v>10745181.719999623</v>
      </c>
      <c r="G25" s="37">
        <v>1879.9999999999955</v>
      </c>
      <c r="H25" s="3">
        <v>3066944.5799999931</v>
      </c>
      <c r="I25" s="103">
        <f t="shared" si="5"/>
        <v>13812126.299999615</v>
      </c>
      <c r="J25" s="106">
        <v>1180.0000000000068</v>
      </c>
      <c r="K25" s="3">
        <v>1283331.4200000076</v>
      </c>
      <c r="L25" s="186">
        <v>340.00000000000341</v>
      </c>
      <c r="M25" s="187">
        <v>554660.19000000553</v>
      </c>
      <c r="N25" s="94">
        <f t="shared" si="6"/>
        <v>1837991.6100000131</v>
      </c>
      <c r="O25" s="108">
        <f t="shared" si="7"/>
        <v>15650117.909999628</v>
      </c>
      <c r="P25" s="111">
        <f t="shared" si="8"/>
        <v>13279.99999999966</v>
      </c>
      <c r="Q25" s="191"/>
      <c r="R25" s="202"/>
      <c r="S25" s="215"/>
      <c r="T25" s="212"/>
      <c r="U25" s="210">
        <v>0</v>
      </c>
      <c r="V25" s="188">
        <f t="shared" si="9"/>
        <v>534</v>
      </c>
      <c r="W25" s="3">
        <v>120</v>
      </c>
      <c r="X25" s="3">
        <v>2157053.4443761725</v>
      </c>
      <c r="Y25" s="33">
        <v>414</v>
      </c>
      <c r="Z25" s="33">
        <v>1957445.0923428098</v>
      </c>
      <c r="AA25" s="33">
        <f t="shared" si="0"/>
        <v>4114498.5367189823</v>
      </c>
      <c r="AB25" s="128">
        <f t="shared" si="1"/>
        <v>317.0830763904213</v>
      </c>
      <c r="AC25" s="134">
        <v>0</v>
      </c>
      <c r="AD25" s="3">
        <v>0</v>
      </c>
      <c r="AE25" s="3">
        <v>50</v>
      </c>
      <c r="AF25" s="3">
        <v>0</v>
      </c>
      <c r="AG25" s="3">
        <f t="shared" si="2"/>
        <v>50</v>
      </c>
      <c r="AH25" s="3">
        <v>709000</v>
      </c>
      <c r="AI25" s="43">
        <f t="shared" si="3"/>
        <v>54.638955186038324</v>
      </c>
      <c r="AJ25" s="142">
        <v>359.1099999999991</v>
      </c>
      <c r="AK25" s="3">
        <v>3555188.9999999912</v>
      </c>
      <c r="AL25" s="39">
        <f t="shared" si="4"/>
        <v>273.97998934964164</v>
      </c>
      <c r="AM25" s="7"/>
    </row>
    <row r="26" spans="1:39" x14ac:dyDescent="0.25">
      <c r="A26" s="35"/>
      <c r="B26" s="58">
        <v>15</v>
      </c>
      <c r="C26" s="149">
        <v>7</v>
      </c>
      <c r="D26" s="151">
        <v>52</v>
      </c>
      <c r="E26" s="106">
        <v>10120.000000000346</v>
      </c>
      <c r="F26" s="3">
        <v>11006198.280000376</v>
      </c>
      <c r="G26" s="37">
        <v>2039.9999999999636</v>
      </c>
      <c r="H26" s="3">
        <v>3327961.139999941</v>
      </c>
      <c r="I26" s="103">
        <f t="shared" si="5"/>
        <v>14334159.420000317</v>
      </c>
      <c r="J26" s="106">
        <v>1259.9999999999909</v>
      </c>
      <c r="K26" s="3">
        <v>1370336.9399999902</v>
      </c>
      <c r="L26" s="186">
        <v>319.99999999999318</v>
      </c>
      <c r="M26" s="187">
        <v>522033.11999998894</v>
      </c>
      <c r="N26" s="94">
        <f t="shared" si="6"/>
        <v>1892370.0599999791</v>
      </c>
      <c r="O26" s="108">
        <f t="shared" si="7"/>
        <v>16226529.480000295</v>
      </c>
      <c r="P26" s="111">
        <f t="shared" si="8"/>
        <v>13740.000000000293</v>
      </c>
      <c r="Q26" s="191"/>
      <c r="R26" s="202"/>
      <c r="S26" s="215"/>
      <c r="T26" s="212"/>
      <c r="U26" s="210">
        <v>0</v>
      </c>
      <c r="V26" s="188">
        <f t="shared" si="9"/>
        <v>515</v>
      </c>
      <c r="W26" s="3">
        <v>120</v>
      </c>
      <c r="X26" s="3">
        <v>2157053.4443761725</v>
      </c>
      <c r="Y26" s="33">
        <v>395</v>
      </c>
      <c r="Z26" s="33">
        <v>1867610.6557377051</v>
      </c>
      <c r="AA26" s="33">
        <f t="shared" si="0"/>
        <v>4024664.1001138776</v>
      </c>
      <c r="AB26" s="128">
        <f t="shared" si="1"/>
        <v>310.16000198163528</v>
      </c>
      <c r="AC26" s="134">
        <v>0</v>
      </c>
      <c r="AD26" s="3">
        <v>0</v>
      </c>
      <c r="AE26" s="3">
        <v>50</v>
      </c>
      <c r="AF26" s="3">
        <v>0</v>
      </c>
      <c r="AG26" s="3">
        <f t="shared" si="2"/>
        <v>50</v>
      </c>
      <c r="AH26" s="3">
        <v>709000</v>
      </c>
      <c r="AI26" s="43">
        <f t="shared" si="3"/>
        <v>54.638955186038324</v>
      </c>
      <c r="AJ26" s="142">
        <v>244.30000000000146</v>
      </c>
      <c r="AK26" s="3">
        <v>2418570.0000000144</v>
      </c>
      <c r="AL26" s="39">
        <f t="shared" si="4"/>
        <v>186.38665422326866</v>
      </c>
      <c r="AM26" s="7"/>
    </row>
    <row r="27" spans="1:39" x14ac:dyDescent="0.25">
      <c r="A27" s="35"/>
      <c r="B27" s="58">
        <v>16</v>
      </c>
      <c r="C27" s="149">
        <v>4</v>
      </c>
      <c r="D27" s="151">
        <v>36</v>
      </c>
      <c r="E27" s="106">
        <v>10039.999999999964</v>
      </c>
      <c r="F27" s="3">
        <v>10919192.759999961</v>
      </c>
      <c r="G27" s="37">
        <v>1960.0000000000364</v>
      </c>
      <c r="H27" s="3">
        <v>3197452.8600000595</v>
      </c>
      <c r="I27" s="103">
        <f t="shared" si="5"/>
        <v>14116645.62000002</v>
      </c>
      <c r="J27" s="106">
        <v>1160.000000000025</v>
      </c>
      <c r="K27" s="3">
        <v>1261580.0400000273</v>
      </c>
      <c r="L27" s="186">
        <v>300.00000000001137</v>
      </c>
      <c r="M27" s="187">
        <v>489406.05000001861</v>
      </c>
      <c r="N27" s="94">
        <f t="shared" si="6"/>
        <v>1750986.090000046</v>
      </c>
      <c r="O27" s="108">
        <f t="shared" si="7"/>
        <v>15867631.710000066</v>
      </c>
      <c r="P27" s="111">
        <f t="shared" si="8"/>
        <v>13460.000000000036</v>
      </c>
      <c r="Q27" s="191"/>
      <c r="R27" s="202"/>
      <c r="S27" s="215"/>
      <c r="T27" s="212"/>
      <c r="U27" s="210">
        <v>0</v>
      </c>
      <c r="V27" s="188">
        <f t="shared" si="9"/>
        <v>390</v>
      </c>
      <c r="W27" s="3">
        <v>120</v>
      </c>
      <c r="X27" s="3">
        <v>2157053.4443761725</v>
      </c>
      <c r="Y27" s="33">
        <v>270</v>
      </c>
      <c r="Z27" s="33">
        <v>1276594.6254409628</v>
      </c>
      <c r="AA27" s="33">
        <f t="shared" si="0"/>
        <v>3433648.0698171351</v>
      </c>
      <c r="AB27" s="128">
        <f t="shared" si="1"/>
        <v>264.61345981856903</v>
      </c>
      <c r="AC27" s="134">
        <v>0</v>
      </c>
      <c r="AD27" s="3">
        <v>0</v>
      </c>
      <c r="AE27" s="3">
        <v>50</v>
      </c>
      <c r="AF27" s="3">
        <v>0</v>
      </c>
      <c r="AG27" s="3">
        <f t="shared" si="2"/>
        <v>50</v>
      </c>
      <c r="AH27" s="3">
        <v>709000</v>
      </c>
      <c r="AI27" s="43">
        <f t="shared" si="3"/>
        <v>54.638955186038324</v>
      </c>
      <c r="AJ27" s="142">
        <v>233.20000000000292</v>
      </c>
      <c r="AK27" s="3">
        <v>2308680.0000000289</v>
      </c>
      <c r="AL27" s="39">
        <f t="shared" si="4"/>
        <v>177.91800149351837</v>
      </c>
      <c r="AM27" s="7"/>
    </row>
    <row r="28" spans="1:39" x14ac:dyDescent="0.25">
      <c r="A28" s="35"/>
      <c r="B28" s="58">
        <v>17</v>
      </c>
      <c r="C28" s="149">
        <v>5</v>
      </c>
      <c r="D28" s="151">
        <v>50</v>
      </c>
      <c r="E28" s="106">
        <v>10079.999999999927</v>
      </c>
      <c r="F28" s="3">
        <v>10962695.519999921</v>
      </c>
      <c r="G28" s="37">
        <v>1919.9999999999591</v>
      </c>
      <c r="H28" s="3">
        <v>3132198.7199999336</v>
      </c>
      <c r="I28" s="103">
        <f t="shared" si="5"/>
        <v>14094894.239999855</v>
      </c>
      <c r="J28" s="106">
        <v>1279.9999999999727</v>
      </c>
      <c r="K28" s="3">
        <v>1392088.3199999705</v>
      </c>
      <c r="L28" s="186">
        <v>359.99999999999943</v>
      </c>
      <c r="M28" s="187">
        <v>587287.25999999908</v>
      </c>
      <c r="N28" s="94">
        <f t="shared" si="6"/>
        <v>1979375.5799999696</v>
      </c>
      <c r="O28" s="108">
        <f t="shared" si="7"/>
        <v>16074269.819999825</v>
      </c>
      <c r="P28" s="111">
        <f t="shared" si="8"/>
        <v>13639.999999999858</v>
      </c>
      <c r="Q28" s="191"/>
      <c r="R28" s="204"/>
      <c r="S28" s="215"/>
      <c r="T28" s="212"/>
      <c r="U28" s="210">
        <v>0</v>
      </c>
      <c r="V28" s="188">
        <f t="shared" si="9"/>
        <v>521</v>
      </c>
      <c r="W28" s="3">
        <v>119</v>
      </c>
      <c r="X28" s="3">
        <v>2139084.9073397042</v>
      </c>
      <c r="Y28" s="33">
        <v>402</v>
      </c>
      <c r="Z28" s="33">
        <v>1900707.5534343226</v>
      </c>
      <c r="AA28" s="33">
        <f t="shared" si="0"/>
        <v>4039792.4607740268</v>
      </c>
      <c r="AB28" s="128">
        <f t="shared" si="1"/>
        <v>311.32586632599089</v>
      </c>
      <c r="AC28" s="134">
        <v>0</v>
      </c>
      <c r="AD28" s="3">
        <v>0</v>
      </c>
      <c r="AE28" s="3">
        <v>50</v>
      </c>
      <c r="AF28" s="3">
        <v>0</v>
      </c>
      <c r="AG28" s="3">
        <f t="shared" si="2"/>
        <v>50</v>
      </c>
      <c r="AH28" s="3">
        <v>709000</v>
      </c>
      <c r="AI28" s="43">
        <f t="shared" si="3"/>
        <v>54.638955186038324</v>
      </c>
      <c r="AJ28" s="142">
        <v>234.01000000000059</v>
      </c>
      <c r="AK28" s="3">
        <v>2316699.0000000056</v>
      </c>
      <c r="AL28" s="39">
        <f t="shared" si="4"/>
        <v>178.53598426028222</v>
      </c>
      <c r="AM28" s="7"/>
    </row>
    <row r="29" spans="1:39" x14ac:dyDescent="0.25">
      <c r="A29" s="35"/>
      <c r="B29" s="58">
        <v>18</v>
      </c>
      <c r="C29" s="149">
        <v>6</v>
      </c>
      <c r="D29" s="151">
        <v>102</v>
      </c>
      <c r="E29" s="106">
        <v>10400.000000000091</v>
      </c>
      <c r="F29" s="3">
        <v>11310717.600000098</v>
      </c>
      <c r="G29" s="37">
        <v>2000</v>
      </c>
      <c r="H29" s="3">
        <v>3262707</v>
      </c>
      <c r="I29" s="103">
        <f t="shared" si="5"/>
        <v>14573424.600000098</v>
      </c>
      <c r="J29" s="106">
        <v>1379.9999999999955</v>
      </c>
      <c r="K29" s="3">
        <v>1500845.2199999951</v>
      </c>
      <c r="L29" s="186">
        <v>339.9999999999892</v>
      </c>
      <c r="M29" s="187">
        <v>554660.18999998248</v>
      </c>
      <c r="N29" s="94">
        <f t="shared" si="6"/>
        <v>2055505.4099999776</v>
      </c>
      <c r="O29" s="108">
        <f t="shared" si="7"/>
        <v>16628930.010000076</v>
      </c>
      <c r="P29" s="111">
        <f t="shared" si="8"/>
        <v>14120.000000000076</v>
      </c>
      <c r="Q29" s="192"/>
      <c r="R29" s="205"/>
      <c r="S29" s="215"/>
      <c r="T29" s="212"/>
      <c r="U29" s="210">
        <v>0</v>
      </c>
      <c r="V29" s="188">
        <f t="shared" si="9"/>
        <v>476</v>
      </c>
      <c r="W29" s="3">
        <v>119</v>
      </c>
      <c r="X29" s="3">
        <v>2139084.9073397042</v>
      </c>
      <c r="Y29" s="33">
        <v>357</v>
      </c>
      <c r="Z29" s="33">
        <v>1687941.7825274954</v>
      </c>
      <c r="AA29" s="33">
        <f t="shared" si="0"/>
        <v>3827026.6898671994</v>
      </c>
      <c r="AB29" s="128">
        <f t="shared" si="1"/>
        <v>294.92911114728702</v>
      </c>
      <c r="AC29" s="134">
        <v>0</v>
      </c>
      <c r="AD29" s="3">
        <v>0</v>
      </c>
      <c r="AE29" s="3">
        <v>150</v>
      </c>
      <c r="AF29" s="3">
        <v>12</v>
      </c>
      <c r="AG29" s="3">
        <f t="shared" si="2"/>
        <v>162</v>
      </c>
      <c r="AH29" s="3">
        <v>2264500</v>
      </c>
      <c r="AI29" s="43">
        <f t="shared" si="3"/>
        <v>174.51327788262873</v>
      </c>
      <c r="AJ29" s="142">
        <v>186.39999999999273</v>
      </c>
      <c r="AK29" s="3">
        <v>1845359.9999999281</v>
      </c>
      <c r="AL29" s="39">
        <f t="shared" si="4"/>
        <v>142.21233052482899</v>
      </c>
      <c r="AM29" s="7"/>
    </row>
    <row r="30" spans="1:39" x14ac:dyDescent="0.25">
      <c r="A30" s="35"/>
      <c r="B30" s="58">
        <v>19</v>
      </c>
      <c r="C30" s="149">
        <v>3</v>
      </c>
      <c r="D30" s="151">
        <v>91</v>
      </c>
      <c r="E30" s="106">
        <v>10119.999999999891</v>
      </c>
      <c r="F30" s="3">
        <v>11006198.27999988</v>
      </c>
      <c r="G30" s="37">
        <v>2040.0000000000773</v>
      </c>
      <c r="H30" s="3">
        <v>3327961.1400001268</v>
      </c>
      <c r="I30" s="103">
        <f t="shared" si="5"/>
        <v>14334159.420000007</v>
      </c>
      <c r="J30" s="106">
        <v>1300.0000000000114</v>
      </c>
      <c r="K30" s="3">
        <v>1413839.7000000123</v>
      </c>
      <c r="L30" s="186">
        <v>340.00000000000341</v>
      </c>
      <c r="M30" s="187">
        <v>554660.19000000553</v>
      </c>
      <c r="N30" s="94">
        <f t="shared" si="6"/>
        <v>1968499.8900000178</v>
      </c>
      <c r="O30" s="108">
        <f t="shared" si="7"/>
        <v>16302659.310000025</v>
      </c>
      <c r="P30" s="111">
        <f t="shared" si="8"/>
        <v>13799.999999999982</v>
      </c>
      <c r="Q30" s="191" t="s">
        <v>77</v>
      </c>
      <c r="R30" s="191" t="s">
        <v>77</v>
      </c>
      <c r="S30" s="215"/>
      <c r="T30" s="212"/>
      <c r="U30" s="210">
        <v>0</v>
      </c>
      <c r="V30" s="188">
        <f t="shared" si="9"/>
        <v>479</v>
      </c>
      <c r="W30" s="3">
        <v>119</v>
      </c>
      <c r="X30" s="3">
        <v>2139084.9073397042</v>
      </c>
      <c r="Y30" s="33">
        <v>360</v>
      </c>
      <c r="Z30" s="33">
        <v>1702126.1672546172</v>
      </c>
      <c r="AA30" s="33">
        <f t="shared" si="0"/>
        <v>3841211.0745943217</v>
      </c>
      <c r="AB30" s="128">
        <f t="shared" si="1"/>
        <v>296.02222815920061</v>
      </c>
      <c r="AC30" s="134">
        <v>0</v>
      </c>
      <c r="AD30" s="3">
        <v>0</v>
      </c>
      <c r="AE30" s="3">
        <v>100</v>
      </c>
      <c r="AF30" s="3">
        <v>12</v>
      </c>
      <c r="AG30" s="3">
        <f t="shared" si="2"/>
        <v>112</v>
      </c>
      <c r="AH30" s="3">
        <v>1555500</v>
      </c>
      <c r="AI30" s="43">
        <f t="shared" si="3"/>
        <v>119.87432269659043</v>
      </c>
      <c r="AJ30" s="142">
        <v>196.74999999999855</v>
      </c>
      <c r="AK30" s="3">
        <v>1947824.9999999856</v>
      </c>
      <c r="AL30" s="39">
        <f t="shared" si="4"/>
        <v>150.10877698906108</v>
      </c>
      <c r="AM30" s="7"/>
    </row>
    <row r="31" spans="1:39" x14ac:dyDescent="0.25">
      <c r="A31" s="35"/>
      <c r="B31" s="58">
        <v>20</v>
      </c>
      <c r="C31" s="149">
        <v>8</v>
      </c>
      <c r="D31" s="151">
        <v>42</v>
      </c>
      <c r="E31" s="106">
        <v>9799.9999999997272</v>
      </c>
      <c r="F31" s="3">
        <v>10658176.199999703</v>
      </c>
      <c r="G31" s="37">
        <v>2000</v>
      </c>
      <c r="H31" s="3">
        <v>3262707</v>
      </c>
      <c r="I31" s="103">
        <f t="shared" si="5"/>
        <v>13920883.199999703</v>
      </c>
      <c r="J31" s="106">
        <v>1240.0000000000091</v>
      </c>
      <c r="K31" s="3">
        <v>1348585.5600000101</v>
      </c>
      <c r="L31" s="186">
        <v>320.00000000000739</v>
      </c>
      <c r="M31" s="187">
        <v>522033.1200000121</v>
      </c>
      <c r="N31" s="94">
        <f t="shared" si="6"/>
        <v>1870618.6800000221</v>
      </c>
      <c r="O31" s="108">
        <f t="shared" si="7"/>
        <v>15791501.879999725</v>
      </c>
      <c r="P31" s="111">
        <f t="shared" si="8"/>
        <v>13359.999999999744</v>
      </c>
      <c r="Q31" s="192" t="s">
        <v>78</v>
      </c>
      <c r="R31" s="192" t="s">
        <v>78</v>
      </c>
      <c r="S31" s="215"/>
      <c r="T31" s="212"/>
      <c r="U31" s="210">
        <v>0</v>
      </c>
      <c r="V31" s="188">
        <f t="shared" si="9"/>
        <v>449</v>
      </c>
      <c r="W31" s="3">
        <v>115</v>
      </c>
      <c r="X31" s="3">
        <v>2067210.7591938321</v>
      </c>
      <c r="Y31" s="33">
        <v>334</v>
      </c>
      <c r="Z31" s="33">
        <v>1579194.832952895</v>
      </c>
      <c r="AA31" s="33">
        <f t="shared" si="0"/>
        <v>3646405.5921467273</v>
      </c>
      <c r="AB31" s="128">
        <f t="shared" si="1"/>
        <v>281.00957932217852</v>
      </c>
      <c r="AC31" s="134">
        <v>0</v>
      </c>
      <c r="AD31" s="3">
        <v>0</v>
      </c>
      <c r="AE31" s="3">
        <v>50</v>
      </c>
      <c r="AF31" s="3">
        <v>0</v>
      </c>
      <c r="AG31" s="3">
        <f t="shared" si="2"/>
        <v>50</v>
      </c>
      <c r="AH31" s="3">
        <v>709000</v>
      </c>
      <c r="AI31" s="43">
        <f t="shared" si="3"/>
        <v>54.638955186038324</v>
      </c>
      <c r="AJ31" s="142">
        <v>257.17999999999881</v>
      </c>
      <c r="AK31" s="3">
        <v>2546081.9999999884</v>
      </c>
      <c r="AL31" s="39">
        <f t="shared" si="4"/>
        <v>196.21334315652777</v>
      </c>
      <c r="AM31" s="7"/>
    </row>
    <row r="32" spans="1:39" x14ac:dyDescent="0.25">
      <c r="A32" s="35"/>
      <c r="B32" s="58">
        <v>21</v>
      </c>
      <c r="C32" s="149">
        <v>9</v>
      </c>
      <c r="D32" s="151">
        <v>70</v>
      </c>
      <c r="E32" s="106">
        <v>10240.000000000236</v>
      </c>
      <c r="F32" s="3">
        <v>11136706.560000258</v>
      </c>
      <c r="G32" s="37">
        <v>2000</v>
      </c>
      <c r="H32" s="3">
        <v>3262707</v>
      </c>
      <c r="I32" s="103">
        <f t="shared" si="5"/>
        <v>14399413.560000258</v>
      </c>
      <c r="J32" s="106">
        <v>1159.9999999999682</v>
      </c>
      <c r="K32" s="3">
        <v>1261580.0399999653</v>
      </c>
      <c r="L32" s="186">
        <v>319.99999999999318</v>
      </c>
      <c r="M32" s="187">
        <v>522033.11999998894</v>
      </c>
      <c r="N32" s="94">
        <f>+K32+M32</f>
        <v>1783613.1599999543</v>
      </c>
      <c r="O32" s="108">
        <f t="shared" si="7"/>
        <v>16183026.720000211</v>
      </c>
      <c r="P32" s="111">
        <f t="shared" si="8"/>
        <v>13720.000000000198</v>
      </c>
      <c r="Q32" s="191"/>
      <c r="R32" s="203"/>
      <c r="S32" s="215"/>
      <c r="T32" s="212"/>
      <c r="U32" s="210">
        <v>0</v>
      </c>
      <c r="V32" s="188">
        <f t="shared" si="9"/>
        <v>556</v>
      </c>
      <c r="W32" s="3">
        <v>121</v>
      </c>
      <c r="X32" s="3">
        <v>2175021.9814126408</v>
      </c>
      <c r="Y32" s="33">
        <v>435</v>
      </c>
      <c r="Z32" s="33">
        <v>2056735.7854326623</v>
      </c>
      <c r="AA32" s="33">
        <f t="shared" si="0"/>
        <v>4231757.7668453027</v>
      </c>
      <c r="AB32" s="128">
        <f t="shared" si="1"/>
        <v>326.11963749059254</v>
      </c>
      <c r="AC32" s="134">
        <v>0</v>
      </c>
      <c r="AD32" s="3">
        <v>0</v>
      </c>
      <c r="AE32" s="3">
        <v>100</v>
      </c>
      <c r="AF32" s="3">
        <v>12</v>
      </c>
      <c r="AG32" s="3">
        <f t="shared" ref="AG32:AG40" si="10">+AE32+AF32</f>
        <v>112</v>
      </c>
      <c r="AH32" s="3">
        <v>1555500</v>
      </c>
      <c r="AI32" s="43">
        <f t="shared" si="3"/>
        <v>119.87432269659043</v>
      </c>
      <c r="AJ32" s="142">
        <v>212.56999999999826</v>
      </c>
      <c r="AK32" s="3">
        <v>2104442.9999999828</v>
      </c>
      <c r="AL32" s="39">
        <f t="shared" si="4"/>
        <v>162.17851448317504</v>
      </c>
      <c r="AM32" s="7"/>
    </row>
    <row r="33" spans="1:39" x14ac:dyDescent="0.25">
      <c r="A33" s="35"/>
      <c r="B33" s="58">
        <v>22</v>
      </c>
      <c r="C33" s="149">
        <v>5</v>
      </c>
      <c r="D33" s="151">
        <v>93</v>
      </c>
      <c r="E33" s="106">
        <v>10559.999999999945</v>
      </c>
      <c r="F33" s="3">
        <v>11484728.639999941</v>
      </c>
      <c r="G33" s="37">
        <v>2079.9999999999272</v>
      </c>
      <c r="H33" s="3">
        <v>3393215.2799998815</v>
      </c>
      <c r="I33" s="103">
        <f t="shared" si="5"/>
        <v>14877943.919999823</v>
      </c>
      <c r="J33" s="106">
        <v>1180.0000000000068</v>
      </c>
      <c r="K33" s="3">
        <v>1283331.4200000076</v>
      </c>
      <c r="L33" s="186">
        <v>299.99999999999716</v>
      </c>
      <c r="M33" s="187">
        <v>489406.04999999545</v>
      </c>
      <c r="N33" s="94">
        <f t="shared" si="6"/>
        <v>1772737.470000003</v>
      </c>
      <c r="O33" s="108">
        <f t="shared" si="7"/>
        <v>16650681.389999826</v>
      </c>
      <c r="P33" s="111">
        <f t="shared" si="8"/>
        <v>14119.999999999876</v>
      </c>
      <c r="Q33" s="191"/>
      <c r="R33" s="204"/>
      <c r="S33" s="215"/>
      <c r="T33" s="212"/>
      <c r="U33" s="210">
        <v>0</v>
      </c>
      <c r="V33" s="188">
        <f t="shared" si="9"/>
        <v>672</v>
      </c>
      <c r="W33" s="3">
        <v>119</v>
      </c>
      <c r="X33" s="3">
        <v>2139084.9073397042</v>
      </c>
      <c r="Y33" s="33">
        <v>553</v>
      </c>
      <c r="Z33" s="33">
        <v>2614654.9180327868</v>
      </c>
      <c r="AA33" s="33">
        <f t="shared" si="0"/>
        <v>4753739.825372491</v>
      </c>
      <c r="AB33" s="128">
        <f t="shared" si="1"/>
        <v>366.34608925897487</v>
      </c>
      <c r="AC33" s="134">
        <v>0</v>
      </c>
      <c r="AD33" s="3">
        <v>0</v>
      </c>
      <c r="AE33" s="3">
        <v>100</v>
      </c>
      <c r="AF33" s="3">
        <v>12</v>
      </c>
      <c r="AG33" s="3">
        <f t="shared" si="10"/>
        <v>112</v>
      </c>
      <c r="AH33" s="3">
        <v>1555500</v>
      </c>
      <c r="AI33" s="43">
        <f t="shared" si="3"/>
        <v>119.87432269659043</v>
      </c>
      <c r="AJ33" s="142">
        <v>422.89000000000522</v>
      </c>
      <c r="AK33" s="3">
        <v>4186611.0000000517</v>
      </c>
      <c r="AL33" s="39">
        <f t="shared" si="4"/>
        <v>322.64041016978547</v>
      </c>
      <c r="AM33" s="7"/>
    </row>
    <row r="34" spans="1:39" x14ac:dyDescent="0.25">
      <c r="A34" s="35"/>
      <c r="B34" s="58">
        <v>23</v>
      </c>
      <c r="C34" s="149">
        <v>3</v>
      </c>
      <c r="D34" s="151">
        <v>60</v>
      </c>
      <c r="E34" s="106">
        <v>10360.000000000127</v>
      </c>
      <c r="F34" s="3">
        <v>11267214.840000138</v>
      </c>
      <c r="G34" s="37">
        <v>2000</v>
      </c>
      <c r="H34" s="3">
        <v>3262707</v>
      </c>
      <c r="I34" s="103">
        <f t="shared" si="5"/>
        <v>14529921.840000138</v>
      </c>
      <c r="J34" s="106">
        <v>1300.0000000000114</v>
      </c>
      <c r="K34" s="3">
        <v>1413839.7000000123</v>
      </c>
      <c r="L34" s="186">
        <v>400.00000000000568</v>
      </c>
      <c r="M34" s="187">
        <v>652541.40000000934</v>
      </c>
      <c r="N34" s="94">
        <f t="shared" si="6"/>
        <v>2066381.1000000215</v>
      </c>
      <c r="O34" s="108">
        <f t="shared" si="7"/>
        <v>16596302.94000016</v>
      </c>
      <c r="P34" s="111">
        <f t="shared" si="8"/>
        <v>14060.000000000146</v>
      </c>
      <c r="Q34" s="192"/>
      <c r="R34" s="205"/>
      <c r="S34" s="215"/>
      <c r="T34" s="212"/>
      <c r="U34" s="210">
        <v>0</v>
      </c>
      <c r="V34" s="188">
        <f t="shared" si="9"/>
        <v>614</v>
      </c>
      <c r="W34" s="3">
        <v>118</v>
      </c>
      <c r="X34" s="3">
        <v>2121116.3703032364</v>
      </c>
      <c r="Y34" s="33">
        <v>496</v>
      </c>
      <c r="Z34" s="33">
        <v>2345151.6082174727</v>
      </c>
      <c r="AA34" s="33">
        <f t="shared" si="0"/>
        <v>4466267.9785207091</v>
      </c>
      <c r="AB34" s="128">
        <f t="shared" si="1"/>
        <v>344.19212401584059</v>
      </c>
      <c r="AC34" s="134">
        <v>0</v>
      </c>
      <c r="AD34" s="3">
        <v>0</v>
      </c>
      <c r="AE34" s="3">
        <v>50</v>
      </c>
      <c r="AF34" s="3">
        <v>0</v>
      </c>
      <c r="AG34" s="3">
        <f t="shared" si="10"/>
        <v>50</v>
      </c>
      <c r="AH34" s="3">
        <v>709000</v>
      </c>
      <c r="AI34" s="43">
        <f t="shared" si="3"/>
        <v>54.638955186038324</v>
      </c>
      <c r="AJ34" s="142">
        <v>153.44999999999564</v>
      </c>
      <c r="AK34" s="3">
        <v>1519154.9999999569</v>
      </c>
      <c r="AL34" s="39">
        <f t="shared" si="4"/>
        <v>117.07340192615472</v>
      </c>
      <c r="AM34" s="7"/>
    </row>
    <row r="35" spans="1:39" x14ac:dyDescent="0.25">
      <c r="A35" s="35"/>
      <c r="B35" s="58">
        <v>24</v>
      </c>
      <c r="C35" s="149">
        <v>6</v>
      </c>
      <c r="D35" s="151">
        <v>131</v>
      </c>
      <c r="E35" s="106">
        <v>10119.999999999891</v>
      </c>
      <c r="F35" s="3">
        <v>11006198.27999988</v>
      </c>
      <c r="G35" s="37">
        <v>1960.0000000000364</v>
      </c>
      <c r="H35" s="3">
        <v>3197452.8600000595</v>
      </c>
      <c r="I35" s="103">
        <f t="shared" si="5"/>
        <v>14203651.139999939</v>
      </c>
      <c r="J35" s="106">
        <v>1540.0000000000205</v>
      </c>
      <c r="K35" s="3">
        <v>1674856.2600000224</v>
      </c>
      <c r="L35" s="186">
        <v>319.99999999999318</v>
      </c>
      <c r="M35" s="187">
        <v>522033.11999998894</v>
      </c>
      <c r="N35" s="94">
        <f t="shared" si="6"/>
        <v>2196889.3800000111</v>
      </c>
      <c r="O35" s="108">
        <f t="shared" si="7"/>
        <v>16400540.519999951</v>
      </c>
      <c r="P35" s="111">
        <f t="shared" si="8"/>
        <v>13939.999999999942</v>
      </c>
      <c r="Q35" s="191"/>
      <c r="R35" s="203"/>
      <c r="S35" s="215"/>
      <c r="T35" s="212"/>
      <c r="U35" s="210">
        <v>0</v>
      </c>
      <c r="V35" s="188">
        <f t="shared" si="9"/>
        <v>644</v>
      </c>
      <c r="W35" s="3">
        <v>120</v>
      </c>
      <c r="X35" s="3">
        <v>2157053.4443761725</v>
      </c>
      <c r="Y35" s="33">
        <v>524</v>
      </c>
      <c r="Z35" s="33">
        <v>2477539.1990039428</v>
      </c>
      <c r="AA35" s="33">
        <f t="shared" si="0"/>
        <v>4634592.6433801148</v>
      </c>
      <c r="AB35" s="128">
        <f t="shared" si="1"/>
        <v>357.16403349391959</v>
      </c>
      <c r="AC35" s="134">
        <v>0</v>
      </c>
      <c r="AD35" s="3">
        <v>0</v>
      </c>
      <c r="AE35" s="3">
        <v>150</v>
      </c>
      <c r="AF35" s="3">
        <v>24</v>
      </c>
      <c r="AG35" s="3">
        <f t="shared" si="10"/>
        <v>174</v>
      </c>
      <c r="AH35" s="3">
        <v>2402000</v>
      </c>
      <c r="AI35" s="43">
        <f t="shared" si="3"/>
        <v>185.10969020714251</v>
      </c>
      <c r="AJ35" s="142">
        <v>427.63000000000318</v>
      </c>
      <c r="AK35" s="3">
        <v>4233537.0000000317</v>
      </c>
      <c r="AL35" s="39">
        <f t="shared" si="4"/>
        <v>326.256753767894</v>
      </c>
      <c r="AM35" s="7"/>
    </row>
    <row r="36" spans="1:39" x14ac:dyDescent="0.25">
      <c r="A36" s="35"/>
      <c r="B36" s="58">
        <v>25</v>
      </c>
      <c r="C36" s="149">
        <v>8</v>
      </c>
      <c r="D36" s="151">
        <v>128</v>
      </c>
      <c r="E36" s="106">
        <v>10039.999999999964</v>
      </c>
      <c r="F36" s="3">
        <v>10919192.759999961</v>
      </c>
      <c r="G36" s="37">
        <v>1919.9999999999591</v>
      </c>
      <c r="H36" s="3">
        <v>3132198.7199999336</v>
      </c>
      <c r="I36" s="103">
        <f t="shared" si="5"/>
        <v>14051391.479999894</v>
      </c>
      <c r="J36" s="106">
        <v>1199.9999999999886</v>
      </c>
      <c r="K36" s="3">
        <v>1305082.7999999875</v>
      </c>
      <c r="L36" s="186">
        <v>320.00000000000739</v>
      </c>
      <c r="M36" s="187">
        <v>522033.1200000121</v>
      </c>
      <c r="N36" s="94">
        <f t="shared" si="6"/>
        <v>1827115.9199999995</v>
      </c>
      <c r="O36" s="108">
        <f t="shared" si="7"/>
        <v>15878507.399999894</v>
      </c>
      <c r="P36" s="111">
        <f t="shared" si="8"/>
        <v>13479.999999999918</v>
      </c>
      <c r="Q36" s="191"/>
      <c r="R36" s="203"/>
      <c r="S36" s="215"/>
      <c r="T36" s="212"/>
      <c r="U36" s="210">
        <v>0</v>
      </c>
      <c r="V36" s="188">
        <f t="shared" si="9"/>
        <v>616</v>
      </c>
      <c r="W36" s="3">
        <v>120</v>
      </c>
      <c r="X36" s="3">
        <v>2157053.4443761725</v>
      </c>
      <c r="Y36" s="33">
        <v>496</v>
      </c>
      <c r="Z36" s="33">
        <v>2345151.6082174727</v>
      </c>
      <c r="AA36" s="33">
        <f t="shared" si="0"/>
        <v>4502205.0525936447</v>
      </c>
      <c r="AB36" s="128">
        <f t="shared" si="1"/>
        <v>346.96160804939274</v>
      </c>
      <c r="AC36" s="134">
        <v>0</v>
      </c>
      <c r="AD36" s="3">
        <v>0</v>
      </c>
      <c r="AE36" s="3">
        <v>150</v>
      </c>
      <c r="AF36" s="3">
        <v>24</v>
      </c>
      <c r="AG36" s="3">
        <f t="shared" si="10"/>
        <v>174</v>
      </c>
      <c r="AH36" s="3">
        <v>2402000</v>
      </c>
      <c r="AI36" s="43">
        <f t="shared" si="3"/>
        <v>185.10969020714251</v>
      </c>
      <c r="AJ36" s="142">
        <v>175.31000000001077</v>
      </c>
      <c r="AK36" s="3">
        <v>1735569.0000001066</v>
      </c>
      <c r="AL36" s="39">
        <f t="shared" si="4"/>
        <v>133.75130721196498</v>
      </c>
      <c r="AM36" s="7"/>
    </row>
    <row r="37" spans="1:39" x14ac:dyDescent="0.25">
      <c r="A37" s="35"/>
      <c r="B37" s="58">
        <v>26</v>
      </c>
      <c r="C37" s="149">
        <v>5</v>
      </c>
      <c r="D37" s="151">
        <v>117</v>
      </c>
      <c r="E37" s="106">
        <v>9880.0000000001091</v>
      </c>
      <c r="F37" s="3">
        <v>10745181.720000118</v>
      </c>
      <c r="G37" s="37">
        <v>2040.0000000000773</v>
      </c>
      <c r="H37" s="3">
        <v>3327961.1400001268</v>
      </c>
      <c r="I37" s="103">
        <f t="shared" si="5"/>
        <v>14073142.860000245</v>
      </c>
      <c r="J37" s="106">
        <v>1399.9999999999773</v>
      </c>
      <c r="K37" s="3">
        <v>1522596.5999999754</v>
      </c>
      <c r="L37" s="186">
        <v>399.99999999999147</v>
      </c>
      <c r="M37" s="187">
        <v>652541.39999998605</v>
      </c>
      <c r="N37" s="94">
        <f t="shared" si="6"/>
        <v>2175137.9999999614</v>
      </c>
      <c r="O37" s="108">
        <f t="shared" si="7"/>
        <v>16248280.860000206</v>
      </c>
      <c r="P37" s="111">
        <f t="shared" si="8"/>
        <v>13720.000000000155</v>
      </c>
      <c r="Q37" s="191"/>
      <c r="R37" s="203"/>
      <c r="S37" s="215"/>
      <c r="T37" s="212"/>
      <c r="U37" s="210">
        <v>0</v>
      </c>
      <c r="V37" s="188">
        <f t="shared" si="9"/>
        <v>656</v>
      </c>
      <c r="W37" s="3">
        <v>120</v>
      </c>
      <c r="X37" s="3">
        <v>2157053.4443761725</v>
      </c>
      <c r="Y37" s="33">
        <v>536</v>
      </c>
      <c r="Z37" s="33">
        <v>2534276.73791243</v>
      </c>
      <c r="AA37" s="33">
        <f t="shared" si="0"/>
        <v>4691330.182288602</v>
      </c>
      <c r="AB37" s="128">
        <f t="shared" si="1"/>
        <v>361.5365015415739</v>
      </c>
      <c r="AC37" s="134">
        <v>0</v>
      </c>
      <c r="AD37" s="3">
        <v>0</v>
      </c>
      <c r="AE37" s="3">
        <v>150</v>
      </c>
      <c r="AF37" s="3">
        <v>24</v>
      </c>
      <c r="AG37" s="3">
        <f t="shared" si="10"/>
        <v>174</v>
      </c>
      <c r="AH37" s="3">
        <v>2402000</v>
      </c>
      <c r="AI37" s="43">
        <f t="shared" si="3"/>
        <v>185.10969020714251</v>
      </c>
      <c r="AJ37" s="142">
        <v>221.06999999999826</v>
      </c>
      <c r="AK37" s="3">
        <v>2188592.9999999828</v>
      </c>
      <c r="AL37" s="39">
        <f t="shared" si="4"/>
        <v>168.66351882577746</v>
      </c>
      <c r="AM37" s="7"/>
    </row>
    <row r="38" spans="1:39" x14ac:dyDescent="0.25">
      <c r="A38" s="35"/>
      <c r="B38" s="58">
        <v>27</v>
      </c>
      <c r="C38" s="149">
        <v>6</v>
      </c>
      <c r="D38" s="151">
        <v>88</v>
      </c>
      <c r="E38" s="106">
        <v>9759.9999999997635</v>
      </c>
      <c r="F38" s="3">
        <v>10614673.439999742</v>
      </c>
      <c r="G38" s="37">
        <v>1959.9999999999227</v>
      </c>
      <c r="H38" s="3">
        <v>3197452.8599998741</v>
      </c>
      <c r="I38" s="103">
        <f t="shared" si="5"/>
        <v>13812126.299999617</v>
      </c>
      <c r="J38" s="106">
        <v>1480.0000000000182</v>
      </c>
      <c r="K38" s="3">
        <v>1609602.1200000197</v>
      </c>
      <c r="L38" s="186">
        <v>340.00000000000341</v>
      </c>
      <c r="M38" s="187">
        <v>554660.19000000553</v>
      </c>
      <c r="N38" s="94">
        <f t="shared" si="6"/>
        <v>2164262.3100000252</v>
      </c>
      <c r="O38" s="108">
        <f t="shared" si="7"/>
        <v>15976388.609999642</v>
      </c>
      <c r="P38" s="111">
        <f t="shared" si="8"/>
        <v>13539.999999999709</v>
      </c>
      <c r="Q38" s="191"/>
      <c r="R38" s="203"/>
      <c r="S38" s="215"/>
      <c r="T38" s="212"/>
      <c r="U38" s="210">
        <v>0</v>
      </c>
      <c r="V38" s="188">
        <f t="shared" si="9"/>
        <v>642</v>
      </c>
      <c r="W38" s="3">
        <v>121</v>
      </c>
      <c r="X38" s="3">
        <v>2175021.9814126408</v>
      </c>
      <c r="Y38" s="33">
        <v>521</v>
      </c>
      <c r="Z38" s="33">
        <v>2463354.814276821</v>
      </c>
      <c r="AA38" s="33">
        <f t="shared" si="0"/>
        <v>4638376.7956894618</v>
      </c>
      <c r="AB38" s="128">
        <f t="shared" si="1"/>
        <v>357.4556584987821</v>
      </c>
      <c r="AC38" s="134">
        <v>0</v>
      </c>
      <c r="AD38" s="3">
        <v>0</v>
      </c>
      <c r="AE38" s="3">
        <v>100</v>
      </c>
      <c r="AF38" s="3">
        <v>12</v>
      </c>
      <c r="AG38" s="3">
        <f t="shared" si="10"/>
        <v>112</v>
      </c>
      <c r="AH38" s="3">
        <v>1555500</v>
      </c>
      <c r="AI38" s="43">
        <f t="shared" si="3"/>
        <v>119.87432269659043</v>
      </c>
      <c r="AJ38" s="142">
        <v>307.45000000000289</v>
      </c>
      <c r="AK38" s="3">
        <v>3043755.0000000284</v>
      </c>
      <c r="AL38" s="39">
        <f t="shared" si="4"/>
        <v>234.56642178036901</v>
      </c>
      <c r="AM38" s="7"/>
    </row>
    <row r="39" spans="1:39" x14ac:dyDescent="0.25">
      <c r="A39" s="35"/>
      <c r="B39" s="58">
        <v>28</v>
      </c>
      <c r="C39" s="149">
        <v>7</v>
      </c>
      <c r="D39" s="151">
        <v>99</v>
      </c>
      <c r="E39" s="106">
        <v>9600.0000000003638</v>
      </c>
      <c r="F39" s="3">
        <v>10440662.400000395</v>
      </c>
      <c r="G39" s="37">
        <v>1960.0000000000364</v>
      </c>
      <c r="H39" s="3">
        <v>3197452.8600000595</v>
      </c>
      <c r="I39" s="103">
        <f t="shared" si="5"/>
        <v>13638115.260000454</v>
      </c>
      <c r="J39" s="106">
        <v>1379.9999999999955</v>
      </c>
      <c r="K39" s="3">
        <v>1500845.2199999951</v>
      </c>
      <c r="L39" s="186">
        <v>400.00000000000568</v>
      </c>
      <c r="M39" s="187">
        <v>652541.40000000934</v>
      </c>
      <c r="N39" s="94">
        <f t="shared" si="6"/>
        <v>2153386.6200000043</v>
      </c>
      <c r="O39" s="108">
        <f t="shared" si="7"/>
        <v>15791501.880000459</v>
      </c>
      <c r="P39" s="111">
        <f t="shared" si="8"/>
        <v>13340.0000000004</v>
      </c>
      <c r="Q39" s="191"/>
      <c r="R39" s="206"/>
      <c r="S39" s="215"/>
      <c r="T39" s="212"/>
      <c r="U39" s="210">
        <v>0</v>
      </c>
      <c r="V39" s="188">
        <f t="shared" si="9"/>
        <v>667</v>
      </c>
      <c r="W39" s="3">
        <v>120</v>
      </c>
      <c r="X39" s="3">
        <v>2157053.4443761725</v>
      </c>
      <c r="Y39" s="33">
        <v>547</v>
      </c>
      <c r="Z39" s="33">
        <v>2586286.1485785432</v>
      </c>
      <c r="AA39" s="33">
        <f t="shared" si="0"/>
        <v>4743339.5929547157</v>
      </c>
      <c r="AB39" s="128">
        <f t="shared" si="1"/>
        <v>365.54459725192379</v>
      </c>
      <c r="AC39" s="134">
        <v>0</v>
      </c>
      <c r="AD39" s="3">
        <v>0</v>
      </c>
      <c r="AE39" s="3">
        <v>100</v>
      </c>
      <c r="AF39" s="3">
        <v>12</v>
      </c>
      <c r="AG39" s="3">
        <f t="shared" si="10"/>
        <v>112</v>
      </c>
      <c r="AH39" s="3">
        <v>1555500</v>
      </c>
      <c r="AI39" s="43">
        <f t="shared" si="3"/>
        <v>119.87432269659043</v>
      </c>
      <c r="AJ39" s="142">
        <v>258.05000000000143</v>
      </c>
      <c r="AK39" s="3">
        <v>2554695.000000014</v>
      </c>
      <c r="AL39" s="39">
        <f t="shared" si="4"/>
        <v>196.87710242453727</v>
      </c>
      <c r="AM39" s="7"/>
    </row>
    <row r="40" spans="1:39" x14ac:dyDescent="0.25">
      <c r="A40" s="35"/>
      <c r="B40" s="58">
        <v>29</v>
      </c>
      <c r="C40" s="149">
        <v>9</v>
      </c>
      <c r="D40" s="151">
        <v>52</v>
      </c>
      <c r="E40" s="106">
        <v>10000</v>
      </c>
      <c r="F40" s="3">
        <v>10875690</v>
      </c>
      <c r="G40" s="37">
        <v>2080.0000000000409</v>
      </c>
      <c r="H40" s="3">
        <v>3393215.2800000673</v>
      </c>
      <c r="I40" s="103">
        <f t="shared" si="5"/>
        <v>14268905.280000068</v>
      </c>
      <c r="J40" s="106">
        <v>1160.000000000025</v>
      </c>
      <c r="K40" s="3">
        <v>1261580.0400000273</v>
      </c>
      <c r="L40" s="186">
        <v>299.99999999999716</v>
      </c>
      <c r="M40" s="187">
        <v>489406.04999999545</v>
      </c>
      <c r="N40" s="94">
        <f t="shared" si="6"/>
        <v>1750986.0900000227</v>
      </c>
      <c r="O40" s="108">
        <f t="shared" ref="O40:O41" si="11">N40+I40</f>
        <v>16019891.37000009</v>
      </c>
      <c r="P40" s="111">
        <f t="shared" ref="P40:P41" si="12">L40+J40+G40+E40</f>
        <v>13540.000000000064</v>
      </c>
      <c r="Q40" s="192"/>
      <c r="R40" s="207"/>
      <c r="S40" s="215"/>
      <c r="T40" s="212"/>
      <c r="U40" s="210">
        <v>0</v>
      </c>
      <c r="V40" s="188">
        <f t="shared" si="9"/>
        <v>697</v>
      </c>
      <c r="W40" s="3">
        <v>120</v>
      </c>
      <c r="X40" s="3">
        <v>2157053.4443761725</v>
      </c>
      <c r="Y40" s="33">
        <v>577</v>
      </c>
      <c r="Z40" s="33">
        <v>2728129.9958497616</v>
      </c>
      <c r="AA40" s="33">
        <f t="shared" ref="AA40:AA41" si="13">Z40+X40</f>
        <v>4885183.4402259346</v>
      </c>
      <c r="AB40" s="128">
        <f t="shared" si="1"/>
        <v>376.47576737105976</v>
      </c>
      <c r="AC40" s="134">
        <v>0</v>
      </c>
      <c r="AD40" s="3">
        <v>0</v>
      </c>
      <c r="AE40" s="3">
        <v>100</v>
      </c>
      <c r="AF40" s="3">
        <v>0</v>
      </c>
      <c r="AG40" s="3">
        <f t="shared" si="10"/>
        <v>100</v>
      </c>
      <c r="AH40" s="3">
        <v>1418000</v>
      </c>
      <c r="AI40" s="43">
        <f t="shared" si="3"/>
        <v>109.27791037207665</v>
      </c>
      <c r="AJ40" s="142">
        <v>335.34999999999707</v>
      </c>
      <c r="AK40" s="3">
        <v>3319964.9999999711</v>
      </c>
      <c r="AL40" s="39">
        <f t="shared" si="4"/>
        <v>255.85249485784786</v>
      </c>
      <c r="AM40" s="7"/>
    </row>
    <row r="41" spans="1:39" ht="17.25" customHeight="1" x14ac:dyDescent="0.25">
      <c r="A41" s="35"/>
      <c r="B41" s="58">
        <v>30</v>
      </c>
      <c r="C41" s="149">
        <v>11</v>
      </c>
      <c r="D41" s="151">
        <v>80</v>
      </c>
      <c r="E41" s="106">
        <v>10199.999999999818</v>
      </c>
      <c r="F41" s="3">
        <v>11093203.799999803</v>
      </c>
      <c r="G41" s="37">
        <v>2000</v>
      </c>
      <c r="H41" s="3">
        <v>3262707</v>
      </c>
      <c r="I41" s="103">
        <f t="shared" si="5"/>
        <v>14355910.799999803</v>
      </c>
      <c r="J41" s="106">
        <v>1239.9999999999523</v>
      </c>
      <c r="K41" s="3">
        <v>1348585.5599999481</v>
      </c>
      <c r="L41" s="186">
        <v>299.99999999999716</v>
      </c>
      <c r="M41" s="187">
        <v>489406.04999999545</v>
      </c>
      <c r="N41" s="94">
        <f t="shared" si="6"/>
        <v>1837991.6099999435</v>
      </c>
      <c r="O41" s="108">
        <f t="shared" si="11"/>
        <v>16193902.409999747</v>
      </c>
      <c r="P41" s="111">
        <f t="shared" si="12"/>
        <v>13739.999999999767</v>
      </c>
      <c r="Q41" s="191"/>
      <c r="R41" s="208"/>
      <c r="S41" s="215"/>
      <c r="T41" s="212"/>
      <c r="U41" s="210">
        <v>0</v>
      </c>
      <c r="V41" s="188">
        <f t="shared" si="9"/>
        <v>680</v>
      </c>
      <c r="W41" s="3">
        <v>124</v>
      </c>
      <c r="X41" s="3">
        <v>2228927.5925220447</v>
      </c>
      <c r="Y41" s="33">
        <v>556</v>
      </c>
      <c r="Z41" s="33">
        <v>2628839.3027599086</v>
      </c>
      <c r="AA41" s="33">
        <f t="shared" si="13"/>
        <v>4857766.8952819537</v>
      </c>
      <c r="AB41" s="128">
        <f t="shared" si="1"/>
        <v>374.36291635476891</v>
      </c>
      <c r="AC41" s="134">
        <v>0</v>
      </c>
      <c r="AD41" s="3">
        <v>0</v>
      </c>
      <c r="AE41" s="3">
        <v>100</v>
      </c>
      <c r="AF41" s="3">
        <v>12</v>
      </c>
      <c r="AG41" s="3">
        <f>+AE41+AF41</f>
        <v>112</v>
      </c>
      <c r="AH41" s="3">
        <v>1555500</v>
      </c>
      <c r="AI41" s="43">
        <f t="shared" si="3"/>
        <v>119.87432269659043</v>
      </c>
      <c r="AJ41" s="142">
        <v>313.38999999999794</v>
      </c>
      <c r="AK41" s="3">
        <v>3102560.9999999795</v>
      </c>
      <c r="AL41" s="39">
        <f t="shared" si="4"/>
        <v>239.09829540331327</v>
      </c>
      <c r="AM41" s="7"/>
    </row>
    <row r="42" spans="1:39" ht="16.5" thickBot="1" x14ac:dyDescent="0.3">
      <c r="A42" s="35"/>
      <c r="B42" s="122"/>
      <c r="C42" s="150"/>
      <c r="D42" s="152"/>
      <c r="E42" s="104"/>
      <c r="F42" s="104"/>
      <c r="G42" s="95"/>
      <c r="H42" s="96"/>
      <c r="I42" s="105"/>
      <c r="J42" s="107"/>
      <c r="K42" s="95"/>
      <c r="L42" s="96"/>
      <c r="M42" s="97"/>
      <c r="N42" s="98"/>
      <c r="O42" s="109"/>
      <c r="P42" s="112"/>
      <c r="Q42" s="177"/>
      <c r="R42" s="209"/>
      <c r="S42" s="216"/>
      <c r="T42" s="216"/>
      <c r="U42" s="211"/>
      <c r="V42" s="188"/>
      <c r="W42" s="3"/>
      <c r="X42" s="3"/>
      <c r="Y42" s="33"/>
      <c r="Z42" s="33"/>
      <c r="AA42" s="18"/>
      <c r="AB42" s="129"/>
      <c r="AC42" s="127"/>
      <c r="AD42" s="3"/>
      <c r="AE42" s="2"/>
      <c r="AF42" s="2"/>
      <c r="AG42" s="2"/>
      <c r="AH42" s="3"/>
      <c r="AI42" s="43"/>
      <c r="AJ42" s="142"/>
      <c r="AK42" s="3"/>
      <c r="AL42" s="39"/>
      <c r="AM42" s="7"/>
    </row>
    <row r="43" spans="1:39" s="8" customFormat="1" ht="4.5" customHeight="1" x14ac:dyDescent="0.25">
      <c r="A43" s="15"/>
      <c r="B43" s="117"/>
      <c r="C43" s="118"/>
      <c r="D43" s="118"/>
      <c r="E43" s="116"/>
      <c r="F43" s="7"/>
      <c r="G43" s="15"/>
      <c r="H43" s="7"/>
      <c r="I43" s="15"/>
      <c r="J43" s="15"/>
      <c r="K43" s="15"/>
      <c r="L43" s="7"/>
      <c r="M43" s="62"/>
      <c r="N43" s="66"/>
      <c r="O43" s="15"/>
      <c r="P43" s="66"/>
      <c r="Q43" s="15"/>
      <c r="R43" s="86"/>
      <c r="S43" s="7"/>
      <c r="T43" s="15"/>
      <c r="U43" s="34"/>
      <c r="V43" s="130"/>
      <c r="W43" s="15"/>
      <c r="X43" s="15"/>
      <c r="Y43" s="15"/>
      <c r="Z43" s="15"/>
      <c r="AA43" s="15"/>
      <c r="AB43" s="34"/>
      <c r="AC43" s="15"/>
      <c r="AD43" s="7"/>
      <c r="AE43" s="15"/>
      <c r="AF43" s="15"/>
      <c r="AG43" s="15"/>
      <c r="AH43" s="15"/>
      <c r="AI43" s="15"/>
      <c r="AJ43" s="86"/>
      <c r="AK43" s="15"/>
      <c r="AL43" s="34"/>
      <c r="AM43" s="15"/>
    </row>
    <row r="44" spans="1:39" s="8" customFormat="1" ht="6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16"/>
      <c r="T44" s="16"/>
      <c r="U44" s="34"/>
      <c r="V44" s="130"/>
      <c r="W44" s="15"/>
      <c r="X44" s="15"/>
      <c r="Y44" s="15"/>
      <c r="Z44" s="15"/>
      <c r="AA44" s="15"/>
      <c r="AB44" s="131"/>
      <c r="AC44" s="15"/>
      <c r="AD44" s="7"/>
      <c r="AE44" s="15"/>
      <c r="AF44" s="15"/>
      <c r="AG44" s="15"/>
      <c r="AH44" s="7"/>
      <c r="AI44" s="15"/>
      <c r="AJ44" s="88"/>
      <c r="AK44" s="5"/>
      <c r="AL44" s="40"/>
      <c r="AM44" s="15"/>
    </row>
    <row r="45" spans="1:39" s="8" customFormat="1" ht="16.5" thickBot="1" x14ac:dyDescent="0.3">
      <c r="A45" s="15"/>
      <c r="B45" s="119"/>
      <c r="C45" s="120"/>
      <c r="D45" s="120"/>
      <c r="E45" s="121"/>
      <c r="F45" s="72"/>
      <c r="G45" s="71"/>
      <c r="H45" s="72"/>
      <c r="I45" s="71"/>
      <c r="J45" s="71"/>
      <c r="K45" s="71"/>
      <c r="L45" s="72"/>
      <c r="M45" s="73"/>
      <c r="N45" s="74"/>
      <c r="O45" s="71"/>
      <c r="P45" s="74"/>
      <c r="Q45" s="71"/>
      <c r="R45" s="87"/>
      <c r="S45" s="75"/>
      <c r="T45" s="71"/>
      <c r="U45" s="189"/>
      <c r="V45" s="132"/>
      <c r="W45" s="77"/>
      <c r="X45" s="71"/>
      <c r="Y45" s="71"/>
      <c r="Z45" s="71"/>
      <c r="AA45" s="71"/>
      <c r="AB45" s="76"/>
      <c r="AC45" s="78"/>
      <c r="AD45" s="72"/>
      <c r="AE45" s="78"/>
      <c r="AF45" s="78"/>
      <c r="AG45" s="78"/>
      <c r="AH45" s="72"/>
      <c r="AI45" s="71"/>
      <c r="AJ45" s="143"/>
      <c r="AK45" s="79"/>
      <c r="AL45" s="80"/>
      <c r="AM45" s="15"/>
    </row>
    <row r="46" spans="1:39" ht="17.25" thickTop="1" thickBot="1" x14ac:dyDescent="0.3">
      <c r="A46" s="26"/>
      <c r="B46" s="69"/>
      <c r="C46" s="70">
        <f t="shared" ref="C46:P46" si="14">SUM(C12:C42)</f>
        <v>158</v>
      </c>
      <c r="D46" s="70">
        <f t="shared" si="14"/>
        <v>2137</v>
      </c>
      <c r="E46" s="70">
        <f t="shared" si="14"/>
        <v>299199.99999999977</v>
      </c>
      <c r="F46" s="70">
        <f t="shared" si="14"/>
        <v>325400644.79999983</v>
      </c>
      <c r="G46" s="70">
        <f t="shared" si="14"/>
        <v>59640</v>
      </c>
      <c r="H46" s="70">
        <f t="shared" si="14"/>
        <v>97293922.73999998</v>
      </c>
      <c r="I46" s="70">
        <f t="shared" si="14"/>
        <v>422694567.53999984</v>
      </c>
      <c r="J46" s="70">
        <f t="shared" si="14"/>
        <v>39539.999999999964</v>
      </c>
      <c r="K46" s="70">
        <f t="shared" si="14"/>
        <v>43002478.259999976</v>
      </c>
      <c r="L46" s="70">
        <f t="shared" si="14"/>
        <v>10420</v>
      </c>
      <c r="M46" s="70">
        <f t="shared" si="14"/>
        <v>16998703.470000003</v>
      </c>
      <c r="N46" s="70">
        <f t="shared" si="14"/>
        <v>60001181.729999974</v>
      </c>
      <c r="O46" s="70">
        <f t="shared" si="14"/>
        <v>482695749.26999968</v>
      </c>
      <c r="P46" s="82">
        <f t="shared" si="14"/>
        <v>408799.99999999977</v>
      </c>
      <c r="Q46" s="190">
        <f>+'Residence Electricity'!D26</f>
        <v>35318</v>
      </c>
      <c r="R46" s="123">
        <f>+'Residence Electricity'!D27</f>
        <v>59921967</v>
      </c>
      <c r="S46" s="115">
        <f>Q46+P46</f>
        <v>444117.99999999977</v>
      </c>
      <c r="T46" s="115">
        <f>R46+O46</f>
        <v>542617716.26999974</v>
      </c>
      <c r="U46" s="137">
        <f>T46/AL47</f>
        <v>41816.734954057792</v>
      </c>
      <c r="V46" s="178">
        <f t="shared" ref="V46:AA46" si="15">SUM(V12:V41)</f>
        <v>16515</v>
      </c>
      <c r="W46" s="52">
        <f t="shared" si="15"/>
        <v>3318</v>
      </c>
      <c r="X46" s="52">
        <f t="shared" si="15"/>
        <v>59643646.887001164</v>
      </c>
      <c r="Y46" s="52">
        <f t="shared" si="15"/>
        <v>13197</v>
      </c>
      <c r="Z46" s="52">
        <f t="shared" si="15"/>
        <v>62397108.414608829</v>
      </c>
      <c r="AA46" s="136">
        <f t="shared" si="15"/>
        <v>122040755.30160999</v>
      </c>
      <c r="AB46" s="124">
        <f>AA46/$AL$47</f>
        <v>9405.0484623341854</v>
      </c>
      <c r="AC46" s="44">
        <f>SUM(AC12:AC41)</f>
        <v>0</v>
      </c>
      <c r="AD46" s="138">
        <f>SUM(AD12:AD41)</f>
        <v>0</v>
      </c>
      <c r="AE46" s="44">
        <f>SUM(AE12:AE41)</f>
        <v>2400</v>
      </c>
      <c r="AF46" s="44">
        <f>SUM(AF12:AF41)</f>
        <v>228</v>
      </c>
      <c r="AG46" s="214">
        <f>SUM(AG12:AG41)</f>
        <v>2628</v>
      </c>
      <c r="AH46" s="146">
        <f>SUM(AH12:AH42)</f>
        <v>36644500</v>
      </c>
      <c r="AI46" s="147">
        <f>AH46/$AL$47</f>
        <v>2824.001683095601</v>
      </c>
      <c r="AJ46" s="213">
        <f>SUM(AJ12:AJ42)</f>
        <v>9001.4600000000155</v>
      </c>
      <c r="AK46" s="144">
        <f>SUM(AK12:AK42)</f>
        <v>89114454.000000209</v>
      </c>
      <c r="AL46" s="145">
        <f>AK46/AL47</f>
        <v>6867.5890811484978</v>
      </c>
      <c r="AM46" s="26"/>
    </row>
    <row r="47" spans="1:39" s="1" customFormat="1" x14ac:dyDescent="0.25">
      <c r="A47" s="26"/>
      <c r="B47" s="26"/>
      <c r="C47" s="5"/>
      <c r="D47" s="11"/>
      <c r="E47" s="5"/>
      <c r="F47" s="5"/>
      <c r="G47" s="11"/>
      <c r="H47" s="5"/>
      <c r="I47" s="9"/>
      <c r="J47" s="9"/>
      <c r="K47" s="9"/>
      <c r="L47" s="17"/>
      <c r="M47" s="63"/>
      <c r="N47" s="67"/>
      <c r="O47" s="10"/>
      <c r="P47" s="67"/>
      <c r="Q47" s="10"/>
      <c r="R47" s="114"/>
      <c r="S47" s="14"/>
      <c r="T47" s="81" t="s">
        <v>29</v>
      </c>
      <c r="U47" s="153">
        <f>U46/S46</f>
        <v>9.4156811824915476E-2</v>
      </c>
      <c r="V47" s="193" t="s">
        <v>52</v>
      </c>
      <c r="W47" s="11"/>
      <c r="X47" s="11"/>
      <c r="Y47" s="139"/>
      <c r="Z47" s="11"/>
      <c r="AA47" s="11"/>
      <c r="AB47" s="11"/>
      <c r="AC47" s="16"/>
      <c r="AD47" s="7"/>
      <c r="AE47" s="16"/>
      <c r="AF47" s="16"/>
      <c r="AG47" s="7"/>
      <c r="AH47" s="219"/>
      <c r="AI47" s="11"/>
      <c r="AJ47" s="88"/>
      <c r="AK47" s="11"/>
      <c r="AL47" s="148">
        <v>12976.09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220"/>
      <c r="U48" s="153"/>
      <c r="V48" s="193"/>
      <c r="W48" s="11"/>
      <c r="X48" s="218"/>
      <c r="Y48" s="139"/>
      <c r="Z48" s="218"/>
      <c r="AA48" s="11"/>
      <c r="AB48" s="11"/>
      <c r="AC48" s="16"/>
      <c r="AD48" s="7"/>
      <c r="AE48" s="16"/>
      <c r="AF48" s="16"/>
      <c r="AG48" s="7"/>
      <c r="AH48" s="219"/>
      <c r="AI48" s="11"/>
      <c r="AJ48" s="88"/>
      <c r="AK48" s="11"/>
      <c r="AL48" s="148"/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3"/>
      <c r="V49" s="193"/>
      <c r="W49" s="11"/>
      <c r="X49" s="11"/>
      <c r="Y49" s="139"/>
      <c r="Z49" s="218"/>
      <c r="AA49" s="11"/>
      <c r="AB49" s="11"/>
      <c r="AC49" s="16"/>
      <c r="AD49" s="7"/>
      <c r="AE49" s="16"/>
      <c r="AF49" s="16"/>
      <c r="AG49" s="7"/>
      <c r="AH49" s="219"/>
      <c r="AI49" s="11"/>
      <c r="AJ49" s="88"/>
      <c r="AK49" s="11"/>
      <c r="AL49" s="148"/>
      <c r="AM49" s="26"/>
    </row>
    <row r="50" spans="1:39" s="196" customFormat="1" x14ac:dyDescent="0.25">
      <c r="A50" s="194"/>
      <c r="B50" s="194"/>
      <c r="C50" s="195"/>
      <c r="E50" s="195"/>
      <c r="F50" s="195"/>
      <c r="H50" s="195"/>
      <c r="L50" s="195"/>
      <c r="M50" s="197"/>
      <c r="N50" s="198"/>
      <c r="P50" s="198"/>
      <c r="R50" s="199"/>
      <c r="T50" s="217"/>
      <c r="AD50" s="195"/>
      <c r="AH50" s="195"/>
      <c r="AJ50" s="199"/>
      <c r="AL50" s="200"/>
      <c r="AM50" s="194"/>
    </row>
    <row r="51" spans="1:39" s="196" customFormat="1" x14ac:dyDescent="0.25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AD51" s="195"/>
      <c r="AH51" s="195"/>
      <c r="AJ51" s="199"/>
      <c r="AL51" s="200"/>
      <c r="AM51" s="194"/>
    </row>
    <row r="52" spans="1:39" s="196" customFormat="1" x14ac:dyDescent="0.25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AD52" s="195"/>
      <c r="AH52" s="195"/>
      <c r="AJ52" s="199"/>
      <c r="AL52" s="200"/>
      <c r="AM52" s="194"/>
    </row>
    <row r="53" spans="1:39" s="196" customFormat="1" x14ac:dyDescent="0.25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AD53" s="195"/>
      <c r="AH53" s="195"/>
      <c r="AJ53" s="199"/>
      <c r="AL53" s="200"/>
      <c r="AM53" s="194"/>
    </row>
    <row r="54" spans="1:39" s="196" customFormat="1" x14ac:dyDescent="0.25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T54" s="217"/>
      <c r="AD54" s="195"/>
      <c r="AH54" s="195"/>
      <c r="AJ54" s="199"/>
      <c r="AL54" s="200"/>
      <c r="AM54" s="194"/>
    </row>
    <row r="55" spans="1:39" s="196" customFormat="1" x14ac:dyDescent="0.25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 x14ac:dyDescent="0.25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 x14ac:dyDescent="0.25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 x14ac:dyDescent="0.25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 x14ac:dyDescent="0.25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 x14ac:dyDescent="0.25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 x14ac:dyDescent="0.25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 x14ac:dyDescent="0.25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 x14ac:dyDescent="0.25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 x14ac:dyDescent="0.25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 x14ac:dyDescent="0.25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 x14ac:dyDescent="0.25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 x14ac:dyDescent="0.25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 x14ac:dyDescent="0.25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 x14ac:dyDescent="0.25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</sheetData>
  <mergeCells count="18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  <mergeCell ref="T9:U9"/>
    <mergeCell ref="AA9:AB9"/>
  </mergeCells>
  <hyperlinks>
    <hyperlink ref="Q31" location="'Residence Electricity'!A1" display="'Residence Electricity'!A1" xr:uid="{00000000-0004-0000-0100-000000000000}"/>
    <hyperlink ref="R31" location="'Residence Electricity'!A1" display="'Residence Electricity'!A1" xr:uid="{00000000-0004-0000-0100-000001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4" sqref="C24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70">
        <v>44440</v>
      </c>
      <c r="B2" s="271"/>
      <c r="C2" s="271"/>
    </row>
    <row r="3" spans="1:3" x14ac:dyDescent="0.25">
      <c r="A3" s="273" t="s">
        <v>1</v>
      </c>
      <c r="B3" s="272" t="s">
        <v>2</v>
      </c>
      <c r="C3" s="272" t="s">
        <v>3</v>
      </c>
    </row>
    <row r="4" spans="1:3" x14ac:dyDescent="0.25">
      <c r="A4" s="273"/>
      <c r="B4" s="272"/>
      <c r="C4" s="272"/>
    </row>
    <row r="5" spans="1:3" x14ac:dyDescent="0.25">
      <c r="A5" s="273"/>
      <c r="B5" s="272"/>
      <c r="C5" s="272"/>
    </row>
    <row r="6" spans="1:3" x14ac:dyDescent="0.25">
      <c r="A6" s="2">
        <v>1</v>
      </c>
      <c r="B6" s="2">
        <v>3</v>
      </c>
      <c r="C6" s="2">
        <v>48</v>
      </c>
    </row>
    <row r="7" spans="1:3" x14ac:dyDescent="0.25">
      <c r="A7" s="2">
        <v>2</v>
      </c>
      <c r="B7" s="2">
        <v>5</v>
      </c>
      <c r="C7" s="2">
        <v>43</v>
      </c>
    </row>
    <row r="8" spans="1:3" x14ac:dyDescent="0.25">
      <c r="A8" s="2">
        <f>A7+1</f>
        <v>3</v>
      </c>
      <c r="B8" s="2">
        <v>6</v>
      </c>
      <c r="C8" s="2">
        <v>84</v>
      </c>
    </row>
    <row r="9" spans="1:3" x14ac:dyDescent="0.25">
      <c r="A9" s="2">
        <f>A8+1</f>
        <v>4</v>
      </c>
      <c r="B9" s="2">
        <v>5</v>
      </c>
      <c r="C9" s="2">
        <v>67</v>
      </c>
    </row>
    <row r="10" spans="1:3" x14ac:dyDescent="0.25">
      <c r="A10" s="2">
        <f t="shared" ref="A10:A35" si="0">A9+1</f>
        <v>5</v>
      </c>
      <c r="B10" s="2">
        <v>5</v>
      </c>
      <c r="C10" s="2">
        <v>84</v>
      </c>
    </row>
    <row r="11" spans="1:3" x14ac:dyDescent="0.25">
      <c r="A11" s="2">
        <f t="shared" si="0"/>
        <v>6</v>
      </c>
      <c r="B11" s="2">
        <v>4</v>
      </c>
      <c r="C11" s="2">
        <v>65</v>
      </c>
    </row>
    <row r="12" spans="1:3" x14ac:dyDescent="0.25">
      <c r="A12" s="2">
        <f t="shared" si="0"/>
        <v>7</v>
      </c>
      <c r="B12" s="2">
        <v>4</v>
      </c>
      <c r="C12" s="2">
        <v>56</v>
      </c>
    </row>
    <row r="13" spans="1:3" x14ac:dyDescent="0.25">
      <c r="A13" s="2">
        <f t="shared" si="0"/>
        <v>8</v>
      </c>
      <c r="B13" s="2">
        <v>3</v>
      </c>
      <c r="C13" s="2">
        <v>58</v>
      </c>
    </row>
    <row r="14" spans="1:3" x14ac:dyDescent="0.25">
      <c r="A14" s="2">
        <f t="shared" si="0"/>
        <v>9</v>
      </c>
      <c r="B14" s="2">
        <v>2</v>
      </c>
      <c r="C14" s="2">
        <v>61</v>
      </c>
    </row>
    <row r="15" spans="1:3" x14ac:dyDescent="0.25">
      <c r="A15" s="2">
        <f t="shared" si="0"/>
        <v>10</v>
      </c>
      <c r="B15" s="2">
        <v>2</v>
      </c>
      <c r="C15" s="2">
        <v>88</v>
      </c>
    </row>
    <row r="16" spans="1:3" x14ac:dyDescent="0.25">
      <c r="A16" s="2">
        <f t="shared" si="0"/>
        <v>11</v>
      </c>
      <c r="B16" s="2">
        <v>1</v>
      </c>
      <c r="C16" s="2">
        <v>55</v>
      </c>
    </row>
    <row r="17" spans="1:3" x14ac:dyDescent="0.25">
      <c r="A17" s="2">
        <f t="shared" si="0"/>
        <v>12</v>
      </c>
      <c r="B17" s="2">
        <v>2</v>
      </c>
      <c r="C17" s="2">
        <v>63</v>
      </c>
    </row>
    <row r="18" spans="1:3" x14ac:dyDescent="0.25">
      <c r="A18" s="2">
        <f t="shared" si="0"/>
        <v>13</v>
      </c>
      <c r="B18" s="2">
        <v>1</v>
      </c>
      <c r="C18" s="2">
        <v>24</v>
      </c>
    </row>
    <row r="19" spans="1:3" x14ac:dyDescent="0.25">
      <c r="A19" s="2">
        <f t="shared" si="0"/>
        <v>14</v>
      </c>
      <c r="B19" s="2">
        <v>13</v>
      </c>
      <c r="C19" s="2">
        <v>50</v>
      </c>
    </row>
    <row r="20" spans="1:3" x14ac:dyDescent="0.25">
      <c r="A20" s="2">
        <f t="shared" si="0"/>
        <v>15</v>
      </c>
      <c r="B20" s="2">
        <v>7</v>
      </c>
      <c r="C20" s="2">
        <v>52</v>
      </c>
    </row>
    <row r="21" spans="1:3" x14ac:dyDescent="0.25">
      <c r="A21" s="2">
        <f t="shared" si="0"/>
        <v>16</v>
      </c>
      <c r="B21" s="2">
        <v>4</v>
      </c>
      <c r="C21" s="2">
        <v>36</v>
      </c>
    </row>
    <row r="22" spans="1:3" x14ac:dyDescent="0.25">
      <c r="A22" s="2">
        <f t="shared" si="0"/>
        <v>17</v>
      </c>
      <c r="B22" s="2">
        <v>5</v>
      </c>
      <c r="C22" s="2">
        <v>50</v>
      </c>
    </row>
    <row r="23" spans="1:3" x14ac:dyDescent="0.25">
      <c r="A23" s="2">
        <f t="shared" si="0"/>
        <v>18</v>
      </c>
      <c r="B23" s="2">
        <v>6</v>
      </c>
      <c r="C23" s="2">
        <v>102</v>
      </c>
    </row>
    <row r="24" spans="1:3" x14ac:dyDescent="0.25">
      <c r="A24" s="2">
        <f t="shared" si="0"/>
        <v>19</v>
      </c>
      <c r="B24" s="2">
        <v>3</v>
      </c>
      <c r="C24" s="2">
        <v>91</v>
      </c>
    </row>
    <row r="25" spans="1:3" x14ac:dyDescent="0.25">
      <c r="A25" s="2">
        <f t="shared" si="0"/>
        <v>20</v>
      </c>
      <c r="B25" s="2">
        <v>8</v>
      </c>
      <c r="C25" s="2">
        <v>42</v>
      </c>
    </row>
    <row r="26" spans="1:3" x14ac:dyDescent="0.25">
      <c r="A26" s="2">
        <f t="shared" si="0"/>
        <v>21</v>
      </c>
      <c r="B26" s="2">
        <v>9</v>
      </c>
      <c r="C26" s="2">
        <v>70</v>
      </c>
    </row>
    <row r="27" spans="1:3" x14ac:dyDescent="0.25">
      <c r="A27" s="2">
        <f t="shared" si="0"/>
        <v>22</v>
      </c>
      <c r="B27" s="2">
        <v>5</v>
      </c>
      <c r="C27" s="2">
        <v>93</v>
      </c>
    </row>
    <row r="28" spans="1:3" x14ac:dyDescent="0.25">
      <c r="A28" s="2">
        <f t="shared" si="0"/>
        <v>23</v>
      </c>
      <c r="B28" s="2">
        <v>3</v>
      </c>
      <c r="C28" s="2">
        <v>60</v>
      </c>
    </row>
    <row r="29" spans="1:3" x14ac:dyDescent="0.25">
      <c r="A29" s="2">
        <f t="shared" si="0"/>
        <v>24</v>
      </c>
      <c r="B29" s="2">
        <v>6</v>
      </c>
      <c r="C29" s="2">
        <v>131</v>
      </c>
    </row>
    <row r="30" spans="1:3" x14ac:dyDescent="0.25">
      <c r="A30" s="2">
        <f t="shared" si="0"/>
        <v>25</v>
      </c>
      <c r="B30" s="2">
        <v>8</v>
      </c>
      <c r="C30" s="2">
        <v>128</v>
      </c>
    </row>
    <row r="31" spans="1:3" x14ac:dyDescent="0.25">
      <c r="A31" s="2">
        <f t="shared" si="0"/>
        <v>26</v>
      </c>
      <c r="B31" s="2">
        <v>5</v>
      </c>
      <c r="C31" s="2">
        <v>117</v>
      </c>
    </row>
    <row r="32" spans="1:3" x14ac:dyDescent="0.25">
      <c r="A32" s="2">
        <f t="shared" si="0"/>
        <v>27</v>
      </c>
      <c r="B32" s="2">
        <v>6</v>
      </c>
      <c r="C32" s="2">
        <v>88</v>
      </c>
    </row>
    <row r="33" spans="1:3" x14ac:dyDescent="0.25">
      <c r="A33" s="2">
        <f t="shared" si="0"/>
        <v>28</v>
      </c>
      <c r="B33" s="2">
        <v>7</v>
      </c>
      <c r="C33" s="2">
        <v>99</v>
      </c>
    </row>
    <row r="34" spans="1:3" x14ac:dyDescent="0.25">
      <c r="A34" s="2">
        <f t="shared" si="0"/>
        <v>29</v>
      </c>
      <c r="B34" s="2">
        <v>9</v>
      </c>
      <c r="C34" s="2">
        <v>52</v>
      </c>
    </row>
    <row r="35" spans="1:3" x14ac:dyDescent="0.25">
      <c r="A35" s="2">
        <f t="shared" si="0"/>
        <v>30</v>
      </c>
      <c r="B35" s="2">
        <v>11</v>
      </c>
      <c r="C35" s="2">
        <v>80</v>
      </c>
    </row>
    <row r="37" spans="1:3" x14ac:dyDescent="0.25">
      <c r="B37" s="6">
        <f>SUM(B6:B35)</f>
        <v>158</v>
      </c>
      <c r="C37" s="6">
        <f>SUM(C6:C35)</f>
        <v>2137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D27"/>
  <sheetViews>
    <sheetView workbookViewId="0">
      <selection activeCell="D13" sqref="D13"/>
    </sheetView>
  </sheetViews>
  <sheetFormatPr defaultRowHeight="15" x14ac:dyDescent="0.25"/>
  <cols>
    <col min="2" max="2" width="14.7109375" bestFit="1" customWidth="1"/>
    <col min="3" max="3" width="30.140625" bestFit="1" customWidth="1"/>
    <col min="4" max="4" width="14.140625" bestFit="1" customWidth="1"/>
  </cols>
  <sheetData>
    <row r="6" spans="2:4" x14ac:dyDescent="0.25">
      <c r="B6" s="221" t="s">
        <v>54</v>
      </c>
      <c r="C6" s="2" t="s">
        <v>55</v>
      </c>
      <c r="D6" s="222">
        <v>2150</v>
      </c>
    </row>
    <row r="7" spans="2:4" x14ac:dyDescent="0.25">
      <c r="B7" s="221"/>
      <c r="C7" s="2" t="s">
        <v>56</v>
      </c>
      <c r="D7" s="223">
        <v>3261410</v>
      </c>
    </row>
    <row r="8" spans="2:4" x14ac:dyDescent="0.25">
      <c r="B8" s="224" t="s">
        <v>57</v>
      </c>
      <c r="C8" s="2" t="s">
        <v>58</v>
      </c>
      <c r="D8" s="222">
        <v>4933</v>
      </c>
    </row>
    <row r="9" spans="2:4" x14ac:dyDescent="0.25">
      <c r="B9" s="224"/>
      <c r="C9" s="2" t="s">
        <v>56</v>
      </c>
      <c r="D9" s="225">
        <v>8195711</v>
      </c>
    </row>
    <row r="10" spans="2:4" x14ac:dyDescent="0.25">
      <c r="B10" s="224" t="s">
        <v>59</v>
      </c>
      <c r="C10" s="2" t="s">
        <v>60</v>
      </c>
      <c r="D10" s="222">
        <v>1184</v>
      </c>
    </row>
    <row r="11" spans="2:4" x14ac:dyDescent="0.25">
      <c r="B11" s="224"/>
      <c r="C11" s="2" t="s">
        <v>56</v>
      </c>
      <c r="D11" s="225">
        <v>3522178</v>
      </c>
    </row>
    <row r="12" spans="2:4" x14ac:dyDescent="0.25">
      <c r="B12" s="224" t="s">
        <v>61</v>
      </c>
      <c r="C12" s="2" t="s">
        <v>62</v>
      </c>
      <c r="D12" s="222">
        <v>6706</v>
      </c>
    </row>
    <row r="13" spans="2:4" x14ac:dyDescent="0.25">
      <c r="B13" s="224"/>
      <c r="C13" s="2" t="s">
        <v>56</v>
      </c>
      <c r="D13" s="225">
        <v>11141382</v>
      </c>
    </row>
    <row r="14" spans="2:4" x14ac:dyDescent="0.25">
      <c r="B14" s="224" t="s">
        <v>63</v>
      </c>
      <c r="C14" s="2" t="s">
        <v>64</v>
      </c>
      <c r="D14" s="222">
        <v>3476</v>
      </c>
    </row>
    <row r="15" spans="2:4" x14ac:dyDescent="0.25">
      <c r="B15" s="224"/>
      <c r="C15" s="2" t="s">
        <v>56</v>
      </c>
      <c r="D15" s="225">
        <v>5775044</v>
      </c>
    </row>
    <row r="16" spans="2:4" x14ac:dyDescent="0.25">
      <c r="B16" s="224" t="s">
        <v>65</v>
      </c>
      <c r="C16" s="2" t="s">
        <v>66</v>
      </c>
      <c r="D16" s="222">
        <v>2604</v>
      </c>
    </row>
    <row r="17" spans="2:4" x14ac:dyDescent="0.25">
      <c r="B17" s="224"/>
      <c r="C17" s="2" t="s">
        <v>56</v>
      </c>
      <c r="D17" s="225">
        <v>4326299</v>
      </c>
    </row>
    <row r="18" spans="2:4" x14ac:dyDescent="0.25">
      <c r="B18" s="224" t="s">
        <v>67</v>
      </c>
      <c r="C18" s="2" t="s">
        <v>68</v>
      </c>
      <c r="D18" s="222">
        <v>2899</v>
      </c>
    </row>
    <row r="19" spans="2:4" x14ac:dyDescent="0.25">
      <c r="B19" s="224"/>
      <c r="C19" s="2" t="s">
        <v>56</v>
      </c>
      <c r="D19" s="225">
        <v>4816413</v>
      </c>
    </row>
    <row r="20" spans="2:4" x14ac:dyDescent="0.25">
      <c r="B20" s="224" t="s">
        <v>69</v>
      </c>
      <c r="C20" s="2" t="s">
        <v>70</v>
      </c>
      <c r="D20" s="222">
        <v>2502</v>
      </c>
    </row>
    <row r="21" spans="2:4" x14ac:dyDescent="0.25">
      <c r="B21" s="224"/>
      <c r="C21" s="2" t="s">
        <v>56</v>
      </c>
      <c r="D21" s="226">
        <v>4156835</v>
      </c>
    </row>
    <row r="22" spans="2:4" x14ac:dyDescent="0.25">
      <c r="B22" s="224" t="s">
        <v>71</v>
      </c>
      <c r="C22" s="2" t="s">
        <v>72</v>
      </c>
      <c r="D22" s="227">
        <v>6067</v>
      </c>
    </row>
    <row r="23" spans="2:4" x14ac:dyDescent="0.25">
      <c r="B23" s="224"/>
      <c r="C23" s="2" t="s">
        <v>56</v>
      </c>
      <c r="D23" s="226">
        <v>10079745</v>
      </c>
    </row>
    <row r="24" spans="2:4" x14ac:dyDescent="0.25">
      <c r="B24" s="224" t="s">
        <v>73</v>
      </c>
      <c r="C24" s="2" t="s">
        <v>74</v>
      </c>
      <c r="D24" s="227">
        <v>2797</v>
      </c>
    </row>
    <row r="25" spans="2:4" x14ac:dyDescent="0.25">
      <c r="B25" s="228"/>
      <c r="C25" s="2" t="s">
        <v>56</v>
      </c>
      <c r="D25" s="226">
        <v>4646950</v>
      </c>
    </row>
    <row r="26" spans="2:4" x14ac:dyDescent="0.25">
      <c r="B26" s="274" t="s">
        <v>75</v>
      </c>
      <c r="C26" s="275"/>
      <c r="D26" s="229">
        <f>+D6+D8+D10+D12+D14+D16+D18+D20+D22+D24</f>
        <v>35318</v>
      </c>
    </row>
    <row r="27" spans="2:4" x14ac:dyDescent="0.25">
      <c r="B27" s="274" t="s">
        <v>76</v>
      </c>
      <c r="C27" s="275"/>
      <c r="D27" s="230">
        <f>+D7+D9+D11+D13+D15+D17+D19+D21+D23+D25</f>
        <v>59921967</v>
      </c>
    </row>
  </sheetData>
  <mergeCells count="2">
    <mergeCell ref="B27:C27"/>
    <mergeCell ref="B26:C2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September 2021</vt:lpstr>
      <vt:lpstr>RNs &amp; Covers September 2021</vt:lpstr>
      <vt:lpstr>Residence Electricity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El Khoury</cp:lastModifiedBy>
  <cp:lastPrinted>2020-11-17T04:34:44Z</cp:lastPrinted>
  <dcterms:created xsi:type="dcterms:W3CDTF">2020-09-16T08:52:25Z</dcterms:created>
  <dcterms:modified xsi:type="dcterms:W3CDTF">2021-10-07T06:54:39Z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