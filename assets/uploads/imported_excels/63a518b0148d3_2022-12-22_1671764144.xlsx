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externalReferences>
    <externalReference r:id="rId11"/>
  </externalReference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C42" i="9" l="1"/>
  <c r="BB38" i="5" l="1"/>
  <c r="AS37" i="5" l="1"/>
  <c r="AQ37" i="5"/>
  <c r="AO37" i="5"/>
  <c r="AM37" i="5"/>
  <c r="AI37" i="5"/>
  <c r="AE37" i="5"/>
  <c r="AC37" i="5"/>
  <c r="AA37" i="5"/>
  <c r="Y37" i="5"/>
  <c r="W37" i="5"/>
  <c r="U37" i="5"/>
  <c r="S37" i="5"/>
  <c r="Q37" i="5"/>
  <c r="O37" i="5"/>
  <c r="M37" i="5"/>
  <c r="K37" i="5"/>
  <c r="I37" i="5"/>
  <c r="G37" i="5"/>
  <c r="C37" i="5"/>
  <c r="O35" i="4"/>
  <c r="K35" i="4"/>
  <c r="E35" i="4"/>
  <c r="C35" i="4"/>
  <c r="Z35" i="3"/>
  <c r="N35" i="3"/>
  <c r="L35" i="3"/>
  <c r="G35" i="3"/>
  <c r="E35" i="3"/>
  <c r="P17" i="5" l="1"/>
  <c r="P18" i="5"/>
  <c r="N17" i="5"/>
  <c r="E17" i="4"/>
  <c r="C17" i="4"/>
  <c r="AS36" i="5" l="1"/>
  <c r="AQ36" i="5"/>
  <c r="AO36" i="5"/>
  <c r="AM36" i="5"/>
  <c r="AI36" i="5"/>
  <c r="Y36" i="5"/>
  <c r="W36" i="5"/>
  <c r="U36" i="5"/>
  <c r="S36" i="5"/>
  <c r="Q36" i="5"/>
  <c r="O36" i="5"/>
  <c r="M36" i="5"/>
  <c r="K36" i="5"/>
  <c r="I36" i="5"/>
  <c r="G36" i="5"/>
  <c r="C36" i="5"/>
  <c r="AE36" i="5"/>
  <c r="AC36" i="5"/>
  <c r="AA36" i="5"/>
  <c r="O34" i="4"/>
  <c r="K34" i="4"/>
  <c r="E34" i="4"/>
  <c r="C34" i="4"/>
  <c r="Z34" i="3"/>
  <c r="N34" i="3"/>
  <c r="L34" i="3"/>
  <c r="G34" i="3"/>
  <c r="E34" i="3"/>
  <c r="Z33" i="3" l="1"/>
  <c r="N33" i="3"/>
  <c r="L33" i="3"/>
  <c r="G33" i="3"/>
  <c r="E33" i="3"/>
  <c r="O33" i="4"/>
  <c r="K33" i="4"/>
  <c r="E33" i="4"/>
  <c r="C33" i="4"/>
  <c r="AS35" i="5"/>
  <c r="AQ35" i="5"/>
  <c r="AO35" i="5"/>
  <c r="AM35" i="5"/>
  <c r="AI35" i="5"/>
  <c r="AE35" i="5"/>
  <c r="AC35" i="5"/>
  <c r="AA35" i="5"/>
  <c r="Y35" i="5"/>
  <c r="W35" i="5"/>
  <c r="U35" i="5"/>
  <c r="S35" i="5"/>
  <c r="Q35" i="5"/>
  <c r="O35" i="5"/>
  <c r="M35" i="5"/>
  <c r="L26" i="4" l="1"/>
  <c r="F31" i="3"/>
  <c r="F30" i="3"/>
  <c r="F29" i="3"/>
  <c r="F28" i="3"/>
  <c r="D31" i="3"/>
  <c r="D30" i="3"/>
  <c r="D29" i="3"/>
  <c r="D28" i="3"/>
  <c r="H19" i="4" l="1"/>
  <c r="G40" i="9" l="1"/>
  <c r="H40" i="9"/>
  <c r="BB36" i="5" l="1"/>
  <c r="BB35" i="5"/>
  <c r="BB34" i="5"/>
  <c r="BB33" i="5"/>
  <c r="BB32" i="5"/>
  <c r="BB31" i="5"/>
  <c r="BB30" i="5"/>
  <c r="BB29" i="5"/>
  <c r="BB28" i="5"/>
  <c r="BB27" i="5"/>
  <c r="H39" i="9" l="1"/>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X13" i="5" l="1"/>
  <c r="P8" i="4" l="1"/>
  <c r="L8" i="4"/>
  <c r="M8" i="4" s="1"/>
  <c r="J8" i="4"/>
  <c r="H8" i="4"/>
  <c r="O27" i="3"/>
  <c r="P2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N8" i="4" l="1"/>
  <c r="U38" i="3"/>
  <c r="AR23" i="5" l="1"/>
  <c r="AR22" i="5"/>
  <c r="AI38" i="3" l="1"/>
  <c r="AG38" i="3"/>
  <c r="AE38" i="3"/>
  <c r="AC38" i="3"/>
  <c r="AA38" i="3"/>
  <c r="X38" i="3"/>
  <c r="Y38" i="3" s="1"/>
  <c r="V38" i="3"/>
  <c r="R38" i="3"/>
  <c r="S38" i="3" s="1"/>
  <c r="O38" i="3"/>
  <c r="P38" i="3" s="1"/>
  <c r="M38" i="3"/>
  <c r="K38" i="3"/>
  <c r="H38" i="3"/>
  <c r="I38" i="3" s="1"/>
  <c r="F38" i="3"/>
  <c r="D38" i="3"/>
  <c r="P37" i="4"/>
  <c r="L37" i="4"/>
  <c r="M37" i="4" s="1"/>
  <c r="J37" i="4"/>
  <c r="H37" i="4"/>
  <c r="F37" i="4"/>
  <c r="R37" i="4" s="1"/>
  <c r="D37" i="4"/>
  <c r="N37" i="4" l="1"/>
  <c r="S37" i="4" s="1"/>
  <c r="AL38" i="3"/>
  <c r="AK38" i="3"/>
  <c r="E33" i="8" s="1"/>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D39" i="5"/>
  <c r="F39" i="5" s="1"/>
  <c r="E39" i="5" l="1"/>
  <c r="BH39" i="5" s="1"/>
  <c r="BI39" i="5"/>
  <c r="H34" i="5"/>
  <c r="N26" i="5" l="1"/>
  <c r="J26" i="5"/>
  <c r="AN9" i="5" l="1"/>
  <c r="AP9" i="5"/>
  <c r="AN10" i="5"/>
  <c r="AP10" i="5"/>
  <c r="AN11" i="5"/>
  <c r="AP11" i="5"/>
  <c r="AN12" i="5"/>
  <c r="AP12" i="5"/>
  <c r="AN13" i="5"/>
  <c r="AP13" i="5"/>
  <c r="AN14" i="5"/>
  <c r="AP14" i="5"/>
  <c r="AN15" i="5"/>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AE29" i="3" l="1"/>
  <c r="AE18" i="3" l="1"/>
  <c r="AI8" i="3" l="1"/>
  <c r="AG8" i="3"/>
  <c r="AE8" i="3"/>
  <c r="AC8" i="3"/>
  <c r="AA8" i="3"/>
  <c r="X8" i="3"/>
  <c r="U8" i="3"/>
  <c r="R8" i="3"/>
  <c r="O8" i="3"/>
  <c r="M8" i="3"/>
  <c r="K8" i="3"/>
  <c r="H8" i="3"/>
  <c r="F8" i="3"/>
  <c r="D8" i="3"/>
  <c r="BB22" i="5" l="1"/>
  <c r="H37" i="5" l="1"/>
  <c r="L37" i="5"/>
  <c r="R37" i="5"/>
  <c r="T37" i="5"/>
  <c r="X37" i="5"/>
  <c r="AB37" i="5"/>
  <c r="AF37" i="5"/>
  <c r="AR37" i="5"/>
  <c r="AT37" i="5"/>
  <c r="AJ37" i="5"/>
  <c r="BD37" i="5"/>
  <c r="BF37" i="5"/>
  <c r="AL37" i="5"/>
  <c r="AX37" i="5"/>
  <c r="AV37" i="5"/>
  <c r="AH37" i="5"/>
  <c r="AD37" i="5"/>
  <c r="Z37" i="5"/>
  <c r="V37" i="5"/>
  <c r="P37" i="5"/>
  <c r="N37" i="5"/>
  <c r="J37" i="5"/>
  <c r="D37" i="5"/>
  <c r="F37" i="5" s="1"/>
  <c r="E37" i="5" l="1"/>
  <c r="V18" i="5" l="1"/>
  <c r="H11" i="3"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R27" i="3"/>
  <c r="S27" i="3" s="1"/>
  <c r="U27" i="3"/>
  <c r="V27" i="3" s="1"/>
  <c r="X27" i="3"/>
  <c r="Y27" i="3" s="1"/>
  <c r="AA27" i="3"/>
  <c r="AC27" i="3"/>
  <c r="AE27" i="3"/>
  <c r="AG27" i="3"/>
  <c r="AI27" i="3"/>
  <c r="H28" i="3"/>
  <c r="I28" i="3" s="1"/>
  <c r="K28" i="3"/>
  <c r="M28" i="3"/>
  <c r="O28" i="3"/>
  <c r="P28" i="3" s="1"/>
  <c r="R28" i="3"/>
  <c r="S28" i="3" s="1"/>
  <c r="U28" i="3"/>
  <c r="V28" i="3" s="1"/>
  <c r="X28" i="3"/>
  <c r="Y28" i="3" s="1"/>
  <c r="AA28" i="3"/>
  <c r="AC28" i="3"/>
  <c r="AE28" i="3"/>
  <c r="AG28" i="3"/>
  <c r="AI28" i="3"/>
  <c r="H29" i="3"/>
  <c r="I29" i="3" s="1"/>
  <c r="K29" i="3"/>
  <c r="M29" i="3"/>
  <c r="O29" i="3"/>
  <c r="P29" i="3" s="1"/>
  <c r="R29" i="3"/>
  <c r="S29" i="3" s="1"/>
  <c r="U29" i="3"/>
  <c r="V29" i="3" s="1"/>
  <c r="X29" i="3"/>
  <c r="Y29" i="3" s="1"/>
  <c r="AA29" i="3"/>
  <c r="AC29" i="3"/>
  <c r="AG29" i="3"/>
  <c r="AI29" i="3"/>
  <c r="H30" i="3"/>
  <c r="I30" i="3" s="1"/>
  <c r="K30" i="3"/>
  <c r="M30" i="3"/>
  <c r="O30" i="3"/>
  <c r="P30" i="3" s="1"/>
  <c r="R30" i="3"/>
  <c r="S30" i="3" s="1"/>
  <c r="U30" i="3"/>
  <c r="V30" i="3" s="1"/>
  <c r="X30" i="3"/>
  <c r="Y30" i="3" s="1"/>
  <c r="AA30" i="3"/>
  <c r="AC30" i="3"/>
  <c r="AE30" i="3"/>
  <c r="AG30" i="3"/>
  <c r="AI30"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AL38" i="5"/>
  <c r="AJ38" i="5"/>
  <c r="AX38" i="5"/>
  <c r="AT38" i="5"/>
  <c r="AV38" i="5"/>
  <c r="AR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P34" i="4" l="1"/>
  <c r="P33" i="4"/>
  <c r="P32" i="4"/>
  <c r="P31" i="4"/>
  <c r="P30" i="4"/>
  <c r="P29" i="4"/>
  <c r="P28" i="4"/>
  <c r="P27" i="4"/>
  <c r="P26" i="4"/>
  <c r="P25" i="4"/>
  <c r="P24" i="4"/>
  <c r="P23" i="4"/>
  <c r="P22" i="4"/>
  <c r="P19" i="4"/>
  <c r="P18" i="4"/>
  <c r="P17" i="4"/>
  <c r="P16" i="4"/>
  <c r="P15" i="4"/>
  <c r="P14" i="4"/>
  <c r="P13" i="4"/>
  <c r="P12" i="4"/>
  <c r="P11" i="4"/>
  <c r="P10" i="4"/>
  <c r="P9" i="4"/>
  <c r="P7" i="4"/>
  <c r="L34" i="4"/>
  <c r="L33" i="4"/>
  <c r="L32" i="4"/>
  <c r="L31" i="4"/>
  <c r="L30" i="4"/>
  <c r="L29" i="4"/>
  <c r="L28" i="4"/>
  <c r="L27" i="4"/>
  <c r="L25" i="4"/>
  <c r="L24" i="4"/>
  <c r="L23" i="4"/>
  <c r="L22" i="4"/>
  <c r="L19" i="4"/>
  <c r="L18" i="4"/>
  <c r="L17" i="4"/>
  <c r="L16" i="4"/>
  <c r="L15" i="4"/>
  <c r="L14" i="4"/>
  <c r="L13" i="4"/>
  <c r="L12" i="4"/>
  <c r="L11" i="4"/>
  <c r="L10" i="4"/>
  <c r="L9" i="4"/>
  <c r="L7" i="4"/>
  <c r="J34" i="4"/>
  <c r="J33" i="4"/>
  <c r="J32" i="4"/>
  <c r="J31" i="4"/>
  <c r="J30" i="4"/>
  <c r="J29" i="4"/>
  <c r="J28" i="4"/>
  <c r="J27" i="4"/>
  <c r="J26" i="4"/>
  <c r="J25" i="4"/>
  <c r="J24" i="4"/>
  <c r="J23" i="4"/>
  <c r="J22" i="4"/>
  <c r="J21" i="4"/>
  <c r="J20" i="4"/>
  <c r="J19" i="4"/>
  <c r="J18" i="4"/>
  <c r="J17" i="4"/>
  <c r="J16" i="4"/>
  <c r="J15" i="4"/>
  <c r="J14" i="4"/>
  <c r="J13" i="4"/>
  <c r="J12" i="4"/>
  <c r="J11" i="4"/>
  <c r="J10" i="4"/>
  <c r="J9" i="4"/>
  <c r="J7" i="4"/>
  <c r="H34" i="4"/>
  <c r="H33" i="4"/>
  <c r="H32" i="4"/>
  <c r="H31" i="4"/>
  <c r="H30" i="4"/>
  <c r="H29" i="4"/>
  <c r="H28" i="4"/>
  <c r="H27" i="4"/>
  <c r="H26" i="4"/>
  <c r="H25" i="4"/>
  <c r="H24" i="4"/>
  <c r="H23" i="4"/>
  <c r="H22" i="4"/>
  <c r="H21" i="4"/>
  <c r="H20" i="4"/>
  <c r="H18" i="4"/>
  <c r="H17" i="4"/>
  <c r="H16" i="4"/>
  <c r="H15" i="4"/>
  <c r="H14" i="4"/>
  <c r="H13" i="4"/>
  <c r="H12" i="4"/>
  <c r="H11" i="4"/>
  <c r="H10" i="4"/>
  <c r="H9"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5" i="5"/>
  <c r="N24" i="5"/>
  <c r="N23" i="5"/>
  <c r="N22" i="5"/>
  <c r="N21" i="5"/>
  <c r="N20" i="5"/>
  <c r="N19" i="5"/>
  <c r="N18"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7" i="4"/>
  <c r="N22" i="4" l="1"/>
  <c r="S22" i="4" s="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E16" i="1"/>
  <c r="E17" i="8"/>
  <c r="E7" i="1"/>
  <c r="E8" i="8"/>
  <c r="E5" i="1"/>
  <c r="E6" i="8"/>
  <c r="E29" i="1"/>
  <c r="E30" i="8"/>
  <c r="G30" i="8" s="1"/>
  <c r="E29" i="10" s="1"/>
  <c r="E6" i="1"/>
  <c r="E7" i="8"/>
  <c r="E8" i="1"/>
  <c r="E9" i="8"/>
  <c r="E27" i="1"/>
  <c r="E28" i="8"/>
  <c r="G28" i="8" s="1"/>
  <c r="E27" i="10" s="1"/>
  <c r="E2" i="6"/>
  <c r="E2" i="1"/>
  <c r="E3" i="8"/>
  <c r="AR33" i="5"/>
  <c r="BI33" i="5" s="1"/>
  <c r="AR34" i="5"/>
  <c r="BI34" i="5" s="1"/>
  <c r="G15" i="8" l="1"/>
  <c r="E14" i="10" s="1"/>
  <c r="G11" i="8"/>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G30" i="6"/>
  <c r="AR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R17" i="5" l="1"/>
  <c r="BI17" i="5" s="1"/>
  <c r="G10" i="6" s="1"/>
  <c r="AR18" i="5"/>
  <c r="BI18" i="5" s="1"/>
  <c r="G11" i="6" s="1"/>
  <c r="AR19" i="5" l="1"/>
  <c r="BI19" i="5" s="1"/>
  <c r="M13" i="8" s="1"/>
  <c r="G12" i="10" s="1"/>
  <c r="AR20" i="5"/>
  <c r="BI20" i="5" s="1"/>
  <c r="M12" i="8"/>
  <c r="G11" i="10" s="1"/>
  <c r="M11" i="8"/>
  <c r="G10" i="10" s="1"/>
  <c r="G12" i="6" l="1"/>
  <c r="AR21" i="5"/>
  <c r="BI21" i="5" s="1"/>
  <c r="M14" i="8"/>
  <c r="G13" i="10" s="1"/>
  <c r="G13" i="6"/>
  <c r="BI23" i="5" l="1"/>
  <c r="BI22" i="5"/>
  <c r="G14" i="6"/>
  <c r="M15" i="8"/>
  <c r="G14" i="10" s="1"/>
  <c r="G15" i="6" l="1"/>
  <c r="M16" i="8"/>
  <c r="G15" i="10" s="1"/>
  <c r="G16" i="6"/>
  <c r="M17" i="8"/>
  <c r="G16" i="10" s="1"/>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<sst xmlns="http://schemas.openxmlformats.org/spreadsheetml/2006/main" count="1421" uniqueCount="404">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</sst>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25" fillId="0" borderId="31" xfId="2" applyNumberFormat="1" applyFont="1" applyFill="1" applyBorder="1" applyAlignment="1" applyProtection="1">
      <alignment horizontal="center"/>
      <protection locked="0"/>
    </xf>
    <xf numFmtId="0" fontId="0" fillId="0" borderId="32" xfId="0" applyBorder="1" applyAlignment="1" applyProtection="1">
      <alignment horizontal="center"/>
      <protection locked="0"/>
    </xf>
    <xf numFmtId="0" fontId="16" fillId="0" borderId="2" xfId="0" applyFont="1" applyBorder="1" applyAlignment="1" applyProtection="1">
      <alignment horizontal="center" vertical="center" wrapText="1"/>
      <protection locked="0"/>
    </xf>
    <xf numFmtId="0" fontId="23" fillId="0" borderId="2" xfId="0" applyNumberFormat="1" applyFont="1" applyBorder="1" applyAlignment="1" applyProtection="1">
      <alignment horizontal="center" vertical="center"/>
      <protection locked="0"/>
    </xf>
    <xf numFmtId="1" fontId="16" fillId="0" borderId="2" xfId="0" applyNumberFormat="1" applyFont="1" applyBorder="1" applyAlignment="1" applyProtection="1">
      <alignment horizontal="center" vertical="center"/>
      <protection locked="0"/>
    </xf>
    <xf numFmtId="0" fontId="7" fillId="4" borderId="2" xfId="0" applyFont="1" applyFill="1" applyBorder="1" applyAlignment="1">
      <alignment horizontal="center" vertical="center"/>
    </xf>
    <xf numFmtId="1" fontId="7" fillId="4" borderId="2" xfId="0" applyNumberFormat="1" applyFont="1" applyFill="1" applyBorder="1" applyAlignment="1">
      <alignment horizontal="center" vertical="center"/>
    </xf>
    <xf numFmtId="1" fontId="24" fillId="4" borderId="2" xfId="0" applyNumberFormat="1" applyFont="1" applyFill="1" applyBorder="1" applyAlignment="1">
      <alignment horizontal="center" vertical="center"/>
    </xf>
    <xf numFmtId="1" fontId="7" fillId="4" borderId="8" xfId="0" applyNumberFormat="1" applyFont="1" applyFill="1" applyBorder="1" applyAlignment="1">
      <alignment horizontal="center" vertical="center"/>
    </xf>
    <xf numFmtId="0" fontId="16" fillId="0" borderId="0" xfId="0" applyFont="1" applyFill="1" applyBorder="1" applyAlignment="1" applyProtection="1">
      <alignment horizontal="center" vertical="center"/>
      <protection locked="0"/>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gineering/Energy%20Meter%20Record%20-%20Daily/Comp%20Folder/Energy%20Meter%20Daily%20Record%20List/Energy%20Meter%20Daily%20Record%20List%20-%202021/Energy%20Meter%20Daily%20Record%20List%20-%20December%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 Water Consumption"/>
      <sheetName val="Consumption - Water"/>
      <sheetName val="Data - Electricity"/>
      <sheetName val="Data - Town Gas"/>
      <sheetName val="Consumption - Electricity"/>
      <sheetName val="Consumption - Town Gas"/>
      <sheetName val="Water"/>
      <sheetName val="Electricity"/>
      <sheetName val="Town Gas"/>
    </sheetNames>
    <sheetDataSet>
      <sheetData sheetId="0"/>
      <sheetData sheetId="1"/>
      <sheetData sheetId="2"/>
      <sheetData sheetId="3"/>
      <sheetData sheetId="4"/>
      <sheetData sheetId="5"/>
      <sheetData sheetId="6">
        <row r="36">
          <cell r="C36">
            <v>57858</v>
          </cell>
          <cell r="D36">
            <v>37643</v>
          </cell>
          <cell r="F36">
            <v>18295</v>
          </cell>
          <cell r="G36">
            <v>5785</v>
          </cell>
        </row>
        <row r="37">
          <cell r="C37">
            <v>58209</v>
          </cell>
          <cell r="D37">
            <v>37775</v>
          </cell>
          <cell r="F37">
            <v>18413</v>
          </cell>
          <cell r="G37">
            <v>5972</v>
          </cell>
        </row>
        <row r="38">
          <cell r="C38">
            <v>58510</v>
          </cell>
          <cell r="D38">
            <v>38418</v>
          </cell>
          <cell r="F38">
            <v>18531</v>
          </cell>
          <cell r="G38">
            <v>6147</v>
          </cell>
        </row>
      </sheetData>
      <sheetData sheetId="7">
        <row r="35">
          <cell r="C35">
            <v>55883</v>
          </cell>
          <cell r="I35">
            <v>84201</v>
          </cell>
          <cell r="J35">
            <v>157971</v>
          </cell>
          <cell r="O35">
            <v>328330</v>
          </cell>
          <cell r="Q35">
            <v>465573</v>
          </cell>
        </row>
        <row r="36">
          <cell r="C36">
            <v>55998</v>
          </cell>
          <cell r="I36">
            <v>84470</v>
          </cell>
          <cell r="J36">
            <v>158783</v>
          </cell>
          <cell r="O36">
            <v>329038</v>
          </cell>
          <cell r="Q36">
            <v>466534</v>
          </cell>
        </row>
        <row r="37">
          <cell r="C37">
            <v>56111</v>
          </cell>
          <cell r="I37">
            <v>84734</v>
          </cell>
          <cell r="J37">
            <v>159631</v>
          </cell>
          <cell r="O37">
            <v>329745</v>
          </cell>
          <cell r="Q37">
            <v>467540</v>
          </cell>
        </row>
      </sheetData>
      <sheetData sheetId="8">
        <row r="36">
          <cell r="G36">
            <v>25127</v>
          </cell>
          <cell r="H36">
            <v>307673</v>
          </cell>
          <cell r="I36">
            <v>467595</v>
          </cell>
          <cell r="J36">
            <v>748122</v>
          </cell>
          <cell r="K36">
            <v>4067.0920000000001</v>
          </cell>
          <cell r="L36">
            <v>84065</v>
          </cell>
          <cell r="M36">
            <v>1515129</v>
          </cell>
          <cell r="N36">
            <v>13707</v>
          </cell>
          <cell r="O36">
            <v>480449</v>
          </cell>
          <cell r="P36">
            <v>553326</v>
          </cell>
          <cell r="S36">
            <v>592800</v>
          </cell>
          <cell r="T36">
            <v>968209</v>
          </cell>
          <cell r="U36">
            <v>86833</v>
          </cell>
          <cell r="V36">
            <v>2404</v>
          </cell>
          <cell r="Y36">
            <v>431798</v>
          </cell>
        </row>
        <row r="37">
          <cell r="C37">
            <v>6555278</v>
          </cell>
          <cell r="D37">
            <v>290880</v>
          </cell>
          <cell r="E37">
            <v>162502</v>
          </cell>
          <cell r="F37">
            <v>266878</v>
          </cell>
          <cell r="G37">
            <v>25134</v>
          </cell>
          <cell r="H37">
            <v>307784</v>
          </cell>
          <cell r="I37">
            <v>467673</v>
          </cell>
          <cell r="J37">
            <v>748247</v>
          </cell>
          <cell r="K37">
            <v>4088.7550000000001</v>
          </cell>
          <cell r="L37">
            <v>84069</v>
          </cell>
          <cell r="M37">
            <v>1515456</v>
          </cell>
          <cell r="N37">
            <v>13737</v>
          </cell>
          <cell r="O37">
            <v>480565</v>
          </cell>
          <cell r="P37">
            <v>553424</v>
          </cell>
          <cell r="S37">
            <v>592850</v>
          </cell>
          <cell r="T37">
            <v>968361</v>
          </cell>
          <cell r="U37">
            <v>87066</v>
          </cell>
          <cell r="V37">
            <v>2410</v>
          </cell>
          <cell r="Y37">
            <v>431894</v>
          </cell>
        </row>
        <row r="38">
          <cell r="C38">
            <v>6559450</v>
          </cell>
          <cell r="D38">
            <v>290938</v>
          </cell>
          <cell r="E38">
            <v>162678</v>
          </cell>
          <cell r="F38">
            <v>266968</v>
          </cell>
          <cell r="G38">
            <v>25143</v>
          </cell>
          <cell r="H38">
            <v>308065</v>
          </cell>
          <cell r="I38">
            <v>467746</v>
          </cell>
          <cell r="J38">
            <v>748363</v>
          </cell>
          <cell r="K38">
            <v>4107.0110000000004</v>
          </cell>
          <cell r="L38">
            <v>84084</v>
          </cell>
          <cell r="M38">
            <v>1515775</v>
          </cell>
          <cell r="N38">
            <v>13772</v>
          </cell>
          <cell r="O38">
            <v>480673</v>
          </cell>
          <cell r="P38">
            <v>553502</v>
          </cell>
          <cell r="S38">
            <v>592874</v>
          </cell>
          <cell r="T38">
            <v>968469</v>
          </cell>
          <cell r="U38">
            <v>87288</v>
          </cell>
          <cell r="V38">
            <v>2419</v>
          </cell>
          <cell r="Y38">
            <v>431990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8" sqref="G2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4" t="s">
        <v>3</v>
      </c>
      <c r="B1" s="174" t="s">
        <v>4</v>
      </c>
      <c r="C1" s="175" t="s">
        <v>5</v>
      </c>
      <c r="D1" s="174" t="s">
        <v>64</v>
      </c>
      <c r="E1" s="176" t="s">
        <v>395</v>
      </c>
      <c r="F1" s="177" t="s">
        <v>396</v>
      </c>
      <c r="G1" s="176" t="s">
        <v>402</v>
      </c>
      <c r="H1" s="177" t="s">
        <v>397</v>
      </c>
      <c r="I1" s="176" t="s">
        <v>398</v>
      </c>
      <c r="J1" s="178" t="s">
        <v>399</v>
      </c>
      <c r="K1" s="176" t="s">
        <v>400</v>
      </c>
      <c r="L1" s="176" t="s">
        <v>63</v>
      </c>
    </row>
    <row r="2" spans="1:12">
      <c r="A2" s="179" t="s">
        <v>401</v>
      </c>
      <c r="B2" s="180">
        <v>1</v>
      </c>
      <c r="C2" s="181">
        <v>12</v>
      </c>
      <c r="D2" s="180">
        <v>2021</v>
      </c>
      <c r="E2" s="117">
        <f>Combine!G3</f>
        <v>41375</v>
      </c>
      <c r="F2" s="182">
        <v>1.32</v>
      </c>
      <c r="G2" s="117">
        <f>Combine!M3</f>
        <v>5315.9446775446768</v>
      </c>
      <c r="H2" s="183">
        <v>9.1111000000000004</v>
      </c>
      <c r="I2" s="117">
        <f>Combine!J3</f>
        <v>658.65</v>
      </c>
      <c r="J2" s="182">
        <v>8.3788999999999998</v>
      </c>
      <c r="K2" s="117">
        <f>Combine!N3</f>
        <v>460</v>
      </c>
      <c r="L2" s="117">
        <f>Combine!O3</f>
        <v>1027</v>
      </c>
    </row>
    <row r="3" spans="1:12">
      <c r="A3" s="179" t="s">
        <v>401</v>
      </c>
      <c r="B3" s="180">
        <v>2</v>
      </c>
      <c r="C3" s="181">
        <v>12</v>
      </c>
      <c r="D3" s="180">
        <v>2021</v>
      </c>
      <c r="E3" s="117">
        <f>Combine!G4</f>
        <v>37059</v>
      </c>
      <c r="F3" s="182">
        <v>1.32</v>
      </c>
      <c r="G3" s="117">
        <f>Combine!M4</f>
        <v>6560.942346542347</v>
      </c>
      <c r="H3" s="183">
        <v>9.1111000000000004</v>
      </c>
      <c r="I3" s="117">
        <f>Combine!J4</f>
        <v>687.6</v>
      </c>
      <c r="J3" s="182">
        <v>8.3788999999999998</v>
      </c>
      <c r="K3" s="117">
        <f>Combine!N4</f>
        <v>474</v>
      </c>
      <c r="L3" s="117">
        <f>Combine!O4</f>
        <v>1057</v>
      </c>
    </row>
    <row r="4" spans="1:12">
      <c r="A4" s="179" t="s">
        <v>401</v>
      </c>
      <c r="B4" s="180">
        <v>3</v>
      </c>
      <c r="C4" s="181">
        <v>12</v>
      </c>
      <c r="D4" s="180">
        <v>2021</v>
      </c>
      <c r="E4" s="117">
        <f>Combine!G5</f>
        <v>41582</v>
      </c>
      <c r="F4" s="182">
        <v>1.32</v>
      </c>
      <c r="G4" s="117">
        <f>Combine!M5</f>
        <v>6607.9813519813524</v>
      </c>
      <c r="H4" s="183">
        <v>9.1111000000000004</v>
      </c>
      <c r="I4" s="117">
        <f>Combine!J5</f>
        <v>693.05</v>
      </c>
      <c r="J4" s="182">
        <v>8.3788999999999998</v>
      </c>
      <c r="K4" s="117">
        <f>Combine!N5</f>
        <v>517</v>
      </c>
      <c r="L4" s="117">
        <f>Combine!O5</f>
        <v>1160</v>
      </c>
    </row>
    <row r="5" spans="1:12">
      <c r="A5" s="179" t="s">
        <v>401</v>
      </c>
      <c r="B5" s="180">
        <v>4</v>
      </c>
      <c r="C5" s="181">
        <v>12</v>
      </c>
      <c r="D5" s="180">
        <v>2021</v>
      </c>
      <c r="E5" s="117">
        <f>Combine!G6</f>
        <v>41359</v>
      </c>
      <c r="F5" s="182">
        <v>1.32</v>
      </c>
      <c r="G5" s="117">
        <f>Combine!M6</f>
        <v>6129.2469308469308</v>
      </c>
      <c r="H5" s="183">
        <v>9.1111000000000004</v>
      </c>
      <c r="I5" s="117">
        <f>Combine!J6</f>
        <v>779.8</v>
      </c>
      <c r="J5" s="182">
        <v>8.3788999999999998</v>
      </c>
      <c r="K5" s="117">
        <f>Combine!N6</f>
        <v>530</v>
      </c>
      <c r="L5" s="117">
        <f>Combine!O6</f>
        <v>1207</v>
      </c>
    </row>
    <row r="6" spans="1:12">
      <c r="A6" s="179" t="s">
        <v>401</v>
      </c>
      <c r="B6" s="180">
        <v>5</v>
      </c>
      <c r="C6" s="181">
        <v>12</v>
      </c>
      <c r="D6" s="180">
        <v>2021</v>
      </c>
      <c r="E6" s="117">
        <f>Combine!G7</f>
        <v>42755</v>
      </c>
      <c r="F6" s="182">
        <v>1.32</v>
      </c>
      <c r="G6" s="117">
        <f>Combine!M7</f>
        <v>6261.7336441336438</v>
      </c>
      <c r="H6" s="183">
        <v>9.1111000000000004</v>
      </c>
      <c r="I6" s="117">
        <f>Combine!J7</f>
        <v>782.15</v>
      </c>
      <c r="J6" s="182">
        <v>8.3788999999999998</v>
      </c>
      <c r="K6" s="117">
        <f>Combine!N7</f>
        <v>472</v>
      </c>
      <c r="L6" s="117">
        <f>Combine!O7</f>
        <v>1056</v>
      </c>
    </row>
    <row r="7" spans="1:12">
      <c r="A7" s="179" t="s">
        <v>401</v>
      </c>
      <c r="B7" s="180">
        <v>6</v>
      </c>
      <c r="C7" s="181">
        <v>12</v>
      </c>
      <c r="D7" s="180">
        <v>2021</v>
      </c>
      <c r="E7" s="117">
        <f>Combine!G8</f>
        <v>40000</v>
      </c>
      <c r="F7" s="182">
        <v>1.32</v>
      </c>
      <c r="G7" s="117">
        <f>Combine!M8</f>
        <v>6778.8121212121214</v>
      </c>
      <c r="H7" s="183">
        <v>9.1111000000000004</v>
      </c>
      <c r="I7" s="117">
        <f>Combine!J8</f>
        <v>631.65</v>
      </c>
      <c r="J7" s="182">
        <v>8.3788999999999998</v>
      </c>
      <c r="K7" s="117">
        <f>Combine!N8</f>
        <v>462</v>
      </c>
      <c r="L7" s="117">
        <f>Combine!O8</f>
        <v>1022</v>
      </c>
    </row>
    <row r="8" spans="1:12">
      <c r="A8" s="179" t="s">
        <v>401</v>
      </c>
      <c r="B8" s="180">
        <v>7</v>
      </c>
      <c r="C8" s="181">
        <v>12</v>
      </c>
      <c r="D8" s="180">
        <v>2021</v>
      </c>
      <c r="E8" s="117">
        <f>Combine!G9</f>
        <v>41497</v>
      </c>
      <c r="F8" s="182">
        <v>1.32</v>
      </c>
      <c r="G8" s="117">
        <f>Combine!M9</f>
        <v>5430.6672882672883</v>
      </c>
      <c r="H8" s="183">
        <v>9.1111000000000004</v>
      </c>
      <c r="I8" s="117">
        <f>Combine!J9</f>
        <v>637.65</v>
      </c>
      <c r="J8" s="182">
        <v>8.3788999999999998</v>
      </c>
      <c r="K8" s="117">
        <f>Combine!N9</f>
        <v>452</v>
      </c>
      <c r="L8" s="117">
        <f>Combine!O9</f>
        <v>998</v>
      </c>
    </row>
    <row r="9" spans="1:12">
      <c r="A9" s="179" t="s">
        <v>401</v>
      </c>
      <c r="B9" s="180">
        <v>8</v>
      </c>
      <c r="C9" s="181">
        <v>12</v>
      </c>
      <c r="D9" s="180">
        <v>2021</v>
      </c>
      <c r="E9" s="117">
        <f>Combine!G10</f>
        <v>41049</v>
      </c>
      <c r="F9" s="182">
        <v>1.32</v>
      </c>
      <c r="G9" s="117">
        <f>Combine!M10</f>
        <v>5371.8725718725709</v>
      </c>
      <c r="H9" s="183">
        <v>9.1111000000000004</v>
      </c>
      <c r="I9" s="117">
        <f>Combine!J10</f>
        <v>606.45000000000005</v>
      </c>
      <c r="J9" s="182">
        <v>8.3788999999999998</v>
      </c>
      <c r="K9" s="117">
        <f>Combine!N10</f>
        <v>438</v>
      </c>
      <c r="L9" s="117">
        <f>Combine!O10</f>
        <v>988</v>
      </c>
    </row>
    <row r="10" spans="1:12">
      <c r="A10" s="179" t="s">
        <v>401</v>
      </c>
      <c r="B10" s="180">
        <v>9</v>
      </c>
      <c r="C10" s="181">
        <v>12</v>
      </c>
      <c r="D10" s="180">
        <v>2021</v>
      </c>
      <c r="E10" s="117">
        <f>Combine!G11</f>
        <v>40081</v>
      </c>
      <c r="F10" s="182">
        <v>1.32</v>
      </c>
      <c r="G10" s="117">
        <f>Combine!M11</f>
        <v>5197.8243978243981</v>
      </c>
      <c r="H10" s="183">
        <v>9.1111000000000004</v>
      </c>
      <c r="I10" s="117">
        <f>Combine!J11</f>
        <v>513.4</v>
      </c>
      <c r="J10" s="182">
        <v>8.3788999999999998</v>
      </c>
      <c r="K10" s="117">
        <f>Combine!N11</f>
        <v>462</v>
      </c>
      <c r="L10" s="117">
        <f>Combine!O11</f>
        <v>1037</v>
      </c>
    </row>
    <row r="11" spans="1:12">
      <c r="A11" s="179" t="s">
        <v>401</v>
      </c>
      <c r="B11" s="180">
        <v>10</v>
      </c>
      <c r="C11" s="181">
        <v>12</v>
      </c>
      <c r="D11" s="180">
        <v>2021</v>
      </c>
      <c r="E11" s="117">
        <f>Combine!G12</f>
        <v>42892</v>
      </c>
      <c r="F11" s="182">
        <v>1.32</v>
      </c>
      <c r="G11" s="117">
        <f>Combine!M12</f>
        <v>5161.7715617715621</v>
      </c>
      <c r="H11" s="183">
        <v>9.1111000000000004</v>
      </c>
      <c r="I11" s="117">
        <f>Combine!J12</f>
        <v>750.65</v>
      </c>
      <c r="J11" s="182">
        <v>8.3788999999999998</v>
      </c>
      <c r="K11" s="117">
        <f>Combine!N12</f>
        <v>470</v>
      </c>
      <c r="L11" s="117">
        <f>Combine!O12</f>
        <v>1059</v>
      </c>
    </row>
    <row r="12" spans="1:12">
      <c r="A12" s="179" t="s">
        <v>401</v>
      </c>
      <c r="B12" s="180">
        <v>11</v>
      </c>
      <c r="C12" s="181">
        <v>12</v>
      </c>
      <c r="D12" s="180">
        <v>2021</v>
      </c>
      <c r="E12" s="117">
        <f>Combine!G13</f>
        <v>43037</v>
      </c>
      <c r="F12" s="182">
        <v>1.32</v>
      </c>
      <c r="G12" s="117">
        <f>Combine!M13</f>
        <v>5548.4071484071483</v>
      </c>
      <c r="H12" s="183">
        <v>9.1111000000000004</v>
      </c>
      <c r="I12" s="117">
        <f>Combine!J13</f>
        <v>428.45</v>
      </c>
      <c r="J12" s="182">
        <v>8.3788999999999998</v>
      </c>
      <c r="K12" s="117">
        <f>Combine!N13</f>
        <v>504</v>
      </c>
      <c r="L12" s="117">
        <f>Combine!O13</f>
        <v>1139</v>
      </c>
    </row>
    <row r="13" spans="1:12">
      <c r="A13" s="179" t="s">
        <v>401</v>
      </c>
      <c r="B13" s="180">
        <v>12</v>
      </c>
      <c r="C13" s="181">
        <v>12</v>
      </c>
      <c r="D13" s="180">
        <v>2021</v>
      </c>
      <c r="E13" s="117">
        <f>Combine!G14</f>
        <v>41837</v>
      </c>
      <c r="F13" s="182">
        <v>1.32</v>
      </c>
      <c r="G13" s="117">
        <f>Combine!M14</f>
        <v>5830.6138306138309</v>
      </c>
      <c r="H13" s="183">
        <v>9.1111000000000004</v>
      </c>
      <c r="I13" s="117">
        <f>Combine!J14</f>
        <v>467.35</v>
      </c>
      <c r="J13" s="182">
        <v>8.3788999999999998</v>
      </c>
      <c r="K13" s="117">
        <f>Combine!N14</f>
        <v>456</v>
      </c>
      <c r="L13" s="117">
        <f>Combine!O14</f>
        <v>1028</v>
      </c>
    </row>
    <row r="14" spans="1:12">
      <c r="A14" s="179" t="s">
        <v>401</v>
      </c>
      <c r="B14" s="180">
        <v>13</v>
      </c>
      <c r="C14" s="181">
        <v>12</v>
      </c>
      <c r="D14" s="180">
        <v>2021</v>
      </c>
      <c r="E14" s="117">
        <f>Combine!G15</f>
        <v>39212</v>
      </c>
      <c r="F14" s="182">
        <v>1.32</v>
      </c>
      <c r="G14" s="117">
        <f>Combine!M15</f>
        <v>5491.219891219891</v>
      </c>
      <c r="H14" s="183">
        <v>9.1111000000000004</v>
      </c>
      <c r="I14" s="117">
        <f>Combine!J15</f>
        <v>646.45000000000005</v>
      </c>
      <c r="J14" s="182">
        <v>8.3788999999999998</v>
      </c>
      <c r="K14" s="117">
        <f>Combine!N15</f>
        <v>436</v>
      </c>
      <c r="L14" s="117">
        <f>Combine!O15</f>
        <v>977</v>
      </c>
    </row>
    <row r="15" spans="1:12">
      <c r="A15" s="179" t="s">
        <v>401</v>
      </c>
      <c r="B15" s="180">
        <v>14</v>
      </c>
      <c r="C15" s="181">
        <v>12</v>
      </c>
      <c r="D15" s="180">
        <v>2021</v>
      </c>
      <c r="E15" s="117">
        <f>Combine!G16</f>
        <v>39376</v>
      </c>
      <c r="F15" s="182">
        <v>1.32</v>
      </c>
      <c r="G15" s="117">
        <f>Combine!M16</f>
        <v>5330.8469308469312</v>
      </c>
      <c r="H15" s="183">
        <v>9.1111000000000004</v>
      </c>
      <c r="I15" s="117">
        <f>Combine!J16</f>
        <v>690.2</v>
      </c>
      <c r="J15" s="182">
        <v>8.3788999999999998</v>
      </c>
      <c r="K15" s="117">
        <f>Combine!N16</f>
        <v>466</v>
      </c>
      <c r="L15" s="117">
        <f>Combine!O16</f>
        <v>1039</v>
      </c>
    </row>
    <row r="16" spans="1:12">
      <c r="A16" s="179" t="s">
        <v>401</v>
      </c>
      <c r="B16" s="180">
        <v>15</v>
      </c>
      <c r="C16" s="181">
        <v>12</v>
      </c>
      <c r="D16" s="180">
        <v>2021</v>
      </c>
      <c r="E16" s="117">
        <f>Combine!G17</f>
        <v>40168</v>
      </c>
      <c r="F16" s="182">
        <v>1.32</v>
      </c>
      <c r="G16" s="117">
        <f>Combine!M17</f>
        <v>4817.4048174048175</v>
      </c>
      <c r="H16" s="183">
        <v>9.1111000000000004</v>
      </c>
      <c r="I16" s="117">
        <f>Combine!J17</f>
        <v>637.4</v>
      </c>
      <c r="J16" s="182">
        <v>8.3788999999999998</v>
      </c>
      <c r="K16" s="117">
        <f>Combine!N17</f>
        <v>454</v>
      </c>
      <c r="L16" s="117">
        <f>Combine!O17</f>
        <v>1017</v>
      </c>
    </row>
    <row r="17" spans="1:12">
      <c r="A17" s="179" t="s">
        <v>401</v>
      </c>
      <c r="B17" s="180">
        <v>16</v>
      </c>
      <c r="C17" s="181">
        <v>12</v>
      </c>
      <c r="D17" s="180">
        <v>2021</v>
      </c>
      <c r="E17" s="117">
        <f>Combine!G18</f>
        <v>41555</v>
      </c>
      <c r="F17" s="182">
        <v>1.32</v>
      </c>
      <c r="G17" s="117">
        <f>Combine!M18</f>
        <v>5417.8710178710171</v>
      </c>
      <c r="H17" s="183">
        <v>9.1111000000000004</v>
      </c>
      <c r="I17" s="117">
        <f>Combine!J18</f>
        <v>670.1</v>
      </c>
      <c r="J17" s="182">
        <v>8.3788999999999998</v>
      </c>
      <c r="K17" s="117">
        <f>Combine!N18</f>
        <v>439</v>
      </c>
      <c r="L17" s="117">
        <f>Combine!O18</f>
        <v>980</v>
      </c>
    </row>
    <row r="18" spans="1:12">
      <c r="A18" s="179" t="s">
        <v>401</v>
      </c>
      <c r="B18" s="180">
        <v>17</v>
      </c>
      <c r="C18" s="181">
        <v>12</v>
      </c>
      <c r="D18" s="180">
        <v>2021</v>
      </c>
      <c r="E18" s="117">
        <f>Combine!G19</f>
        <v>44145</v>
      </c>
      <c r="F18" s="182">
        <v>1.32</v>
      </c>
      <c r="G18" s="117">
        <f>Combine!M19</f>
        <v>5366.8997668997672</v>
      </c>
      <c r="H18" s="183">
        <v>9.1111000000000004</v>
      </c>
      <c r="I18" s="117">
        <f>Combine!J19</f>
        <v>641.95000000000005</v>
      </c>
      <c r="J18" s="182">
        <v>8.3788999999999998</v>
      </c>
      <c r="K18" s="117">
        <f>Combine!N19</f>
        <v>429</v>
      </c>
      <c r="L18" s="117">
        <f>Combine!O19</f>
        <v>986</v>
      </c>
    </row>
    <row r="19" spans="1:12">
      <c r="A19" s="179" t="s">
        <v>401</v>
      </c>
      <c r="B19" s="180">
        <v>18</v>
      </c>
      <c r="C19" s="181">
        <v>12</v>
      </c>
      <c r="D19" s="180">
        <v>2021</v>
      </c>
      <c r="E19" s="117">
        <f>Combine!G20</f>
        <v>38299</v>
      </c>
      <c r="F19" s="182">
        <v>1.32</v>
      </c>
      <c r="G19" s="117">
        <f>Combine!M20</f>
        <v>5457.6534576534577</v>
      </c>
      <c r="H19" s="183">
        <v>9.1111000000000004</v>
      </c>
      <c r="I19" s="117">
        <f>Combine!J20</f>
        <v>677.45</v>
      </c>
      <c r="J19" s="182">
        <v>8.3788999999999998</v>
      </c>
      <c r="K19" s="117">
        <f>Combine!N20</f>
        <v>495</v>
      </c>
      <c r="L19" s="117">
        <f>Combine!O20</f>
        <v>1138</v>
      </c>
    </row>
    <row r="20" spans="1:12">
      <c r="A20" s="179" t="s">
        <v>401</v>
      </c>
      <c r="B20" s="180">
        <v>19</v>
      </c>
      <c r="C20" s="181">
        <v>12</v>
      </c>
      <c r="D20" s="180">
        <v>2021</v>
      </c>
      <c r="E20" s="117">
        <f>Combine!G21</f>
        <v>41156</v>
      </c>
      <c r="F20" s="182">
        <v>1.32</v>
      </c>
      <c r="G20" s="117">
        <f>Combine!M21</f>
        <v>6095.3125097125103</v>
      </c>
      <c r="H20" s="183">
        <v>9.1111000000000004</v>
      </c>
      <c r="I20" s="117">
        <f>Combine!J21</f>
        <v>727.1</v>
      </c>
      <c r="J20" s="182">
        <v>8.3788999999999998</v>
      </c>
      <c r="K20" s="117">
        <f>Combine!N21</f>
        <v>488</v>
      </c>
      <c r="L20" s="117">
        <f>Combine!O21</f>
        <v>1143</v>
      </c>
    </row>
    <row r="21" spans="1:12">
      <c r="A21" s="179" t="s">
        <v>401</v>
      </c>
      <c r="B21" s="180">
        <v>20</v>
      </c>
      <c r="C21" s="181">
        <v>12</v>
      </c>
      <c r="D21" s="180">
        <v>2021</v>
      </c>
      <c r="E21" s="117">
        <f>Combine!G22</f>
        <v>37811</v>
      </c>
      <c r="F21" s="182">
        <v>1.32</v>
      </c>
      <c r="G21" s="117">
        <f>Combine!M22</f>
        <v>6590.7083139083143</v>
      </c>
      <c r="H21" s="183">
        <v>9.1111000000000004</v>
      </c>
      <c r="I21" s="117">
        <f>Combine!J22</f>
        <v>738.75</v>
      </c>
      <c r="J21" s="182">
        <v>8.3788999999999998</v>
      </c>
      <c r="K21" s="117">
        <f>Combine!N22</f>
        <v>442</v>
      </c>
      <c r="L21" s="117">
        <f>Combine!O22</f>
        <v>1009</v>
      </c>
    </row>
    <row r="22" spans="1:12">
      <c r="A22" s="179" t="s">
        <v>401</v>
      </c>
      <c r="B22" s="180">
        <v>21</v>
      </c>
      <c r="C22" s="181">
        <v>12</v>
      </c>
      <c r="D22" s="180">
        <v>2021</v>
      </c>
      <c r="E22" s="117">
        <f>Combine!G23</f>
        <v>38994</v>
      </c>
      <c r="F22" s="182">
        <v>1.32</v>
      </c>
      <c r="G22" s="117">
        <f>Combine!M23</f>
        <v>7104.4997668997667</v>
      </c>
      <c r="H22" s="183">
        <v>9.1111000000000004</v>
      </c>
      <c r="I22" s="117">
        <f>Combine!J23</f>
        <v>605.9</v>
      </c>
      <c r="J22" s="182">
        <v>8.3788999999999998</v>
      </c>
      <c r="K22" s="117">
        <f>Combine!N23</f>
        <v>428</v>
      </c>
      <c r="L22" s="117">
        <f>Combine!O23</f>
        <v>984</v>
      </c>
    </row>
    <row r="23" spans="1:12">
      <c r="A23" s="179" t="s">
        <v>401</v>
      </c>
      <c r="B23" s="180">
        <v>22</v>
      </c>
      <c r="C23" s="181">
        <v>12</v>
      </c>
      <c r="D23" s="180">
        <v>2021</v>
      </c>
      <c r="E23" s="117">
        <f>Combine!G24</f>
        <v>40964</v>
      </c>
      <c r="F23" s="182">
        <v>1.32</v>
      </c>
      <c r="G23" s="117">
        <f>Combine!M24</f>
        <v>6883.5853923853911</v>
      </c>
      <c r="H23" s="183">
        <v>9.1111000000000004</v>
      </c>
      <c r="I23" s="117">
        <f>Combine!J24</f>
        <v>686.30899999999929</v>
      </c>
      <c r="J23" s="182">
        <v>8.3788999999999998</v>
      </c>
      <c r="K23" s="117">
        <f>Combine!N24</f>
        <v>459</v>
      </c>
      <c r="L23" s="117">
        <f>Combine!O24</f>
        <v>1059</v>
      </c>
    </row>
    <row r="24" spans="1:12">
      <c r="A24" s="179" t="s">
        <v>401</v>
      </c>
      <c r="B24" s="180">
        <v>23</v>
      </c>
      <c r="C24" s="181">
        <v>12</v>
      </c>
      <c r="D24" s="180">
        <v>2021</v>
      </c>
      <c r="E24" s="117">
        <f>Combine!G25</f>
        <v>42500</v>
      </c>
      <c r="F24" s="182">
        <v>1.32</v>
      </c>
      <c r="G24" s="117">
        <f>Combine!M25</f>
        <v>5587.7619269619272</v>
      </c>
      <c r="H24" s="183">
        <v>9.1111000000000004</v>
      </c>
      <c r="I24" s="117">
        <f>Combine!J25</f>
        <v>682.10360000000071</v>
      </c>
      <c r="J24" s="182">
        <v>8.3788999999999998</v>
      </c>
      <c r="K24" s="117">
        <f>Combine!N25</f>
        <v>478</v>
      </c>
      <c r="L24" s="117">
        <f>Combine!O25</f>
        <v>1111</v>
      </c>
    </row>
    <row r="25" spans="1:12">
      <c r="A25" s="179" t="s">
        <v>401</v>
      </c>
      <c r="B25" s="180">
        <v>24</v>
      </c>
      <c r="C25" s="181">
        <v>12</v>
      </c>
      <c r="D25" s="180">
        <v>2021</v>
      </c>
      <c r="E25" s="117">
        <f>Combine!G26</f>
        <v>43961</v>
      </c>
      <c r="F25" s="182">
        <v>1.32</v>
      </c>
      <c r="G25" s="117">
        <f>Combine!M26</f>
        <v>5748.3151515151512</v>
      </c>
      <c r="H25" s="183">
        <v>9.1111000000000004</v>
      </c>
      <c r="I25" s="117">
        <f>Combine!J26</f>
        <v>744.78739999999993</v>
      </c>
      <c r="J25" s="182">
        <v>8.3788999999999998</v>
      </c>
      <c r="K25" s="117">
        <f>Combine!N26</f>
        <v>502</v>
      </c>
      <c r="L25" s="117">
        <f>Combine!O26</f>
        <v>1171</v>
      </c>
    </row>
    <row r="26" spans="1:12">
      <c r="A26" s="179" t="s">
        <v>401</v>
      </c>
      <c r="B26" s="180">
        <v>25</v>
      </c>
      <c r="C26" s="181">
        <v>12</v>
      </c>
      <c r="D26" s="180">
        <v>2021</v>
      </c>
      <c r="E26" s="117">
        <f>Combine!G27</f>
        <v>42575</v>
      </c>
      <c r="F26" s="182">
        <v>1.32</v>
      </c>
      <c r="G26" s="117">
        <f>Combine!M27</f>
        <v>5944.4376068376077</v>
      </c>
      <c r="H26" s="183">
        <v>9.1111000000000004</v>
      </c>
      <c r="I26" s="117">
        <f>Combine!J27</f>
        <v>847.9</v>
      </c>
      <c r="J26" s="182">
        <v>8.3788999999999998</v>
      </c>
      <c r="K26" s="117">
        <f>Combine!N27</f>
        <v>478</v>
      </c>
      <c r="L26" s="117">
        <f>Combine!O27</f>
        <v>1124</v>
      </c>
    </row>
    <row r="27" spans="1:12">
      <c r="A27" s="179" t="s">
        <v>401</v>
      </c>
      <c r="B27" s="180">
        <v>26</v>
      </c>
      <c r="C27" s="181">
        <v>12</v>
      </c>
      <c r="D27" s="180">
        <v>2021</v>
      </c>
      <c r="E27" s="117">
        <f>Combine!G28</f>
        <v>39972</v>
      </c>
      <c r="F27" s="182">
        <v>1.32</v>
      </c>
      <c r="G27" s="117">
        <f>Combine!M28</f>
        <v>6450.2029526029528</v>
      </c>
      <c r="H27" s="183">
        <v>9.1111000000000004</v>
      </c>
      <c r="I27" s="117">
        <f>Combine!J28</f>
        <v>1003.75</v>
      </c>
      <c r="J27" s="182">
        <v>8.3788999999999998</v>
      </c>
      <c r="K27" s="117">
        <f>Combine!N28</f>
        <v>423</v>
      </c>
      <c r="L27" s="117">
        <f>Combine!O28</f>
        <v>992</v>
      </c>
    </row>
    <row r="28" spans="1:12">
      <c r="A28" s="179" t="s">
        <v>401</v>
      </c>
      <c r="B28" s="180">
        <v>27</v>
      </c>
      <c r="C28" s="181">
        <v>12</v>
      </c>
      <c r="D28" s="180">
        <v>2021</v>
      </c>
      <c r="E28" s="117">
        <f>Combine!G29</f>
        <v>43641</v>
      </c>
      <c r="F28" s="182">
        <v>1.32</v>
      </c>
      <c r="G28" s="117">
        <f>Combine!M29</f>
        <v>7460.0926184926184</v>
      </c>
      <c r="H28" s="183">
        <v>9.1111000000000004</v>
      </c>
      <c r="I28" s="117">
        <f>Combine!J29</f>
        <v>934.3</v>
      </c>
      <c r="J28" s="182">
        <v>8.3788999999999998</v>
      </c>
      <c r="K28" s="117">
        <f>Combine!N29</f>
        <v>467</v>
      </c>
      <c r="L28" s="117">
        <f>Combine!O29</f>
        <v>1113</v>
      </c>
    </row>
    <row r="29" spans="1:12">
      <c r="A29" s="179" t="s">
        <v>401</v>
      </c>
      <c r="B29" s="180">
        <v>28</v>
      </c>
      <c r="C29" s="181">
        <v>12</v>
      </c>
      <c r="D29" s="180">
        <v>2021</v>
      </c>
      <c r="E29" s="117">
        <f>Combine!G30</f>
        <v>41885</v>
      </c>
      <c r="F29" s="182">
        <v>1.32</v>
      </c>
      <c r="G29" s="117">
        <f>Combine!M30</f>
        <v>8266.8693084693095</v>
      </c>
      <c r="H29" s="183">
        <v>9.1111000000000004</v>
      </c>
      <c r="I29" s="117">
        <f>Combine!J30</f>
        <v>687.15</v>
      </c>
      <c r="J29" s="182">
        <v>8.3788999999999998</v>
      </c>
      <c r="K29" s="117">
        <f>Combine!N30</f>
        <v>468</v>
      </c>
      <c r="L29" s="117">
        <f>Combine!O30</f>
        <v>1104</v>
      </c>
    </row>
    <row r="30" spans="1:12">
      <c r="A30" s="179" t="s">
        <v>401</v>
      </c>
      <c r="B30" s="180">
        <v>29</v>
      </c>
      <c r="C30" s="181">
        <v>12</v>
      </c>
      <c r="D30" s="180">
        <v>2021</v>
      </c>
      <c r="E30" s="117">
        <f>Combine!G31</f>
        <v>44881</v>
      </c>
      <c r="F30" s="182">
        <v>1.32</v>
      </c>
      <c r="G30" s="117">
        <f>Combine!M31</f>
        <v>7550.2794094794099</v>
      </c>
      <c r="H30" s="183">
        <v>9.1111000000000004</v>
      </c>
      <c r="I30" s="117">
        <f>Combine!J31</f>
        <v>1144.75</v>
      </c>
      <c r="J30" s="182">
        <v>8.3788999999999998</v>
      </c>
      <c r="K30" s="117">
        <f>Combine!N31</f>
        <v>456</v>
      </c>
      <c r="L30" s="117">
        <f>Combine!O31</f>
        <v>1066</v>
      </c>
    </row>
    <row r="31" spans="1:12">
      <c r="A31" s="179" t="s">
        <v>401</v>
      </c>
      <c r="B31" s="180">
        <v>30</v>
      </c>
      <c r="C31" s="181">
        <v>12</v>
      </c>
      <c r="D31" s="180">
        <v>2021</v>
      </c>
      <c r="E31" s="117">
        <f>Combine!G32</f>
        <v>44678</v>
      </c>
      <c r="F31" s="182">
        <v>1.32</v>
      </c>
      <c r="G31" s="117">
        <f>Combine!M32</f>
        <v>6759.2714840714834</v>
      </c>
      <c r="H31" s="183">
        <v>9.1111000000000004</v>
      </c>
      <c r="I31" s="117">
        <f>Combine!J32</f>
        <v>944.25</v>
      </c>
      <c r="J31" s="182">
        <v>8.3788999999999998</v>
      </c>
      <c r="K31" s="117">
        <f>Combine!N32</f>
        <v>439</v>
      </c>
      <c r="L31" s="117">
        <f>Combine!O32</f>
        <v>1032</v>
      </c>
    </row>
    <row r="32" spans="1:12">
      <c r="A32" s="179" t="s">
        <v>401</v>
      </c>
      <c r="B32" s="180">
        <v>31</v>
      </c>
      <c r="C32" s="181">
        <v>12</v>
      </c>
      <c r="D32" s="180">
        <v>2021</v>
      </c>
      <c r="E32" s="117">
        <f>Combine!G33</f>
        <v>47760</v>
      </c>
      <c r="F32" s="182">
        <v>1.32</v>
      </c>
      <c r="G32" s="117">
        <f>Combine!M33</f>
        <v>6484.5376845376841</v>
      </c>
      <c r="H32" s="183">
        <v>9.1111000000000004</v>
      </c>
      <c r="I32" s="117">
        <f>Combine!J33</f>
        <v>772.35</v>
      </c>
      <c r="J32" s="182">
        <v>8.3788999999999998</v>
      </c>
      <c r="K32" s="117">
        <f>Combine!N33</f>
        <v>470</v>
      </c>
      <c r="L32" s="117">
        <f>Combine!O33</f>
        <v>1080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L3" activePane="bottomRight" state="frozen"/>
      <selection activeCell="B1" sqref="B1"/>
      <selection pane="topRight" activeCell="E1" sqref="E1"/>
      <selection pane="bottomLeft" activeCell="B3" sqref="B3"/>
      <selection pane="bottomRight" activeCell="O22" sqref="O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4" t="s">
        <v>2</v>
      </c>
      <c r="H1" s="118" t="s">
        <v>0</v>
      </c>
      <c r="I1" s="119" t="s">
        <v>1</v>
      </c>
      <c r="J1" s="121" t="s">
        <v>2</v>
      </c>
      <c r="K1" s="118" t="s">
        <v>0</v>
      </c>
      <c r="L1" s="119" t="s">
        <v>1</v>
      </c>
      <c r="M1" s="124" t="s">
        <v>2</v>
      </c>
      <c r="N1" s="197" t="s">
        <v>66</v>
      </c>
      <c r="O1" s="198"/>
      <c r="P1" s="199"/>
    </row>
    <row r="2" spans="1:17" s="2" customFormat="1" ht="60" customHeight="1">
      <c r="A2" s="4" t="s">
        <v>3</v>
      </c>
      <c r="B2" s="5" t="s">
        <v>4</v>
      </c>
      <c r="C2" s="5" t="s">
        <v>5</v>
      </c>
      <c r="D2" s="115"/>
      <c r="E2" s="120" t="s">
        <v>6</v>
      </c>
      <c r="F2" s="140" t="s">
        <v>6</v>
      </c>
      <c r="G2" s="148" t="s">
        <v>6</v>
      </c>
      <c r="H2" s="149" t="s">
        <v>9</v>
      </c>
      <c r="I2" s="141" t="s">
        <v>9</v>
      </c>
      <c r="J2" s="148" t="s">
        <v>9</v>
      </c>
      <c r="K2" s="120" t="s">
        <v>7</v>
      </c>
      <c r="L2" s="120" t="s">
        <v>7</v>
      </c>
      <c r="M2" s="125" t="s">
        <v>8</v>
      </c>
      <c r="N2" s="155" t="s">
        <v>10</v>
      </c>
      <c r="O2" s="5" t="s">
        <v>11</v>
      </c>
      <c r="P2" s="154" t="s">
        <v>12</v>
      </c>
      <c r="Q2" s="145" t="s">
        <v>394</v>
      </c>
    </row>
    <row r="3" spans="1:17" ht="15.75">
      <c r="A3" s="7" t="s">
        <v>14</v>
      </c>
      <c r="B3" s="7">
        <v>1</v>
      </c>
      <c r="C3" s="7">
        <v>10</v>
      </c>
      <c r="D3" s="116">
        <v>2021</v>
      </c>
      <c r="E3" s="146">
        <f>'Athens Daily - EL'!AK8</f>
        <v>33782.5</v>
      </c>
      <c r="F3" s="146">
        <f>'Athens Daily - EL'!AL8</f>
        <v>7592.5</v>
      </c>
      <c r="G3" s="126">
        <f>SUM(E3,F3)</f>
        <v>41375</v>
      </c>
      <c r="H3" s="146">
        <f>'Athens Daily - Water'!R7</f>
        <v>517</v>
      </c>
      <c r="I3" s="146">
        <f>'Athens Daily - Water'!S7</f>
        <v>141.65</v>
      </c>
      <c r="J3" s="122">
        <f t="shared" ref="J3:J33" si="0">SUM(H3,I3)</f>
        <v>658.65</v>
      </c>
      <c r="K3" s="146">
        <f>'Athens Daily - Gas'!BH9</f>
        <v>132903.02399999998</v>
      </c>
      <c r="L3" s="146">
        <f>'Athens Daily - Gas'!BI9</f>
        <v>72345.600000000006</v>
      </c>
      <c r="M3" s="126">
        <f>SUM(K3,L3)/38.61</f>
        <v>5315.9446775446768</v>
      </c>
      <c r="N3" s="153">
        <f>Occ!G10</f>
        <v>460</v>
      </c>
      <c r="O3" s="100">
        <f>Occ!H10</f>
        <v>1027</v>
      </c>
      <c r="P3" s="152">
        <v>918</v>
      </c>
      <c r="Q3" s="161"/>
    </row>
    <row r="4" spans="1:17" ht="15.75">
      <c r="A4" s="7" t="s">
        <v>14</v>
      </c>
      <c r="B4" s="7">
        <v>2</v>
      </c>
      <c r="C4" s="7">
        <v>10</v>
      </c>
      <c r="D4" s="116">
        <v>2021</v>
      </c>
      <c r="E4" s="146">
        <f>'Athens Daily - EL'!AK9</f>
        <v>30417.5</v>
      </c>
      <c r="F4" s="146">
        <f>'Athens Daily - EL'!AL9</f>
        <v>6641.5</v>
      </c>
      <c r="G4" s="126">
        <f t="shared" ref="G4:G33" si="1">SUM(E4,F4)</f>
        <v>37059</v>
      </c>
      <c r="H4" s="146">
        <f>'Athens Daily - Water'!R8</f>
        <v>502</v>
      </c>
      <c r="I4" s="146">
        <f>'Athens Daily - Water'!S8</f>
        <v>185.60000000000002</v>
      </c>
      <c r="J4" s="122">
        <f t="shared" si="0"/>
        <v>687.6</v>
      </c>
      <c r="K4" s="146">
        <f>'Athens Daily - Gas'!BH10</f>
        <v>154370.78399999999</v>
      </c>
      <c r="L4" s="146">
        <f>'Athens Daily - Gas'!BI10</f>
        <v>98947.199999999997</v>
      </c>
      <c r="M4" s="126">
        <f t="shared" ref="M4:M33" si="2">SUM(K4,L4)/38.61</f>
        <v>6560.942346542347</v>
      </c>
      <c r="N4" s="153">
        <f>Occ!G11</f>
        <v>474</v>
      </c>
      <c r="O4" s="100">
        <f>Occ!H11</f>
        <v>1057</v>
      </c>
      <c r="P4" s="152">
        <v>918</v>
      </c>
      <c r="Q4" s="161"/>
    </row>
    <row r="5" spans="1:17" ht="15.75">
      <c r="A5" s="7" t="s">
        <v>14</v>
      </c>
      <c r="B5" s="7">
        <v>3</v>
      </c>
      <c r="C5" s="7">
        <v>10</v>
      </c>
      <c r="D5" s="116">
        <v>2021</v>
      </c>
      <c r="E5" s="146">
        <f>'Athens Daily - EL'!AK10</f>
        <v>34232.5</v>
      </c>
      <c r="F5" s="146">
        <f>'Athens Daily - EL'!AL10</f>
        <v>7349.5</v>
      </c>
      <c r="G5" s="126">
        <f t="shared" si="1"/>
        <v>41582</v>
      </c>
      <c r="H5" s="146">
        <f>'Athens Daily - Water'!R9</f>
        <v>542</v>
      </c>
      <c r="I5" s="146">
        <f>'Athens Daily - Water'!S9</f>
        <v>151.05000000000001</v>
      </c>
      <c r="J5" s="122">
        <f t="shared" si="0"/>
        <v>693.05</v>
      </c>
      <c r="K5" s="146">
        <f>'Athens Daily - Gas'!BH11</f>
        <v>166862.16</v>
      </c>
      <c r="L5" s="146">
        <f>'Athens Daily - Gas'!BI11</f>
        <v>88272</v>
      </c>
      <c r="M5" s="126">
        <f t="shared" si="2"/>
        <v>6607.9813519813524</v>
      </c>
      <c r="N5" s="153">
        <f>Occ!G12</f>
        <v>517</v>
      </c>
      <c r="O5" s="100">
        <f>Occ!H12</f>
        <v>1160</v>
      </c>
      <c r="P5" s="152">
        <v>918</v>
      </c>
      <c r="Q5" s="161"/>
    </row>
    <row r="6" spans="1:17" ht="15.75">
      <c r="A6" s="7" t="s">
        <v>14</v>
      </c>
      <c r="B6" s="7">
        <v>4</v>
      </c>
      <c r="C6" s="7">
        <v>10</v>
      </c>
      <c r="D6" s="116">
        <v>2021</v>
      </c>
      <c r="E6" s="146">
        <f>'Athens Daily - EL'!AK11</f>
        <v>33852</v>
      </c>
      <c r="F6" s="146">
        <f>'Athens Daily - EL'!AL11</f>
        <v>7507</v>
      </c>
      <c r="G6" s="126">
        <f t="shared" si="1"/>
        <v>41359</v>
      </c>
      <c r="H6" s="146">
        <f>'Athens Daily - Water'!R10</f>
        <v>594</v>
      </c>
      <c r="I6" s="146">
        <f>'Athens Daily - Water'!S10</f>
        <v>185.8</v>
      </c>
      <c r="J6" s="122">
        <f t="shared" si="0"/>
        <v>779.8</v>
      </c>
      <c r="K6" s="146">
        <f>'Athens Daily - Gas'!BH12</f>
        <v>149338.22399999999</v>
      </c>
      <c r="L6" s="146">
        <f>'Athens Daily - Gas'!BI12</f>
        <v>87312</v>
      </c>
      <c r="M6" s="126">
        <f t="shared" si="2"/>
        <v>6129.2469308469308</v>
      </c>
      <c r="N6" s="153">
        <f>Occ!G13</f>
        <v>530</v>
      </c>
      <c r="O6" s="100">
        <f>Occ!H13</f>
        <v>1207</v>
      </c>
      <c r="P6" s="152">
        <v>918</v>
      </c>
      <c r="Q6" s="161"/>
    </row>
    <row r="7" spans="1:17" ht="15.75">
      <c r="A7" s="7" t="s">
        <v>14</v>
      </c>
      <c r="B7" s="7">
        <v>5</v>
      </c>
      <c r="C7" s="7">
        <v>10</v>
      </c>
      <c r="D7" s="116">
        <v>2021</v>
      </c>
      <c r="E7" s="146">
        <f>'Athens Daily - EL'!AK12</f>
        <v>35437.5</v>
      </c>
      <c r="F7" s="146">
        <f>'Athens Daily - EL'!AL12</f>
        <v>7317.5</v>
      </c>
      <c r="G7" s="126">
        <f t="shared" si="1"/>
        <v>42755</v>
      </c>
      <c r="H7" s="146">
        <f>'Athens Daily - Water'!R11</f>
        <v>554</v>
      </c>
      <c r="I7" s="146">
        <f>'Athens Daily - Water'!S11</f>
        <v>228.15</v>
      </c>
      <c r="J7" s="122">
        <f t="shared" si="0"/>
        <v>782.15</v>
      </c>
      <c r="K7" s="146">
        <f>'Athens Daily - Gas'!BH13</f>
        <v>150239.136</v>
      </c>
      <c r="L7" s="146">
        <f>'Athens Daily - Gas'!BI13</f>
        <v>91526.399999999994</v>
      </c>
      <c r="M7" s="126">
        <f t="shared" si="2"/>
        <v>6261.7336441336438</v>
      </c>
      <c r="N7" s="153">
        <f>Occ!G14</f>
        <v>472</v>
      </c>
      <c r="O7" s="100">
        <f>Occ!H14</f>
        <v>1056</v>
      </c>
      <c r="P7" s="152">
        <v>918</v>
      </c>
      <c r="Q7" s="161"/>
    </row>
    <row r="8" spans="1:17" ht="15.75">
      <c r="A8" s="7" t="s">
        <v>14</v>
      </c>
      <c r="B8" s="7">
        <v>6</v>
      </c>
      <c r="C8" s="7">
        <v>10</v>
      </c>
      <c r="D8" s="116">
        <v>2021</v>
      </c>
      <c r="E8" s="146">
        <f>'Athens Daily - EL'!AK13</f>
        <v>32553.5</v>
      </c>
      <c r="F8" s="146">
        <f>'Athens Daily - EL'!AL13</f>
        <v>7446.5</v>
      </c>
      <c r="G8" s="126">
        <f t="shared" si="1"/>
        <v>40000</v>
      </c>
      <c r="H8" s="146">
        <f>'Athens Daily - Water'!R12</f>
        <v>438</v>
      </c>
      <c r="I8" s="146">
        <f>'Athens Daily - Water'!S12</f>
        <v>193.65</v>
      </c>
      <c r="J8" s="122">
        <f t="shared" si="0"/>
        <v>631.65</v>
      </c>
      <c r="K8" s="146">
        <f>'Athens Daily - Gas'!BH14</f>
        <v>163080.33599999998</v>
      </c>
      <c r="L8" s="146">
        <f>'Athens Daily - Gas'!BI14</f>
        <v>98649.600000000006</v>
      </c>
      <c r="M8" s="126">
        <f t="shared" si="2"/>
        <v>6778.8121212121214</v>
      </c>
      <c r="N8" s="153">
        <f>Occ!G15</f>
        <v>462</v>
      </c>
      <c r="O8" s="100">
        <f>Occ!H15</f>
        <v>1022</v>
      </c>
      <c r="P8" s="152">
        <v>918</v>
      </c>
      <c r="Q8" s="161"/>
    </row>
    <row r="9" spans="1:17" ht="15.75">
      <c r="A9" s="7" t="s">
        <v>14</v>
      </c>
      <c r="B9" s="7">
        <v>7</v>
      </c>
      <c r="C9" s="7">
        <v>10</v>
      </c>
      <c r="D9" s="116">
        <v>2021</v>
      </c>
      <c r="E9" s="146">
        <f>'Athens Daily - EL'!AK14</f>
        <v>33662.5</v>
      </c>
      <c r="F9" s="146">
        <f>'Athens Daily - EL'!AL14</f>
        <v>7834.5</v>
      </c>
      <c r="G9" s="126">
        <f t="shared" si="1"/>
        <v>41497</v>
      </c>
      <c r="H9" s="146">
        <f>'Athens Daily - Water'!R13</f>
        <v>451</v>
      </c>
      <c r="I9" s="146">
        <f>'Athens Daily - Water'!S13</f>
        <v>186.65</v>
      </c>
      <c r="J9" s="122">
        <f t="shared" si="0"/>
        <v>637.65</v>
      </c>
      <c r="K9" s="146">
        <f>'Athens Daily - Gas'!BH15</f>
        <v>137754.864</v>
      </c>
      <c r="L9" s="146">
        <f>'Athens Daily - Gas'!BI15</f>
        <v>71923.200000000012</v>
      </c>
      <c r="M9" s="126">
        <f t="shared" si="2"/>
        <v>5430.6672882672883</v>
      </c>
      <c r="N9" s="153">
        <f>Occ!G16</f>
        <v>452</v>
      </c>
      <c r="O9" s="100">
        <f>Occ!H16</f>
        <v>998</v>
      </c>
      <c r="P9" s="152">
        <v>918</v>
      </c>
      <c r="Q9" s="161"/>
    </row>
    <row r="10" spans="1:17">
      <c r="A10" s="7" t="s">
        <v>14</v>
      </c>
      <c r="B10" s="7">
        <v>8</v>
      </c>
      <c r="C10" s="7">
        <v>10</v>
      </c>
      <c r="D10" s="116">
        <v>2021</v>
      </c>
      <c r="E10" s="146">
        <f>'Athens Daily - EL'!AK15</f>
        <v>33607.5</v>
      </c>
      <c r="F10" s="146">
        <f>'Athens Daily - EL'!AL15</f>
        <v>7441.5</v>
      </c>
      <c r="G10" s="126">
        <f t="shared" si="1"/>
        <v>41049</v>
      </c>
      <c r="H10" s="146">
        <f>'Athens Daily - Water'!R14</f>
        <v>497</v>
      </c>
      <c r="I10" s="146">
        <f>'Athens Daily - Water'!S14</f>
        <v>109.45</v>
      </c>
      <c r="J10" s="122">
        <f t="shared" si="0"/>
        <v>606.45000000000005</v>
      </c>
      <c r="K10" s="146">
        <f>'Athens Daily - Gas'!BH16</f>
        <v>132249.59999999998</v>
      </c>
      <c r="L10" s="146">
        <f>'Athens Daily - Gas'!BI16</f>
        <v>75158.399999999994</v>
      </c>
      <c r="M10" s="126">
        <f t="shared" si="2"/>
        <v>5371.8725718725709</v>
      </c>
      <c r="N10" s="153">
        <f>Occ!G17</f>
        <v>438</v>
      </c>
      <c r="O10" s="100">
        <f>Occ!H17</f>
        <v>988</v>
      </c>
      <c r="P10" s="152">
        <v>918</v>
      </c>
      <c r="Q10" s="98"/>
    </row>
    <row r="11" spans="1:17">
      <c r="A11" s="7" t="s">
        <v>14</v>
      </c>
      <c r="B11" s="7">
        <v>9</v>
      </c>
      <c r="C11" s="7">
        <v>10</v>
      </c>
      <c r="D11" s="116">
        <v>2021</v>
      </c>
      <c r="E11" s="146">
        <f>'Athens Daily - EL'!AK16</f>
        <v>32667.5</v>
      </c>
      <c r="F11" s="146">
        <f>'Athens Daily - EL'!AL16</f>
        <v>7413.5</v>
      </c>
      <c r="G11" s="126">
        <f t="shared" si="1"/>
        <v>40081</v>
      </c>
      <c r="H11" s="146">
        <f>'Athens Daily - Water'!R15</f>
        <v>435</v>
      </c>
      <c r="I11" s="146">
        <f>'Athens Daily - Water'!S15</f>
        <v>78.400000000000006</v>
      </c>
      <c r="J11" s="122">
        <f t="shared" si="0"/>
        <v>513.4</v>
      </c>
      <c r="K11" s="146">
        <f>'Athens Daily - Gas'!BH17</f>
        <v>131251.20000000001</v>
      </c>
      <c r="L11" s="146">
        <f>'Athens Daily - Gas'!BI17</f>
        <v>69436.800000000003</v>
      </c>
      <c r="M11" s="126">
        <f t="shared" si="2"/>
        <v>5197.8243978243981</v>
      </c>
      <c r="N11" s="153">
        <f>Occ!G18</f>
        <v>462</v>
      </c>
      <c r="O11" s="100">
        <f>Occ!H18</f>
        <v>1037</v>
      </c>
      <c r="P11" s="152">
        <v>918</v>
      </c>
      <c r="Q11" s="98"/>
    </row>
    <row r="12" spans="1:17" ht="15.75">
      <c r="A12" s="7" t="s">
        <v>14</v>
      </c>
      <c r="B12" s="7">
        <v>10</v>
      </c>
      <c r="C12" s="7">
        <v>10</v>
      </c>
      <c r="D12" s="116">
        <v>2021</v>
      </c>
      <c r="E12" s="146">
        <f>'Athens Daily - EL'!AK17</f>
        <v>34942.5</v>
      </c>
      <c r="F12" s="146">
        <f>'Athens Daily - EL'!AL17</f>
        <v>7949.5</v>
      </c>
      <c r="G12" s="126">
        <f t="shared" si="1"/>
        <v>42892</v>
      </c>
      <c r="H12" s="146">
        <f>'Athens Daily - Water'!R16</f>
        <v>568</v>
      </c>
      <c r="I12" s="146">
        <f>'Athens Daily - Water'!S16</f>
        <v>182.65</v>
      </c>
      <c r="J12" s="122">
        <f t="shared" si="0"/>
        <v>750.65</v>
      </c>
      <c r="K12" s="146">
        <f>'Athens Daily - Gas'!BH18</f>
        <v>133900.79999999999</v>
      </c>
      <c r="L12" s="146">
        <f>'Athens Daily - Gas'!BI18</f>
        <v>65395.200000000004</v>
      </c>
      <c r="M12" s="126">
        <f t="shared" si="2"/>
        <v>5161.7715617715621</v>
      </c>
      <c r="N12" s="153">
        <f>Occ!G19</f>
        <v>470</v>
      </c>
      <c r="O12" s="100">
        <f>Occ!H19</f>
        <v>1059</v>
      </c>
      <c r="P12" s="152">
        <v>918</v>
      </c>
      <c r="Q12" s="161"/>
    </row>
    <row r="13" spans="1:17" ht="15.75">
      <c r="A13" s="7" t="s">
        <v>14</v>
      </c>
      <c r="B13" s="7">
        <v>11</v>
      </c>
      <c r="C13" s="7">
        <v>10</v>
      </c>
      <c r="D13" s="116">
        <v>2021</v>
      </c>
      <c r="E13" s="146">
        <f>'Athens Daily - EL'!AK18</f>
        <v>35312.5</v>
      </c>
      <c r="F13" s="146">
        <f>'Athens Daily - EL'!AL18</f>
        <v>7724.5</v>
      </c>
      <c r="G13" s="126">
        <f t="shared" si="1"/>
        <v>43037</v>
      </c>
      <c r="H13" s="146">
        <f>'Athens Daily - Water'!R17</f>
        <v>259</v>
      </c>
      <c r="I13" s="146">
        <f>'Athens Daily - Water'!S17</f>
        <v>169.45</v>
      </c>
      <c r="J13" s="122">
        <f t="shared" si="0"/>
        <v>428.45</v>
      </c>
      <c r="K13" s="146">
        <f>'Athens Daily - Gas'!BH19</f>
        <v>147331.20000000001</v>
      </c>
      <c r="L13" s="146">
        <f>'Athens Daily - Gas'!BI19</f>
        <v>66892.800000000003</v>
      </c>
      <c r="M13" s="126">
        <f t="shared" si="2"/>
        <v>5548.4071484071483</v>
      </c>
      <c r="N13" s="153">
        <f>Occ!G20</f>
        <v>504</v>
      </c>
      <c r="O13" s="100">
        <f>Occ!H20</f>
        <v>1139</v>
      </c>
      <c r="P13" s="152">
        <v>918</v>
      </c>
      <c r="Q13" s="161"/>
    </row>
    <row r="14" spans="1:17" ht="15.75">
      <c r="A14" s="7" t="s">
        <v>14</v>
      </c>
      <c r="B14" s="7">
        <v>12</v>
      </c>
      <c r="C14" s="7">
        <v>10</v>
      </c>
      <c r="D14" s="116">
        <v>2021</v>
      </c>
      <c r="E14" s="146">
        <f>'Athens Daily - EL'!AK19</f>
        <v>33558.5</v>
      </c>
      <c r="F14" s="146">
        <f>'Athens Daily - EL'!AL19</f>
        <v>8278.5</v>
      </c>
      <c r="G14" s="126">
        <f t="shared" si="1"/>
        <v>41837</v>
      </c>
      <c r="H14" s="146">
        <f>'Athens Daily - Water'!R18</f>
        <v>259</v>
      </c>
      <c r="I14" s="146">
        <f>'Athens Daily - Water'!S18</f>
        <v>208.35000000000002</v>
      </c>
      <c r="J14" s="122">
        <f t="shared" si="0"/>
        <v>467.35</v>
      </c>
      <c r="K14" s="146">
        <f>'Athens Daily - Gas'!BH20</f>
        <v>155078.39999999999</v>
      </c>
      <c r="L14" s="146">
        <f>'Athens Daily - Gas'!BI20</f>
        <v>70041.600000000006</v>
      </c>
      <c r="M14" s="126">
        <f t="shared" si="2"/>
        <v>5830.6138306138309</v>
      </c>
      <c r="N14" s="153">
        <f>Occ!G21</f>
        <v>456</v>
      </c>
      <c r="O14" s="100">
        <f>Occ!H21</f>
        <v>1028</v>
      </c>
      <c r="P14" s="152">
        <v>918</v>
      </c>
      <c r="Q14" s="161"/>
    </row>
    <row r="15" spans="1:17">
      <c r="A15" s="7" t="s">
        <v>14</v>
      </c>
      <c r="B15" s="7">
        <v>13</v>
      </c>
      <c r="C15" s="7">
        <v>10</v>
      </c>
      <c r="D15" s="116">
        <v>2021</v>
      </c>
      <c r="E15" s="146">
        <f>'Athens Daily - EL'!AK20</f>
        <v>31469</v>
      </c>
      <c r="F15" s="146">
        <f>'Athens Daily - EL'!AL20</f>
        <v>7743</v>
      </c>
      <c r="G15" s="126">
        <f t="shared" si="1"/>
        <v>39212</v>
      </c>
      <c r="H15" s="146">
        <f>'Athens Daily - Water'!R19</f>
        <v>475</v>
      </c>
      <c r="I15" s="146">
        <f>'Athens Daily - Water'!S19</f>
        <v>171.45</v>
      </c>
      <c r="J15" s="122">
        <f t="shared" si="0"/>
        <v>646.45000000000005</v>
      </c>
      <c r="K15" s="146">
        <f>'Athens Daily - Gas'!BH21</f>
        <v>142848</v>
      </c>
      <c r="L15" s="146">
        <f>'Athens Daily - Gas'!BI21</f>
        <v>69168</v>
      </c>
      <c r="M15" s="126">
        <f t="shared" si="2"/>
        <v>5491.219891219891</v>
      </c>
      <c r="N15" s="153">
        <f>Occ!G22</f>
        <v>436</v>
      </c>
      <c r="O15" s="100">
        <f>Occ!H22</f>
        <v>977</v>
      </c>
      <c r="P15" s="152">
        <v>918</v>
      </c>
      <c r="Q15" s="158"/>
    </row>
    <row r="16" spans="1:17">
      <c r="A16" s="7" t="s">
        <v>14</v>
      </c>
      <c r="B16" s="7">
        <v>14</v>
      </c>
      <c r="C16" s="7">
        <v>10</v>
      </c>
      <c r="D16" s="116">
        <v>2021</v>
      </c>
      <c r="E16" s="146">
        <f>'Athens Daily - EL'!AK21</f>
        <v>32793</v>
      </c>
      <c r="F16" s="146">
        <f>'Athens Daily - EL'!AL21</f>
        <v>6583</v>
      </c>
      <c r="G16" s="126">
        <f t="shared" si="1"/>
        <v>39376</v>
      </c>
      <c r="H16" s="146">
        <f>'Athens Daily - Water'!R20</f>
        <v>467</v>
      </c>
      <c r="I16" s="146">
        <f>'Athens Daily - Water'!S20</f>
        <v>223.2</v>
      </c>
      <c r="J16" s="122">
        <f t="shared" si="0"/>
        <v>690.2</v>
      </c>
      <c r="K16" s="146">
        <f>'Athens Daily - Gas'!BH22</f>
        <v>133555.20000000001</v>
      </c>
      <c r="L16" s="146">
        <f>'Athens Daily - Gas'!BI22</f>
        <v>72268.800000000003</v>
      </c>
      <c r="M16" s="126">
        <f t="shared" si="2"/>
        <v>5330.8469308469312</v>
      </c>
      <c r="N16" s="153">
        <f>Occ!G23</f>
        <v>466</v>
      </c>
      <c r="O16" s="100">
        <f>Occ!H23</f>
        <v>1039</v>
      </c>
      <c r="P16" s="152">
        <v>918</v>
      </c>
      <c r="Q16" s="158"/>
    </row>
    <row r="17" spans="1:17">
      <c r="A17" s="7" t="s">
        <v>14</v>
      </c>
      <c r="B17" s="7">
        <v>15</v>
      </c>
      <c r="C17" s="7">
        <v>10</v>
      </c>
      <c r="D17" s="116">
        <v>2021</v>
      </c>
      <c r="E17" s="146">
        <f>'Athens Daily - EL'!AK22</f>
        <v>33124</v>
      </c>
      <c r="F17" s="146">
        <f>'Athens Daily - EL'!AL22</f>
        <v>7044</v>
      </c>
      <c r="G17" s="126">
        <f t="shared" si="1"/>
        <v>40168</v>
      </c>
      <c r="H17" s="146">
        <f>'Athens Daily - Water'!R21</f>
        <v>472</v>
      </c>
      <c r="I17" s="146">
        <f>'Athens Daily - Water'!S21</f>
        <v>165.4</v>
      </c>
      <c r="J17" s="122">
        <f t="shared" si="0"/>
        <v>637.4</v>
      </c>
      <c r="K17" s="146">
        <f>'Athens Daily - Gas'!BH23</f>
        <v>126288</v>
      </c>
      <c r="L17" s="146">
        <f>'Athens Daily - Gas'!BI23</f>
        <v>59712</v>
      </c>
      <c r="M17" s="126">
        <f t="shared" si="2"/>
        <v>4817.4048174048175</v>
      </c>
      <c r="N17" s="153">
        <f>Occ!G24</f>
        <v>454</v>
      </c>
      <c r="O17" s="100">
        <f>Occ!H24</f>
        <v>1017</v>
      </c>
      <c r="P17" s="152">
        <v>918</v>
      </c>
      <c r="Q17" s="158"/>
    </row>
    <row r="18" spans="1:17">
      <c r="A18" s="7" t="s">
        <v>14</v>
      </c>
      <c r="B18" s="7">
        <v>16</v>
      </c>
      <c r="C18" s="7">
        <v>10</v>
      </c>
      <c r="D18" s="116">
        <v>2021</v>
      </c>
      <c r="E18" s="146">
        <f>'Athens Daily - EL'!AK23</f>
        <v>33410</v>
      </c>
      <c r="F18" s="146">
        <f>'Athens Daily - EL'!AL23</f>
        <v>8145</v>
      </c>
      <c r="G18" s="126">
        <f t="shared" si="1"/>
        <v>41555</v>
      </c>
      <c r="H18" s="146">
        <f>'Athens Daily - Water'!R22</f>
        <v>486</v>
      </c>
      <c r="I18" s="146">
        <f>'Athens Daily - Water'!S22</f>
        <v>184.10000000000002</v>
      </c>
      <c r="J18" s="122">
        <f t="shared" si="0"/>
        <v>670.1</v>
      </c>
      <c r="K18" s="146">
        <f>'Athens Daily - Gas'!BH24</f>
        <v>143913.59999999998</v>
      </c>
      <c r="L18" s="146">
        <f>'Athens Daily - Gas'!BI24</f>
        <v>65270.400000000001</v>
      </c>
      <c r="M18" s="126">
        <f t="shared" si="2"/>
        <v>5417.8710178710171</v>
      </c>
      <c r="N18" s="153">
        <f>Occ!G25</f>
        <v>439</v>
      </c>
      <c r="O18" s="100">
        <f>Occ!H25</f>
        <v>980</v>
      </c>
      <c r="P18" s="152">
        <v>918</v>
      </c>
      <c r="Q18" s="157"/>
    </row>
    <row r="19" spans="1:17">
      <c r="A19" s="7" t="s">
        <v>14</v>
      </c>
      <c r="B19" s="7">
        <v>17</v>
      </c>
      <c r="C19" s="7">
        <v>10</v>
      </c>
      <c r="D19" s="116">
        <v>2021</v>
      </c>
      <c r="E19" s="146">
        <f>'Athens Daily - EL'!AK24</f>
        <v>35544</v>
      </c>
      <c r="F19" s="146">
        <f>'Athens Daily - EL'!AL24</f>
        <v>8601</v>
      </c>
      <c r="G19" s="126">
        <f t="shared" si="1"/>
        <v>44145</v>
      </c>
      <c r="H19" s="146">
        <f>'Athens Daily - Water'!R23</f>
        <v>459</v>
      </c>
      <c r="I19" s="146">
        <f>'Athens Daily - Water'!S23</f>
        <v>182.95</v>
      </c>
      <c r="J19" s="122">
        <f t="shared" si="0"/>
        <v>641.95000000000005</v>
      </c>
      <c r="K19" s="146">
        <f>'Athens Daily - Gas'!BH25</f>
        <v>141388.79999999999</v>
      </c>
      <c r="L19" s="146">
        <f>'Athens Daily - Gas'!BI25</f>
        <v>65827.200000000012</v>
      </c>
      <c r="M19" s="126">
        <f t="shared" si="2"/>
        <v>5366.8997668997672</v>
      </c>
      <c r="N19" s="153">
        <f>Occ!G26</f>
        <v>429</v>
      </c>
      <c r="O19" s="100">
        <f>Occ!H26</f>
        <v>986</v>
      </c>
      <c r="P19" s="152">
        <v>918</v>
      </c>
      <c r="Q19" s="157"/>
    </row>
    <row r="20" spans="1:17">
      <c r="A20" s="7" t="s">
        <v>14</v>
      </c>
      <c r="B20" s="7">
        <v>18</v>
      </c>
      <c r="C20" s="7">
        <v>10</v>
      </c>
      <c r="D20" s="116">
        <v>2021</v>
      </c>
      <c r="E20" s="146">
        <f>'Athens Daily - EL'!AK25</f>
        <v>31818.5</v>
      </c>
      <c r="F20" s="146">
        <f>'Athens Daily - EL'!AL25</f>
        <v>6480.5</v>
      </c>
      <c r="G20" s="126">
        <f t="shared" si="1"/>
        <v>38299</v>
      </c>
      <c r="H20" s="146">
        <f>'Athens Daily - Water'!R24</f>
        <v>508</v>
      </c>
      <c r="I20" s="146">
        <f>'Athens Daily - Water'!S24</f>
        <v>169.45</v>
      </c>
      <c r="J20" s="122">
        <f t="shared" si="0"/>
        <v>677.45</v>
      </c>
      <c r="K20" s="146">
        <f>'Athens Daily - Gas'!BH26</f>
        <v>140707.20000000001</v>
      </c>
      <c r="L20" s="146">
        <f>'Athens Daily - Gas'!BI26</f>
        <v>70012.800000000003</v>
      </c>
      <c r="M20" s="126">
        <f t="shared" si="2"/>
        <v>5457.6534576534577</v>
      </c>
      <c r="N20" s="153">
        <f>Occ!G27</f>
        <v>495</v>
      </c>
      <c r="O20" s="100">
        <f>Occ!H27</f>
        <v>1138</v>
      </c>
      <c r="P20" s="152">
        <v>918</v>
      </c>
      <c r="Q20" s="157"/>
    </row>
    <row r="21" spans="1:17">
      <c r="A21" s="7" t="s">
        <v>14</v>
      </c>
      <c r="B21" s="7">
        <v>19</v>
      </c>
      <c r="C21" s="7">
        <v>10</v>
      </c>
      <c r="D21" s="116">
        <v>2021</v>
      </c>
      <c r="E21" s="146">
        <f>'Athens Daily - EL'!AK26</f>
        <v>34244</v>
      </c>
      <c r="F21" s="146">
        <f>'Athens Daily - EL'!AL26</f>
        <v>6912</v>
      </c>
      <c r="G21" s="126">
        <f t="shared" si="1"/>
        <v>41156</v>
      </c>
      <c r="H21" s="146">
        <f>'Athens Daily - Water'!R25</f>
        <v>539</v>
      </c>
      <c r="I21" s="146">
        <f>'Athens Daily - Water'!S25</f>
        <v>188.10000000000002</v>
      </c>
      <c r="J21" s="122">
        <f t="shared" si="0"/>
        <v>727.1</v>
      </c>
      <c r="K21" s="146">
        <f>'Athens Daily - Gas'!BH27</f>
        <v>148172.016</v>
      </c>
      <c r="L21" s="146">
        <f>'Athens Daily - Gas'!BI27</f>
        <v>87168</v>
      </c>
      <c r="M21" s="126">
        <f t="shared" si="2"/>
        <v>6095.3125097125103</v>
      </c>
      <c r="N21" s="153">
        <f>Occ!G28</f>
        <v>488</v>
      </c>
      <c r="O21" s="100">
        <f>Occ!H28</f>
        <v>1143</v>
      </c>
      <c r="P21" s="152">
        <v>918</v>
      </c>
      <c r="Q21" s="157"/>
    </row>
    <row r="22" spans="1:17">
      <c r="A22" s="7" t="s">
        <v>14</v>
      </c>
      <c r="B22" s="7">
        <v>20</v>
      </c>
      <c r="C22" s="7">
        <v>10</v>
      </c>
      <c r="D22" s="116">
        <v>2021</v>
      </c>
      <c r="E22" s="146">
        <f>'Athens Daily - EL'!AK27</f>
        <v>31269</v>
      </c>
      <c r="F22" s="146">
        <f>'Athens Daily - EL'!AL27</f>
        <v>6542</v>
      </c>
      <c r="G22" s="126">
        <f t="shared" si="1"/>
        <v>37811</v>
      </c>
      <c r="H22" s="146">
        <f>'Athens Daily - Water'!R26</f>
        <v>567</v>
      </c>
      <c r="I22" s="146">
        <f>'Athens Daily - Water'!S26</f>
        <v>171.75</v>
      </c>
      <c r="J22" s="122">
        <f t="shared" si="0"/>
        <v>738.75</v>
      </c>
      <c r="K22" s="146">
        <f>'Athens Daily - Gas'!BH28</f>
        <v>162278.44800000003</v>
      </c>
      <c r="L22" s="146">
        <f>'Athens Daily - Gas'!BI28</f>
        <v>92188.800000000003</v>
      </c>
      <c r="M22" s="126">
        <f t="shared" si="2"/>
        <v>6590.7083139083143</v>
      </c>
      <c r="N22" s="153">
        <f>Occ!G29</f>
        <v>442</v>
      </c>
      <c r="O22" s="100">
        <f>Occ!H29</f>
        <v>1009</v>
      </c>
      <c r="P22" s="152">
        <v>918</v>
      </c>
      <c r="Q22" s="158"/>
    </row>
    <row r="23" spans="1:17">
      <c r="A23" s="7" t="s">
        <v>14</v>
      </c>
      <c r="B23" s="7">
        <v>21</v>
      </c>
      <c r="C23" s="7">
        <v>10</v>
      </c>
      <c r="D23" s="116">
        <v>2021</v>
      </c>
      <c r="E23" s="146">
        <f>'Athens Daily - EL'!AK28</f>
        <v>32128.5</v>
      </c>
      <c r="F23" s="146">
        <f>'Athens Daily - EL'!AL28</f>
        <v>6865.5</v>
      </c>
      <c r="G23" s="126">
        <f t="shared" si="1"/>
        <v>38994</v>
      </c>
      <c r="H23" s="164">
        <f>'Athens Daily - Water'!R27</f>
        <v>421</v>
      </c>
      <c r="I23" s="146">
        <f>'Athens Daily - Water'!S27</f>
        <v>184.9</v>
      </c>
      <c r="J23" s="122">
        <f t="shared" si="0"/>
        <v>605.9</v>
      </c>
      <c r="K23" s="146">
        <f>'Athens Daily - Gas'!BH29</f>
        <v>177690.33599999995</v>
      </c>
      <c r="L23" s="146">
        <f>'Athens Daily - Gas'!BI29</f>
        <v>96614.400000000009</v>
      </c>
      <c r="M23" s="126">
        <f t="shared" si="2"/>
        <v>7104.4997668997667</v>
      </c>
      <c r="N23" s="153">
        <f>Occ!G30</f>
        <v>428</v>
      </c>
      <c r="O23" s="100">
        <f>Occ!H30</f>
        <v>984</v>
      </c>
      <c r="P23" s="152">
        <v>918</v>
      </c>
      <c r="Q23" s="158"/>
    </row>
    <row r="24" spans="1:17">
      <c r="A24" s="7" t="s">
        <v>14</v>
      </c>
      <c r="B24" s="7">
        <v>22</v>
      </c>
      <c r="C24" s="7">
        <v>10</v>
      </c>
      <c r="D24" s="116">
        <v>2021</v>
      </c>
      <c r="E24" s="146">
        <f>'Athens Daily - EL'!AK29</f>
        <v>33599</v>
      </c>
      <c r="F24" s="146">
        <f>'Athens Daily - EL'!AL29</f>
        <v>7365</v>
      </c>
      <c r="G24" s="126">
        <f t="shared" si="1"/>
        <v>40964</v>
      </c>
      <c r="H24" s="164">
        <f>'Athens Daily - Water'!R28</f>
        <v>500.55899999999929</v>
      </c>
      <c r="I24" s="146">
        <f>'Athens Daily - Water'!S28</f>
        <v>185.75</v>
      </c>
      <c r="J24" s="122">
        <f t="shared" si="0"/>
        <v>686.30899999999929</v>
      </c>
      <c r="K24" s="146">
        <f>'Athens Daily - Gas'!BH30</f>
        <v>176869.63199999998</v>
      </c>
      <c r="L24" s="146">
        <f>'Athens Daily - Gas'!BI30</f>
        <v>88905.600000000006</v>
      </c>
      <c r="M24" s="126">
        <f t="shared" si="2"/>
        <v>6883.5853923853911</v>
      </c>
      <c r="N24" s="153">
        <f>Occ!G31</f>
        <v>459</v>
      </c>
      <c r="O24" s="100">
        <f>Occ!H31</f>
        <v>1059</v>
      </c>
      <c r="P24" s="152">
        <v>918</v>
      </c>
      <c r="Q24" s="158"/>
    </row>
    <row r="25" spans="1:17">
      <c r="A25" s="7" t="s">
        <v>14</v>
      </c>
      <c r="B25" s="7">
        <v>23</v>
      </c>
      <c r="C25" s="7">
        <v>10</v>
      </c>
      <c r="D25" s="116">
        <v>2021</v>
      </c>
      <c r="E25" s="146">
        <f>'Athens Daily - EL'!AK30</f>
        <v>34658.5</v>
      </c>
      <c r="F25" s="146">
        <f>'Athens Daily - EL'!AL30</f>
        <v>7841.5</v>
      </c>
      <c r="G25" s="126">
        <f t="shared" si="1"/>
        <v>42500</v>
      </c>
      <c r="H25" s="164">
        <f>'Athens Daily - Water'!R29</f>
        <v>508.95360000000073</v>
      </c>
      <c r="I25" s="146">
        <f>'Athens Daily - Water'!S29</f>
        <v>173.15</v>
      </c>
      <c r="J25" s="122">
        <f t="shared" si="0"/>
        <v>682.10360000000071</v>
      </c>
      <c r="K25" s="164">
        <f>'Athens Daily - Gas'!BH31</f>
        <v>147410.68799999999</v>
      </c>
      <c r="L25" s="146">
        <f>'Athens Daily - Gas'!BI31</f>
        <v>68332.800000000003</v>
      </c>
      <c r="M25" s="126">
        <f t="shared" si="2"/>
        <v>5587.7619269619272</v>
      </c>
      <c r="N25" s="153">
        <f>Occ!G32</f>
        <v>478</v>
      </c>
      <c r="O25" s="100">
        <f>Occ!H32</f>
        <v>1111</v>
      </c>
      <c r="P25" s="152">
        <v>918</v>
      </c>
      <c r="Q25" s="158"/>
    </row>
    <row r="26" spans="1:17">
      <c r="A26" s="7" t="s">
        <v>14</v>
      </c>
      <c r="B26" s="7">
        <v>24</v>
      </c>
      <c r="C26" s="7">
        <v>10</v>
      </c>
      <c r="D26" s="116">
        <v>2021</v>
      </c>
      <c r="E26" s="146">
        <f>'Athens Daily - EL'!AK31</f>
        <v>35869</v>
      </c>
      <c r="F26" s="146">
        <f>'Athens Daily - EL'!AL31</f>
        <v>8092</v>
      </c>
      <c r="G26" s="126">
        <f t="shared" si="1"/>
        <v>43961</v>
      </c>
      <c r="H26" s="164">
        <f>'Athens Daily - Water'!R30</f>
        <v>567.48739999999998</v>
      </c>
      <c r="I26" s="146">
        <f>'Athens Daily - Water'!S30</f>
        <v>177.3</v>
      </c>
      <c r="J26" s="122">
        <f t="shared" si="0"/>
        <v>744.78739999999993</v>
      </c>
      <c r="K26" s="146">
        <f>'Athens Daily - Gas'!BH32</f>
        <v>150528.04799999998</v>
      </c>
      <c r="L26" s="146">
        <f>'Athens Daily - Gas'!BI32</f>
        <v>71414.399999999994</v>
      </c>
      <c r="M26" s="126">
        <f t="shared" si="2"/>
        <v>5748.3151515151512</v>
      </c>
      <c r="N26" s="153">
        <f>Occ!G33</f>
        <v>502</v>
      </c>
      <c r="O26" s="100">
        <f>Occ!H33</f>
        <v>1171</v>
      </c>
      <c r="P26" s="152">
        <v>918</v>
      </c>
      <c r="Q26" s="158"/>
    </row>
    <row r="27" spans="1:17">
      <c r="A27" s="7" t="s">
        <v>14</v>
      </c>
      <c r="B27" s="7">
        <v>25</v>
      </c>
      <c r="C27" s="7">
        <v>10</v>
      </c>
      <c r="D27" s="116">
        <v>2021</v>
      </c>
      <c r="E27" s="146">
        <f>'Athens Daily - EL'!AK32</f>
        <v>35083.5</v>
      </c>
      <c r="F27" s="146">
        <f>'Athens Daily - EL'!AL32</f>
        <v>7491.5</v>
      </c>
      <c r="G27" s="126">
        <f t="shared" si="1"/>
        <v>42575</v>
      </c>
      <c r="H27" s="164">
        <f>'Athens Daily - Water'!R31</f>
        <v>652</v>
      </c>
      <c r="I27" s="146">
        <f>'Athens Daily - Water'!S31</f>
        <v>195.9</v>
      </c>
      <c r="J27" s="122">
        <f t="shared" si="0"/>
        <v>847.9</v>
      </c>
      <c r="K27" s="146">
        <f>'Athens Daily - Gas'!BH33</f>
        <v>154413.93600000002</v>
      </c>
      <c r="L27" s="146">
        <f>'Athens Daily - Gas'!BI33</f>
        <v>75100.800000000003</v>
      </c>
      <c r="M27" s="126">
        <f t="shared" si="2"/>
        <v>5944.4376068376077</v>
      </c>
      <c r="N27" s="153">
        <f>Occ!G34</f>
        <v>478</v>
      </c>
      <c r="O27" s="100">
        <f>Occ!H34</f>
        <v>1124</v>
      </c>
      <c r="P27" s="152">
        <v>918</v>
      </c>
      <c r="Q27" s="156"/>
    </row>
    <row r="28" spans="1:17">
      <c r="A28" s="7" t="s">
        <v>14</v>
      </c>
      <c r="B28" s="7">
        <v>26</v>
      </c>
      <c r="C28" s="7">
        <v>10</v>
      </c>
      <c r="D28" s="116">
        <v>2021</v>
      </c>
      <c r="E28" s="146">
        <f>'Athens Daily - EL'!AK33</f>
        <v>33309</v>
      </c>
      <c r="F28" s="146">
        <f>'Athens Daily - EL'!AL33</f>
        <v>6663</v>
      </c>
      <c r="G28" s="126">
        <f t="shared" si="1"/>
        <v>39972</v>
      </c>
      <c r="H28" s="146">
        <f>'Athens Daily - Water'!R32</f>
        <v>840</v>
      </c>
      <c r="I28" s="146">
        <f>'Athens Daily - Water'!S32</f>
        <v>163.75</v>
      </c>
      <c r="J28" s="122">
        <f t="shared" si="0"/>
        <v>1003.75</v>
      </c>
      <c r="K28" s="146">
        <f>'Athens Daily - Gas'!BH34</f>
        <v>166463.136</v>
      </c>
      <c r="L28" s="146">
        <f>'Athens Daily - Gas'!BI34</f>
        <v>82579.200000000012</v>
      </c>
      <c r="M28" s="126">
        <f t="shared" si="2"/>
        <v>6450.2029526029528</v>
      </c>
      <c r="N28" s="153">
        <f>Occ!G35</f>
        <v>423</v>
      </c>
      <c r="O28" s="100">
        <f>Occ!H35</f>
        <v>992</v>
      </c>
      <c r="P28" s="152">
        <v>918</v>
      </c>
      <c r="Q28" s="156"/>
    </row>
    <row r="29" spans="1:17">
      <c r="A29" s="7" t="s">
        <v>14</v>
      </c>
      <c r="B29" s="7">
        <v>27</v>
      </c>
      <c r="C29" s="7">
        <v>10</v>
      </c>
      <c r="D29" s="116">
        <v>2021</v>
      </c>
      <c r="E29" s="146">
        <f>'Athens Daily - EL'!AK34</f>
        <v>37439</v>
      </c>
      <c r="F29" s="146">
        <f>'Athens Daily - EL'!AL34</f>
        <v>6202</v>
      </c>
      <c r="G29" s="126">
        <f t="shared" si="1"/>
        <v>43641</v>
      </c>
      <c r="H29" s="146">
        <f>'Athens Daily - Water'!R33</f>
        <v>738</v>
      </c>
      <c r="I29" s="146">
        <f>'Athens Daily - Water'!S33</f>
        <v>196.3</v>
      </c>
      <c r="J29" s="122">
        <f t="shared" si="0"/>
        <v>934.3</v>
      </c>
      <c r="K29" s="146">
        <f>'Athens Daily - Gas'!BH35</f>
        <v>188510.976</v>
      </c>
      <c r="L29" s="146">
        <f>'Athens Daily - Gas'!BI35</f>
        <v>99523.199999999997</v>
      </c>
      <c r="M29" s="126">
        <f t="shared" si="2"/>
        <v>7460.0926184926184</v>
      </c>
      <c r="N29" s="153">
        <f>Occ!G36</f>
        <v>467</v>
      </c>
      <c r="O29" s="100">
        <f>Occ!H36</f>
        <v>1113</v>
      </c>
      <c r="P29" s="152">
        <v>918</v>
      </c>
      <c r="Q29" s="156"/>
    </row>
    <row r="30" spans="1:17">
      <c r="A30" s="7" t="s">
        <v>14</v>
      </c>
      <c r="B30" s="7">
        <v>28</v>
      </c>
      <c r="C30" s="7">
        <v>10</v>
      </c>
      <c r="D30" s="116">
        <v>2021</v>
      </c>
      <c r="E30" s="146">
        <f>'Athens Daily - EL'!AK35</f>
        <v>35573.5</v>
      </c>
      <c r="F30" s="146">
        <f>'Athens Daily - EL'!AL35</f>
        <v>6311.5</v>
      </c>
      <c r="G30" s="126">
        <f t="shared" si="1"/>
        <v>41885</v>
      </c>
      <c r="H30" s="146">
        <f>'Athens Daily - Water'!R34</f>
        <v>485</v>
      </c>
      <c r="I30" s="146">
        <f>'Athens Daily - Water'!S34</f>
        <v>202.15</v>
      </c>
      <c r="J30" s="122">
        <f t="shared" si="0"/>
        <v>687.15</v>
      </c>
      <c r="K30" s="146">
        <f>'Athens Daily - Gas'!BH36</f>
        <v>205212.62399999998</v>
      </c>
      <c r="L30" s="146">
        <f>'Athens Daily - Gas'!BI36</f>
        <v>113971.20000000001</v>
      </c>
      <c r="M30" s="126">
        <f t="shared" si="2"/>
        <v>8266.8693084693095</v>
      </c>
      <c r="N30" s="153">
        <f>Occ!G37</f>
        <v>468</v>
      </c>
      <c r="O30" s="100">
        <f>Occ!H37</f>
        <v>1104</v>
      </c>
      <c r="P30" s="152">
        <v>918</v>
      </c>
      <c r="Q30" s="156"/>
    </row>
    <row r="31" spans="1:17">
      <c r="A31" s="7" t="s">
        <v>14</v>
      </c>
      <c r="B31" s="7">
        <v>29</v>
      </c>
      <c r="C31" s="7">
        <v>10</v>
      </c>
      <c r="D31" s="116">
        <v>2021</v>
      </c>
      <c r="E31" s="146">
        <f>'Athens Daily - EL'!AK36</f>
        <v>37419</v>
      </c>
      <c r="F31" s="146">
        <f>'Athens Daily - EL'!AL36</f>
        <v>7462</v>
      </c>
      <c r="G31" s="126">
        <f t="shared" si="1"/>
        <v>44881</v>
      </c>
      <c r="H31" s="146">
        <f>'Athens Daily - Water'!R35</f>
        <v>948</v>
      </c>
      <c r="I31" s="146">
        <f>'Athens Daily - Water'!S35</f>
        <v>196.75</v>
      </c>
      <c r="J31" s="122">
        <f t="shared" si="0"/>
        <v>1144.75</v>
      </c>
      <c r="K31" s="146">
        <f>'Athens Daily - Gas'!BH37</f>
        <v>192549.88799999998</v>
      </c>
      <c r="L31" s="146">
        <f>'Athens Daily - Gas'!BI37</f>
        <v>98966.400000000009</v>
      </c>
      <c r="M31" s="126">
        <f t="shared" si="2"/>
        <v>7550.2794094794099</v>
      </c>
      <c r="N31" s="153">
        <f>Occ!G38</f>
        <v>456</v>
      </c>
      <c r="O31" s="100">
        <f>Occ!H38</f>
        <v>1066</v>
      </c>
      <c r="P31" s="152">
        <v>918</v>
      </c>
      <c r="Q31" s="156"/>
    </row>
    <row r="32" spans="1:17">
      <c r="A32" s="7" t="s">
        <v>14</v>
      </c>
      <c r="B32" s="7">
        <v>30</v>
      </c>
      <c r="C32" s="7">
        <v>10</v>
      </c>
      <c r="D32" s="116">
        <v>2021</v>
      </c>
      <c r="E32" s="146">
        <f>'Athens Daily - EL'!AK37</f>
        <v>37326.5</v>
      </c>
      <c r="F32" s="146">
        <f>'Athens Daily - EL'!AL37</f>
        <v>7351.5</v>
      </c>
      <c r="G32" s="126">
        <f t="shared" si="1"/>
        <v>44678</v>
      </c>
      <c r="H32" s="146">
        <f>'Athens Daily - Water'!R36</f>
        <v>747</v>
      </c>
      <c r="I32" s="146">
        <f>'Athens Daily - Water'!S36</f>
        <v>197.25</v>
      </c>
      <c r="J32" s="122">
        <f t="shared" si="0"/>
        <v>944.25</v>
      </c>
      <c r="K32" s="146">
        <f>'Athens Daily - Gas'!BH38</f>
        <v>174661.87199999997</v>
      </c>
      <c r="L32" s="146">
        <f>'Athens Daily - Gas'!BI38</f>
        <v>86313.600000000006</v>
      </c>
      <c r="M32" s="126">
        <f t="shared" si="2"/>
        <v>6759.2714840714834</v>
      </c>
      <c r="N32" s="153">
        <f>Occ!G39</f>
        <v>439</v>
      </c>
      <c r="O32" s="100">
        <f>Occ!H39</f>
        <v>1032</v>
      </c>
      <c r="P32" s="152">
        <v>918</v>
      </c>
      <c r="Q32" s="156"/>
    </row>
    <row r="33" spans="1:17" ht="15.75" thickBot="1">
      <c r="A33" s="7" t="s">
        <v>14</v>
      </c>
      <c r="B33" s="7">
        <v>31</v>
      </c>
      <c r="C33" s="7">
        <v>10</v>
      </c>
      <c r="D33" s="116">
        <v>2021</v>
      </c>
      <c r="E33" s="146">
        <f>'Athens Daily - EL'!AK38</f>
        <v>39879</v>
      </c>
      <c r="F33" s="146">
        <f>'Athens Daily - EL'!AL38</f>
        <v>7881</v>
      </c>
      <c r="G33" s="127">
        <f t="shared" si="1"/>
        <v>47760</v>
      </c>
      <c r="H33" s="147">
        <f>'Athens Daily - Water'!R37</f>
        <v>581</v>
      </c>
      <c r="I33" s="146">
        <f>'Athens Daily - Water'!S37</f>
        <v>191.35000000000002</v>
      </c>
      <c r="J33" s="123">
        <f t="shared" si="0"/>
        <v>772.35</v>
      </c>
      <c r="K33" s="147">
        <f>'Athens Daily - Gas'!BH39</f>
        <v>169833.59999999998</v>
      </c>
      <c r="L33" s="146">
        <f>'Athens Daily - Gas'!BI39</f>
        <v>80534.399999999994</v>
      </c>
      <c r="M33" s="127">
        <f t="shared" si="2"/>
        <v>6484.5376845376841</v>
      </c>
      <c r="N33" s="160">
        <f>Occ!G40</f>
        <v>470</v>
      </c>
      <c r="O33" s="151">
        <f>Occ!H40</f>
        <v>1080</v>
      </c>
      <c r="P33" s="150">
        <v>918</v>
      </c>
      <c r="Q33" s="156"/>
    </row>
    <row r="35" spans="1:17">
      <c r="N35" s="184"/>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E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8" t="s">
        <v>15</v>
      </c>
      <c r="B1" s="128" t="s">
        <v>16</v>
      </c>
      <c r="C1" s="129"/>
      <c r="D1" s="129"/>
      <c r="E1" s="129"/>
      <c r="F1" s="129"/>
      <c r="G1" s="129"/>
      <c r="H1" s="129"/>
      <c r="I1" s="129"/>
      <c r="J1" s="128"/>
      <c r="K1" s="128"/>
      <c r="L1" s="128"/>
      <c r="M1" s="128"/>
      <c r="N1" s="128"/>
    </row>
    <row r="2" spans="1:14">
      <c r="A2" s="128"/>
      <c r="B2" s="128"/>
      <c r="C2" s="129"/>
      <c r="D2" s="129"/>
      <c r="E2" s="129"/>
      <c r="F2" s="129"/>
      <c r="G2" s="129"/>
      <c r="H2" s="129"/>
      <c r="I2" s="129"/>
      <c r="J2" s="128"/>
      <c r="K2" s="128"/>
      <c r="L2" s="128"/>
      <c r="M2" s="128"/>
      <c r="N2" s="128"/>
    </row>
    <row r="3" spans="1:14">
      <c r="A3" s="128"/>
      <c r="B3" s="128"/>
      <c r="C3" s="130" t="s">
        <v>17</v>
      </c>
      <c r="D3" s="130"/>
      <c r="E3" s="130"/>
      <c r="F3" s="130"/>
      <c r="G3" s="130"/>
      <c r="H3" s="130"/>
      <c r="I3" s="130"/>
      <c r="J3" s="131"/>
      <c r="K3" s="131"/>
      <c r="L3" s="131"/>
      <c r="M3" s="131"/>
      <c r="N3" s="131"/>
    </row>
    <row r="4" spans="1:14">
      <c r="A4" s="128"/>
      <c r="B4" s="128"/>
      <c r="C4" s="129" t="s">
        <v>18</v>
      </c>
      <c r="D4" s="129"/>
      <c r="E4" s="129"/>
      <c r="F4" s="129"/>
      <c r="G4" s="129"/>
      <c r="H4" s="129"/>
      <c r="I4" s="129"/>
      <c r="J4" s="128"/>
      <c r="K4" s="128"/>
      <c r="L4" s="128"/>
      <c r="M4" s="128"/>
      <c r="N4" s="128"/>
    </row>
    <row r="5" spans="1:14">
      <c r="A5" s="128"/>
      <c r="B5" s="128"/>
      <c r="C5" s="129" t="s">
        <v>19</v>
      </c>
      <c r="D5" s="129"/>
      <c r="E5" s="129"/>
      <c r="F5" s="129"/>
      <c r="G5" s="129"/>
      <c r="H5" s="129"/>
      <c r="I5" s="129"/>
      <c r="J5" s="128"/>
      <c r="K5" s="128"/>
      <c r="L5" s="128"/>
      <c r="M5" s="128"/>
      <c r="N5" s="128"/>
    </row>
    <row r="6" spans="1:14">
      <c r="A6" s="128"/>
      <c r="B6" s="128"/>
      <c r="C6" s="129" t="s">
        <v>12</v>
      </c>
      <c r="D6" s="129"/>
      <c r="E6" s="129"/>
      <c r="F6" s="129"/>
      <c r="G6" s="129"/>
      <c r="H6" s="129"/>
      <c r="I6" s="129"/>
      <c r="J6" s="128"/>
      <c r="K6" s="128"/>
      <c r="L6" s="128"/>
      <c r="M6" s="128"/>
      <c r="N6" s="128"/>
    </row>
    <row r="7" spans="1:14">
      <c r="A7" s="128"/>
      <c r="B7" s="128" t="s">
        <v>20</v>
      </c>
      <c r="C7" s="129" t="s">
        <v>403</v>
      </c>
      <c r="D7" s="129"/>
      <c r="E7" s="129"/>
      <c r="F7" s="129"/>
      <c r="G7" s="129"/>
      <c r="H7" s="129"/>
      <c r="I7" s="129"/>
      <c r="J7" s="128"/>
      <c r="K7" s="128"/>
      <c r="L7" s="128"/>
      <c r="M7" s="128"/>
      <c r="N7" s="128"/>
    </row>
    <row r="8" spans="1:14" ht="15.75" thickBot="1">
      <c r="A8" s="128"/>
      <c r="B8" s="128" t="s">
        <v>21</v>
      </c>
      <c r="C8" s="132"/>
      <c r="D8" s="132"/>
      <c r="E8" s="132"/>
      <c r="F8" s="132"/>
      <c r="G8" s="200" t="s">
        <v>22</v>
      </c>
      <c r="H8" s="201"/>
      <c r="I8" s="129"/>
      <c r="J8" s="128"/>
      <c r="K8" s="128"/>
      <c r="L8" s="128"/>
      <c r="M8" s="128"/>
      <c r="N8" s="128"/>
    </row>
    <row r="9" spans="1:14">
      <c r="A9" s="128"/>
      <c r="B9" s="133" t="s">
        <v>23</v>
      </c>
      <c r="C9" s="134" t="s">
        <v>24</v>
      </c>
      <c r="D9" s="135" t="s">
        <v>25</v>
      </c>
      <c r="E9" s="134" t="s">
        <v>26</v>
      </c>
      <c r="F9" s="135" t="s">
        <v>25</v>
      </c>
      <c r="G9" s="134" t="s">
        <v>27</v>
      </c>
      <c r="H9" s="135" t="s">
        <v>11</v>
      </c>
      <c r="I9" s="136" t="s">
        <v>12</v>
      </c>
      <c r="J9" s="128"/>
      <c r="K9" s="128"/>
      <c r="L9" s="128"/>
      <c r="M9" s="128"/>
      <c r="N9" s="128"/>
    </row>
    <row r="10" spans="1:14">
      <c r="A10" s="128"/>
      <c r="B10" s="137" t="s">
        <v>28</v>
      </c>
      <c r="C10" s="138">
        <v>71</v>
      </c>
      <c r="D10" s="139">
        <v>133</v>
      </c>
      <c r="E10" s="138">
        <v>389</v>
      </c>
      <c r="F10" s="139">
        <v>894</v>
      </c>
      <c r="G10" s="159">
        <f>C10+E10</f>
        <v>460</v>
      </c>
      <c r="H10" s="139">
        <f>D10+F10</f>
        <v>1027</v>
      </c>
      <c r="I10" s="136"/>
      <c r="J10" s="128"/>
      <c r="K10" s="128"/>
      <c r="L10" s="128"/>
      <c r="M10" s="128"/>
      <c r="N10" s="128"/>
    </row>
    <row r="11" spans="1:14">
      <c r="A11" s="128"/>
      <c r="B11" s="137" t="s">
        <v>29</v>
      </c>
      <c r="C11" s="138">
        <v>87</v>
      </c>
      <c r="D11" s="139">
        <v>163</v>
      </c>
      <c r="E11" s="138">
        <v>387</v>
      </c>
      <c r="F11" s="139">
        <v>894</v>
      </c>
      <c r="G11" s="159">
        <f t="shared" ref="G11:G40" si="0">C11+E11</f>
        <v>474</v>
      </c>
      <c r="H11" s="139">
        <f t="shared" ref="H11:H40" si="1">D11+F11</f>
        <v>1057</v>
      </c>
      <c r="I11" s="136"/>
      <c r="J11" s="128"/>
      <c r="K11" s="128"/>
      <c r="L11" s="128"/>
      <c r="M11" s="128"/>
      <c r="N11" s="128"/>
    </row>
    <row r="12" spans="1:14">
      <c r="A12" s="128"/>
      <c r="B12" s="137" t="s">
        <v>30</v>
      </c>
      <c r="C12" s="138">
        <v>131</v>
      </c>
      <c r="D12" s="139">
        <v>268</v>
      </c>
      <c r="E12" s="138">
        <v>386</v>
      </c>
      <c r="F12" s="139">
        <v>892</v>
      </c>
      <c r="G12" s="159">
        <f t="shared" si="0"/>
        <v>517</v>
      </c>
      <c r="H12" s="139">
        <f t="shared" si="1"/>
        <v>1160</v>
      </c>
      <c r="I12" s="136"/>
      <c r="J12" s="128"/>
      <c r="K12" s="128"/>
      <c r="L12" s="128"/>
      <c r="M12" s="128"/>
      <c r="N12" s="128"/>
    </row>
    <row r="13" spans="1:14">
      <c r="A13" s="128"/>
      <c r="B13" s="137" t="s">
        <v>31</v>
      </c>
      <c r="C13" s="138">
        <v>145</v>
      </c>
      <c r="D13" s="139">
        <v>316</v>
      </c>
      <c r="E13" s="138">
        <v>385</v>
      </c>
      <c r="F13" s="139">
        <v>891</v>
      </c>
      <c r="G13" s="159">
        <f t="shared" si="0"/>
        <v>530</v>
      </c>
      <c r="H13" s="139">
        <f t="shared" si="1"/>
        <v>1207</v>
      </c>
      <c r="I13" s="136"/>
      <c r="J13" s="128"/>
      <c r="K13" s="128"/>
      <c r="L13" s="128"/>
      <c r="M13" s="128"/>
      <c r="N13" s="128"/>
    </row>
    <row r="14" spans="1:14">
      <c r="A14" s="128"/>
      <c r="B14" s="137" t="s">
        <v>32</v>
      </c>
      <c r="C14" s="138">
        <v>89</v>
      </c>
      <c r="D14" s="139">
        <v>171</v>
      </c>
      <c r="E14" s="138">
        <v>383</v>
      </c>
      <c r="F14" s="139">
        <v>885</v>
      </c>
      <c r="G14" s="159">
        <f t="shared" si="0"/>
        <v>472</v>
      </c>
      <c r="H14" s="139">
        <f t="shared" si="1"/>
        <v>1056</v>
      </c>
      <c r="I14" s="136"/>
      <c r="J14" s="128"/>
      <c r="K14" s="128"/>
      <c r="L14" s="128"/>
      <c r="M14" s="128"/>
      <c r="N14" s="128"/>
    </row>
    <row r="15" spans="1:14">
      <c r="A15" s="128"/>
      <c r="B15" s="137" t="s">
        <v>33</v>
      </c>
      <c r="C15" s="138">
        <v>83</v>
      </c>
      <c r="D15" s="139">
        <v>144</v>
      </c>
      <c r="E15" s="138">
        <v>379</v>
      </c>
      <c r="F15" s="139">
        <v>878</v>
      </c>
      <c r="G15" s="159">
        <f t="shared" si="0"/>
        <v>462</v>
      </c>
      <c r="H15" s="139">
        <f t="shared" si="1"/>
        <v>1022</v>
      </c>
      <c r="I15" s="136"/>
      <c r="J15" s="128"/>
      <c r="K15" s="128"/>
      <c r="L15" s="128"/>
      <c r="M15" s="128"/>
      <c r="N15" s="128"/>
    </row>
    <row r="16" spans="1:14">
      <c r="A16" s="128"/>
      <c r="B16" s="137" t="s">
        <v>34</v>
      </c>
      <c r="C16" s="138">
        <v>78</v>
      </c>
      <c r="D16" s="139">
        <v>129</v>
      </c>
      <c r="E16" s="138">
        <v>374</v>
      </c>
      <c r="F16" s="139">
        <v>869</v>
      </c>
      <c r="G16" s="159">
        <f t="shared" si="0"/>
        <v>452</v>
      </c>
      <c r="H16" s="139">
        <f t="shared" si="1"/>
        <v>998</v>
      </c>
      <c r="I16" s="136"/>
      <c r="J16" s="128"/>
      <c r="K16" s="128"/>
      <c r="L16" s="128"/>
      <c r="M16" s="128"/>
      <c r="N16" s="128"/>
    </row>
    <row r="17" spans="1:14">
      <c r="A17" s="128"/>
      <c r="B17" s="137" t="s">
        <v>35</v>
      </c>
      <c r="C17" s="138">
        <v>66</v>
      </c>
      <c r="D17" s="139">
        <v>123</v>
      </c>
      <c r="E17" s="138">
        <v>372</v>
      </c>
      <c r="F17" s="139">
        <v>865</v>
      </c>
      <c r="G17" s="159">
        <f t="shared" si="0"/>
        <v>438</v>
      </c>
      <c r="H17" s="139">
        <f t="shared" si="1"/>
        <v>988</v>
      </c>
      <c r="I17" s="136"/>
      <c r="J17" s="128"/>
      <c r="K17" s="128"/>
      <c r="L17" s="128"/>
      <c r="M17" s="128"/>
      <c r="N17" s="128"/>
    </row>
    <row r="18" spans="1:14">
      <c r="A18" s="128"/>
      <c r="B18" s="137" t="s">
        <v>36</v>
      </c>
      <c r="C18" s="138">
        <v>95</v>
      </c>
      <c r="D18" s="139">
        <v>178</v>
      </c>
      <c r="E18" s="138">
        <v>367</v>
      </c>
      <c r="F18" s="139">
        <v>859</v>
      </c>
      <c r="G18" s="159">
        <f t="shared" si="0"/>
        <v>462</v>
      </c>
      <c r="H18" s="139">
        <f t="shared" si="1"/>
        <v>1037</v>
      </c>
      <c r="I18" s="136"/>
      <c r="J18" s="128"/>
      <c r="K18" s="128"/>
      <c r="L18" s="128"/>
      <c r="M18" s="128"/>
      <c r="N18" s="128"/>
    </row>
    <row r="19" spans="1:14">
      <c r="A19" s="128"/>
      <c r="B19" s="137" t="s">
        <v>37</v>
      </c>
      <c r="C19" s="138">
        <v>108</v>
      </c>
      <c r="D19" s="139">
        <v>215</v>
      </c>
      <c r="E19" s="138">
        <v>362</v>
      </c>
      <c r="F19" s="139">
        <v>844</v>
      </c>
      <c r="G19" s="159">
        <f t="shared" si="0"/>
        <v>470</v>
      </c>
      <c r="H19" s="139">
        <f t="shared" si="1"/>
        <v>1059</v>
      </c>
      <c r="I19" s="136"/>
      <c r="J19" s="128"/>
      <c r="K19" s="128"/>
      <c r="L19" s="128"/>
      <c r="M19" s="128"/>
      <c r="N19" s="128"/>
    </row>
    <row r="20" spans="1:14">
      <c r="A20" s="128"/>
      <c r="B20" s="137" t="s">
        <v>38</v>
      </c>
      <c r="C20" s="138">
        <v>140</v>
      </c>
      <c r="D20" s="139">
        <v>288</v>
      </c>
      <c r="E20" s="138">
        <v>364</v>
      </c>
      <c r="F20" s="139">
        <v>851</v>
      </c>
      <c r="G20" s="159">
        <f t="shared" si="0"/>
        <v>504</v>
      </c>
      <c r="H20" s="139">
        <f t="shared" si="1"/>
        <v>1139</v>
      </c>
      <c r="I20" s="136"/>
      <c r="J20" s="128"/>
      <c r="K20" s="128"/>
      <c r="L20" s="128"/>
      <c r="M20" s="128"/>
      <c r="N20" s="128"/>
    </row>
    <row r="21" spans="1:14">
      <c r="A21" s="128"/>
      <c r="B21" s="137" t="s">
        <v>39</v>
      </c>
      <c r="C21" s="138">
        <v>94</v>
      </c>
      <c r="D21" s="139">
        <v>183</v>
      </c>
      <c r="E21" s="159">
        <v>362</v>
      </c>
      <c r="F21" s="139">
        <v>845</v>
      </c>
      <c r="G21" s="159">
        <f t="shared" si="0"/>
        <v>456</v>
      </c>
      <c r="H21" s="139">
        <f t="shared" si="1"/>
        <v>1028</v>
      </c>
      <c r="I21" s="136"/>
      <c r="J21" s="128"/>
      <c r="K21" s="128"/>
      <c r="L21" s="128"/>
      <c r="M21" s="128"/>
      <c r="N21" s="128"/>
    </row>
    <row r="22" spans="1:14">
      <c r="A22" s="128"/>
      <c r="B22" s="137" t="s">
        <v>40</v>
      </c>
      <c r="C22" s="138">
        <v>74</v>
      </c>
      <c r="D22" s="139">
        <v>135</v>
      </c>
      <c r="E22" s="159">
        <v>362</v>
      </c>
      <c r="F22" s="139">
        <v>842</v>
      </c>
      <c r="G22" s="159">
        <f t="shared" si="0"/>
        <v>436</v>
      </c>
      <c r="H22" s="139">
        <f t="shared" si="1"/>
        <v>977</v>
      </c>
      <c r="I22" s="136"/>
      <c r="J22" s="128"/>
      <c r="K22" s="128"/>
      <c r="L22" s="128"/>
      <c r="M22" s="128"/>
      <c r="N22" s="128"/>
    </row>
    <row r="23" spans="1:14">
      <c r="A23" s="128"/>
      <c r="B23" s="137" t="s">
        <v>41</v>
      </c>
      <c r="C23" s="167">
        <v>104</v>
      </c>
      <c r="D23" s="168">
        <v>198</v>
      </c>
      <c r="E23" s="159">
        <v>362</v>
      </c>
      <c r="F23" s="139">
        <v>841</v>
      </c>
      <c r="G23" s="159">
        <f t="shared" si="0"/>
        <v>466</v>
      </c>
      <c r="H23" s="139">
        <f t="shared" si="1"/>
        <v>1039</v>
      </c>
      <c r="I23" s="136"/>
      <c r="J23" s="128"/>
      <c r="K23" s="128"/>
      <c r="L23" s="128"/>
      <c r="M23" s="128"/>
      <c r="N23" s="128"/>
    </row>
    <row r="24" spans="1:14">
      <c r="A24" s="128"/>
      <c r="B24" s="137" t="s">
        <v>42</v>
      </c>
      <c r="C24" s="138">
        <v>96</v>
      </c>
      <c r="D24" s="139">
        <v>186</v>
      </c>
      <c r="E24" s="159">
        <v>358</v>
      </c>
      <c r="F24" s="139">
        <v>831</v>
      </c>
      <c r="G24" s="159">
        <f t="shared" si="0"/>
        <v>454</v>
      </c>
      <c r="H24" s="139">
        <f t="shared" si="1"/>
        <v>1017</v>
      </c>
      <c r="I24" s="136"/>
      <c r="J24" s="128"/>
      <c r="K24" s="128"/>
      <c r="L24" s="128"/>
      <c r="M24" s="128"/>
      <c r="N24" s="128"/>
    </row>
    <row r="25" spans="1:14">
      <c r="A25" s="128"/>
      <c r="B25" s="137" t="s">
        <v>43</v>
      </c>
      <c r="C25" s="138">
        <v>89</v>
      </c>
      <c r="D25" s="168">
        <v>167</v>
      </c>
      <c r="E25" s="159">
        <v>350</v>
      </c>
      <c r="F25" s="139">
        <v>813</v>
      </c>
      <c r="G25" s="159">
        <f t="shared" si="0"/>
        <v>439</v>
      </c>
      <c r="H25" s="139">
        <f t="shared" si="1"/>
        <v>980</v>
      </c>
      <c r="I25" s="136"/>
      <c r="J25" s="128"/>
      <c r="K25" s="128"/>
      <c r="L25" s="128"/>
      <c r="M25" s="128"/>
      <c r="N25" s="128"/>
    </row>
    <row r="26" spans="1:14">
      <c r="A26" s="128"/>
      <c r="B26" s="137" t="s">
        <v>44</v>
      </c>
      <c r="C26" s="138">
        <v>83</v>
      </c>
      <c r="D26" s="139">
        <v>177</v>
      </c>
      <c r="E26" s="159">
        <v>346</v>
      </c>
      <c r="F26" s="139">
        <v>809</v>
      </c>
      <c r="G26" s="159">
        <f t="shared" si="0"/>
        <v>429</v>
      </c>
      <c r="H26" s="139">
        <f t="shared" si="1"/>
        <v>986</v>
      </c>
      <c r="I26" s="136"/>
      <c r="J26" s="128"/>
      <c r="K26" s="128"/>
      <c r="L26" s="128"/>
      <c r="M26" s="128"/>
      <c r="N26" s="128"/>
    </row>
    <row r="27" spans="1:14">
      <c r="A27" s="128"/>
      <c r="B27" s="137" t="s">
        <v>45</v>
      </c>
      <c r="C27" s="138">
        <v>151</v>
      </c>
      <c r="D27" s="139">
        <v>332</v>
      </c>
      <c r="E27" s="159">
        <v>344</v>
      </c>
      <c r="F27" s="139">
        <v>806</v>
      </c>
      <c r="G27" s="159">
        <f t="shared" si="0"/>
        <v>495</v>
      </c>
      <c r="H27" s="139">
        <f t="shared" si="1"/>
        <v>1138</v>
      </c>
      <c r="I27" s="136"/>
      <c r="J27" s="128"/>
      <c r="K27" s="128"/>
      <c r="L27" s="128"/>
      <c r="M27" s="128"/>
      <c r="N27" s="128"/>
    </row>
    <row r="28" spans="1:14">
      <c r="A28" s="128"/>
      <c r="B28" s="137" t="s">
        <v>46</v>
      </c>
      <c r="C28" s="138">
        <v>148</v>
      </c>
      <c r="D28" s="139">
        <v>344</v>
      </c>
      <c r="E28" s="159">
        <v>340</v>
      </c>
      <c r="F28" s="139">
        <v>799</v>
      </c>
      <c r="G28" s="159">
        <f t="shared" si="0"/>
        <v>488</v>
      </c>
      <c r="H28" s="139">
        <f t="shared" si="1"/>
        <v>1143</v>
      </c>
      <c r="I28" s="136"/>
      <c r="J28" s="128"/>
      <c r="K28" s="128"/>
      <c r="L28" s="128"/>
      <c r="M28" s="128"/>
      <c r="N28" s="128"/>
    </row>
    <row r="29" spans="1:14">
      <c r="A29" s="128"/>
      <c r="B29" s="137" t="s">
        <v>47</v>
      </c>
      <c r="C29" s="138">
        <v>109</v>
      </c>
      <c r="D29" s="139">
        <v>236</v>
      </c>
      <c r="E29" s="159">
        <v>333</v>
      </c>
      <c r="F29" s="139">
        <v>773</v>
      </c>
      <c r="G29" s="159">
        <f t="shared" si="0"/>
        <v>442</v>
      </c>
      <c r="H29" s="139">
        <f t="shared" si="1"/>
        <v>1009</v>
      </c>
      <c r="I29" s="136"/>
      <c r="J29" s="128"/>
      <c r="K29" s="128"/>
      <c r="L29" s="128"/>
      <c r="M29" s="128"/>
      <c r="N29" s="128"/>
    </row>
    <row r="30" spans="1:14">
      <c r="A30" s="128"/>
      <c r="B30" s="137" t="s">
        <v>48</v>
      </c>
      <c r="C30" s="138">
        <v>97</v>
      </c>
      <c r="D30" s="139">
        <v>212</v>
      </c>
      <c r="E30" s="159">
        <v>331</v>
      </c>
      <c r="F30" s="139">
        <v>772</v>
      </c>
      <c r="G30" s="159">
        <f t="shared" si="0"/>
        <v>428</v>
      </c>
      <c r="H30" s="139">
        <f t="shared" si="1"/>
        <v>984</v>
      </c>
      <c r="I30" s="136"/>
      <c r="J30" s="128"/>
      <c r="K30" s="128"/>
      <c r="L30" s="128"/>
      <c r="M30" s="128"/>
      <c r="N30" s="128"/>
    </row>
    <row r="31" spans="1:14">
      <c r="A31" s="128"/>
      <c r="B31" s="137" t="s">
        <v>49</v>
      </c>
      <c r="C31" s="138">
        <v>134</v>
      </c>
      <c r="D31" s="139">
        <v>298</v>
      </c>
      <c r="E31" s="159">
        <v>325</v>
      </c>
      <c r="F31" s="139">
        <v>761</v>
      </c>
      <c r="G31" s="159">
        <f t="shared" si="0"/>
        <v>459</v>
      </c>
      <c r="H31" s="139">
        <f t="shared" si="1"/>
        <v>1059</v>
      </c>
      <c r="I31" s="136"/>
      <c r="J31" s="128"/>
      <c r="K31" s="128"/>
      <c r="L31" s="128"/>
      <c r="M31" s="128"/>
      <c r="N31" s="128"/>
    </row>
    <row r="32" spans="1:14">
      <c r="A32" s="128"/>
      <c r="B32" s="137" t="s">
        <v>50</v>
      </c>
      <c r="C32" s="138">
        <v>155</v>
      </c>
      <c r="D32" s="139">
        <v>352</v>
      </c>
      <c r="E32" s="159">
        <v>323</v>
      </c>
      <c r="F32" s="139">
        <v>759</v>
      </c>
      <c r="G32" s="159">
        <f t="shared" si="0"/>
        <v>478</v>
      </c>
      <c r="H32" s="139">
        <f t="shared" si="1"/>
        <v>1111</v>
      </c>
      <c r="I32" s="136"/>
      <c r="J32" s="128"/>
      <c r="K32" s="128"/>
      <c r="L32" s="128"/>
      <c r="M32" s="128"/>
      <c r="N32" s="128"/>
    </row>
    <row r="33" spans="1:14">
      <c r="A33" s="128"/>
      <c r="B33" s="137" t="s">
        <v>51</v>
      </c>
      <c r="C33" s="138">
        <v>180</v>
      </c>
      <c r="D33" s="139">
        <v>415</v>
      </c>
      <c r="E33" s="159">
        <v>322</v>
      </c>
      <c r="F33" s="139">
        <v>756</v>
      </c>
      <c r="G33" s="159">
        <f t="shared" si="0"/>
        <v>502</v>
      </c>
      <c r="H33" s="139">
        <f t="shared" si="1"/>
        <v>1171</v>
      </c>
      <c r="I33" s="136"/>
      <c r="J33" s="128"/>
      <c r="K33" s="128"/>
      <c r="L33" s="128"/>
      <c r="M33" s="128"/>
      <c r="N33" s="128"/>
    </row>
    <row r="34" spans="1:14">
      <c r="A34" s="128"/>
      <c r="B34" s="137" t="s">
        <v>52</v>
      </c>
      <c r="C34" s="138">
        <v>157</v>
      </c>
      <c r="D34" s="139">
        <v>369</v>
      </c>
      <c r="E34" s="159">
        <v>321</v>
      </c>
      <c r="F34" s="139">
        <v>755</v>
      </c>
      <c r="G34" s="159">
        <f t="shared" si="0"/>
        <v>478</v>
      </c>
      <c r="H34" s="139">
        <f t="shared" si="1"/>
        <v>1124</v>
      </c>
      <c r="I34" s="136"/>
      <c r="J34" s="128"/>
      <c r="K34" s="128"/>
      <c r="L34" s="128"/>
      <c r="M34" s="128"/>
      <c r="N34" s="128"/>
    </row>
    <row r="35" spans="1:14">
      <c r="A35" s="128"/>
      <c r="B35" s="137" t="s">
        <v>53</v>
      </c>
      <c r="C35" s="138">
        <v>103</v>
      </c>
      <c r="D35" s="139">
        <v>239</v>
      </c>
      <c r="E35" s="138">
        <v>320</v>
      </c>
      <c r="F35" s="139">
        <v>753</v>
      </c>
      <c r="G35" s="159">
        <f t="shared" si="0"/>
        <v>423</v>
      </c>
      <c r="H35" s="139">
        <f t="shared" si="1"/>
        <v>992</v>
      </c>
      <c r="I35" s="136"/>
      <c r="J35" s="128"/>
      <c r="K35" s="128"/>
      <c r="L35" s="128"/>
      <c r="M35" s="128"/>
      <c r="N35" s="128"/>
    </row>
    <row r="36" spans="1:14">
      <c r="A36" s="128"/>
      <c r="B36" s="137" t="s">
        <v>54</v>
      </c>
      <c r="C36" s="138">
        <v>148</v>
      </c>
      <c r="D36" s="139">
        <v>358</v>
      </c>
      <c r="E36" s="138">
        <v>319</v>
      </c>
      <c r="F36" s="139">
        <v>755</v>
      </c>
      <c r="G36" s="159">
        <f t="shared" si="0"/>
        <v>467</v>
      </c>
      <c r="H36" s="139">
        <f t="shared" si="1"/>
        <v>1113</v>
      </c>
      <c r="I36" s="136"/>
      <c r="J36" s="128"/>
      <c r="K36" s="128"/>
      <c r="L36" s="128"/>
      <c r="M36" s="128"/>
      <c r="N36" s="128"/>
    </row>
    <row r="37" spans="1:14">
      <c r="A37" s="128"/>
      <c r="B37" s="137" t="s">
        <v>55</v>
      </c>
      <c r="C37" s="138">
        <v>150</v>
      </c>
      <c r="D37" s="139">
        <v>351</v>
      </c>
      <c r="E37" s="138">
        <v>318</v>
      </c>
      <c r="F37" s="139">
        <v>753</v>
      </c>
      <c r="G37" s="159">
        <f t="shared" si="0"/>
        <v>468</v>
      </c>
      <c r="H37" s="139">
        <f t="shared" si="1"/>
        <v>1104</v>
      </c>
      <c r="I37" s="136"/>
      <c r="J37" s="128"/>
      <c r="K37" s="128"/>
      <c r="L37" s="128"/>
      <c r="M37" s="128"/>
      <c r="N37" s="128"/>
    </row>
    <row r="38" spans="1:14" s="170" customFormat="1">
      <c r="A38" s="165"/>
      <c r="B38" s="166" t="s">
        <v>56</v>
      </c>
      <c r="C38" s="167">
        <v>141</v>
      </c>
      <c r="D38" s="168">
        <v>319</v>
      </c>
      <c r="E38" s="167">
        <v>315</v>
      </c>
      <c r="F38" s="168">
        <v>747</v>
      </c>
      <c r="G38" s="159">
        <f t="shared" si="0"/>
        <v>456</v>
      </c>
      <c r="H38" s="139">
        <f t="shared" si="1"/>
        <v>1066</v>
      </c>
      <c r="I38" s="169"/>
      <c r="J38" s="165"/>
      <c r="K38" s="165"/>
      <c r="L38" s="165"/>
      <c r="M38" s="165"/>
      <c r="N38" s="165"/>
    </row>
    <row r="39" spans="1:14" s="170" customFormat="1">
      <c r="A39" s="165"/>
      <c r="B39" s="166" t="s">
        <v>57</v>
      </c>
      <c r="C39" s="167">
        <v>125</v>
      </c>
      <c r="D39" s="168">
        <v>286</v>
      </c>
      <c r="E39" s="167">
        <v>314</v>
      </c>
      <c r="F39" s="168">
        <v>746</v>
      </c>
      <c r="G39" s="159">
        <f t="shared" si="0"/>
        <v>439</v>
      </c>
      <c r="H39" s="139">
        <f t="shared" si="1"/>
        <v>1032</v>
      </c>
      <c r="I39" s="169"/>
      <c r="J39" s="165"/>
      <c r="K39" s="165"/>
      <c r="L39" s="165"/>
      <c r="M39" s="165"/>
      <c r="N39" s="165"/>
    </row>
    <row r="40" spans="1:14" s="170" customFormat="1" ht="15.75" thickBot="1">
      <c r="A40" s="165"/>
      <c r="B40" s="166" t="s">
        <v>58</v>
      </c>
      <c r="C40" s="171">
        <v>190</v>
      </c>
      <c r="D40" s="172">
        <v>427</v>
      </c>
      <c r="E40" s="171">
        <v>280</v>
      </c>
      <c r="F40" s="172">
        <v>653</v>
      </c>
      <c r="G40" s="187">
        <f t="shared" si="0"/>
        <v>470</v>
      </c>
      <c r="H40" s="188">
        <f t="shared" si="1"/>
        <v>1080</v>
      </c>
      <c r="I40" s="169"/>
      <c r="J40" s="165"/>
      <c r="K40" s="165"/>
      <c r="L40" s="165"/>
      <c r="M40" s="165"/>
      <c r="N40" s="165"/>
    </row>
    <row r="41" spans="1:14">
      <c r="C41" s="114"/>
      <c r="E41" s="114"/>
      <c r="F41" s="114"/>
    </row>
    <row r="42" spans="1:14">
      <c r="C42" s="3">
        <f>SUM(C10:C41)</f>
        <v>3621</v>
      </c>
    </row>
    <row r="43" spans="1:14">
      <c r="E43" s="114"/>
      <c r="F43" s="114"/>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33782.5</v>
      </c>
      <c r="F2" s="100"/>
      <c r="G2" s="100">
        <f>'Athens Daily - Gas'!BH9</f>
        <v>132903.02399999998</v>
      </c>
      <c r="H2" s="100">
        <f>G2/38.3</f>
        <v>3470.0528459530024</v>
      </c>
      <c r="I2" s="100"/>
      <c r="J2" s="100">
        <f>'Athens Daily - Water'!R7</f>
        <v>517</v>
      </c>
      <c r="K2" s="100"/>
      <c r="L2" s="101">
        <v>142</v>
      </c>
      <c r="M2" s="100">
        <f>L2*2</f>
        <v>284</v>
      </c>
      <c r="N2" s="98">
        <v>10</v>
      </c>
    </row>
    <row r="3" spans="1:14">
      <c r="A3" s="7" t="s">
        <v>14</v>
      </c>
      <c r="B3" s="7">
        <v>2</v>
      </c>
      <c r="C3" s="7">
        <v>1</v>
      </c>
      <c r="D3" s="7">
        <v>2021</v>
      </c>
      <c r="E3" s="100">
        <f>'Athens Daily - EL'!AK9</f>
        <v>30417.5</v>
      </c>
      <c r="F3" s="100"/>
      <c r="G3" s="100">
        <f>'Athens Daily - Gas'!BH10</f>
        <v>154370.78399999999</v>
      </c>
      <c r="H3" s="100">
        <f t="shared" ref="H3:H32" si="0">G3/38.3</f>
        <v>4030.5687728459529</v>
      </c>
      <c r="I3" s="100"/>
      <c r="J3" s="100">
        <f>'Athens Daily - Water'!R8</f>
        <v>502</v>
      </c>
      <c r="K3" s="100"/>
      <c r="L3" s="101">
        <v>102</v>
      </c>
      <c r="M3" s="100">
        <f t="shared" ref="M3:M32" si="1">L3*2</f>
        <v>204</v>
      </c>
      <c r="N3" s="98">
        <v>12</v>
      </c>
    </row>
    <row r="4" spans="1:14">
      <c r="A4" s="7" t="s">
        <v>14</v>
      </c>
      <c r="B4" s="7">
        <v>3</v>
      </c>
      <c r="C4" s="7">
        <v>1</v>
      </c>
      <c r="D4" s="7">
        <v>2021</v>
      </c>
      <c r="E4" s="100">
        <f>'Athens Daily - EL'!AK10</f>
        <v>34232.5</v>
      </c>
      <c r="F4" s="100"/>
      <c r="G4" s="100">
        <f>'Athens Daily - Gas'!BH11</f>
        <v>166862.16</v>
      </c>
      <c r="H4" s="100">
        <f t="shared" si="0"/>
        <v>4356.7143603133163</v>
      </c>
      <c r="I4" s="100"/>
      <c r="J4" s="100">
        <f>'Athens Daily - Water'!R9</f>
        <v>542</v>
      </c>
      <c r="K4" s="100"/>
      <c r="L4" s="101">
        <v>55</v>
      </c>
      <c r="M4" s="100">
        <f t="shared" si="1"/>
        <v>110</v>
      </c>
      <c r="N4" s="98">
        <v>15</v>
      </c>
    </row>
    <row r="5" spans="1:14">
      <c r="A5" s="7" t="s">
        <v>14</v>
      </c>
      <c r="B5" s="7">
        <v>4</v>
      </c>
      <c r="C5" s="7">
        <v>1</v>
      </c>
      <c r="D5" s="7">
        <v>2021</v>
      </c>
      <c r="E5" s="100">
        <f>'Athens Daily - EL'!AK11</f>
        <v>33852</v>
      </c>
      <c r="F5" s="100"/>
      <c r="G5" s="100">
        <f>'Athens Daily - Gas'!BH12</f>
        <v>149338.22399999999</v>
      </c>
      <c r="H5" s="100">
        <f t="shared" si="0"/>
        <v>3899.1703394255874</v>
      </c>
      <c r="I5" s="100"/>
      <c r="J5" s="100">
        <f>'Athens Daily - Water'!R10</f>
        <v>594</v>
      </c>
      <c r="K5" s="100"/>
      <c r="L5" s="101">
        <v>45</v>
      </c>
      <c r="M5" s="100">
        <f t="shared" si="1"/>
        <v>90</v>
      </c>
      <c r="N5" s="98">
        <v>17</v>
      </c>
    </row>
    <row r="6" spans="1:14">
      <c r="A6" s="7" t="s">
        <v>14</v>
      </c>
      <c r="B6" s="7">
        <v>5</v>
      </c>
      <c r="C6" s="7">
        <v>1</v>
      </c>
      <c r="D6" s="7">
        <v>2021</v>
      </c>
      <c r="E6" s="100">
        <f>'Athens Daily - EL'!AK12</f>
        <v>35437.5</v>
      </c>
      <c r="F6" s="100"/>
      <c r="G6" s="100">
        <f>'Athens Daily - Gas'!BH13</f>
        <v>150239.136</v>
      </c>
      <c r="H6" s="100">
        <f t="shared" si="0"/>
        <v>3922.6928459530027</v>
      </c>
      <c r="I6" s="100"/>
      <c r="J6" s="100">
        <f>'Athens Daily - Water'!R11</f>
        <v>554</v>
      </c>
      <c r="K6" s="100"/>
      <c r="L6" s="101">
        <v>34</v>
      </c>
      <c r="M6" s="100">
        <f t="shared" si="1"/>
        <v>68</v>
      </c>
      <c r="N6" s="98">
        <v>15</v>
      </c>
    </row>
    <row r="7" spans="1:14">
      <c r="A7" s="7" t="s">
        <v>14</v>
      </c>
      <c r="B7" s="7">
        <v>6</v>
      </c>
      <c r="C7" s="7">
        <v>1</v>
      </c>
      <c r="D7" s="7">
        <v>2021</v>
      </c>
      <c r="E7" s="100">
        <f>'Athens Daily - EL'!AK13</f>
        <v>32553.5</v>
      </c>
      <c r="F7" s="100"/>
      <c r="G7" s="100">
        <f>'Athens Daily - Gas'!BH14</f>
        <v>163080.33599999998</v>
      </c>
      <c r="H7" s="100">
        <f t="shared" si="0"/>
        <v>4257.9722193211483</v>
      </c>
      <c r="I7" s="100"/>
      <c r="J7" s="100">
        <f>'Athens Daily - Water'!R12</f>
        <v>438</v>
      </c>
      <c r="K7" s="100"/>
      <c r="L7" s="101">
        <v>36</v>
      </c>
      <c r="M7" s="100">
        <f t="shared" si="1"/>
        <v>72</v>
      </c>
      <c r="N7" s="98"/>
    </row>
    <row r="8" spans="1:14">
      <c r="A8" s="7" t="s">
        <v>14</v>
      </c>
      <c r="B8" s="7">
        <v>7</v>
      </c>
      <c r="C8" s="7">
        <v>1</v>
      </c>
      <c r="D8" s="7">
        <v>2021</v>
      </c>
      <c r="E8" s="100">
        <f>'Athens Daily - EL'!AK14</f>
        <v>33662.5</v>
      </c>
      <c r="F8" s="100"/>
      <c r="G8" s="100">
        <f>'Athens Daily - Gas'!BH15</f>
        <v>137754.864</v>
      </c>
      <c r="H8" s="100">
        <f t="shared" si="0"/>
        <v>3596.7327415143604</v>
      </c>
      <c r="I8" s="100"/>
      <c r="J8" s="100">
        <f>'Athens Daily - Water'!R13</f>
        <v>451</v>
      </c>
      <c r="K8" s="100"/>
      <c r="L8" s="101">
        <v>60</v>
      </c>
      <c r="M8" s="100">
        <f t="shared" si="1"/>
        <v>120</v>
      </c>
      <c r="N8" s="98"/>
    </row>
    <row r="9" spans="1:14">
      <c r="A9" s="7" t="s">
        <v>14</v>
      </c>
      <c r="B9" s="7">
        <v>8</v>
      </c>
      <c r="C9" s="7">
        <v>1</v>
      </c>
      <c r="D9" s="7">
        <v>2021</v>
      </c>
      <c r="E9" s="100">
        <f>'Athens Daily - EL'!AK15</f>
        <v>33607.5</v>
      </c>
      <c r="F9" s="100"/>
      <c r="G9" s="100">
        <f>'Athens Daily - Gas'!BH16</f>
        <v>132249.59999999998</v>
      </c>
      <c r="H9" s="100">
        <f t="shared" si="0"/>
        <v>3452.9921671018274</v>
      </c>
      <c r="I9" s="100"/>
      <c r="J9" s="100">
        <f>'Athens Daily - Water'!R14</f>
        <v>497</v>
      </c>
      <c r="K9" s="100"/>
      <c r="L9" s="101">
        <v>64</v>
      </c>
      <c r="M9" s="100">
        <f t="shared" si="1"/>
        <v>128</v>
      </c>
      <c r="N9" s="98"/>
    </row>
    <row r="10" spans="1:14">
      <c r="A10" s="7" t="s">
        <v>14</v>
      </c>
      <c r="B10" s="7">
        <v>9</v>
      </c>
      <c r="C10" s="7">
        <v>1</v>
      </c>
      <c r="D10" s="7">
        <v>2021</v>
      </c>
      <c r="E10" s="100">
        <f>'Athens Daily - EL'!AK16</f>
        <v>32667.5</v>
      </c>
      <c r="F10" s="100"/>
      <c r="G10" s="100">
        <f>'Athens Daily - Gas'!BH17</f>
        <v>131251.20000000001</v>
      </c>
      <c r="H10" s="100">
        <f t="shared" si="0"/>
        <v>3426.9242819843348</v>
      </c>
      <c r="I10" s="100"/>
      <c r="J10" s="100">
        <f>'Athens Daily - Water'!R15</f>
        <v>435</v>
      </c>
      <c r="K10" s="100"/>
      <c r="L10" s="101">
        <v>100</v>
      </c>
      <c r="M10" s="100">
        <f t="shared" si="1"/>
        <v>200</v>
      </c>
      <c r="N10" s="98">
        <v>9</v>
      </c>
    </row>
    <row r="11" spans="1:14">
      <c r="A11" s="7" t="s">
        <v>14</v>
      </c>
      <c r="B11" s="7">
        <v>10</v>
      </c>
      <c r="C11" s="7">
        <v>1</v>
      </c>
      <c r="D11" s="7">
        <v>2021</v>
      </c>
      <c r="E11" s="100">
        <f>'Athens Daily - EL'!AK17</f>
        <v>34942.5</v>
      </c>
      <c r="F11" s="100"/>
      <c r="G11" s="100">
        <f>'Athens Daily - Gas'!BH18</f>
        <v>133900.79999999999</v>
      </c>
      <c r="H11" s="100">
        <f t="shared" si="0"/>
        <v>3496.1044386422977</v>
      </c>
      <c r="I11" s="100"/>
      <c r="J11" s="100">
        <f>'Athens Daily - Water'!R16</f>
        <v>568</v>
      </c>
      <c r="K11" s="100"/>
      <c r="L11" s="101">
        <v>63</v>
      </c>
      <c r="M11" s="100">
        <f t="shared" si="1"/>
        <v>126</v>
      </c>
      <c r="N11" s="98">
        <v>12</v>
      </c>
    </row>
    <row r="12" spans="1:14">
      <c r="A12" s="7" t="s">
        <v>14</v>
      </c>
      <c r="B12" s="7">
        <v>11</v>
      </c>
      <c r="C12" s="7">
        <v>1</v>
      </c>
      <c r="D12" s="7">
        <v>2021</v>
      </c>
      <c r="E12" s="100">
        <f>'Athens Daily - EL'!AK18</f>
        <v>35312.5</v>
      </c>
      <c r="F12" s="100"/>
      <c r="G12" s="100">
        <f>'Athens Daily - Gas'!BH19</f>
        <v>147331.20000000001</v>
      </c>
      <c r="H12" s="100">
        <f t="shared" si="0"/>
        <v>3846.7676240208884</v>
      </c>
      <c r="I12" s="100"/>
      <c r="J12" s="100">
        <f>'Athens Daily - Water'!R17</f>
        <v>259</v>
      </c>
      <c r="K12" s="100"/>
      <c r="L12" s="101">
        <v>39</v>
      </c>
      <c r="M12" s="100">
        <f t="shared" si="1"/>
        <v>78</v>
      </c>
      <c r="N12" s="98">
        <v>12</v>
      </c>
    </row>
    <row r="13" spans="1:14">
      <c r="A13" s="7" t="s">
        <v>14</v>
      </c>
      <c r="B13" s="7">
        <v>12</v>
      </c>
      <c r="C13" s="7">
        <v>1</v>
      </c>
      <c r="D13" s="7">
        <v>2021</v>
      </c>
      <c r="E13" s="100">
        <f>'Athens Daily - EL'!AK19</f>
        <v>33558.5</v>
      </c>
      <c r="F13" s="100"/>
      <c r="G13" s="100">
        <f>'Athens Daily - Gas'!BH20</f>
        <v>155078.39999999999</v>
      </c>
      <c r="H13" s="100">
        <f t="shared" si="0"/>
        <v>4049.0443864229765</v>
      </c>
      <c r="I13" s="100"/>
      <c r="J13" s="100">
        <f>'Athens Daily - Water'!R18</f>
        <v>259</v>
      </c>
      <c r="K13" s="100"/>
      <c r="L13" s="101">
        <v>43</v>
      </c>
      <c r="M13" s="100">
        <f t="shared" si="1"/>
        <v>86</v>
      </c>
      <c r="N13" s="98">
        <v>10</v>
      </c>
    </row>
    <row r="14" spans="1:14">
      <c r="A14" s="7" t="s">
        <v>14</v>
      </c>
      <c r="B14" s="7">
        <v>13</v>
      </c>
      <c r="C14" s="7">
        <v>1</v>
      </c>
      <c r="D14" s="7">
        <v>2021</v>
      </c>
      <c r="E14" s="100">
        <f>'Athens Daily - EL'!AK20</f>
        <v>31469</v>
      </c>
      <c r="F14" s="100"/>
      <c r="G14" s="100">
        <f>'Athens Daily - Gas'!BH21</f>
        <v>142848</v>
      </c>
      <c r="H14" s="100">
        <f t="shared" si="0"/>
        <v>3729.7127937336818</v>
      </c>
      <c r="I14" s="100"/>
      <c r="J14" s="100">
        <f>'Athens Daily - Water'!R19</f>
        <v>475</v>
      </c>
      <c r="K14" s="100"/>
      <c r="L14" s="101">
        <v>46</v>
      </c>
      <c r="M14" s="100">
        <f t="shared" si="1"/>
        <v>92</v>
      </c>
      <c r="N14" s="98">
        <v>12</v>
      </c>
    </row>
    <row r="15" spans="1:14">
      <c r="A15" s="7" t="s">
        <v>14</v>
      </c>
      <c r="B15" s="7">
        <v>14</v>
      </c>
      <c r="C15" s="7">
        <v>1</v>
      </c>
      <c r="D15" s="7">
        <v>2021</v>
      </c>
      <c r="E15" s="100">
        <f>'Athens Daily - EL'!AK21</f>
        <v>32793</v>
      </c>
      <c r="F15" s="100"/>
      <c r="G15" s="100">
        <f>'Athens Daily - Gas'!BH22</f>
        <v>133555.20000000001</v>
      </c>
      <c r="H15" s="100">
        <f t="shared" si="0"/>
        <v>3487.0809399477812</v>
      </c>
      <c r="I15" s="100"/>
      <c r="J15" s="100">
        <f>'Athens Daily - Water'!R20</f>
        <v>467</v>
      </c>
      <c r="K15" s="100"/>
      <c r="L15" s="101">
        <v>55</v>
      </c>
      <c r="M15" s="100">
        <f t="shared" si="1"/>
        <v>110</v>
      </c>
      <c r="N15" s="98">
        <v>13</v>
      </c>
    </row>
    <row r="16" spans="1:14">
      <c r="A16" s="7" t="s">
        <v>14</v>
      </c>
      <c r="B16" s="7">
        <v>15</v>
      </c>
      <c r="C16" s="7">
        <v>1</v>
      </c>
      <c r="D16" s="7">
        <v>2021</v>
      </c>
      <c r="E16" s="100">
        <f>'Athens Daily - EL'!AK22</f>
        <v>33124</v>
      </c>
      <c r="F16" s="100"/>
      <c r="G16" s="100">
        <f>'Athens Daily - Gas'!BH23</f>
        <v>126288</v>
      </c>
      <c r="H16" s="100">
        <f t="shared" si="0"/>
        <v>3297.3368146214102</v>
      </c>
      <c r="I16" s="100"/>
      <c r="J16" s="100">
        <f>'Athens Daily - Water'!R21</f>
        <v>472</v>
      </c>
      <c r="K16" s="100"/>
      <c r="L16" s="101">
        <v>74</v>
      </c>
      <c r="M16" s="100">
        <f t="shared" si="1"/>
        <v>148</v>
      </c>
      <c r="N16" s="98">
        <v>13</v>
      </c>
    </row>
    <row r="17" spans="1:14">
      <c r="A17" s="7" t="s">
        <v>14</v>
      </c>
      <c r="B17" s="7">
        <v>16</v>
      </c>
      <c r="C17" s="7">
        <v>1</v>
      </c>
      <c r="D17" s="7">
        <v>2021</v>
      </c>
      <c r="E17" s="100">
        <f>'Athens Daily - EL'!AK23</f>
        <v>33410</v>
      </c>
      <c r="F17" s="100"/>
      <c r="G17" s="100">
        <f>'Athens Daily - Gas'!BH24</f>
        <v>143913.59999999998</v>
      </c>
      <c r="H17" s="100">
        <f t="shared" si="0"/>
        <v>3757.535248041775</v>
      </c>
      <c r="I17" s="100"/>
      <c r="J17" s="100">
        <f>'Athens Daily - Water'!R22</f>
        <v>486</v>
      </c>
      <c r="K17" s="100"/>
      <c r="L17" s="101">
        <v>149</v>
      </c>
      <c r="M17" s="100">
        <f t="shared" si="1"/>
        <v>298</v>
      </c>
      <c r="N17" s="102"/>
    </row>
    <row r="18" spans="1:14">
      <c r="A18" s="7" t="s">
        <v>14</v>
      </c>
      <c r="B18" s="7">
        <v>17</v>
      </c>
      <c r="C18" s="7">
        <v>1</v>
      </c>
      <c r="D18" s="7">
        <v>2021</v>
      </c>
      <c r="E18" s="100">
        <f>'Athens Daily - EL'!AK24</f>
        <v>35544</v>
      </c>
      <c r="F18" s="100"/>
      <c r="G18" s="100">
        <f>'Athens Daily - Gas'!BH25</f>
        <v>141388.79999999999</v>
      </c>
      <c r="H18" s="100">
        <f t="shared" si="0"/>
        <v>3691.6135770234987</v>
      </c>
      <c r="I18" s="100"/>
      <c r="J18" s="100">
        <f>'Athens Daily - Water'!R23</f>
        <v>459</v>
      </c>
      <c r="K18" s="100"/>
      <c r="L18" s="101">
        <v>64</v>
      </c>
      <c r="M18" s="100">
        <f t="shared" si="1"/>
        <v>128</v>
      </c>
      <c r="N18" s="102"/>
    </row>
    <row r="19" spans="1:14">
      <c r="A19" s="7" t="s">
        <v>14</v>
      </c>
      <c r="B19" s="7">
        <v>18</v>
      </c>
      <c r="C19" s="7">
        <v>1</v>
      </c>
      <c r="D19" s="7">
        <v>2021</v>
      </c>
      <c r="E19" s="100">
        <f>'Athens Daily - EL'!AK25</f>
        <v>31818.5</v>
      </c>
      <c r="F19" s="100"/>
      <c r="G19" s="100">
        <f>'Athens Daily - Gas'!BH26</f>
        <v>140707.20000000001</v>
      </c>
      <c r="H19" s="100">
        <f t="shared" si="0"/>
        <v>3673.8172323759795</v>
      </c>
      <c r="I19" s="100"/>
      <c r="J19" s="100">
        <f>'Athens Daily - Water'!R24</f>
        <v>508</v>
      </c>
      <c r="K19" s="100"/>
      <c r="L19" s="101">
        <v>58</v>
      </c>
      <c r="M19" s="100">
        <f t="shared" si="1"/>
        <v>116</v>
      </c>
      <c r="N19" s="102"/>
    </row>
    <row r="20" spans="1:14">
      <c r="A20" s="7" t="s">
        <v>14</v>
      </c>
      <c r="B20" s="7">
        <v>19</v>
      </c>
      <c r="C20" s="7">
        <v>1</v>
      </c>
      <c r="D20" s="7">
        <v>2021</v>
      </c>
      <c r="E20" s="100">
        <f>'Athens Daily - EL'!AK26</f>
        <v>34244</v>
      </c>
      <c r="F20" s="100"/>
      <c r="G20" s="100">
        <f>'Athens Daily - Gas'!BH27</f>
        <v>148172.016</v>
      </c>
      <c r="H20" s="100">
        <f t="shared" si="0"/>
        <v>3868.7210443864233</v>
      </c>
      <c r="I20" s="100"/>
      <c r="J20" s="100">
        <f>'Athens Daily - Water'!R25</f>
        <v>539</v>
      </c>
      <c r="K20" s="100"/>
      <c r="L20" s="101">
        <v>69</v>
      </c>
      <c r="M20" s="100">
        <f t="shared" si="1"/>
        <v>138</v>
      </c>
      <c r="N20" s="102"/>
    </row>
    <row r="21" spans="1:14">
      <c r="A21" s="7" t="s">
        <v>14</v>
      </c>
      <c r="B21" s="7">
        <v>20</v>
      </c>
      <c r="C21" s="7">
        <v>1</v>
      </c>
      <c r="D21" s="7">
        <v>2021</v>
      </c>
      <c r="E21" s="100">
        <f>'Athens Daily - EL'!AK27</f>
        <v>31269</v>
      </c>
      <c r="F21" s="100"/>
      <c r="G21" s="100">
        <f>'Athens Daily - Gas'!BH28</f>
        <v>162278.44800000003</v>
      </c>
      <c r="H21" s="100">
        <f t="shared" si="0"/>
        <v>4237.0351958224555</v>
      </c>
      <c r="I21" s="100"/>
      <c r="J21" s="100">
        <f>'Athens Daily - Water'!R26</f>
        <v>567</v>
      </c>
      <c r="K21" s="100"/>
      <c r="L21" s="101">
        <v>42</v>
      </c>
      <c r="M21" s="100">
        <f t="shared" si="1"/>
        <v>84</v>
      </c>
      <c r="N21" s="98"/>
    </row>
    <row r="22" spans="1:14">
      <c r="A22" s="7" t="s">
        <v>14</v>
      </c>
      <c r="B22" s="7">
        <v>21</v>
      </c>
      <c r="C22" s="7">
        <v>1</v>
      </c>
      <c r="D22" s="7">
        <v>2021</v>
      </c>
      <c r="E22" s="100">
        <f>'Athens Daily - EL'!AK28</f>
        <v>32128.5</v>
      </c>
      <c r="F22" s="100"/>
      <c r="G22" s="100">
        <f>'Athens Daily - Gas'!BH29</f>
        <v>177690.33599999995</v>
      </c>
      <c r="H22" s="100">
        <f t="shared" si="0"/>
        <v>4639.4343603133148</v>
      </c>
      <c r="I22" s="100"/>
      <c r="J22" s="100">
        <f>'Athens Daily - Water'!R27</f>
        <v>421</v>
      </c>
      <c r="K22" s="100"/>
      <c r="L22" s="101">
        <v>45</v>
      </c>
      <c r="M22" s="100">
        <f t="shared" si="1"/>
        <v>90</v>
      </c>
      <c r="N22" s="98"/>
    </row>
    <row r="23" spans="1:14">
      <c r="A23" s="7" t="s">
        <v>14</v>
      </c>
      <c r="B23" s="7">
        <v>22</v>
      </c>
      <c r="C23" s="7">
        <v>1</v>
      </c>
      <c r="D23" s="7">
        <v>2021</v>
      </c>
      <c r="E23" s="100">
        <f>'Athens Daily - EL'!AK29</f>
        <v>33599</v>
      </c>
      <c r="F23" s="100"/>
      <c r="G23" s="100">
        <f>'Athens Daily - Gas'!BH30</f>
        <v>176869.63199999998</v>
      </c>
      <c r="H23" s="100">
        <f t="shared" si="0"/>
        <v>4618.0060574412528</v>
      </c>
      <c r="I23" s="100"/>
      <c r="J23" s="100">
        <f>'Athens Daily - Water'!R28</f>
        <v>500.55899999999929</v>
      </c>
      <c r="K23" s="100"/>
      <c r="L23" s="101">
        <v>82</v>
      </c>
      <c r="M23" s="100">
        <f t="shared" si="1"/>
        <v>164</v>
      </c>
      <c r="N23" s="98">
        <v>19</v>
      </c>
    </row>
    <row r="24" spans="1:14">
      <c r="A24" s="7" t="s">
        <v>14</v>
      </c>
      <c r="B24" s="7">
        <v>23</v>
      </c>
      <c r="C24" s="7">
        <v>1</v>
      </c>
      <c r="D24" s="7">
        <v>2021</v>
      </c>
      <c r="E24" s="100">
        <f>'Athens Daily - EL'!AK30</f>
        <v>34658.5</v>
      </c>
      <c r="F24" s="100"/>
      <c r="G24" s="100">
        <f>'Athens Daily - Gas'!BH31</f>
        <v>147410.68799999999</v>
      </c>
      <c r="H24" s="100">
        <f t="shared" si="0"/>
        <v>3848.843028720627</v>
      </c>
      <c r="I24" s="100"/>
      <c r="J24" s="100">
        <f>'Athens Daily - Water'!R29</f>
        <v>508.95360000000073</v>
      </c>
      <c r="K24" s="100"/>
      <c r="L24" s="101">
        <v>170</v>
      </c>
      <c r="M24" s="100">
        <f t="shared" si="1"/>
        <v>340</v>
      </c>
      <c r="N24" s="98">
        <v>20</v>
      </c>
    </row>
    <row r="25" spans="1:14">
      <c r="A25" s="7" t="s">
        <v>14</v>
      </c>
      <c r="B25" s="7">
        <v>24</v>
      </c>
      <c r="C25" s="7">
        <v>1</v>
      </c>
      <c r="D25" s="7">
        <v>2021</v>
      </c>
      <c r="E25" s="100">
        <f>'Athens Daily - EL'!AK31</f>
        <v>35869</v>
      </c>
      <c r="F25" s="100"/>
      <c r="G25" s="100">
        <f>'Athens Daily - Gas'!BH32</f>
        <v>150528.04799999998</v>
      </c>
      <c r="H25" s="100">
        <f t="shared" si="0"/>
        <v>3930.236240208877</v>
      </c>
      <c r="I25" s="100"/>
      <c r="J25" s="100">
        <f>'Athens Daily - Water'!R30</f>
        <v>567.48739999999998</v>
      </c>
      <c r="K25" s="100"/>
      <c r="L25" s="101">
        <v>91</v>
      </c>
      <c r="M25" s="100">
        <f t="shared" si="1"/>
        <v>182</v>
      </c>
      <c r="N25" s="98">
        <v>19</v>
      </c>
    </row>
    <row r="26" spans="1:14">
      <c r="A26" s="7" t="s">
        <v>14</v>
      </c>
      <c r="B26" s="7">
        <v>25</v>
      </c>
      <c r="C26" s="7">
        <v>1</v>
      </c>
      <c r="D26" s="7">
        <v>2021</v>
      </c>
      <c r="E26" s="100">
        <f>'Athens Daily - EL'!AK32</f>
        <v>35083.5</v>
      </c>
      <c r="F26" s="100"/>
      <c r="G26" s="100">
        <f>'Athens Daily - Gas'!BH33</f>
        <v>154413.93600000002</v>
      </c>
      <c r="H26" s="100">
        <f t="shared" si="0"/>
        <v>4031.6954569190607</v>
      </c>
      <c r="I26" s="100"/>
      <c r="J26" s="100">
        <f>'Athens Daily - Water'!R31</f>
        <v>652</v>
      </c>
      <c r="K26" s="100"/>
      <c r="L26" s="101">
        <v>56</v>
      </c>
      <c r="M26" s="100">
        <f t="shared" si="1"/>
        <v>112</v>
      </c>
      <c r="N26" s="99"/>
    </row>
    <row r="27" spans="1:14">
      <c r="A27" s="7" t="s">
        <v>14</v>
      </c>
      <c r="B27" s="7">
        <v>26</v>
      </c>
      <c r="C27" s="7">
        <v>1</v>
      </c>
      <c r="D27" s="7">
        <v>2021</v>
      </c>
      <c r="E27" s="100">
        <f>'Athens Daily - EL'!AK33</f>
        <v>33309</v>
      </c>
      <c r="F27" s="100"/>
      <c r="G27" s="100">
        <f>'Athens Daily - Gas'!BH34</f>
        <v>166463.136</v>
      </c>
      <c r="H27" s="100">
        <f t="shared" si="0"/>
        <v>4346.2959791122721</v>
      </c>
      <c r="I27" s="100"/>
      <c r="J27" s="100">
        <f>'Athens Daily - Water'!R32</f>
        <v>840</v>
      </c>
      <c r="K27" s="100"/>
      <c r="L27" s="100"/>
      <c r="M27" s="100">
        <f t="shared" si="1"/>
        <v>0</v>
      </c>
      <c r="N27" s="99"/>
    </row>
    <row r="28" spans="1:14">
      <c r="A28" s="7" t="s">
        <v>14</v>
      </c>
      <c r="B28" s="7">
        <v>27</v>
      </c>
      <c r="C28" s="7">
        <v>1</v>
      </c>
      <c r="D28" s="7">
        <v>2021</v>
      </c>
      <c r="E28" s="100">
        <f>'Athens Daily - EL'!AK34</f>
        <v>37439</v>
      </c>
      <c r="F28" s="100"/>
      <c r="G28" s="100">
        <f>'Athens Daily - Gas'!BH35</f>
        <v>188510.976</v>
      </c>
      <c r="H28" s="100">
        <f t="shared" si="0"/>
        <v>4921.9575979112278</v>
      </c>
      <c r="I28" s="100"/>
      <c r="J28" s="100">
        <f>'Athens Daily - Water'!R33</f>
        <v>738</v>
      </c>
      <c r="K28" s="100"/>
      <c r="L28" s="100"/>
      <c r="M28" s="100">
        <f t="shared" si="1"/>
        <v>0</v>
      </c>
      <c r="N28" s="99"/>
    </row>
    <row r="29" spans="1:14">
      <c r="A29" s="7" t="s">
        <v>14</v>
      </c>
      <c r="B29" s="7">
        <v>28</v>
      </c>
      <c r="C29" s="7">
        <v>1</v>
      </c>
      <c r="D29" s="7">
        <v>2021</v>
      </c>
      <c r="E29" s="100">
        <f>'Athens Daily - EL'!AK35</f>
        <v>35573.5</v>
      </c>
      <c r="F29" s="100"/>
      <c r="G29" s="100">
        <f>'Athens Daily - Gas'!BH36</f>
        <v>205212.62399999998</v>
      </c>
      <c r="H29" s="100">
        <f t="shared" si="0"/>
        <v>5358.0319582245429</v>
      </c>
      <c r="I29" s="100"/>
      <c r="J29" s="100">
        <f>'Athens Daily - Water'!R34</f>
        <v>485</v>
      </c>
      <c r="K29" s="100"/>
      <c r="L29" s="100"/>
      <c r="M29" s="100">
        <f t="shared" si="1"/>
        <v>0</v>
      </c>
      <c r="N29" s="99"/>
    </row>
    <row r="30" spans="1:14">
      <c r="A30" s="7" t="s">
        <v>14</v>
      </c>
      <c r="B30" s="7">
        <v>29</v>
      </c>
      <c r="C30" s="7">
        <v>1</v>
      </c>
      <c r="D30" s="7">
        <v>2021</v>
      </c>
      <c r="E30" s="100">
        <f>'Athens Daily - EL'!AK36</f>
        <v>37419</v>
      </c>
      <c r="F30" s="100"/>
      <c r="G30" s="100">
        <f>'Athens Daily - Gas'!BH37</f>
        <v>192549.88799999998</v>
      </c>
      <c r="H30" s="100">
        <f t="shared" si="0"/>
        <v>5027.4122193211488</v>
      </c>
      <c r="I30" s="100"/>
      <c r="J30" s="100">
        <f>'Athens Daily - Water'!R35</f>
        <v>948</v>
      </c>
      <c r="K30" s="100"/>
      <c r="L30" s="100"/>
      <c r="M30" s="100">
        <f t="shared" si="1"/>
        <v>0</v>
      </c>
      <c r="N30" s="99"/>
    </row>
    <row r="31" spans="1:14">
      <c r="A31" s="7" t="s">
        <v>14</v>
      </c>
      <c r="B31" s="7">
        <v>30</v>
      </c>
      <c r="C31" s="7">
        <v>1</v>
      </c>
      <c r="D31" s="7">
        <v>2021</v>
      </c>
      <c r="E31" s="100">
        <f>'Athens Daily - EL'!AK37</f>
        <v>37326.5</v>
      </c>
      <c r="F31" s="100"/>
      <c r="G31" s="100">
        <f>'Athens Daily - Gas'!BH38</f>
        <v>174661.87199999997</v>
      </c>
      <c r="H31" s="100">
        <f t="shared" si="0"/>
        <v>4560.3621932114875</v>
      </c>
      <c r="I31" s="100"/>
      <c r="J31" s="100">
        <f>'Athens Daily - Water'!R37</f>
        <v>581</v>
      </c>
      <c r="K31" s="100"/>
      <c r="L31" s="100"/>
      <c r="M31" s="100">
        <f t="shared" si="1"/>
        <v>0</v>
      </c>
      <c r="N31" s="99"/>
    </row>
    <row r="32" spans="1:14">
      <c r="A32" s="7" t="s">
        <v>14</v>
      </c>
      <c r="B32" s="7">
        <v>31</v>
      </c>
      <c r="C32" s="7">
        <v>1</v>
      </c>
      <c r="D32" s="7">
        <v>2021</v>
      </c>
      <c r="E32" s="100">
        <f>'Athens Daily - EL'!AK7</f>
        <v>0</v>
      </c>
      <c r="F32" s="100"/>
      <c r="G32" s="100">
        <f>'Athens Daily - Gas'!BH39</f>
        <v>169833.59999999998</v>
      </c>
      <c r="H32" s="100">
        <f t="shared" si="0"/>
        <v>4434.2976501305484</v>
      </c>
      <c r="I32" s="100"/>
      <c r="J32" s="100">
        <f>'Athens Daily - Water'!R38</f>
        <v>0</v>
      </c>
      <c r="K32" s="100"/>
      <c r="L32" s="100"/>
      <c r="M32" s="100">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7592.5</v>
      </c>
      <c r="F2" s="7"/>
      <c r="G2" s="39">
        <f>'Athens Daily - Gas'!BI9</f>
        <v>72345.600000000006</v>
      </c>
      <c r="H2" s="7"/>
      <c r="I2" s="40">
        <f>'Athens Daily - Water'!S7</f>
        <v>141.65</v>
      </c>
      <c r="J2" s="7"/>
      <c r="K2" s="7">
        <v>286</v>
      </c>
      <c r="L2" s="7">
        <v>2</v>
      </c>
    </row>
    <row r="3" spans="1:12">
      <c r="A3" s="7" t="s">
        <v>14</v>
      </c>
      <c r="B3" s="7">
        <v>2</v>
      </c>
      <c r="C3" s="7">
        <v>1</v>
      </c>
      <c r="D3" s="7">
        <v>2021</v>
      </c>
      <c r="E3" s="7">
        <f>'Athens Daily - EL'!AL9</f>
        <v>6641.5</v>
      </c>
      <c r="F3" s="7"/>
      <c r="G3" s="39">
        <f>'Athens Daily - Gas'!BI10</f>
        <v>98947.199999999997</v>
      </c>
      <c r="H3" s="7"/>
      <c r="I3" s="40">
        <f>'Athens Daily - Water'!S8</f>
        <v>185.60000000000002</v>
      </c>
      <c r="J3" s="7"/>
      <c r="K3" s="7">
        <v>285</v>
      </c>
      <c r="L3" s="7">
        <v>2</v>
      </c>
    </row>
    <row r="4" spans="1:12">
      <c r="A4" s="7" t="s">
        <v>14</v>
      </c>
      <c r="B4" s="7">
        <v>3</v>
      </c>
      <c r="C4" s="7">
        <v>1</v>
      </c>
      <c r="D4" s="7">
        <v>2021</v>
      </c>
      <c r="E4" s="7">
        <f>'Athens Daily - EL'!AL10</f>
        <v>7349.5</v>
      </c>
      <c r="F4" s="7"/>
      <c r="G4" s="39">
        <f>'Athens Daily - Gas'!BI11</f>
        <v>88272</v>
      </c>
      <c r="H4" s="7"/>
      <c r="I4" s="40">
        <f>'Athens Daily - Water'!S9</f>
        <v>151.05000000000001</v>
      </c>
      <c r="J4" s="7"/>
      <c r="K4" s="7">
        <v>282</v>
      </c>
      <c r="L4" s="7">
        <v>2</v>
      </c>
    </row>
    <row r="5" spans="1:12">
      <c r="A5" s="7" t="s">
        <v>14</v>
      </c>
      <c r="B5" s="7">
        <v>4</v>
      </c>
      <c r="C5" s="7">
        <v>1</v>
      </c>
      <c r="D5" s="7">
        <v>2021</v>
      </c>
      <c r="E5" s="7">
        <f>'Athens Daily - EL'!AL11</f>
        <v>7507</v>
      </c>
      <c r="F5" s="7"/>
      <c r="G5" s="39">
        <f>'Athens Daily - Gas'!BI12</f>
        <v>87312</v>
      </c>
      <c r="H5" s="7"/>
      <c r="I5" s="40">
        <f>'Athens Daily - Water'!S10</f>
        <v>185.8</v>
      </c>
      <c r="J5" s="7"/>
      <c r="K5" s="7">
        <v>284</v>
      </c>
      <c r="L5" s="7">
        <v>2</v>
      </c>
    </row>
    <row r="6" spans="1:12">
      <c r="A6" s="7" t="s">
        <v>14</v>
      </c>
      <c r="B6" s="7">
        <v>5</v>
      </c>
      <c r="C6" s="7">
        <v>1</v>
      </c>
      <c r="D6" s="7">
        <v>2021</v>
      </c>
      <c r="E6" s="7">
        <f>'Athens Daily - EL'!AL12</f>
        <v>7317.5</v>
      </c>
      <c r="F6" s="7"/>
      <c r="G6" s="39">
        <f>'Athens Daily - Gas'!BI13</f>
        <v>91526.399999999994</v>
      </c>
      <c r="H6" s="7"/>
      <c r="I6" s="40">
        <f>'Athens Daily - Water'!S11</f>
        <v>228.15</v>
      </c>
      <c r="J6" s="7"/>
      <c r="K6" s="7">
        <v>286</v>
      </c>
      <c r="L6" s="7">
        <v>2</v>
      </c>
    </row>
    <row r="7" spans="1:12">
      <c r="A7" s="7" t="s">
        <v>14</v>
      </c>
      <c r="B7" s="7">
        <v>6</v>
      </c>
      <c r="C7" s="7">
        <v>1</v>
      </c>
      <c r="D7" s="7">
        <v>2021</v>
      </c>
      <c r="E7" s="7">
        <f>'Athens Daily - EL'!AL13</f>
        <v>7446.5</v>
      </c>
      <c r="F7" s="7"/>
      <c r="G7" s="39">
        <f>'Athens Daily - Gas'!BI14</f>
        <v>98649.600000000006</v>
      </c>
      <c r="H7" s="7"/>
      <c r="I7" s="40">
        <f>'Athens Daily - Water'!S12</f>
        <v>193.65</v>
      </c>
      <c r="J7" s="7"/>
      <c r="K7" s="7">
        <v>288</v>
      </c>
      <c r="L7" s="7">
        <v>2</v>
      </c>
    </row>
    <row r="8" spans="1:12">
      <c r="A8" s="7" t="s">
        <v>14</v>
      </c>
      <c r="B8" s="7">
        <v>7</v>
      </c>
      <c r="C8" s="7">
        <v>1</v>
      </c>
      <c r="D8" s="7">
        <v>2021</v>
      </c>
      <c r="E8" s="7">
        <f>'Athens Daily - EL'!AL14</f>
        <v>7834.5</v>
      </c>
      <c r="F8" s="7"/>
      <c r="G8" s="39">
        <f>'Athens Daily - Gas'!BI15</f>
        <v>71923.200000000012</v>
      </c>
      <c r="H8" s="7"/>
      <c r="I8" s="40">
        <f>'Athens Daily - Water'!S13</f>
        <v>186.65</v>
      </c>
      <c r="J8" s="7"/>
      <c r="K8" s="7">
        <v>286</v>
      </c>
      <c r="L8" s="7">
        <v>2</v>
      </c>
    </row>
    <row r="9" spans="1:12">
      <c r="A9" s="7" t="s">
        <v>14</v>
      </c>
      <c r="B9" s="7">
        <v>8</v>
      </c>
      <c r="C9" s="7">
        <v>1</v>
      </c>
      <c r="D9" s="7">
        <v>2021</v>
      </c>
      <c r="E9" s="7">
        <f>'Athens Daily - EL'!AL15</f>
        <v>7441.5</v>
      </c>
      <c r="F9" s="7"/>
      <c r="G9" s="39">
        <f>'Athens Daily - Gas'!BI16</f>
        <v>75158.399999999994</v>
      </c>
      <c r="H9" s="7"/>
      <c r="I9" s="40">
        <f>'Athens Daily - Water'!S14</f>
        <v>109.45</v>
      </c>
      <c r="J9" s="7"/>
      <c r="K9" s="7">
        <v>287</v>
      </c>
      <c r="L9" s="7">
        <v>2</v>
      </c>
    </row>
    <row r="10" spans="1:12">
      <c r="A10" s="7" t="s">
        <v>14</v>
      </c>
      <c r="B10" s="7">
        <v>9</v>
      </c>
      <c r="C10" s="7">
        <v>1</v>
      </c>
      <c r="D10" s="7">
        <v>2021</v>
      </c>
      <c r="E10" s="7">
        <f>'Athens Daily - EL'!AL16</f>
        <v>7413.5</v>
      </c>
      <c r="F10" s="7"/>
      <c r="G10" s="39">
        <f>'Athens Daily - Gas'!BI17</f>
        <v>69436.800000000003</v>
      </c>
      <c r="H10" s="7"/>
      <c r="I10" s="40">
        <f>'Athens Daily - Water'!S15</f>
        <v>78.400000000000006</v>
      </c>
      <c r="J10" s="7"/>
      <c r="K10" s="7">
        <v>284</v>
      </c>
      <c r="L10" s="7">
        <v>2</v>
      </c>
    </row>
    <row r="11" spans="1:12">
      <c r="A11" s="7" t="s">
        <v>14</v>
      </c>
      <c r="B11" s="7">
        <v>10</v>
      </c>
      <c r="C11" s="7">
        <v>1</v>
      </c>
      <c r="D11" s="7">
        <v>2021</v>
      </c>
      <c r="E11" s="7">
        <f>'Athens Daily - EL'!AL17</f>
        <v>7949.5</v>
      </c>
      <c r="F11" s="7"/>
      <c r="G11" s="39">
        <f>'Athens Daily - Gas'!BI18</f>
        <v>65395.200000000004</v>
      </c>
      <c r="H11" s="7"/>
      <c r="I11" s="40">
        <f>'Athens Daily - Water'!S16</f>
        <v>182.65</v>
      </c>
      <c r="J11" s="7"/>
      <c r="K11" s="7">
        <v>284</v>
      </c>
      <c r="L11" s="7">
        <v>2</v>
      </c>
    </row>
    <row r="12" spans="1:12">
      <c r="A12" s="7" t="s">
        <v>14</v>
      </c>
      <c r="B12" s="7">
        <v>11</v>
      </c>
      <c r="C12" s="7">
        <v>1</v>
      </c>
      <c r="D12" s="7">
        <v>2021</v>
      </c>
      <c r="E12" s="7">
        <f>'Athens Daily - EL'!AL18</f>
        <v>7724.5</v>
      </c>
      <c r="F12" s="7"/>
      <c r="G12" s="39">
        <f>'Athens Daily - Gas'!BI19</f>
        <v>66892.800000000003</v>
      </c>
      <c r="H12" s="7"/>
      <c r="I12" s="40">
        <f>'Athens Daily - Water'!S17</f>
        <v>169.45</v>
      </c>
      <c r="J12" s="7"/>
      <c r="K12" s="7">
        <v>284</v>
      </c>
      <c r="L12" s="7">
        <v>2</v>
      </c>
    </row>
    <row r="13" spans="1:12">
      <c r="A13" s="7" t="s">
        <v>14</v>
      </c>
      <c r="B13" s="7">
        <v>12</v>
      </c>
      <c r="C13" s="7">
        <v>1</v>
      </c>
      <c r="D13" s="7">
        <v>2021</v>
      </c>
      <c r="E13" s="7">
        <f>'Athens Daily - EL'!AL19</f>
        <v>8278.5</v>
      </c>
      <c r="F13" s="7"/>
      <c r="G13" s="39">
        <f>'Athens Daily - Gas'!BI20</f>
        <v>70041.600000000006</v>
      </c>
      <c r="H13" s="7"/>
      <c r="I13" s="40">
        <f>'Athens Daily - Water'!S18</f>
        <v>208.35000000000002</v>
      </c>
      <c r="J13" s="7"/>
      <c r="K13" s="7">
        <v>286</v>
      </c>
      <c r="L13" s="7">
        <v>2</v>
      </c>
    </row>
    <row r="14" spans="1:12">
      <c r="A14" s="7" t="s">
        <v>14</v>
      </c>
      <c r="B14" s="7">
        <v>13</v>
      </c>
      <c r="C14" s="7">
        <v>1</v>
      </c>
      <c r="D14" s="7">
        <v>2021</v>
      </c>
      <c r="E14" s="7">
        <f>'Athens Daily - EL'!AL20</f>
        <v>7743</v>
      </c>
      <c r="F14" s="7"/>
      <c r="G14" s="39">
        <f>'Athens Daily - Gas'!BI21</f>
        <v>69168</v>
      </c>
      <c r="H14" s="7"/>
      <c r="I14" s="40">
        <f>'Athens Daily - Water'!S19</f>
        <v>171.45</v>
      </c>
      <c r="J14" s="7"/>
      <c r="K14" s="7">
        <v>287</v>
      </c>
      <c r="L14" s="7">
        <v>2</v>
      </c>
    </row>
    <row r="15" spans="1:12">
      <c r="A15" s="7" t="s">
        <v>14</v>
      </c>
      <c r="B15" s="7">
        <v>14</v>
      </c>
      <c r="C15" s="7">
        <v>1</v>
      </c>
      <c r="D15" s="7">
        <v>2021</v>
      </c>
      <c r="E15" s="7">
        <f>'Athens Daily - EL'!AL21</f>
        <v>6583</v>
      </c>
      <c r="F15" s="7"/>
      <c r="G15" s="39">
        <f>'Athens Daily - Gas'!BI22</f>
        <v>72268.800000000003</v>
      </c>
      <c r="H15" s="7"/>
      <c r="I15" s="40">
        <f>'Athens Daily - Water'!S20</f>
        <v>223.2</v>
      </c>
      <c r="J15" s="7"/>
      <c r="K15" s="7">
        <v>287</v>
      </c>
      <c r="L15" s="7">
        <v>2</v>
      </c>
    </row>
    <row r="16" spans="1:12">
      <c r="A16" s="7" t="s">
        <v>14</v>
      </c>
      <c r="B16" s="7">
        <v>15</v>
      </c>
      <c r="C16" s="7">
        <v>1</v>
      </c>
      <c r="D16" s="7">
        <v>2021</v>
      </c>
      <c r="E16" s="7">
        <f>'Athens Daily - EL'!AL22</f>
        <v>7044</v>
      </c>
      <c r="F16" s="7"/>
      <c r="G16" s="39">
        <f>'Athens Daily - Gas'!BI23</f>
        <v>59712</v>
      </c>
      <c r="H16" s="7"/>
      <c r="I16" s="40">
        <f>'Athens Daily - Water'!S21</f>
        <v>165.4</v>
      </c>
      <c r="J16" s="7"/>
      <c r="K16" s="7">
        <v>288</v>
      </c>
      <c r="L16" s="7">
        <v>2</v>
      </c>
    </row>
    <row r="17" spans="1:12">
      <c r="A17" s="7" t="s">
        <v>14</v>
      </c>
      <c r="B17" s="7">
        <v>16</v>
      </c>
      <c r="C17" s="7">
        <v>1</v>
      </c>
      <c r="D17" s="7">
        <v>2021</v>
      </c>
      <c r="E17" s="7">
        <f>'Athens Daily - EL'!AL23</f>
        <v>8145</v>
      </c>
      <c r="F17" s="7"/>
      <c r="G17" s="39">
        <f>'Athens Daily - Gas'!BI24</f>
        <v>65270.400000000001</v>
      </c>
      <c r="H17" s="7"/>
      <c r="I17" s="40">
        <f>'Athens Daily - Water'!S22</f>
        <v>184.10000000000002</v>
      </c>
      <c r="J17" s="7"/>
      <c r="K17" s="7">
        <v>288</v>
      </c>
      <c r="L17" s="7">
        <v>2</v>
      </c>
    </row>
    <row r="18" spans="1:12">
      <c r="A18" s="7" t="s">
        <v>14</v>
      </c>
      <c r="B18" s="7">
        <v>17</v>
      </c>
      <c r="C18" s="7">
        <v>1</v>
      </c>
      <c r="D18" s="7">
        <v>2021</v>
      </c>
      <c r="E18" s="7">
        <f>'Athens Daily - EL'!AL24</f>
        <v>8601</v>
      </c>
      <c r="F18" s="7"/>
      <c r="G18" s="39">
        <f>'Athens Daily - Gas'!BI25</f>
        <v>65827.200000000012</v>
      </c>
      <c r="H18" s="7"/>
      <c r="I18" s="40">
        <f>'Athens Daily - Water'!S23</f>
        <v>182.95</v>
      </c>
      <c r="J18" s="7"/>
      <c r="K18" s="7">
        <v>288</v>
      </c>
      <c r="L18" s="7">
        <v>2</v>
      </c>
    </row>
    <row r="19" spans="1:12">
      <c r="A19" s="7" t="s">
        <v>14</v>
      </c>
      <c r="B19" s="7">
        <v>18</v>
      </c>
      <c r="C19" s="7">
        <v>1</v>
      </c>
      <c r="D19" s="7">
        <v>2021</v>
      </c>
      <c r="E19" s="7">
        <f>'Athens Daily - EL'!AL25</f>
        <v>6480.5</v>
      </c>
      <c r="F19" s="7"/>
      <c r="G19" s="39">
        <f>'Athens Daily - Gas'!BI26</f>
        <v>70012.800000000003</v>
      </c>
      <c r="H19" s="7"/>
      <c r="I19" s="40">
        <f>'Athens Daily - Water'!S24</f>
        <v>169.45</v>
      </c>
      <c r="J19" s="7"/>
      <c r="K19" s="7">
        <v>291</v>
      </c>
      <c r="L19" s="7">
        <v>2</v>
      </c>
    </row>
    <row r="20" spans="1:12">
      <c r="A20" s="7" t="s">
        <v>14</v>
      </c>
      <c r="B20" s="7">
        <v>19</v>
      </c>
      <c r="C20" s="7">
        <v>1</v>
      </c>
      <c r="D20" s="7">
        <v>2021</v>
      </c>
      <c r="E20" s="7">
        <f>'Athens Daily - EL'!AL26</f>
        <v>6912</v>
      </c>
      <c r="F20" s="7"/>
      <c r="G20" s="39">
        <f>'Athens Daily - Gas'!BI27</f>
        <v>87168</v>
      </c>
      <c r="H20" s="7"/>
      <c r="I20" s="40">
        <f>'Athens Daily - Water'!S25</f>
        <v>188.10000000000002</v>
      </c>
      <c r="J20" s="7"/>
      <c r="K20" s="7">
        <v>290</v>
      </c>
      <c r="L20" s="7">
        <v>2</v>
      </c>
    </row>
    <row r="21" spans="1:12">
      <c r="A21" s="7" t="s">
        <v>14</v>
      </c>
      <c r="B21" s="7">
        <v>20</v>
      </c>
      <c r="C21" s="7">
        <v>1</v>
      </c>
      <c r="D21" s="7">
        <v>2021</v>
      </c>
      <c r="E21" s="7">
        <f>'Athens Daily - EL'!AL27</f>
        <v>6542</v>
      </c>
      <c r="F21" s="7"/>
      <c r="G21" s="39">
        <f>'Athens Daily - Gas'!BI28</f>
        <v>92188.800000000003</v>
      </c>
      <c r="H21" s="7"/>
      <c r="I21" s="40">
        <f>'Athens Daily - Water'!S26</f>
        <v>171.75</v>
      </c>
      <c r="J21" s="7"/>
      <c r="K21" s="7">
        <v>292</v>
      </c>
      <c r="L21" s="7">
        <v>2</v>
      </c>
    </row>
    <row r="22" spans="1:12">
      <c r="A22" s="7" t="s">
        <v>14</v>
      </c>
      <c r="B22" s="7">
        <v>21</v>
      </c>
      <c r="C22" s="7">
        <v>1</v>
      </c>
      <c r="D22" s="7">
        <v>2021</v>
      </c>
      <c r="E22" s="7">
        <f>'Athens Daily - EL'!AL28</f>
        <v>6865.5</v>
      </c>
      <c r="F22" s="7"/>
      <c r="G22" s="39">
        <f>'Athens Daily - Gas'!BI29</f>
        <v>96614.400000000009</v>
      </c>
      <c r="H22" s="7"/>
      <c r="I22" s="40">
        <f>'Athens Daily - Water'!S27</f>
        <v>184.9</v>
      </c>
      <c r="J22" s="7"/>
      <c r="K22" s="7">
        <v>293</v>
      </c>
      <c r="L22" s="7">
        <v>2</v>
      </c>
    </row>
    <row r="23" spans="1:12">
      <c r="A23" s="7" t="s">
        <v>14</v>
      </c>
      <c r="B23" s="7">
        <v>22</v>
      </c>
      <c r="C23" s="7">
        <v>1</v>
      </c>
      <c r="D23" s="7">
        <v>2021</v>
      </c>
      <c r="E23" s="7">
        <f>'Athens Daily - EL'!AL29</f>
        <v>7365</v>
      </c>
      <c r="F23" s="7"/>
      <c r="G23" s="39">
        <f>'Athens Daily - Gas'!BI30</f>
        <v>88905.600000000006</v>
      </c>
      <c r="H23" s="7"/>
      <c r="I23" s="40">
        <f>'Athens Daily - Water'!S28</f>
        <v>185.75</v>
      </c>
      <c r="J23" s="7"/>
      <c r="K23" s="7">
        <v>293</v>
      </c>
      <c r="L23" s="7">
        <v>2</v>
      </c>
    </row>
    <row r="24" spans="1:12">
      <c r="A24" s="7" t="s">
        <v>14</v>
      </c>
      <c r="B24" s="7">
        <v>23</v>
      </c>
      <c r="C24" s="7">
        <v>1</v>
      </c>
      <c r="D24" s="7">
        <v>2021</v>
      </c>
      <c r="E24" s="7">
        <f>'Athens Daily - EL'!AL30</f>
        <v>7841.5</v>
      </c>
      <c r="F24" s="7"/>
      <c r="G24" s="39">
        <f>'Athens Daily - Gas'!BI31</f>
        <v>68332.800000000003</v>
      </c>
      <c r="H24" s="7"/>
      <c r="I24" s="40">
        <f>'Athens Daily - Water'!S29</f>
        <v>173.15</v>
      </c>
      <c r="J24" s="7"/>
      <c r="K24" s="7">
        <v>294</v>
      </c>
      <c r="L24" s="7">
        <v>2</v>
      </c>
    </row>
    <row r="25" spans="1:12">
      <c r="A25" s="7" t="s">
        <v>14</v>
      </c>
      <c r="B25" s="7">
        <v>24</v>
      </c>
      <c r="C25" s="7">
        <v>1</v>
      </c>
      <c r="D25" s="7">
        <v>2021</v>
      </c>
      <c r="E25" s="7">
        <f>'Athens Daily - EL'!AL31</f>
        <v>8092</v>
      </c>
      <c r="F25" s="7"/>
      <c r="G25" s="39">
        <f>'Athens Daily - Gas'!BI32</f>
        <v>71414.399999999994</v>
      </c>
      <c r="H25" s="7"/>
      <c r="I25" s="40">
        <f>'Athens Daily - Water'!S30</f>
        <v>177.3</v>
      </c>
      <c r="J25" s="7"/>
      <c r="K25" s="7">
        <v>294</v>
      </c>
      <c r="L25" s="7">
        <v>2</v>
      </c>
    </row>
    <row r="26" spans="1:12">
      <c r="A26" s="7" t="s">
        <v>14</v>
      </c>
      <c r="B26" s="7">
        <v>25</v>
      </c>
      <c r="C26" s="7">
        <v>1</v>
      </c>
      <c r="D26" s="7">
        <v>2021</v>
      </c>
      <c r="E26" s="7">
        <f>'Athens Daily - EL'!AL32</f>
        <v>7491.5</v>
      </c>
      <c r="F26" s="7"/>
      <c r="G26" s="39">
        <f>'Athens Daily - Gas'!BI33</f>
        <v>75100.800000000003</v>
      </c>
      <c r="H26" s="7"/>
      <c r="I26" s="40">
        <f>'Athens Daily - Water'!S31</f>
        <v>195.9</v>
      </c>
      <c r="J26" s="7"/>
      <c r="K26" s="7">
        <v>291</v>
      </c>
      <c r="L26" s="7">
        <v>2</v>
      </c>
    </row>
    <row r="27" spans="1:12">
      <c r="A27" s="7" t="s">
        <v>14</v>
      </c>
      <c r="B27" s="7">
        <v>26</v>
      </c>
      <c r="C27" s="7">
        <v>1</v>
      </c>
      <c r="D27" s="7">
        <v>2021</v>
      </c>
      <c r="E27" s="7">
        <f>'Athens Daily - EL'!AL33</f>
        <v>6663</v>
      </c>
      <c r="F27" s="7"/>
      <c r="G27" s="39">
        <f>'Athens Daily - Gas'!BI34</f>
        <v>82579.200000000012</v>
      </c>
      <c r="H27" s="7"/>
      <c r="I27" s="40">
        <f>'Athens Daily - Water'!S32</f>
        <v>163.75</v>
      </c>
      <c r="J27" s="7"/>
      <c r="K27" s="7">
        <v>291</v>
      </c>
      <c r="L27" s="7">
        <v>2</v>
      </c>
    </row>
    <row r="28" spans="1:12">
      <c r="A28" s="7" t="s">
        <v>14</v>
      </c>
      <c r="B28" s="7">
        <v>27</v>
      </c>
      <c r="C28" s="7">
        <v>1</v>
      </c>
      <c r="D28" s="7">
        <v>2021</v>
      </c>
      <c r="E28" s="7">
        <f>'Athens Daily - EL'!AL34</f>
        <v>6202</v>
      </c>
      <c r="F28" s="7"/>
      <c r="G28" s="39">
        <f>'Athens Daily - Gas'!BI35</f>
        <v>99523.199999999997</v>
      </c>
      <c r="H28" s="7"/>
      <c r="I28" s="40">
        <f>'Athens Daily - Water'!S33</f>
        <v>196.3</v>
      </c>
      <c r="J28" s="7"/>
      <c r="K28" s="7">
        <v>288</v>
      </c>
      <c r="L28" s="7">
        <v>2</v>
      </c>
    </row>
    <row r="29" spans="1:12">
      <c r="A29" s="7" t="s">
        <v>14</v>
      </c>
      <c r="B29" s="7">
        <v>28</v>
      </c>
      <c r="C29" s="7">
        <v>1</v>
      </c>
      <c r="D29" s="7">
        <v>2021</v>
      </c>
      <c r="E29" s="7">
        <f>'Athens Daily - EL'!AL35</f>
        <v>6311.5</v>
      </c>
      <c r="F29" s="7"/>
      <c r="G29" s="39">
        <f>'Athens Daily - Gas'!BI36</f>
        <v>113971.20000000001</v>
      </c>
      <c r="H29" s="7"/>
      <c r="I29" s="40">
        <f>'Athens Daily - Water'!S34</f>
        <v>202.15</v>
      </c>
      <c r="J29" s="7"/>
      <c r="K29" s="7">
        <v>290</v>
      </c>
      <c r="L29" s="7">
        <v>2</v>
      </c>
    </row>
    <row r="30" spans="1:12">
      <c r="A30" s="7" t="s">
        <v>14</v>
      </c>
      <c r="B30" s="7">
        <v>29</v>
      </c>
      <c r="C30" s="7">
        <v>1</v>
      </c>
      <c r="D30" s="7">
        <v>2021</v>
      </c>
      <c r="E30" s="7">
        <f>'Athens Daily - EL'!AL36</f>
        <v>7462</v>
      </c>
      <c r="F30" s="7"/>
      <c r="G30" s="39">
        <f>'Athens Daily - Gas'!BI37</f>
        <v>98966.400000000009</v>
      </c>
      <c r="H30" s="7"/>
      <c r="I30" s="40">
        <f>'Athens Daily - Water'!S35</f>
        <v>196.75</v>
      </c>
      <c r="J30" s="7"/>
      <c r="K30" s="7">
        <v>291</v>
      </c>
      <c r="L30" s="7">
        <v>2</v>
      </c>
    </row>
    <row r="31" spans="1:12">
      <c r="A31" s="7" t="s">
        <v>14</v>
      </c>
      <c r="B31" s="7">
        <v>30</v>
      </c>
      <c r="C31" s="7">
        <v>1</v>
      </c>
      <c r="D31" s="7">
        <v>2021</v>
      </c>
      <c r="E31" s="7">
        <f>'Athens Daily - EL'!AL37</f>
        <v>7351.5</v>
      </c>
      <c r="F31" s="7"/>
      <c r="G31" s="39">
        <f>'Athens Daily - Gas'!BI38</f>
        <v>86313.600000000006</v>
      </c>
      <c r="H31" s="7"/>
      <c r="I31" s="40">
        <f>'Athens Daily - Water'!S37</f>
        <v>191.35000000000002</v>
      </c>
      <c r="J31" s="7"/>
      <c r="K31" s="7">
        <v>290</v>
      </c>
      <c r="L31" s="7">
        <v>2</v>
      </c>
    </row>
    <row r="32" spans="1:12">
      <c r="A32" s="7" t="s">
        <v>14</v>
      </c>
      <c r="B32" s="7">
        <v>31</v>
      </c>
      <c r="C32" s="7">
        <v>1</v>
      </c>
      <c r="D32" s="7">
        <v>2021</v>
      </c>
      <c r="E32" s="7">
        <f>'Athens Daily - EL'!AL7</f>
        <v>0</v>
      </c>
      <c r="F32" s="7"/>
      <c r="G32" s="39">
        <f>'Athens Daily - Gas'!BI39</f>
        <v>80534.399999999994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80" zoomScaleNormal="80" zoomScaleSheetLayoutView="20" workbookViewId="0">
      <pane xSplit="2" ySplit="5" topLeftCell="C7" activePane="bottomRight" state="frozen"/>
      <selection pane="topRight" activeCell="C2" sqref="C2"/>
      <selection pane="bottomLeft" activeCell="A7" sqref="A7"/>
      <selection pane="bottomRight" activeCell="C36" sqref="C36"/>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7"/>
      <c r="B1" s="107"/>
      <c r="C1" s="218" t="s">
        <v>65</v>
      </c>
      <c r="D1" s="218"/>
      <c r="E1" s="218" t="s">
        <v>65</v>
      </c>
      <c r="F1" s="218"/>
      <c r="G1" s="218" t="s">
        <v>65</v>
      </c>
      <c r="H1" s="218"/>
      <c r="I1" s="107"/>
      <c r="J1" s="218" t="s">
        <v>65</v>
      </c>
      <c r="K1" s="218"/>
      <c r="L1" s="218" t="s">
        <v>65</v>
      </c>
      <c r="M1" s="218"/>
      <c r="N1" s="204" t="s">
        <v>66</v>
      </c>
      <c r="O1" s="205"/>
      <c r="P1" s="206"/>
      <c r="Q1" s="204" t="s">
        <v>66</v>
      </c>
      <c r="R1" s="205"/>
      <c r="S1" s="206"/>
      <c r="T1" s="204" t="s">
        <v>66</v>
      </c>
      <c r="U1" s="205"/>
      <c r="V1" s="206"/>
      <c r="W1" s="204" t="s">
        <v>66</v>
      </c>
      <c r="X1" s="205"/>
      <c r="Y1" s="206"/>
      <c r="Z1" s="218" t="s">
        <v>67</v>
      </c>
      <c r="AA1" s="218"/>
      <c r="AB1" s="218" t="s">
        <v>67</v>
      </c>
      <c r="AC1" s="218"/>
      <c r="AD1" s="218" t="s">
        <v>67</v>
      </c>
      <c r="AE1" s="218"/>
      <c r="AF1" s="218" t="s">
        <v>67</v>
      </c>
      <c r="AG1" s="218"/>
      <c r="AH1" s="218" t="s">
        <v>67</v>
      </c>
      <c r="AI1" s="218"/>
    </row>
    <row r="2" spans="1:38" s="3" customFormat="1" ht="113.25" customHeight="1">
      <c r="A2" s="13"/>
      <c r="B2" s="14"/>
      <c r="C2" s="217" t="s">
        <v>68</v>
      </c>
      <c r="D2" s="217"/>
      <c r="E2" s="217" t="s">
        <v>69</v>
      </c>
      <c r="F2" s="217"/>
      <c r="G2" s="207" t="s">
        <v>70</v>
      </c>
      <c r="H2" s="208"/>
      <c r="I2" s="209"/>
      <c r="J2" s="217" t="s">
        <v>71</v>
      </c>
      <c r="K2" s="217"/>
      <c r="L2" s="217" t="s">
        <v>72</v>
      </c>
      <c r="M2" s="217"/>
      <c r="N2" s="207" t="s">
        <v>73</v>
      </c>
      <c r="O2" s="208"/>
      <c r="P2" s="209"/>
      <c r="Q2" s="207" t="s">
        <v>74</v>
      </c>
      <c r="R2" s="208"/>
      <c r="S2" s="209"/>
      <c r="T2" s="207" t="s">
        <v>75</v>
      </c>
      <c r="U2" s="208"/>
      <c r="V2" s="209"/>
      <c r="W2" s="207" t="s">
        <v>76</v>
      </c>
      <c r="X2" s="208"/>
      <c r="Y2" s="209"/>
      <c r="Z2" s="217" t="s">
        <v>77</v>
      </c>
      <c r="AA2" s="217"/>
      <c r="AB2" s="217" t="s">
        <v>78</v>
      </c>
      <c r="AC2" s="217"/>
      <c r="AD2" s="217" t="s">
        <v>79</v>
      </c>
      <c r="AE2" s="217"/>
      <c r="AF2" s="217" t="s">
        <v>78</v>
      </c>
      <c r="AG2" s="217"/>
      <c r="AH2" s="217" t="s">
        <v>80</v>
      </c>
      <c r="AI2" s="217"/>
      <c r="AJ2" s="114"/>
      <c r="AK2" s="114"/>
      <c r="AL2" s="114"/>
    </row>
    <row r="3" spans="1:38" s="25" customFormat="1" ht="30" customHeight="1">
      <c r="A3" s="106"/>
      <c r="B3" s="50"/>
      <c r="C3" s="210">
        <v>5065546</v>
      </c>
      <c r="D3" s="212"/>
      <c r="E3" s="210">
        <v>5065547</v>
      </c>
      <c r="F3" s="212"/>
      <c r="G3" s="210">
        <v>5008272</v>
      </c>
      <c r="H3" s="211"/>
      <c r="I3" s="212"/>
      <c r="J3" s="210">
        <v>5065548</v>
      </c>
      <c r="K3" s="212"/>
      <c r="L3" s="210">
        <v>5465545</v>
      </c>
      <c r="M3" s="212"/>
      <c r="N3" s="210">
        <v>5008273</v>
      </c>
      <c r="O3" s="211"/>
      <c r="P3" s="212"/>
      <c r="Q3" s="210">
        <v>5018351</v>
      </c>
      <c r="R3" s="211"/>
      <c r="S3" s="212"/>
      <c r="T3" s="210">
        <v>5018354</v>
      </c>
      <c r="U3" s="211"/>
      <c r="V3" s="212"/>
      <c r="W3" s="210">
        <v>5018350</v>
      </c>
      <c r="X3" s="211"/>
      <c r="Y3" s="212"/>
      <c r="Z3" s="210">
        <v>5065543</v>
      </c>
      <c r="AA3" s="212"/>
      <c r="AB3" s="210">
        <v>5065544</v>
      </c>
      <c r="AC3" s="212"/>
      <c r="AD3" s="210">
        <v>5065541</v>
      </c>
      <c r="AE3" s="212"/>
      <c r="AF3" s="210">
        <v>5065542</v>
      </c>
      <c r="AG3" s="212"/>
      <c r="AH3" s="210">
        <v>5065540</v>
      </c>
      <c r="AI3" s="212"/>
      <c r="AK3" s="219" t="s">
        <v>81</v>
      </c>
      <c r="AL3" s="219"/>
    </row>
    <row r="4" spans="1:38" s="24" customFormat="1" ht="30" customHeight="1">
      <c r="A4" s="106"/>
      <c r="B4" s="111"/>
      <c r="C4" s="213" t="s">
        <v>82</v>
      </c>
      <c r="D4" s="215"/>
      <c r="E4" s="213" t="s">
        <v>83</v>
      </c>
      <c r="F4" s="215"/>
      <c r="G4" s="213" t="s">
        <v>84</v>
      </c>
      <c r="H4" s="214"/>
      <c r="I4" s="215"/>
      <c r="J4" s="213" t="s">
        <v>85</v>
      </c>
      <c r="K4" s="215"/>
      <c r="L4" s="213" t="s">
        <v>86</v>
      </c>
      <c r="M4" s="215"/>
      <c r="N4" s="213" t="s">
        <v>87</v>
      </c>
      <c r="O4" s="214"/>
      <c r="P4" s="215"/>
      <c r="Q4" s="213" t="s">
        <v>88</v>
      </c>
      <c r="R4" s="214"/>
      <c r="S4" s="215"/>
      <c r="T4" s="213" t="s">
        <v>89</v>
      </c>
      <c r="U4" s="214"/>
      <c r="V4" s="215"/>
      <c r="W4" s="213" t="s">
        <v>90</v>
      </c>
      <c r="X4" s="214"/>
      <c r="Y4" s="215"/>
      <c r="Z4" s="213" t="s">
        <v>91</v>
      </c>
      <c r="AA4" s="215"/>
      <c r="AB4" s="213" t="s">
        <v>92</v>
      </c>
      <c r="AC4" s="215"/>
      <c r="AD4" s="213" t="s">
        <v>93</v>
      </c>
      <c r="AE4" s="215"/>
      <c r="AF4" s="213" t="s">
        <v>94</v>
      </c>
      <c r="AG4" s="215"/>
      <c r="AH4" s="213" t="s">
        <v>95</v>
      </c>
      <c r="AI4" s="215"/>
      <c r="AK4" s="219"/>
      <c r="AL4" s="219"/>
    </row>
    <row r="5" spans="1:38" s="8" customFormat="1" ht="30" customHeight="1">
      <c r="A5" s="106" t="s">
        <v>96</v>
      </c>
      <c r="B5" s="51"/>
      <c r="C5" s="202" t="s">
        <v>97</v>
      </c>
      <c r="D5" s="203"/>
      <c r="E5" s="202" t="s">
        <v>97</v>
      </c>
      <c r="F5" s="203"/>
      <c r="G5" s="202" t="s">
        <v>97</v>
      </c>
      <c r="H5" s="216"/>
      <c r="I5" s="203"/>
      <c r="J5" s="51" t="s">
        <v>97</v>
      </c>
      <c r="K5" s="51"/>
      <c r="L5" s="202" t="s">
        <v>97</v>
      </c>
      <c r="M5" s="203"/>
      <c r="N5" s="202" t="s">
        <v>97</v>
      </c>
      <c r="O5" s="216"/>
      <c r="P5" s="203"/>
      <c r="Q5" s="202" t="s">
        <v>98</v>
      </c>
      <c r="R5" s="216"/>
      <c r="S5" s="203"/>
      <c r="T5" s="202" t="s">
        <v>98</v>
      </c>
      <c r="U5" s="216"/>
      <c r="V5" s="203"/>
      <c r="W5" s="202" t="s">
        <v>98</v>
      </c>
      <c r="X5" s="216"/>
      <c r="Y5" s="203"/>
      <c r="Z5" s="202" t="s">
        <v>97</v>
      </c>
      <c r="AA5" s="203"/>
      <c r="AB5" s="202" t="s">
        <v>97</v>
      </c>
      <c r="AC5" s="203"/>
      <c r="AD5" s="202" t="s">
        <v>97</v>
      </c>
      <c r="AE5" s="203"/>
      <c r="AF5" s="202" t="s">
        <v>97</v>
      </c>
      <c r="AG5" s="203"/>
      <c r="AH5" s="202" t="s">
        <v>97</v>
      </c>
      <c r="AI5" s="203"/>
    </row>
    <row r="6" spans="1:38" s="10" customFormat="1" ht="50.1" customHeight="1">
      <c r="A6" s="106" t="s">
        <v>99</v>
      </c>
      <c r="B6" s="106"/>
      <c r="C6" s="106" t="s">
        <v>100</v>
      </c>
      <c r="D6" s="106" t="s">
        <v>101</v>
      </c>
      <c r="E6" s="106" t="s">
        <v>100</v>
      </c>
      <c r="F6" s="106" t="s">
        <v>101</v>
      </c>
      <c r="G6" s="106" t="s">
        <v>100</v>
      </c>
      <c r="H6" s="106" t="s">
        <v>101</v>
      </c>
      <c r="I6" s="106" t="s">
        <v>102</v>
      </c>
      <c r="J6" s="106" t="s">
        <v>100</v>
      </c>
      <c r="K6" s="106" t="s">
        <v>101</v>
      </c>
      <c r="L6" s="106" t="s">
        <v>100</v>
      </c>
      <c r="M6" s="106" t="s">
        <v>101</v>
      </c>
      <c r="N6" s="106" t="s">
        <v>100</v>
      </c>
      <c r="O6" s="106" t="s">
        <v>101</v>
      </c>
      <c r="P6" s="106" t="s">
        <v>102</v>
      </c>
      <c r="Q6" s="106" t="s">
        <v>100</v>
      </c>
      <c r="R6" s="106" t="s">
        <v>101</v>
      </c>
      <c r="S6" s="106" t="s">
        <v>102</v>
      </c>
      <c r="T6" s="106" t="s">
        <v>100</v>
      </c>
      <c r="U6" s="106" t="s">
        <v>101</v>
      </c>
      <c r="V6" s="106" t="s">
        <v>102</v>
      </c>
      <c r="W6" s="106" t="s">
        <v>100</v>
      </c>
      <c r="X6" s="106" t="s">
        <v>101</v>
      </c>
      <c r="Y6" s="106" t="s">
        <v>102</v>
      </c>
      <c r="Z6" s="106" t="s">
        <v>100</v>
      </c>
      <c r="AA6" s="106" t="s">
        <v>101</v>
      </c>
      <c r="AB6" s="106" t="s">
        <v>100</v>
      </c>
      <c r="AC6" s="106" t="s">
        <v>101</v>
      </c>
      <c r="AD6" s="106" t="s">
        <v>100</v>
      </c>
      <c r="AE6" s="106" t="s">
        <v>101</v>
      </c>
      <c r="AF6" s="106" t="s">
        <v>100</v>
      </c>
      <c r="AG6" s="106" t="s">
        <v>101</v>
      </c>
      <c r="AH6" s="106" t="s">
        <v>100</v>
      </c>
      <c r="AI6" s="106" t="s">
        <v>101</v>
      </c>
      <c r="AK6" s="106" t="s">
        <v>65</v>
      </c>
      <c r="AL6" s="106" t="s">
        <v>67</v>
      </c>
    </row>
    <row r="7" spans="1:38" s="144" customFormat="1" ht="39.950000000000003" customHeight="1">
      <c r="A7" s="142">
        <v>44530</v>
      </c>
      <c r="B7" s="143"/>
      <c r="C7" s="74">
        <v>189896</v>
      </c>
      <c r="D7" s="17"/>
      <c r="E7" s="74">
        <v>310806</v>
      </c>
      <c r="F7" s="17"/>
      <c r="G7" s="74">
        <v>76940</v>
      </c>
      <c r="H7" s="17"/>
      <c r="I7" s="17"/>
      <c r="J7" s="74">
        <v>277248</v>
      </c>
      <c r="K7" s="17"/>
      <c r="L7" s="189">
        <v>439271</v>
      </c>
      <c r="M7" s="17"/>
      <c r="N7" s="189">
        <v>130146</v>
      </c>
      <c r="O7" s="17"/>
      <c r="P7" s="17"/>
      <c r="Q7" s="189">
        <v>334886</v>
      </c>
      <c r="R7" s="17"/>
      <c r="S7" s="17"/>
      <c r="T7" s="189">
        <v>166123</v>
      </c>
      <c r="U7" s="17"/>
      <c r="V7" s="17"/>
      <c r="W7" s="189">
        <v>242077</v>
      </c>
      <c r="X7" s="17"/>
      <c r="Y7" s="17"/>
      <c r="Z7" s="189">
        <v>52623</v>
      </c>
      <c r="AA7" s="17"/>
      <c r="AB7" s="189">
        <v>103314</v>
      </c>
      <c r="AC7" s="17"/>
      <c r="AD7" s="74">
        <v>185050</v>
      </c>
      <c r="AE7" s="17"/>
      <c r="AF7" s="189">
        <v>96498</v>
      </c>
      <c r="AG7" s="17"/>
      <c r="AH7" s="189">
        <v>502975</v>
      </c>
      <c r="AI7" s="17"/>
      <c r="AJ7"/>
      <c r="AK7" s="96"/>
      <c r="AL7" s="97"/>
    </row>
    <row r="8" spans="1:38" s="2" customFormat="1" ht="39.950000000000003" customHeight="1">
      <c r="A8" s="142">
        <v>44531</v>
      </c>
      <c r="B8" s="15"/>
      <c r="C8" s="49">
        <v>190283</v>
      </c>
      <c r="D8" s="17">
        <f t="shared" ref="D8:F25" si="0">(C8-C7)*10</f>
        <v>3870</v>
      </c>
      <c r="E8" s="49">
        <v>311480</v>
      </c>
      <c r="F8" s="17">
        <f t="shared" si="0"/>
        <v>6740</v>
      </c>
      <c r="G8" s="49">
        <v>77216</v>
      </c>
      <c r="H8" s="17">
        <f t="shared" ref="H8:H9" si="1">(G8-G7)*10</f>
        <v>2760</v>
      </c>
      <c r="I8" s="17">
        <f>H8*50%</f>
        <v>1380</v>
      </c>
      <c r="J8" s="49">
        <v>277872</v>
      </c>
      <c r="K8" s="17">
        <f t="shared" ref="K8:K9" si="2">(J8-J7)*10</f>
        <v>6240</v>
      </c>
      <c r="L8" s="49">
        <v>440266</v>
      </c>
      <c r="M8" s="17">
        <f t="shared" ref="M8:M9" si="3">(L8-L7)*10</f>
        <v>9950</v>
      </c>
      <c r="N8" s="49">
        <v>131261</v>
      </c>
      <c r="O8" s="17">
        <f t="shared" ref="O8:O24" si="4">(N8-N7)*10</f>
        <v>11150</v>
      </c>
      <c r="P8" s="17">
        <f>O8*50%</f>
        <v>5575</v>
      </c>
      <c r="Q8" s="49">
        <v>334889</v>
      </c>
      <c r="R8" s="17">
        <f t="shared" ref="R8:R24" si="5">(Q8-Q7)*10</f>
        <v>30</v>
      </c>
      <c r="S8" s="17">
        <f>R8*50%</f>
        <v>15</v>
      </c>
      <c r="T8" s="49">
        <v>166125</v>
      </c>
      <c r="U8" s="17">
        <f t="shared" ref="U8:U9" si="6">(T8-T7)*10</f>
        <v>20</v>
      </c>
      <c r="V8" s="17">
        <f>U8*50%</f>
        <v>10</v>
      </c>
      <c r="W8" s="49">
        <v>242082</v>
      </c>
      <c r="X8" s="17">
        <f t="shared" ref="X8:X9" si="7">W8-W7</f>
        <v>5</v>
      </c>
      <c r="Y8" s="17">
        <f>X8*50%</f>
        <v>2.5</v>
      </c>
      <c r="Z8" s="49">
        <v>52750</v>
      </c>
      <c r="AA8" s="17">
        <f t="shared" ref="AA8:AA9" si="8">Z8-Z7</f>
        <v>127</v>
      </c>
      <c r="AB8" s="49">
        <v>103557</v>
      </c>
      <c r="AC8" s="17">
        <f t="shared" ref="AC8:AC9" si="9">AB8-AB7</f>
        <v>243</v>
      </c>
      <c r="AD8" s="49">
        <v>185445</v>
      </c>
      <c r="AE8" s="17">
        <f t="shared" ref="AE8:AE9" si="10">AD8-AD7</f>
        <v>395</v>
      </c>
      <c r="AF8" s="49">
        <v>96708</v>
      </c>
      <c r="AG8" s="17">
        <f t="shared" ref="AG8:AG9" si="11">AF8-AF7</f>
        <v>210</v>
      </c>
      <c r="AH8" s="49">
        <v>503990</v>
      </c>
      <c r="AI8" s="17">
        <f t="shared" ref="AI8:AI9" si="12">AH8-AH7</f>
        <v>1015</v>
      </c>
      <c r="AK8" s="96">
        <f>SUM(D8,F8,I8,K8,M8,P8,S8,V8,Y8)</f>
        <v>33782.5</v>
      </c>
      <c r="AL8" s="97">
        <f>SUM(P8,S8,V8,Y8,AA8,AC8,AE8,AG8,AI8)</f>
        <v>7592.5</v>
      </c>
    </row>
    <row r="9" spans="1:38" ht="39.950000000000003" customHeight="1">
      <c r="A9" s="142">
        <f>SUM(A8+1)</f>
        <v>44532</v>
      </c>
      <c r="B9" s="16"/>
      <c r="C9" s="49">
        <v>190640</v>
      </c>
      <c r="D9" s="192">
        <f t="shared" si="0"/>
        <v>3570</v>
      </c>
      <c r="E9" s="49">
        <v>312092</v>
      </c>
      <c r="F9" s="17">
        <f t="shared" si="0"/>
        <v>6120</v>
      </c>
      <c r="G9" s="49">
        <v>77478</v>
      </c>
      <c r="H9" s="17">
        <f t="shared" si="1"/>
        <v>2620</v>
      </c>
      <c r="I9" s="17">
        <f t="shared" ref="I9:I24" si="13">H9*50%</f>
        <v>1310</v>
      </c>
      <c r="J9" s="49">
        <v>278435</v>
      </c>
      <c r="K9" s="17">
        <f t="shared" si="2"/>
        <v>5630</v>
      </c>
      <c r="L9" s="49">
        <v>441164</v>
      </c>
      <c r="M9" s="17">
        <f t="shared" si="3"/>
        <v>8980</v>
      </c>
      <c r="N9" s="49">
        <v>132218</v>
      </c>
      <c r="O9" s="17">
        <f t="shared" si="4"/>
        <v>9570</v>
      </c>
      <c r="P9" s="17">
        <f t="shared" ref="P9:P24" si="14">O9*50%</f>
        <v>4785</v>
      </c>
      <c r="Q9" s="49">
        <v>334891</v>
      </c>
      <c r="R9" s="17">
        <f t="shared" si="5"/>
        <v>20</v>
      </c>
      <c r="S9" s="17">
        <f t="shared" ref="S9:S24" si="15">R9*50%</f>
        <v>10</v>
      </c>
      <c r="T9" s="49">
        <v>166127</v>
      </c>
      <c r="U9" s="17">
        <f t="shared" si="6"/>
        <v>20</v>
      </c>
      <c r="V9" s="17">
        <f t="shared" ref="V9:V24" si="16">U9*50%</f>
        <v>10</v>
      </c>
      <c r="W9" s="49">
        <v>242087</v>
      </c>
      <c r="X9" s="17">
        <f t="shared" si="7"/>
        <v>5</v>
      </c>
      <c r="Y9" s="17">
        <f t="shared" ref="Y9:Y24" si="17">X9*50%</f>
        <v>2.5</v>
      </c>
      <c r="Z9" s="49">
        <v>52867</v>
      </c>
      <c r="AA9" s="17">
        <f t="shared" si="8"/>
        <v>117</v>
      </c>
      <c r="AB9" s="49">
        <v>103776</v>
      </c>
      <c r="AC9" s="17">
        <f t="shared" si="9"/>
        <v>219</v>
      </c>
      <c r="AD9" s="49">
        <v>185816</v>
      </c>
      <c r="AE9" s="17">
        <f t="shared" si="10"/>
        <v>371</v>
      </c>
      <c r="AF9" s="49">
        <v>96897</v>
      </c>
      <c r="AG9" s="17">
        <f t="shared" si="11"/>
        <v>189</v>
      </c>
      <c r="AH9" s="49">
        <v>504928</v>
      </c>
      <c r="AI9" s="17">
        <f t="shared" si="12"/>
        <v>938</v>
      </c>
      <c r="AK9" s="96">
        <f t="shared" ref="AK9:AK24" si="18">SUM(D9,F9,I9,K9,M9,P9,S9,V9,Y9)</f>
        <v>30417.5</v>
      </c>
      <c r="AL9" s="97">
        <f t="shared" ref="AL9:AL24" si="19">SUM(P9,S9,V9,Y9,AA9,AC9,AE9,AG9,AI9)</f>
        <v>6641.5</v>
      </c>
    </row>
    <row r="10" spans="1:38" ht="39.950000000000003" customHeight="1">
      <c r="A10" s="142">
        <f t="shared" ref="A10:A38" si="20">SUM(A9+1)</f>
        <v>44533</v>
      </c>
      <c r="B10" s="16"/>
      <c r="C10" s="49">
        <v>191036</v>
      </c>
      <c r="D10" s="192">
        <f t="shared" si="0"/>
        <v>3960</v>
      </c>
      <c r="E10" s="49">
        <v>312783</v>
      </c>
      <c r="F10" s="17">
        <f t="shared" si="0"/>
        <v>6910</v>
      </c>
      <c r="G10" s="49">
        <v>77767</v>
      </c>
      <c r="H10" s="17">
        <f t="shared" ref="H10" si="21">(G10-G9)*10</f>
        <v>2890</v>
      </c>
      <c r="I10" s="17">
        <f t="shared" si="13"/>
        <v>1445</v>
      </c>
      <c r="J10" s="49">
        <v>279065</v>
      </c>
      <c r="K10" s="17">
        <f t="shared" ref="K10" si="22">(J10-J9)*10</f>
        <v>6300</v>
      </c>
      <c r="L10" s="49">
        <v>442189</v>
      </c>
      <c r="M10" s="17">
        <f t="shared" ref="M10" si="23">(L10-L9)*10</f>
        <v>10250</v>
      </c>
      <c r="N10" s="49">
        <v>133286</v>
      </c>
      <c r="O10" s="17">
        <f t="shared" si="4"/>
        <v>10680</v>
      </c>
      <c r="P10" s="17">
        <f t="shared" si="14"/>
        <v>5340</v>
      </c>
      <c r="Q10" s="49">
        <v>334893</v>
      </c>
      <c r="R10" s="17">
        <f t="shared" si="5"/>
        <v>20</v>
      </c>
      <c r="S10" s="17">
        <f t="shared" si="15"/>
        <v>10</v>
      </c>
      <c r="T10" s="49">
        <v>166130</v>
      </c>
      <c r="U10" s="17">
        <f t="shared" ref="U10" si="24">(T10-T9)*10</f>
        <v>30</v>
      </c>
      <c r="V10" s="17">
        <f t="shared" si="16"/>
        <v>15</v>
      </c>
      <c r="W10" s="49">
        <v>242092</v>
      </c>
      <c r="X10" s="17">
        <f t="shared" ref="X10" si="25">W10-W9</f>
        <v>5</v>
      </c>
      <c r="Y10" s="17">
        <f t="shared" si="17"/>
        <v>2.5</v>
      </c>
      <c r="Z10" s="49">
        <v>53003</v>
      </c>
      <c r="AA10" s="17">
        <f t="shared" ref="AA10" si="26">Z10-Z9</f>
        <v>136</v>
      </c>
      <c r="AB10" s="49">
        <v>104016</v>
      </c>
      <c r="AC10" s="17">
        <f t="shared" ref="AC10" si="27">AB10-AB9</f>
        <v>240</v>
      </c>
      <c r="AD10" s="49">
        <v>186217</v>
      </c>
      <c r="AE10" s="17">
        <f t="shared" ref="AE10" si="28">AD10-AD9</f>
        <v>401</v>
      </c>
      <c r="AF10" s="49">
        <v>97103</v>
      </c>
      <c r="AG10" s="17">
        <f t="shared" ref="AG10" si="29">AF10-AF9</f>
        <v>206</v>
      </c>
      <c r="AH10" s="49">
        <v>505927</v>
      </c>
      <c r="AI10" s="17">
        <f t="shared" ref="AI10" si="30">AH10-AH9</f>
        <v>999</v>
      </c>
      <c r="AK10" s="96">
        <f t="shared" si="18"/>
        <v>34232.5</v>
      </c>
      <c r="AL10" s="97">
        <f t="shared" si="19"/>
        <v>7349.5</v>
      </c>
    </row>
    <row r="11" spans="1:38" ht="39.950000000000003" customHeight="1">
      <c r="A11" s="142">
        <f t="shared" si="20"/>
        <v>44534</v>
      </c>
      <c r="B11" s="16"/>
      <c r="C11" s="49">
        <v>191436</v>
      </c>
      <c r="D11" s="192">
        <f t="shared" si="0"/>
        <v>4000</v>
      </c>
      <c r="E11" s="49">
        <v>313452</v>
      </c>
      <c r="F11" s="17">
        <f t="shared" si="0"/>
        <v>6690</v>
      </c>
      <c r="G11" s="49">
        <v>78053</v>
      </c>
      <c r="H11" s="17">
        <f>(G11-G10)*10</f>
        <v>2860</v>
      </c>
      <c r="I11" s="17">
        <f t="shared" si="13"/>
        <v>1430</v>
      </c>
      <c r="J11" s="49">
        <v>279712</v>
      </c>
      <c r="K11" s="17">
        <f t="shared" ref="K11" si="31">(J11-J10)*10</f>
        <v>6470</v>
      </c>
      <c r="L11" s="49">
        <v>443155</v>
      </c>
      <c r="M11" s="17">
        <f t="shared" ref="M11" si="32">(L11-L10)*10</f>
        <v>9660</v>
      </c>
      <c r="N11" s="49">
        <v>134402</v>
      </c>
      <c r="O11" s="17">
        <f t="shared" si="4"/>
        <v>11160</v>
      </c>
      <c r="P11" s="17">
        <f t="shared" si="14"/>
        <v>5580</v>
      </c>
      <c r="Q11" s="49">
        <v>334895</v>
      </c>
      <c r="R11" s="17">
        <f t="shared" si="5"/>
        <v>20</v>
      </c>
      <c r="S11" s="17">
        <f t="shared" si="15"/>
        <v>10</v>
      </c>
      <c r="T11" s="49">
        <v>166132</v>
      </c>
      <c r="U11" s="17">
        <f t="shared" ref="U11" si="33">(T11-T10)*10</f>
        <v>20</v>
      </c>
      <c r="V11" s="17">
        <f t="shared" si="16"/>
        <v>10</v>
      </c>
      <c r="W11" s="49">
        <v>242096</v>
      </c>
      <c r="X11" s="17">
        <f t="shared" ref="X11" si="34">W11-W10</f>
        <v>4</v>
      </c>
      <c r="Y11" s="17">
        <f t="shared" si="17"/>
        <v>2</v>
      </c>
      <c r="Z11" s="49">
        <v>53128</v>
      </c>
      <c r="AA11" s="17">
        <f t="shared" ref="AA11" si="35">Z11-Z10</f>
        <v>125</v>
      </c>
      <c r="AB11" s="49">
        <v>104242</v>
      </c>
      <c r="AC11" s="17">
        <f t="shared" ref="AC11" si="36">AB11-AB10</f>
        <v>226</v>
      </c>
      <c r="AD11" s="49">
        <v>186632</v>
      </c>
      <c r="AE11" s="17">
        <f t="shared" ref="AE11" si="37">AD11-AD10</f>
        <v>415</v>
      </c>
      <c r="AF11" s="49">
        <v>97302</v>
      </c>
      <c r="AG11" s="17">
        <f t="shared" ref="AG11" si="38">AF11-AF10</f>
        <v>199</v>
      </c>
      <c r="AH11" s="49">
        <v>506867</v>
      </c>
      <c r="AI11" s="17">
        <f t="shared" ref="AI11" si="39">AH11-AH10</f>
        <v>940</v>
      </c>
      <c r="AK11" s="96">
        <f t="shared" si="18"/>
        <v>33852</v>
      </c>
      <c r="AL11" s="97">
        <f t="shared" si="19"/>
        <v>7507</v>
      </c>
    </row>
    <row r="12" spans="1:38" ht="39.950000000000003" customHeight="1">
      <c r="A12" s="142">
        <f t="shared" si="20"/>
        <v>44535</v>
      </c>
      <c r="B12" s="16"/>
      <c r="C12" s="49">
        <v>191821</v>
      </c>
      <c r="D12" s="192">
        <f t="shared" si="0"/>
        <v>3850</v>
      </c>
      <c r="E12" s="49">
        <v>314180</v>
      </c>
      <c r="F12" s="17">
        <f t="shared" si="0"/>
        <v>7280</v>
      </c>
      <c r="G12" s="49">
        <v>78347</v>
      </c>
      <c r="H12" s="17">
        <f t="shared" ref="H12" si="40">(G12-G11)*10</f>
        <v>2940</v>
      </c>
      <c r="I12" s="17">
        <f t="shared" si="13"/>
        <v>1470</v>
      </c>
      <c r="J12" s="49">
        <v>280380</v>
      </c>
      <c r="K12" s="17">
        <f t="shared" ref="K12" si="41">(J12-J11)*10</f>
        <v>6680</v>
      </c>
      <c r="L12" s="49">
        <v>444235</v>
      </c>
      <c r="M12" s="17">
        <f t="shared" ref="M12" si="42">(L12-L11)*10</f>
        <v>10800</v>
      </c>
      <c r="N12" s="49">
        <v>135469</v>
      </c>
      <c r="O12" s="17">
        <f t="shared" si="4"/>
        <v>10670</v>
      </c>
      <c r="P12" s="17">
        <f t="shared" si="14"/>
        <v>5335</v>
      </c>
      <c r="Q12" s="49">
        <v>334897</v>
      </c>
      <c r="R12" s="17">
        <f t="shared" si="5"/>
        <v>20</v>
      </c>
      <c r="S12" s="17">
        <f t="shared" si="15"/>
        <v>10</v>
      </c>
      <c r="T12" s="49">
        <v>166134</v>
      </c>
      <c r="U12" s="17">
        <f t="shared" ref="U12" si="43">(T12-T11)*10</f>
        <v>20</v>
      </c>
      <c r="V12" s="17">
        <f t="shared" si="16"/>
        <v>10</v>
      </c>
      <c r="W12" s="49">
        <v>242101</v>
      </c>
      <c r="X12" s="17">
        <f t="shared" ref="X12" si="44">W12-W11</f>
        <v>5</v>
      </c>
      <c r="Y12" s="17">
        <f t="shared" si="17"/>
        <v>2.5</v>
      </c>
      <c r="Z12" s="49">
        <v>53258</v>
      </c>
      <c r="AA12" s="17">
        <f t="shared" ref="AA12" si="45">Z12-Z11</f>
        <v>130</v>
      </c>
      <c r="AB12" s="49">
        <v>104468</v>
      </c>
      <c r="AC12" s="17">
        <f t="shared" ref="AC12" si="46">AB12-AB11</f>
        <v>226</v>
      </c>
      <c r="AD12" s="49">
        <v>187039</v>
      </c>
      <c r="AE12" s="17">
        <f t="shared" ref="AE12" si="47">AD12-AD11</f>
        <v>407</v>
      </c>
      <c r="AF12" s="49">
        <v>97500</v>
      </c>
      <c r="AG12" s="17">
        <f t="shared" ref="AG12" si="48">AF12-AF11</f>
        <v>198</v>
      </c>
      <c r="AH12" s="49">
        <v>507866</v>
      </c>
      <c r="AI12" s="17">
        <f t="shared" ref="AI12" si="49">AH12-AH11</f>
        <v>999</v>
      </c>
      <c r="AK12" s="96">
        <f t="shared" si="18"/>
        <v>35437.5</v>
      </c>
      <c r="AL12" s="97">
        <f t="shared" si="19"/>
        <v>7317.5</v>
      </c>
    </row>
    <row r="13" spans="1:38" ht="39.950000000000003" customHeight="1">
      <c r="A13" s="142">
        <f t="shared" si="20"/>
        <v>44536</v>
      </c>
      <c r="B13" s="16"/>
      <c r="C13" s="49">
        <v>192177</v>
      </c>
      <c r="D13" s="192">
        <f t="shared" si="0"/>
        <v>3560</v>
      </c>
      <c r="E13" s="49">
        <v>314838</v>
      </c>
      <c r="F13" s="17">
        <f t="shared" si="0"/>
        <v>6580</v>
      </c>
      <c r="G13" s="49">
        <v>78631</v>
      </c>
      <c r="H13" s="17">
        <f t="shared" ref="H13" si="50">(G13-G12)*10</f>
        <v>2840</v>
      </c>
      <c r="I13" s="17">
        <f t="shared" si="13"/>
        <v>1420</v>
      </c>
      <c r="J13" s="49">
        <v>281005</v>
      </c>
      <c r="K13" s="17">
        <f t="shared" ref="K13" si="51">(J13-J12)*10</f>
        <v>6250</v>
      </c>
      <c r="L13" s="49">
        <v>445156</v>
      </c>
      <c r="M13" s="17">
        <f t="shared" ref="M13" si="52">(L13-L12)*10</f>
        <v>9210</v>
      </c>
      <c r="N13" s="49">
        <v>136370</v>
      </c>
      <c r="O13" s="17">
        <f t="shared" si="4"/>
        <v>9010</v>
      </c>
      <c r="P13" s="17">
        <f t="shared" si="14"/>
        <v>4505</v>
      </c>
      <c r="Q13" s="49">
        <v>335044</v>
      </c>
      <c r="R13" s="17">
        <f t="shared" si="5"/>
        <v>1470</v>
      </c>
      <c r="S13" s="17">
        <f t="shared" si="15"/>
        <v>735</v>
      </c>
      <c r="T13" s="49">
        <v>166185</v>
      </c>
      <c r="U13" s="17">
        <f t="shared" ref="U13" si="53">(T13-T12)*10</f>
        <v>510</v>
      </c>
      <c r="V13" s="17">
        <f t="shared" si="16"/>
        <v>255</v>
      </c>
      <c r="W13" s="49">
        <v>242178</v>
      </c>
      <c r="X13" s="17">
        <f t="shared" ref="X13" si="54">W13-W12</f>
        <v>77</v>
      </c>
      <c r="Y13" s="17">
        <f t="shared" si="17"/>
        <v>38.5</v>
      </c>
      <c r="Z13" s="49">
        <v>53383</v>
      </c>
      <c r="AA13" s="17">
        <f t="shared" ref="AA13" si="55">Z13-Z12</f>
        <v>125</v>
      </c>
      <c r="AB13" s="49">
        <v>104697</v>
      </c>
      <c r="AC13" s="17">
        <f t="shared" ref="AC13" si="56">AB13-AB12</f>
        <v>229</v>
      </c>
      <c r="AD13" s="49">
        <v>187424</v>
      </c>
      <c r="AE13" s="17">
        <f t="shared" ref="AE13" si="57">AD13-AD12</f>
        <v>385</v>
      </c>
      <c r="AF13" s="49">
        <v>97695</v>
      </c>
      <c r="AG13" s="17">
        <f t="shared" ref="AG13" si="58">AF13-AF12</f>
        <v>195</v>
      </c>
      <c r="AH13" s="49">
        <v>508845</v>
      </c>
      <c r="AI13" s="17">
        <f t="shared" ref="AI13" si="59">AH13-AH12</f>
        <v>979</v>
      </c>
      <c r="AK13" s="96">
        <f t="shared" si="18"/>
        <v>32553.5</v>
      </c>
      <c r="AL13" s="97">
        <f t="shared" si="19"/>
        <v>7446.5</v>
      </c>
    </row>
    <row r="14" spans="1:38" ht="39.950000000000003" customHeight="1">
      <c r="A14" s="142">
        <f t="shared" si="20"/>
        <v>44537</v>
      </c>
      <c r="B14" s="16"/>
      <c r="C14" s="49">
        <v>192520</v>
      </c>
      <c r="D14" s="192">
        <f t="shared" si="0"/>
        <v>3430</v>
      </c>
      <c r="E14" s="49">
        <v>315511</v>
      </c>
      <c r="F14" s="17">
        <f t="shared" si="0"/>
        <v>6730</v>
      </c>
      <c r="G14" s="49">
        <v>78926</v>
      </c>
      <c r="H14" s="17">
        <f t="shared" ref="H14" si="60">(G14-G13)*10</f>
        <v>2950</v>
      </c>
      <c r="I14" s="17">
        <f t="shared" si="13"/>
        <v>1475</v>
      </c>
      <c r="J14" s="191">
        <v>281625</v>
      </c>
      <c r="K14" s="192">
        <f t="shared" ref="K14" si="61">(J14-J13)*10</f>
        <v>6200</v>
      </c>
      <c r="L14" s="49">
        <v>446141</v>
      </c>
      <c r="M14" s="17">
        <f t="shared" ref="M14" si="62">(L14-L13)*10</f>
        <v>9850</v>
      </c>
      <c r="N14" s="49">
        <v>137561</v>
      </c>
      <c r="O14" s="17">
        <f t="shared" si="4"/>
        <v>11910</v>
      </c>
      <c r="P14" s="17">
        <f t="shared" si="14"/>
        <v>5955</v>
      </c>
      <c r="Q14" s="49">
        <v>335046</v>
      </c>
      <c r="R14" s="17">
        <f t="shared" si="5"/>
        <v>20</v>
      </c>
      <c r="S14" s="17">
        <f t="shared" si="15"/>
        <v>10</v>
      </c>
      <c r="T14" s="49">
        <v>166187</v>
      </c>
      <c r="U14" s="17">
        <f t="shared" ref="U14" si="63">(T14-T13)*10</f>
        <v>20</v>
      </c>
      <c r="V14" s="17">
        <f t="shared" si="16"/>
        <v>10</v>
      </c>
      <c r="W14" s="49">
        <v>242183</v>
      </c>
      <c r="X14" s="17">
        <f t="shared" ref="X14" si="64">W14-W13</f>
        <v>5</v>
      </c>
      <c r="Y14" s="17">
        <f t="shared" si="17"/>
        <v>2.5</v>
      </c>
      <c r="Z14" s="49">
        <v>53509</v>
      </c>
      <c r="AA14" s="17">
        <f t="shared" ref="AA14" si="65">Z14-Z13</f>
        <v>126</v>
      </c>
      <c r="AB14" s="49">
        <v>104917</v>
      </c>
      <c r="AC14" s="17">
        <f t="shared" ref="AC14" si="66">AB14-AB13</f>
        <v>220</v>
      </c>
      <c r="AD14" s="49">
        <v>187804</v>
      </c>
      <c r="AE14" s="17">
        <f t="shared" ref="AE14" si="67">AD14-AD13</f>
        <v>380</v>
      </c>
      <c r="AF14" s="49">
        <v>97887</v>
      </c>
      <c r="AG14" s="17">
        <f t="shared" ref="AG14" si="68">AF14-AF13</f>
        <v>192</v>
      </c>
      <c r="AH14" s="49">
        <v>509784</v>
      </c>
      <c r="AI14" s="17">
        <f t="shared" ref="AI14" si="69">AH14-AH13</f>
        <v>939</v>
      </c>
      <c r="AK14" s="193">
        <f t="shared" si="18"/>
        <v>33662.5</v>
      </c>
      <c r="AL14" s="97">
        <f t="shared" si="19"/>
        <v>7834.5</v>
      </c>
    </row>
    <row r="15" spans="1:38" ht="39.950000000000003" customHeight="1">
      <c r="A15" s="142">
        <f t="shared" si="20"/>
        <v>44538</v>
      </c>
      <c r="B15" s="16"/>
      <c r="C15" s="49">
        <v>192857</v>
      </c>
      <c r="D15" s="17">
        <f t="shared" si="0"/>
        <v>3370</v>
      </c>
      <c r="E15" s="49">
        <v>316190</v>
      </c>
      <c r="F15" s="17">
        <f t="shared" si="0"/>
        <v>6790</v>
      </c>
      <c r="G15" s="49">
        <v>79208</v>
      </c>
      <c r="H15" s="17">
        <f t="shared" ref="H15" si="70">(G15-G14)*10</f>
        <v>2820</v>
      </c>
      <c r="I15" s="17">
        <f t="shared" si="13"/>
        <v>1410</v>
      </c>
      <c r="J15" s="191">
        <v>282264</v>
      </c>
      <c r="K15" s="192">
        <f t="shared" ref="K15" si="71">(J15-J14)*10</f>
        <v>6390</v>
      </c>
      <c r="L15" s="49">
        <v>447152</v>
      </c>
      <c r="M15" s="17">
        <f t="shared" ref="M15" si="72">(L15-L14)*10</f>
        <v>10110</v>
      </c>
      <c r="N15" s="49">
        <v>138664</v>
      </c>
      <c r="O15" s="17">
        <f t="shared" si="4"/>
        <v>11030</v>
      </c>
      <c r="P15" s="17">
        <f t="shared" si="14"/>
        <v>5515</v>
      </c>
      <c r="Q15" s="49">
        <v>335048</v>
      </c>
      <c r="R15" s="17">
        <f t="shared" si="5"/>
        <v>20</v>
      </c>
      <c r="S15" s="17">
        <f t="shared" si="15"/>
        <v>10</v>
      </c>
      <c r="T15" s="49">
        <v>166189</v>
      </c>
      <c r="U15" s="17">
        <f t="shared" ref="U15" si="73">(T15-T14)*10</f>
        <v>20</v>
      </c>
      <c r="V15" s="17">
        <f t="shared" si="16"/>
        <v>10</v>
      </c>
      <c r="W15" s="49">
        <v>242188</v>
      </c>
      <c r="X15" s="17">
        <f t="shared" ref="X15" si="74">W15-W14</f>
        <v>5</v>
      </c>
      <c r="Y15" s="17">
        <f t="shared" si="17"/>
        <v>2.5</v>
      </c>
      <c r="Z15" s="49">
        <v>53633</v>
      </c>
      <c r="AA15" s="17">
        <f t="shared" ref="AA15" si="75">Z15-Z14</f>
        <v>124</v>
      </c>
      <c r="AB15" s="49">
        <v>105146</v>
      </c>
      <c r="AC15" s="17">
        <f t="shared" ref="AC15" si="76">AB15-AB14</f>
        <v>229</v>
      </c>
      <c r="AD15" s="49">
        <v>188192</v>
      </c>
      <c r="AE15" s="17">
        <f t="shared" ref="AE15" si="77">AD15-AD14</f>
        <v>388</v>
      </c>
      <c r="AF15" s="49">
        <v>98087</v>
      </c>
      <c r="AG15" s="17">
        <f t="shared" ref="AG15" si="78">AF15-AF14</f>
        <v>200</v>
      </c>
      <c r="AH15" s="49">
        <v>510747</v>
      </c>
      <c r="AI15" s="17">
        <f t="shared" ref="AI15" si="79">AH15-AH14</f>
        <v>963</v>
      </c>
      <c r="AK15" s="193">
        <f t="shared" si="18"/>
        <v>33607.5</v>
      </c>
      <c r="AL15" s="97">
        <f t="shared" si="19"/>
        <v>7441.5</v>
      </c>
    </row>
    <row r="16" spans="1:38" ht="39.950000000000003" customHeight="1">
      <c r="A16" s="142">
        <f t="shared" si="20"/>
        <v>44539</v>
      </c>
      <c r="B16" s="16"/>
      <c r="C16" s="49">
        <v>193191</v>
      </c>
      <c r="D16" s="17">
        <f t="shared" si="0"/>
        <v>3340</v>
      </c>
      <c r="E16" s="49">
        <v>316828</v>
      </c>
      <c r="F16" s="17">
        <f t="shared" si="0"/>
        <v>6380</v>
      </c>
      <c r="G16" s="49">
        <v>79484</v>
      </c>
      <c r="H16" s="17">
        <f t="shared" ref="H16" si="80">(G16-G15)*10</f>
        <v>2760</v>
      </c>
      <c r="I16" s="17">
        <f t="shared" si="13"/>
        <v>1380</v>
      </c>
      <c r="J16" s="191">
        <v>282870</v>
      </c>
      <c r="K16" s="192">
        <f t="shared" ref="K16" si="81">(J16-J15)*10</f>
        <v>6060</v>
      </c>
      <c r="L16" s="49">
        <v>448150</v>
      </c>
      <c r="M16" s="17">
        <f t="shared" ref="M16" si="82">(L16-L15)*10</f>
        <v>9980</v>
      </c>
      <c r="N16" s="49">
        <v>139765</v>
      </c>
      <c r="O16" s="17">
        <f t="shared" si="4"/>
        <v>11010</v>
      </c>
      <c r="P16" s="17">
        <f t="shared" si="14"/>
        <v>5505</v>
      </c>
      <c r="Q16" s="49">
        <v>335050</v>
      </c>
      <c r="R16" s="17">
        <f t="shared" si="5"/>
        <v>20</v>
      </c>
      <c r="S16" s="17">
        <f t="shared" si="15"/>
        <v>10</v>
      </c>
      <c r="T16" s="49">
        <v>166191</v>
      </c>
      <c r="U16" s="17">
        <f t="shared" ref="U16" si="83">(T16-T15)*10</f>
        <v>20</v>
      </c>
      <c r="V16" s="17">
        <f t="shared" si="16"/>
        <v>10</v>
      </c>
      <c r="W16" s="49">
        <v>242193</v>
      </c>
      <c r="X16" s="17">
        <f t="shared" ref="X16" si="84">W16-W15</f>
        <v>5</v>
      </c>
      <c r="Y16" s="17">
        <f t="shared" si="17"/>
        <v>2.5</v>
      </c>
      <c r="Z16" s="49">
        <v>53760</v>
      </c>
      <c r="AA16" s="17">
        <f t="shared" ref="AA16" si="85">Z16-Z15</f>
        <v>127</v>
      </c>
      <c r="AB16" s="49">
        <v>105381</v>
      </c>
      <c r="AC16" s="17">
        <f t="shared" ref="AC16" si="86">AB16-AB15</f>
        <v>235</v>
      </c>
      <c r="AD16" s="49">
        <v>188571</v>
      </c>
      <c r="AE16" s="17">
        <f t="shared" ref="AE16" si="87">AD16-AD15</f>
        <v>379</v>
      </c>
      <c r="AF16" s="49">
        <v>98284</v>
      </c>
      <c r="AG16" s="17">
        <f t="shared" ref="AG16" si="88">AF16-AF15</f>
        <v>197</v>
      </c>
      <c r="AH16" s="49">
        <v>511695</v>
      </c>
      <c r="AI16" s="17">
        <f t="shared" ref="AI16" si="89">AH16-AH15</f>
        <v>948</v>
      </c>
      <c r="AK16" s="193">
        <f t="shared" si="18"/>
        <v>32667.5</v>
      </c>
      <c r="AL16" s="97">
        <f t="shared" si="19"/>
        <v>7413.5</v>
      </c>
    </row>
    <row r="17" spans="1:38" ht="39.950000000000003" customHeight="1">
      <c r="A17" s="142">
        <f t="shared" si="20"/>
        <v>44540</v>
      </c>
      <c r="B17" s="16"/>
      <c r="C17" s="49">
        <v>193543</v>
      </c>
      <c r="D17" s="17">
        <f t="shared" si="0"/>
        <v>3520</v>
      </c>
      <c r="E17" s="49">
        <v>317523</v>
      </c>
      <c r="F17" s="17">
        <f t="shared" si="0"/>
        <v>6950</v>
      </c>
      <c r="G17" s="49">
        <v>79763</v>
      </c>
      <c r="H17" s="17">
        <f t="shared" ref="H17" si="90">(G17-G16)*10</f>
        <v>2790</v>
      </c>
      <c r="I17" s="17">
        <f t="shared" si="13"/>
        <v>1395</v>
      </c>
      <c r="J17" s="191">
        <v>283510</v>
      </c>
      <c r="K17" s="192">
        <f t="shared" ref="K17" si="91">(J17-J16)*10</f>
        <v>6400</v>
      </c>
      <c r="L17" s="49">
        <v>449220</v>
      </c>
      <c r="M17" s="17">
        <f t="shared" ref="M17" si="92">(L17-L16)*10</f>
        <v>10700</v>
      </c>
      <c r="N17" s="49">
        <v>140955</v>
      </c>
      <c r="O17" s="17">
        <f t="shared" si="4"/>
        <v>11900</v>
      </c>
      <c r="P17" s="17">
        <f t="shared" si="14"/>
        <v>5950</v>
      </c>
      <c r="Q17" s="49">
        <v>335052</v>
      </c>
      <c r="R17" s="17">
        <f t="shared" si="5"/>
        <v>20</v>
      </c>
      <c r="S17" s="17">
        <f t="shared" si="15"/>
        <v>10</v>
      </c>
      <c r="T17" s="49">
        <v>166194</v>
      </c>
      <c r="U17" s="17">
        <f t="shared" ref="U17" si="93">(T17-T16)*10</f>
        <v>30</v>
      </c>
      <c r="V17" s="17">
        <f t="shared" si="16"/>
        <v>15</v>
      </c>
      <c r="W17" s="49">
        <v>242198</v>
      </c>
      <c r="X17" s="17">
        <f t="shared" ref="X17" si="94">W17-W16</f>
        <v>5</v>
      </c>
      <c r="Y17" s="17">
        <f t="shared" si="17"/>
        <v>2.5</v>
      </c>
      <c r="Z17" s="49">
        <v>53892</v>
      </c>
      <c r="AA17" s="17">
        <f t="shared" ref="AA17" si="95">Z17-Z16</f>
        <v>132</v>
      </c>
      <c r="AB17" s="49">
        <v>105615</v>
      </c>
      <c r="AC17" s="17">
        <f t="shared" ref="AC17" si="96">AB17-AB16</f>
        <v>234</v>
      </c>
      <c r="AD17" s="49">
        <v>188972</v>
      </c>
      <c r="AE17" s="17">
        <f t="shared" ref="AE17:AE18" si="97">AD17-AD16</f>
        <v>401</v>
      </c>
      <c r="AF17" s="49">
        <v>98487</v>
      </c>
      <c r="AG17" s="17">
        <f t="shared" ref="AG17" si="98">AF17-AF16</f>
        <v>203</v>
      </c>
      <c r="AH17" s="49">
        <v>512697</v>
      </c>
      <c r="AI17" s="17">
        <f t="shared" ref="AI17" si="99">AH17-AH16</f>
        <v>1002</v>
      </c>
      <c r="AK17" s="193">
        <f t="shared" si="18"/>
        <v>34942.5</v>
      </c>
      <c r="AL17" s="97">
        <f t="shared" si="19"/>
        <v>7949.5</v>
      </c>
    </row>
    <row r="18" spans="1:38" ht="39.950000000000003" customHeight="1">
      <c r="A18" s="142">
        <f t="shared" si="20"/>
        <v>44541</v>
      </c>
      <c r="B18" s="16"/>
      <c r="C18" s="49">
        <v>193902</v>
      </c>
      <c r="D18" s="17">
        <f t="shared" si="0"/>
        <v>3590</v>
      </c>
      <c r="E18" s="49">
        <v>318223</v>
      </c>
      <c r="F18" s="17">
        <f t="shared" si="0"/>
        <v>7000</v>
      </c>
      <c r="G18" s="49">
        <v>80043</v>
      </c>
      <c r="H18" s="17">
        <f t="shared" ref="H18" si="100">(G18-G17)*10</f>
        <v>2800</v>
      </c>
      <c r="I18" s="17">
        <f t="shared" si="13"/>
        <v>1400</v>
      </c>
      <c r="J18" s="49">
        <v>284148</v>
      </c>
      <c r="K18" s="192">
        <f t="shared" ref="K18" si="101">(J18-J17)*10</f>
        <v>6380</v>
      </c>
      <c r="L18" s="49">
        <v>450263</v>
      </c>
      <c r="M18" s="17">
        <f t="shared" ref="M18" si="102">(L18-L17)*10</f>
        <v>10430</v>
      </c>
      <c r="N18" s="49">
        <v>142033</v>
      </c>
      <c r="O18" s="17">
        <f t="shared" si="4"/>
        <v>10780</v>
      </c>
      <c r="P18" s="17">
        <f t="shared" si="14"/>
        <v>5390</v>
      </c>
      <c r="Q18" s="49">
        <v>335274</v>
      </c>
      <c r="R18" s="17">
        <f t="shared" si="5"/>
        <v>2220</v>
      </c>
      <c r="S18" s="17">
        <f t="shared" si="15"/>
        <v>1110</v>
      </c>
      <c r="T18" s="49">
        <v>166196</v>
      </c>
      <c r="U18" s="17">
        <f t="shared" ref="U18" si="103">(T18-T17)*10</f>
        <v>20</v>
      </c>
      <c r="V18" s="17">
        <f t="shared" si="16"/>
        <v>10</v>
      </c>
      <c r="W18" s="49">
        <v>242203</v>
      </c>
      <c r="X18" s="17">
        <f t="shared" ref="X18" si="104">W18-W17</f>
        <v>5</v>
      </c>
      <c r="Y18" s="17">
        <f t="shared" si="17"/>
        <v>2.5</v>
      </c>
      <c r="Z18" s="49">
        <v>54018</v>
      </c>
      <c r="AA18" s="17">
        <f t="shared" ref="AA18" si="105">Z18-Z17</f>
        <v>126</v>
      </c>
      <c r="AB18" s="49">
        <v>105836</v>
      </c>
      <c r="AC18" s="17">
        <f t="shared" ref="AC18" si="106">AB18-AB17</f>
        <v>221</v>
      </c>
      <c r="AD18" s="49">
        <v>189347</v>
      </c>
      <c r="AE18" s="17">
        <f t="shared" si="97"/>
        <v>375</v>
      </c>
      <c r="AF18" s="49">
        <v>98680</v>
      </c>
      <c r="AG18" s="17">
        <f t="shared" ref="AG18" si="107">AF18-AF17</f>
        <v>193</v>
      </c>
      <c r="AH18" s="49">
        <v>512994</v>
      </c>
      <c r="AI18" s="17">
        <f t="shared" ref="AI18" si="108">AH18-AH17</f>
        <v>297</v>
      </c>
      <c r="AK18" s="96">
        <f t="shared" si="18"/>
        <v>35312.5</v>
      </c>
      <c r="AL18" s="97">
        <f t="shared" si="19"/>
        <v>7724.5</v>
      </c>
    </row>
    <row r="19" spans="1:38" ht="39.950000000000003" customHeight="1">
      <c r="A19" s="142">
        <f t="shared" si="20"/>
        <v>44542</v>
      </c>
      <c r="B19" s="16"/>
      <c r="C19" s="49">
        <v>194242</v>
      </c>
      <c r="D19" s="17">
        <f t="shared" si="0"/>
        <v>3400</v>
      </c>
      <c r="E19" s="49">
        <v>318875</v>
      </c>
      <c r="F19" s="17">
        <f t="shared" si="0"/>
        <v>6520</v>
      </c>
      <c r="G19" s="49">
        <v>80322</v>
      </c>
      <c r="H19" s="17">
        <f t="shared" ref="H19" si="109">(G19-G18)*10</f>
        <v>2790</v>
      </c>
      <c r="I19" s="17">
        <f t="shared" si="13"/>
        <v>1395</v>
      </c>
      <c r="J19" s="49">
        <v>284756</v>
      </c>
      <c r="K19" s="17">
        <f t="shared" ref="K19" si="110">(J19-J18)*10</f>
        <v>6080</v>
      </c>
      <c r="L19" s="49">
        <v>451241</v>
      </c>
      <c r="M19" s="17">
        <f t="shared" ref="M19" si="111">(L19-L18)*10</f>
        <v>9780</v>
      </c>
      <c r="N19" s="49">
        <v>143152</v>
      </c>
      <c r="O19" s="17">
        <f t="shared" si="4"/>
        <v>11190</v>
      </c>
      <c r="P19" s="17">
        <f t="shared" si="14"/>
        <v>5595</v>
      </c>
      <c r="Q19" s="49">
        <v>335429</v>
      </c>
      <c r="R19" s="17">
        <f t="shared" si="5"/>
        <v>1550</v>
      </c>
      <c r="S19" s="17">
        <f t="shared" si="15"/>
        <v>775</v>
      </c>
      <c r="T19" s="49">
        <v>166198</v>
      </c>
      <c r="U19" s="17">
        <f t="shared" ref="U19" si="112">(T19-T18)*10</f>
        <v>20</v>
      </c>
      <c r="V19" s="17">
        <f t="shared" si="16"/>
        <v>10</v>
      </c>
      <c r="W19" s="49">
        <v>242210</v>
      </c>
      <c r="X19" s="17">
        <f t="shared" ref="X19" si="113">W19-W18</f>
        <v>7</v>
      </c>
      <c r="Y19" s="17">
        <f t="shared" si="17"/>
        <v>3.5</v>
      </c>
      <c r="Z19" s="49">
        <v>54143</v>
      </c>
      <c r="AA19" s="17">
        <f t="shared" ref="AA19" si="114">Z19-Z18</f>
        <v>125</v>
      </c>
      <c r="AB19" s="49">
        <v>106057</v>
      </c>
      <c r="AC19" s="17">
        <f t="shared" ref="AC19" si="115">AB19-AB18</f>
        <v>221</v>
      </c>
      <c r="AD19" s="49">
        <v>189710</v>
      </c>
      <c r="AE19" s="17">
        <f t="shared" ref="AE19" si="116">AD19-AD18</f>
        <v>363</v>
      </c>
      <c r="AF19" s="49">
        <v>98865</v>
      </c>
      <c r="AG19" s="17">
        <f t="shared" ref="AG19" si="117">AF19-AF18</f>
        <v>185</v>
      </c>
      <c r="AH19" s="49">
        <v>513995</v>
      </c>
      <c r="AI19" s="17">
        <f t="shared" ref="AI19" si="118">AH19-AH18</f>
        <v>1001</v>
      </c>
      <c r="AK19" s="96">
        <f t="shared" si="18"/>
        <v>33558.5</v>
      </c>
      <c r="AL19" s="97">
        <f t="shared" si="19"/>
        <v>8278.5</v>
      </c>
    </row>
    <row r="20" spans="1:38" ht="39.950000000000003" customHeight="1">
      <c r="A20" s="142">
        <f t="shared" si="20"/>
        <v>44543</v>
      </c>
      <c r="B20" s="16"/>
      <c r="C20" s="49">
        <v>194573</v>
      </c>
      <c r="D20" s="17">
        <f t="shared" si="0"/>
        <v>3310</v>
      </c>
      <c r="E20" s="49">
        <v>319523</v>
      </c>
      <c r="F20" s="17">
        <f t="shared" si="0"/>
        <v>6480</v>
      </c>
      <c r="G20" s="49">
        <v>80610</v>
      </c>
      <c r="H20" s="17">
        <f t="shared" ref="H20" si="119">(G20-G19)*10</f>
        <v>2880</v>
      </c>
      <c r="I20" s="17">
        <f t="shared" si="13"/>
        <v>1440</v>
      </c>
      <c r="J20" s="49">
        <v>285352</v>
      </c>
      <c r="K20" s="17">
        <f t="shared" ref="K20" si="120">(J20-J19)*10</f>
        <v>5960</v>
      </c>
      <c r="L20" s="49">
        <v>452141</v>
      </c>
      <c r="M20" s="17">
        <f t="shared" ref="M20" si="121">(L20-L19)*10</f>
        <v>9000</v>
      </c>
      <c r="N20" s="49">
        <v>144202</v>
      </c>
      <c r="O20" s="17">
        <f t="shared" si="4"/>
        <v>10500</v>
      </c>
      <c r="P20" s="17">
        <f t="shared" si="14"/>
        <v>5250</v>
      </c>
      <c r="Q20" s="49">
        <v>335432</v>
      </c>
      <c r="R20" s="17">
        <f t="shared" si="5"/>
        <v>30</v>
      </c>
      <c r="S20" s="17">
        <f t="shared" si="15"/>
        <v>15</v>
      </c>
      <c r="T20" s="49">
        <v>166200</v>
      </c>
      <c r="U20" s="17">
        <f t="shared" ref="U20" si="122">(T20-T19)*10</f>
        <v>20</v>
      </c>
      <c r="V20" s="17">
        <f t="shared" si="16"/>
        <v>10</v>
      </c>
      <c r="W20" s="49">
        <v>242218</v>
      </c>
      <c r="X20" s="17">
        <f t="shared" ref="X20" si="123">W20-W19</f>
        <v>8</v>
      </c>
      <c r="Y20" s="17">
        <f t="shared" si="17"/>
        <v>4</v>
      </c>
      <c r="Z20" s="49">
        <v>54266</v>
      </c>
      <c r="AA20" s="17">
        <f t="shared" ref="AA20" si="124">Z20-Z19</f>
        <v>123</v>
      </c>
      <c r="AB20" s="49">
        <v>106287</v>
      </c>
      <c r="AC20" s="17">
        <f t="shared" ref="AC20" si="125">AB20-AB19</f>
        <v>230</v>
      </c>
      <c r="AD20" s="49">
        <v>190092</v>
      </c>
      <c r="AE20" s="17">
        <f t="shared" ref="AE20" si="126">AD20-AD19</f>
        <v>382</v>
      </c>
      <c r="AF20" s="49">
        <v>99051</v>
      </c>
      <c r="AG20" s="17">
        <f t="shared" ref="AG20" si="127">AF20-AF19</f>
        <v>186</v>
      </c>
      <c r="AH20" s="49">
        <v>515538</v>
      </c>
      <c r="AI20" s="17">
        <f t="shared" ref="AI20" si="128">AH20-AH19</f>
        <v>1543</v>
      </c>
      <c r="AK20" s="96">
        <f t="shared" si="18"/>
        <v>31469</v>
      </c>
      <c r="AL20" s="97">
        <f t="shared" si="19"/>
        <v>7743</v>
      </c>
    </row>
    <row r="21" spans="1:38" ht="39.950000000000003" customHeight="1">
      <c r="A21" s="142">
        <f t="shared" si="20"/>
        <v>44544</v>
      </c>
      <c r="B21" s="16"/>
      <c r="C21" s="49">
        <v>194917</v>
      </c>
      <c r="D21" s="17">
        <f t="shared" si="0"/>
        <v>3440</v>
      </c>
      <c r="E21" s="49">
        <v>320202</v>
      </c>
      <c r="F21" s="17">
        <f t="shared" si="0"/>
        <v>6790</v>
      </c>
      <c r="G21" s="49">
        <v>80884</v>
      </c>
      <c r="H21" s="17">
        <f t="shared" ref="H21" si="129">(G21-G20)*10</f>
        <v>2740</v>
      </c>
      <c r="I21" s="17">
        <f t="shared" si="13"/>
        <v>1370</v>
      </c>
      <c r="J21" s="49">
        <v>285970</v>
      </c>
      <c r="K21" s="17">
        <f t="shared" ref="K21" si="130">(J21-J20)*10</f>
        <v>6180</v>
      </c>
      <c r="L21" s="49">
        <v>453177</v>
      </c>
      <c r="M21" s="17">
        <f t="shared" ref="M21" si="131">(L21-L20)*10</f>
        <v>10360</v>
      </c>
      <c r="N21" s="49">
        <v>145100</v>
      </c>
      <c r="O21" s="17">
        <f t="shared" si="4"/>
        <v>8980</v>
      </c>
      <c r="P21" s="17">
        <f t="shared" si="14"/>
        <v>4490</v>
      </c>
      <c r="Q21" s="49">
        <v>335434</v>
      </c>
      <c r="R21" s="17">
        <f t="shared" si="5"/>
        <v>20</v>
      </c>
      <c r="S21" s="17">
        <f t="shared" si="15"/>
        <v>10</v>
      </c>
      <c r="T21" s="49">
        <v>166202</v>
      </c>
      <c r="U21" s="17">
        <f t="shared" ref="U21" si="132">(T21-T20)*10</f>
        <v>20</v>
      </c>
      <c r="V21" s="17">
        <f t="shared" si="16"/>
        <v>10</v>
      </c>
      <c r="W21" s="49">
        <v>242504</v>
      </c>
      <c r="X21" s="17">
        <f t="shared" ref="X21" si="133">W21-W20</f>
        <v>286</v>
      </c>
      <c r="Y21" s="17">
        <f t="shared" si="17"/>
        <v>143</v>
      </c>
      <c r="Z21" s="49">
        <v>54390</v>
      </c>
      <c r="AA21" s="17">
        <f t="shared" ref="AA21" si="134">Z21-Z20</f>
        <v>124</v>
      </c>
      <c r="AB21" s="49">
        <v>106526</v>
      </c>
      <c r="AC21" s="17">
        <f t="shared" ref="AC21" si="135">AB21-AB20</f>
        <v>239</v>
      </c>
      <c r="AD21" s="49">
        <v>190483</v>
      </c>
      <c r="AE21" s="17">
        <f t="shared" ref="AE21" si="136">AD21-AD20</f>
        <v>391</v>
      </c>
      <c r="AF21" s="49">
        <v>99245</v>
      </c>
      <c r="AG21" s="17">
        <f t="shared" ref="AG21" si="137">AF21-AF20</f>
        <v>194</v>
      </c>
      <c r="AH21" s="49">
        <v>516520</v>
      </c>
      <c r="AI21" s="17">
        <f t="shared" ref="AI21" si="138">AH21-AH20</f>
        <v>982</v>
      </c>
      <c r="AK21" s="96">
        <f t="shared" si="18"/>
        <v>32793</v>
      </c>
      <c r="AL21" s="97">
        <f t="shared" si="19"/>
        <v>6583</v>
      </c>
    </row>
    <row r="22" spans="1:38" ht="39.950000000000003" customHeight="1">
      <c r="A22" s="142">
        <f t="shared" si="20"/>
        <v>44545</v>
      </c>
      <c r="B22" s="16"/>
      <c r="C22" s="49">
        <v>195246</v>
      </c>
      <c r="D22" s="17">
        <f t="shared" si="0"/>
        <v>3290</v>
      </c>
      <c r="E22" s="49">
        <v>320857</v>
      </c>
      <c r="F22" s="17">
        <f t="shared" si="0"/>
        <v>6550</v>
      </c>
      <c r="G22" s="49">
        <v>81145</v>
      </c>
      <c r="H22" s="17">
        <f t="shared" ref="H22" si="139">(G22-G21)*10</f>
        <v>2610</v>
      </c>
      <c r="I22" s="17">
        <f t="shared" si="13"/>
        <v>1305</v>
      </c>
      <c r="J22" s="49">
        <v>286604</v>
      </c>
      <c r="K22" s="17">
        <f t="shared" ref="K22" si="140">(J22-J21)*10</f>
        <v>6340</v>
      </c>
      <c r="L22" s="49">
        <v>454224</v>
      </c>
      <c r="M22" s="17">
        <f t="shared" ref="M22" si="141">(L22-L21)*10</f>
        <v>10470</v>
      </c>
      <c r="N22" s="49">
        <v>146105</v>
      </c>
      <c r="O22" s="17">
        <f t="shared" si="4"/>
        <v>10050</v>
      </c>
      <c r="P22" s="17">
        <f t="shared" si="14"/>
        <v>5025</v>
      </c>
      <c r="Q22" s="49">
        <v>335436</v>
      </c>
      <c r="R22" s="17">
        <f t="shared" si="5"/>
        <v>20</v>
      </c>
      <c r="S22" s="17">
        <f t="shared" si="15"/>
        <v>10</v>
      </c>
      <c r="T22" s="49">
        <v>166205</v>
      </c>
      <c r="U22" s="17">
        <f t="shared" ref="U22" si="142">(T22-T21)*10</f>
        <v>30</v>
      </c>
      <c r="V22" s="17">
        <f t="shared" si="16"/>
        <v>15</v>
      </c>
      <c r="W22" s="49">
        <v>242742</v>
      </c>
      <c r="X22" s="17">
        <f t="shared" ref="X22" si="143">W22-W21</f>
        <v>238</v>
      </c>
      <c r="Y22" s="17">
        <f t="shared" si="17"/>
        <v>119</v>
      </c>
      <c r="Z22" s="49">
        <v>54506</v>
      </c>
      <c r="AA22" s="17">
        <f t="shared" ref="AA22" si="144">Z22-Z21</f>
        <v>116</v>
      </c>
      <c r="AB22" s="49">
        <v>106753</v>
      </c>
      <c r="AC22" s="17">
        <f t="shared" ref="AC22" si="145">AB22-AB21</f>
        <v>227</v>
      </c>
      <c r="AD22" s="49">
        <v>190869</v>
      </c>
      <c r="AE22" s="17">
        <f t="shared" ref="AE22" si="146">AD22-AD21</f>
        <v>386</v>
      </c>
      <c r="AF22" s="49">
        <v>99440</v>
      </c>
      <c r="AG22" s="17">
        <f t="shared" ref="AG22" si="147">AF22-AF21</f>
        <v>195</v>
      </c>
      <c r="AH22" s="49">
        <v>517471</v>
      </c>
      <c r="AI22" s="17">
        <f t="shared" ref="AI22" si="148">AH22-AH21</f>
        <v>951</v>
      </c>
      <c r="AK22" s="96">
        <f t="shared" si="18"/>
        <v>33124</v>
      </c>
      <c r="AL22" s="97">
        <f t="shared" si="19"/>
        <v>7044</v>
      </c>
    </row>
    <row r="23" spans="1:38" ht="39.950000000000003" customHeight="1">
      <c r="A23" s="142">
        <f t="shared" si="20"/>
        <v>44546</v>
      </c>
      <c r="B23" s="16"/>
      <c r="C23" s="49">
        <v>195579</v>
      </c>
      <c r="D23" s="17">
        <f t="shared" si="0"/>
        <v>3330</v>
      </c>
      <c r="E23" s="49">
        <v>321485</v>
      </c>
      <c r="F23" s="17">
        <f t="shared" si="0"/>
        <v>6280</v>
      </c>
      <c r="G23" s="49">
        <v>81427</v>
      </c>
      <c r="H23" s="17">
        <f t="shared" ref="H23" si="149">(G23-G22)*10</f>
        <v>2820</v>
      </c>
      <c r="I23" s="17">
        <f t="shared" si="13"/>
        <v>1410</v>
      </c>
      <c r="J23" s="49">
        <v>287212</v>
      </c>
      <c r="K23" s="17">
        <f t="shared" ref="K23" si="150">(J23-J22)*10</f>
        <v>6080</v>
      </c>
      <c r="L23" s="49">
        <v>455228</v>
      </c>
      <c r="M23" s="17">
        <f t="shared" ref="M23" si="151">(L23-L22)*10</f>
        <v>10040</v>
      </c>
      <c r="N23" s="49">
        <v>147330</v>
      </c>
      <c r="O23" s="17">
        <f t="shared" si="4"/>
        <v>12250</v>
      </c>
      <c r="P23" s="17">
        <f t="shared" si="14"/>
        <v>6125</v>
      </c>
      <c r="Q23" s="49">
        <v>335438</v>
      </c>
      <c r="R23" s="17">
        <f t="shared" si="5"/>
        <v>20</v>
      </c>
      <c r="S23" s="17">
        <f t="shared" si="15"/>
        <v>10</v>
      </c>
      <c r="T23" s="49">
        <v>166207</v>
      </c>
      <c r="U23" s="17">
        <f t="shared" ref="U23" si="152">(T23-T22)*10</f>
        <v>20</v>
      </c>
      <c r="V23" s="17">
        <f t="shared" si="16"/>
        <v>10</v>
      </c>
      <c r="W23" s="49">
        <v>242992</v>
      </c>
      <c r="X23" s="17">
        <f t="shared" ref="X23" si="153">W23-W22</f>
        <v>250</v>
      </c>
      <c r="Y23" s="17">
        <f t="shared" si="17"/>
        <v>125</v>
      </c>
      <c r="Z23" s="49">
        <v>54635</v>
      </c>
      <c r="AA23" s="17">
        <f t="shared" ref="AA23" si="154">Z23-Z22</f>
        <v>129</v>
      </c>
      <c r="AB23" s="49">
        <v>106982</v>
      </c>
      <c r="AC23" s="17">
        <f t="shared" ref="AC23" si="155">AB23-AB22</f>
        <v>229</v>
      </c>
      <c r="AD23" s="49">
        <v>191245</v>
      </c>
      <c r="AE23" s="17">
        <f t="shared" ref="AE23" si="156">AD23-AD22</f>
        <v>376</v>
      </c>
      <c r="AF23" s="49">
        <v>99622</v>
      </c>
      <c r="AG23" s="17">
        <f t="shared" ref="AG23" si="157">AF23-AF22</f>
        <v>182</v>
      </c>
      <c r="AH23" s="49">
        <v>518430</v>
      </c>
      <c r="AI23" s="17">
        <f t="shared" ref="AI23" si="158">AH23-AH22</f>
        <v>959</v>
      </c>
      <c r="AK23" s="96">
        <f t="shared" si="18"/>
        <v>33410</v>
      </c>
      <c r="AL23" s="97">
        <f t="shared" si="19"/>
        <v>8145</v>
      </c>
    </row>
    <row r="24" spans="1:38" ht="39.950000000000003" customHeight="1">
      <c r="A24" s="142">
        <f t="shared" si="20"/>
        <v>44547</v>
      </c>
      <c r="B24" s="16"/>
      <c r="C24" s="49">
        <v>195941</v>
      </c>
      <c r="D24" s="17">
        <f t="shared" si="0"/>
        <v>3620</v>
      </c>
      <c r="E24" s="49">
        <v>322167</v>
      </c>
      <c r="F24" s="17">
        <f t="shared" si="0"/>
        <v>6820</v>
      </c>
      <c r="G24" s="49">
        <v>81723</v>
      </c>
      <c r="H24" s="17">
        <f t="shared" ref="H24" si="159">(G24-G23)*10</f>
        <v>2960</v>
      </c>
      <c r="I24" s="17">
        <f t="shared" si="13"/>
        <v>1480</v>
      </c>
      <c r="J24" s="49">
        <v>287838</v>
      </c>
      <c r="K24" s="17">
        <f t="shared" ref="K24:K37" si="160">(J24-J23)*10</f>
        <v>6260</v>
      </c>
      <c r="L24" s="49">
        <v>456303</v>
      </c>
      <c r="M24" s="17">
        <f t="shared" ref="M24:M37" si="161">(L24-L23)*10</f>
        <v>10750</v>
      </c>
      <c r="N24" s="49">
        <v>148648</v>
      </c>
      <c r="O24" s="17">
        <f t="shared" si="4"/>
        <v>13180</v>
      </c>
      <c r="P24" s="17">
        <f t="shared" si="14"/>
        <v>6590</v>
      </c>
      <c r="Q24" s="49">
        <v>335440</v>
      </c>
      <c r="R24" s="17">
        <f t="shared" si="5"/>
        <v>20</v>
      </c>
      <c r="S24" s="17">
        <f t="shared" si="15"/>
        <v>10</v>
      </c>
      <c r="T24" s="49">
        <v>166209</v>
      </c>
      <c r="U24" s="17">
        <f t="shared" ref="U24" si="162">(T24-T23)*10</f>
        <v>20</v>
      </c>
      <c r="V24" s="17">
        <f t="shared" si="16"/>
        <v>10</v>
      </c>
      <c r="W24" s="49">
        <v>243000</v>
      </c>
      <c r="X24" s="17">
        <f t="shared" ref="X24" si="163">W24-W23</f>
        <v>8</v>
      </c>
      <c r="Y24" s="17">
        <f t="shared" si="17"/>
        <v>4</v>
      </c>
      <c r="Z24" s="49">
        <v>54754</v>
      </c>
      <c r="AA24" s="17">
        <f t="shared" ref="AA24:AA37" si="164">Z24-Z23</f>
        <v>119</v>
      </c>
      <c r="AB24" s="49">
        <v>107225</v>
      </c>
      <c r="AC24" s="17">
        <f t="shared" ref="AC24:AC37" si="165">AB24-AB23</f>
        <v>243</v>
      </c>
      <c r="AD24" s="49">
        <v>191642</v>
      </c>
      <c r="AE24" s="17">
        <f t="shared" ref="AE24:AE37" si="166">AD24-AD23</f>
        <v>397</v>
      </c>
      <c r="AF24" s="49">
        <v>99818</v>
      </c>
      <c r="AG24" s="17">
        <f t="shared" ref="AG24:AG37" si="167">AF24-AF23</f>
        <v>196</v>
      </c>
      <c r="AH24" s="49">
        <v>519462</v>
      </c>
      <c r="AI24" s="17">
        <f t="shared" ref="AI24:AI37" si="168">AH24-AH23</f>
        <v>1032</v>
      </c>
      <c r="AK24" s="96">
        <f t="shared" si="18"/>
        <v>35544</v>
      </c>
      <c r="AL24" s="97">
        <f t="shared" si="19"/>
        <v>8601</v>
      </c>
    </row>
    <row r="25" spans="1:38" ht="39.950000000000003" customHeight="1">
      <c r="A25" s="142">
        <f t="shared" si="20"/>
        <v>44548</v>
      </c>
      <c r="B25" s="16"/>
      <c r="C25" s="49">
        <v>196275</v>
      </c>
      <c r="D25" s="17">
        <f t="shared" si="0"/>
        <v>3340</v>
      </c>
      <c r="E25" s="49">
        <v>322799</v>
      </c>
      <c r="F25" s="17">
        <f t="shared" si="0"/>
        <v>6320</v>
      </c>
      <c r="G25" s="49">
        <v>81989</v>
      </c>
      <c r="H25" s="17">
        <f t="shared" ref="H25:H35" si="169">(G25-G24)*10</f>
        <v>2660</v>
      </c>
      <c r="I25" s="17">
        <f t="shared" ref="I25:I35" si="170">H25*50%</f>
        <v>1330</v>
      </c>
      <c r="J25" s="49">
        <v>288440</v>
      </c>
      <c r="K25" s="17">
        <f t="shared" si="160"/>
        <v>6020</v>
      </c>
      <c r="L25" s="49">
        <v>457320</v>
      </c>
      <c r="M25" s="17">
        <f t="shared" si="161"/>
        <v>10170</v>
      </c>
      <c r="N25" s="49">
        <v>149571</v>
      </c>
      <c r="O25" s="17">
        <f t="shared" ref="O25:O35" si="171">(N25-N24)*10</f>
        <v>9230</v>
      </c>
      <c r="P25" s="17">
        <f t="shared" ref="P25:P35" si="172">O25*50%</f>
        <v>4615</v>
      </c>
      <c r="Q25" s="49">
        <v>335442</v>
      </c>
      <c r="R25" s="17">
        <f t="shared" ref="R25:R35" si="173">(Q25-Q24)*10</f>
        <v>20</v>
      </c>
      <c r="S25" s="17">
        <f t="shared" ref="S25:S35" si="174">R25*50%</f>
        <v>10</v>
      </c>
      <c r="T25" s="49">
        <v>166211</v>
      </c>
      <c r="U25" s="17">
        <f t="shared" ref="U25:U35" si="175">(T25-T24)*10</f>
        <v>20</v>
      </c>
      <c r="V25" s="17">
        <f t="shared" ref="V25:V35" si="176">U25*50%</f>
        <v>10</v>
      </c>
      <c r="W25" s="49">
        <v>243007</v>
      </c>
      <c r="X25" s="96">
        <f t="shared" ref="X25:X35" si="177">W25-W24</f>
        <v>7</v>
      </c>
      <c r="Y25" s="96">
        <f t="shared" ref="Y25:Y35" si="178">X25*50%</f>
        <v>3.5</v>
      </c>
      <c r="Z25" s="49">
        <v>54869</v>
      </c>
      <c r="AA25" s="17">
        <f t="shared" si="164"/>
        <v>115</v>
      </c>
      <c r="AB25" s="49">
        <v>107455</v>
      </c>
      <c r="AC25" s="17">
        <f t="shared" si="165"/>
        <v>230</v>
      </c>
      <c r="AD25" s="49">
        <v>192008</v>
      </c>
      <c r="AE25" s="17">
        <f t="shared" si="166"/>
        <v>366</v>
      </c>
      <c r="AF25" s="49">
        <v>100005</v>
      </c>
      <c r="AG25" s="17">
        <f t="shared" si="167"/>
        <v>187</v>
      </c>
      <c r="AH25" s="49">
        <v>520406</v>
      </c>
      <c r="AI25" s="17">
        <f t="shared" si="168"/>
        <v>944</v>
      </c>
      <c r="AK25" s="96">
        <f t="shared" ref="AK25:AK35" si="179">SUM(D25,F25,I25,K25,M25,P25,S25,V25,Y25)</f>
        <v>31818.5</v>
      </c>
      <c r="AL25" s="97">
        <f t="shared" ref="AL25:AL35" si="180">SUM(P25,S25,V25,Y25,AA25,AC25,AE25,AG25,AI25)</f>
        <v>6480.5</v>
      </c>
    </row>
    <row r="26" spans="1:38" ht="39.950000000000003" customHeight="1">
      <c r="A26" s="142">
        <f t="shared" si="20"/>
        <v>44549</v>
      </c>
      <c r="B26" s="16"/>
      <c r="C26" s="49">
        <v>196666</v>
      </c>
      <c r="D26" s="17">
        <f t="shared" ref="D26:D37" si="181">(C26-C25)*10</f>
        <v>3910</v>
      </c>
      <c r="E26" s="49">
        <v>323484</v>
      </c>
      <c r="F26" s="17">
        <f t="shared" ref="F26:F37" si="182">(E26-E25)*10</f>
        <v>6850</v>
      </c>
      <c r="G26" s="49">
        <v>82268</v>
      </c>
      <c r="H26" s="17">
        <f t="shared" si="169"/>
        <v>2790</v>
      </c>
      <c r="I26" s="17">
        <f t="shared" si="170"/>
        <v>1395</v>
      </c>
      <c r="J26" s="49">
        <v>289084</v>
      </c>
      <c r="K26" s="17">
        <f t="shared" si="160"/>
        <v>6440</v>
      </c>
      <c r="L26" s="49">
        <v>458387</v>
      </c>
      <c r="M26" s="17">
        <f t="shared" si="161"/>
        <v>10670</v>
      </c>
      <c r="N26" s="49">
        <v>150562</v>
      </c>
      <c r="O26" s="17">
        <f t="shared" si="171"/>
        <v>9910</v>
      </c>
      <c r="P26" s="17">
        <f t="shared" si="172"/>
        <v>4955</v>
      </c>
      <c r="Q26" s="49">
        <v>335444</v>
      </c>
      <c r="R26" s="17">
        <f t="shared" si="173"/>
        <v>20</v>
      </c>
      <c r="S26" s="17">
        <f t="shared" si="174"/>
        <v>10</v>
      </c>
      <c r="T26" s="49">
        <v>166213</v>
      </c>
      <c r="U26" s="17">
        <f t="shared" si="175"/>
        <v>20</v>
      </c>
      <c r="V26" s="17">
        <f t="shared" si="176"/>
        <v>10</v>
      </c>
      <c r="W26" s="49">
        <v>243015</v>
      </c>
      <c r="X26" s="96">
        <f t="shared" si="177"/>
        <v>8</v>
      </c>
      <c r="Y26" s="96">
        <f t="shared" si="178"/>
        <v>4</v>
      </c>
      <c r="Z26" s="49">
        <v>54998</v>
      </c>
      <c r="AA26" s="17">
        <f t="shared" si="164"/>
        <v>129</v>
      </c>
      <c r="AB26" s="49">
        <v>107689</v>
      </c>
      <c r="AC26" s="17">
        <f t="shared" si="165"/>
        <v>234</v>
      </c>
      <c r="AD26" s="49">
        <v>192377</v>
      </c>
      <c r="AE26" s="17">
        <f t="shared" si="166"/>
        <v>369</v>
      </c>
      <c r="AF26" s="49">
        <v>100204</v>
      </c>
      <c r="AG26" s="17">
        <f t="shared" si="167"/>
        <v>199</v>
      </c>
      <c r="AH26" s="49">
        <v>521408</v>
      </c>
      <c r="AI26" s="17">
        <f t="shared" si="168"/>
        <v>1002</v>
      </c>
      <c r="AK26" s="96">
        <f t="shared" si="179"/>
        <v>34244</v>
      </c>
      <c r="AL26" s="97">
        <f t="shared" si="180"/>
        <v>6912</v>
      </c>
    </row>
    <row r="27" spans="1:38" ht="39.950000000000003" customHeight="1">
      <c r="A27" s="142">
        <f t="shared" si="20"/>
        <v>44550</v>
      </c>
      <c r="B27" s="16"/>
      <c r="C27" s="49">
        <v>197026</v>
      </c>
      <c r="D27" s="17">
        <f t="shared" si="181"/>
        <v>3600</v>
      </c>
      <c r="E27" s="49">
        <v>324143</v>
      </c>
      <c r="F27" s="17">
        <f t="shared" si="182"/>
        <v>6590</v>
      </c>
      <c r="G27" s="49">
        <v>82548</v>
      </c>
      <c r="H27" s="17">
        <f t="shared" si="169"/>
        <v>2800</v>
      </c>
      <c r="I27" s="17">
        <f t="shared" si="170"/>
        <v>1400</v>
      </c>
      <c r="J27" s="49">
        <v>289696</v>
      </c>
      <c r="K27" s="17">
        <f t="shared" si="160"/>
        <v>6120</v>
      </c>
      <c r="L27" s="49">
        <v>459279</v>
      </c>
      <c r="M27" s="17">
        <f t="shared" si="161"/>
        <v>8920</v>
      </c>
      <c r="N27" s="49">
        <v>151484</v>
      </c>
      <c r="O27" s="17">
        <f t="shared" ref="O27" si="183">(N27-N26)*10</f>
        <v>9220</v>
      </c>
      <c r="P27" s="17">
        <f t="shared" ref="P27" si="184">O27*50%</f>
        <v>4610</v>
      </c>
      <c r="Q27" s="49">
        <v>335446</v>
      </c>
      <c r="R27" s="17">
        <f t="shared" si="173"/>
        <v>20</v>
      </c>
      <c r="S27" s="17">
        <f t="shared" si="174"/>
        <v>10</v>
      </c>
      <c r="T27" s="49">
        <v>166216</v>
      </c>
      <c r="U27" s="17">
        <f t="shared" si="175"/>
        <v>30</v>
      </c>
      <c r="V27" s="17">
        <f t="shared" si="176"/>
        <v>15</v>
      </c>
      <c r="W27" s="49">
        <v>243023</v>
      </c>
      <c r="X27" s="17">
        <f t="shared" si="177"/>
        <v>8</v>
      </c>
      <c r="Y27" s="17">
        <f t="shared" si="178"/>
        <v>4</v>
      </c>
      <c r="Z27" s="49">
        <v>55119</v>
      </c>
      <c r="AA27" s="17">
        <f t="shared" si="164"/>
        <v>121</v>
      </c>
      <c r="AB27" s="49">
        <v>107928</v>
      </c>
      <c r="AC27" s="17">
        <f t="shared" si="165"/>
        <v>239</v>
      </c>
      <c r="AD27" s="49">
        <v>192752</v>
      </c>
      <c r="AE27" s="17">
        <f t="shared" si="166"/>
        <v>375</v>
      </c>
      <c r="AF27" s="49">
        <v>100390</v>
      </c>
      <c r="AG27" s="17">
        <f t="shared" si="167"/>
        <v>186</v>
      </c>
      <c r="AH27" s="49">
        <v>522390</v>
      </c>
      <c r="AI27" s="17">
        <f t="shared" si="168"/>
        <v>982</v>
      </c>
      <c r="AK27" s="96">
        <f t="shared" si="179"/>
        <v>31269</v>
      </c>
      <c r="AL27" s="97">
        <f t="shared" si="180"/>
        <v>6542</v>
      </c>
    </row>
    <row r="28" spans="1:38" ht="39.950000000000003" customHeight="1">
      <c r="A28" s="142">
        <f t="shared" si="20"/>
        <v>44551</v>
      </c>
      <c r="B28" s="16"/>
      <c r="C28" s="49">
        <v>197368</v>
      </c>
      <c r="D28" s="17">
        <f>(C28-C27)*10</f>
        <v>3420</v>
      </c>
      <c r="E28" s="49">
        <v>324797</v>
      </c>
      <c r="F28" s="17">
        <f>(E28-E27)*10</f>
        <v>6540</v>
      </c>
      <c r="G28" s="49">
        <v>82827</v>
      </c>
      <c r="H28" s="17">
        <f t="shared" si="169"/>
        <v>2790</v>
      </c>
      <c r="I28" s="17">
        <f t="shared" si="170"/>
        <v>1395</v>
      </c>
      <c r="J28" s="49">
        <v>290295</v>
      </c>
      <c r="K28" s="17">
        <f t="shared" si="160"/>
        <v>5990</v>
      </c>
      <c r="L28" s="49">
        <v>460262</v>
      </c>
      <c r="M28" s="17">
        <f t="shared" si="161"/>
        <v>9830</v>
      </c>
      <c r="N28" s="49">
        <v>152470</v>
      </c>
      <c r="O28" s="17">
        <f t="shared" si="171"/>
        <v>9860</v>
      </c>
      <c r="P28" s="17">
        <f t="shared" si="172"/>
        <v>4930</v>
      </c>
      <c r="Q28" s="49">
        <v>335448</v>
      </c>
      <c r="R28" s="17">
        <f t="shared" si="173"/>
        <v>20</v>
      </c>
      <c r="S28" s="17">
        <f t="shared" si="174"/>
        <v>10</v>
      </c>
      <c r="T28" s="49">
        <v>166218</v>
      </c>
      <c r="U28" s="17">
        <f t="shared" si="175"/>
        <v>20</v>
      </c>
      <c r="V28" s="17">
        <f t="shared" si="176"/>
        <v>10</v>
      </c>
      <c r="W28" s="49">
        <v>243030</v>
      </c>
      <c r="X28" s="17">
        <f t="shared" si="177"/>
        <v>7</v>
      </c>
      <c r="Y28" s="17">
        <f t="shared" si="178"/>
        <v>3.5</v>
      </c>
      <c r="Z28" s="49">
        <v>55241</v>
      </c>
      <c r="AA28" s="17">
        <f t="shared" si="164"/>
        <v>122</v>
      </c>
      <c r="AB28" s="49">
        <v>108159</v>
      </c>
      <c r="AC28" s="17">
        <f t="shared" si="165"/>
        <v>231</v>
      </c>
      <c r="AD28" s="49">
        <v>193128</v>
      </c>
      <c r="AE28" s="17">
        <f t="shared" si="166"/>
        <v>376</v>
      </c>
      <c r="AF28" s="49">
        <v>100575</v>
      </c>
      <c r="AG28" s="17">
        <f t="shared" si="167"/>
        <v>185</v>
      </c>
      <c r="AH28" s="49">
        <v>523388</v>
      </c>
      <c r="AI28" s="17">
        <f t="shared" si="168"/>
        <v>998</v>
      </c>
      <c r="AK28" s="96">
        <f t="shared" si="179"/>
        <v>32128.5</v>
      </c>
      <c r="AL28" s="97">
        <f t="shared" si="180"/>
        <v>6865.5</v>
      </c>
    </row>
    <row r="29" spans="1:38" ht="39.950000000000003" customHeight="1">
      <c r="A29" s="142">
        <f t="shared" si="20"/>
        <v>44552</v>
      </c>
      <c r="B29" s="16"/>
      <c r="C29" s="49">
        <v>197707</v>
      </c>
      <c r="D29" s="17">
        <f>(C29-C28)*10</f>
        <v>3390</v>
      </c>
      <c r="E29" s="49">
        <v>325474</v>
      </c>
      <c r="F29" s="17">
        <f>(E29-E28)*10</f>
        <v>6770</v>
      </c>
      <c r="G29" s="49">
        <v>83100</v>
      </c>
      <c r="H29" s="17">
        <f t="shared" si="169"/>
        <v>2730</v>
      </c>
      <c r="I29" s="17">
        <f t="shared" si="170"/>
        <v>1365</v>
      </c>
      <c r="J29" s="49">
        <v>290925</v>
      </c>
      <c r="K29" s="17">
        <f t="shared" si="160"/>
        <v>6300</v>
      </c>
      <c r="L29" s="49">
        <v>461295</v>
      </c>
      <c r="M29" s="17">
        <f t="shared" si="161"/>
        <v>10330</v>
      </c>
      <c r="N29" s="49">
        <v>153553</v>
      </c>
      <c r="O29" s="17">
        <f t="shared" si="171"/>
        <v>10830</v>
      </c>
      <c r="P29" s="17">
        <f t="shared" si="172"/>
        <v>5415</v>
      </c>
      <c r="Q29" s="49">
        <v>335451</v>
      </c>
      <c r="R29" s="17">
        <f t="shared" si="173"/>
        <v>30</v>
      </c>
      <c r="S29" s="17">
        <f t="shared" si="174"/>
        <v>15</v>
      </c>
      <c r="T29" s="49">
        <v>166220</v>
      </c>
      <c r="U29" s="17">
        <f t="shared" si="175"/>
        <v>20</v>
      </c>
      <c r="V29" s="17">
        <f t="shared" si="176"/>
        <v>10</v>
      </c>
      <c r="W29" s="49">
        <v>243038</v>
      </c>
      <c r="X29" s="17">
        <f t="shared" si="177"/>
        <v>8</v>
      </c>
      <c r="Y29" s="17">
        <f t="shared" si="178"/>
        <v>4</v>
      </c>
      <c r="Z29" s="49">
        <v>55364</v>
      </c>
      <c r="AA29" s="17">
        <f t="shared" si="164"/>
        <v>123</v>
      </c>
      <c r="AB29" s="49">
        <v>108389</v>
      </c>
      <c r="AC29" s="17">
        <f t="shared" si="165"/>
        <v>230</v>
      </c>
      <c r="AD29" s="49">
        <v>193507</v>
      </c>
      <c r="AE29" s="17">
        <f t="shared" si="166"/>
        <v>379</v>
      </c>
      <c r="AF29" s="49">
        <v>100764</v>
      </c>
      <c r="AG29" s="17">
        <f t="shared" si="167"/>
        <v>189</v>
      </c>
      <c r="AH29" s="49">
        <v>524388</v>
      </c>
      <c r="AI29" s="17">
        <f t="shared" si="168"/>
        <v>1000</v>
      </c>
      <c r="AK29" s="96">
        <f t="shared" si="179"/>
        <v>33599</v>
      </c>
      <c r="AL29" s="97">
        <f t="shared" si="180"/>
        <v>7365</v>
      </c>
    </row>
    <row r="30" spans="1:38" ht="39.950000000000003" customHeight="1">
      <c r="A30" s="142">
        <f t="shared" si="20"/>
        <v>44553</v>
      </c>
      <c r="B30" s="16"/>
      <c r="C30" s="49">
        <v>198081</v>
      </c>
      <c r="D30" s="17">
        <f>(C30-C29)*10</f>
        <v>3740</v>
      </c>
      <c r="E30" s="49">
        <v>326136</v>
      </c>
      <c r="F30" s="17">
        <f>(E30-E29)*10</f>
        <v>6620</v>
      </c>
      <c r="G30" s="49">
        <v>83381</v>
      </c>
      <c r="H30" s="17">
        <f t="shared" si="169"/>
        <v>2810</v>
      </c>
      <c r="I30" s="17">
        <f t="shared" si="170"/>
        <v>1405</v>
      </c>
      <c r="J30" s="49">
        <v>291557</v>
      </c>
      <c r="K30" s="17">
        <f t="shared" si="160"/>
        <v>6320</v>
      </c>
      <c r="L30" s="49">
        <v>462358</v>
      </c>
      <c r="M30" s="17">
        <f t="shared" si="161"/>
        <v>10630</v>
      </c>
      <c r="N30" s="49">
        <v>154704</v>
      </c>
      <c r="O30" s="17">
        <f t="shared" si="171"/>
        <v>11510</v>
      </c>
      <c r="P30" s="17">
        <f t="shared" si="172"/>
        <v>5755</v>
      </c>
      <c r="Q30" s="49">
        <v>335486</v>
      </c>
      <c r="R30" s="17">
        <f t="shared" si="173"/>
        <v>350</v>
      </c>
      <c r="S30" s="17">
        <f t="shared" si="174"/>
        <v>175</v>
      </c>
      <c r="T30" s="49">
        <v>166222</v>
      </c>
      <c r="U30" s="17">
        <f t="shared" si="175"/>
        <v>20</v>
      </c>
      <c r="V30" s="17">
        <f t="shared" si="176"/>
        <v>10</v>
      </c>
      <c r="W30" s="49">
        <v>243045</v>
      </c>
      <c r="X30" s="17">
        <f t="shared" si="177"/>
        <v>7</v>
      </c>
      <c r="Y30" s="17">
        <f t="shared" si="178"/>
        <v>3.5</v>
      </c>
      <c r="Z30" s="49">
        <v>55489</v>
      </c>
      <c r="AA30" s="17">
        <f t="shared" si="164"/>
        <v>125</v>
      </c>
      <c r="AB30" s="49">
        <v>108624</v>
      </c>
      <c r="AC30" s="17">
        <f t="shared" si="165"/>
        <v>235</v>
      </c>
      <c r="AD30" s="49">
        <v>193892</v>
      </c>
      <c r="AE30" s="17">
        <f t="shared" si="166"/>
        <v>385</v>
      </c>
      <c r="AF30" s="49">
        <v>100948</v>
      </c>
      <c r="AG30" s="17">
        <f t="shared" si="167"/>
        <v>184</v>
      </c>
      <c r="AH30" s="49">
        <v>525357</v>
      </c>
      <c r="AI30" s="17">
        <f t="shared" si="168"/>
        <v>969</v>
      </c>
      <c r="AK30" s="96">
        <f t="shared" si="179"/>
        <v>34658.5</v>
      </c>
      <c r="AL30" s="97">
        <f t="shared" si="180"/>
        <v>7841.5</v>
      </c>
    </row>
    <row r="31" spans="1:38" ht="39.950000000000003" customHeight="1">
      <c r="A31" s="142">
        <f t="shared" si="20"/>
        <v>44554</v>
      </c>
      <c r="B31" s="16"/>
      <c r="C31" s="74">
        <v>198450</v>
      </c>
      <c r="D31" s="17">
        <f>(C31-C30)*10</f>
        <v>3690</v>
      </c>
      <c r="E31" s="74">
        <v>326906</v>
      </c>
      <c r="F31" s="17">
        <f>(E31-E30)*10</f>
        <v>7700</v>
      </c>
      <c r="G31" s="74">
        <v>83657</v>
      </c>
      <c r="H31" s="17">
        <f t="shared" si="169"/>
        <v>2760</v>
      </c>
      <c r="I31" s="17">
        <f t="shared" si="170"/>
        <v>1380</v>
      </c>
      <c r="J31" s="74">
        <v>292191</v>
      </c>
      <c r="K31" s="17">
        <f t="shared" si="160"/>
        <v>6340</v>
      </c>
      <c r="L31" s="74">
        <v>463413</v>
      </c>
      <c r="M31" s="17">
        <f t="shared" si="161"/>
        <v>10550</v>
      </c>
      <c r="N31" s="74">
        <v>155941</v>
      </c>
      <c r="O31" s="17">
        <f t="shared" si="171"/>
        <v>12370</v>
      </c>
      <c r="P31" s="17">
        <f t="shared" si="172"/>
        <v>6185</v>
      </c>
      <c r="Q31" s="74">
        <v>335488</v>
      </c>
      <c r="R31" s="17">
        <f t="shared" si="173"/>
        <v>20</v>
      </c>
      <c r="S31" s="17">
        <f t="shared" si="174"/>
        <v>10</v>
      </c>
      <c r="T31" s="74">
        <v>166224</v>
      </c>
      <c r="U31" s="17">
        <f t="shared" si="175"/>
        <v>20</v>
      </c>
      <c r="V31" s="17">
        <f t="shared" si="176"/>
        <v>10</v>
      </c>
      <c r="W31" s="74">
        <v>243053</v>
      </c>
      <c r="X31" s="17">
        <f t="shared" si="177"/>
        <v>8</v>
      </c>
      <c r="Y31" s="17">
        <f t="shared" si="178"/>
        <v>4</v>
      </c>
      <c r="Z31" s="74">
        <v>55612</v>
      </c>
      <c r="AA31" s="17">
        <f t="shared" si="164"/>
        <v>123</v>
      </c>
      <c r="AB31" s="74">
        <v>108852</v>
      </c>
      <c r="AC31" s="17">
        <f t="shared" si="165"/>
        <v>228</v>
      </c>
      <c r="AD31" s="74">
        <v>194277</v>
      </c>
      <c r="AE31" s="17">
        <f t="shared" si="166"/>
        <v>385</v>
      </c>
      <c r="AF31" s="74">
        <v>101135</v>
      </c>
      <c r="AG31" s="17">
        <f t="shared" si="167"/>
        <v>187</v>
      </c>
      <c r="AH31" s="74">
        <v>526317</v>
      </c>
      <c r="AI31" s="17">
        <f t="shared" si="168"/>
        <v>960</v>
      </c>
      <c r="AK31" s="96">
        <f t="shared" si="179"/>
        <v>35869</v>
      </c>
      <c r="AL31" s="97">
        <f t="shared" si="180"/>
        <v>8092</v>
      </c>
    </row>
    <row r="32" spans="1:38" ht="39.950000000000003" customHeight="1">
      <c r="A32" s="142">
        <f t="shared" si="20"/>
        <v>44555</v>
      </c>
      <c r="B32" s="16"/>
      <c r="C32" s="74">
        <v>198819</v>
      </c>
      <c r="D32" s="17">
        <f t="shared" si="181"/>
        <v>3690</v>
      </c>
      <c r="E32" s="74">
        <v>327630</v>
      </c>
      <c r="F32" s="17">
        <f t="shared" si="182"/>
        <v>7240</v>
      </c>
      <c r="G32" s="74">
        <v>83930</v>
      </c>
      <c r="H32" s="17">
        <f t="shared" si="169"/>
        <v>2730</v>
      </c>
      <c r="I32" s="17">
        <f t="shared" si="170"/>
        <v>1365</v>
      </c>
      <c r="J32" s="74">
        <v>292834</v>
      </c>
      <c r="K32" s="17">
        <f t="shared" si="160"/>
        <v>6430</v>
      </c>
      <c r="L32" s="74">
        <v>464488</v>
      </c>
      <c r="M32" s="17">
        <f t="shared" si="161"/>
        <v>10750</v>
      </c>
      <c r="N32" s="74">
        <v>157057</v>
      </c>
      <c r="O32" s="17">
        <f t="shared" si="171"/>
        <v>11160</v>
      </c>
      <c r="P32" s="17">
        <f t="shared" si="172"/>
        <v>5580</v>
      </c>
      <c r="Q32" s="74">
        <v>335490</v>
      </c>
      <c r="R32" s="17">
        <f t="shared" si="173"/>
        <v>20</v>
      </c>
      <c r="S32" s="17">
        <f t="shared" si="174"/>
        <v>10</v>
      </c>
      <c r="T32" s="74">
        <v>166227</v>
      </c>
      <c r="U32" s="17">
        <f t="shared" si="175"/>
        <v>30</v>
      </c>
      <c r="V32" s="17">
        <f t="shared" si="176"/>
        <v>15</v>
      </c>
      <c r="W32" s="74">
        <v>243060</v>
      </c>
      <c r="X32" s="17">
        <f t="shared" si="177"/>
        <v>7</v>
      </c>
      <c r="Y32" s="17">
        <f t="shared" si="178"/>
        <v>3.5</v>
      </c>
      <c r="Z32" s="74">
        <v>55740</v>
      </c>
      <c r="AA32" s="17">
        <f t="shared" si="164"/>
        <v>128</v>
      </c>
      <c r="AB32" s="74">
        <v>109080</v>
      </c>
      <c r="AC32" s="17">
        <f t="shared" si="165"/>
        <v>228</v>
      </c>
      <c r="AD32" s="74">
        <v>194645</v>
      </c>
      <c r="AE32" s="17">
        <f t="shared" si="166"/>
        <v>368</v>
      </c>
      <c r="AF32" s="74">
        <v>101321</v>
      </c>
      <c r="AG32" s="17">
        <f t="shared" si="167"/>
        <v>186</v>
      </c>
      <c r="AH32" s="74">
        <v>527290</v>
      </c>
      <c r="AI32" s="17">
        <f t="shared" si="168"/>
        <v>973</v>
      </c>
      <c r="AK32" s="96">
        <f t="shared" si="179"/>
        <v>35083.5</v>
      </c>
      <c r="AL32" s="97">
        <f t="shared" si="180"/>
        <v>7491.5</v>
      </c>
    </row>
    <row r="33" spans="1:38" ht="39.950000000000003" customHeight="1">
      <c r="A33" s="142">
        <f t="shared" si="20"/>
        <v>44556</v>
      </c>
      <c r="B33" s="16"/>
      <c r="C33" s="74">
        <v>199280</v>
      </c>
      <c r="D33" s="17">
        <f t="shared" si="181"/>
        <v>4610</v>
      </c>
      <c r="E33" s="74">
        <f>[1]Electricity!$O$35</f>
        <v>328330</v>
      </c>
      <c r="F33" s="17">
        <f t="shared" si="182"/>
        <v>7000</v>
      </c>
      <c r="G33" s="74">
        <f>[1]Electricity!$I$35</f>
        <v>84201</v>
      </c>
      <c r="H33" s="17">
        <f t="shared" si="169"/>
        <v>2710</v>
      </c>
      <c r="I33" s="17">
        <f t="shared" si="170"/>
        <v>1355</v>
      </c>
      <c r="J33" s="74">
        <v>293324</v>
      </c>
      <c r="K33" s="17">
        <f t="shared" si="160"/>
        <v>4900</v>
      </c>
      <c r="L33" s="74">
        <f>[1]Electricity!$Q$35</f>
        <v>465573</v>
      </c>
      <c r="M33" s="17">
        <f t="shared" si="161"/>
        <v>10850</v>
      </c>
      <c r="N33" s="74">
        <f>[1]Electricity!$J$35</f>
        <v>157971</v>
      </c>
      <c r="O33" s="17">
        <f t="shared" si="171"/>
        <v>9140</v>
      </c>
      <c r="P33" s="17">
        <f t="shared" si="172"/>
        <v>4570</v>
      </c>
      <c r="Q33" s="74">
        <v>335492</v>
      </c>
      <c r="R33" s="17">
        <f t="shared" si="173"/>
        <v>20</v>
      </c>
      <c r="S33" s="17">
        <f t="shared" si="174"/>
        <v>10</v>
      </c>
      <c r="T33" s="74">
        <v>166229</v>
      </c>
      <c r="U33" s="17">
        <f t="shared" si="175"/>
        <v>20</v>
      </c>
      <c r="V33" s="17">
        <f t="shared" si="176"/>
        <v>10</v>
      </c>
      <c r="W33" s="74">
        <v>243068</v>
      </c>
      <c r="X33" s="17">
        <f t="shared" si="177"/>
        <v>8</v>
      </c>
      <c r="Y33" s="17">
        <f t="shared" si="178"/>
        <v>4</v>
      </c>
      <c r="Z33" s="74">
        <f>[1]Electricity!$C$35</f>
        <v>55883</v>
      </c>
      <c r="AA33" s="17">
        <f t="shared" si="164"/>
        <v>143</v>
      </c>
      <c r="AB33" s="74">
        <v>109322</v>
      </c>
      <c r="AC33" s="17">
        <f t="shared" si="165"/>
        <v>242</v>
      </c>
      <c r="AD33" s="74">
        <v>195019</v>
      </c>
      <c r="AE33" s="17">
        <f t="shared" si="166"/>
        <v>374</v>
      </c>
      <c r="AF33" s="74">
        <v>101518</v>
      </c>
      <c r="AG33" s="17">
        <f t="shared" si="167"/>
        <v>197</v>
      </c>
      <c r="AH33" s="74">
        <v>528403</v>
      </c>
      <c r="AI33" s="17">
        <f t="shared" si="168"/>
        <v>1113</v>
      </c>
      <c r="AK33" s="96">
        <f t="shared" si="179"/>
        <v>33309</v>
      </c>
      <c r="AL33" s="97">
        <f t="shared" si="180"/>
        <v>6663</v>
      </c>
    </row>
    <row r="34" spans="1:38" ht="39.950000000000003" customHeight="1">
      <c r="A34" s="142">
        <f t="shared" si="20"/>
        <v>44557</v>
      </c>
      <c r="B34" s="16"/>
      <c r="C34" s="74">
        <v>199911</v>
      </c>
      <c r="D34" s="17">
        <f t="shared" si="181"/>
        <v>6310</v>
      </c>
      <c r="E34" s="74">
        <f>[1]Electricity!$O$36</f>
        <v>329038</v>
      </c>
      <c r="F34" s="17">
        <f t="shared" si="182"/>
        <v>7080</v>
      </c>
      <c r="G34" s="74">
        <f>[1]Electricity!$I$36</f>
        <v>84470</v>
      </c>
      <c r="H34" s="17">
        <f t="shared" si="169"/>
        <v>2690</v>
      </c>
      <c r="I34" s="17">
        <f t="shared" si="170"/>
        <v>1345</v>
      </c>
      <c r="J34" s="74">
        <v>294225</v>
      </c>
      <c r="K34" s="17">
        <f t="shared" si="160"/>
        <v>9010</v>
      </c>
      <c r="L34" s="74">
        <f>[1]Electricity!$Q$36</f>
        <v>466534</v>
      </c>
      <c r="M34" s="17">
        <f t="shared" si="161"/>
        <v>9610</v>
      </c>
      <c r="N34" s="74">
        <f>[1]Electricity!$J$36</f>
        <v>158783</v>
      </c>
      <c r="O34" s="17">
        <f t="shared" si="171"/>
        <v>8120</v>
      </c>
      <c r="P34" s="17">
        <f t="shared" si="172"/>
        <v>4060</v>
      </c>
      <c r="Q34" s="74">
        <v>335494</v>
      </c>
      <c r="R34" s="17">
        <f t="shared" si="173"/>
        <v>20</v>
      </c>
      <c r="S34" s="17">
        <f t="shared" si="174"/>
        <v>10</v>
      </c>
      <c r="T34" s="74">
        <v>166231</v>
      </c>
      <c r="U34" s="17">
        <f t="shared" si="175"/>
        <v>20</v>
      </c>
      <c r="V34" s="17">
        <f t="shared" si="176"/>
        <v>10</v>
      </c>
      <c r="W34" s="74">
        <v>243076</v>
      </c>
      <c r="X34" s="17">
        <f t="shared" si="177"/>
        <v>8</v>
      </c>
      <c r="Y34" s="17">
        <f t="shared" si="178"/>
        <v>4</v>
      </c>
      <c r="Z34" s="74">
        <f>[1]Electricity!$C$36</f>
        <v>55998</v>
      </c>
      <c r="AA34" s="17">
        <f t="shared" si="164"/>
        <v>115</v>
      </c>
      <c r="AB34" s="74">
        <v>109559</v>
      </c>
      <c r="AC34" s="17">
        <f t="shared" si="165"/>
        <v>237</v>
      </c>
      <c r="AD34" s="74">
        <v>195379</v>
      </c>
      <c r="AE34" s="17">
        <f t="shared" si="166"/>
        <v>360</v>
      </c>
      <c r="AF34" s="74">
        <v>101708</v>
      </c>
      <c r="AG34" s="17">
        <f t="shared" si="167"/>
        <v>190</v>
      </c>
      <c r="AH34" s="74">
        <v>529619</v>
      </c>
      <c r="AI34" s="17">
        <f t="shared" si="168"/>
        <v>1216</v>
      </c>
      <c r="AK34" s="96">
        <f t="shared" si="179"/>
        <v>37439</v>
      </c>
      <c r="AL34" s="97">
        <f t="shared" si="180"/>
        <v>6202</v>
      </c>
    </row>
    <row r="35" spans="1:38" ht="39.950000000000003" customHeight="1">
      <c r="A35" s="142">
        <f t="shared" si="20"/>
        <v>44558</v>
      </c>
      <c r="B35" s="16"/>
      <c r="C35" s="74">
        <v>200528</v>
      </c>
      <c r="D35" s="17">
        <f t="shared" si="181"/>
        <v>6170</v>
      </c>
      <c r="E35" s="74">
        <f>[1]Electricity!$O$37</f>
        <v>329745</v>
      </c>
      <c r="F35" s="17">
        <f t="shared" si="182"/>
        <v>7070</v>
      </c>
      <c r="G35" s="74">
        <f>[1]Electricity!$I$37</f>
        <v>84734</v>
      </c>
      <c r="H35" s="17">
        <f t="shared" si="169"/>
        <v>2640</v>
      </c>
      <c r="I35" s="17">
        <f t="shared" si="170"/>
        <v>1320</v>
      </c>
      <c r="J35" s="74">
        <v>294894</v>
      </c>
      <c r="K35" s="17">
        <f t="shared" si="160"/>
        <v>6690</v>
      </c>
      <c r="L35" s="74">
        <f>[1]Electricity!$Q$37</f>
        <v>467540</v>
      </c>
      <c r="M35" s="17">
        <f t="shared" si="161"/>
        <v>10060</v>
      </c>
      <c r="N35" s="74">
        <f>[1]Electricity!$J$37</f>
        <v>159631</v>
      </c>
      <c r="O35" s="17">
        <f t="shared" si="171"/>
        <v>8480</v>
      </c>
      <c r="P35" s="17">
        <f t="shared" si="172"/>
        <v>4240</v>
      </c>
      <c r="Q35" s="74">
        <v>335496</v>
      </c>
      <c r="R35" s="17">
        <f t="shared" si="173"/>
        <v>20</v>
      </c>
      <c r="S35" s="17">
        <f t="shared" si="174"/>
        <v>10</v>
      </c>
      <c r="T35" s="74">
        <v>166233</v>
      </c>
      <c r="U35" s="17">
        <f t="shared" si="175"/>
        <v>20</v>
      </c>
      <c r="V35" s="17">
        <f t="shared" si="176"/>
        <v>10</v>
      </c>
      <c r="W35" s="74">
        <v>243083</v>
      </c>
      <c r="X35" s="17">
        <f t="shared" si="177"/>
        <v>7</v>
      </c>
      <c r="Y35" s="17">
        <f t="shared" si="178"/>
        <v>3.5</v>
      </c>
      <c r="Z35" s="74">
        <f>[1]Electricity!$C$37</f>
        <v>56111</v>
      </c>
      <c r="AA35" s="17">
        <f t="shared" si="164"/>
        <v>113</v>
      </c>
      <c r="AB35" s="74">
        <v>109790</v>
      </c>
      <c r="AC35" s="17">
        <f t="shared" si="165"/>
        <v>231</v>
      </c>
      <c r="AD35" s="74">
        <v>195736</v>
      </c>
      <c r="AE35" s="17">
        <f t="shared" si="166"/>
        <v>357</v>
      </c>
      <c r="AF35" s="74">
        <v>101892</v>
      </c>
      <c r="AG35" s="17">
        <f t="shared" si="167"/>
        <v>184</v>
      </c>
      <c r="AH35" s="74">
        <v>530782</v>
      </c>
      <c r="AI35" s="17">
        <f t="shared" si="168"/>
        <v>1163</v>
      </c>
      <c r="AK35" s="96">
        <f t="shared" si="179"/>
        <v>35573.5</v>
      </c>
      <c r="AL35" s="97">
        <f t="shared" si="180"/>
        <v>6311.5</v>
      </c>
    </row>
    <row r="36" spans="1:38" ht="39.950000000000003" customHeight="1">
      <c r="A36" s="142">
        <f t="shared" si="20"/>
        <v>44559</v>
      </c>
      <c r="B36" s="16"/>
      <c r="C36" s="74">
        <v>201183</v>
      </c>
      <c r="D36" s="17">
        <f t="shared" si="181"/>
        <v>6550</v>
      </c>
      <c r="E36" s="74">
        <v>330446</v>
      </c>
      <c r="F36" s="17">
        <f t="shared" si="182"/>
        <v>7010</v>
      </c>
      <c r="G36" s="74">
        <v>85005</v>
      </c>
      <c r="H36" s="17">
        <f t="shared" ref="H36:H37" si="185">(G36-G35)*10</f>
        <v>2710</v>
      </c>
      <c r="I36" s="17">
        <f t="shared" ref="I36:I37" si="186">H36*50%</f>
        <v>1355</v>
      </c>
      <c r="J36" s="74">
        <v>295594</v>
      </c>
      <c r="K36" s="17">
        <f t="shared" si="160"/>
        <v>7000</v>
      </c>
      <c r="L36" s="74">
        <v>468558</v>
      </c>
      <c r="M36" s="17">
        <f t="shared" si="161"/>
        <v>10180</v>
      </c>
      <c r="N36" s="74">
        <v>160689</v>
      </c>
      <c r="O36" s="17">
        <f t="shared" ref="O36:O37" si="187">(N36-N35)*10</f>
        <v>10580</v>
      </c>
      <c r="P36" s="17">
        <f t="shared" ref="P36:P37" si="188">O36*50%</f>
        <v>5290</v>
      </c>
      <c r="Q36" s="74">
        <v>335499</v>
      </c>
      <c r="R36" s="17">
        <f t="shared" ref="R36:R37" si="189">(Q36-Q35)*10</f>
        <v>30</v>
      </c>
      <c r="S36" s="17">
        <f t="shared" ref="S36:S37" si="190">R36*50%</f>
        <v>15</v>
      </c>
      <c r="T36" s="74">
        <v>166236</v>
      </c>
      <c r="U36" s="17">
        <f t="shared" ref="U36:U38" si="191">(T36-T35)*10</f>
        <v>30</v>
      </c>
      <c r="V36" s="17">
        <f t="shared" ref="V36:V37" si="192">U36*50%</f>
        <v>15</v>
      </c>
      <c r="W36" s="74">
        <v>243091</v>
      </c>
      <c r="X36" s="17">
        <f t="shared" ref="X36:X37" si="193">W36-W35</f>
        <v>8</v>
      </c>
      <c r="Y36" s="17">
        <f t="shared" ref="Y36:Y37" si="194">X36*50%</f>
        <v>4</v>
      </c>
      <c r="Z36" s="74">
        <v>56230</v>
      </c>
      <c r="AA36" s="17">
        <f t="shared" si="164"/>
        <v>119</v>
      </c>
      <c r="AB36" s="74">
        <v>110024</v>
      </c>
      <c r="AC36" s="17">
        <f t="shared" si="165"/>
        <v>234</v>
      </c>
      <c r="AD36" s="74">
        <v>196112</v>
      </c>
      <c r="AE36" s="17">
        <f t="shared" si="166"/>
        <v>376</v>
      </c>
      <c r="AF36" s="74">
        <v>102076</v>
      </c>
      <c r="AG36" s="17">
        <f t="shared" si="167"/>
        <v>184</v>
      </c>
      <c r="AH36" s="74">
        <v>532007</v>
      </c>
      <c r="AI36" s="17">
        <f t="shared" si="168"/>
        <v>1225</v>
      </c>
      <c r="AK36" s="96">
        <f t="shared" ref="AK36:AK37" si="195">SUM(D36,F36,I36,K36,M36,P36,S36,V36,Y36)</f>
        <v>37419</v>
      </c>
      <c r="AL36" s="97">
        <f t="shared" ref="AL36:AL37" si="196">SUM(P36,S36,V36,Y36,AA36,AC36,AE36,AG36,AI36)</f>
        <v>7462</v>
      </c>
    </row>
    <row r="37" spans="1:38" ht="39.950000000000003" customHeight="1">
      <c r="A37" s="142">
        <f t="shared" si="20"/>
        <v>44560</v>
      </c>
      <c r="B37" s="16"/>
      <c r="C37" s="74">
        <v>201831</v>
      </c>
      <c r="D37" s="17">
        <f t="shared" si="181"/>
        <v>6480</v>
      </c>
      <c r="E37" s="74">
        <v>331141</v>
      </c>
      <c r="F37" s="17">
        <f t="shared" si="182"/>
        <v>6950</v>
      </c>
      <c r="G37" s="74">
        <v>85257</v>
      </c>
      <c r="H37" s="17">
        <f t="shared" si="185"/>
        <v>2520</v>
      </c>
      <c r="I37" s="17">
        <f t="shared" si="186"/>
        <v>1260</v>
      </c>
      <c r="J37" s="74">
        <v>296311</v>
      </c>
      <c r="K37" s="17">
        <f t="shared" si="160"/>
        <v>7170</v>
      </c>
      <c r="L37" s="74">
        <v>469585</v>
      </c>
      <c r="M37" s="17">
        <f t="shared" si="161"/>
        <v>10270</v>
      </c>
      <c r="N37" s="74">
        <v>161508</v>
      </c>
      <c r="O37" s="17">
        <f t="shared" si="187"/>
        <v>8190</v>
      </c>
      <c r="P37" s="17">
        <f t="shared" si="188"/>
        <v>4095</v>
      </c>
      <c r="Q37" s="74">
        <v>335501</v>
      </c>
      <c r="R37" s="17">
        <f t="shared" si="189"/>
        <v>20</v>
      </c>
      <c r="S37" s="17">
        <f t="shared" si="190"/>
        <v>10</v>
      </c>
      <c r="T37" s="74">
        <v>166452</v>
      </c>
      <c r="U37" s="17">
        <f t="shared" si="191"/>
        <v>2160</v>
      </c>
      <c r="V37" s="17">
        <f t="shared" si="192"/>
        <v>1080</v>
      </c>
      <c r="W37" s="74">
        <v>243114</v>
      </c>
      <c r="X37" s="17">
        <f t="shared" si="193"/>
        <v>23</v>
      </c>
      <c r="Y37" s="17">
        <f t="shared" si="194"/>
        <v>11.5</v>
      </c>
      <c r="Z37" s="74">
        <v>56353</v>
      </c>
      <c r="AA37" s="17">
        <f t="shared" si="164"/>
        <v>123</v>
      </c>
      <c r="AB37" s="74">
        <v>110255</v>
      </c>
      <c r="AC37" s="17">
        <f t="shared" si="165"/>
        <v>231</v>
      </c>
      <c r="AD37" s="74">
        <v>196489</v>
      </c>
      <c r="AE37" s="17">
        <f t="shared" si="166"/>
        <v>377</v>
      </c>
      <c r="AF37" s="74">
        <v>102261</v>
      </c>
      <c r="AG37" s="17">
        <f t="shared" si="167"/>
        <v>185</v>
      </c>
      <c r="AH37" s="74">
        <v>533246</v>
      </c>
      <c r="AI37" s="17">
        <f t="shared" si="168"/>
        <v>1239</v>
      </c>
      <c r="AK37" s="96">
        <f t="shared" si="195"/>
        <v>37326.5</v>
      </c>
      <c r="AL37" s="97">
        <f t="shared" si="196"/>
        <v>7351.5</v>
      </c>
    </row>
    <row r="38" spans="1:38" ht="39.950000000000003" customHeight="1">
      <c r="A38" s="142">
        <f t="shared" si="20"/>
        <v>44561</v>
      </c>
      <c r="C38" s="74">
        <v>202488</v>
      </c>
      <c r="D38" s="17">
        <f t="shared" ref="D38" si="197">(C38-C37)*10</f>
        <v>6570</v>
      </c>
      <c r="E38" s="74">
        <v>331894</v>
      </c>
      <c r="F38" s="17">
        <f t="shared" ref="F38" si="198">(E38-E37)*10</f>
        <v>7530</v>
      </c>
      <c r="G38" s="74">
        <v>85525</v>
      </c>
      <c r="H38" s="17">
        <f t="shared" ref="H38" si="199">(G38-G37)*10</f>
        <v>2680</v>
      </c>
      <c r="I38" s="17">
        <f t="shared" ref="I38" si="200">H38*50%</f>
        <v>1340</v>
      </c>
      <c r="J38" s="74">
        <v>297068</v>
      </c>
      <c r="K38" s="17">
        <f t="shared" ref="K38" si="201">(J38-J37)*10</f>
        <v>7570</v>
      </c>
      <c r="L38" s="74">
        <v>470709</v>
      </c>
      <c r="M38" s="17">
        <f t="shared" ref="M38" si="202">(L38-L37)*10</f>
        <v>11240</v>
      </c>
      <c r="N38" s="74">
        <v>162629</v>
      </c>
      <c r="O38" s="17">
        <f t="shared" ref="O38" si="203">(N38-N37)*10</f>
        <v>11210</v>
      </c>
      <c r="P38" s="17">
        <f t="shared" ref="P38" si="204">O38*50%</f>
        <v>5605</v>
      </c>
      <c r="Q38" s="74">
        <v>335503</v>
      </c>
      <c r="R38" s="17">
        <f t="shared" ref="R38" si="205">(Q38-Q37)*10</f>
        <v>20</v>
      </c>
      <c r="S38" s="17">
        <f t="shared" ref="S38" si="206">R38*50%</f>
        <v>10</v>
      </c>
      <c r="T38" s="74">
        <v>166454</v>
      </c>
      <c r="U38" s="17">
        <f t="shared" si="191"/>
        <v>20</v>
      </c>
      <c r="V38" s="17">
        <f t="shared" ref="V38" si="207">U38*50%</f>
        <v>10</v>
      </c>
      <c r="W38" s="74">
        <v>243122</v>
      </c>
      <c r="X38" s="17">
        <f t="shared" ref="X38" si="208">W38-W37</f>
        <v>8</v>
      </c>
      <c r="Y38" s="17">
        <f t="shared" ref="Y38" si="209">X38*50%</f>
        <v>4</v>
      </c>
      <c r="Z38" s="74">
        <v>56486</v>
      </c>
      <c r="AA38" s="17">
        <f t="shared" ref="AA38" si="210">Z38-Z37</f>
        <v>133</v>
      </c>
      <c r="AB38" s="74">
        <v>110499</v>
      </c>
      <c r="AC38" s="17">
        <f t="shared" ref="AC38" si="211">AB38-AB37</f>
        <v>244</v>
      </c>
      <c r="AD38" s="74">
        <v>196889</v>
      </c>
      <c r="AE38" s="17">
        <f t="shared" ref="AE38" si="212">AD38-AD37</f>
        <v>400</v>
      </c>
      <c r="AF38" s="74">
        <v>102454</v>
      </c>
      <c r="AG38" s="17">
        <f t="shared" ref="AG38" si="213">AF38-AF37</f>
        <v>193</v>
      </c>
      <c r="AH38" s="74">
        <v>534528</v>
      </c>
      <c r="AI38" s="17">
        <f t="shared" ref="AI38" si="214">AH38-AH37</f>
        <v>1282</v>
      </c>
      <c r="AK38" s="96">
        <f t="shared" ref="AK38" si="215">SUM(D38,F38,I38,K38,M38,P38,S38,V38,Y38)</f>
        <v>39879</v>
      </c>
      <c r="AL38" s="97">
        <f t="shared" ref="AL38" si="216">SUM(P38,S38,V38,Y38,AA38,AC38,AE38,AG38,AI38)</f>
        <v>7881</v>
      </c>
    </row>
    <row r="39" spans="1:38" s="22" customFormat="1" ht="39.950000000000003" customHeight="1">
      <c r="A39" s="21"/>
      <c r="C39" s="196"/>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17" activePane="bottomRight" state="frozen"/>
      <selection pane="topRight" activeCell="C1" sqref="C1"/>
      <selection pane="bottomLeft" activeCell="A5" sqref="A5"/>
      <selection pane="bottomRight" activeCell="O38" sqref="O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7"/>
      <c r="B1" s="107"/>
      <c r="C1" s="218" t="s">
        <v>65</v>
      </c>
      <c r="D1" s="218"/>
      <c r="E1" s="218" t="s">
        <v>65</v>
      </c>
      <c r="F1" s="218"/>
      <c r="G1" s="218" t="s">
        <v>65</v>
      </c>
      <c r="H1" s="218"/>
      <c r="I1" s="218" t="s">
        <v>65</v>
      </c>
      <c r="J1" s="218"/>
      <c r="K1" s="204" t="s">
        <v>66</v>
      </c>
      <c r="L1" s="205"/>
      <c r="M1" s="205"/>
      <c r="N1" s="206"/>
      <c r="O1" s="218" t="s">
        <v>67</v>
      </c>
      <c r="P1" s="218"/>
    </row>
    <row r="2" spans="1:20" s="27" customFormat="1" ht="113.25" customHeight="1">
      <c r="A2" s="26"/>
      <c r="B2" s="26"/>
      <c r="C2" s="220" t="s">
        <v>103</v>
      </c>
      <c r="D2" s="221"/>
      <c r="E2" s="220" t="s">
        <v>104</v>
      </c>
      <c r="F2" s="221"/>
      <c r="G2" s="220" t="s">
        <v>105</v>
      </c>
      <c r="H2" s="221"/>
      <c r="I2" s="220" t="s">
        <v>106</v>
      </c>
      <c r="J2" s="221"/>
      <c r="K2" s="222" t="s">
        <v>107</v>
      </c>
      <c r="L2" s="223"/>
      <c r="M2" s="223"/>
      <c r="N2" s="224"/>
      <c r="O2" s="220" t="s">
        <v>108</v>
      </c>
      <c r="P2" s="221"/>
    </row>
    <row r="3" spans="1:20" s="32" customFormat="1" ht="50.1" customHeight="1">
      <c r="A3" s="41"/>
      <c r="B3" s="41"/>
      <c r="C3" s="225" t="s">
        <v>109</v>
      </c>
      <c r="D3" s="226"/>
      <c r="E3" s="227" t="s">
        <v>110</v>
      </c>
      <c r="F3" s="228"/>
      <c r="G3" s="232" t="s">
        <v>111</v>
      </c>
      <c r="H3" s="233"/>
      <c r="I3" s="227" t="s">
        <v>112</v>
      </c>
      <c r="J3" s="228"/>
      <c r="K3" s="229" t="s">
        <v>113</v>
      </c>
      <c r="L3" s="230"/>
      <c r="M3" s="230"/>
      <c r="N3" s="231"/>
      <c r="O3" s="225" t="s">
        <v>114</v>
      </c>
      <c r="P3" s="226"/>
      <c r="R3" s="219" t="s">
        <v>81</v>
      </c>
      <c r="S3" s="219"/>
    </row>
    <row r="4" spans="1:20" s="8" customFormat="1" ht="30" customHeight="1">
      <c r="A4" s="106" t="s">
        <v>96</v>
      </c>
      <c r="B4" s="51"/>
      <c r="C4" s="202"/>
      <c r="D4" s="203"/>
      <c r="E4" s="202"/>
      <c r="F4" s="203"/>
      <c r="G4" s="202"/>
      <c r="H4" s="203"/>
      <c r="I4" s="202"/>
      <c r="J4" s="203"/>
      <c r="K4" s="202"/>
      <c r="L4" s="216"/>
      <c r="M4" s="216"/>
      <c r="N4" s="203"/>
      <c r="O4" s="51"/>
      <c r="P4" s="51"/>
      <c r="R4" s="219"/>
      <c r="S4" s="219"/>
    </row>
    <row r="5" spans="1:20" s="10" customFormat="1" ht="50.1" customHeight="1">
      <c r="A5" s="106" t="s">
        <v>99</v>
      </c>
      <c r="B5" s="106"/>
      <c r="C5" s="106" t="s">
        <v>115</v>
      </c>
      <c r="D5" s="106" t="s">
        <v>116</v>
      </c>
      <c r="E5" s="106" t="s">
        <v>115</v>
      </c>
      <c r="F5" s="106" t="s">
        <v>116</v>
      </c>
      <c r="G5" s="106" t="s">
        <v>115</v>
      </c>
      <c r="H5" s="106" t="s">
        <v>116</v>
      </c>
      <c r="I5" s="106" t="s">
        <v>115</v>
      </c>
      <c r="J5" s="106" t="s">
        <v>116</v>
      </c>
      <c r="K5" s="106" t="s">
        <v>115</v>
      </c>
      <c r="L5" s="106" t="s">
        <v>116</v>
      </c>
      <c r="M5" s="106" t="s">
        <v>65</v>
      </c>
      <c r="N5" s="106" t="s">
        <v>67</v>
      </c>
      <c r="O5" s="106" t="s">
        <v>115</v>
      </c>
      <c r="P5" s="106" t="s">
        <v>116</v>
      </c>
      <c r="R5" s="106"/>
      <c r="S5" s="106"/>
    </row>
    <row r="6" spans="1:20" ht="39.950000000000003" customHeight="1">
      <c r="A6" s="142">
        <v>44530</v>
      </c>
      <c r="B6" s="16"/>
      <c r="C6" s="185">
        <v>33003</v>
      </c>
      <c r="D6" s="173"/>
      <c r="E6" s="185">
        <v>49012</v>
      </c>
      <c r="F6" s="173"/>
      <c r="G6" s="185">
        <v>8032</v>
      </c>
      <c r="H6" s="173"/>
      <c r="I6" s="185">
        <v>15793</v>
      </c>
      <c r="J6" s="173"/>
      <c r="K6" s="185">
        <v>1591</v>
      </c>
      <c r="L6" s="75"/>
      <c r="M6" s="173"/>
      <c r="N6" s="173"/>
      <c r="O6" s="185">
        <v>15428</v>
      </c>
      <c r="P6" s="173"/>
      <c r="R6" s="96"/>
      <c r="S6" s="97"/>
    </row>
    <row r="7" spans="1:20" s="2" customFormat="1" ht="39.950000000000003" customHeight="1">
      <c r="A7" s="142">
        <v>44531</v>
      </c>
      <c r="B7" s="15"/>
      <c r="C7" s="185">
        <v>33150</v>
      </c>
      <c r="D7" s="173">
        <f>(C7-C6)</f>
        <v>147</v>
      </c>
      <c r="E7" s="185">
        <v>49354</v>
      </c>
      <c r="F7" s="173">
        <f>(E7-E6)</f>
        <v>342</v>
      </c>
      <c r="G7" s="185">
        <v>8060</v>
      </c>
      <c r="H7" s="173">
        <f>(G7-G6)</f>
        <v>28</v>
      </c>
      <c r="I7" s="185">
        <v>15802</v>
      </c>
      <c r="J7" s="173">
        <f>(I7-I6)</f>
        <v>9</v>
      </c>
      <c r="K7" s="185">
        <v>1688</v>
      </c>
      <c r="L7" s="75">
        <f>(K7-K6)</f>
        <v>97</v>
      </c>
      <c r="M7" s="173">
        <f>L7*55%</f>
        <v>53.35</v>
      </c>
      <c r="N7" s="173">
        <f>L7*45%</f>
        <v>43.65</v>
      </c>
      <c r="O7" s="185">
        <v>15526</v>
      </c>
      <c r="P7" s="173">
        <f>(O7-O6)</f>
        <v>98</v>
      </c>
      <c r="R7" s="105">
        <f t="shared" ref="R7:R36" si="0">SUM(D7,F7,M71,H7)</f>
        <v>517</v>
      </c>
      <c r="S7" s="97">
        <f>SUM(N7,P7)</f>
        <v>141.65</v>
      </c>
    </row>
    <row r="8" spans="1:20" ht="39.950000000000003" customHeight="1">
      <c r="A8" s="142">
        <f>SUM(A7+1)</f>
        <v>44532</v>
      </c>
      <c r="B8" s="16"/>
      <c r="C8" s="185">
        <v>33289</v>
      </c>
      <c r="D8" s="173">
        <f t="shared" ref="D8:F35" si="1">(C8-C7)</f>
        <v>139</v>
      </c>
      <c r="E8" s="185">
        <v>49675</v>
      </c>
      <c r="F8" s="173">
        <f t="shared" si="1"/>
        <v>321</v>
      </c>
      <c r="G8" s="185">
        <v>8102</v>
      </c>
      <c r="H8" s="173">
        <f>(G8-G7)</f>
        <v>42</v>
      </c>
      <c r="I8" s="185">
        <v>15813</v>
      </c>
      <c r="J8" s="173">
        <f>(I8-I7)</f>
        <v>11</v>
      </c>
      <c r="K8" s="185">
        <v>1856</v>
      </c>
      <c r="L8" s="75">
        <f>(K8-K7)</f>
        <v>168</v>
      </c>
      <c r="M8" s="173">
        <f>L8*55%</f>
        <v>92.4</v>
      </c>
      <c r="N8" s="173">
        <f>L8*45%</f>
        <v>75.600000000000009</v>
      </c>
      <c r="O8" s="185">
        <v>15636</v>
      </c>
      <c r="P8" s="173">
        <f>(O8-O7)</f>
        <v>110</v>
      </c>
      <c r="R8" s="105">
        <f t="shared" si="0"/>
        <v>502</v>
      </c>
      <c r="S8" s="97">
        <f t="shared" ref="S8:S34" si="2">SUM(N8,P8)</f>
        <v>185.60000000000002</v>
      </c>
    </row>
    <row r="9" spans="1:20" ht="39.950000000000003" customHeight="1">
      <c r="A9" s="142">
        <f t="shared" ref="A9:A37" si="3">SUM(A8+1)</f>
        <v>44533</v>
      </c>
      <c r="B9" s="16"/>
      <c r="C9" s="185">
        <v>33455</v>
      </c>
      <c r="D9" s="173">
        <f t="shared" si="1"/>
        <v>166</v>
      </c>
      <c r="E9" s="185">
        <v>50038</v>
      </c>
      <c r="F9" s="173">
        <f t="shared" si="1"/>
        <v>363</v>
      </c>
      <c r="G9" s="185">
        <v>8115</v>
      </c>
      <c r="H9" s="173">
        <f t="shared" ref="H9" si="4">(G9-G8)</f>
        <v>13</v>
      </c>
      <c r="I9" s="185">
        <v>15826</v>
      </c>
      <c r="J9" s="173">
        <f t="shared" ref="J9" si="5">(I9-I8)</f>
        <v>13</v>
      </c>
      <c r="K9" s="185">
        <v>2025</v>
      </c>
      <c r="L9" s="75">
        <f t="shared" ref="L9" si="6">(K9-K8)</f>
        <v>169</v>
      </c>
      <c r="M9" s="173">
        <f t="shared" ref="M9:M34" si="7">L9*55%</f>
        <v>92.95</v>
      </c>
      <c r="N9" s="173">
        <f t="shared" ref="N9:N34" si="8">L9*45%</f>
        <v>76.05</v>
      </c>
      <c r="O9" s="185">
        <v>15711</v>
      </c>
      <c r="P9" s="173">
        <f t="shared" ref="P9" si="9">(O9-O8)</f>
        <v>75</v>
      </c>
      <c r="R9" s="105">
        <f t="shared" si="0"/>
        <v>542</v>
      </c>
      <c r="S9" s="97">
        <f t="shared" si="2"/>
        <v>151.05000000000001</v>
      </c>
    </row>
    <row r="10" spans="1:20" ht="39.950000000000003" customHeight="1">
      <c r="A10" s="142">
        <f t="shared" si="3"/>
        <v>44534</v>
      </c>
      <c r="B10" s="16"/>
      <c r="C10" s="185">
        <v>33652</v>
      </c>
      <c r="D10" s="173">
        <f t="shared" si="1"/>
        <v>197</v>
      </c>
      <c r="E10" s="185">
        <v>50421</v>
      </c>
      <c r="F10" s="173">
        <f t="shared" si="1"/>
        <v>383</v>
      </c>
      <c r="G10" s="185">
        <v>8129</v>
      </c>
      <c r="H10" s="173">
        <f t="shared" ref="H10" si="10">(G10-G9)</f>
        <v>14</v>
      </c>
      <c r="I10" s="185">
        <v>15842</v>
      </c>
      <c r="J10" s="173">
        <f t="shared" ref="J10" si="11">(I10-I9)</f>
        <v>16</v>
      </c>
      <c r="K10" s="185">
        <v>2129</v>
      </c>
      <c r="L10" s="75">
        <f t="shared" ref="L10" si="12">(K10-K9)</f>
        <v>104</v>
      </c>
      <c r="M10" s="173">
        <f t="shared" si="7"/>
        <v>57.2</v>
      </c>
      <c r="N10" s="173">
        <f t="shared" si="8"/>
        <v>46.800000000000004</v>
      </c>
      <c r="O10" s="185">
        <v>15850</v>
      </c>
      <c r="P10" s="173">
        <f t="shared" ref="P10" si="13">(O10-O9)</f>
        <v>139</v>
      </c>
      <c r="R10" s="105">
        <f t="shared" si="0"/>
        <v>594</v>
      </c>
      <c r="S10" s="97">
        <f t="shared" si="2"/>
        <v>185.8</v>
      </c>
    </row>
    <row r="11" spans="1:20" ht="39.950000000000003" customHeight="1">
      <c r="A11" s="142">
        <f t="shared" si="3"/>
        <v>44535</v>
      </c>
      <c r="B11" s="16"/>
      <c r="C11" s="185">
        <v>33832</v>
      </c>
      <c r="D11" s="173">
        <f t="shared" si="1"/>
        <v>180</v>
      </c>
      <c r="E11" s="185">
        <v>50784</v>
      </c>
      <c r="F11" s="173">
        <f t="shared" si="1"/>
        <v>363</v>
      </c>
      <c r="G11" s="185">
        <v>8140</v>
      </c>
      <c r="H11" s="173">
        <f t="shared" ref="H11" si="14">(G11-G10)</f>
        <v>11</v>
      </c>
      <c r="I11" s="185">
        <v>15879</v>
      </c>
      <c r="J11" s="173">
        <f t="shared" ref="J11" si="15">(I11-I10)</f>
        <v>37</v>
      </c>
      <c r="K11" s="185">
        <v>2356</v>
      </c>
      <c r="L11" s="75">
        <f t="shared" ref="L11" si="16">(K11-K10)</f>
        <v>227</v>
      </c>
      <c r="M11" s="173">
        <f t="shared" si="7"/>
        <v>124.85000000000001</v>
      </c>
      <c r="N11" s="173">
        <f t="shared" si="8"/>
        <v>102.15</v>
      </c>
      <c r="O11" s="185">
        <v>15976</v>
      </c>
      <c r="P11" s="173">
        <f t="shared" ref="P11" si="17">(O11-O10)</f>
        <v>126</v>
      </c>
      <c r="R11" s="105">
        <f t="shared" si="0"/>
        <v>554</v>
      </c>
      <c r="S11" s="97">
        <f t="shared" si="2"/>
        <v>228.15</v>
      </c>
    </row>
    <row r="12" spans="1:20" ht="39.950000000000003" customHeight="1">
      <c r="A12" s="142">
        <f t="shared" si="3"/>
        <v>44536</v>
      </c>
      <c r="B12" s="16"/>
      <c r="C12" s="185">
        <v>33977</v>
      </c>
      <c r="D12" s="173">
        <f t="shared" si="1"/>
        <v>145</v>
      </c>
      <c r="E12" s="185">
        <v>51064</v>
      </c>
      <c r="F12" s="173">
        <f t="shared" si="1"/>
        <v>280</v>
      </c>
      <c r="G12" s="185">
        <v>8153</v>
      </c>
      <c r="H12" s="173">
        <f t="shared" ref="H12" si="18">(G12-G11)</f>
        <v>13</v>
      </c>
      <c r="I12" s="185">
        <v>15900</v>
      </c>
      <c r="J12" s="173">
        <f t="shared" ref="J12" si="19">(I12-I11)</f>
        <v>21</v>
      </c>
      <c r="K12" s="185">
        <v>2533</v>
      </c>
      <c r="L12" s="75">
        <f t="shared" ref="L12" si="20">(K12-K11)</f>
        <v>177</v>
      </c>
      <c r="M12" s="173">
        <f t="shared" si="7"/>
        <v>97.350000000000009</v>
      </c>
      <c r="N12" s="173">
        <f t="shared" si="8"/>
        <v>79.650000000000006</v>
      </c>
      <c r="O12" s="185">
        <v>16090</v>
      </c>
      <c r="P12" s="173">
        <f t="shared" ref="P12" si="21">(O12-O11)</f>
        <v>114</v>
      </c>
      <c r="R12" s="105">
        <f t="shared" si="0"/>
        <v>438</v>
      </c>
      <c r="S12" s="97">
        <f t="shared" si="2"/>
        <v>193.65</v>
      </c>
    </row>
    <row r="13" spans="1:20" ht="39.950000000000003" customHeight="1">
      <c r="A13" s="142">
        <f t="shared" si="3"/>
        <v>44537</v>
      </c>
      <c r="B13" s="16"/>
      <c r="C13" s="185">
        <v>34102</v>
      </c>
      <c r="D13" s="173">
        <f t="shared" si="1"/>
        <v>125</v>
      </c>
      <c r="E13" s="185">
        <v>51379</v>
      </c>
      <c r="F13" s="173">
        <f t="shared" si="1"/>
        <v>315</v>
      </c>
      <c r="G13" s="185">
        <v>8164</v>
      </c>
      <c r="H13" s="173">
        <f t="shared" ref="H13" si="22">(G13-G12)</f>
        <v>11</v>
      </c>
      <c r="I13" s="185">
        <v>15915</v>
      </c>
      <c r="J13" s="173">
        <f t="shared" ref="J13" si="23">(I13-I12)</f>
        <v>15</v>
      </c>
      <c r="K13" s="185">
        <v>2710</v>
      </c>
      <c r="L13" s="75">
        <f t="shared" ref="L13" si="24">(K13-K12)</f>
        <v>177</v>
      </c>
      <c r="M13" s="173">
        <f t="shared" si="7"/>
        <v>97.350000000000009</v>
      </c>
      <c r="N13" s="173">
        <f t="shared" si="8"/>
        <v>79.650000000000006</v>
      </c>
      <c r="O13" s="185">
        <v>16197</v>
      </c>
      <c r="P13" s="173">
        <f t="shared" ref="P13" si="25">(O13-O12)</f>
        <v>107</v>
      </c>
      <c r="R13" s="105">
        <f t="shared" si="0"/>
        <v>451</v>
      </c>
      <c r="S13" s="97">
        <f t="shared" si="2"/>
        <v>186.65</v>
      </c>
    </row>
    <row r="14" spans="1:20" ht="39.950000000000003" customHeight="1">
      <c r="A14" s="142">
        <f t="shared" si="3"/>
        <v>44538</v>
      </c>
      <c r="B14" s="16"/>
      <c r="C14" s="185">
        <v>34242</v>
      </c>
      <c r="D14" s="173">
        <f t="shared" si="1"/>
        <v>140</v>
      </c>
      <c r="E14" s="185">
        <v>51722</v>
      </c>
      <c r="F14" s="173">
        <f t="shared" si="1"/>
        <v>343</v>
      </c>
      <c r="G14" s="185">
        <v>8178</v>
      </c>
      <c r="H14" s="173">
        <f t="shared" ref="H14" si="26">(G14-G13)</f>
        <v>14</v>
      </c>
      <c r="I14" s="185">
        <v>15920</v>
      </c>
      <c r="J14" s="173">
        <f t="shared" ref="J14" si="27">(I14-I13)</f>
        <v>5</v>
      </c>
      <c r="K14" s="185">
        <v>2711</v>
      </c>
      <c r="L14" s="75">
        <f t="shared" ref="L14" si="28">(K14-K13)</f>
        <v>1</v>
      </c>
      <c r="M14" s="173">
        <f t="shared" si="7"/>
        <v>0.55000000000000004</v>
      </c>
      <c r="N14" s="173">
        <f t="shared" si="8"/>
        <v>0.45</v>
      </c>
      <c r="O14" s="185">
        <v>16306</v>
      </c>
      <c r="P14" s="173">
        <f t="shared" ref="P14" si="29">(O14-O13)</f>
        <v>109</v>
      </c>
      <c r="R14" s="105">
        <f t="shared" si="0"/>
        <v>497</v>
      </c>
      <c r="S14" s="97">
        <f t="shared" si="2"/>
        <v>109.45</v>
      </c>
    </row>
    <row r="15" spans="1:20" ht="39.950000000000003" customHeight="1">
      <c r="A15" s="142">
        <f t="shared" si="3"/>
        <v>44539</v>
      </c>
      <c r="B15" s="16"/>
      <c r="C15" s="185">
        <v>34364</v>
      </c>
      <c r="D15" s="173">
        <f t="shared" si="1"/>
        <v>122</v>
      </c>
      <c r="E15" s="185">
        <v>52022</v>
      </c>
      <c r="F15" s="173">
        <f t="shared" si="1"/>
        <v>300</v>
      </c>
      <c r="G15" s="185">
        <v>8191</v>
      </c>
      <c r="H15" s="173">
        <f t="shared" ref="H15" si="30">(G15-G14)</f>
        <v>13</v>
      </c>
      <c r="I15" s="185">
        <v>15939</v>
      </c>
      <c r="J15" s="173">
        <f t="shared" ref="J15" si="31">(I15-I14)</f>
        <v>19</v>
      </c>
      <c r="K15" s="185">
        <v>2883</v>
      </c>
      <c r="L15" s="75">
        <f t="shared" ref="L15" si="32">(K15-K14)</f>
        <v>172</v>
      </c>
      <c r="M15" s="173">
        <f t="shared" si="7"/>
        <v>94.600000000000009</v>
      </c>
      <c r="N15" s="173">
        <f t="shared" si="8"/>
        <v>77.400000000000006</v>
      </c>
      <c r="O15" s="185">
        <v>16307</v>
      </c>
      <c r="P15" s="173">
        <f t="shared" ref="P15" si="33">(O15-O14)</f>
        <v>1</v>
      </c>
      <c r="R15" s="105">
        <f t="shared" si="0"/>
        <v>435</v>
      </c>
      <c r="S15" s="97">
        <f t="shared" si="2"/>
        <v>78.400000000000006</v>
      </c>
    </row>
    <row r="16" spans="1:20" ht="39.950000000000003" customHeight="1">
      <c r="A16" s="142">
        <f t="shared" si="3"/>
        <v>44540</v>
      </c>
      <c r="B16" s="16"/>
      <c r="C16" s="185">
        <v>34535</v>
      </c>
      <c r="D16" s="173">
        <f t="shared" si="1"/>
        <v>171</v>
      </c>
      <c r="E16" s="185">
        <v>52405</v>
      </c>
      <c r="F16" s="173">
        <f t="shared" si="1"/>
        <v>383</v>
      </c>
      <c r="G16" s="185">
        <v>8205</v>
      </c>
      <c r="H16" s="173">
        <f t="shared" ref="H16" si="34">(G16-G15)</f>
        <v>14</v>
      </c>
      <c r="I16" s="185">
        <v>15954</v>
      </c>
      <c r="J16" s="173">
        <f t="shared" ref="J16" si="35">(I16-I15)</f>
        <v>15</v>
      </c>
      <c r="K16" s="185">
        <v>3040</v>
      </c>
      <c r="L16" s="173">
        <f t="shared" ref="L16" si="36">(K16-K15)</f>
        <v>157</v>
      </c>
      <c r="M16" s="173">
        <f t="shared" si="7"/>
        <v>86.350000000000009</v>
      </c>
      <c r="N16" s="173">
        <f t="shared" si="8"/>
        <v>70.650000000000006</v>
      </c>
      <c r="O16" s="185">
        <v>16419</v>
      </c>
      <c r="P16" s="173">
        <f t="shared" ref="P16" si="37">(O16-O15)</f>
        <v>112</v>
      </c>
      <c r="R16" s="105">
        <f t="shared" si="0"/>
        <v>568</v>
      </c>
      <c r="S16" s="97">
        <f t="shared" si="2"/>
        <v>182.65</v>
      </c>
      <c r="T16" s="186"/>
    </row>
    <row r="17" spans="1:19" ht="39.950000000000003" customHeight="1">
      <c r="A17" s="142">
        <f t="shared" si="3"/>
        <v>44541</v>
      </c>
      <c r="B17" s="16"/>
      <c r="C17" s="185">
        <f>(C16+C18)/2</f>
        <v>34618.5</v>
      </c>
      <c r="D17" s="194">
        <f t="shared" si="1"/>
        <v>83.5</v>
      </c>
      <c r="E17" s="185">
        <f>(E16+E18)/2</f>
        <v>52576.5</v>
      </c>
      <c r="F17" s="194">
        <f t="shared" si="1"/>
        <v>171.5</v>
      </c>
      <c r="G17" s="185">
        <v>8209</v>
      </c>
      <c r="H17" s="173">
        <f t="shared" ref="H17" si="38">(G17-G16)</f>
        <v>4</v>
      </c>
      <c r="I17" s="185">
        <v>15960</v>
      </c>
      <c r="J17" s="173">
        <f t="shared" ref="J17" si="39">(I17-I16)</f>
        <v>6</v>
      </c>
      <c r="K17" s="185">
        <v>3201</v>
      </c>
      <c r="L17" s="173">
        <f t="shared" ref="L17" si="40">(K17-K16)</f>
        <v>161</v>
      </c>
      <c r="M17" s="173">
        <f t="shared" si="7"/>
        <v>88.550000000000011</v>
      </c>
      <c r="N17" s="173">
        <f t="shared" si="8"/>
        <v>72.45</v>
      </c>
      <c r="O17" s="185">
        <v>16516</v>
      </c>
      <c r="P17" s="173">
        <f t="shared" ref="P17" si="41">(O17-O16)</f>
        <v>97</v>
      </c>
      <c r="R17" s="195">
        <f t="shared" si="0"/>
        <v>259</v>
      </c>
      <c r="S17" s="97">
        <f t="shared" si="2"/>
        <v>169.45</v>
      </c>
    </row>
    <row r="18" spans="1:19" ht="39.950000000000003" customHeight="1">
      <c r="A18" s="142">
        <f t="shared" si="3"/>
        <v>44542</v>
      </c>
      <c r="B18" s="16"/>
      <c r="C18" s="185">
        <v>34702</v>
      </c>
      <c r="D18" s="173">
        <f t="shared" si="1"/>
        <v>83.5</v>
      </c>
      <c r="E18" s="185">
        <v>52748</v>
      </c>
      <c r="F18" s="173">
        <f t="shared" si="1"/>
        <v>171.5</v>
      </c>
      <c r="G18" s="185">
        <v>8213</v>
      </c>
      <c r="H18" s="173">
        <f t="shared" ref="H18" si="42">(G18-G17)</f>
        <v>4</v>
      </c>
      <c r="I18" s="185">
        <v>15965</v>
      </c>
      <c r="J18" s="173">
        <f t="shared" ref="J18" si="43">(I18-I17)</f>
        <v>5</v>
      </c>
      <c r="K18" s="185">
        <v>3364</v>
      </c>
      <c r="L18" s="173">
        <f t="shared" ref="L18" si="44">(K18-K17)</f>
        <v>163</v>
      </c>
      <c r="M18" s="173">
        <f t="shared" si="7"/>
        <v>89.65</v>
      </c>
      <c r="N18" s="173">
        <f t="shared" si="8"/>
        <v>73.350000000000009</v>
      </c>
      <c r="O18" s="185">
        <v>16651</v>
      </c>
      <c r="P18" s="173">
        <f t="shared" ref="P18" si="45">(O18-O17)</f>
        <v>135</v>
      </c>
      <c r="R18" s="105">
        <f t="shared" si="0"/>
        <v>259</v>
      </c>
      <c r="S18" s="97">
        <f t="shared" si="2"/>
        <v>208.35000000000002</v>
      </c>
    </row>
    <row r="19" spans="1:19" s="78" customFormat="1" ht="39.950000000000003" customHeight="1">
      <c r="A19" s="142">
        <f t="shared" si="3"/>
        <v>44543</v>
      </c>
      <c r="B19" s="81"/>
      <c r="C19" s="185">
        <v>34846</v>
      </c>
      <c r="D19" s="173">
        <f t="shared" si="1"/>
        <v>144</v>
      </c>
      <c r="E19" s="185">
        <v>53078</v>
      </c>
      <c r="F19" s="173">
        <f t="shared" si="1"/>
        <v>330</v>
      </c>
      <c r="G19" s="185">
        <v>8214</v>
      </c>
      <c r="H19" s="173">
        <f t="shared" ref="H19" si="46">(G19-G18)</f>
        <v>1</v>
      </c>
      <c r="I19" s="185">
        <v>15978</v>
      </c>
      <c r="J19" s="173">
        <f t="shared" ref="J19" si="47">(I19-I18)</f>
        <v>13</v>
      </c>
      <c r="K19" s="185">
        <v>3525</v>
      </c>
      <c r="L19" s="173">
        <f t="shared" ref="L19" si="48">(K19-K18)</f>
        <v>161</v>
      </c>
      <c r="M19" s="173">
        <f t="shared" si="7"/>
        <v>88.550000000000011</v>
      </c>
      <c r="N19" s="173">
        <f t="shared" si="8"/>
        <v>72.45</v>
      </c>
      <c r="O19" s="185">
        <v>16750</v>
      </c>
      <c r="P19" s="173">
        <f t="shared" ref="P19" si="49">(O19-O18)</f>
        <v>99</v>
      </c>
      <c r="R19" s="162">
        <f t="shared" si="0"/>
        <v>475</v>
      </c>
      <c r="S19" s="104">
        <f t="shared" si="2"/>
        <v>171.45</v>
      </c>
    </row>
    <row r="20" spans="1:19" s="78" customFormat="1" ht="39.950000000000003" customHeight="1">
      <c r="A20" s="142">
        <f t="shared" si="3"/>
        <v>44544</v>
      </c>
      <c r="B20" s="81"/>
      <c r="C20" s="185">
        <v>35010</v>
      </c>
      <c r="D20" s="173">
        <f t="shared" si="1"/>
        <v>164</v>
      </c>
      <c r="E20" s="185">
        <v>53362</v>
      </c>
      <c r="F20" s="173">
        <f t="shared" si="1"/>
        <v>284</v>
      </c>
      <c r="G20" s="185">
        <v>8233</v>
      </c>
      <c r="H20" s="173">
        <f t="shared" ref="H20" si="50">(G20-G19)</f>
        <v>19</v>
      </c>
      <c r="I20" s="185">
        <v>15992</v>
      </c>
      <c r="J20" s="173">
        <f t="shared" ref="J20" si="51">(I20-I19)</f>
        <v>14</v>
      </c>
      <c r="K20" s="185">
        <v>3701</v>
      </c>
      <c r="L20" s="173">
        <f t="shared" ref="L20" si="52">(K20-K19)</f>
        <v>176</v>
      </c>
      <c r="M20" s="173">
        <f t="shared" si="7"/>
        <v>96.800000000000011</v>
      </c>
      <c r="N20" s="173">
        <f t="shared" si="8"/>
        <v>79.2</v>
      </c>
      <c r="O20" s="185">
        <v>16894</v>
      </c>
      <c r="P20" s="173">
        <f t="shared" ref="P20" si="53">(O20-O19)</f>
        <v>144</v>
      </c>
      <c r="R20" s="162">
        <f t="shared" si="0"/>
        <v>467</v>
      </c>
      <c r="S20" s="104">
        <f t="shared" si="2"/>
        <v>223.2</v>
      </c>
    </row>
    <row r="21" spans="1:19" s="78" customFormat="1" ht="39.950000000000003" customHeight="1">
      <c r="A21" s="142">
        <f t="shared" si="3"/>
        <v>44545</v>
      </c>
      <c r="B21" s="81"/>
      <c r="C21" s="185">
        <v>35136</v>
      </c>
      <c r="D21" s="173">
        <f t="shared" si="1"/>
        <v>126</v>
      </c>
      <c r="E21" s="185">
        <v>53682</v>
      </c>
      <c r="F21" s="173">
        <f>(E21-E20)</f>
        <v>320</v>
      </c>
      <c r="G21" s="185">
        <v>8259</v>
      </c>
      <c r="H21" s="173">
        <f t="shared" ref="H21" si="54">(G21-G20)</f>
        <v>26</v>
      </c>
      <c r="I21" s="185">
        <v>16002</v>
      </c>
      <c r="J21" s="173">
        <f t="shared" ref="J21" si="55">(I21-I20)</f>
        <v>10</v>
      </c>
      <c r="K21" s="185">
        <v>3853</v>
      </c>
      <c r="L21" s="173">
        <f t="shared" ref="L21" si="56">(K21-K20)</f>
        <v>152</v>
      </c>
      <c r="M21" s="173">
        <f t="shared" si="7"/>
        <v>83.600000000000009</v>
      </c>
      <c r="N21" s="173">
        <f t="shared" si="8"/>
        <v>68.400000000000006</v>
      </c>
      <c r="O21" s="185">
        <v>16991</v>
      </c>
      <c r="P21" s="173">
        <f t="shared" ref="P21" si="57">(O21-O20)</f>
        <v>97</v>
      </c>
      <c r="R21" s="162">
        <f t="shared" si="0"/>
        <v>472</v>
      </c>
      <c r="S21" s="104">
        <f t="shared" si="2"/>
        <v>165.4</v>
      </c>
    </row>
    <row r="22" spans="1:19" s="78" customFormat="1" ht="39.950000000000003" customHeight="1">
      <c r="A22" s="142">
        <f t="shared" si="3"/>
        <v>44546</v>
      </c>
      <c r="B22" s="81"/>
      <c r="C22" s="185">
        <v>35266</v>
      </c>
      <c r="D22" s="173">
        <f t="shared" si="1"/>
        <v>130</v>
      </c>
      <c r="E22" s="185">
        <v>54020</v>
      </c>
      <c r="F22" s="173">
        <f>(E22-E21)</f>
        <v>338</v>
      </c>
      <c r="G22" s="82">
        <v>8277</v>
      </c>
      <c r="H22" s="173">
        <f t="shared" ref="H22" si="58">(G22-G21)</f>
        <v>18</v>
      </c>
      <c r="I22" s="190">
        <v>16030</v>
      </c>
      <c r="J22" s="173">
        <f t="shared" ref="J22" si="59">(I22-I21)</f>
        <v>28</v>
      </c>
      <c r="K22" s="185">
        <v>4031</v>
      </c>
      <c r="L22" s="75">
        <f t="shared" ref="L22" si="60">(K22-K21)</f>
        <v>178</v>
      </c>
      <c r="M22" s="173">
        <f t="shared" si="7"/>
        <v>97.9</v>
      </c>
      <c r="N22" s="173">
        <f t="shared" si="8"/>
        <v>80.100000000000009</v>
      </c>
      <c r="O22" s="185">
        <v>17095</v>
      </c>
      <c r="P22" s="173">
        <f t="shared" ref="P22" si="61">(O22-O21)</f>
        <v>104</v>
      </c>
      <c r="R22" s="162">
        <f t="shared" si="0"/>
        <v>486</v>
      </c>
      <c r="S22" s="104">
        <f t="shared" si="2"/>
        <v>184.10000000000002</v>
      </c>
    </row>
    <row r="23" spans="1:19" s="78" customFormat="1" ht="39.950000000000003" customHeight="1">
      <c r="A23" s="142">
        <f t="shared" si="3"/>
        <v>44547</v>
      </c>
      <c r="B23" s="81"/>
      <c r="C23" s="190">
        <v>35385</v>
      </c>
      <c r="D23" s="173">
        <f t="shared" si="1"/>
        <v>119</v>
      </c>
      <c r="E23" s="185">
        <v>54349</v>
      </c>
      <c r="F23" s="173">
        <f>(E23-E22)</f>
        <v>329</v>
      </c>
      <c r="G23" s="82">
        <v>8288</v>
      </c>
      <c r="H23" s="173">
        <f t="shared" ref="H23" si="62">(G23-G22)</f>
        <v>11</v>
      </c>
      <c r="I23" s="190">
        <v>16059</v>
      </c>
      <c r="J23" s="173">
        <f t="shared" ref="J23" si="63">(I23-I22)</f>
        <v>29</v>
      </c>
      <c r="K23" s="185">
        <v>4182</v>
      </c>
      <c r="L23" s="75">
        <f t="shared" ref="L23" si="64">(K23-K22)</f>
        <v>151</v>
      </c>
      <c r="M23" s="173">
        <f t="shared" si="7"/>
        <v>83.050000000000011</v>
      </c>
      <c r="N23" s="173">
        <f t="shared" si="8"/>
        <v>67.95</v>
      </c>
      <c r="O23" s="185">
        <v>17210</v>
      </c>
      <c r="P23" s="173">
        <f t="shared" ref="P23" si="65">(O23-O22)</f>
        <v>115</v>
      </c>
      <c r="R23" s="162">
        <f t="shared" si="0"/>
        <v>459</v>
      </c>
      <c r="S23" s="104">
        <f t="shared" si="2"/>
        <v>182.95</v>
      </c>
    </row>
    <row r="24" spans="1:19" s="78" customFormat="1" ht="39.950000000000003" customHeight="1">
      <c r="A24" s="142">
        <f t="shared" si="3"/>
        <v>44548</v>
      </c>
      <c r="B24" s="81"/>
      <c r="C24" s="190">
        <v>35541</v>
      </c>
      <c r="D24" s="173">
        <f t="shared" si="1"/>
        <v>156</v>
      </c>
      <c r="E24" s="190">
        <v>54688</v>
      </c>
      <c r="F24" s="173">
        <f t="shared" si="1"/>
        <v>339</v>
      </c>
      <c r="G24" s="82">
        <v>8301</v>
      </c>
      <c r="H24" s="173">
        <f t="shared" ref="H24" si="66">(G24-G23)</f>
        <v>13</v>
      </c>
      <c r="I24" s="190">
        <v>16076</v>
      </c>
      <c r="J24" s="173">
        <f t="shared" ref="J24" si="67">(I24-I23)</f>
        <v>17</v>
      </c>
      <c r="K24" s="190">
        <v>4343</v>
      </c>
      <c r="L24" s="75">
        <f t="shared" ref="L24" si="68">(K24-K23)</f>
        <v>161</v>
      </c>
      <c r="M24" s="173">
        <f t="shared" si="7"/>
        <v>88.550000000000011</v>
      </c>
      <c r="N24" s="173">
        <f t="shared" si="8"/>
        <v>72.45</v>
      </c>
      <c r="O24" s="190">
        <v>17307</v>
      </c>
      <c r="P24" s="173">
        <f t="shared" ref="P24" si="69">(O24-O23)</f>
        <v>97</v>
      </c>
      <c r="R24" s="162">
        <f t="shared" si="0"/>
        <v>508</v>
      </c>
      <c r="S24" s="104">
        <f t="shared" si="2"/>
        <v>169.45</v>
      </c>
    </row>
    <row r="25" spans="1:19" s="78" customFormat="1" ht="39.950000000000003" customHeight="1">
      <c r="A25" s="142">
        <f t="shared" si="3"/>
        <v>44549</v>
      </c>
      <c r="B25" s="81"/>
      <c r="C25" s="190">
        <v>35694</v>
      </c>
      <c r="D25" s="173">
        <f t="shared" si="1"/>
        <v>153</v>
      </c>
      <c r="E25" s="190">
        <v>55058</v>
      </c>
      <c r="F25" s="173">
        <f t="shared" si="1"/>
        <v>370</v>
      </c>
      <c r="G25" s="82">
        <v>8317</v>
      </c>
      <c r="H25" s="173">
        <f t="shared" ref="H25" si="70">(G25-G24)</f>
        <v>16</v>
      </c>
      <c r="I25" s="190">
        <v>16102</v>
      </c>
      <c r="J25" s="173">
        <f t="shared" ref="J25" si="71">(I25-I24)</f>
        <v>26</v>
      </c>
      <c r="K25" s="190">
        <v>4501</v>
      </c>
      <c r="L25" s="75">
        <f t="shared" ref="L25" si="72">(K25-K24)</f>
        <v>158</v>
      </c>
      <c r="M25" s="173">
        <f t="shared" si="7"/>
        <v>86.9</v>
      </c>
      <c r="N25" s="173">
        <f t="shared" si="8"/>
        <v>71.100000000000009</v>
      </c>
      <c r="O25" s="190">
        <v>17424</v>
      </c>
      <c r="P25" s="173">
        <f t="shared" ref="P25" si="73">(O25-O24)</f>
        <v>117</v>
      </c>
      <c r="R25" s="162">
        <f t="shared" si="0"/>
        <v>539</v>
      </c>
      <c r="S25" s="104">
        <f t="shared" si="2"/>
        <v>188.10000000000002</v>
      </c>
    </row>
    <row r="26" spans="1:19" ht="39.950000000000003" customHeight="1">
      <c r="A26" s="142">
        <f t="shared" si="3"/>
        <v>44550</v>
      </c>
      <c r="B26" s="81"/>
      <c r="C26" s="190">
        <v>35881</v>
      </c>
      <c r="D26" s="173">
        <f t="shared" si="1"/>
        <v>187</v>
      </c>
      <c r="E26" s="190">
        <v>55435</v>
      </c>
      <c r="F26" s="173">
        <f t="shared" si="1"/>
        <v>377</v>
      </c>
      <c r="G26" s="185">
        <v>8320</v>
      </c>
      <c r="H26" s="173">
        <f t="shared" ref="H26" si="74">(G26-G25)</f>
        <v>3</v>
      </c>
      <c r="I26" s="190">
        <v>16102</v>
      </c>
      <c r="J26" s="173">
        <f t="shared" ref="J26" si="75">(I26-I25)</f>
        <v>0</v>
      </c>
      <c r="K26" s="190">
        <v>4656</v>
      </c>
      <c r="L26" s="173">
        <f>(K26-K25)</f>
        <v>155</v>
      </c>
      <c r="M26" s="173">
        <f t="shared" si="7"/>
        <v>85.25</v>
      </c>
      <c r="N26" s="173">
        <f t="shared" si="8"/>
        <v>69.75</v>
      </c>
      <c r="O26" s="190">
        <v>17526</v>
      </c>
      <c r="P26" s="173">
        <f t="shared" ref="P26" si="76">(O26-O25)</f>
        <v>102</v>
      </c>
      <c r="R26" s="105">
        <f t="shared" si="0"/>
        <v>567</v>
      </c>
      <c r="S26" s="97">
        <f t="shared" si="2"/>
        <v>171.75</v>
      </c>
    </row>
    <row r="27" spans="1:19" ht="39.950000000000003" customHeight="1">
      <c r="A27" s="142">
        <f t="shared" si="3"/>
        <v>44551</v>
      </c>
      <c r="B27" s="81"/>
      <c r="C27" s="190">
        <v>36029</v>
      </c>
      <c r="D27" s="173">
        <f t="shared" si="1"/>
        <v>148</v>
      </c>
      <c r="E27" s="190">
        <v>55705</v>
      </c>
      <c r="F27" s="173">
        <f t="shared" si="1"/>
        <v>270</v>
      </c>
      <c r="G27" s="185">
        <v>8323</v>
      </c>
      <c r="H27" s="173">
        <f t="shared" ref="H27" si="77">(G27-G26)</f>
        <v>3</v>
      </c>
      <c r="I27" s="190">
        <v>16102</v>
      </c>
      <c r="J27" s="173">
        <f t="shared" ref="J27" si="78">(I27-I26)</f>
        <v>0</v>
      </c>
      <c r="K27" s="190">
        <v>4838</v>
      </c>
      <c r="L27" s="75">
        <f t="shared" ref="L27" si="79">(K27-K26)</f>
        <v>182</v>
      </c>
      <c r="M27" s="173">
        <f t="shared" si="7"/>
        <v>100.10000000000001</v>
      </c>
      <c r="N27" s="173">
        <f t="shared" si="8"/>
        <v>81.900000000000006</v>
      </c>
      <c r="O27" s="190">
        <v>17629</v>
      </c>
      <c r="P27" s="173">
        <f t="shared" ref="P27" si="80">(O27-O26)</f>
        <v>103</v>
      </c>
      <c r="R27" s="105">
        <f t="shared" si="0"/>
        <v>421</v>
      </c>
      <c r="S27" s="97">
        <f t="shared" si="2"/>
        <v>184.9</v>
      </c>
    </row>
    <row r="28" spans="1:19" ht="39.950000000000003" customHeight="1">
      <c r="A28" s="142">
        <f t="shared" si="3"/>
        <v>44552</v>
      </c>
      <c r="B28" s="81"/>
      <c r="C28" s="185">
        <v>36188</v>
      </c>
      <c r="D28" s="173">
        <f t="shared" si="1"/>
        <v>159</v>
      </c>
      <c r="E28" s="185">
        <v>56037</v>
      </c>
      <c r="F28" s="173">
        <f t="shared" si="1"/>
        <v>332</v>
      </c>
      <c r="G28" s="185">
        <v>8332.5589999999993</v>
      </c>
      <c r="H28" s="173">
        <f t="shared" ref="H28" si="81">(G28-G27)</f>
        <v>9.558999999999287</v>
      </c>
      <c r="I28" s="185">
        <v>16102</v>
      </c>
      <c r="J28" s="173">
        <f t="shared" ref="J28" si="82">(I28-I27)</f>
        <v>0</v>
      </c>
      <c r="K28" s="185">
        <v>4993</v>
      </c>
      <c r="L28" s="75">
        <f t="shared" ref="L28" si="83">(K28-K27)</f>
        <v>155</v>
      </c>
      <c r="M28" s="173">
        <f t="shared" si="7"/>
        <v>85.25</v>
      </c>
      <c r="N28" s="173">
        <f t="shared" si="8"/>
        <v>69.75</v>
      </c>
      <c r="O28" s="185">
        <v>17745</v>
      </c>
      <c r="P28" s="173">
        <f t="shared" ref="P28" si="84">(O28-O27)</f>
        <v>116</v>
      </c>
      <c r="R28" s="105">
        <f t="shared" si="0"/>
        <v>500.55899999999929</v>
      </c>
      <c r="S28" s="97">
        <f t="shared" si="2"/>
        <v>185.75</v>
      </c>
    </row>
    <row r="29" spans="1:19" ht="39.950000000000003" customHeight="1">
      <c r="A29" s="142">
        <f t="shared" si="3"/>
        <v>44553</v>
      </c>
      <c r="B29" s="81"/>
      <c r="C29" s="185">
        <v>36333</v>
      </c>
      <c r="D29" s="173">
        <f t="shared" si="1"/>
        <v>145</v>
      </c>
      <c r="E29" s="185">
        <v>56387</v>
      </c>
      <c r="F29" s="173">
        <f t="shared" si="1"/>
        <v>350</v>
      </c>
      <c r="G29" s="185">
        <v>8346.5126</v>
      </c>
      <c r="H29" s="173">
        <f t="shared" ref="H29" si="85">(G29-G28)</f>
        <v>13.953600000000733</v>
      </c>
      <c r="I29" s="185">
        <v>16102</v>
      </c>
      <c r="J29" s="173">
        <f t="shared" ref="J29" si="86">(I29-I28)</f>
        <v>0</v>
      </c>
      <c r="K29" s="185">
        <v>5140</v>
      </c>
      <c r="L29" s="75">
        <f t="shared" ref="L29" si="87">(K29-K28)</f>
        <v>147</v>
      </c>
      <c r="M29" s="173">
        <f t="shared" si="7"/>
        <v>80.850000000000009</v>
      </c>
      <c r="N29" s="173">
        <f t="shared" si="8"/>
        <v>66.150000000000006</v>
      </c>
      <c r="O29" s="185">
        <v>17852</v>
      </c>
      <c r="P29" s="173">
        <f t="shared" ref="P29" si="88">(O29-O28)</f>
        <v>107</v>
      </c>
      <c r="R29" s="105">
        <f t="shared" si="0"/>
        <v>508.95360000000073</v>
      </c>
      <c r="S29" s="97">
        <f t="shared" si="2"/>
        <v>173.15</v>
      </c>
    </row>
    <row r="30" spans="1:19" ht="39.950000000000003" customHeight="1">
      <c r="A30" s="142">
        <f t="shared" si="3"/>
        <v>44554</v>
      </c>
      <c r="B30" s="81"/>
      <c r="C30" s="190">
        <v>36531</v>
      </c>
      <c r="D30" s="173">
        <f t="shared" si="1"/>
        <v>198</v>
      </c>
      <c r="E30" s="190">
        <v>56751</v>
      </c>
      <c r="F30" s="173">
        <f t="shared" si="1"/>
        <v>364</v>
      </c>
      <c r="G30" s="185">
        <v>8352</v>
      </c>
      <c r="H30" s="173">
        <f t="shared" ref="H30" si="89">(G30-G29)</f>
        <v>5.4873999999999796</v>
      </c>
      <c r="I30" s="185">
        <v>16102</v>
      </c>
      <c r="J30" s="173">
        <f t="shared" ref="J30" si="90">(I30-I29)</f>
        <v>0</v>
      </c>
      <c r="K30" s="190">
        <v>5294</v>
      </c>
      <c r="L30" s="75">
        <f t="shared" ref="L30" si="91">(K30-K29)</f>
        <v>154</v>
      </c>
      <c r="M30" s="173">
        <f t="shared" si="7"/>
        <v>84.7</v>
      </c>
      <c r="N30" s="173">
        <f t="shared" si="8"/>
        <v>69.3</v>
      </c>
      <c r="O30" s="190">
        <v>17960</v>
      </c>
      <c r="P30" s="173">
        <f t="shared" ref="P30" si="92">(O30-O29)</f>
        <v>108</v>
      </c>
      <c r="R30" s="105">
        <f t="shared" si="0"/>
        <v>567.48739999999998</v>
      </c>
      <c r="S30" s="97">
        <f t="shared" si="2"/>
        <v>177.3</v>
      </c>
    </row>
    <row r="31" spans="1:19" ht="39.950000000000003" customHeight="1">
      <c r="A31" s="142">
        <f t="shared" si="3"/>
        <v>44555</v>
      </c>
      <c r="B31" s="81"/>
      <c r="C31" s="190">
        <v>36816</v>
      </c>
      <c r="D31" s="173">
        <f t="shared" si="1"/>
        <v>285</v>
      </c>
      <c r="E31" s="190">
        <v>57114</v>
      </c>
      <c r="F31" s="173">
        <f t="shared" si="1"/>
        <v>363</v>
      </c>
      <c r="G31" s="185">
        <v>8356</v>
      </c>
      <c r="H31" s="173">
        <f t="shared" ref="H31" si="93">(G31-G30)</f>
        <v>4</v>
      </c>
      <c r="I31" s="185">
        <v>16102</v>
      </c>
      <c r="J31" s="173">
        <f t="shared" ref="J31" si="94">(I31-I30)</f>
        <v>0</v>
      </c>
      <c r="K31" s="190">
        <v>5456</v>
      </c>
      <c r="L31" s="75">
        <f t="shared" ref="L31" si="95">(K31-K30)</f>
        <v>162</v>
      </c>
      <c r="M31" s="173">
        <f t="shared" si="7"/>
        <v>89.100000000000009</v>
      </c>
      <c r="N31" s="173">
        <f t="shared" si="8"/>
        <v>72.900000000000006</v>
      </c>
      <c r="O31" s="190">
        <v>18083</v>
      </c>
      <c r="P31" s="173">
        <f t="shared" ref="P31" si="96">(O31-O30)</f>
        <v>123</v>
      </c>
      <c r="R31" s="105">
        <f t="shared" si="0"/>
        <v>652</v>
      </c>
      <c r="S31" s="97">
        <f t="shared" si="2"/>
        <v>195.9</v>
      </c>
    </row>
    <row r="32" spans="1:19" ht="39.950000000000003" customHeight="1">
      <c r="A32" s="142">
        <f t="shared" si="3"/>
        <v>44556</v>
      </c>
      <c r="B32" s="81"/>
      <c r="C32" s="190">
        <v>37272</v>
      </c>
      <c r="D32" s="173">
        <f t="shared" si="1"/>
        <v>456</v>
      </c>
      <c r="E32" s="190">
        <v>57494</v>
      </c>
      <c r="F32" s="173">
        <f t="shared" si="1"/>
        <v>380</v>
      </c>
      <c r="G32" s="185">
        <v>8360</v>
      </c>
      <c r="H32" s="173">
        <f t="shared" ref="H32" si="97">(G32-G31)</f>
        <v>4</v>
      </c>
      <c r="I32" s="185">
        <v>16102</v>
      </c>
      <c r="J32" s="173">
        <f t="shared" ref="J32" si="98">(I32-I31)</f>
        <v>0</v>
      </c>
      <c r="K32" s="190">
        <v>5611</v>
      </c>
      <c r="L32" s="173">
        <f t="shared" ref="L32" si="99">(K32-K31)</f>
        <v>155</v>
      </c>
      <c r="M32" s="173">
        <f t="shared" si="7"/>
        <v>85.25</v>
      </c>
      <c r="N32" s="173">
        <f t="shared" si="8"/>
        <v>69.75</v>
      </c>
      <c r="O32" s="190">
        <v>18177</v>
      </c>
      <c r="P32" s="173">
        <f t="shared" ref="P32" si="100">(O32-O31)</f>
        <v>94</v>
      </c>
      <c r="R32" s="105">
        <f t="shared" si="0"/>
        <v>840</v>
      </c>
      <c r="S32" s="97">
        <f t="shared" si="2"/>
        <v>163.75</v>
      </c>
    </row>
    <row r="33" spans="1:19" ht="39.950000000000003" customHeight="1">
      <c r="A33" s="142">
        <f t="shared" si="3"/>
        <v>44557</v>
      </c>
      <c r="B33" s="81"/>
      <c r="C33" s="185">
        <f>[1]Water!$D$36</f>
        <v>37643</v>
      </c>
      <c r="D33" s="173">
        <f t="shared" si="1"/>
        <v>371</v>
      </c>
      <c r="E33" s="185">
        <f>[1]Water!$C$36</f>
        <v>57858</v>
      </c>
      <c r="F33" s="173">
        <f t="shared" si="1"/>
        <v>364</v>
      </c>
      <c r="G33" s="185">
        <v>8363</v>
      </c>
      <c r="H33" s="173">
        <f t="shared" ref="H33" si="101">(G33-G32)</f>
        <v>3</v>
      </c>
      <c r="I33" s="185">
        <v>16102</v>
      </c>
      <c r="J33" s="173">
        <f t="shared" ref="J33" si="102">(I33-I32)</f>
        <v>0</v>
      </c>
      <c r="K33" s="185">
        <f>[1]Water!$G$36</f>
        <v>5785</v>
      </c>
      <c r="L33" s="173">
        <f t="shared" ref="L33" si="103">(K33-K32)</f>
        <v>174</v>
      </c>
      <c r="M33" s="173">
        <f t="shared" si="7"/>
        <v>95.7</v>
      </c>
      <c r="N33" s="173">
        <f t="shared" si="8"/>
        <v>78.3</v>
      </c>
      <c r="O33" s="185">
        <f>[1]Water!$F$36</f>
        <v>18295</v>
      </c>
      <c r="P33" s="173">
        <f t="shared" ref="P33" si="104">(O33-O32)</f>
        <v>118</v>
      </c>
      <c r="R33" s="105">
        <f t="shared" si="0"/>
        <v>738</v>
      </c>
      <c r="S33" s="97">
        <f t="shared" si="2"/>
        <v>196.3</v>
      </c>
    </row>
    <row r="34" spans="1:19" ht="39.950000000000003" customHeight="1">
      <c r="A34" s="142">
        <f t="shared" si="3"/>
        <v>44558</v>
      </c>
      <c r="B34" s="81"/>
      <c r="C34" s="185">
        <f>[1]Water!$D$37</f>
        <v>37775</v>
      </c>
      <c r="D34" s="173">
        <f t="shared" si="1"/>
        <v>132</v>
      </c>
      <c r="E34" s="185">
        <f>[1]Water!$C$37</f>
        <v>58209</v>
      </c>
      <c r="F34" s="173">
        <f t="shared" si="1"/>
        <v>351</v>
      </c>
      <c r="G34" s="185">
        <v>8365</v>
      </c>
      <c r="H34" s="173">
        <f t="shared" ref="H34:H36" si="105">(G34-G33)</f>
        <v>2</v>
      </c>
      <c r="I34" s="185">
        <v>16102</v>
      </c>
      <c r="J34" s="173">
        <f t="shared" ref="J34:J36" si="106">(I34-I33)</f>
        <v>0</v>
      </c>
      <c r="K34" s="185">
        <f>[1]Water!$G$37</f>
        <v>5972</v>
      </c>
      <c r="L34" s="173">
        <f t="shared" ref="L34" si="107">(K34-K33)</f>
        <v>187</v>
      </c>
      <c r="M34" s="173">
        <f t="shared" si="7"/>
        <v>102.85000000000001</v>
      </c>
      <c r="N34" s="173">
        <f t="shared" si="8"/>
        <v>84.15</v>
      </c>
      <c r="O34" s="185">
        <f>[1]Water!$F$37</f>
        <v>18413</v>
      </c>
      <c r="P34" s="173">
        <f t="shared" ref="P34:P36" si="108">(O34-O33)</f>
        <v>118</v>
      </c>
      <c r="R34" s="105">
        <f t="shared" si="0"/>
        <v>485</v>
      </c>
      <c r="S34" s="97">
        <f t="shared" si="2"/>
        <v>202.15</v>
      </c>
    </row>
    <row r="35" spans="1:19" ht="39.950000000000003" customHeight="1">
      <c r="A35" s="142">
        <f t="shared" si="3"/>
        <v>44559</v>
      </c>
      <c r="B35" s="81"/>
      <c r="C35" s="185">
        <f>[1]Water!$D$38</f>
        <v>38418</v>
      </c>
      <c r="D35" s="173">
        <f t="shared" si="1"/>
        <v>643</v>
      </c>
      <c r="E35" s="185">
        <f>[1]Water!$C$38</f>
        <v>58510</v>
      </c>
      <c r="F35" s="173">
        <f t="shared" si="1"/>
        <v>301</v>
      </c>
      <c r="G35" s="185">
        <v>8369</v>
      </c>
      <c r="H35" s="173">
        <f t="shared" si="105"/>
        <v>4</v>
      </c>
      <c r="I35" s="185">
        <v>16102</v>
      </c>
      <c r="J35" s="173">
        <f t="shared" si="106"/>
        <v>0</v>
      </c>
      <c r="K35" s="185">
        <f>[1]Water!$G$38</f>
        <v>6147</v>
      </c>
      <c r="L35" s="75">
        <f t="shared" ref="L35:L36" si="109">(K35-K34)</f>
        <v>175</v>
      </c>
      <c r="M35" s="173">
        <f t="shared" ref="M35:M36" si="110">L35*55%</f>
        <v>96.250000000000014</v>
      </c>
      <c r="N35" s="173">
        <f t="shared" ref="N35:N36" si="111">L35*45%</f>
        <v>78.75</v>
      </c>
      <c r="O35" s="185">
        <f>[1]Water!$F$38</f>
        <v>18531</v>
      </c>
      <c r="P35" s="173">
        <f t="shared" si="108"/>
        <v>118</v>
      </c>
      <c r="R35" s="105">
        <f t="shared" si="0"/>
        <v>948</v>
      </c>
      <c r="S35" s="97">
        <f t="shared" ref="S35:S37" si="112">SUM(N35,P35)</f>
        <v>196.75</v>
      </c>
    </row>
    <row r="36" spans="1:19" ht="39.950000000000003" customHeight="1">
      <c r="A36" s="142">
        <f t="shared" si="3"/>
        <v>44560</v>
      </c>
      <c r="B36" s="81"/>
      <c r="C36" s="185">
        <v>38814</v>
      </c>
      <c r="D36" s="173">
        <f t="shared" ref="D36" si="113">(C36-C35)</f>
        <v>396</v>
      </c>
      <c r="E36" s="185">
        <v>58858</v>
      </c>
      <c r="F36" s="173">
        <f t="shared" ref="F36" si="114">(E36-E35)</f>
        <v>348</v>
      </c>
      <c r="G36" s="185">
        <v>8372</v>
      </c>
      <c r="H36" s="173">
        <f t="shared" si="105"/>
        <v>3</v>
      </c>
      <c r="I36" s="185">
        <v>16207</v>
      </c>
      <c r="J36" s="173">
        <f t="shared" si="106"/>
        <v>105</v>
      </c>
      <c r="K36" s="185">
        <v>6332</v>
      </c>
      <c r="L36" s="75">
        <f t="shared" si="109"/>
        <v>185</v>
      </c>
      <c r="M36" s="173">
        <f t="shared" si="110"/>
        <v>101.75000000000001</v>
      </c>
      <c r="N36" s="173">
        <f t="shared" si="111"/>
        <v>83.25</v>
      </c>
      <c r="O36" s="185">
        <v>18645</v>
      </c>
      <c r="P36" s="173">
        <f t="shared" si="108"/>
        <v>114</v>
      </c>
      <c r="R36" s="105">
        <f t="shared" si="0"/>
        <v>747</v>
      </c>
      <c r="S36" s="97">
        <f t="shared" si="112"/>
        <v>197.25</v>
      </c>
    </row>
    <row r="37" spans="1:19" ht="39.950000000000003" customHeight="1">
      <c r="A37" s="142">
        <f t="shared" si="3"/>
        <v>44561</v>
      </c>
      <c r="B37" s="16"/>
      <c r="C37" s="185">
        <v>39048</v>
      </c>
      <c r="D37" s="173">
        <f>(C37-C36)</f>
        <v>234</v>
      </c>
      <c r="E37" s="185">
        <v>59200</v>
      </c>
      <c r="F37" s="173">
        <f>(E37-E36)</f>
        <v>342</v>
      </c>
      <c r="G37" s="185">
        <v>8377</v>
      </c>
      <c r="H37" s="173">
        <f>(G37-G36)</f>
        <v>5</v>
      </c>
      <c r="I37" s="185">
        <v>16214</v>
      </c>
      <c r="J37" s="173">
        <f>(I37-I36)</f>
        <v>7</v>
      </c>
      <c r="K37" s="185">
        <v>6475</v>
      </c>
      <c r="L37" s="75">
        <f>(K37-K36)</f>
        <v>143</v>
      </c>
      <c r="M37" s="173">
        <f t="shared" ref="M37" si="115">L37*55%</f>
        <v>78.650000000000006</v>
      </c>
      <c r="N37" s="173">
        <f t="shared" ref="N37" si="116">L37*45%</f>
        <v>64.350000000000009</v>
      </c>
      <c r="O37" s="185">
        <v>18772</v>
      </c>
      <c r="P37" s="173">
        <f>(O37-O36)</f>
        <v>127</v>
      </c>
      <c r="R37" s="96">
        <f t="shared" ref="R37" si="117">SUM(D37,F37,M101,H37)</f>
        <v>581</v>
      </c>
      <c r="S37" s="97">
        <f t="shared" si="112"/>
        <v>191.35000000000002</v>
      </c>
    </row>
    <row r="38" spans="1:19" s="22" customFormat="1" ht="39.950000000000003" customHeight="1">
      <c r="A38" s="21"/>
      <c r="D38" s="23">
        <f>SUM(D7:D37)</f>
        <v>6045</v>
      </c>
      <c r="F38" s="23">
        <f>SUM(F7:F37)</f>
        <v>10188</v>
      </c>
      <c r="H38" s="23">
        <f>SUM(H7:H37)</f>
        <v>345</v>
      </c>
      <c r="J38" s="23">
        <f>SUM(J7:J37)</f>
        <v>421</v>
      </c>
      <c r="L38" s="23">
        <f>SUM(L7:L37)</f>
        <v>4884</v>
      </c>
      <c r="M38" s="23"/>
      <c r="N38" s="23"/>
      <c r="P38" s="23">
        <f>SUM(P7:P37)</f>
        <v>3344</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AV8" activePane="bottomRight" state="frozen"/>
      <selection pane="topRight" activeCell="C1" sqref="C1"/>
      <selection pane="bottomLeft" activeCell="A8" sqref="A8"/>
      <selection pane="bottomRight" activeCell="AY38" sqref="AY38"/>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7"/>
      <c r="B1" s="107"/>
      <c r="C1" s="218" t="s">
        <v>66</v>
      </c>
      <c r="D1" s="218"/>
      <c r="E1" s="218"/>
      <c r="F1" s="218"/>
      <c r="G1" s="218" t="s">
        <v>65</v>
      </c>
      <c r="H1" s="218"/>
      <c r="I1" s="218" t="s">
        <v>65</v>
      </c>
      <c r="J1" s="218"/>
      <c r="K1" s="218" t="s">
        <v>65</v>
      </c>
      <c r="L1" s="218"/>
      <c r="M1" s="218" t="s">
        <v>65</v>
      </c>
      <c r="N1" s="218"/>
      <c r="O1" s="218" t="s">
        <v>65</v>
      </c>
      <c r="P1" s="218"/>
      <c r="Q1" s="204" t="s">
        <v>65</v>
      </c>
      <c r="R1" s="205"/>
      <c r="S1" s="204" t="s">
        <v>65</v>
      </c>
      <c r="T1" s="205"/>
      <c r="U1" s="204" t="s">
        <v>65</v>
      </c>
      <c r="V1" s="205"/>
      <c r="W1" s="204" t="s">
        <v>65</v>
      </c>
      <c r="X1" s="206"/>
      <c r="Y1" s="218" t="s">
        <v>65</v>
      </c>
      <c r="Z1" s="218"/>
      <c r="AA1" s="204" t="s">
        <v>65</v>
      </c>
      <c r="AB1" s="205"/>
      <c r="AC1" s="218" t="s">
        <v>65</v>
      </c>
      <c r="AD1" s="218"/>
      <c r="AE1" s="218" t="s">
        <v>65</v>
      </c>
      <c r="AF1" s="218"/>
      <c r="AG1" s="218" t="s">
        <v>65</v>
      </c>
      <c r="AH1" s="218"/>
      <c r="AI1" s="241" t="s">
        <v>65</v>
      </c>
      <c r="AJ1" s="241"/>
      <c r="AK1" s="241" t="s">
        <v>65</v>
      </c>
      <c r="AL1" s="241"/>
      <c r="AM1" s="218" t="s">
        <v>67</v>
      </c>
      <c r="AN1" s="218"/>
      <c r="AO1" s="218" t="s">
        <v>67</v>
      </c>
      <c r="AP1" s="218"/>
      <c r="AQ1" s="218" t="s">
        <v>67</v>
      </c>
      <c r="AR1" s="218"/>
      <c r="AS1" s="218" t="s">
        <v>67</v>
      </c>
      <c r="AT1" s="218"/>
      <c r="AU1" s="218" t="s">
        <v>67</v>
      </c>
      <c r="AV1" s="218"/>
      <c r="AW1" s="218" t="s">
        <v>67</v>
      </c>
      <c r="AX1" s="218"/>
      <c r="AY1" s="218" t="s">
        <v>67</v>
      </c>
      <c r="AZ1" s="218"/>
      <c r="BA1" s="218" t="s">
        <v>67</v>
      </c>
      <c r="BB1" s="218"/>
      <c r="BC1" s="218" t="s">
        <v>67</v>
      </c>
      <c r="BD1" s="218"/>
      <c r="BE1" s="218" t="s">
        <v>67</v>
      </c>
      <c r="BF1" s="218"/>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34" t="s">
        <v>122</v>
      </c>
      <c r="P2" s="235"/>
      <c r="Q2" s="234" t="s">
        <v>123</v>
      </c>
      <c r="R2" s="235"/>
      <c r="S2" s="234" t="s">
        <v>124</v>
      </c>
      <c r="T2" s="235"/>
      <c r="U2" s="234" t="s">
        <v>125</v>
      </c>
      <c r="V2" s="235"/>
      <c r="W2" s="234" t="s">
        <v>126</v>
      </c>
      <c r="X2" s="237"/>
      <c r="Y2" s="236" t="s">
        <v>127</v>
      </c>
      <c r="Z2" s="236"/>
      <c r="AA2" s="234" t="s">
        <v>128</v>
      </c>
      <c r="AB2" s="235"/>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06"/>
      <c r="B3" s="106"/>
      <c r="C3" s="242" t="s">
        <v>138</v>
      </c>
      <c r="D3" s="243"/>
      <c r="E3" s="106" t="s">
        <v>65</v>
      </c>
      <c r="F3" s="107" t="s">
        <v>67</v>
      </c>
      <c r="G3" s="240" t="s">
        <v>139</v>
      </c>
      <c r="H3" s="239"/>
      <c r="I3" s="240" t="s">
        <v>139</v>
      </c>
      <c r="J3" s="239"/>
      <c r="K3" s="240" t="s">
        <v>139</v>
      </c>
      <c r="L3" s="239"/>
      <c r="M3" s="244" t="s">
        <v>140</v>
      </c>
      <c r="N3" s="245"/>
      <c r="O3" s="240" t="s">
        <v>139</v>
      </c>
      <c r="P3" s="239"/>
      <c r="Q3" s="240" t="s">
        <v>139</v>
      </c>
      <c r="R3" s="239"/>
      <c r="S3" s="248" t="s">
        <v>139</v>
      </c>
      <c r="T3" s="249"/>
      <c r="U3" s="240" t="s">
        <v>139</v>
      </c>
      <c r="V3" s="239"/>
      <c r="W3" s="240" t="s">
        <v>139</v>
      </c>
      <c r="X3" s="239"/>
      <c r="Y3" s="238" t="s">
        <v>141</v>
      </c>
      <c r="Z3" s="239"/>
      <c r="AA3" s="240" t="s">
        <v>142</v>
      </c>
      <c r="AB3" s="239"/>
      <c r="AC3" s="240" t="s">
        <v>143</v>
      </c>
      <c r="AD3" s="239"/>
      <c r="AE3" s="240" t="s">
        <v>143</v>
      </c>
      <c r="AF3" s="239"/>
      <c r="AG3" s="238" t="s">
        <v>144</v>
      </c>
      <c r="AH3" s="239"/>
      <c r="AI3" s="240" t="s">
        <v>145</v>
      </c>
      <c r="AJ3" s="239"/>
      <c r="AK3" s="238" t="s">
        <v>146</v>
      </c>
      <c r="AL3" s="239"/>
      <c r="AM3" s="240" t="s">
        <v>147</v>
      </c>
      <c r="AN3" s="239"/>
      <c r="AO3" s="240" t="s">
        <v>147</v>
      </c>
      <c r="AP3" s="239"/>
      <c r="AQ3" s="238" t="s">
        <v>148</v>
      </c>
      <c r="AR3" s="239"/>
      <c r="AS3" s="240" t="s">
        <v>149</v>
      </c>
      <c r="AT3" s="239"/>
      <c r="AU3" s="238" t="s">
        <v>150</v>
      </c>
      <c r="AV3" s="239"/>
      <c r="AW3" s="238" t="s">
        <v>150</v>
      </c>
      <c r="AX3" s="239"/>
      <c r="AY3" s="240" t="s">
        <v>145</v>
      </c>
      <c r="AZ3" s="239"/>
      <c r="BA3" s="238" t="s">
        <v>146</v>
      </c>
      <c r="BB3" s="239"/>
      <c r="BC3" s="240" t="s">
        <v>145</v>
      </c>
      <c r="BD3" s="239"/>
      <c r="BE3" s="238" t="s">
        <v>146</v>
      </c>
      <c r="BF3" s="239"/>
      <c r="BH3" s="33"/>
      <c r="BI3" s="33"/>
    </row>
    <row r="4" spans="1:61" s="25" customFormat="1" ht="50.1" customHeight="1">
      <c r="A4" s="106"/>
      <c r="B4" s="50"/>
      <c r="C4" s="210" t="s">
        <v>151</v>
      </c>
      <c r="D4" s="212"/>
      <c r="E4" s="246" t="s">
        <v>152</v>
      </c>
      <c r="F4" s="247"/>
      <c r="G4" s="210" t="s">
        <v>153</v>
      </c>
      <c r="H4" s="212"/>
      <c r="I4" s="210" t="s">
        <v>154</v>
      </c>
      <c r="J4" s="212"/>
      <c r="K4" s="210" t="s">
        <v>155</v>
      </c>
      <c r="L4" s="212"/>
      <c r="M4" s="210">
        <v>7092801222</v>
      </c>
      <c r="N4" s="212"/>
      <c r="O4" s="210" t="s">
        <v>156</v>
      </c>
      <c r="P4" s="211"/>
      <c r="Q4" s="210" t="s">
        <v>157</v>
      </c>
      <c r="R4" s="211"/>
      <c r="S4" s="210" t="s">
        <v>158</v>
      </c>
      <c r="T4" s="211"/>
      <c r="U4" s="210" t="s">
        <v>159</v>
      </c>
      <c r="V4" s="211"/>
      <c r="W4" s="210" t="s">
        <v>160</v>
      </c>
      <c r="X4" s="212"/>
      <c r="Y4" s="210" t="s">
        <v>161</v>
      </c>
      <c r="Z4" s="212"/>
      <c r="AA4" s="210" t="s">
        <v>162</v>
      </c>
      <c r="AB4" s="211"/>
      <c r="AC4" s="210" t="s">
        <v>163</v>
      </c>
      <c r="AD4" s="212"/>
      <c r="AE4" s="210" t="s">
        <v>164</v>
      </c>
      <c r="AF4" s="212"/>
      <c r="AG4" s="210" t="s">
        <v>165</v>
      </c>
      <c r="AH4" s="212"/>
      <c r="AI4" s="210">
        <v>7105826734</v>
      </c>
      <c r="AJ4" s="212"/>
      <c r="AK4" s="210">
        <v>7105825932</v>
      </c>
      <c r="AL4" s="212"/>
      <c r="AM4" s="210" t="s">
        <v>166</v>
      </c>
      <c r="AN4" s="212"/>
      <c r="AO4" s="210" t="s">
        <v>167</v>
      </c>
      <c r="AP4" s="212"/>
      <c r="AQ4" s="210" t="s">
        <v>168</v>
      </c>
      <c r="AR4" s="212"/>
      <c r="AS4" s="210" t="s">
        <v>169</v>
      </c>
      <c r="AT4" s="212"/>
      <c r="AU4" s="210" t="s">
        <v>170</v>
      </c>
      <c r="AV4" s="212"/>
      <c r="AW4" s="210" t="s">
        <v>171</v>
      </c>
      <c r="AX4" s="212"/>
      <c r="AY4" s="210">
        <v>7111912486</v>
      </c>
      <c r="AZ4" s="212"/>
      <c r="BA4" s="210">
        <v>7111911842</v>
      </c>
      <c r="BB4" s="212"/>
      <c r="BC4" s="210">
        <v>7111913281</v>
      </c>
      <c r="BD4" s="212"/>
      <c r="BE4" s="210">
        <v>7111912723</v>
      </c>
      <c r="BF4" s="212"/>
      <c r="BH4" s="219" t="s">
        <v>81</v>
      </c>
      <c r="BI4" s="219"/>
    </row>
    <row r="5" spans="1:61" s="25" customFormat="1" ht="50.1" customHeight="1">
      <c r="A5" s="50" t="s">
        <v>172</v>
      </c>
      <c r="B5" s="50"/>
      <c r="C5" s="210" t="s">
        <v>173</v>
      </c>
      <c r="D5" s="212"/>
      <c r="E5" s="79">
        <v>0.6</v>
      </c>
      <c r="F5" s="31">
        <v>0.4</v>
      </c>
      <c r="G5" s="210" t="s">
        <v>174</v>
      </c>
      <c r="H5" s="212"/>
      <c r="I5" s="210" t="s">
        <v>175</v>
      </c>
      <c r="J5" s="212"/>
      <c r="K5" s="210" t="s">
        <v>176</v>
      </c>
      <c r="L5" s="212"/>
      <c r="M5" s="210" t="s">
        <v>177</v>
      </c>
      <c r="N5" s="212"/>
      <c r="O5" s="210" t="s">
        <v>178</v>
      </c>
      <c r="P5" s="211"/>
      <c r="Q5" s="210" t="s">
        <v>179</v>
      </c>
      <c r="R5" s="211"/>
      <c r="S5" s="210" t="s">
        <v>180</v>
      </c>
      <c r="T5" s="211"/>
      <c r="U5" s="210" t="s">
        <v>181</v>
      </c>
      <c r="V5" s="211"/>
      <c r="W5" s="210" t="s">
        <v>182</v>
      </c>
      <c r="X5" s="212"/>
      <c r="Y5" s="210" t="s">
        <v>183</v>
      </c>
      <c r="Z5" s="212"/>
      <c r="AA5" s="210" t="s">
        <v>184</v>
      </c>
      <c r="AB5" s="211"/>
      <c r="AC5" s="210" t="s">
        <v>185</v>
      </c>
      <c r="AD5" s="212"/>
      <c r="AE5" s="210" t="s">
        <v>186</v>
      </c>
      <c r="AF5" s="212"/>
      <c r="AG5" s="210" t="s">
        <v>187</v>
      </c>
      <c r="AH5" s="212"/>
      <c r="AI5" s="210" t="s">
        <v>188</v>
      </c>
      <c r="AJ5" s="212"/>
      <c r="AK5" s="210" t="s">
        <v>189</v>
      </c>
      <c r="AL5" s="212"/>
      <c r="AM5" s="210" t="s">
        <v>190</v>
      </c>
      <c r="AN5" s="212"/>
      <c r="AO5" s="210" t="s">
        <v>191</v>
      </c>
      <c r="AP5" s="212"/>
      <c r="AQ5" s="210" t="s">
        <v>192</v>
      </c>
      <c r="AR5" s="212"/>
      <c r="AS5" s="210" t="s">
        <v>193</v>
      </c>
      <c r="AT5" s="212"/>
      <c r="AU5" s="210" t="s">
        <v>194</v>
      </c>
      <c r="AV5" s="212"/>
      <c r="AW5" s="210" t="s">
        <v>195</v>
      </c>
      <c r="AX5" s="212"/>
      <c r="AY5" s="210">
        <v>744483</v>
      </c>
      <c r="AZ5" s="212"/>
      <c r="BA5" s="210">
        <v>119314</v>
      </c>
      <c r="BB5" s="212"/>
      <c r="BC5" s="210">
        <v>1053229</v>
      </c>
      <c r="BD5" s="212"/>
      <c r="BE5" s="210">
        <v>1053215</v>
      </c>
      <c r="BF5" s="212"/>
      <c r="BH5" s="219"/>
      <c r="BI5" s="219"/>
    </row>
    <row r="6" spans="1:61" s="8" customFormat="1" ht="30" customHeight="1">
      <c r="A6" s="106" t="s">
        <v>96</v>
      </c>
      <c r="B6" s="51"/>
      <c r="C6" s="202"/>
      <c r="D6" s="203"/>
      <c r="E6" s="80"/>
      <c r="F6" s="110"/>
      <c r="G6" s="106"/>
      <c r="H6" s="51"/>
      <c r="I6" s="202"/>
      <c r="J6" s="203"/>
      <c r="K6" s="202"/>
      <c r="L6" s="203"/>
      <c r="M6" s="202"/>
      <c r="N6" s="203"/>
      <c r="O6" s="202"/>
      <c r="P6" s="216"/>
      <c r="Q6" s="202"/>
      <c r="R6" s="216"/>
      <c r="S6" s="202"/>
      <c r="T6" s="216"/>
      <c r="U6" s="202"/>
      <c r="V6" s="216"/>
      <c r="W6" s="202"/>
      <c r="X6" s="203"/>
      <c r="Y6" s="202"/>
      <c r="Z6" s="203"/>
      <c r="AA6" s="202"/>
      <c r="AB6" s="216"/>
      <c r="AC6" s="202"/>
      <c r="AD6" s="203"/>
      <c r="AE6" s="202"/>
      <c r="AF6" s="203"/>
      <c r="AG6" s="202"/>
      <c r="AH6" s="203"/>
      <c r="AI6" s="202"/>
      <c r="AJ6" s="203"/>
      <c r="AK6" s="202"/>
      <c r="AL6" s="203"/>
      <c r="AM6" s="202"/>
      <c r="AN6" s="203"/>
      <c r="AO6" s="202"/>
      <c r="AP6" s="203"/>
      <c r="AQ6" s="202"/>
      <c r="AR6" s="203"/>
      <c r="AS6" s="202"/>
      <c r="AT6" s="203"/>
      <c r="AU6" s="202"/>
      <c r="AV6" s="203"/>
      <c r="AW6" s="202"/>
      <c r="AX6" s="203"/>
      <c r="AY6" s="202"/>
      <c r="AZ6" s="203"/>
      <c r="BA6" s="202"/>
      <c r="BB6" s="203"/>
      <c r="BC6" s="202"/>
      <c r="BD6" s="203"/>
      <c r="BE6" s="202"/>
      <c r="BF6" s="203"/>
      <c r="BH6" s="33"/>
      <c r="BI6" s="33"/>
    </row>
    <row r="7" spans="1:61" s="10" customFormat="1" ht="50.1" customHeight="1">
      <c r="A7" s="106" t="s">
        <v>99</v>
      </c>
      <c r="B7" s="106"/>
      <c r="C7" s="106" t="s">
        <v>115</v>
      </c>
      <c r="D7" s="106" t="s">
        <v>196</v>
      </c>
      <c r="E7" s="106" t="s">
        <v>196</v>
      </c>
      <c r="F7" s="106" t="s">
        <v>196</v>
      </c>
      <c r="G7" s="106" t="s">
        <v>115</v>
      </c>
      <c r="H7" s="106" t="s">
        <v>196</v>
      </c>
      <c r="I7" s="106" t="s">
        <v>115</v>
      </c>
      <c r="J7" s="106" t="s">
        <v>196</v>
      </c>
      <c r="K7" s="106" t="s">
        <v>115</v>
      </c>
      <c r="L7" s="106" t="s">
        <v>196</v>
      </c>
      <c r="M7" s="106" t="s">
        <v>115</v>
      </c>
      <c r="N7" s="106" t="s">
        <v>196</v>
      </c>
      <c r="O7" s="106" t="s">
        <v>115</v>
      </c>
      <c r="P7" s="106" t="s">
        <v>196</v>
      </c>
      <c r="Q7" s="106" t="s">
        <v>115</v>
      </c>
      <c r="R7" s="106" t="s">
        <v>196</v>
      </c>
      <c r="S7" s="106" t="s">
        <v>115</v>
      </c>
      <c r="T7" s="106" t="s">
        <v>196</v>
      </c>
      <c r="U7" s="106" t="s">
        <v>115</v>
      </c>
      <c r="V7" s="106" t="s">
        <v>196</v>
      </c>
      <c r="W7" s="106" t="s">
        <v>115</v>
      </c>
      <c r="X7" s="106" t="s">
        <v>196</v>
      </c>
      <c r="Y7" s="106" t="s">
        <v>115</v>
      </c>
      <c r="Z7" s="106" t="s">
        <v>196</v>
      </c>
      <c r="AA7" s="106" t="s">
        <v>115</v>
      </c>
      <c r="AB7" s="106" t="s">
        <v>196</v>
      </c>
      <c r="AC7" s="106" t="s">
        <v>115</v>
      </c>
      <c r="AD7" s="106" t="s">
        <v>196</v>
      </c>
      <c r="AE7" s="13" t="s">
        <v>115</v>
      </c>
      <c r="AF7" s="106" t="s">
        <v>196</v>
      </c>
      <c r="AG7" s="13" t="s">
        <v>115</v>
      </c>
      <c r="AH7" s="106" t="s">
        <v>196</v>
      </c>
      <c r="AI7" s="13" t="s">
        <v>115</v>
      </c>
      <c r="AJ7" s="106" t="s">
        <v>196</v>
      </c>
      <c r="AK7" s="13" t="s">
        <v>115</v>
      </c>
      <c r="AL7" s="106" t="s">
        <v>196</v>
      </c>
      <c r="AM7" s="13" t="s">
        <v>115</v>
      </c>
      <c r="AN7" s="106" t="s">
        <v>196</v>
      </c>
      <c r="AO7" s="13" t="s">
        <v>115</v>
      </c>
      <c r="AP7" s="106" t="s">
        <v>196</v>
      </c>
      <c r="AQ7" s="13" t="s">
        <v>115</v>
      </c>
      <c r="AR7" s="106" t="s">
        <v>196</v>
      </c>
      <c r="AS7" s="13" t="s">
        <v>115</v>
      </c>
      <c r="AT7" s="106" t="s">
        <v>196</v>
      </c>
      <c r="AU7" s="13" t="s">
        <v>115</v>
      </c>
      <c r="AV7" s="106" t="s">
        <v>196</v>
      </c>
      <c r="AW7" s="13" t="s">
        <v>115</v>
      </c>
      <c r="AX7" s="106" t="s">
        <v>196</v>
      </c>
      <c r="AY7" s="13" t="s">
        <v>115</v>
      </c>
      <c r="AZ7" s="106" t="s">
        <v>196</v>
      </c>
      <c r="BA7" s="13" t="s">
        <v>115</v>
      </c>
      <c r="BB7" s="106" t="s">
        <v>196</v>
      </c>
      <c r="BC7" s="13" t="s">
        <v>115</v>
      </c>
      <c r="BD7" s="106" t="s">
        <v>196</v>
      </c>
      <c r="BE7" s="13" t="s">
        <v>115</v>
      </c>
      <c r="BF7" s="106" t="s">
        <v>196</v>
      </c>
      <c r="BH7" s="106" t="s">
        <v>65</v>
      </c>
      <c r="BI7" s="106" t="s">
        <v>67</v>
      </c>
    </row>
    <row r="8" spans="1:61" s="36" customFormat="1" ht="39.950000000000003" customHeight="1">
      <c r="A8" s="142">
        <v>44530</v>
      </c>
      <c r="B8" s="35"/>
      <c r="C8" s="77">
        <v>6471596</v>
      </c>
      <c r="D8" s="103"/>
      <c r="E8" s="38"/>
      <c r="F8" s="103"/>
      <c r="G8" s="77">
        <v>289377</v>
      </c>
      <c r="H8" s="103"/>
      <c r="I8" s="77">
        <v>157479</v>
      </c>
      <c r="J8" s="38"/>
      <c r="K8" s="77">
        <v>264659</v>
      </c>
      <c r="L8" s="103"/>
      <c r="M8" s="77">
        <v>24979</v>
      </c>
      <c r="N8" s="38"/>
      <c r="O8" s="77">
        <v>302170</v>
      </c>
      <c r="P8" s="38"/>
      <c r="Q8" s="77">
        <v>465073</v>
      </c>
      <c r="R8" s="103"/>
      <c r="S8" s="77">
        <v>745079</v>
      </c>
      <c r="T8" s="103"/>
      <c r="U8" s="77">
        <v>3482.239</v>
      </c>
      <c r="V8" s="103"/>
      <c r="W8" s="77">
        <v>83626</v>
      </c>
      <c r="X8" s="103"/>
      <c r="Y8" s="77">
        <v>1507973</v>
      </c>
      <c r="Z8" s="103"/>
      <c r="AA8" s="77">
        <v>13391</v>
      </c>
      <c r="AB8" s="103"/>
      <c r="AC8" s="77">
        <v>477904</v>
      </c>
      <c r="AD8" s="103"/>
      <c r="AE8" s="77">
        <v>551523</v>
      </c>
      <c r="AF8" s="103"/>
      <c r="AG8" s="82">
        <v>49787</v>
      </c>
      <c r="AH8" s="103"/>
      <c r="AI8" s="77">
        <v>429304</v>
      </c>
      <c r="AJ8" s="103"/>
      <c r="AK8" s="82">
        <v>102770</v>
      </c>
      <c r="AL8" s="103"/>
      <c r="AM8" s="77">
        <v>591522</v>
      </c>
      <c r="AN8" s="103"/>
      <c r="AO8" s="77">
        <v>964858</v>
      </c>
      <c r="AP8" s="103"/>
      <c r="AQ8" s="77">
        <v>82338</v>
      </c>
      <c r="AR8" s="103"/>
      <c r="AS8" s="77">
        <v>2283</v>
      </c>
      <c r="AT8" s="103"/>
      <c r="AU8" s="82">
        <v>939</v>
      </c>
      <c r="AV8" s="103"/>
      <c r="AW8" s="77">
        <v>3110</v>
      </c>
      <c r="AX8" s="103"/>
      <c r="AY8" s="77">
        <v>330935</v>
      </c>
      <c r="AZ8" s="103"/>
      <c r="BA8" s="82">
        <v>161101</v>
      </c>
      <c r="BB8" s="103"/>
      <c r="BC8" s="77">
        <v>223658</v>
      </c>
      <c r="BD8" s="103"/>
      <c r="BE8" s="82">
        <v>5347</v>
      </c>
      <c r="BF8" s="103"/>
      <c r="BH8" s="104"/>
      <c r="BI8" s="104"/>
    </row>
    <row r="9" spans="1:61" s="29" customFormat="1" ht="39.950000000000003" customHeight="1">
      <c r="A9" s="142">
        <v>44531</v>
      </c>
      <c r="B9" s="28"/>
      <c r="C9" s="77">
        <v>6474339</v>
      </c>
      <c r="D9" s="103">
        <f>(+C9-+C8)*48</f>
        <v>131664</v>
      </c>
      <c r="E9" s="103">
        <f>D9*0.6</f>
        <v>78998.399999999994</v>
      </c>
      <c r="F9" s="103">
        <f>D9*0.4</f>
        <v>52665.600000000006</v>
      </c>
      <c r="G9" s="77">
        <v>289412</v>
      </c>
      <c r="H9" s="38">
        <f>(+G9-+G8)*48</f>
        <v>1680</v>
      </c>
      <c r="I9" s="77">
        <v>157654</v>
      </c>
      <c r="J9" s="38">
        <f>(+I9-+I8)*48</f>
        <v>8400</v>
      </c>
      <c r="K9" s="77">
        <v>264714</v>
      </c>
      <c r="L9" s="38">
        <f t="shared" ref="L9:L38" si="0">(+K9-+K8)*48</f>
        <v>2640</v>
      </c>
      <c r="M9" s="77">
        <v>24980</v>
      </c>
      <c r="N9" s="38">
        <f>(+M9-+M8)*48</f>
        <v>48</v>
      </c>
      <c r="O9" s="77">
        <v>302335</v>
      </c>
      <c r="P9" s="38">
        <f>(+O9-+O8)*48</f>
        <v>7920</v>
      </c>
      <c r="Q9" s="77">
        <v>465159</v>
      </c>
      <c r="R9" s="38">
        <f>(+Q9-+Q8)*48</f>
        <v>4128</v>
      </c>
      <c r="S9" s="77">
        <v>745196</v>
      </c>
      <c r="T9" s="38">
        <f>(+S9-+S8)*48</f>
        <v>5616</v>
      </c>
      <c r="U9" s="77">
        <v>3504.252</v>
      </c>
      <c r="V9" s="103">
        <f>(+U9-+U8)*48</f>
        <v>1056.6239999999962</v>
      </c>
      <c r="W9" s="77">
        <v>83638</v>
      </c>
      <c r="X9" s="38">
        <f>(+W9-+W8)*48</f>
        <v>576</v>
      </c>
      <c r="Y9" s="77">
        <v>1508126</v>
      </c>
      <c r="Z9" s="38">
        <f>(+Y9-+Y8)*48</f>
        <v>7344</v>
      </c>
      <c r="AA9" s="77">
        <v>13397</v>
      </c>
      <c r="AB9" s="38">
        <f>(+AA9-+AA8)*48</f>
        <v>288</v>
      </c>
      <c r="AC9" s="77">
        <v>477991</v>
      </c>
      <c r="AD9" s="38">
        <f>(+AC9-+AC8)*48</f>
        <v>4176</v>
      </c>
      <c r="AE9" s="77">
        <v>551604</v>
      </c>
      <c r="AF9" s="38">
        <f>(+AE9-+AE8)*48</f>
        <v>3888</v>
      </c>
      <c r="AG9" s="82">
        <v>49787</v>
      </c>
      <c r="AH9" s="38">
        <f>(+AG9-+AG8)*48</f>
        <v>0</v>
      </c>
      <c r="AI9" s="82">
        <v>429402</v>
      </c>
      <c r="AJ9" s="38">
        <f t="shared" ref="AJ9:AJ38" si="1">(+AI9-+AI8)*48</f>
        <v>4704</v>
      </c>
      <c r="AK9" s="82">
        <v>102770</v>
      </c>
      <c r="AL9" s="38">
        <f t="shared" ref="AL9:AL38" si="2">(+AK9-+AK8)*48</f>
        <v>0</v>
      </c>
      <c r="AM9" s="77">
        <v>591545</v>
      </c>
      <c r="AN9" s="38">
        <f>(+AM9-+AM8)*48</f>
        <v>1104</v>
      </c>
      <c r="AO9" s="77">
        <v>964963</v>
      </c>
      <c r="AP9" s="38">
        <f>(+AO9-+AO8)*48</f>
        <v>5040</v>
      </c>
      <c r="AQ9" s="77">
        <v>82468</v>
      </c>
      <c r="AR9" s="38">
        <f>(+AQ9-+AQ8)*48</f>
        <v>6240</v>
      </c>
      <c r="AS9" s="77">
        <v>2283</v>
      </c>
      <c r="AT9" s="38">
        <f>(+AS9-+AS8)*48</f>
        <v>0</v>
      </c>
      <c r="AU9" s="82">
        <v>939</v>
      </c>
      <c r="AV9" s="38">
        <f>(+AU9-+AU8)*48</f>
        <v>0</v>
      </c>
      <c r="AW9" s="77">
        <v>3110</v>
      </c>
      <c r="AX9" s="38">
        <f>(+AW9-+AW8)*48</f>
        <v>0</v>
      </c>
      <c r="AY9" s="77">
        <v>331048</v>
      </c>
      <c r="AZ9" s="38">
        <f>(+AY9-+AY8)*48</f>
        <v>5424</v>
      </c>
      <c r="BA9" s="82">
        <v>161101</v>
      </c>
      <c r="BB9" s="38">
        <f>(+BA9-+BA8)*48</f>
        <v>0</v>
      </c>
      <c r="BC9" s="77">
        <v>223727</v>
      </c>
      <c r="BD9" s="38">
        <f>(+BC9-+BC8)*48</f>
        <v>3312</v>
      </c>
      <c r="BE9" s="82">
        <v>5347</v>
      </c>
      <c r="BF9" s="38">
        <f>(+BE9-+BE8)*48</f>
        <v>0</v>
      </c>
      <c r="BH9" s="104">
        <f t="shared" ref="BH9:BH38" si="3">SUM(E9,J9,P9,H9,L9,R9,T9,V9,X9,N9,AB9,Z9,AD9,AF9,AH9,AP9,AN9)</f>
        <v>132903.02399999998</v>
      </c>
      <c r="BI9" s="104">
        <f t="shared" ref="BI9:BI38" si="4">SUM(F9,AR9,AT9,AX9,AJ9,AL9,AV9,AZ9,BB9,BD9,BF9)</f>
        <v>72345.600000000006</v>
      </c>
    </row>
    <row r="10" spans="1:61" s="36" customFormat="1" ht="39.950000000000003" customHeight="1">
      <c r="A10" s="142">
        <f>SUM(A9+1)</f>
        <v>44532</v>
      </c>
      <c r="B10" s="35"/>
      <c r="C10" s="76">
        <v>6478055</v>
      </c>
      <c r="D10" s="103">
        <f t="shared" ref="D10" si="5">(+C10-+C9)*48</f>
        <v>178368</v>
      </c>
      <c r="E10" s="103">
        <f t="shared" ref="E10:E38" si="6">D10*0.6</f>
        <v>107020.8</v>
      </c>
      <c r="F10" s="103">
        <f t="shared" ref="F10:F36" si="7">D10*0.4</f>
        <v>71347.199999999997</v>
      </c>
      <c r="G10" s="76">
        <v>289450</v>
      </c>
      <c r="H10" s="103">
        <f t="shared" ref="H10" si="8">(+G10-+G9)*48</f>
        <v>1824</v>
      </c>
      <c r="I10" s="76">
        <v>157820</v>
      </c>
      <c r="J10" s="103">
        <f t="shared" ref="J10" si="9">(+I10-+I9)*48</f>
        <v>7968</v>
      </c>
      <c r="K10" s="76">
        <v>264788</v>
      </c>
      <c r="L10" s="103">
        <f t="shared" si="0"/>
        <v>3552</v>
      </c>
      <c r="M10" s="76">
        <v>24996</v>
      </c>
      <c r="N10" s="103">
        <f t="shared" ref="N10" si="10">(+M10-+M9)*48</f>
        <v>768</v>
      </c>
      <c r="O10" s="76">
        <v>302550</v>
      </c>
      <c r="P10" s="103">
        <f t="shared" ref="P10" si="11">(+O10-+O9)*48</f>
        <v>10320</v>
      </c>
      <c r="Q10" s="76">
        <v>465239</v>
      </c>
      <c r="R10" s="103">
        <f t="shared" ref="R10" si="12">(+Q10-+Q9)*48</f>
        <v>3840</v>
      </c>
      <c r="S10" s="76">
        <v>745312</v>
      </c>
      <c r="T10" s="103">
        <f t="shared" ref="T10" si="13">(+S10-+S9)*48</f>
        <v>5568</v>
      </c>
      <c r="U10" s="76">
        <v>3526.71</v>
      </c>
      <c r="V10" s="103">
        <f t="shared" ref="V10" si="14">(+U10-+U9)*48</f>
        <v>1077.984000000004</v>
      </c>
      <c r="W10" s="76">
        <v>83650</v>
      </c>
      <c r="X10" s="103">
        <f t="shared" ref="X10" si="15">(+W10-+W9)*48</f>
        <v>576</v>
      </c>
      <c r="Y10" s="76">
        <v>1508364</v>
      </c>
      <c r="Z10" s="38">
        <f t="shared" ref="Z10" si="16">(+Y10-+Y9)*48</f>
        <v>11424</v>
      </c>
      <c r="AA10" s="76">
        <v>13406</v>
      </c>
      <c r="AB10" s="38">
        <f t="shared" ref="AB10" si="17">(+AA10-+AA9)*48</f>
        <v>432</v>
      </c>
      <c r="AC10" s="76">
        <v>477991</v>
      </c>
      <c r="AD10" s="38">
        <f t="shared" ref="AD10:AF36" si="18">(+AC10-+AC9)*48</f>
        <v>0</v>
      </c>
      <c r="AE10" s="76">
        <v>551604</v>
      </c>
      <c r="AF10" s="38">
        <f t="shared" si="18"/>
        <v>0</v>
      </c>
      <c r="AG10" s="82">
        <v>49787</v>
      </c>
      <c r="AH10" s="38">
        <f>(+AG10-+AG9)*48</f>
        <v>0</v>
      </c>
      <c r="AI10" s="82">
        <v>429536</v>
      </c>
      <c r="AJ10" s="38">
        <f t="shared" si="1"/>
        <v>6432</v>
      </c>
      <c r="AK10" s="82">
        <v>102770</v>
      </c>
      <c r="AL10" s="38">
        <f t="shared" si="2"/>
        <v>0</v>
      </c>
      <c r="AM10" s="77">
        <v>591545</v>
      </c>
      <c r="AN10" s="38">
        <f t="shared" ref="AN10" si="19">(+AM10-+AM9)*48</f>
        <v>0</v>
      </c>
      <c r="AO10" s="76">
        <v>964963</v>
      </c>
      <c r="AP10" s="38">
        <f t="shared" ref="AP10" si="20">(+AO10-+AO9)*48</f>
        <v>0</v>
      </c>
      <c r="AQ10" s="76">
        <v>82705</v>
      </c>
      <c r="AR10" s="38">
        <f t="shared" ref="AR10" si="21">(+AQ10-+AQ9)*48</f>
        <v>11376</v>
      </c>
      <c r="AS10" s="76">
        <v>2286</v>
      </c>
      <c r="AT10" s="38">
        <f t="shared" ref="AT10" si="22">(+AS10-+AS9)*48</f>
        <v>144</v>
      </c>
      <c r="AU10" s="82">
        <v>939</v>
      </c>
      <c r="AV10" s="38">
        <f t="shared" ref="AV10" si="23">(+AU10-+AU9)*48</f>
        <v>0</v>
      </c>
      <c r="AW10" s="77">
        <v>3110</v>
      </c>
      <c r="AX10" s="38">
        <f t="shared" ref="AX10" si="24">(+AW10-+AW9)*48</f>
        <v>0</v>
      </c>
      <c r="AY10" s="76">
        <v>331172</v>
      </c>
      <c r="AZ10" s="38">
        <f t="shared" ref="AZ10" si="25">(+AY10-+AY9)*48</f>
        <v>5952</v>
      </c>
      <c r="BA10" s="82">
        <v>161101</v>
      </c>
      <c r="BB10" s="38">
        <f t="shared" ref="BB10" si="26">(+BA10-+BA9)*48</f>
        <v>0</v>
      </c>
      <c r="BC10" s="76">
        <v>223804</v>
      </c>
      <c r="BD10" s="38">
        <f t="shared" ref="BD10" si="27">(+BC10-+BC9)*48</f>
        <v>3696</v>
      </c>
      <c r="BE10" s="82">
        <v>5347</v>
      </c>
      <c r="BF10" s="38">
        <f t="shared" ref="BF10" si="28">(+BE10-+BE9)*48</f>
        <v>0</v>
      </c>
      <c r="BH10" s="104">
        <f t="shared" si="3"/>
        <v>154370.78399999999</v>
      </c>
      <c r="BI10" s="104">
        <f t="shared" si="4"/>
        <v>98947.199999999997</v>
      </c>
    </row>
    <row r="11" spans="1:61" s="36" customFormat="1" ht="39.950000000000003" customHeight="1">
      <c r="A11" s="142">
        <f t="shared" ref="A11:A39" si="29">SUM(A10+1)</f>
        <v>44533</v>
      </c>
      <c r="B11" s="35"/>
      <c r="C11" s="76">
        <v>6481630</v>
      </c>
      <c r="D11" s="103">
        <f t="shared" ref="D11" si="30">(+C11-+C10)*48</f>
        <v>171600</v>
      </c>
      <c r="E11" s="103">
        <f t="shared" si="6"/>
        <v>102960</v>
      </c>
      <c r="F11" s="103">
        <f t="shared" si="7"/>
        <v>68640</v>
      </c>
      <c r="G11" s="76">
        <v>289506</v>
      </c>
      <c r="H11" s="103">
        <f t="shared" ref="H11" si="31">(+G11-+G10)*48</f>
        <v>2688</v>
      </c>
      <c r="I11" s="76">
        <v>157995</v>
      </c>
      <c r="J11" s="103">
        <f t="shared" ref="J11" si="32">(+I11-+I10)*48</f>
        <v>8400</v>
      </c>
      <c r="K11" s="76">
        <v>264836</v>
      </c>
      <c r="L11" s="103">
        <f t="shared" si="0"/>
        <v>2304</v>
      </c>
      <c r="M11" s="76">
        <v>24997</v>
      </c>
      <c r="N11" s="103">
        <f t="shared" ref="N11" si="33">(+M11-+M10)*48</f>
        <v>48</v>
      </c>
      <c r="O11" s="76">
        <v>302754</v>
      </c>
      <c r="P11" s="103">
        <f t="shared" ref="P11" si="34">(+O11-+O10)*48</f>
        <v>9792</v>
      </c>
      <c r="Q11" s="76">
        <v>465319</v>
      </c>
      <c r="R11" s="103">
        <f t="shared" ref="R11" si="35">(+Q11-+Q10)*48</f>
        <v>3840</v>
      </c>
      <c r="S11" s="76">
        <v>745724</v>
      </c>
      <c r="T11" s="103">
        <f t="shared" ref="T11" si="36">(+S11-+S10)*48</f>
        <v>19776</v>
      </c>
      <c r="U11" s="76">
        <v>3548.0050000000001</v>
      </c>
      <c r="V11" s="103">
        <f t="shared" ref="V11" si="37">(+U11-+U10)*48</f>
        <v>1022.1600000000035</v>
      </c>
      <c r="W11" s="76">
        <v>83675</v>
      </c>
      <c r="X11" s="103">
        <f t="shared" ref="X11" si="38">(+W11-+W10)*48</f>
        <v>1200</v>
      </c>
      <c r="Y11" s="76">
        <v>1508666</v>
      </c>
      <c r="Z11" s="38">
        <f t="shared" ref="Z11" si="39">(+Y11-+Y10)*48</f>
        <v>14496</v>
      </c>
      <c r="AA11" s="76">
        <v>13413</v>
      </c>
      <c r="AB11" s="38">
        <f t="shared" ref="AB11" si="40">(+AA11-+AA10)*48</f>
        <v>336</v>
      </c>
      <c r="AC11" s="76">
        <v>477991</v>
      </c>
      <c r="AD11" s="38">
        <f t="shared" si="18"/>
        <v>0</v>
      </c>
      <c r="AE11" s="76">
        <v>551604</v>
      </c>
      <c r="AF11" s="38">
        <f t="shared" si="18"/>
        <v>0</v>
      </c>
      <c r="AG11" s="82">
        <v>49787</v>
      </c>
      <c r="AH11" s="38">
        <f t="shared" ref="AH11" si="41">(+AG11-+AG10)*48</f>
        <v>0</v>
      </c>
      <c r="AI11" s="82">
        <v>429651</v>
      </c>
      <c r="AJ11" s="38">
        <f t="shared" si="1"/>
        <v>5520</v>
      </c>
      <c r="AK11" s="82">
        <v>102770</v>
      </c>
      <c r="AL11" s="38">
        <f t="shared" si="2"/>
        <v>0</v>
      </c>
      <c r="AM11" s="77">
        <v>591545</v>
      </c>
      <c r="AN11" s="38">
        <f t="shared" ref="AN11" si="42">(+AM11-+AM10)*48</f>
        <v>0</v>
      </c>
      <c r="AO11" s="76">
        <v>964963</v>
      </c>
      <c r="AP11" s="38">
        <f t="shared" ref="AP11" si="43">(+AO11-+AO10)*48</f>
        <v>0</v>
      </c>
      <c r="AQ11" s="83">
        <v>82793</v>
      </c>
      <c r="AR11" s="38">
        <f t="shared" ref="AR11" si="44">(+AQ11-+AQ10)*48</f>
        <v>4224</v>
      </c>
      <c r="AS11" s="83">
        <v>2290</v>
      </c>
      <c r="AT11" s="38">
        <f t="shared" ref="AT11" si="45">(+AS11-+AS10)*48</f>
        <v>192</v>
      </c>
      <c r="AU11" s="82">
        <v>939</v>
      </c>
      <c r="AV11" s="38">
        <f t="shared" ref="AV11" si="46">(+AU11-+AU10)*48</f>
        <v>0</v>
      </c>
      <c r="AW11" s="77">
        <v>3110</v>
      </c>
      <c r="AX11" s="38">
        <f t="shared" ref="AX11" si="47">(+AW11-+AW10)*48</f>
        <v>0</v>
      </c>
      <c r="AY11" s="76">
        <v>331297</v>
      </c>
      <c r="AZ11" s="38">
        <f t="shared" ref="AZ11" si="48">(+AY11-+AY10)*48</f>
        <v>6000</v>
      </c>
      <c r="BA11" s="82">
        <v>161101</v>
      </c>
      <c r="BB11" s="38">
        <f t="shared" ref="BB11" si="49">(+BA11-+BA10)*48</f>
        <v>0</v>
      </c>
      <c r="BC11" s="76">
        <v>223881</v>
      </c>
      <c r="BD11" s="38">
        <f t="shared" ref="BD11" si="50">(+BC11-+BC10)*48</f>
        <v>3696</v>
      </c>
      <c r="BE11" s="82">
        <v>5347</v>
      </c>
      <c r="BF11" s="38">
        <f t="shared" ref="BF11" si="51">(+BE11-+BE10)*48</f>
        <v>0</v>
      </c>
      <c r="BH11" s="104">
        <f t="shared" si="3"/>
        <v>166862.16</v>
      </c>
      <c r="BI11" s="104">
        <f t="shared" si="4"/>
        <v>88272</v>
      </c>
    </row>
    <row r="12" spans="1:61" s="36" customFormat="1" ht="39.950000000000003" customHeight="1">
      <c r="A12" s="142">
        <f t="shared" si="29"/>
        <v>44534</v>
      </c>
      <c r="B12" s="35"/>
      <c r="C12" s="76">
        <v>6485355</v>
      </c>
      <c r="D12" s="103">
        <f t="shared" ref="D12" si="52">(+C12-+C11)*48</f>
        <v>178800</v>
      </c>
      <c r="E12" s="103">
        <f t="shared" si="6"/>
        <v>107280</v>
      </c>
      <c r="F12" s="103">
        <f t="shared" si="7"/>
        <v>71520</v>
      </c>
      <c r="G12" s="76">
        <v>289574</v>
      </c>
      <c r="H12" s="103">
        <f t="shared" ref="H12" si="53">(+G12-+G11)*48</f>
        <v>3264</v>
      </c>
      <c r="I12" s="76">
        <v>158177</v>
      </c>
      <c r="J12" s="103">
        <f t="shared" ref="J12" si="54">(+I12-+I11)*48</f>
        <v>8736</v>
      </c>
      <c r="K12" s="76">
        <v>264949</v>
      </c>
      <c r="L12" s="103">
        <f t="shared" si="0"/>
        <v>5424</v>
      </c>
      <c r="M12" s="76">
        <v>25002</v>
      </c>
      <c r="N12" s="103">
        <f t="shared" ref="N12" si="55">(+M12-+M11)*48</f>
        <v>240</v>
      </c>
      <c r="O12" s="76">
        <v>302969</v>
      </c>
      <c r="P12" s="103">
        <f t="shared" ref="P12" si="56">(+O12-+O11)*48</f>
        <v>10320</v>
      </c>
      <c r="Q12" s="76">
        <v>465431</v>
      </c>
      <c r="R12" s="103">
        <f t="shared" ref="R12" si="57">(+Q12-+Q11)*48</f>
        <v>5376</v>
      </c>
      <c r="S12" s="76">
        <v>745553</v>
      </c>
      <c r="T12" s="103">
        <f t="shared" ref="T12" si="58">(+S12-+S11)*48</f>
        <v>-8208</v>
      </c>
      <c r="U12" s="76">
        <v>3567.2179999999998</v>
      </c>
      <c r="V12" s="103">
        <f t="shared" ref="V12" si="59">(+U12-+U11)*48</f>
        <v>922.22399999998743</v>
      </c>
      <c r="W12" s="76">
        <v>83682</v>
      </c>
      <c r="X12" s="103">
        <f t="shared" ref="X12:X13" si="60">(+W12-+W11)*48</f>
        <v>336</v>
      </c>
      <c r="Y12" s="76">
        <v>1508953</v>
      </c>
      <c r="Z12" s="38">
        <f t="shared" ref="Z12" si="61">(+Y12-+Y11)*48</f>
        <v>13776</v>
      </c>
      <c r="AA12" s="76">
        <v>13426</v>
      </c>
      <c r="AB12" s="38">
        <f t="shared" ref="AB12" si="62">(+AA12-+AA11)*48</f>
        <v>624</v>
      </c>
      <c r="AC12" s="83">
        <v>478000</v>
      </c>
      <c r="AD12" s="38">
        <f t="shared" si="18"/>
        <v>432</v>
      </c>
      <c r="AE12" s="76">
        <v>551604</v>
      </c>
      <c r="AF12" s="38">
        <f t="shared" si="18"/>
        <v>0</v>
      </c>
      <c r="AG12" s="82">
        <v>49787</v>
      </c>
      <c r="AH12" s="38">
        <f t="shared" ref="AH12" si="63">(+AG12-+AG11)*48</f>
        <v>0</v>
      </c>
      <c r="AI12" s="82">
        <v>429711</v>
      </c>
      <c r="AJ12" s="38">
        <f t="shared" si="1"/>
        <v>2880</v>
      </c>
      <c r="AK12" s="82">
        <v>102770</v>
      </c>
      <c r="AL12" s="38">
        <f t="shared" si="2"/>
        <v>0</v>
      </c>
      <c r="AM12" s="77">
        <v>591545</v>
      </c>
      <c r="AN12" s="38">
        <f t="shared" ref="AN12" si="64">(+AM12-+AM11)*48</f>
        <v>0</v>
      </c>
      <c r="AO12" s="82">
        <v>964980</v>
      </c>
      <c r="AP12" s="38">
        <f t="shared" ref="AP12" si="65">(+AO12-+AO11)*48</f>
        <v>816</v>
      </c>
      <c r="AQ12" s="83">
        <v>82987</v>
      </c>
      <c r="AR12" s="38">
        <f t="shared" ref="AR12" si="66">(+AQ12-+AQ11)*48</f>
        <v>9312</v>
      </c>
      <c r="AS12" s="83">
        <v>2295</v>
      </c>
      <c r="AT12" s="38">
        <f t="shared" ref="AT12" si="67">(+AS12-+AS11)*48</f>
        <v>240</v>
      </c>
      <c r="AU12" s="82">
        <v>939</v>
      </c>
      <c r="AV12" s="38">
        <f t="shared" ref="AV12" si="68">(+AU12-+AU11)*48</f>
        <v>0</v>
      </c>
      <c r="AW12" s="77">
        <v>3110</v>
      </c>
      <c r="AX12" s="38">
        <f t="shared" ref="AX12" si="69">(+AW12-+AW11)*48</f>
        <v>0</v>
      </c>
      <c r="AY12" s="76">
        <v>331297</v>
      </c>
      <c r="AZ12" s="38">
        <f t="shared" ref="AZ12" si="70">(+AY12-+AY11)*48</f>
        <v>0</v>
      </c>
      <c r="BA12" s="82">
        <v>161101</v>
      </c>
      <c r="BB12" s="38">
        <f t="shared" ref="BB12" si="71">(+BA12-+BA11)*48</f>
        <v>0</v>
      </c>
      <c r="BC12" s="76">
        <v>223951</v>
      </c>
      <c r="BD12" s="38">
        <f t="shared" ref="BD12" si="72">(+BC12-+BC11)*48</f>
        <v>3360</v>
      </c>
      <c r="BE12" s="82">
        <v>5347</v>
      </c>
      <c r="BF12" s="38">
        <f t="shared" ref="BF12" si="73">(+BE12-+BE11)*48</f>
        <v>0</v>
      </c>
      <c r="BH12" s="104">
        <f t="shared" si="3"/>
        <v>149338.22399999999</v>
      </c>
      <c r="BI12" s="104">
        <f t="shared" si="4"/>
        <v>87312</v>
      </c>
    </row>
    <row r="13" spans="1:61" s="36" customFormat="1" ht="39.950000000000003" customHeight="1">
      <c r="A13" s="142">
        <f t="shared" si="29"/>
        <v>44535</v>
      </c>
      <c r="B13" s="35"/>
      <c r="C13" s="83">
        <v>6488712</v>
      </c>
      <c r="D13" s="103">
        <f t="shared" ref="D13" si="74">(+C13-+C12)*48</f>
        <v>161136</v>
      </c>
      <c r="E13" s="103">
        <f t="shared" si="6"/>
        <v>96681.599999999991</v>
      </c>
      <c r="F13" s="103">
        <f t="shared" si="7"/>
        <v>64454.400000000001</v>
      </c>
      <c r="G13" s="83">
        <v>289652</v>
      </c>
      <c r="H13" s="103">
        <f t="shared" ref="H13" si="75">(+G13-+G12)*48</f>
        <v>3744</v>
      </c>
      <c r="I13" s="83">
        <v>158334</v>
      </c>
      <c r="J13" s="103">
        <f t="shared" ref="J13" si="76">(+I13-+I12)*48</f>
        <v>7536</v>
      </c>
      <c r="K13" s="83">
        <v>265048</v>
      </c>
      <c r="L13" s="103">
        <f t="shared" si="0"/>
        <v>4752</v>
      </c>
      <c r="M13" s="76">
        <v>25016</v>
      </c>
      <c r="N13" s="103">
        <f t="shared" ref="N13" si="77">(+M13-+M12)*48</f>
        <v>672</v>
      </c>
      <c r="O13" s="83">
        <v>303155</v>
      </c>
      <c r="P13" s="103">
        <f t="shared" ref="P13" si="78">(+O13-+O12)*48</f>
        <v>8928</v>
      </c>
      <c r="Q13" s="83">
        <v>465531</v>
      </c>
      <c r="R13" s="103">
        <f t="shared" ref="R13" si="79">(+Q13-+Q12)*48</f>
        <v>4800</v>
      </c>
      <c r="S13" s="83">
        <v>745673</v>
      </c>
      <c r="T13" s="103">
        <f t="shared" ref="T13" si="80">(+S13-+S12)*48</f>
        <v>5760</v>
      </c>
      <c r="U13" s="83">
        <v>3592</v>
      </c>
      <c r="V13" s="103">
        <f t="shared" ref="V13" si="81">(+U13-+U12)*48</f>
        <v>1189.5360000000073</v>
      </c>
      <c r="W13" s="83">
        <v>83697</v>
      </c>
      <c r="X13" s="103">
        <f t="shared" si="60"/>
        <v>720</v>
      </c>
      <c r="Y13" s="77">
        <v>1509232</v>
      </c>
      <c r="Z13" s="38">
        <f t="shared" ref="Z13" si="82">(+Y13-+Y12)*48</f>
        <v>13392</v>
      </c>
      <c r="AA13" s="82">
        <v>13440</v>
      </c>
      <c r="AB13" s="38">
        <f t="shared" ref="AB13" si="83">(+AA13-+AA12)*48</f>
        <v>672</v>
      </c>
      <c r="AC13" s="83">
        <v>478015</v>
      </c>
      <c r="AD13" s="38">
        <f t="shared" si="18"/>
        <v>720</v>
      </c>
      <c r="AE13" s="83">
        <v>551608</v>
      </c>
      <c r="AF13" s="38">
        <f t="shared" si="18"/>
        <v>192</v>
      </c>
      <c r="AG13" s="82">
        <v>49787</v>
      </c>
      <c r="AH13" s="38">
        <f t="shared" ref="AH13" si="84">(+AG13-+AG12)*48</f>
        <v>0</v>
      </c>
      <c r="AI13" s="82">
        <v>429781</v>
      </c>
      <c r="AJ13" s="38">
        <f t="shared" si="1"/>
        <v>3360</v>
      </c>
      <c r="AK13" s="82">
        <v>102770</v>
      </c>
      <c r="AL13" s="38">
        <f t="shared" si="2"/>
        <v>0</v>
      </c>
      <c r="AM13" s="77">
        <v>591545</v>
      </c>
      <c r="AN13" s="38">
        <f t="shared" ref="AN13:AN14" si="85">(+AM13-+AM12)*48</f>
        <v>0</v>
      </c>
      <c r="AO13" s="82">
        <v>964990</v>
      </c>
      <c r="AP13" s="38">
        <f>(+AO13-+AO12)*48</f>
        <v>480</v>
      </c>
      <c r="AQ13" s="83">
        <v>83243</v>
      </c>
      <c r="AR13" s="38">
        <f t="shared" ref="AR13" si="86">(+AQ13-+AQ12)*48</f>
        <v>12288</v>
      </c>
      <c r="AS13" s="83">
        <v>2302</v>
      </c>
      <c r="AT13" s="38">
        <f t="shared" ref="AT13" si="87">(+AS13-+AS12)*48</f>
        <v>336</v>
      </c>
      <c r="AU13" s="82">
        <v>939</v>
      </c>
      <c r="AV13" s="38">
        <f t="shared" ref="AV13" si="88">(+AU13-+AU12)*48</f>
        <v>0</v>
      </c>
      <c r="AW13" s="77">
        <v>3110</v>
      </c>
      <c r="AX13" s="38">
        <f t="shared" ref="AX13" si="89">(+AW13-+AW12)*48</f>
        <v>0</v>
      </c>
      <c r="AY13" s="83">
        <v>331478</v>
      </c>
      <c r="AZ13" s="38">
        <f t="shared" ref="AZ13" si="90">(+AY13-+AY12)*48</f>
        <v>8688</v>
      </c>
      <c r="BA13" s="82">
        <v>161101</v>
      </c>
      <c r="BB13" s="38">
        <f t="shared" ref="BB13" si="91">(+BA13-+BA12)*48</f>
        <v>0</v>
      </c>
      <c r="BC13" s="83">
        <v>224001</v>
      </c>
      <c r="BD13" s="38">
        <f t="shared" ref="BD13" si="92">(+BC13-+BC12)*48</f>
        <v>2400</v>
      </c>
      <c r="BE13" s="82">
        <v>5347</v>
      </c>
      <c r="BF13" s="38">
        <f t="shared" ref="BF13" si="93">(+BE13-+BE12)*48</f>
        <v>0</v>
      </c>
      <c r="BH13" s="104">
        <f t="shared" si="3"/>
        <v>150239.136</v>
      </c>
      <c r="BI13" s="104">
        <f t="shared" si="4"/>
        <v>91526.399999999994</v>
      </c>
    </row>
    <row r="14" spans="1:61" s="36" customFormat="1" ht="39.950000000000003" customHeight="1">
      <c r="A14" s="142">
        <f t="shared" si="29"/>
        <v>44536</v>
      </c>
      <c r="B14" s="35"/>
      <c r="C14" s="77">
        <v>6492445</v>
      </c>
      <c r="D14" s="103">
        <f t="shared" ref="D14" si="94">(+C14-+C13)*48</f>
        <v>179184</v>
      </c>
      <c r="E14" s="103">
        <f t="shared" si="6"/>
        <v>107510.39999999999</v>
      </c>
      <c r="F14" s="103">
        <f t="shared" si="7"/>
        <v>71673.600000000006</v>
      </c>
      <c r="G14" s="77">
        <v>289692</v>
      </c>
      <c r="H14" s="103">
        <f t="shared" ref="H14" si="95">(+G14-+G13)*48</f>
        <v>1920</v>
      </c>
      <c r="I14" s="77">
        <v>158536</v>
      </c>
      <c r="J14" s="103">
        <f t="shared" ref="J14" si="96">(+I14-+I13)*48</f>
        <v>9696</v>
      </c>
      <c r="K14" s="77">
        <v>265133</v>
      </c>
      <c r="L14" s="103">
        <f t="shared" si="0"/>
        <v>4080</v>
      </c>
      <c r="M14" s="76">
        <v>25027</v>
      </c>
      <c r="N14" s="103">
        <f t="shared" ref="N14" si="97">(+M14-+M13)*48</f>
        <v>528</v>
      </c>
      <c r="O14" s="77">
        <v>303388</v>
      </c>
      <c r="P14" s="103">
        <f t="shared" ref="P14" si="98">(+O14-+O13)*48</f>
        <v>11184</v>
      </c>
      <c r="Q14" s="77">
        <v>465610</v>
      </c>
      <c r="R14" s="103">
        <f t="shared" ref="R14" si="99">(+Q14-+Q13)*48</f>
        <v>3792</v>
      </c>
      <c r="S14" s="77">
        <v>745795</v>
      </c>
      <c r="T14" s="103">
        <f t="shared" ref="T14" si="100">(+S14-+S13)*48</f>
        <v>5856</v>
      </c>
      <c r="U14" s="83">
        <v>3616.7069999999999</v>
      </c>
      <c r="V14" s="103">
        <f>(+U14-+U13)*48</f>
        <v>1185.9359999999942</v>
      </c>
      <c r="W14" s="77">
        <v>83710</v>
      </c>
      <c r="X14" s="103">
        <f t="shared" ref="X14" si="101">(+W14-+W13)*48</f>
        <v>624</v>
      </c>
      <c r="Y14" s="77">
        <v>1509541</v>
      </c>
      <c r="Z14" s="38">
        <f t="shared" ref="Z14" si="102">(+Y14-+Y13)*48</f>
        <v>14832</v>
      </c>
      <c r="AA14" s="77">
        <v>13450</v>
      </c>
      <c r="AB14" s="38">
        <f t="shared" ref="AB14" si="103">(+AA14-+AA13)*48</f>
        <v>480</v>
      </c>
      <c r="AC14" s="77">
        <v>478025</v>
      </c>
      <c r="AD14" s="38">
        <f t="shared" si="18"/>
        <v>480</v>
      </c>
      <c r="AE14" s="77">
        <v>551613</v>
      </c>
      <c r="AF14" s="38">
        <f t="shared" si="18"/>
        <v>240</v>
      </c>
      <c r="AG14" s="82">
        <v>49787</v>
      </c>
      <c r="AH14" s="38">
        <f t="shared" ref="AH14" si="104">(+AG14-+AG13)*48</f>
        <v>0</v>
      </c>
      <c r="AI14" s="77">
        <v>429849</v>
      </c>
      <c r="AJ14" s="38">
        <f t="shared" si="1"/>
        <v>3264</v>
      </c>
      <c r="AK14" s="82">
        <v>102770</v>
      </c>
      <c r="AL14" s="38">
        <f t="shared" si="2"/>
        <v>0</v>
      </c>
      <c r="AM14" s="77">
        <v>591548</v>
      </c>
      <c r="AN14" s="38">
        <f t="shared" si="85"/>
        <v>144</v>
      </c>
      <c r="AO14" s="77">
        <v>965001</v>
      </c>
      <c r="AP14" s="38">
        <f>(+AO14-+AO13)*48</f>
        <v>528</v>
      </c>
      <c r="AQ14" s="77">
        <v>83409</v>
      </c>
      <c r="AR14" s="38">
        <f t="shared" ref="AR14" si="105">(+AQ14-+AQ13)*48</f>
        <v>7968</v>
      </c>
      <c r="AS14" s="83">
        <v>2309</v>
      </c>
      <c r="AT14" s="38">
        <f t="shared" ref="AT14" si="106">(+AS14-+AS13)*48</f>
        <v>336</v>
      </c>
      <c r="AU14" s="77">
        <v>939</v>
      </c>
      <c r="AV14" s="38">
        <f t="shared" ref="AV14" si="107">(+AU14-+AU13)*48</f>
        <v>0</v>
      </c>
      <c r="AW14" s="82">
        <v>3110</v>
      </c>
      <c r="AX14" s="38">
        <f t="shared" ref="AX14" si="108">(+AW14-+AW13)*48</f>
        <v>0</v>
      </c>
      <c r="AY14" s="77">
        <v>331680</v>
      </c>
      <c r="AZ14" s="38">
        <f t="shared" ref="AZ14" si="109">(+AY14-+AY13)*48</f>
        <v>9696</v>
      </c>
      <c r="BA14" s="82">
        <v>161101</v>
      </c>
      <c r="BB14" s="38">
        <f t="shared" ref="BB14" si="110">(+BA14-+BA13)*48</f>
        <v>0</v>
      </c>
      <c r="BC14" s="76">
        <v>224120</v>
      </c>
      <c r="BD14" s="38">
        <f t="shared" ref="BD14" si="111">(+BC14-+BC13)*48</f>
        <v>5712</v>
      </c>
      <c r="BE14" s="82">
        <v>5347</v>
      </c>
      <c r="BF14" s="38">
        <f t="shared" ref="BF14" si="112">(+BE14-+BE13)*48</f>
        <v>0</v>
      </c>
      <c r="BH14" s="104">
        <f t="shared" si="3"/>
        <v>163080.33599999998</v>
      </c>
      <c r="BI14" s="104">
        <f t="shared" si="4"/>
        <v>98649.600000000006</v>
      </c>
    </row>
    <row r="15" spans="1:61" s="36" customFormat="1" ht="39.950000000000003" customHeight="1">
      <c r="A15" s="142">
        <f t="shared" si="29"/>
        <v>44537</v>
      </c>
      <c r="B15" s="35"/>
      <c r="C15" s="77">
        <v>6495496</v>
      </c>
      <c r="D15" s="103">
        <f t="shared" ref="D15" si="113">(+C15-+C14)*48</f>
        <v>146448</v>
      </c>
      <c r="E15" s="103">
        <f t="shared" si="6"/>
        <v>87868.800000000003</v>
      </c>
      <c r="F15" s="103">
        <f t="shared" si="7"/>
        <v>58579.200000000004</v>
      </c>
      <c r="G15" s="77">
        <v>289725</v>
      </c>
      <c r="H15" s="103">
        <f t="shared" ref="H15" si="114">(+G15-+G14)*48</f>
        <v>1584</v>
      </c>
      <c r="I15" s="77">
        <v>158702</v>
      </c>
      <c r="J15" s="103">
        <f t="shared" ref="J15" si="115">(+I15-+I14)*48</f>
        <v>7968</v>
      </c>
      <c r="K15" s="77">
        <v>265192</v>
      </c>
      <c r="L15" s="103">
        <f t="shared" si="0"/>
        <v>2832</v>
      </c>
      <c r="M15" s="77">
        <v>25042</v>
      </c>
      <c r="N15" s="103">
        <f t="shared" ref="N15" si="116">(+M15-+M14)*48</f>
        <v>720</v>
      </c>
      <c r="O15" s="77">
        <v>303576</v>
      </c>
      <c r="P15" s="103">
        <f t="shared" ref="P15" si="117">(+O15-+O14)*48</f>
        <v>9024</v>
      </c>
      <c r="Q15" s="77">
        <v>465692</v>
      </c>
      <c r="R15" s="103">
        <f t="shared" ref="R15" si="118">(+Q15-+Q14)*48</f>
        <v>3936</v>
      </c>
      <c r="S15" s="77">
        <v>745897</v>
      </c>
      <c r="T15" s="103">
        <f t="shared" ref="T15" si="119">(+S15-+S14)*48</f>
        <v>4896</v>
      </c>
      <c r="U15" s="82">
        <v>3637</v>
      </c>
      <c r="V15" s="103">
        <f t="shared" ref="V15" si="120">(+U15-+U14)*48</f>
        <v>974.06400000000576</v>
      </c>
      <c r="W15" s="77">
        <v>83710</v>
      </c>
      <c r="X15" s="103">
        <f t="shared" ref="X15" si="121">(+W15-+W14)*48</f>
        <v>0</v>
      </c>
      <c r="Y15" s="77">
        <v>1509863</v>
      </c>
      <c r="Z15" s="38">
        <f t="shared" ref="Z15" si="122">(+Y15-+Y14)*48</f>
        <v>15456</v>
      </c>
      <c r="AA15" s="77">
        <v>13452</v>
      </c>
      <c r="AB15" s="38">
        <f t="shared" ref="AB15" si="123">(+AA15-+AA14)*48</f>
        <v>96</v>
      </c>
      <c r="AC15" s="83">
        <v>478060</v>
      </c>
      <c r="AD15" s="38">
        <f t="shared" si="18"/>
        <v>1680</v>
      </c>
      <c r="AE15" s="83">
        <v>551628</v>
      </c>
      <c r="AF15" s="38">
        <f t="shared" si="18"/>
        <v>720</v>
      </c>
      <c r="AG15" s="82">
        <v>49787</v>
      </c>
      <c r="AH15" s="38">
        <f t="shared" ref="AH15" si="124">(+AG15-+AG14)*48</f>
        <v>0</v>
      </c>
      <c r="AI15" s="83">
        <v>429930</v>
      </c>
      <c r="AJ15" s="38">
        <f t="shared" si="1"/>
        <v>3888</v>
      </c>
      <c r="AK15" s="82">
        <v>102770</v>
      </c>
      <c r="AL15" s="38">
        <f t="shared" si="2"/>
        <v>0</v>
      </c>
      <c r="AM15" s="83">
        <v>591548</v>
      </c>
      <c r="AN15" s="38">
        <f t="shared" ref="AN15" si="125">(+AM15-+AM14)*48</f>
        <v>0</v>
      </c>
      <c r="AO15" s="83">
        <v>965001</v>
      </c>
      <c r="AP15" s="38">
        <f>(+AO15-+AO14)*48</f>
        <v>0</v>
      </c>
      <c r="AQ15" s="83">
        <v>83409</v>
      </c>
      <c r="AR15" s="38">
        <f t="shared" ref="AR15" si="126">(+AQ15-+AQ14)*48</f>
        <v>0</v>
      </c>
      <c r="AS15" s="83">
        <v>2309</v>
      </c>
      <c r="AT15" s="38">
        <f t="shared" ref="AT15" si="127">(+AS15-+AS14)*48</f>
        <v>0</v>
      </c>
      <c r="AU15" s="77">
        <v>939</v>
      </c>
      <c r="AV15" s="38">
        <f t="shared" ref="AV15" si="128">(+AU15-+AU14)*48</f>
        <v>0</v>
      </c>
      <c r="AW15" s="82">
        <v>3110</v>
      </c>
      <c r="AX15" s="38">
        <f t="shared" ref="AX15" si="129">(+AW15-+AW14)*48</f>
        <v>0</v>
      </c>
      <c r="AY15" s="83">
        <v>331802</v>
      </c>
      <c r="AZ15" s="38">
        <f t="shared" ref="AZ15" si="130">(+AY15-+AY14)*48</f>
        <v>5856</v>
      </c>
      <c r="BA15" s="82">
        <v>161101</v>
      </c>
      <c r="BB15" s="38">
        <f t="shared" ref="BB15" si="131">(+BA15-+BA14)*48</f>
        <v>0</v>
      </c>
      <c r="BC15" s="83">
        <v>224195</v>
      </c>
      <c r="BD15" s="38">
        <f t="shared" ref="BD15" si="132">(+BC15-+BC14)*48</f>
        <v>3600</v>
      </c>
      <c r="BE15" s="82">
        <v>5347</v>
      </c>
      <c r="BF15" s="38">
        <f t="shared" ref="BF15" si="133">(+BE15-+BE14)*48</f>
        <v>0</v>
      </c>
      <c r="BH15" s="104">
        <f t="shared" si="3"/>
        <v>137754.864</v>
      </c>
      <c r="BI15" s="104">
        <f t="shared" si="4"/>
        <v>71923.200000000012</v>
      </c>
    </row>
    <row r="16" spans="1:61" s="36" customFormat="1" ht="39.950000000000003" customHeight="1">
      <c r="A16" s="142">
        <f t="shared" si="29"/>
        <v>44538</v>
      </c>
      <c r="B16" s="35"/>
      <c r="C16" s="77">
        <v>6497843</v>
      </c>
      <c r="D16" s="103">
        <f t="shared" ref="D16" si="134">(+C16-+C15)*48</f>
        <v>112656</v>
      </c>
      <c r="E16" s="103">
        <f t="shared" si="6"/>
        <v>67593.599999999991</v>
      </c>
      <c r="F16" s="103">
        <f t="shared" si="7"/>
        <v>45062.400000000001</v>
      </c>
      <c r="G16" s="77">
        <v>289760</v>
      </c>
      <c r="H16" s="103">
        <f t="shared" ref="H16" si="135">(+G16-+G15)*48</f>
        <v>1680</v>
      </c>
      <c r="I16" s="77">
        <v>158880</v>
      </c>
      <c r="J16" s="103">
        <f t="shared" ref="J16" si="136">(+I16-+I15)*48</f>
        <v>8544</v>
      </c>
      <c r="K16" s="77">
        <v>265231</v>
      </c>
      <c r="L16" s="103">
        <f t="shared" si="0"/>
        <v>1872</v>
      </c>
      <c r="M16" s="77">
        <v>25042</v>
      </c>
      <c r="N16" s="103">
        <f t="shared" ref="N16:N17" si="137">(+M16-+M15)*48</f>
        <v>0</v>
      </c>
      <c r="O16" s="77">
        <v>303774</v>
      </c>
      <c r="P16" s="103">
        <f t="shared" ref="P16:P18" si="138">(+O16-+O15)*48</f>
        <v>9504</v>
      </c>
      <c r="Q16" s="77">
        <v>465793</v>
      </c>
      <c r="R16" s="103">
        <f t="shared" ref="R16" si="139">(+Q16-+Q15)*48</f>
        <v>4848</v>
      </c>
      <c r="S16" s="77">
        <v>746003</v>
      </c>
      <c r="T16" s="103">
        <f t="shared" ref="T16" si="140">(+S16-+S15)*48</f>
        <v>5088</v>
      </c>
      <c r="U16" s="82">
        <v>3658</v>
      </c>
      <c r="V16" s="103">
        <f t="shared" ref="V16" si="141">(+U16-+U15)*48</f>
        <v>1008</v>
      </c>
      <c r="W16" s="77">
        <v>83724</v>
      </c>
      <c r="X16" s="103">
        <f t="shared" ref="X16" si="142">(+W16-+W15)*48</f>
        <v>672</v>
      </c>
      <c r="Y16" s="77">
        <v>1510163</v>
      </c>
      <c r="Z16" s="38">
        <f t="shared" ref="Z16" si="143">(+Y16-+Y15)*48</f>
        <v>14400</v>
      </c>
      <c r="AA16" s="77">
        <v>13458</v>
      </c>
      <c r="AB16" s="38">
        <f t="shared" ref="AB16" si="144">(+AA16-+AA15)*48</f>
        <v>288</v>
      </c>
      <c r="AC16" s="83">
        <v>478148</v>
      </c>
      <c r="AD16" s="38">
        <f t="shared" si="18"/>
        <v>4224</v>
      </c>
      <c r="AE16" s="83">
        <v>551686</v>
      </c>
      <c r="AF16" s="38">
        <f t="shared" si="18"/>
        <v>2784</v>
      </c>
      <c r="AG16" s="82">
        <v>49787</v>
      </c>
      <c r="AH16" s="38">
        <f t="shared" ref="AH16" si="145">(+AG16-+AG15)*48</f>
        <v>0</v>
      </c>
      <c r="AI16" s="83">
        <v>430007</v>
      </c>
      <c r="AJ16" s="38">
        <f t="shared" si="1"/>
        <v>3696</v>
      </c>
      <c r="AK16" s="82">
        <v>102770</v>
      </c>
      <c r="AL16" s="38">
        <f t="shared" si="2"/>
        <v>0</v>
      </c>
      <c r="AM16" s="83">
        <v>591588</v>
      </c>
      <c r="AN16" s="38">
        <f t="shared" ref="AN16" si="146">(+AM16-+AM15)*48</f>
        <v>1920</v>
      </c>
      <c r="AO16" s="83">
        <v>965164</v>
      </c>
      <c r="AP16" s="38">
        <f t="shared" ref="AP16" si="147">(+AO16-+AO15)*48</f>
        <v>7824</v>
      </c>
      <c r="AQ16" s="83">
        <v>83749</v>
      </c>
      <c r="AR16" s="38">
        <f t="shared" ref="AR16" si="148">(+AQ16-+AQ15)*48</f>
        <v>16320</v>
      </c>
      <c r="AS16" s="83">
        <v>2316</v>
      </c>
      <c r="AT16" s="38">
        <f t="shared" ref="AT16" si="149">(+AS16-+AS15)*48</f>
        <v>336</v>
      </c>
      <c r="AU16" s="77">
        <v>939</v>
      </c>
      <c r="AV16" s="38">
        <f t="shared" ref="AV16" si="150">(+AU16-+AU15)*48</f>
        <v>0</v>
      </c>
      <c r="AW16" s="82">
        <v>3110</v>
      </c>
      <c r="AX16" s="38">
        <f t="shared" ref="AX16" si="151">(+AW16-+AW15)*48</f>
        <v>0</v>
      </c>
      <c r="AY16" s="83">
        <v>331929</v>
      </c>
      <c r="AZ16" s="38">
        <f t="shared" ref="AZ16" si="152">(+AY16-+AY15)*48</f>
        <v>6096</v>
      </c>
      <c r="BA16" s="82">
        <v>161101</v>
      </c>
      <c r="BB16" s="38">
        <f t="shared" ref="BB16" si="153">(+BA16-+BA15)*48</f>
        <v>0</v>
      </c>
      <c r="BC16" s="83">
        <v>224271</v>
      </c>
      <c r="BD16" s="38">
        <f t="shared" ref="BD16" si="154">(+BC16-+BC15)*48</f>
        <v>3648</v>
      </c>
      <c r="BE16" s="82">
        <v>5347</v>
      </c>
      <c r="BF16" s="38">
        <f t="shared" ref="BF16" si="155">(+BE16-+BE15)*48</f>
        <v>0</v>
      </c>
      <c r="BH16" s="104">
        <f t="shared" si="3"/>
        <v>132249.59999999998</v>
      </c>
      <c r="BI16" s="104">
        <f t="shared" si="4"/>
        <v>75158.399999999994</v>
      </c>
    </row>
    <row r="17" spans="1:61" s="36" customFormat="1" ht="39.950000000000003" customHeight="1">
      <c r="A17" s="142">
        <f t="shared" si="29"/>
        <v>44539</v>
      </c>
      <c r="B17" s="35"/>
      <c r="C17" s="77">
        <v>6500297</v>
      </c>
      <c r="D17" s="103">
        <f t="shared" ref="D17" si="156">(+C17-+C16)*48</f>
        <v>117792</v>
      </c>
      <c r="E17" s="103">
        <f t="shared" si="6"/>
        <v>70675.199999999997</v>
      </c>
      <c r="F17" s="103">
        <f t="shared" si="7"/>
        <v>47116.800000000003</v>
      </c>
      <c r="G17" s="77">
        <v>289799</v>
      </c>
      <c r="H17" s="38">
        <f t="shared" ref="H17" si="157">(+G17-+G16)*48</f>
        <v>1872</v>
      </c>
      <c r="I17" s="77">
        <v>159058</v>
      </c>
      <c r="J17" s="38">
        <f t="shared" ref="J17" si="158">(+I17-+I16)*48</f>
        <v>8544</v>
      </c>
      <c r="K17" s="77">
        <v>265293</v>
      </c>
      <c r="L17" s="38">
        <f t="shared" si="0"/>
        <v>2976</v>
      </c>
      <c r="M17" s="77">
        <v>25042</v>
      </c>
      <c r="N17" s="103">
        <f t="shared" si="137"/>
        <v>0</v>
      </c>
      <c r="O17" s="77">
        <v>303962</v>
      </c>
      <c r="P17" s="103">
        <f t="shared" si="138"/>
        <v>9024</v>
      </c>
      <c r="Q17" s="77">
        <v>465853</v>
      </c>
      <c r="R17" s="38">
        <f t="shared" ref="R17" si="159">(+Q17-+Q16)*48</f>
        <v>2880</v>
      </c>
      <c r="S17" s="77">
        <v>746116</v>
      </c>
      <c r="T17" s="38">
        <f t="shared" ref="T17" si="160">(+S17-+S16)*48</f>
        <v>5424</v>
      </c>
      <c r="U17" s="82">
        <v>3681</v>
      </c>
      <c r="V17" s="103">
        <f t="shared" ref="V17" si="161">(+U17-+U16)*48</f>
        <v>1104</v>
      </c>
      <c r="W17" s="77">
        <v>83748</v>
      </c>
      <c r="X17" s="38">
        <f t="shared" ref="X17" si="162">(+W17-+W16)*48</f>
        <v>1152</v>
      </c>
      <c r="Y17" s="77">
        <v>1510405</v>
      </c>
      <c r="Z17" s="38">
        <f t="shared" ref="Z17" si="163">(+Y17-+Y16)*48</f>
        <v>11616</v>
      </c>
      <c r="AA17" s="77">
        <v>13465</v>
      </c>
      <c r="AB17" s="38">
        <f t="shared" ref="AB17" si="164">(+AA17-+AA16)*48</f>
        <v>336</v>
      </c>
      <c r="AC17" s="83">
        <v>478246</v>
      </c>
      <c r="AD17" s="38">
        <f t="shared" si="18"/>
        <v>4704</v>
      </c>
      <c r="AE17" s="83">
        <v>551745</v>
      </c>
      <c r="AF17" s="38">
        <f t="shared" si="18"/>
        <v>2832</v>
      </c>
      <c r="AG17" s="82">
        <v>49787</v>
      </c>
      <c r="AH17" s="38">
        <f t="shared" ref="AH17" si="165">(+AG17-+AG16)*48</f>
        <v>0</v>
      </c>
      <c r="AI17" s="83">
        <v>430088</v>
      </c>
      <c r="AJ17" s="38">
        <f t="shared" si="1"/>
        <v>3888</v>
      </c>
      <c r="AK17" s="82">
        <v>102770</v>
      </c>
      <c r="AL17" s="38">
        <f t="shared" si="2"/>
        <v>0</v>
      </c>
      <c r="AM17" s="83">
        <v>591629</v>
      </c>
      <c r="AN17" s="38">
        <f t="shared" ref="AN17" si="166">(+AM17-+AM16)*48</f>
        <v>1968</v>
      </c>
      <c r="AO17" s="83">
        <v>965292</v>
      </c>
      <c r="AP17" s="38">
        <f t="shared" ref="AP17" si="167">(+AO17-+AO16)*48</f>
        <v>6144</v>
      </c>
      <c r="AQ17" s="83">
        <v>83917</v>
      </c>
      <c r="AR17" s="103">
        <f t="shared" ref="AR17" si="168">(+AQ17-+AQ16)*48</f>
        <v>8064</v>
      </c>
      <c r="AS17" s="83">
        <v>2320</v>
      </c>
      <c r="AT17" s="103">
        <f t="shared" ref="AT17" si="169">(+AS17-+AS16)*48</f>
        <v>192</v>
      </c>
      <c r="AU17" s="77">
        <v>939</v>
      </c>
      <c r="AV17" s="38">
        <f t="shared" ref="AV17" si="170">(+AU17-+AU16)*48</f>
        <v>0</v>
      </c>
      <c r="AW17" s="82">
        <v>3110</v>
      </c>
      <c r="AX17" s="38">
        <f t="shared" ref="AX17" si="171">(+AW17-+AW16)*48</f>
        <v>0</v>
      </c>
      <c r="AY17" s="83">
        <v>332059</v>
      </c>
      <c r="AZ17" s="38">
        <f t="shared" ref="AZ17" si="172">(+AY17-+AY16)*48</f>
        <v>6240</v>
      </c>
      <c r="BA17" s="82">
        <v>161101</v>
      </c>
      <c r="BB17" s="38">
        <f t="shared" ref="BB17" si="173">(+BA17-+BA16)*48</f>
        <v>0</v>
      </c>
      <c r="BC17" s="83">
        <v>224353</v>
      </c>
      <c r="BD17" s="38">
        <f t="shared" ref="BD17" si="174">(+BC17-+BC16)*48</f>
        <v>3936</v>
      </c>
      <c r="BE17" s="82">
        <v>5347</v>
      </c>
      <c r="BF17" s="38">
        <f t="shared" ref="BF17" si="175">(+BE17-+BE16)*48</f>
        <v>0</v>
      </c>
      <c r="BH17" s="163">
        <f t="shared" si="3"/>
        <v>131251.20000000001</v>
      </c>
      <c r="BI17" s="104">
        <f t="shared" si="4"/>
        <v>69436.800000000003</v>
      </c>
    </row>
    <row r="18" spans="1:61" s="36" customFormat="1" ht="39.950000000000003" customHeight="1">
      <c r="A18" s="142">
        <f t="shared" si="29"/>
        <v>44540</v>
      </c>
      <c r="B18" s="35"/>
      <c r="C18" s="82">
        <v>6502643</v>
      </c>
      <c r="D18" s="103">
        <f t="shared" ref="D18" si="176">(+C18-+C17)*48</f>
        <v>112608</v>
      </c>
      <c r="E18" s="103">
        <f t="shared" si="6"/>
        <v>67564.800000000003</v>
      </c>
      <c r="F18" s="103">
        <f t="shared" si="7"/>
        <v>45043.200000000004</v>
      </c>
      <c r="G18" s="77">
        <v>289844</v>
      </c>
      <c r="H18" s="38">
        <f t="shared" ref="H18" si="177">(+G18-+G17)*48</f>
        <v>2160</v>
      </c>
      <c r="I18" s="77">
        <v>159236</v>
      </c>
      <c r="J18" s="38">
        <f t="shared" ref="J18" si="178">(+I18-+I17)*48</f>
        <v>8544</v>
      </c>
      <c r="K18" s="77">
        <v>265360</v>
      </c>
      <c r="L18" s="38">
        <f t="shared" si="0"/>
        <v>3216</v>
      </c>
      <c r="M18" s="77">
        <v>25042</v>
      </c>
      <c r="N18" s="38">
        <f t="shared" ref="N18" si="179">(+M18-+M17)*48</f>
        <v>0</v>
      </c>
      <c r="O18" s="77">
        <v>304157</v>
      </c>
      <c r="P18" s="103">
        <f t="shared" si="138"/>
        <v>9360</v>
      </c>
      <c r="Q18" s="77">
        <v>465938</v>
      </c>
      <c r="R18" s="38">
        <f t="shared" ref="R18" si="180">(+Q18-+Q17)*48</f>
        <v>4080</v>
      </c>
      <c r="S18" s="77">
        <v>746234</v>
      </c>
      <c r="T18" s="38">
        <f t="shared" ref="T18" si="181">(+S18-+S17)*48</f>
        <v>5664</v>
      </c>
      <c r="U18" s="82">
        <v>3702</v>
      </c>
      <c r="V18" s="103">
        <f>(+U18-+U17)*48</f>
        <v>1008</v>
      </c>
      <c r="W18" s="77">
        <v>83765</v>
      </c>
      <c r="X18" s="38">
        <f t="shared" ref="X18" si="182">(+W18-+W17)*48</f>
        <v>816</v>
      </c>
      <c r="Y18" s="77">
        <v>1510611</v>
      </c>
      <c r="Z18" s="38">
        <f t="shared" ref="Z18" si="183">(+Y18-+Y17)*48</f>
        <v>9888</v>
      </c>
      <c r="AA18" s="77">
        <v>13473</v>
      </c>
      <c r="AB18" s="38">
        <f t="shared" ref="AB18" si="184">(+AA18-+AA17)*48</f>
        <v>384</v>
      </c>
      <c r="AC18" s="83">
        <v>478376</v>
      </c>
      <c r="AD18" s="38">
        <f t="shared" si="18"/>
        <v>6240</v>
      </c>
      <c r="AE18" s="83">
        <v>551831</v>
      </c>
      <c r="AF18" s="38">
        <f t="shared" si="18"/>
        <v>4128</v>
      </c>
      <c r="AG18" s="82">
        <v>49787</v>
      </c>
      <c r="AH18" s="38">
        <f t="shared" ref="AH18" si="185">(+AG18-+AG17)*48</f>
        <v>0</v>
      </c>
      <c r="AI18" s="83">
        <v>430166</v>
      </c>
      <c r="AJ18" s="38">
        <f t="shared" si="1"/>
        <v>3744</v>
      </c>
      <c r="AK18" s="82">
        <v>102770</v>
      </c>
      <c r="AL18" s="38">
        <f t="shared" si="2"/>
        <v>0</v>
      </c>
      <c r="AM18" s="83">
        <v>591693</v>
      </c>
      <c r="AN18" s="38">
        <f t="shared" ref="AN18" si="186">(+AM18-+AM17)*48</f>
        <v>3072</v>
      </c>
      <c r="AO18" s="83">
        <v>965454</v>
      </c>
      <c r="AP18" s="38">
        <f t="shared" ref="AP18" si="187">(+AO18-+AO17)*48</f>
        <v>7776</v>
      </c>
      <c r="AQ18" s="83">
        <v>84057</v>
      </c>
      <c r="AR18" s="103">
        <f t="shared" ref="AR18" si="188">(+AQ18-+AQ17)*48</f>
        <v>6720</v>
      </c>
      <c r="AS18" s="83">
        <v>2327</v>
      </c>
      <c r="AT18" s="103">
        <f t="shared" ref="AT18" si="189">(+AS18-+AS17)*48</f>
        <v>336</v>
      </c>
      <c r="AU18" s="77">
        <v>939</v>
      </c>
      <c r="AV18" s="38">
        <f t="shared" ref="AV18" si="190">(+AU18-+AU17)*48</f>
        <v>0</v>
      </c>
      <c r="AW18" s="82">
        <v>3110</v>
      </c>
      <c r="AX18" s="38">
        <f t="shared" ref="AX18" si="191">(+AW18-+AW17)*48</f>
        <v>0</v>
      </c>
      <c r="AY18" s="83">
        <v>332181</v>
      </c>
      <c r="AZ18" s="38">
        <f t="shared" ref="AZ18" si="192">(+AY18-+AY17)*48</f>
        <v>5856</v>
      </c>
      <c r="BA18" s="82">
        <v>161101</v>
      </c>
      <c r="BB18" s="38">
        <f t="shared" ref="BB18" si="193">(+BA18-+BA17)*48</f>
        <v>0</v>
      </c>
      <c r="BC18" s="83">
        <v>224430</v>
      </c>
      <c r="BD18" s="38">
        <f t="shared" ref="BD18" si="194">(+BC18-+BC17)*48</f>
        <v>3696</v>
      </c>
      <c r="BE18" s="82">
        <v>5347</v>
      </c>
      <c r="BF18" s="38">
        <f t="shared" ref="BF18" si="195">(+BE18-+BE17)*48</f>
        <v>0</v>
      </c>
      <c r="BH18" s="163">
        <f t="shared" si="3"/>
        <v>133900.79999999999</v>
      </c>
      <c r="BI18" s="104">
        <f t="shared" si="4"/>
        <v>65395.200000000004</v>
      </c>
    </row>
    <row r="19" spans="1:61" s="36" customFormat="1" ht="39.950000000000003" customHeight="1">
      <c r="A19" s="142">
        <f t="shared" si="29"/>
        <v>44541</v>
      </c>
      <c r="B19" s="35"/>
      <c r="C19" s="82">
        <v>6505052</v>
      </c>
      <c r="D19" s="38">
        <f t="shared" ref="D19" si="196">(+C19-+C18)*48</f>
        <v>115632</v>
      </c>
      <c r="E19" s="38">
        <f t="shared" si="6"/>
        <v>69379.199999999997</v>
      </c>
      <c r="F19" s="103">
        <f t="shared" si="7"/>
        <v>46252.800000000003</v>
      </c>
      <c r="G19" s="77">
        <v>289911</v>
      </c>
      <c r="H19" s="38">
        <f t="shared" ref="H19" si="197">(+G19-+G18)*48</f>
        <v>3216</v>
      </c>
      <c r="I19" s="77">
        <v>159419</v>
      </c>
      <c r="J19" s="38">
        <f t="shared" ref="J19" si="198">(+I19-+I18)*48</f>
        <v>8784</v>
      </c>
      <c r="K19" s="77">
        <v>265427</v>
      </c>
      <c r="L19" s="38">
        <f t="shared" si="0"/>
        <v>3216</v>
      </c>
      <c r="M19" s="77">
        <v>25042</v>
      </c>
      <c r="N19" s="38">
        <f t="shared" ref="N19" si="199">(+M19-+M18)*48</f>
        <v>0</v>
      </c>
      <c r="O19" s="77">
        <v>304369</v>
      </c>
      <c r="P19" s="38">
        <f t="shared" ref="P19" si="200">(+O19-+O18)*48</f>
        <v>10176</v>
      </c>
      <c r="Q19" s="77">
        <v>466030</v>
      </c>
      <c r="R19" s="38">
        <f t="shared" ref="R19" si="201">(+Q19-+Q18)*48</f>
        <v>4416</v>
      </c>
      <c r="S19" s="77">
        <v>746352</v>
      </c>
      <c r="T19" s="38">
        <f t="shared" ref="T19" si="202">(+S19-+S18)*48</f>
        <v>5664</v>
      </c>
      <c r="U19" s="77">
        <v>3723</v>
      </c>
      <c r="V19" s="103">
        <f t="shared" ref="V19" si="203">(+U19-+U18)*48</f>
        <v>1008</v>
      </c>
      <c r="W19" s="77">
        <v>83791</v>
      </c>
      <c r="X19" s="38">
        <f t="shared" ref="X19" si="204">(+W19-+W18)*48</f>
        <v>1248</v>
      </c>
      <c r="Y19" s="77">
        <v>1510947</v>
      </c>
      <c r="Z19" s="38">
        <f t="shared" ref="Z19" si="205">(+Y19-+Y18)*48</f>
        <v>16128</v>
      </c>
      <c r="AA19" s="77">
        <v>13480</v>
      </c>
      <c r="AB19" s="38">
        <f t="shared" ref="AB19" si="206">(+AA19-+AA18)*48</f>
        <v>336</v>
      </c>
      <c r="AC19" s="83">
        <v>478515</v>
      </c>
      <c r="AD19" s="38">
        <f t="shared" si="18"/>
        <v>6672</v>
      </c>
      <c r="AE19" s="83">
        <v>551923</v>
      </c>
      <c r="AF19" s="38">
        <f t="shared" si="18"/>
        <v>4416</v>
      </c>
      <c r="AG19" s="82">
        <v>49787</v>
      </c>
      <c r="AH19" s="38">
        <f t="shared" ref="AH19" si="207">(+AG19-+AG18)*48</f>
        <v>0</v>
      </c>
      <c r="AI19" s="83">
        <v>430252</v>
      </c>
      <c r="AJ19" s="38">
        <f t="shared" si="1"/>
        <v>4128</v>
      </c>
      <c r="AK19" s="82">
        <v>102772</v>
      </c>
      <c r="AL19" s="38">
        <f t="shared" si="2"/>
        <v>96</v>
      </c>
      <c r="AM19" s="83">
        <v>591775</v>
      </c>
      <c r="AN19" s="38">
        <f t="shared" ref="AN19" si="208">(+AM19-+AM18)*48</f>
        <v>3936</v>
      </c>
      <c r="AO19" s="83">
        <v>965636</v>
      </c>
      <c r="AP19" s="38">
        <f t="shared" ref="AP19" si="209">(+AO19-+AO18)*48</f>
        <v>8736</v>
      </c>
      <c r="AQ19" s="83">
        <v>84199</v>
      </c>
      <c r="AR19" s="103">
        <f t="shared" ref="AR19" si="210">(+AQ19-+AQ18)*48</f>
        <v>6816</v>
      </c>
      <c r="AS19" s="83">
        <v>2331</v>
      </c>
      <c r="AT19" s="103">
        <f t="shared" ref="AT19" si="211">(+AS19-+AS18)*48</f>
        <v>192</v>
      </c>
      <c r="AU19" s="77">
        <v>939</v>
      </c>
      <c r="AV19" s="38">
        <f t="shared" ref="AV19" si="212">(+AU19-+AU18)*48</f>
        <v>0</v>
      </c>
      <c r="AW19" s="82">
        <v>3110</v>
      </c>
      <c r="AX19" s="38">
        <f t="shared" ref="AX19" si="213">(+AW19-+AW18)*48</f>
        <v>0</v>
      </c>
      <c r="AY19" s="83">
        <v>332303</v>
      </c>
      <c r="AZ19" s="38">
        <f t="shared" ref="AZ19" si="214">(+AY19-+AY18)*48</f>
        <v>5856</v>
      </c>
      <c r="BA19" s="82">
        <v>161101</v>
      </c>
      <c r="BB19" s="38">
        <f t="shared" ref="BB19" si="215">(+BA19-+BA18)*48</f>
        <v>0</v>
      </c>
      <c r="BC19" s="83">
        <v>224504</v>
      </c>
      <c r="BD19" s="38">
        <f t="shared" ref="BD19" si="216">(+BC19-+BC18)*48</f>
        <v>3552</v>
      </c>
      <c r="BE19" s="82">
        <v>5347</v>
      </c>
      <c r="BF19" s="38">
        <f t="shared" ref="BF19" si="217">(+BE19-+BE18)*48</f>
        <v>0</v>
      </c>
      <c r="BH19" s="163">
        <f t="shared" si="3"/>
        <v>147331.20000000001</v>
      </c>
      <c r="BI19" s="163">
        <f t="shared" si="4"/>
        <v>66892.800000000003</v>
      </c>
    </row>
    <row r="20" spans="1:61" s="36" customFormat="1" ht="39.950000000000003" customHeight="1">
      <c r="A20" s="142">
        <f t="shared" si="29"/>
        <v>44542</v>
      </c>
      <c r="B20" s="35"/>
      <c r="C20" s="82">
        <v>6507615</v>
      </c>
      <c r="D20" s="38">
        <f t="shared" ref="D20" si="218">(+C20-+C19)*48</f>
        <v>123024</v>
      </c>
      <c r="E20" s="38">
        <f t="shared" si="6"/>
        <v>73814.399999999994</v>
      </c>
      <c r="F20" s="103">
        <f t="shared" si="7"/>
        <v>49209.600000000006</v>
      </c>
      <c r="G20" s="82">
        <v>289986</v>
      </c>
      <c r="H20" s="38">
        <f t="shared" ref="H20" si="219">(+G20-+G19)*48</f>
        <v>3600</v>
      </c>
      <c r="I20" s="82">
        <v>159607</v>
      </c>
      <c r="J20" s="38">
        <f t="shared" ref="J20" si="220">(+I20-+I19)*48</f>
        <v>9024</v>
      </c>
      <c r="K20" s="82">
        <v>265565</v>
      </c>
      <c r="L20" s="38">
        <f t="shared" si="0"/>
        <v>6624</v>
      </c>
      <c r="M20" s="82">
        <v>25049</v>
      </c>
      <c r="N20" s="38">
        <f t="shared" ref="N20" si="221">(+M20-+M19)*48</f>
        <v>336</v>
      </c>
      <c r="O20" s="82">
        <v>304579</v>
      </c>
      <c r="P20" s="38">
        <f t="shared" ref="P20" si="222">(+O20-+O19)*48</f>
        <v>10080</v>
      </c>
      <c r="Q20" s="82">
        <v>466144</v>
      </c>
      <c r="R20" s="38">
        <f t="shared" ref="R20" si="223">(+Q20-+Q19)*48</f>
        <v>5472</v>
      </c>
      <c r="S20" s="82">
        <v>746460</v>
      </c>
      <c r="T20" s="38">
        <f t="shared" ref="T20" si="224">(+S20-+S19)*48</f>
        <v>5184</v>
      </c>
      <c r="U20" s="82">
        <v>3749</v>
      </c>
      <c r="V20" s="103">
        <f t="shared" ref="V20" si="225">(+U20-+U19)*48</f>
        <v>1248</v>
      </c>
      <c r="W20" s="82">
        <v>83815</v>
      </c>
      <c r="X20" s="38">
        <f t="shared" ref="X20" si="226">(+W20-+W19)*48</f>
        <v>1152</v>
      </c>
      <c r="Y20" s="82">
        <v>1511230</v>
      </c>
      <c r="Z20" s="38">
        <f t="shared" ref="Z20" si="227">(+Y20-+Y19)*48</f>
        <v>13584</v>
      </c>
      <c r="AA20" s="82">
        <v>13484</v>
      </c>
      <c r="AB20" s="38">
        <f t="shared" ref="AB20" si="228">(+AA20-+AA19)*48</f>
        <v>192</v>
      </c>
      <c r="AC20" s="82">
        <v>478661</v>
      </c>
      <c r="AD20" s="38">
        <f t="shared" si="18"/>
        <v>7008</v>
      </c>
      <c r="AE20" s="82">
        <v>552021</v>
      </c>
      <c r="AF20" s="38">
        <f t="shared" si="18"/>
        <v>4704</v>
      </c>
      <c r="AG20" s="82">
        <v>49787</v>
      </c>
      <c r="AH20" s="38">
        <f t="shared" ref="AH20" si="229">(+AG20-+AG19)*48</f>
        <v>0</v>
      </c>
      <c r="AI20" s="82">
        <v>430355</v>
      </c>
      <c r="AJ20" s="38">
        <f t="shared" si="1"/>
        <v>4944</v>
      </c>
      <c r="AK20" s="82">
        <v>102770</v>
      </c>
      <c r="AL20" s="38">
        <f t="shared" si="2"/>
        <v>-96</v>
      </c>
      <c r="AM20" s="82">
        <v>591858</v>
      </c>
      <c r="AN20" s="38">
        <f t="shared" ref="AN20" si="230">(+AM20-+AM19)*48</f>
        <v>3984</v>
      </c>
      <c r="AO20" s="82">
        <v>965825</v>
      </c>
      <c r="AP20" s="38">
        <f t="shared" ref="AP20" si="231">(+AO20-+AO19)*48</f>
        <v>9072</v>
      </c>
      <c r="AQ20" s="82">
        <v>84325</v>
      </c>
      <c r="AR20" s="103">
        <f t="shared" ref="AR20" si="232">(+AQ20-+AQ19)*48</f>
        <v>6048</v>
      </c>
      <c r="AS20" s="82">
        <v>2331</v>
      </c>
      <c r="AT20" s="103">
        <f t="shared" ref="AT20" si="233">(+AS20-+AS19)*48</f>
        <v>0</v>
      </c>
      <c r="AU20" s="82">
        <v>939</v>
      </c>
      <c r="AV20" s="38">
        <f t="shared" ref="AV20" si="234">(+AU20-+AU19)*48</f>
        <v>0</v>
      </c>
      <c r="AW20" s="82">
        <v>3110</v>
      </c>
      <c r="AX20" s="38">
        <f t="shared" ref="AX20" si="235">(+AW20-+AW19)*48</f>
        <v>0</v>
      </c>
      <c r="AY20" s="82">
        <v>332432</v>
      </c>
      <c r="AZ20" s="38">
        <f t="shared" ref="AZ20" si="236">(+AY20-+AY19)*48</f>
        <v>6192</v>
      </c>
      <c r="BA20" s="82">
        <v>161101</v>
      </c>
      <c r="BB20" s="38">
        <f t="shared" ref="BB20" si="237">(+BA20-+BA19)*48</f>
        <v>0</v>
      </c>
      <c r="BC20" s="83">
        <v>224582</v>
      </c>
      <c r="BD20" s="38">
        <f t="shared" ref="BD20" si="238">(+BC20-+BC19)*48</f>
        <v>3744</v>
      </c>
      <c r="BE20" s="82">
        <v>5347</v>
      </c>
      <c r="BF20" s="38">
        <f t="shared" ref="BF20" si="239">(+BE20-+BE19)*48</f>
        <v>0</v>
      </c>
      <c r="BH20" s="163">
        <f t="shared" si="3"/>
        <v>155078.39999999999</v>
      </c>
      <c r="BI20" s="163">
        <f t="shared" si="4"/>
        <v>70041.600000000006</v>
      </c>
    </row>
    <row r="21" spans="1:61" s="36" customFormat="1" ht="39.950000000000003" customHeight="1">
      <c r="A21" s="142">
        <f t="shared" si="29"/>
        <v>44543</v>
      </c>
      <c r="B21" s="35"/>
      <c r="C21" s="82">
        <v>6510235</v>
      </c>
      <c r="D21" s="38">
        <f t="shared" ref="D21" si="240">(+C21-+C20)*48</f>
        <v>125760</v>
      </c>
      <c r="E21" s="38">
        <f t="shared" si="6"/>
        <v>75456</v>
      </c>
      <c r="F21" s="103">
        <f t="shared" si="7"/>
        <v>50304</v>
      </c>
      <c r="G21" s="82">
        <v>290031</v>
      </c>
      <c r="H21" s="38">
        <f t="shared" ref="H21" si="241">(+G21-+G20)*48</f>
        <v>2160</v>
      </c>
      <c r="I21" s="82">
        <v>159782</v>
      </c>
      <c r="J21" s="38">
        <f t="shared" ref="J21" si="242">(+I21-+I20)*48</f>
        <v>8400</v>
      </c>
      <c r="K21" s="82">
        <v>265608</v>
      </c>
      <c r="L21" s="38">
        <f t="shared" si="0"/>
        <v>2064</v>
      </c>
      <c r="M21" s="82">
        <v>25053</v>
      </c>
      <c r="N21" s="38">
        <f t="shared" ref="N21" si="243">(+M21-+M20)*48</f>
        <v>192</v>
      </c>
      <c r="O21" s="82">
        <v>304790</v>
      </c>
      <c r="P21" s="38">
        <f t="shared" ref="P21" si="244">(+O21-+O20)*48</f>
        <v>10128</v>
      </c>
      <c r="Q21" s="82">
        <v>466237</v>
      </c>
      <c r="R21" s="38">
        <f t="shared" ref="R21" si="245">(+Q21-+Q20)*48</f>
        <v>4464</v>
      </c>
      <c r="S21" s="82">
        <v>746567</v>
      </c>
      <c r="T21" s="38">
        <f t="shared" ref="T21" si="246">(+S21-+S20)*48</f>
        <v>5136</v>
      </c>
      <c r="U21" s="82">
        <v>3772</v>
      </c>
      <c r="V21" s="103">
        <f t="shared" ref="V21" si="247">(+U21-+U20)*48</f>
        <v>1104</v>
      </c>
      <c r="W21" s="82">
        <v>83839</v>
      </c>
      <c r="X21" s="38">
        <f t="shared" ref="X21" si="248">(+W21-+W20)*48</f>
        <v>1152</v>
      </c>
      <c r="Y21" s="82">
        <v>1511400</v>
      </c>
      <c r="Z21" s="38">
        <f t="shared" ref="Z21" si="249">(+Y21-+Y20)*48</f>
        <v>8160</v>
      </c>
      <c r="AA21" s="82">
        <v>13484</v>
      </c>
      <c r="AB21" s="38">
        <f t="shared" ref="AB21" si="250">(+AA21-+AA20)*48</f>
        <v>0</v>
      </c>
      <c r="AC21" s="82">
        <v>478799</v>
      </c>
      <c r="AD21" s="38">
        <f t="shared" si="18"/>
        <v>6624</v>
      </c>
      <c r="AE21" s="82">
        <v>552117</v>
      </c>
      <c r="AF21" s="38">
        <f t="shared" si="18"/>
        <v>4608</v>
      </c>
      <c r="AG21" s="82">
        <v>49787</v>
      </c>
      <c r="AH21" s="38">
        <f t="shared" ref="AH21" si="251">(+AG21-+AG20)*48</f>
        <v>0</v>
      </c>
      <c r="AI21" s="82">
        <v>430454</v>
      </c>
      <c r="AJ21" s="38">
        <f t="shared" si="1"/>
        <v>4752</v>
      </c>
      <c r="AK21" s="82">
        <v>102770</v>
      </c>
      <c r="AL21" s="38">
        <f t="shared" si="2"/>
        <v>0</v>
      </c>
      <c r="AM21" s="82">
        <v>591942</v>
      </c>
      <c r="AN21" s="38">
        <f t="shared" ref="AN21" si="252">(+AM21-+AM20)*48</f>
        <v>4032</v>
      </c>
      <c r="AO21" s="82">
        <v>966016</v>
      </c>
      <c r="AP21" s="38">
        <f t="shared" ref="AP21" si="253">(+AO21-+AO20)*48</f>
        <v>9168</v>
      </c>
      <c r="AQ21" s="82">
        <v>84424</v>
      </c>
      <c r="AR21" s="103">
        <f t="shared" ref="AR21" si="254">(+AQ21-+AQ20)*48</f>
        <v>4752</v>
      </c>
      <c r="AS21" s="82">
        <v>2334</v>
      </c>
      <c r="AT21" s="103">
        <f t="shared" ref="AT21" si="255">(+AS21-+AS20)*48</f>
        <v>144</v>
      </c>
      <c r="AU21" s="82">
        <v>939</v>
      </c>
      <c r="AV21" s="38">
        <f t="shared" ref="AV21" si="256">(+AU21-+AU20)*48</f>
        <v>0</v>
      </c>
      <c r="AW21" s="82">
        <v>3110</v>
      </c>
      <c r="AX21" s="38">
        <f t="shared" ref="AX21" si="257">(+AW21-+AW20)*48</f>
        <v>0</v>
      </c>
      <c r="AY21" s="82">
        <v>332551</v>
      </c>
      <c r="AZ21" s="38">
        <f t="shared" ref="AZ21" si="258">(+AY21-+AY20)*48</f>
        <v>5712</v>
      </c>
      <c r="BA21" s="82">
        <v>161101</v>
      </c>
      <c r="BB21" s="38">
        <f t="shared" ref="BB21:BB22" si="259">(+BA21-+BA20)*48</f>
        <v>0</v>
      </c>
      <c r="BC21" s="83">
        <v>224655</v>
      </c>
      <c r="BD21" s="38">
        <f t="shared" ref="BD21" si="260">(+BC21-+BC20)*48</f>
        <v>3504</v>
      </c>
      <c r="BE21" s="82">
        <v>5347</v>
      </c>
      <c r="BF21" s="38">
        <f t="shared" ref="BF21" si="261">(+BE21-+BE20)*48</f>
        <v>0</v>
      </c>
      <c r="BH21" s="163">
        <f t="shared" si="3"/>
        <v>142848</v>
      </c>
      <c r="BI21" s="163">
        <f t="shared" si="4"/>
        <v>69168</v>
      </c>
    </row>
    <row r="22" spans="1:61" s="36" customFormat="1" ht="39.950000000000003" customHeight="1">
      <c r="A22" s="142">
        <f t="shared" si="29"/>
        <v>44544</v>
      </c>
      <c r="B22" s="35"/>
      <c r="C22" s="82">
        <v>6512944</v>
      </c>
      <c r="D22" s="38">
        <f t="shared" ref="D22" si="262">(+C22-+C21)*48</f>
        <v>130032</v>
      </c>
      <c r="E22" s="38">
        <f t="shared" si="6"/>
        <v>78019.199999999997</v>
      </c>
      <c r="F22" s="103">
        <f t="shared" si="7"/>
        <v>52012.800000000003</v>
      </c>
      <c r="G22" s="82">
        <v>290071</v>
      </c>
      <c r="H22" s="38">
        <f t="shared" ref="H22" si="263">(+G22-+G21)*48</f>
        <v>1920</v>
      </c>
      <c r="I22" s="82">
        <v>159967</v>
      </c>
      <c r="J22" s="38">
        <f t="shared" ref="J22" si="264">(+I22-+I21)*48</f>
        <v>8880</v>
      </c>
      <c r="K22" s="82">
        <v>265633</v>
      </c>
      <c r="L22" s="38">
        <f t="shared" si="0"/>
        <v>1200</v>
      </c>
      <c r="M22" s="82">
        <v>25053</v>
      </c>
      <c r="N22" s="38">
        <f t="shared" ref="N22" si="265">(+M22-+M21)*48</f>
        <v>0</v>
      </c>
      <c r="O22" s="82">
        <v>304977</v>
      </c>
      <c r="P22" s="38">
        <f t="shared" ref="P22" si="266">(+O22-+O21)*48</f>
        <v>8976</v>
      </c>
      <c r="Q22" s="82">
        <v>466314</v>
      </c>
      <c r="R22" s="38">
        <f t="shared" ref="R22" si="267">(+Q22-+Q21)*48</f>
        <v>3696</v>
      </c>
      <c r="S22" s="82">
        <v>746671</v>
      </c>
      <c r="T22" s="38">
        <f t="shared" ref="T22" si="268">(+S22-+S21)*48</f>
        <v>4992</v>
      </c>
      <c r="U22" s="82">
        <v>3796</v>
      </c>
      <c r="V22" s="103">
        <f t="shared" ref="V22" si="269">(+U22-+U21)*48</f>
        <v>1152</v>
      </c>
      <c r="W22" s="82">
        <v>83839</v>
      </c>
      <c r="X22" s="38">
        <f t="shared" ref="X22" si="270">(+W22-+W21)*48</f>
        <v>0</v>
      </c>
      <c r="Y22" s="82">
        <v>1511598</v>
      </c>
      <c r="Z22" s="38">
        <f t="shared" ref="Z22" si="271">(+Y22-+Y21)*48</f>
        <v>9504</v>
      </c>
      <c r="AA22" s="82">
        <v>13484</v>
      </c>
      <c r="AB22" s="38">
        <f t="shared" ref="AB22" si="272">(+AA22-+AA21)*48</f>
        <v>0</v>
      </c>
      <c r="AC22" s="82">
        <v>478907</v>
      </c>
      <c r="AD22" s="38">
        <f t="shared" si="18"/>
        <v>5184</v>
      </c>
      <c r="AE22" s="82">
        <v>552175</v>
      </c>
      <c r="AF22" s="38">
        <f t="shared" si="18"/>
        <v>2784</v>
      </c>
      <c r="AG22" s="82">
        <v>49787</v>
      </c>
      <c r="AH22" s="38">
        <f t="shared" ref="AH22" si="273">(+AG22-+AG21)*48</f>
        <v>0</v>
      </c>
      <c r="AI22" s="82">
        <v>430543</v>
      </c>
      <c r="AJ22" s="38">
        <f t="shared" si="1"/>
        <v>4272</v>
      </c>
      <c r="AK22" s="82">
        <v>102770</v>
      </c>
      <c r="AL22" s="38">
        <f t="shared" si="2"/>
        <v>0</v>
      </c>
      <c r="AM22" s="82">
        <v>591971</v>
      </c>
      <c r="AN22" s="38">
        <f t="shared" ref="AN22" si="274">(+AM22-+AM21)*48</f>
        <v>1392</v>
      </c>
      <c r="AO22" s="82">
        <v>966138</v>
      </c>
      <c r="AP22" s="38">
        <f t="shared" ref="AP22" si="275">(+AO22-+AO21)*48</f>
        <v>5856</v>
      </c>
      <c r="AQ22" s="77">
        <v>84591</v>
      </c>
      <c r="AR22" s="103">
        <f t="shared" ref="AR22:AR23" si="276">(+AQ21-+AQ20)*48</f>
        <v>4752</v>
      </c>
      <c r="AS22" s="82">
        <v>2340</v>
      </c>
      <c r="AT22" s="103">
        <f t="shared" ref="AT22" si="277">(+AS22-+AS21)*48</f>
        <v>288</v>
      </c>
      <c r="AU22" s="82">
        <v>939</v>
      </c>
      <c r="AV22" s="38">
        <f t="shared" ref="AV22" si="278">(+AU22-+AU21)*48</f>
        <v>0</v>
      </c>
      <c r="AW22" s="82">
        <v>3110</v>
      </c>
      <c r="AX22" s="38">
        <f t="shared" ref="AX22" si="279">(+AW22-+AW21)*48</f>
        <v>0</v>
      </c>
      <c r="AY22" s="82">
        <v>332686</v>
      </c>
      <c r="AZ22" s="38">
        <f t="shared" ref="AZ22" si="280">(+AY22-+AY21)*48</f>
        <v>6480</v>
      </c>
      <c r="BA22" s="82">
        <v>161101</v>
      </c>
      <c r="BB22" s="38">
        <f t="shared" si="259"/>
        <v>0</v>
      </c>
      <c r="BC22" s="83">
        <v>224748</v>
      </c>
      <c r="BD22" s="38">
        <f t="shared" ref="BD22" si="281">(+BC22-+BC21)*48</f>
        <v>4464</v>
      </c>
      <c r="BE22" s="82">
        <v>5347</v>
      </c>
      <c r="BF22" s="38">
        <f t="shared" ref="BF22" si="282">(+BE22-+BE21)*48</f>
        <v>0</v>
      </c>
      <c r="BH22" s="163">
        <f t="shared" si="3"/>
        <v>133555.20000000001</v>
      </c>
      <c r="BI22" s="163">
        <f t="shared" si="4"/>
        <v>72268.800000000003</v>
      </c>
    </row>
    <row r="23" spans="1:61" s="36" customFormat="1" ht="39.950000000000003" customHeight="1">
      <c r="A23" s="142">
        <f t="shared" si="29"/>
        <v>44545</v>
      </c>
      <c r="B23" s="35"/>
      <c r="C23" s="77">
        <v>6514929</v>
      </c>
      <c r="D23" s="38">
        <f t="shared" ref="D23" si="283">(+C23-+C22)*48</f>
        <v>95280</v>
      </c>
      <c r="E23" s="38">
        <f t="shared" si="6"/>
        <v>57168</v>
      </c>
      <c r="F23" s="103">
        <f t="shared" si="7"/>
        <v>38112</v>
      </c>
      <c r="G23" s="77">
        <v>290128</v>
      </c>
      <c r="H23" s="38">
        <f t="shared" ref="H23" si="284">(+G23-+G22)*48</f>
        <v>2736</v>
      </c>
      <c r="I23" s="77">
        <v>160134</v>
      </c>
      <c r="J23" s="38">
        <f t="shared" ref="J23" si="285">(+I23-+I22)*48</f>
        <v>8016</v>
      </c>
      <c r="K23" s="77">
        <v>265740</v>
      </c>
      <c r="L23" s="38">
        <f t="shared" si="0"/>
        <v>5136</v>
      </c>
      <c r="M23" s="82">
        <v>25053</v>
      </c>
      <c r="N23" s="38">
        <f t="shared" ref="N23" si="286">(+M23-+M22)*48</f>
        <v>0</v>
      </c>
      <c r="O23" s="77">
        <v>305173</v>
      </c>
      <c r="P23" s="38">
        <f t="shared" ref="P23" si="287">(+O23-+O22)*48</f>
        <v>9408</v>
      </c>
      <c r="Q23" s="77">
        <v>466390</v>
      </c>
      <c r="R23" s="38">
        <f t="shared" ref="R23" si="288">(+Q23-+Q22)*48</f>
        <v>3648</v>
      </c>
      <c r="S23" s="77">
        <v>746776</v>
      </c>
      <c r="T23" s="38">
        <f t="shared" ref="T23" si="289">(+S23-+S22)*48</f>
        <v>5040</v>
      </c>
      <c r="U23" s="82">
        <v>3815</v>
      </c>
      <c r="V23" s="103">
        <f t="shared" ref="V23" si="290">(+U23-+U22)*48</f>
        <v>912</v>
      </c>
      <c r="W23" s="82">
        <v>83845</v>
      </c>
      <c r="X23" s="38">
        <f t="shared" ref="X23" si="291">(+W23-+W22)*48</f>
        <v>288</v>
      </c>
      <c r="Y23" s="82">
        <v>1511846</v>
      </c>
      <c r="Z23" s="38">
        <f t="shared" ref="Z23" si="292">(+Y23-+Y22)*48</f>
        <v>11904</v>
      </c>
      <c r="AA23" s="82">
        <v>13489</v>
      </c>
      <c r="AB23" s="38">
        <f t="shared" ref="AB23" si="293">(+AA23-+AA22)*48</f>
        <v>240</v>
      </c>
      <c r="AC23" s="77">
        <v>479039</v>
      </c>
      <c r="AD23" s="38">
        <f t="shared" si="18"/>
        <v>6336</v>
      </c>
      <c r="AE23" s="77">
        <v>552262</v>
      </c>
      <c r="AF23" s="38">
        <f t="shared" si="18"/>
        <v>4176</v>
      </c>
      <c r="AG23" s="82">
        <v>49787</v>
      </c>
      <c r="AH23" s="38">
        <f t="shared" ref="AH23" si="294">(+AG23-+AG22)*48</f>
        <v>0</v>
      </c>
      <c r="AI23" s="77">
        <v>430625</v>
      </c>
      <c r="AJ23" s="38">
        <f t="shared" si="1"/>
        <v>3936</v>
      </c>
      <c r="AK23" s="82">
        <v>102770</v>
      </c>
      <c r="AL23" s="38">
        <f t="shared" si="2"/>
        <v>0</v>
      </c>
      <c r="AM23" s="77">
        <v>592037</v>
      </c>
      <c r="AN23" s="38">
        <f t="shared" ref="AN23" si="295">(+AM23-+AM22)*48</f>
        <v>3168</v>
      </c>
      <c r="AO23" s="77">
        <v>966307</v>
      </c>
      <c r="AP23" s="38">
        <f t="shared" ref="AP23" si="296">(+AO23-+AO22)*48</f>
        <v>8112</v>
      </c>
      <c r="AQ23" s="77">
        <v>84710</v>
      </c>
      <c r="AR23" s="103">
        <f t="shared" si="276"/>
        <v>8016</v>
      </c>
      <c r="AS23" s="82">
        <v>2347</v>
      </c>
      <c r="AT23" s="103">
        <f t="shared" ref="AT23" si="297">(+AS23-+AS22)*48</f>
        <v>336</v>
      </c>
      <c r="AU23" s="82">
        <v>939</v>
      </c>
      <c r="AV23" s="38">
        <f>(+AU23-+AU22)*48</f>
        <v>0</v>
      </c>
      <c r="AW23" s="82">
        <v>3110</v>
      </c>
      <c r="AX23" s="38">
        <f t="shared" ref="AX23" si="298">(+AW23-+AW22)*48</f>
        <v>0</v>
      </c>
      <c r="AY23" s="77">
        <v>332801</v>
      </c>
      <c r="AZ23" s="38">
        <f t="shared" ref="AZ23" si="299">(+AY23-+AY22)*48</f>
        <v>5520</v>
      </c>
      <c r="BA23" s="82">
        <v>161101</v>
      </c>
      <c r="BB23" s="103">
        <f>(+BA23-+BA22)*48</f>
        <v>0</v>
      </c>
      <c r="BC23" s="76">
        <v>224827</v>
      </c>
      <c r="BD23" s="38">
        <f t="shared" ref="BD23" si="300">(+BC23-+BC22)*48</f>
        <v>3792</v>
      </c>
      <c r="BE23" s="82">
        <v>5347</v>
      </c>
      <c r="BF23" s="38">
        <f t="shared" ref="BF23" si="301">(+BE23-+BE22)*48</f>
        <v>0</v>
      </c>
      <c r="BH23" s="104">
        <f t="shared" si="3"/>
        <v>126288</v>
      </c>
      <c r="BI23" s="104">
        <f t="shared" si="4"/>
        <v>59712</v>
      </c>
    </row>
    <row r="24" spans="1:61" s="36" customFormat="1" ht="39.950000000000003" customHeight="1">
      <c r="A24" s="142">
        <f t="shared" si="29"/>
        <v>44546</v>
      </c>
      <c r="B24" s="35"/>
      <c r="C24" s="77">
        <v>6517311</v>
      </c>
      <c r="D24" s="103">
        <f t="shared" ref="D24" si="302">(+C24-+C23)*48</f>
        <v>114336</v>
      </c>
      <c r="E24" s="38">
        <f t="shared" si="6"/>
        <v>68601.599999999991</v>
      </c>
      <c r="F24" s="103">
        <f t="shared" si="7"/>
        <v>45734.400000000001</v>
      </c>
      <c r="G24" s="77">
        <v>290169</v>
      </c>
      <c r="H24" s="103">
        <f t="shared" ref="H24" si="303">(+G24-+G23)*48</f>
        <v>1968</v>
      </c>
      <c r="I24" s="77">
        <v>160310</v>
      </c>
      <c r="J24" s="103">
        <f t="shared" ref="J24" si="304">(+I24-+I23)*48</f>
        <v>8448</v>
      </c>
      <c r="K24" s="77">
        <v>265840</v>
      </c>
      <c r="L24" s="103">
        <f t="shared" si="0"/>
        <v>4800</v>
      </c>
      <c r="M24" s="82">
        <v>25058</v>
      </c>
      <c r="N24" s="38">
        <f t="shared" ref="N24" si="305">(+M24-+M23)*48</f>
        <v>240</v>
      </c>
      <c r="O24" s="77">
        <v>305361</v>
      </c>
      <c r="P24" s="103">
        <f t="shared" ref="P24" si="306">(+O24-+O23)*48</f>
        <v>9024</v>
      </c>
      <c r="Q24" s="77">
        <v>466480</v>
      </c>
      <c r="R24" s="103">
        <f t="shared" ref="R24" si="307">(+Q24-+Q23)*48</f>
        <v>4320</v>
      </c>
      <c r="S24" s="77">
        <v>746894</v>
      </c>
      <c r="T24" s="103">
        <f t="shared" ref="T24" si="308">(+S24-+S23)*48</f>
        <v>5664</v>
      </c>
      <c r="U24" s="82">
        <v>3835</v>
      </c>
      <c r="V24" s="103">
        <f t="shared" ref="V24" si="309">(+U24-+U23)*48</f>
        <v>960</v>
      </c>
      <c r="W24" s="82">
        <v>83850</v>
      </c>
      <c r="X24" s="103">
        <f t="shared" ref="X24" si="310">(+W24-+W23)*48</f>
        <v>240</v>
      </c>
      <c r="Y24" s="77">
        <v>1512106</v>
      </c>
      <c r="Z24" s="103">
        <f t="shared" ref="Z24" si="311">(+Y24-+Y23)*48</f>
        <v>12480</v>
      </c>
      <c r="AA24" s="82">
        <v>13505</v>
      </c>
      <c r="AB24" s="103">
        <f t="shared" ref="AB24" si="312">(+AA24-+AA23)*48</f>
        <v>768</v>
      </c>
      <c r="AC24" s="77">
        <v>479186</v>
      </c>
      <c r="AD24" s="103">
        <f t="shared" si="18"/>
        <v>7056</v>
      </c>
      <c r="AE24" s="77">
        <v>552363</v>
      </c>
      <c r="AF24" s="103">
        <f t="shared" si="18"/>
        <v>4848</v>
      </c>
      <c r="AG24" s="82">
        <v>49787</v>
      </c>
      <c r="AH24" s="103">
        <f t="shared" ref="AH24" si="313">(+AG24-+AG23)*48</f>
        <v>0</v>
      </c>
      <c r="AI24" s="77">
        <v>430713</v>
      </c>
      <c r="AJ24" s="103">
        <f t="shared" si="1"/>
        <v>4224</v>
      </c>
      <c r="AK24" s="82">
        <v>102770</v>
      </c>
      <c r="AL24" s="103">
        <f t="shared" si="2"/>
        <v>0</v>
      </c>
      <c r="AM24" s="77">
        <v>592132</v>
      </c>
      <c r="AN24" s="103">
        <f t="shared" ref="AN24" si="314">(+AM24-+AM23)*48</f>
        <v>4560</v>
      </c>
      <c r="AO24" s="77">
        <v>966514</v>
      </c>
      <c r="AP24" s="103">
        <f t="shared" ref="AP24" si="315">(+AO24-+AO23)*48</f>
        <v>9936</v>
      </c>
      <c r="AQ24" s="77">
        <v>84845</v>
      </c>
      <c r="AR24" s="103">
        <f>(+AQ23-+AQ22)*48</f>
        <v>5712</v>
      </c>
      <c r="AS24" s="82">
        <v>2350</v>
      </c>
      <c r="AT24" s="103">
        <f t="shared" ref="AT24" si="316">(+AS24-+AS23)*48</f>
        <v>144</v>
      </c>
      <c r="AU24" s="82">
        <v>939</v>
      </c>
      <c r="AV24" s="103">
        <f>(+AU24-+AU23)*48</f>
        <v>0</v>
      </c>
      <c r="AW24" s="82">
        <v>3110</v>
      </c>
      <c r="AX24" s="103">
        <f t="shared" ref="AX24" si="317">(+AW24-+AW23)*48</f>
        <v>0</v>
      </c>
      <c r="AY24" s="77">
        <v>332920</v>
      </c>
      <c r="AZ24" s="103">
        <f t="shared" ref="AZ24" si="318">(+AY24-+AY23)*48</f>
        <v>5712</v>
      </c>
      <c r="BA24" s="82">
        <v>161101</v>
      </c>
      <c r="BB24" s="103">
        <f>(+BA24-+BA23)*48</f>
        <v>0</v>
      </c>
      <c r="BC24" s="76">
        <v>224905</v>
      </c>
      <c r="BD24" s="103">
        <f t="shared" ref="BD24" si="319">(+BC24-+BC23)*48</f>
        <v>3744</v>
      </c>
      <c r="BE24" s="82">
        <v>5347</v>
      </c>
      <c r="BF24" s="103">
        <f t="shared" ref="BF24" si="320">(+BE24-+BE23)*48</f>
        <v>0</v>
      </c>
      <c r="BH24" s="163">
        <f t="shared" si="3"/>
        <v>143913.59999999998</v>
      </c>
      <c r="BI24" s="104">
        <f t="shared" si="4"/>
        <v>65270.400000000001</v>
      </c>
    </row>
    <row r="25" spans="1:61" s="36" customFormat="1" ht="39.950000000000003" customHeight="1">
      <c r="A25" s="142">
        <f t="shared" si="29"/>
        <v>44547</v>
      </c>
      <c r="B25" s="35"/>
      <c r="C25" s="77">
        <v>6519732</v>
      </c>
      <c r="D25" s="103">
        <f t="shared" ref="D25" si="321">(+C25-+C24)*48</f>
        <v>116208</v>
      </c>
      <c r="E25" s="38">
        <f t="shared" si="6"/>
        <v>69724.800000000003</v>
      </c>
      <c r="F25" s="103">
        <f t="shared" si="7"/>
        <v>46483.200000000004</v>
      </c>
      <c r="G25" s="77">
        <v>290221</v>
      </c>
      <c r="H25" s="103">
        <f t="shared" ref="H25" si="322">(+G25-+G24)*48</f>
        <v>2496</v>
      </c>
      <c r="I25" s="77">
        <v>160492</v>
      </c>
      <c r="J25" s="103">
        <f t="shared" ref="J25" si="323">(+I25-+I24)*48</f>
        <v>8736</v>
      </c>
      <c r="K25" s="77">
        <v>265918</v>
      </c>
      <c r="L25" s="103">
        <f t="shared" si="0"/>
        <v>3744</v>
      </c>
      <c r="M25" s="82">
        <v>25058</v>
      </c>
      <c r="N25" s="38">
        <f t="shared" ref="N25" si="324">(+M25-+M24)*48</f>
        <v>0</v>
      </c>
      <c r="O25" s="77">
        <v>305560</v>
      </c>
      <c r="P25" s="103">
        <f t="shared" ref="P25" si="325">(+O25-+O24)*48</f>
        <v>9552</v>
      </c>
      <c r="Q25" s="77">
        <v>466597</v>
      </c>
      <c r="R25" s="103">
        <f t="shared" ref="R25" si="326">(+Q25-+Q24)*48</f>
        <v>5616</v>
      </c>
      <c r="S25" s="77">
        <v>747000</v>
      </c>
      <c r="T25" s="103">
        <f t="shared" ref="T25" si="327">(+S25-+S24)*48</f>
        <v>5088</v>
      </c>
      <c r="U25" s="82">
        <v>3855</v>
      </c>
      <c r="V25" s="103">
        <f t="shared" ref="V25" si="328">(+U25-+U24)*48</f>
        <v>960</v>
      </c>
      <c r="W25" s="77">
        <v>83864</v>
      </c>
      <c r="X25" s="103">
        <f t="shared" ref="X25" si="329">(+W25-+W24)*48</f>
        <v>672</v>
      </c>
      <c r="Y25" s="77">
        <v>1512283</v>
      </c>
      <c r="Z25" s="103">
        <f t="shared" ref="Z25" si="330">(+Y25-+Y24)*48</f>
        <v>8496</v>
      </c>
      <c r="AA25" s="82">
        <v>13513</v>
      </c>
      <c r="AB25" s="103">
        <f t="shared" ref="AB25" si="331">(+AA25-+AA24)*48</f>
        <v>384</v>
      </c>
      <c r="AC25" s="77">
        <v>479328</v>
      </c>
      <c r="AD25" s="103">
        <f t="shared" si="18"/>
        <v>6816</v>
      </c>
      <c r="AE25" s="77">
        <v>552461</v>
      </c>
      <c r="AF25" s="103">
        <f t="shared" si="18"/>
        <v>4704</v>
      </c>
      <c r="AG25" s="82">
        <v>49787</v>
      </c>
      <c r="AH25" s="103">
        <f t="shared" ref="AH25" si="332">(+AG25-+AG24)*48</f>
        <v>0</v>
      </c>
      <c r="AI25" s="77">
        <v>430799</v>
      </c>
      <c r="AJ25" s="103">
        <f t="shared" si="1"/>
        <v>4128</v>
      </c>
      <c r="AK25" s="82">
        <v>102770</v>
      </c>
      <c r="AL25" s="103">
        <f t="shared" si="2"/>
        <v>0</v>
      </c>
      <c r="AM25" s="77">
        <v>592228</v>
      </c>
      <c r="AN25" s="103">
        <f t="shared" ref="AN25" si="333">(+AM25-+AM24)*48</f>
        <v>4608</v>
      </c>
      <c r="AO25" s="77">
        <v>966718</v>
      </c>
      <c r="AP25" s="103">
        <f t="shared" ref="AP25" si="334">(+AO25-+AO24)*48</f>
        <v>9792</v>
      </c>
      <c r="AQ25" s="77">
        <v>84957</v>
      </c>
      <c r="AR25" s="103">
        <f>(+AQ24-+AQ23)*48</f>
        <v>6480</v>
      </c>
      <c r="AS25" s="82">
        <v>2354</v>
      </c>
      <c r="AT25" s="103">
        <f t="shared" ref="AT25" si="335">(+AS25-+AS24)*48</f>
        <v>192</v>
      </c>
      <c r="AU25" s="82">
        <v>939</v>
      </c>
      <c r="AV25" s="103">
        <f>(+AU25-+AU24)*48</f>
        <v>0</v>
      </c>
      <c r="AW25" s="82">
        <v>3110</v>
      </c>
      <c r="AX25" s="103">
        <f t="shared" ref="AX25" si="336">(+AW25-+AW24)*48</f>
        <v>0</v>
      </c>
      <c r="AY25" s="77">
        <v>333024</v>
      </c>
      <c r="AZ25" s="103">
        <f t="shared" ref="AZ25" si="337">(+AY25-+AY24)*48</f>
        <v>4992</v>
      </c>
      <c r="BA25" s="82">
        <v>161101</v>
      </c>
      <c r="BB25" s="103">
        <f>(+BA25-+BA24)*48</f>
        <v>0</v>
      </c>
      <c r="BC25" s="76">
        <v>224979</v>
      </c>
      <c r="BD25" s="103">
        <f t="shared" ref="BD25" si="338">(+BC25-+BC24)*48</f>
        <v>3552</v>
      </c>
      <c r="BE25" s="82">
        <v>5347</v>
      </c>
      <c r="BF25" s="103">
        <f t="shared" ref="BF25" si="339">(+BE25-+BE24)*48</f>
        <v>0</v>
      </c>
      <c r="BH25" s="104">
        <f t="shared" si="3"/>
        <v>141388.79999999999</v>
      </c>
      <c r="BI25" s="104">
        <f t="shared" si="4"/>
        <v>65827.200000000012</v>
      </c>
    </row>
    <row r="26" spans="1:61" s="36" customFormat="1" ht="39.950000000000003" customHeight="1">
      <c r="A26" s="142">
        <f t="shared" si="29"/>
        <v>44548</v>
      </c>
      <c r="B26" s="35"/>
      <c r="C26" s="77">
        <v>6522351</v>
      </c>
      <c r="D26" s="103">
        <f t="shared" ref="D26" si="340">(+C26-+C25)*48</f>
        <v>125712</v>
      </c>
      <c r="E26" s="38">
        <f t="shared" si="6"/>
        <v>75427.199999999997</v>
      </c>
      <c r="F26" s="103">
        <f t="shared" si="7"/>
        <v>50284.800000000003</v>
      </c>
      <c r="G26" s="77">
        <v>290228</v>
      </c>
      <c r="H26" s="103">
        <f t="shared" ref="H26" si="341">(+G26-+G25)*48</f>
        <v>336</v>
      </c>
      <c r="I26" s="77">
        <v>160676</v>
      </c>
      <c r="J26" s="103">
        <f t="shared" ref="J26" si="342">(+I26-+I25)*48</f>
        <v>8832</v>
      </c>
      <c r="K26" s="77">
        <v>265996</v>
      </c>
      <c r="L26" s="103">
        <f t="shared" si="0"/>
        <v>3744</v>
      </c>
      <c r="M26" s="77">
        <v>25067</v>
      </c>
      <c r="N26" s="38">
        <f t="shared" ref="N26" si="343">(+M26-+M25)*48</f>
        <v>432</v>
      </c>
      <c r="O26" s="77">
        <v>305770</v>
      </c>
      <c r="P26" s="103">
        <f t="shared" ref="P26" si="344">(+O26-+O25)*48</f>
        <v>10080</v>
      </c>
      <c r="Q26" s="77">
        <v>466682</v>
      </c>
      <c r="R26" s="103">
        <f t="shared" ref="R26" si="345">(+Q26-+Q25)*48</f>
        <v>4080</v>
      </c>
      <c r="S26" s="77">
        <v>747100</v>
      </c>
      <c r="T26" s="103">
        <f t="shared" ref="T26" si="346">(+S26-+S25)*48</f>
        <v>4800</v>
      </c>
      <c r="U26" s="77">
        <v>3876</v>
      </c>
      <c r="V26" s="103">
        <f t="shared" ref="V26" si="347">(+U26-+U25)*48</f>
        <v>1008</v>
      </c>
      <c r="W26" s="77">
        <v>83880</v>
      </c>
      <c r="X26" s="103">
        <f t="shared" ref="X26" si="348">(+W26-+W25)*48</f>
        <v>768</v>
      </c>
      <c r="Y26" s="77">
        <v>1512530</v>
      </c>
      <c r="Z26" s="103">
        <f t="shared" ref="Z26" si="349">(+Y26-+Y25)*48</f>
        <v>11856</v>
      </c>
      <c r="AA26" s="77">
        <v>13520</v>
      </c>
      <c r="AB26" s="103">
        <f t="shared" ref="AB26" si="350">(+AA26-+AA25)*48</f>
        <v>336</v>
      </c>
      <c r="AC26" s="77">
        <v>479439</v>
      </c>
      <c r="AD26" s="103">
        <f t="shared" si="18"/>
        <v>5328</v>
      </c>
      <c r="AE26" s="77">
        <v>552540</v>
      </c>
      <c r="AF26" s="103">
        <f t="shared" si="18"/>
        <v>3792</v>
      </c>
      <c r="AG26" s="82">
        <v>49787</v>
      </c>
      <c r="AH26" s="103">
        <f t="shared" ref="AH26" si="351">(+AG26-+AG25)*48</f>
        <v>0</v>
      </c>
      <c r="AI26" s="77">
        <v>430885</v>
      </c>
      <c r="AJ26" s="103">
        <f t="shared" si="1"/>
        <v>4128</v>
      </c>
      <c r="AK26" s="82">
        <v>102770</v>
      </c>
      <c r="AL26" s="103">
        <f t="shared" si="2"/>
        <v>0</v>
      </c>
      <c r="AM26" s="77">
        <v>592280</v>
      </c>
      <c r="AN26" s="103">
        <f t="shared" ref="AN26" si="352">(+AM26-+AM25)*48</f>
        <v>2496</v>
      </c>
      <c r="AO26" s="77">
        <v>966872</v>
      </c>
      <c r="AP26" s="103">
        <f t="shared" ref="AP26" si="353">(+AO26-+AO25)*48</f>
        <v>7392</v>
      </c>
      <c r="AQ26" s="77">
        <v>85098</v>
      </c>
      <c r="AR26" s="103">
        <f>(+AQ25-+AQ24)*48</f>
        <v>5376</v>
      </c>
      <c r="AS26" s="77">
        <v>2359</v>
      </c>
      <c r="AT26" s="103">
        <f t="shared" ref="AT26" si="354">(+AS26-+AS25)*48</f>
        <v>240</v>
      </c>
      <c r="AU26" s="82">
        <v>939</v>
      </c>
      <c r="AV26" s="103">
        <f t="shared" ref="AV26" si="355">(+AU26-+AU25)*48</f>
        <v>0</v>
      </c>
      <c r="AW26" s="82">
        <v>3110</v>
      </c>
      <c r="AX26" s="103">
        <f t="shared" ref="AX26" si="356">(+AW26-+AW25)*48</f>
        <v>0</v>
      </c>
      <c r="AY26" s="77">
        <v>333159</v>
      </c>
      <c r="AZ26" s="103">
        <f>(+AY26-+AY25)*48</f>
        <v>6480</v>
      </c>
      <c r="BA26" s="82">
        <v>161101</v>
      </c>
      <c r="BB26" s="103">
        <f>(+BA26-+BA25)*48</f>
        <v>0</v>
      </c>
      <c r="BC26" s="77">
        <v>225052</v>
      </c>
      <c r="BD26" s="103">
        <f t="shared" ref="BD26" si="357">(+BC26-+BC25)*48</f>
        <v>3504</v>
      </c>
      <c r="BE26" s="82">
        <v>5347</v>
      </c>
      <c r="BF26" s="103">
        <f t="shared" ref="BF26" si="358">(+BE26-+BE25)*48</f>
        <v>0</v>
      </c>
      <c r="BH26" s="104">
        <f t="shared" si="3"/>
        <v>140707.20000000001</v>
      </c>
      <c r="BI26" s="104">
        <f t="shared" si="4"/>
        <v>70012.800000000003</v>
      </c>
    </row>
    <row r="27" spans="1:61" s="36" customFormat="1" ht="39.950000000000003" customHeight="1">
      <c r="A27" s="142">
        <f t="shared" si="29"/>
        <v>44549</v>
      </c>
      <c r="B27" s="35"/>
      <c r="C27" s="77">
        <v>6525191</v>
      </c>
      <c r="D27" s="103">
        <f t="shared" ref="D27" si="359">(+C27-+C26)*48</f>
        <v>136320</v>
      </c>
      <c r="E27" s="38">
        <f t="shared" si="6"/>
        <v>81792</v>
      </c>
      <c r="F27" s="103">
        <f t="shared" si="7"/>
        <v>54528</v>
      </c>
      <c r="G27" s="77">
        <v>290355</v>
      </c>
      <c r="H27" s="103">
        <f t="shared" ref="H27" si="360">(+G27-+G26)*48</f>
        <v>6096</v>
      </c>
      <c r="I27" s="77">
        <v>160863</v>
      </c>
      <c r="J27" s="103">
        <f t="shared" ref="J27" si="361">(+I27-+I26)*48</f>
        <v>8976</v>
      </c>
      <c r="K27" s="77">
        <v>266096</v>
      </c>
      <c r="L27" s="103">
        <f t="shared" si="0"/>
        <v>4800</v>
      </c>
      <c r="M27" s="77">
        <v>25080</v>
      </c>
      <c r="N27" s="38">
        <f t="shared" ref="N27" si="362">(+M27-+M26)*48</f>
        <v>624</v>
      </c>
      <c r="O27" s="77">
        <v>305986</v>
      </c>
      <c r="P27" s="103">
        <f t="shared" ref="P27" si="363">(+O27-+O26)*48</f>
        <v>10368</v>
      </c>
      <c r="Q27" s="77">
        <v>466802</v>
      </c>
      <c r="R27" s="103">
        <f t="shared" ref="R27" si="364">(+Q27-+Q26)*48</f>
        <v>5760</v>
      </c>
      <c r="S27" s="77">
        <v>747228</v>
      </c>
      <c r="T27" s="103">
        <f t="shared" ref="T27" si="365">(+S27-+S26)*48</f>
        <v>6144</v>
      </c>
      <c r="U27" s="77">
        <v>3900.9169999999999</v>
      </c>
      <c r="V27" s="103">
        <f t="shared" ref="V27" si="366">(+U27-+U26)*48</f>
        <v>1196.015999999996</v>
      </c>
      <c r="W27" s="77">
        <v>83905</v>
      </c>
      <c r="X27" s="103">
        <f t="shared" ref="X27" si="367">(+W27-+W26)*48</f>
        <v>1200</v>
      </c>
      <c r="Y27" s="77">
        <v>1512863</v>
      </c>
      <c r="Z27" s="103">
        <f t="shared" ref="Z27" si="368">(+Y27-+Y26)*48</f>
        <v>15984</v>
      </c>
      <c r="AA27" s="77">
        <v>13529</v>
      </c>
      <c r="AB27" s="103">
        <f t="shared" ref="AB27" si="369">(+AA27-+AA26)*48</f>
        <v>432</v>
      </c>
      <c r="AC27" s="77">
        <v>479480</v>
      </c>
      <c r="AD27" s="103">
        <f t="shared" si="18"/>
        <v>1968</v>
      </c>
      <c r="AE27" s="77">
        <v>552550</v>
      </c>
      <c r="AF27" s="103">
        <f t="shared" si="18"/>
        <v>480</v>
      </c>
      <c r="AG27" s="77">
        <v>49787</v>
      </c>
      <c r="AH27" s="103">
        <f t="shared" ref="AH27" si="370">(+AG27-+AG26)*48</f>
        <v>0</v>
      </c>
      <c r="AI27" s="77">
        <v>430979</v>
      </c>
      <c r="AJ27" s="103">
        <f t="shared" si="1"/>
        <v>4512</v>
      </c>
      <c r="AK27" s="82">
        <v>102770</v>
      </c>
      <c r="AL27" s="103">
        <f t="shared" si="2"/>
        <v>0</v>
      </c>
      <c r="AM27" s="77">
        <v>592280</v>
      </c>
      <c r="AN27" s="103">
        <f t="shared" ref="AN27" si="371">(+AM27-+AM26)*48</f>
        <v>0</v>
      </c>
      <c r="AO27" s="77">
        <v>966921</v>
      </c>
      <c r="AP27" s="103">
        <f t="shared" ref="AP27" si="372">(+AO27-+AO26)*48</f>
        <v>2352</v>
      </c>
      <c r="AQ27" s="77">
        <v>85328</v>
      </c>
      <c r="AR27" s="103">
        <f>(+AQ27-+AQ25)*48</f>
        <v>17808</v>
      </c>
      <c r="AS27" s="77">
        <v>2365</v>
      </c>
      <c r="AT27" s="103">
        <f t="shared" ref="AT27" si="373">(+AS27-+AS26)*48</f>
        <v>288</v>
      </c>
      <c r="AU27" s="82">
        <v>939</v>
      </c>
      <c r="AV27" s="103">
        <f t="shared" ref="AV27" si="374">(+AU27-+AU26)*48</f>
        <v>0</v>
      </c>
      <c r="AW27" s="82">
        <v>3110</v>
      </c>
      <c r="AX27" s="103">
        <f t="shared" ref="AX27" si="375">(+AW27-+AW26)*48</f>
        <v>0</v>
      </c>
      <c r="AY27" s="77">
        <v>333287</v>
      </c>
      <c r="AZ27" s="103">
        <f t="shared" ref="AZ27" si="376">(+AY27-+AY26)*48</f>
        <v>6144</v>
      </c>
      <c r="BA27" s="82">
        <v>161101</v>
      </c>
      <c r="BB27" s="103">
        <f t="shared" ref="BB27:BB36" si="377">(+BA27-+BA26)*48</f>
        <v>0</v>
      </c>
      <c r="BC27" s="77">
        <v>225133</v>
      </c>
      <c r="BD27" s="103">
        <f t="shared" ref="BD27" si="378">(+BC27-+BC26)*48</f>
        <v>3888</v>
      </c>
      <c r="BE27" s="82">
        <v>5347</v>
      </c>
      <c r="BF27" s="103">
        <f t="shared" ref="BF27" si="379">(+BE27-+BE26)*48</f>
        <v>0</v>
      </c>
      <c r="BH27" s="104">
        <f t="shared" si="3"/>
        <v>148172.016</v>
      </c>
      <c r="BI27" s="104">
        <f t="shared" si="4"/>
        <v>87168</v>
      </c>
    </row>
    <row r="28" spans="1:61" s="36" customFormat="1" ht="39.950000000000003" customHeight="1">
      <c r="A28" s="142">
        <f t="shared" si="29"/>
        <v>44550</v>
      </c>
      <c r="B28" s="35"/>
      <c r="C28" s="77">
        <v>6528770</v>
      </c>
      <c r="D28" s="103">
        <f t="shared" ref="D28" si="380">(+C28-+C27)*48</f>
        <v>171792</v>
      </c>
      <c r="E28" s="38">
        <f t="shared" si="6"/>
        <v>103075.2</v>
      </c>
      <c r="F28" s="103">
        <f t="shared" si="7"/>
        <v>68716.800000000003</v>
      </c>
      <c r="G28" s="77">
        <v>290423</v>
      </c>
      <c r="H28" s="103">
        <f t="shared" ref="H28" si="381">(+G28-+G27)*48</f>
        <v>3264</v>
      </c>
      <c r="I28" s="77">
        <v>161060</v>
      </c>
      <c r="J28" s="103">
        <f t="shared" ref="J28" si="382">(+I28-+I27)*48</f>
        <v>9456</v>
      </c>
      <c r="K28" s="77">
        <v>266196</v>
      </c>
      <c r="L28" s="103">
        <f t="shared" si="0"/>
        <v>4800</v>
      </c>
      <c r="M28" s="77">
        <v>25093</v>
      </c>
      <c r="N28" s="38">
        <f t="shared" ref="N28" si="383">(+M28-+M27)*48</f>
        <v>624</v>
      </c>
      <c r="O28" s="77">
        <v>306209</v>
      </c>
      <c r="P28" s="103">
        <f t="shared" ref="P28" si="384">(+O28-+O27)*48</f>
        <v>10704</v>
      </c>
      <c r="Q28" s="77">
        <v>466917</v>
      </c>
      <c r="R28" s="103">
        <f t="shared" ref="R28" si="385">(+Q28-+Q27)*48</f>
        <v>5520</v>
      </c>
      <c r="S28" s="77">
        <v>747330</v>
      </c>
      <c r="T28" s="103">
        <f t="shared" ref="T28" si="386">(+S28-+S27)*48</f>
        <v>4896</v>
      </c>
      <c r="U28" s="77">
        <v>3922.3180000000002</v>
      </c>
      <c r="V28" s="103">
        <f t="shared" ref="V28" si="387">(+U28-+U27)*48</f>
        <v>1027.2480000000141</v>
      </c>
      <c r="W28" s="77">
        <v>83930</v>
      </c>
      <c r="X28" s="103">
        <f t="shared" ref="X28" si="388">(+W28-+W27)*48</f>
        <v>1200</v>
      </c>
      <c r="Y28" s="77">
        <v>1513165</v>
      </c>
      <c r="Z28" s="103">
        <f t="shared" ref="Z28" si="389">(+Y28-+Y27)*48</f>
        <v>14496</v>
      </c>
      <c r="AA28" s="77">
        <v>13575</v>
      </c>
      <c r="AB28" s="103">
        <f t="shared" ref="AB28" si="390">(+AA28-+AA27)*48</f>
        <v>2208</v>
      </c>
      <c r="AC28" s="77">
        <v>479485</v>
      </c>
      <c r="AD28" s="103">
        <f t="shared" si="18"/>
        <v>240</v>
      </c>
      <c r="AE28" s="77">
        <v>552551</v>
      </c>
      <c r="AF28" s="103">
        <f t="shared" si="18"/>
        <v>48</v>
      </c>
      <c r="AG28" s="77">
        <v>49787</v>
      </c>
      <c r="AH28" s="103">
        <f t="shared" ref="AH28" si="391">(+AG28-+AG27)*48</f>
        <v>0</v>
      </c>
      <c r="AI28" s="77">
        <v>431091</v>
      </c>
      <c r="AJ28" s="103">
        <f t="shared" si="1"/>
        <v>5376</v>
      </c>
      <c r="AK28" s="82">
        <v>102770</v>
      </c>
      <c r="AL28" s="103">
        <f t="shared" si="2"/>
        <v>0</v>
      </c>
      <c r="AM28" s="77">
        <v>592280</v>
      </c>
      <c r="AN28" s="103">
        <f t="shared" ref="AN28" si="392">(+AM28-+AM27)*48</f>
        <v>0</v>
      </c>
      <c r="AO28" s="77">
        <v>966936</v>
      </c>
      <c r="AP28" s="103">
        <f t="shared" ref="AP28" si="393">(+AO28-+AO27)*48</f>
        <v>720</v>
      </c>
      <c r="AQ28" s="77">
        <v>85507</v>
      </c>
      <c r="AR28" s="103">
        <f t="shared" ref="AR28" si="394">(+AQ28-+AQ27)*48</f>
        <v>8592</v>
      </c>
      <c r="AS28" s="77">
        <v>2368</v>
      </c>
      <c r="AT28" s="103">
        <f t="shared" ref="AT28" si="395">(+AS28-+AS27)*48</f>
        <v>144</v>
      </c>
      <c r="AU28" s="82">
        <v>939</v>
      </c>
      <c r="AV28" s="103">
        <f t="shared" ref="AV28" si="396">(+AU28-+AU27)*48</f>
        <v>0</v>
      </c>
      <c r="AW28" s="82">
        <v>3110</v>
      </c>
      <c r="AX28" s="103">
        <f>(+AW28-+AW27)*48</f>
        <v>0</v>
      </c>
      <c r="AY28" s="77">
        <v>333409</v>
      </c>
      <c r="AZ28" s="103">
        <f t="shared" ref="AZ28" si="397">(+AY28-+AY27)*48</f>
        <v>5856</v>
      </c>
      <c r="BA28" s="82">
        <v>161101</v>
      </c>
      <c r="BB28" s="103">
        <f t="shared" si="377"/>
        <v>0</v>
      </c>
      <c r="BC28" s="77">
        <v>225206</v>
      </c>
      <c r="BD28" s="103">
        <f t="shared" ref="BD28" si="398">(+BC28-+BC27)*48</f>
        <v>3504</v>
      </c>
      <c r="BE28" s="82">
        <v>5347</v>
      </c>
      <c r="BF28" s="103">
        <f t="shared" ref="BF28" si="399">(+BE28-+BE27)*48</f>
        <v>0</v>
      </c>
      <c r="BH28" s="104">
        <f t="shared" si="3"/>
        <v>162278.44800000003</v>
      </c>
      <c r="BI28" s="104">
        <f t="shared" si="4"/>
        <v>92188.800000000003</v>
      </c>
    </row>
    <row r="29" spans="1:61" s="36" customFormat="1" ht="39.950000000000003" customHeight="1">
      <c r="A29" s="142">
        <f t="shared" si="29"/>
        <v>44551</v>
      </c>
      <c r="B29" s="35"/>
      <c r="C29" s="82">
        <v>6532512</v>
      </c>
      <c r="D29" s="103">
        <f t="shared" ref="D29" si="400">(+C29-+C28)*48</f>
        <v>179616</v>
      </c>
      <c r="E29" s="38">
        <f t="shared" si="6"/>
        <v>107769.59999999999</v>
      </c>
      <c r="F29" s="103">
        <f t="shared" si="7"/>
        <v>71846.400000000009</v>
      </c>
      <c r="G29" s="82">
        <v>290481</v>
      </c>
      <c r="H29" s="103">
        <f t="shared" ref="H29" si="401">(+G29-+G28)*48</f>
        <v>2784</v>
      </c>
      <c r="I29" s="82">
        <v>161215</v>
      </c>
      <c r="J29" s="103">
        <f t="shared" ref="J29" si="402">(+I29-+I28)*48</f>
        <v>7440</v>
      </c>
      <c r="K29" s="82">
        <v>266235</v>
      </c>
      <c r="L29" s="103">
        <f t="shared" si="0"/>
        <v>1872</v>
      </c>
      <c r="M29" s="82">
        <v>25094</v>
      </c>
      <c r="N29" s="38">
        <f t="shared" ref="N29" si="403">(+M29-+M28)*48</f>
        <v>48</v>
      </c>
      <c r="O29" s="82">
        <v>306407</v>
      </c>
      <c r="P29" s="103">
        <f t="shared" ref="P29" si="404">(+O29-+O28)*48</f>
        <v>9504</v>
      </c>
      <c r="Q29" s="82">
        <v>466998</v>
      </c>
      <c r="R29" s="103">
        <f t="shared" ref="R29" si="405">(+Q29-+Q28)*48</f>
        <v>3888</v>
      </c>
      <c r="S29" s="82">
        <v>747442</v>
      </c>
      <c r="T29" s="103">
        <f t="shared" ref="T29" si="406">(+S29-+S28)*48</f>
        <v>5376</v>
      </c>
      <c r="U29" s="82">
        <v>3943</v>
      </c>
      <c r="V29" s="103">
        <f t="shared" ref="V29" si="407">(+U29-+U28)*48</f>
        <v>992.73599999998987</v>
      </c>
      <c r="W29" s="82">
        <v>83946</v>
      </c>
      <c r="X29" s="103">
        <f t="shared" ref="X29" si="408">(+W29-+W28)*48</f>
        <v>768</v>
      </c>
      <c r="Y29" s="77">
        <v>1513512</v>
      </c>
      <c r="Z29" s="103">
        <f t="shared" ref="Z29" si="409">(+Y29-+Y28)*48</f>
        <v>16656</v>
      </c>
      <c r="AA29" s="77">
        <v>13601</v>
      </c>
      <c r="AB29" s="103">
        <f t="shared" ref="AB29" si="410">(+AA29-+AA28)*48</f>
        <v>1248</v>
      </c>
      <c r="AC29" s="82">
        <v>479586</v>
      </c>
      <c r="AD29" s="103">
        <f t="shared" si="18"/>
        <v>4848</v>
      </c>
      <c r="AE29" s="82">
        <v>552652</v>
      </c>
      <c r="AF29" s="103">
        <f t="shared" si="18"/>
        <v>4848</v>
      </c>
      <c r="AG29" s="77">
        <v>49787</v>
      </c>
      <c r="AH29" s="103">
        <f t="shared" ref="AH29" si="411">(+AG29-+AG28)*48</f>
        <v>0</v>
      </c>
      <c r="AI29" s="77">
        <v>431187</v>
      </c>
      <c r="AJ29" s="103">
        <f t="shared" si="1"/>
        <v>4608</v>
      </c>
      <c r="AK29" s="82">
        <v>102770</v>
      </c>
      <c r="AL29" s="103">
        <f>(+AK29-+AK28)*48</f>
        <v>0</v>
      </c>
      <c r="AM29" s="82">
        <v>592365</v>
      </c>
      <c r="AN29" s="103">
        <f t="shared" ref="AN29" si="412">(+AM29-+AM28)*48</f>
        <v>4080</v>
      </c>
      <c r="AO29" s="77">
        <v>967052</v>
      </c>
      <c r="AP29" s="103">
        <f t="shared" ref="AP29" si="413">(+AO29-+AO28)*48</f>
        <v>5568</v>
      </c>
      <c r="AQ29" s="82">
        <v>85750</v>
      </c>
      <c r="AR29" s="103">
        <f t="shared" ref="AR29" si="414">(+AQ29-+AQ28)*48</f>
        <v>11664</v>
      </c>
      <c r="AS29" s="82">
        <v>2372</v>
      </c>
      <c r="AT29" s="103">
        <f t="shared" ref="AT29" si="415">(+AS29-+AS28)*48</f>
        <v>192</v>
      </c>
      <c r="AU29" s="82">
        <v>939</v>
      </c>
      <c r="AV29" s="103">
        <f t="shared" ref="AV29" si="416">(+AU29-+AU28)*48</f>
        <v>0</v>
      </c>
      <c r="AW29" s="82">
        <v>3110</v>
      </c>
      <c r="AX29" s="103">
        <f>(+AW29-+AW28)*48</f>
        <v>0</v>
      </c>
      <c r="AY29" s="82">
        <v>333502</v>
      </c>
      <c r="AZ29" s="103">
        <f t="shared" ref="AZ29" si="417">(+AY29-+AY28)*48</f>
        <v>4464</v>
      </c>
      <c r="BA29" s="82">
        <v>161101</v>
      </c>
      <c r="BB29" s="103">
        <f t="shared" si="377"/>
        <v>0</v>
      </c>
      <c r="BC29" s="83">
        <v>225286</v>
      </c>
      <c r="BD29" s="103">
        <f t="shared" ref="BD29" si="418">(+BC29-+BC28)*48</f>
        <v>3840</v>
      </c>
      <c r="BE29" s="82">
        <v>5347</v>
      </c>
      <c r="BF29" s="103">
        <f t="shared" ref="BF29" si="419">(+BE29-+BE28)*48</f>
        <v>0</v>
      </c>
      <c r="BH29" s="104">
        <f t="shared" si="3"/>
        <v>177690.33599999995</v>
      </c>
      <c r="BI29" s="104">
        <f t="shared" si="4"/>
        <v>96614.400000000009</v>
      </c>
    </row>
    <row r="30" spans="1:61" s="36" customFormat="1" ht="39.950000000000003" customHeight="1">
      <c r="A30" s="142">
        <f t="shared" si="29"/>
        <v>44552</v>
      </c>
      <c r="B30" s="35"/>
      <c r="C30" s="82">
        <v>6535840</v>
      </c>
      <c r="D30" s="103">
        <f t="shared" ref="D30" si="420">(+C30-+C29)*48</f>
        <v>159744</v>
      </c>
      <c r="E30" s="38">
        <f t="shared" si="6"/>
        <v>95846.399999999994</v>
      </c>
      <c r="F30" s="103">
        <f t="shared" si="7"/>
        <v>63897.600000000006</v>
      </c>
      <c r="G30" s="82">
        <v>290508</v>
      </c>
      <c r="H30" s="103">
        <f t="shared" ref="H30" si="421">(+G30-+G29)*48</f>
        <v>1296</v>
      </c>
      <c r="I30" s="82">
        <v>161429</v>
      </c>
      <c r="J30" s="103">
        <f t="shared" ref="J30" si="422">(+I30-+I29)*48</f>
        <v>10272</v>
      </c>
      <c r="K30" s="82">
        <v>266273</v>
      </c>
      <c r="L30" s="103">
        <f t="shared" si="0"/>
        <v>1824</v>
      </c>
      <c r="M30" s="82">
        <v>25095</v>
      </c>
      <c r="N30" s="38">
        <f t="shared" ref="N30" si="423">(+M30-+M29)*48</f>
        <v>48</v>
      </c>
      <c r="O30" s="82">
        <v>306631</v>
      </c>
      <c r="P30" s="103">
        <f t="shared" ref="P30" si="424">(+O30-+O29)*48</f>
        <v>10752</v>
      </c>
      <c r="Q30" s="82">
        <v>467080</v>
      </c>
      <c r="R30" s="103">
        <f t="shared" ref="R30" si="425">(+Q30-+Q29)*48</f>
        <v>3936</v>
      </c>
      <c r="S30" s="82">
        <v>747557</v>
      </c>
      <c r="T30" s="103">
        <f t="shared" ref="T30" si="426">(+S30-+S29)*48</f>
        <v>5520</v>
      </c>
      <c r="U30" s="82">
        <v>3961.9839999999999</v>
      </c>
      <c r="V30" s="103">
        <f t="shared" ref="V30" si="427">(+U30-+U29)*48</f>
        <v>911.23199999999633</v>
      </c>
      <c r="W30" s="82">
        <v>83957</v>
      </c>
      <c r="X30" s="103">
        <f t="shared" ref="X30" si="428">(+W30-+W29)*48</f>
        <v>528</v>
      </c>
      <c r="Y30" s="77">
        <v>1513824</v>
      </c>
      <c r="Z30" s="103">
        <f t="shared" ref="Z30" si="429">(+Y30-+Y29)*48</f>
        <v>14976</v>
      </c>
      <c r="AA30" s="77">
        <v>13628</v>
      </c>
      <c r="AB30" s="103">
        <f t="shared" ref="AB30" si="430">(+AA30-+AA29)*48</f>
        <v>1296</v>
      </c>
      <c r="AC30" s="82">
        <v>479768</v>
      </c>
      <c r="AD30" s="103">
        <f t="shared" si="18"/>
        <v>8736</v>
      </c>
      <c r="AE30" s="82">
        <v>552745</v>
      </c>
      <c r="AF30" s="103">
        <f t="shared" si="18"/>
        <v>4464</v>
      </c>
      <c r="AG30" s="77">
        <v>49787</v>
      </c>
      <c r="AH30" s="103">
        <f t="shared" ref="AH30" si="431">(+AG30-+AG29)*48</f>
        <v>0</v>
      </c>
      <c r="AI30" s="77">
        <v>431273</v>
      </c>
      <c r="AJ30" s="103">
        <f t="shared" si="1"/>
        <v>4128</v>
      </c>
      <c r="AK30" s="77">
        <v>102770</v>
      </c>
      <c r="AL30" s="103">
        <f>(+AK30-+AK29)*48</f>
        <v>0</v>
      </c>
      <c r="AM30" s="82">
        <v>592447</v>
      </c>
      <c r="AN30" s="103">
        <f t="shared" ref="AN30" si="432">(+AM30-+AM29)*48</f>
        <v>3936</v>
      </c>
      <c r="AO30" s="77">
        <v>967313</v>
      </c>
      <c r="AP30" s="103">
        <f t="shared" ref="AP30" si="433">(+AO30-+AO29)*48</f>
        <v>12528</v>
      </c>
      <c r="AQ30" s="82">
        <v>85958</v>
      </c>
      <c r="AR30" s="103">
        <f t="shared" ref="AR30" si="434">(+AQ30-+AQ29)*48</f>
        <v>9984</v>
      </c>
      <c r="AS30" s="82">
        <v>2378</v>
      </c>
      <c r="AT30" s="103">
        <f t="shared" ref="AT30" si="435">(+AS30-+AS29)*48</f>
        <v>288</v>
      </c>
      <c r="AU30" s="82">
        <v>939</v>
      </c>
      <c r="AV30" s="103">
        <f t="shared" ref="AV30" si="436">(+AU30-+AU29)*48</f>
        <v>0</v>
      </c>
      <c r="AW30" s="77">
        <v>3110</v>
      </c>
      <c r="AX30" s="103">
        <f>(+AW30-+AW29)*48</f>
        <v>0</v>
      </c>
      <c r="AY30" s="82">
        <v>333653</v>
      </c>
      <c r="AZ30" s="103">
        <f t="shared" ref="AZ30" si="437">(+AY30-+AY29)*48</f>
        <v>7248</v>
      </c>
      <c r="BA30" s="77">
        <v>161101</v>
      </c>
      <c r="BB30" s="103">
        <f t="shared" si="377"/>
        <v>0</v>
      </c>
      <c r="BC30" s="83">
        <v>225356</v>
      </c>
      <c r="BD30" s="103">
        <f t="shared" ref="BD30" si="438">(+BC30-+BC29)*48</f>
        <v>3360</v>
      </c>
      <c r="BE30" s="77">
        <v>5347</v>
      </c>
      <c r="BF30" s="103">
        <f t="shared" ref="BF30" si="439">(+BE30-+BE29)*48</f>
        <v>0</v>
      </c>
      <c r="BH30" s="104">
        <f t="shared" si="3"/>
        <v>176869.63199999998</v>
      </c>
      <c r="BI30" s="104">
        <f t="shared" si="4"/>
        <v>88905.600000000006</v>
      </c>
    </row>
    <row r="31" spans="1:61" s="36" customFormat="1" ht="39.950000000000003" customHeight="1">
      <c r="A31" s="142">
        <f t="shared" si="29"/>
        <v>44553</v>
      </c>
      <c r="B31" s="35"/>
      <c r="C31" s="82">
        <v>6538284</v>
      </c>
      <c r="D31" s="103">
        <f t="shared" ref="D31" si="440">(+C31-+C30)*48</f>
        <v>117312</v>
      </c>
      <c r="E31" s="38">
        <f t="shared" si="6"/>
        <v>70387.199999999997</v>
      </c>
      <c r="F31" s="103">
        <f t="shared" si="7"/>
        <v>46924.800000000003</v>
      </c>
      <c r="G31" s="82">
        <v>290566</v>
      </c>
      <c r="H31" s="38">
        <f t="shared" ref="H31" si="441">(+G31-+G30)*48</f>
        <v>2784</v>
      </c>
      <c r="I31" s="82">
        <v>161603</v>
      </c>
      <c r="J31" s="38">
        <f t="shared" ref="J31" si="442">(+I31-+I30)*48</f>
        <v>8352</v>
      </c>
      <c r="K31" s="82">
        <v>266395</v>
      </c>
      <c r="L31" s="38">
        <f t="shared" si="0"/>
        <v>5856</v>
      </c>
      <c r="M31" s="82">
        <v>25100</v>
      </c>
      <c r="N31" s="38">
        <f t="shared" ref="N31" si="443">(+M31-+M30)*48</f>
        <v>240</v>
      </c>
      <c r="O31" s="82">
        <v>306829</v>
      </c>
      <c r="P31" s="38">
        <f t="shared" ref="P31" si="444">(+O31-+O30)*48</f>
        <v>9504</v>
      </c>
      <c r="Q31" s="82">
        <v>467182</v>
      </c>
      <c r="R31" s="103">
        <f t="shared" ref="R31" si="445">(+Q31-+Q30)*48</f>
        <v>4896</v>
      </c>
      <c r="S31" s="82">
        <v>747673</v>
      </c>
      <c r="T31" s="103">
        <f t="shared" ref="T31" si="446">(+S31-+S30)*48</f>
        <v>5568</v>
      </c>
      <c r="U31" s="82">
        <v>3981.64</v>
      </c>
      <c r="V31" s="103">
        <f t="shared" ref="V31" si="447">(+U31-+U30)*48</f>
        <v>943.48799999999756</v>
      </c>
      <c r="W31" s="82">
        <v>83984</v>
      </c>
      <c r="X31" s="103">
        <f t="shared" ref="X31" si="448">(+W31-+W30)*48</f>
        <v>1296</v>
      </c>
      <c r="Y31" s="77">
        <v>1514059</v>
      </c>
      <c r="Z31" s="103">
        <f t="shared" ref="Z31" si="449">(+Y31-+Y30)*48</f>
        <v>11280</v>
      </c>
      <c r="AA31" s="77">
        <v>13643</v>
      </c>
      <c r="AB31" s="103">
        <f t="shared" ref="AB31" si="450">(+AA31-+AA30)*48</f>
        <v>720</v>
      </c>
      <c r="AC31" s="82">
        <v>479914</v>
      </c>
      <c r="AD31" s="103">
        <f t="shared" si="18"/>
        <v>7008</v>
      </c>
      <c r="AE31" s="82">
        <v>552855</v>
      </c>
      <c r="AF31" s="103">
        <f t="shared" si="18"/>
        <v>5280</v>
      </c>
      <c r="AG31" s="77">
        <v>49787</v>
      </c>
      <c r="AH31" s="103">
        <f t="shared" ref="AH31" si="451">(+AG31-+AG30)*48</f>
        <v>0</v>
      </c>
      <c r="AI31" s="77">
        <v>431363</v>
      </c>
      <c r="AJ31" s="103">
        <f t="shared" si="1"/>
        <v>4320</v>
      </c>
      <c r="AK31" s="77">
        <v>102770</v>
      </c>
      <c r="AL31" s="103">
        <f>(+AK31-+AK30)*48</f>
        <v>0</v>
      </c>
      <c r="AM31" s="82">
        <v>592529</v>
      </c>
      <c r="AN31" s="103">
        <f t="shared" ref="AN31" si="452">(+AM31-+AM30)*48</f>
        <v>3936</v>
      </c>
      <c r="AO31" s="77">
        <v>967508</v>
      </c>
      <c r="AP31" s="103">
        <f t="shared" ref="AP31" si="453">(+AO31-+AO30)*48</f>
        <v>9360</v>
      </c>
      <c r="AQ31" s="82">
        <v>86128</v>
      </c>
      <c r="AR31" s="103">
        <f t="shared" ref="AR31" si="454">(+AQ31-+AQ30)*48</f>
        <v>8160</v>
      </c>
      <c r="AS31" s="82">
        <v>2381</v>
      </c>
      <c r="AT31" s="103">
        <f t="shared" ref="AT31" si="455">(+AS31-+AS30)*48</f>
        <v>144</v>
      </c>
      <c r="AU31" s="82">
        <v>939</v>
      </c>
      <c r="AV31" s="103">
        <f t="shared" ref="AV31" si="456">(+AU31-+AU30)*48</f>
        <v>0</v>
      </c>
      <c r="AW31" s="77">
        <v>3110</v>
      </c>
      <c r="AX31" s="103">
        <f t="shared" ref="AX31" si="457">(+AW31-+AW30)*48</f>
        <v>0</v>
      </c>
      <c r="AY31" s="82">
        <v>333766</v>
      </c>
      <c r="AZ31" s="103">
        <f t="shared" ref="AZ31" si="458">(+AY31-+AY30)*48</f>
        <v>5424</v>
      </c>
      <c r="BA31" s="77">
        <v>161101</v>
      </c>
      <c r="BB31" s="103">
        <f t="shared" si="377"/>
        <v>0</v>
      </c>
      <c r="BC31" s="83">
        <v>225426</v>
      </c>
      <c r="BD31" s="103">
        <f t="shared" ref="BD31" si="459">(+BC31-+BC30)*48</f>
        <v>3360</v>
      </c>
      <c r="BE31" s="77">
        <v>5347</v>
      </c>
      <c r="BF31" s="103">
        <f t="shared" ref="BF31" si="460">(+BE31-+BE30)*48</f>
        <v>0</v>
      </c>
      <c r="BH31" s="104">
        <f t="shared" si="3"/>
        <v>147410.68799999999</v>
      </c>
      <c r="BI31" s="104">
        <f t="shared" si="4"/>
        <v>68332.800000000003</v>
      </c>
    </row>
    <row r="32" spans="1:61" s="36" customFormat="1" ht="39.950000000000003" customHeight="1">
      <c r="A32" s="142">
        <f t="shared" si="29"/>
        <v>44554</v>
      </c>
      <c r="B32" s="35"/>
      <c r="C32" s="77">
        <v>6540886</v>
      </c>
      <c r="D32" s="103">
        <f t="shared" ref="D32" si="461">(+C32-+C31)*48</f>
        <v>124896</v>
      </c>
      <c r="E32" s="38">
        <f t="shared" si="6"/>
        <v>74937.599999999991</v>
      </c>
      <c r="F32" s="103">
        <f t="shared" si="7"/>
        <v>49958.400000000001</v>
      </c>
      <c r="G32" s="77">
        <v>290625</v>
      </c>
      <c r="H32" s="38">
        <f t="shared" ref="H32" si="462">(+G32-+G31)*48</f>
        <v>2832</v>
      </c>
      <c r="I32" s="77">
        <v>161785</v>
      </c>
      <c r="J32" s="38">
        <f t="shared" ref="J32" si="463">(+I32-+I31)*48</f>
        <v>8736</v>
      </c>
      <c r="K32" s="77">
        <v>266486</v>
      </c>
      <c r="L32" s="38">
        <f t="shared" si="0"/>
        <v>4368</v>
      </c>
      <c r="M32" s="77">
        <v>25108</v>
      </c>
      <c r="N32" s="38">
        <f t="shared" ref="N32" si="464">(+M32-+M31)*48</f>
        <v>384</v>
      </c>
      <c r="O32" s="77">
        <v>307039</v>
      </c>
      <c r="P32" s="38">
        <f t="shared" ref="P32" si="465">(+O32-+O31)*48</f>
        <v>10080</v>
      </c>
      <c r="Q32" s="77">
        <v>467277</v>
      </c>
      <c r="R32" s="103">
        <f t="shared" ref="R32" si="466">(+Q32-+Q31)*48</f>
        <v>4560</v>
      </c>
      <c r="S32" s="77">
        <v>747783</v>
      </c>
      <c r="T32" s="103">
        <f t="shared" ref="T32" si="467">(+S32-+S31)*48</f>
        <v>5280</v>
      </c>
      <c r="U32" s="82">
        <v>4002.4409999999998</v>
      </c>
      <c r="V32" s="103">
        <f t="shared" ref="V32" si="468">(+U32-+U31)*48</f>
        <v>998.44799999999668</v>
      </c>
      <c r="W32" s="77">
        <v>84011</v>
      </c>
      <c r="X32" s="103">
        <f t="shared" ref="X32" si="469">(+W32-+W31)*48</f>
        <v>1296</v>
      </c>
      <c r="Y32" s="77">
        <v>1514323</v>
      </c>
      <c r="Z32" s="103">
        <f t="shared" ref="Z32" si="470">(+Y32-+Y31)*48</f>
        <v>12672</v>
      </c>
      <c r="AA32" s="77">
        <v>13661</v>
      </c>
      <c r="AB32" s="103">
        <f t="shared" ref="AB32" si="471">(+AA32-+AA31)*48</f>
        <v>864</v>
      </c>
      <c r="AC32" s="77">
        <v>480045</v>
      </c>
      <c r="AD32" s="103">
        <f t="shared" si="18"/>
        <v>6288</v>
      </c>
      <c r="AE32" s="77">
        <v>552973</v>
      </c>
      <c r="AF32" s="103">
        <f t="shared" si="18"/>
        <v>5664</v>
      </c>
      <c r="AG32" s="77">
        <v>49787</v>
      </c>
      <c r="AH32" s="103">
        <f t="shared" ref="AH32" si="472">(+AG32-+AG31)*48</f>
        <v>0</v>
      </c>
      <c r="AI32" s="77">
        <v>431463</v>
      </c>
      <c r="AJ32" s="103">
        <f t="shared" si="1"/>
        <v>4800</v>
      </c>
      <c r="AK32" s="77">
        <v>102770</v>
      </c>
      <c r="AL32" s="103">
        <f t="shared" si="2"/>
        <v>0</v>
      </c>
      <c r="AM32" s="77">
        <v>592597</v>
      </c>
      <c r="AN32" s="103">
        <f t="shared" ref="AN32" si="473">(+AM32-+AM31)*48</f>
        <v>3264</v>
      </c>
      <c r="AO32" s="77">
        <v>967681</v>
      </c>
      <c r="AP32" s="103">
        <f t="shared" ref="AP32" si="474">(+AO32-+AO31)*48</f>
        <v>8304</v>
      </c>
      <c r="AQ32" s="77">
        <v>86277</v>
      </c>
      <c r="AR32" s="103">
        <f t="shared" ref="AR32" si="475">(+AQ32-+AQ31)*48</f>
        <v>7152</v>
      </c>
      <c r="AS32" s="77">
        <v>2385</v>
      </c>
      <c r="AT32" s="103">
        <f t="shared" ref="AT32" si="476">(+AS32-+AS31)*48</f>
        <v>192</v>
      </c>
      <c r="AU32" s="82">
        <v>939</v>
      </c>
      <c r="AV32" s="103">
        <f t="shared" ref="AV32" si="477">(+AU32-+AU31)*48</f>
        <v>0</v>
      </c>
      <c r="AW32" s="77">
        <v>3110</v>
      </c>
      <c r="AX32" s="103">
        <f t="shared" ref="AX32" si="478">(+AW32-+AW31)*48</f>
        <v>0</v>
      </c>
      <c r="AY32" s="77">
        <v>333884</v>
      </c>
      <c r="AZ32" s="103">
        <f t="shared" ref="AZ32" si="479">(+AY32-+AY31)*48</f>
        <v>5664</v>
      </c>
      <c r="BA32" s="77">
        <v>161101</v>
      </c>
      <c r="BB32" s="103">
        <f t="shared" si="377"/>
        <v>0</v>
      </c>
      <c r="BC32" s="77">
        <v>225502</v>
      </c>
      <c r="BD32" s="103">
        <f t="shared" ref="BD32" si="480">(+BC32-+BC31)*48</f>
        <v>3648</v>
      </c>
      <c r="BE32" s="77">
        <v>5347</v>
      </c>
      <c r="BF32" s="103">
        <f t="shared" ref="BF32" si="481">(+BE32-+BE31)*48</f>
        <v>0</v>
      </c>
      <c r="BH32" s="104">
        <f t="shared" si="3"/>
        <v>150528.04799999998</v>
      </c>
      <c r="BI32" s="104">
        <f t="shared" si="4"/>
        <v>71414.399999999994</v>
      </c>
    </row>
    <row r="33" spans="1:61" s="36" customFormat="1" ht="39.950000000000003" customHeight="1">
      <c r="A33" s="142">
        <f t="shared" si="29"/>
        <v>44555</v>
      </c>
      <c r="B33" s="35"/>
      <c r="C33" s="77">
        <v>6543665</v>
      </c>
      <c r="D33" s="103">
        <f t="shared" ref="D33" si="482">(+C33-+C32)*48</f>
        <v>133392</v>
      </c>
      <c r="E33" s="38">
        <f t="shared" si="6"/>
        <v>80035.199999999997</v>
      </c>
      <c r="F33" s="103">
        <f t="shared" si="7"/>
        <v>53356.800000000003</v>
      </c>
      <c r="G33" s="77">
        <v>290683</v>
      </c>
      <c r="H33" s="103">
        <f t="shared" ref="H33" si="483">(+G33-+G32)*48</f>
        <v>2784</v>
      </c>
      <c r="I33" s="77">
        <v>161959</v>
      </c>
      <c r="J33" s="38">
        <f t="shared" ref="J33" si="484">(+I33-+I32)*48</f>
        <v>8352</v>
      </c>
      <c r="K33" s="77">
        <v>266577</v>
      </c>
      <c r="L33" s="103">
        <f t="shared" si="0"/>
        <v>4368</v>
      </c>
      <c r="M33" s="77">
        <v>25113</v>
      </c>
      <c r="N33" s="38">
        <f t="shared" ref="N33" si="485">(+M33-+M32)*48</f>
        <v>240</v>
      </c>
      <c r="O33" s="77">
        <v>307242</v>
      </c>
      <c r="P33" s="38">
        <f t="shared" ref="P33" si="486">(+O33-+O32)*48</f>
        <v>9744</v>
      </c>
      <c r="Q33" s="77">
        <v>467369</v>
      </c>
      <c r="R33" s="103">
        <f t="shared" ref="R33" si="487">(+Q33-+Q32)*48</f>
        <v>4416</v>
      </c>
      <c r="S33" s="77">
        <v>747907</v>
      </c>
      <c r="T33" s="103">
        <f t="shared" ref="T33" si="488">(+S33-+S32)*48</f>
        <v>5952</v>
      </c>
      <c r="U33" s="82">
        <v>4021.998</v>
      </c>
      <c r="V33" s="103">
        <f t="shared" ref="V33" si="489">(+U33-+U32)*48</f>
        <v>938.7360000000117</v>
      </c>
      <c r="W33" s="77">
        <v>84028</v>
      </c>
      <c r="X33" s="103">
        <f t="shared" ref="X33" si="490">(+W33-+W32)*48</f>
        <v>816</v>
      </c>
      <c r="Y33" s="77">
        <v>1514542</v>
      </c>
      <c r="Z33" s="103">
        <f t="shared" ref="Z33" si="491">(+Y33-+Y32)*48</f>
        <v>10512</v>
      </c>
      <c r="AA33" s="77">
        <v>13669</v>
      </c>
      <c r="AB33" s="103">
        <f t="shared" ref="AB33" si="492">(+AA33-+AA32)*48</f>
        <v>384</v>
      </c>
      <c r="AC33" s="77">
        <v>480196</v>
      </c>
      <c r="AD33" s="103">
        <f t="shared" si="18"/>
        <v>7248</v>
      </c>
      <c r="AE33" s="77">
        <v>553108</v>
      </c>
      <c r="AF33" s="103">
        <f t="shared" si="18"/>
        <v>6480</v>
      </c>
      <c r="AG33" s="77">
        <v>49787</v>
      </c>
      <c r="AH33" s="103">
        <f t="shared" ref="AH33" si="493">(+AG33-+AG32)*48</f>
        <v>0</v>
      </c>
      <c r="AI33" s="77">
        <v>431581</v>
      </c>
      <c r="AJ33" s="103">
        <f t="shared" si="1"/>
        <v>5664</v>
      </c>
      <c r="AK33" s="77">
        <v>102770</v>
      </c>
      <c r="AL33" s="103">
        <f t="shared" si="2"/>
        <v>0</v>
      </c>
      <c r="AM33" s="77">
        <v>592691</v>
      </c>
      <c r="AN33" s="103">
        <f t="shared" ref="AN33" si="494">(+AM33-+AM32)*48</f>
        <v>4512</v>
      </c>
      <c r="AO33" s="77">
        <v>967840</v>
      </c>
      <c r="AP33" s="103">
        <f t="shared" ref="AP33" si="495">(+AO33-+AO32)*48</f>
        <v>7632</v>
      </c>
      <c r="AQ33" s="77">
        <v>86417</v>
      </c>
      <c r="AR33" s="103">
        <f t="shared" ref="AR33" si="496">(+AQ33-+AQ32)*48</f>
        <v>6720</v>
      </c>
      <c r="AS33" s="77">
        <v>2388</v>
      </c>
      <c r="AT33" s="103">
        <f t="shared" ref="AT33" si="497">(+AS33-+AS32)*48</f>
        <v>144</v>
      </c>
      <c r="AU33" s="82">
        <v>939</v>
      </c>
      <c r="AV33" s="103">
        <f t="shared" ref="AV33" si="498">(+AU33-+AU32)*48</f>
        <v>0</v>
      </c>
      <c r="AW33" s="77">
        <v>3110</v>
      </c>
      <c r="AX33" s="103">
        <f t="shared" ref="AX33" si="499">(+AW33-+AW32)*48</f>
        <v>0</v>
      </c>
      <c r="AY33" s="77">
        <v>334004</v>
      </c>
      <c r="AZ33" s="103">
        <f t="shared" ref="AZ33:AZ38" si="500">(+AY33-+AY32)*48</f>
        <v>5760</v>
      </c>
      <c r="BA33" s="77">
        <v>161101</v>
      </c>
      <c r="BB33" s="103">
        <f t="shared" si="377"/>
        <v>0</v>
      </c>
      <c r="BC33" s="77">
        <v>225574</v>
      </c>
      <c r="BD33" s="103">
        <f t="shared" ref="BD33" si="501">(+BC33-+BC32)*48</f>
        <v>3456</v>
      </c>
      <c r="BE33" s="77">
        <v>5347</v>
      </c>
      <c r="BF33" s="103">
        <f t="shared" ref="BF33" si="502">(+BE33-+BE32)*48</f>
        <v>0</v>
      </c>
      <c r="BH33" s="104">
        <f t="shared" si="3"/>
        <v>154413.93600000002</v>
      </c>
      <c r="BI33" s="104">
        <f t="shared" si="4"/>
        <v>75100.800000000003</v>
      </c>
    </row>
    <row r="34" spans="1:61" s="36" customFormat="1" ht="39.950000000000003" customHeight="1">
      <c r="A34" s="142">
        <f t="shared" si="29"/>
        <v>44556</v>
      </c>
      <c r="B34" s="35"/>
      <c r="C34" s="77">
        <v>6546731</v>
      </c>
      <c r="D34" s="103">
        <f t="shared" ref="D34" si="503">(+C34-+C33)*48</f>
        <v>147168</v>
      </c>
      <c r="E34" s="38">
        <f t="shared" si="6"/>
        <v>88300.800000000003</v>
      </c>
      <c r="F34" s="103">
        <f t="shared" si="7"/>
        <v>58867.200000000004</v>
      </c>
      <c r="G34" s="77">
        <v>290753</v>
      </c>
      <c r="H34" s="103">
        <f t="shared" ref="H34" si="504">(+G34-+G33)*48</f>
        <v>3360</v>
      </c>
      <c r="I34" s="77">
        <v>162141</v>
      </c>
      <c r="J34" s="38">
        <f t="shared" ref="J34" si="505">(+I34-+I33)*48</f>
        <v>8736</v>
      </c>
      <c r="K34" s="77">
        <v>266672</v>
      </c>
      <c r="L34" s="103">
        <f t="shared" si="0"/>
        <v>4560</v>
      </c>
      <c r="M34" s="77">
        <v>25119</v>
      </c>
      <c r="N34" s="38">
        <f t="shared" ref="N34" si="506">(+M34-+M33)*48</f>
        <v>288</v>
      </c>
      <c r="O34" s="77">
        <v>307466</v>
      </c>
      <c r="P34" s="38">
        <f t="shared" ref="P34" si="507">(+O34-+O33)*48</f>
        <v>10752</v>
      </c>
      <c r="Q34" s="77">
        <v>467484</v>
      </c>
      <c r="R34" s="103">
        <f t="shared" ref="R34" si="508">(+Q34-+Q33)*48</f>
        <v>5520</v>
      </c>
      <c r="S34" s="77">
        <v>748007</v>
      </c>
      <c r="T34" s="103">
        <f t="shared" ref="T34" si="509">(+S34-+S33)*48</f>
        <v>4800</v>
      </c>
      <c r="U34" s="82">
        <v>4045.38</v>
      </c>
      <c r="V34" s="103">
        <f t="shared" ref="V34" si="510">(+U34-+U33)*48</f>
        <v>1122.336000000003</v>
      </c>
      <c r="W34" s="77">
        <v>84054</v>
      </c>
      <c r="X34" s="103">
        <f t="shared" ref="X34" si="511">(+W34-+W33)*48</f>
        <v>1248</v>
      </c>
      <c r="Y34" s="77">
        <v>1514817</v>
      </c>
      <c r="Z34" s="103">
        <f t="shared" ref="Z34" si="512">(+Y34-+Y33)*48</f>
        <v>13200</v>
      </c>
      <c r="AA34" s="77">
        <v>13686</v>
      </c>
      <c r="AB34" s="103">
        <f t="shared" ref="AB34" si="513">(+AA34-+AA33)*48</f>
        <v>816</v>
      </c>
      <c r="AC34" s="77">
        <v>480328</v>
      </c>
      <c r="AD34" s="103">
        <f t="shared" si="18"/>
        <v>6336</v>
      </c>
      <c r="AE34" s="77">
        <v>553229</v>
      </c>
      <c r="AF34" s="103">
        <f t="shared" si="18"/>
        <v>5808</v>
      </c>
      <c r="AG34" s="77">
        <v>49787</v>
      </c>
      <c r="AH34" s="103">
        <f t="shared" ref="AH34" si="514">(+AG34-+AG33)*48</f>
        <v>0</v>
      </c>
      <c r="AI34" s="77">
        <v>431691</v>
      </c>
      <c r="AJ34" s="103">
        <f t="shared" si="1"/>
        <v>5280</v>
      </c>
      <c r="AK34" s="77">
        <v>102770</v>
      </c>
      <c r="AL34" s="103">
        <f t="shared" si="2"/>
        <v>0</v>
      </c>
      <c r="AM34" s="77">
        <v>592701</v>
      </c>
      <c r="AN34" s="103">
        <f t="shared" ref="AN34" si="515">(+AM34-+AM33)*48</f>
        <v>480</v>
      </c>
      <c r="AO34" s="77">
        <v>968072</v>
      </c>
      <c r="AP34" s="103">
        <f t="shared" ref="AP34" si="516">(+AO34-+AO33)*48</f>
        <v>11136</v>
      </c>
      <c r="AQ34" s="77">
        <v>86603</v>
      </c>
      <c r="AR34" s="103">
        <f t="shared" ref="AR34" si="517">(+AQ34-+AQ33)*48</f>
        <v>8928</v>
      </c>
      <c r="AS34" s="77">
        <v>2394</v>
      </c>
      <c r="AT34" s="103">
        <f t="shared" ref="AT34" si="518">(+AS34-+AS33)*48</f>
        <v>288</v>
      </c>
      <c r="AU34" s="82">
        <v>939</v>
      </c>
      <c r="AV34" s="103">
        <f t="shared" ref="AV34" si="519">(+AU34-+AU33)*48</f>
        <v>0</v>
      </c>
      <c r="AW34" s="77">
        <v>3110</v>
      </c>
      <c r="AX34" s="103">
        <f t="shared" ref="AX34" si="520">(+AW34-+AW33)*48</f>
        <v>0</v>
      </c>
      <c r="AY34" s="77">
        <v>334122</v>
      </c>
      <c r="AZ34" s="103">
        <f t="shared" si="500"/>
        <v>5664</v>
      </c>
      <c r="BA34" s="77">
        <v>161101</v>
      </c>
      <c r="BB34" s="103">
        <f t="shared" si="377"/>
        <v>0</v>
      </c>
      <c r="BC34" s="77">
        <v>225648</v>
      </c>
      <c r="BD34" s="103">
        <f t="shared" ref="BD34" si="521">(+BC34-+BC33)*48</f>
        <v>3552</v>
      </c>
      <c r="BE34" s="77">
        <v>5347</v>
      </c>
      <c r="BF34" s="103">
        <f t="shared" ref="BF34" si="522">(+BE34-+BE33)*48</f>
        <v>0</v>
      </c>
      <c r="BH34" s="104">
        <f t="shared" si="3"/>
        <v>166463.136</v>
      </c>
      <c r="BI34" s="104">
        <f t="shared" si="4"/>
        <v>82579.200000000012</v>
      </c>
    </row>
    <row r="35" spans="1:61" s="36" customFormat="1" ht="39.950000000000003" customHeight="1">
      <c r="A35" s="142">
        <f t="shared" si="29"/>
        <v>44557</v>
      </c>
      <c r="B35" s="35"/>
      <c r="C35" s="77">
        <v>6550572</v>
      </c>
      <c r="D35" s="103">
        <f t="shared" ref="D35" si="523">(+C35-+C34)*48</f>
        <v>184368</v>
      </c>
      <c r="E35" s="38">
        <f t="shared" si="6"/>
        <v>110620.8</v>
      </c>
      <c r="F35" s="103">
        <f t="shared" si="7"/>
        <v>73747.199999999997</v>
      </c>
      <c r="G35" s="77">
        <v>290824</v>
      </c>
      <c r="H35" s="103">
        <f t="shared" ref="H35" si="524">(+G35-+G34)*48</f>
        <v>3408</v>
      </c>
      <c r="I35" s="77">
        <v>162322</v>
      </c>
      <c r="J35" s="38">
        <f t="shared" ref="J35" si="525">(+I35-+I34)*48</f>
        <v>8688</v>
      </c>
      <c r="K35" s="77">
        <v>266782</v>
      </c>
      <c r="L35" s="103">
        <f t="shared" si="0"/>
        <v>5280</v>
      </c>
      <c r="M35" s="77">
        <f>'[1]Town Gas'!$G$36</f>
        <v>25127</v>
      </c>
      <c r="N35" s="38">
        <f t="shared" ref="N35" si="526">(+M35-+M34)*48</f>
        <v>384</v>
      </c>
      <c r="O35" s="77">
        <f>'[1]Town Gas'!$H$36</f>
        <v>307673</v>
      </c>
      <c r="P35" s="38">
        <f t="shared" ref="P35" si="527">(+O35-+O34)*48</f>
        <v>9936</v>
      </c>
      <c r="Q35" s="77">
        <f>'[1]Town Gas'!$I$36</f>
        <v>467595</v>
      </c>
      <c r="R35" s="103">
        <f t="shared" ref="R35" si="528">(+Q35-+Q34)*48</f>
        <v>5328</v>
      </c>
      <c r="S35" s="77">
        <f>'[1]Town Gas'!$J$36</f>
        <v>748122</v>
      </c>
      <c r="T35" s="103">
        <f t="shared" ref="T35" si="529">(+S35-+S34)*48</f>
        <v>5520</v>
      </c>
      <c r="U35" s="82">
        <f>'[1]Town Gas'!$K$36</f>
        <v>4067.0920000000001</v>
      </c>
      <c r="V35" s="103">
        <f t="shared" ref="V35" si="530">(+U35-+U34)*48</f>
        <v>1042.1759999999995</v>
      </c>
      <c r="W35" s="77">
        <f>'[1]Town Gas'!$L$36</f>
        <v>84065</v>
      </c>
      <c r="X35" s="103">
        <f t="shared" ref="X35" si="531">(+W35-+W34)*48</f>
        <v>528</v>
      </c>
      <c r="Y35" s="77">
        <f>'[1]Town Gas'!$M$36</f>
        <v>1515129</v>
      </c>
      <c r="Z35" s="103">
        <f t="shared" ref="Z35" si="532">(+Y35-+Y34)*48</f>
        <v>14976</v>
      </c>
      <c r="AA35" s="77">
        <f>'[1]Town Gas'!$N$36</f>
        <v>13707</v>
      </c>
      <c r="AB35" s="103">
        <f t="shared" ref="AB35" si="533">(+AA35-+AA34)*48</f>
        <v>1008</v>
      </c>
      <c r="AC35" s="77">
        <f>'[1]Town Gas'!$O$36</f>
        <v>480449</v>
      </c>
      <c r="AD35" s="103">
        <f t="shared" si="18"/>
        <v>5808</v>
      </c>
      <c r="AE35" s="77">
        <f>'[1]Town Gas'!$P$36</f>
        <v>553326</v>
      </c>
      <c r="AF35" s="103">
        <f t="shared" si="18"/>
        <v>4656</v>
      </c>
      <c r="AG35" s="77">
        <v>49787</v>
      </c>
      <c r="AH35" s="103">
        <f t="shared" ref="AH35" si="534">(+AG35-+AG34)*48</f>
        <v>0</v>
      </c>
      <c r="AI35" s="77">
        <f>'[1]Town Gas'!$Y$36</f>
        <v>431798</v>
      </c>
      <c r="AJ35" s="103">
        <f t="shared" si="1"/>
        <v>5136</v>
      </c>
      <c r="AK35" s="77">
        <v>102770</v>
      </c>
      <c r="AL35" s="103">
        <f t="shared" si="2"/>
        <v>0</v>
      </c>
      <c r="AM35" s="77">
        <f>'[1]Town Gas'!$S$36</f>
        <v>592800</v>
      </c>
      <c r="AN35" s="103">
        <f t="shared" ref="AN35" si="535">(+AM35-+AM34)*48</f>
        <v>4752</v>
      </c>
      <c r="AO35" s="77">
        <f>'[1]Town Gas'!$T$36</f>
        <v>968209</v>
      </c>
      <c r="AP35" s="103">
        <f t="shared" ref="AP35" si="536">(+AO35-+AO34)*48</f>
        <v>6576</v>
      </c>
      <c r="AQ35" s="77">
        <f>'[1]Town Gas'!$U$36</f>
        <v>86833</v>
      </c>
      <c r="AR35" s="103">
        <f t="shared" ref="AR35" si="537">(+AQ35-+AQ34)*48</f>
        <v>11040</v>
      </c>
      <c r="AS35" s="77">
        <f>'[1]Town Gas'!$V$36</f>
        <v>2404</v>
      </c>
      <c r="AT35" s="103">
        <f t="shared" ref="AT35" si="538">(+AS35-+AS34)*48</f>
        <v>480</v>
      </c>
      <c r="AU35" s="82">
        <v>939</v>
      </c>
      <c r="AV35" s="103">
        <f t="shared" ref="AV35" si="539">(+AU35-+AU34)*48</f>
        <v>0</v>
      </c>
      <c r="AW35" s="77">
        <v>3110</v>
      </c>
      <c r="AX35" s="103">
        <f t="shared" ref="AX35" si="540">(+AW35-+AW34)*48</f>
        <v>0</v>
      </c>
      <c r="AY35" s="77">
        <v>334239</v>
      </c>
      <c r="AZ35" s="103">
        <f t="shared" si="500"/>
        <v>5616</v>
      </c>
      <c r="BA35" s="77">
        <v>161101</v>
      </c>
      <c r="BB35" s="103">
        <f t="shared" si="377"/>
        <v>0</v>
      </c>
      <c r="BC35" s="76">
        <v>225721</v>
      </c>
      <c r="BD35" s="103">
        <f t="shared" ref="BD35" si="541">(+BC35-+BC34)*48</f>
        <v>3504</v>
      </c>
      <c r="BE35" s="77">
        <v>5347</v>
      </c>
      <c r="BF35" s="103">
        <f t="shared" ref="BF35" si="542">(+BE35-+BE34)*48</f>
        <v>0</v>
      </c>
      <c r="BH35" s="104">
        <f t="shared" si="3"/>
        <v>188510.976</v>
      </c>
      <c r="BI35" s="104">
        <f t="shared" si="4"/>
        <v>99523.199999999997</v>
      </c>
    </row>
    <row r="36" spans="1:61" s="36" customFormat="1" ht="39.950000000000003" customHeight="1">
      <c r="A36" s="142">
        <f t="shared" si="29"/>
        <v>44558</v>
      </c>
      <c r="B36" s="35"/>
      <c r="C36" s="82">
        <f>'[1]Town Gas'!$C$37</f>
        <v>6555278</v>
      </c>
      <c r="D36" s="103">
        <f t="shared" ref="D36" si="543">(+C36-+C35)*48</f>
        <v>225888</v>
      </c>
      <c r="E36" s="38">
        <f t="shared" si="6"/>
        <v>135532.79999999999</v>
      </c>
      <c r="F36" s="103">
        <f t="shared" si="7"/>
        <v>90355.200000000012</v>
      </c>
      <c r="G36" s="82">
        <f>'[1]Town Gas'!$D$37</f>
        <v>290880</v>
      </c>
      <c r="H36" s="103">
        <f t="shared" ref="H36:H38" si="544">(+G36-+G35)*48</f>
        <v>2688</v>
      </c>
      <c r="I36" s="82">
        <f>'[1]Town Gas'!$E$37</f>
        <v>162502</v>
      </c>
      <c r="J36" s="38">
        <f t="shared" ref="J36:J38" si="545">(+I36-+I35)*48</f>
        <v>8640</v>
      </c>
      <c r="K36" s="82">
        <f>'[1]Town Gas'!$F$37</f>
        <v>266878</v>
      </c>
      <c r="L36" s="103">
        <f t="shared" si="0"/>
        <v>4608</v>
      </c>
      <c r="M36" s="77">
        <f>'[1]Town Gas'!$G$37</f>
        <v>25134</v>
      </c>
      <c r="N36" s="38">
        <f t="shared" ref="N36:N38" si="546">(+M36-+M35)*48</f>
        <v>336</v>
      </c>
      <c r="O36" s="82">
        <f>'[1]Town Gas'!$H$37</f>
        <v>307784</v>
      </c>
      <c r="P36" s="38">
        <f t="shared" ref="P36:P38" si="547">(+O36-+O35)*48</f>
        <v>5328</v>
      </c>
      <c r="Q36" s="82">
        <f>'[1]Town Gas'!$I$37</f>
        <v>467673</v>
      </c>
      <c r="R36" s="103">
        <f t="shared" ref="R36:R38" si="548">(+Q36-+Q35)*48</f>
        <v>3744</v>
      </c>
      <c r="S36" s="82">
        <f>'[1]Town Gas'!$J$37</f>
        <v>748247</v>
      </c>
      <c r="T36" s="103">
        <f t="shared" ref="T36:T38" si="549">(+S36-+S35)*48</f>
        <v>6000</v>
      </c>
      <c r="U36" s="82">
        <f>'[1]Town Gas'!$K$37</f>
        <v>4088.7550000000001</v>
      </c>
      <c r="V36" s="103">
        <f t="shared" ref="V36:V38" si="550">(+U36-+U35)*48</f>
        <v>1039.8240000000005</v>
      </c>
      <c r="W36" s="82">
        <f>'[1]Town Gas'!$L$37</f>
        <v>84069</v>
      </c>
      <c r="X36" s="103">
        <f t="shared" ref="X36:X38" si="551">(+W36-+W35)*48</f>
        <v>192</v>
      </c>
      <c r="Y36" s="82">
        <f>'[1]Town Gas'!$M$37</f>
        <v>1515456</v>
      </c>
      <c r="Z36" s="103">
        <f t="shared" ref="Z36:Z38" si="552">(+Y36-+Y35)*48</f>
        <v>15696</v>
      </c>
      <c r="AA36" s="82">
        <f>'[1]Town Gas'!$N$37</f>
        <v>13737</v>
      </c>
      <c r="AB36" s="103">
        <f t="shared" ref="AB36:AB38" si="553">(+AA36-+AA35)*48</f>
        <v>1440</v>
      </c>
      <c r="AC36" s="82">
        <f>'[1]Town Gas'!$O$37</f>
        <v>480565</v>
      </c>
      <c r="AD36" s="103">
        <f t="shared" si="18"/>
        <v>5568</v>
      </c>
      <c r="AE36" s="82">
        <f>'[1]Town Gas'!$P$37</f>
        <v>553424</v>
      </c>
      <c r="AF36" s="103">
        <f t="shared" si="18"/>
        <v>4704</v>
      </c>
      <c r="AG36" s="77">
        <v>49787</v>
      </c>
      <c r="AH36" s="103">
        <f t="shared" ref="AH36:AH38" si="554">(+AG36-+AG35)*48</f>
        <v>0</v>
      </c>
      <c r="AI36" s="82">
        <f>'[1]Town Gas'!$Y$37</f>
        <v>431894</v>
      </c>
      <c r="AJ36" s="103">
        <f t="shared" si="1"/>
        <v>4608</v>
      </c>
      <c r="AK36" s="77">
        <v>102770</v>
      </c>
      <c r="AL36" s="103">
        <f t="shared" si="2"/>
        <v>0</v>
      </c>
      <c r="AM36" s="82">
        <f>'[1]Town Gas'!$S$37</f>
        <v>592850</v>
      </c>
      <c r="AN36" s="103">
        <f t="shared" ref="AN36:AN38" si="555">(+AM36-+AM35)*48</f>
        <v>2400</v>
      </c>
      <c r="AO36" s="82">
        <f>'[1]Town Gas'!$T$37</f>
        <v>968361</v>
      </c>
      <c r="AP36" s="103">
        <f t="shared" ref="AP36:AP38" si="556">(+AO36-+AO35)*48</f>
        <v>7296</v>
      </c>
      <c r="AQ36" s="82">
        <f>'[1]Town Gas'!$U$37</f>
        <v>87066</v>
      </c>
      <c r="AR36" s="103">
        <f t="shared" ref="AR36:AR38" si="557">(+AQ36-+AQ35)*48</f>
        <v>11184</v>
      </c>
      <c r="AS36" s="82">
        <f>'[1]Town Gas'!$V$37</f>
        <v>2410</v>
      </c>
      <c r="AT36" s="103">
        <f t="shared" ref="AT36:AT38" si="558">(+AS36-+AS35)*48</f>
        <v>288</v>
      </c>
      <c r="AU36" s="82">
        <v>939</v>
      </c>
      <c r="AV36" s="103">
        <f t="shared" ref="AV36:AV38" si="559">(+AU36-+AU35)*48</f>
        <v>0</v>
      </c>
      <c r="AW36" s="77">
        <v>3110</v>
      </c>
      <c r="AX36" s="103">
        <f t="shared" ref="AX36:AX38" si="560">(+AW36-+AW35)*48</f>
        <v>0</v>
      </c>
      <c r="AY36" s="82">
        <v>334301</v>
      </c>
      <c r="AZ36" s="103">
        <f t="shared" si="500"/>
        <v>2976</v>
      </c>
      <c r="BA36" s="77">
        <v>161101</v>
      </c>
      <c r="BB36" s="103">
        <f t="shared" si="377"/>
        <v>0</v>
      </c>
      <c r="BC36" s="83">
        <v>225816</v>
      </c>
      <c r="BD36" s="103">
        <f t="shared" ref="BD36" si="561">(+BC36-+BC35)*48</f>
        <v>4560</v>
      </c>
      <c r="BE36" s="77">
        <v>5347</v>
      </c>
      <c r="BF36" s="103">
        <f t="shared" ref="BF36:BF38" si="562">(+BE36-+BE35)*48</f>
        <v>0</v>
      </c>
      <c r="BH36" s="104">
        <f t="shared" si="3"/>
        <v>205212.62399999998</v>
      </c>
      <c r="BI36" s="104">
        <f t="shared" si="4"/>
        <v>113971.20000000001</v>
      </c>
    </row>
    <row r="37" spans="1:61" s="36" customFormat="1" ht="39.950000000000003" customHeight="1">
      <c r="A37" s="142">
        <f t="shared" si="29"/>
        <v>44559</v>
      </c>
      <c r="B37" s="35"/>
      <c r="C37" s="77">
        <f>'[1]Town Gas'!$C$38</f>
        <v>6559450</v>
      </c>
      <c r="D37" s="103">
        <f t="shared" ref="D37" si="563">(+C37-+C36)*48</f>
        <v>200256</v>
      </c>
      <c r="E37" s="38">
        <f t="shared" ref="E37" si="564">D37*0.6</f>
        <v>120153.59999999999</v>
      </c>
      <c r="F37" s="103">
        <f t="shared" ref="F37" si="565">D37*0.4</f>
        <v>80102.400000000009</v>
      </c>
      <c r="G37" s="77">
        <f>'[1]Town Gas'!$D$38</f>
        <v>290938</v>
      </c>
      <c r="H37" s="103">
        <f t="shared" ref="H37" si="566">(+G37-+G36)*48</f>
        <v>2784</v>
      </c>
      <c r="I37" s="77">
        <f>'[1]Town Gas'!$E$38</f>
        <v>162678</v>
      </c>
      <c r="J37" s="38">
        <f t="shared" ref="J37" si="567">(+I37-+I36)*48</f>
        <v>8448</v>
      </c>
      <c r="K37" s="77">
        <f>'[1]Town Gas'!$F$38</f>
        <v>266968</v>
      </c>
      <c r="L37" s="103">
        <f t="shared" ref="L37" si="568">(+K37-+K36)*48</f>
        <v>4320</v>
      </c>
      <c r="M37" s="77">
        <f>'[1]Town Gas'!$G$38</f>
        <v>25143</v>
      </c>
      <c r="N37" s="38">
        <f t="shared" ref="N37" si="569">(+M37-+M36)*48</f>
        <v>432</v>
      </c>
      <c r="O37" s="77">
        <f>'[1]Town Gas'!$H$38</f>
        <v>308065</v>
      </c>
      <c r="P37" s="38">
        <f t="shared" ref="P37" si="570">(+O37-+O36)*48</f>
        <v>13488</v>
      </c>
      <c r="Q37" s="77">
        <f>'[1]Town Gas'!$I$38</f>
        <v>467746</v>
      </c>
      <c r="R37" s="103">
        <f t="shared" ref="R37" si="571">(+Q37-+Q36)*48</f>
        <v>3504</v>
      </c>
      <c r="S37" s="77">
        <f>'[1]Town Gas'!$J$38</f>
        <v>748363</v>
      </c>
      <c r="T37" s="103">
        <f t="shared" ref="T37" si="572">(+S37-+S36)*48</f>
        <v>5568</v>
      </c>
      <c r="U37" s="82">
        <f>'[1]Town Gas'!$K$38</f>
        <v>4107.0110000000004</v>
      </c>
      <c r="V37" s="103">
        <f t="shared" ref="V37" si="573">(+U37-+U36)*48</f>
        <v>876.28800000001502</v>
      </c>
      <c r="W37" s="77">
        <f>'[1]Town Gas'!$L$38</f>
        <v>84084</v>
      </c>
      <c r="X37" s="103">
        <f t="shared" ref="X37" si="574">(+W37-+W36)*48</f>
        <v>720</v>
      </c>
      <c r="Y37" s="82">
        <f>'[1]Town Gas'!$M$38</f>
        <v>1515775</v>
      </c>
      <c r="Z37" s="103">
        <f t="shared" ref="Z37" si="575">(+Y37-+Y36)*48</f>
        <v>15312</v>
      </c>
      <c r="AA37" s="82">
        <f>'[1]Town Gas'!$N$38</f>
        <v>13772</v>
      </c>
      <c r="AB37" s="103">
        <f t="shared" ref="AB37" si="576">(+AA37-+AA36)*48</f>
        <v>1680</v>
      </c>
      <c r="AC37" s="77">
        <f>'[1]Town Gas'!$O$38</f>
        <v>480673</v>
      </c>
      <c r="AD37" s="103">
        <f t="shared" ref="AD37" si="577">(+AC37-+AC36)*48</f>
        <v>5184</v>
      </c>
      <c r="AE37" s="77">
        <f>'[1]Town Gas'!$P$38</f>
        <v>553502</v>
      </c>
      <c r="AF37" s="103">
        <f t="shared" ref="AF37" si="578">(+AE37-+AE36)*48</f>
        <v>3744</v>
      </c>
      <c r="AG37" s="77">
        <v>49787</v>
      </c>
      <c r="AH37" s="103">
        <f t="shared" ref="AH37" si="579">(+AG37-+AG36)*48</f>
        <v>0</v>
      </c>
      <c r="AI37" s="82">
        <f>'[1]Town Gas'!$Y$38</f>
        <v>431990</v>
      </c>
      <c r="AJ37" s="103">
        <f t="shared" si="1"/>
        <v>4608</v>
      </c>
      <c r="AK37" s="77">
        <v>102770</v>
      </c>
      <c r="AL37" s="103">
        <f t="shared" si="2"/>
        <v>0</v>
      </c>
      <c r="AM37" s="77">
        <f>'[1]Town Gas'!$S$38</f>
        <v>592874</v>
      </c>
      <c r="AN37" s="103">
        <f t="shared" ref="AN37" si="580">(+AM37-+AM36)*48</f>
        <v>1152</v>
      </c>
      <c r="AO37" s="82">
        <f>'[1]Town Gas'!$T$38</f>
        <v>968469</v>
      </c>
      <c r="AP37" s="103">
        <f t="shared" ref="AP37" si="581">(+AO37-+AO36)*48</f>
        <v>5184</v>
      </c>
      <c r="AQ37" s="77">
        <f>'[1]Town Gas'!$U$38</f>
        <v>87288</v>
      </c>
      <c r="AR37" s="103">
        <f t="shared" ref="AR37" si="582">(+AQ37-+AQ36)*48</f>
        <v>10656</v>
      </c>
      <c r="AS37" s="77">
        <f>'[1]Town Gas'!$V$38</f>
        <v>2419</v>
      </c>
      <c r="AT37" s="103">
        <f t="shared" ref="AT37" si="583">(+AS37-+AS36)*48</f>
        <v>432</v>
      </c>
      <c r="AU37" s="82">
        <v>939</v>
      </c>
      <c r="AV37" s="103">
        <f t="shared" ref="AV37" si="584">(+AU37-+AU36)*48</f>
        <v>0</v>
      </c>
      <c r="AW37" s="77">
        <v>3110</v>
      </c>
      <c r="AX37" s="103">
        <f t="shared" ref="AX37" si="585">(+AW37-+AW36)*48</f>
        <v>0</v>
      </c>
      <c r="AY37" s="77">
        <v>334301</v>
      </c>
      <c r="AZ37" s="103">
        <f t="shared" si="500"/>
        <v>0</v>
      </c>
      <c r="BA37" s="77">
        <v>161101</v>
      </c>
      <c r="BB37" s="103">
        <f t="shared" ref="BB37:BB38" si="586">(+BA37-+BA36)*48</f>
        <v>0</v>
      </c>
      <c r="BC37" s="76">
        <v>225882</v>
      </c>
      <c r="BD37" s="103">
        <f t="shared" ref="BD37:BD38" si="587">(+BC37-+BC36)*48</f>
        <v>3168</v>
      </c>
      <c r="BE37" s="77">
        <v>5347</v>
      </c>
      <c r="BF37" s="103">
        <f t="shared" ref="BF37" si="588">(+BE37-+BE36)*48</f>
        <v>0</v>
      </c>
      <c r="BH37" s="104">
        <f t="shared" si="3"/>
        <v>192549.88799999998</v>
      </c>
      <c r="BI37" s="104">
        <f t="shared" si="4"/>
        <v>98966.400000000009</v>
      </c>
    </row>
    <row r="38" spans="1:61" s="36" customFormat="1" ht="39.950000000000003" customHeight="1">
      <c r="A38" s="142">
        <f t="shared" si="29"/>
        <v>44560</v>
      </c>
      <c r="B38" s="35"/>
      <c r="C38" s="77">
        <v>6563058</v>
      </c>
      <c r="D38" s="103">
        <f t="shared" ref="D38" si="589">(+C38-+C37)*48</f>
        <v>173184</v>
      </c>
      <c r="E38" s="38">
        <f t="shared" si="6"/>
        <v>103910.39999999999</v>
      </c>
      <c r="F38" s="103">
        <f t="shared" ref="F38" si="590">D38*0.4</f>
        <v>69273.600000000006</v>
      </c>
      <c r="G38" s="77">
        <v>290995</v>
      </c>
      <c r="H38" s="103">
        <f t="shared" si="544"/>
        <v>2736</v>
      </c>
      <c r="I38" s="77">
        <v>162858</v>
      </c>
      <c r="J38" s="38">
        <f t="shared" si="545"/>
        <v>8640</v>
      </c>
      <c r="K38" s="77">
        <v>266991</v>
      </c>
      <c r="L38" s="103">
        <f t="shared" si="0"/>
        <v>1104</v>
      </c>
      <c r="M38" s="77">
        <v>25145</v>
      </c>
      <c r="N38" s="38">
        <f t="shared" si="546"/>
        <v>96</v>
      </c>
      <c r="O38" s="77">
        <v>308258</v>
      </c>
      <c r="P38" s="38">
        <f t="shared" si="547"/>
        <v>9264</v>
      </c>
      <c r="Q38" s="77">
        <v>467850</v>
      </c>
      <c r="R38" s="103">
        <f t="shared" si="548"/>
        <v>4992</v>
      </c>
      <c r="S38" s="77">
        <v>748484</v>
      </c>
      <c r="T38" s="103">
        <f t="shared" si="549"/>
        <v>5808</v>
      </c>
      <c r="U38" s="82">
        <v>4129</v>
      </c>
      <c r="V38" s="103">
        <f t="shared" si="550"/>
        <v>1055.4719999999797</v>
      </c>
      <c r="W38" s="77">
        <v>84100</v>
      </c>
      <c r="X38" s="103">
        <f t="shared" si="551"/>
        <v>768</v>
      </c>
      <c r="Y38" s="77">
        <v>1516043</v>
      </c>
      <c r="Z38" s="103">
        <f t="shared" si="552"/>
        <v>12864</v>
      </c>
      <c r="AA38" s="77">
        <v>13792</v>
      </c>
      <c r="AB38" s="103">
        <f t="shared" si="553"/>
        <v>960</v>
      </c>
      <c r="AC38" s="77">
        <v>480801</v>
      </c>
      <c r="AD38" s="103">
        <f t="shared" ref="AD38" si="591">(+AC38-+AC37)*48</f>
        <v>6144</v>
      </c>
      <c r="AE38" s="77">
        <v>553624</v>
      </c>
      <c r="AF38" s="103">
        <f t="shared" ref="AF38" si="592">(+AE38-+AE37)*48</f>
        <v>5856</v>
      </c>
      <c r="AG38" s="77">
        <v>49787</v>
      </c>
      <c r="AH38" s="103">
        <f t="shared" si="554"/>
        <v>0</v>
      </c>
      <c r="AI38" s="77">
        <v>432103</v>
      </c>
      <c r="AJ38" s="103">
        <f t="shared" si="1"/>
        <v>5424</v>
      </c>
      <c r="AK38" s="77">
        <v>102770</v>
      </c>
      <c r="AL38" s="103">
        <f t="shared" si="2"/>
        <v>0</v>
      </c>
      <c r="AM38" s="77">
        <v>592932</v>
      </c>
      <c r="AN38" s="103">
        <f t="shared" si="555"/>
        <v>2784</v>
      </c>
      <c r="AO38" s="77">
        <v>968629</v>
      </c>
      <c r="AP38" s="103">
        <f t="shared" si="556"/>
        <v>7680</v>
      </c>
      <c r="AQ38" s="77">
        <v>87419</v>
      </c>
      <c r="AR38" s="103">
        <f t="shared" si="557"/>
        <v>6288</v>
      </c>
      <c r="AS38" s="77">
        <v>2420</v>
      </c>
      <c r="AT38" s="103">
        <f t="shared" si="558"/>
        <v>48</v>
      </c>
      <c r="AU38" s="77">
        <v>939</v>
      </c>
      <c r="AV38" s="103">
        <f t="shared" si="559"/>
        <v>0</v>
      </c>
      <c r="AW38" s="77">
        <v>3110</v>
      </c>
      <c r="AX38" s="103">
        <f t="shared" si="560"/>
        <v>0</v>
      </c>
      <c r="AY38" s="77">
        <v>334301</v>
      </c>
      <c r="AZ38" s="103">
        <f t="shared" si="500"/>
        <v>0</v>
      </c>
      <c r="BA38" s="82">
        <v>161101</v>
      </c>
      <c r="BB38" s="103">
        <f t="shared" si="586"/>
        <v>0</v>
      </c>
      <c r="BC38" s="77">
        <v>225992</v>
      </c>
      <c r="BD38" s="103">
        <f t="shared" si="587"/>
        <v>5280</v>
      </c>
      <c r="BE38" s="77">
        <v>5347</v>
      </c>
      <c r="BF38" s="103">
        <f t="shared" si="562"/>
        <v>0</v>
      </c>
      <c r="BH38" s="104">
        <f t="shared" si="3"/>
        <v>174661.87199999997</v>
      </c>
      <c r="BI38" s="104">
        <f t="shared" si="4"/>
        <v>86313.600000000006</v>
      </c>
    </row>
    <row r="39" spans="1:61" s="36" customFormat="1" ht="39.950000000000003" customHeight="1">
      <c r="A39" s="142">
        <f t="shared" si="29"/>
        <v>44561</v>
      </c>
      <c r="B39" s="35"/>
      <c r="C39" s="76">
        <v>6566430</v>
      </c>
      <c r="D39" s="103">
        <f>(+C39-+C38)*48</f>
        <v>161856</v>
      </c>
      <c r="E39" s="38">
        <f t="shared" ref="E39" si="593">D39*0.6</f>
        <v>97113.599999999991</v>
      </c>
      <c r="F39" s="103">
        <f t="shared" ref="F39" si="594">D39*0.4</f>
        <v>64742.400000000001</v>
      </c>
      <c r="G39" s="76">
        <v>291044</v>
      </c>
      <c r="H39" s="103">
        <f>(+G39-+G38)*48</f>
        <v>2352</v>
      </c>
      <c r="I39" s="76">
        <v>163031</v>
      </c>
      <c r="J39" s="38">
        <f>(+I39-+I38)*48</f>
        <v>8304</v>
      </c>
      <c r="K39" s="76">
        <v>267029</v>
      </c>
      <c r="L39" s="103">
        <f>(+K39-+K38)*48</f>
        <v>1824</v>
      </c>
      <c r="M39" s="76">
        <v>25145</v>
      </c>
      <c r="N39" s="38">
        <f>(+M39-+M38)*48</f>
        <v>0</v>
      </c>
      <c r="O39" s="76">
        <v>308467</v>
      </c>
      <c r="P39" s="38">
        <f>(+O39-+O38)*48</f>
        <v>10032</v>
      </c>
      <c r="Q39" s="76">
        <v>467975</v>
      </c>
      <c r="R39" s="103">
        <f>(+Q39-+Q38)*48</f>
        <v>6000</v>
      </c>
      <c r="S39" s="76">
        <v>748600</v>
      </c>
      <c r="T39" s="103">
        <f>(+S39-+S38)*48</f>
        <v>5568</v>
      </c>
      <c r="U39" s="83">
        <v>4149</v>
      </c>
      <c r="V39" s="103">
        <f>(+U39-+U38)*48</f>
        <v>960</v>
      </c>
      <c r="W39" s="76">
        <v>84113</v>
      </c>
      <c r="X39" s="103">
        <f>(+W39-+W38)*48</f>
        <v>624</v>
      </c>
      <c r="Y39" s="82">
        <v>1516298</v>
      </c>
      <c r="Z39" s="103">
        <f>(+Y39-+Y38)*48</f>
        <v>12240</v>
      </c>
      <c r="AA39" s="82">
        <v>13813</v>
      </c>
      <c r="AB39" s="103">
        <f>(+AA39-+AA38)*48</f>
        <v>1008</v>
      </c>
      <c r="AC39" s="76">
        <v>480937</v>
      </c>
      <c r="AD39" s="103">
        <f>(+AC39-+AC38)*48</f>
        <v>6528</v>
      </c>
      <c r="AE39" s="76">
        <v>553746</v>
      </c>
      <c r="AF39" s="103">
        <f>(+AE39-+AE38)*48</f>
        <v>5856</v>
      </c>
      <c r="AG39" s="82">
        <v>49787</v>
      </c>
      <c r="AH39" s="103">
        <f>(+AG39-+AG38)*48</f>
        <v>0</v>
      </c>
      <c r="AI39" s="82">
        <v>432203</v>
      </c>
      <c r="AJ39" s="103">
        <f>(+AI39-+AI38)*48</f>
        <v>4800</v>
      </c>
      <c r="AK39" s="82">
        <v>102770</v>
      </c>
      <c r="AL39" s="103">
        <f>(+AK39-+AK38)*48</f>
        <v>0</v>
      </c>
      <c r="AM39" s="76">
        <v>592996</v>
      </c>
      <c r="AN39" s="103">
        <f>(+AM39-+AM38)*48</f>
        <v>3072</v>
      </c>
      <c r="AO39" s="82">
        <v>968803</v>
      </c>
      <c r="AP39" s="103">
        <f>(+AO39-+AO38)*48</f>
        <v>8352</v>
      </c>
      <c r="AQ39" s="76">
        <v>87596</v>
      </c>
      <c r="AR39" s="103">
        <f>(+AQ39-+AQ38)*48</f>
        <v>8496</v>
      </c>
      <c r="AS39" s="76">
        <v>2422</v>
      </c>
      <c r="AT39" s="103">
        <f>(+AS39-+AS38)*48</f>
        <v>96</v>
      </c>
      <c r="AU39" s="82">
        <v>939</v>
      </c>
      <c r="AV39" s="103">
        <f>(+AU39-+AU38)*48</f>
        <v>0</v>
      </c>
      <c r="AW39" s="82">
        <v>3110</v>
      </c>
      <c r="AX39" s="103">
        <f>(+AW39-+AW38)*48</f>
        <v>0</v>
      </c>
      <c r="AY39" s="76">
        <v>334301</v>
      </c>
      <c r="AZ39" s="103">
        <f>(+AY39-+AY38)*48</f>
        <v>0</v>
      </c>
      <c r="BA39" s="82">
        <v>161101</v>
      </c>
      <c r="BB39" s="103">
        <f>(+BA39-+BA38)*48</f>
        <v>0</v>
      </c>
      <c r="BC39" s="76">
        <v>226042</v>
      </c>
      <c r="BD39" s="103">
        <f>(+BC39-+BC38)*48</f>
        <v>2400</v>
      </c>
      <c r="BE39" s="82">
        <v>5347</v>
      </c>
      <c r="BF39" s="103">
        <f>(+BE39-+BE38)*48</f>
        <v>0</v>
      </c>
      <c r="BH39" s="104">
        <f t="shared" ref="BH39" si="595">SUM(E39,J39,P39,H39,L39,R39,T39,V39,X39,N39,AB39,Z39,AD39,AF39,AH39,AP39,AN39)</f>
        <v>169833.59999999998</v>
      </c>
      <c r="BI39" s="104">
        <f t="shared" ref="BI39" si="596">SUM(F39,AR39,AT39,AX39,AJ39,AL39,AV39,AZ39,BB39,BD39,BF39)</f>
        <v>80534.399999999994</v>
      </c>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51" t="s">
        <v>197</v>
      </c>
      <c r="C1" s="251"/>
      <c r="D1" s="251" t="s">
        <v>197</v>
      </c>
      <c r="E1" s="251"/>
      <c r="F1" s="251" t="s">
        <v>197</v>
      </c>
      <c r="G1" s="251"/>
      <c r="H1" s="251" t="s">
        <v>198</v>
      </c>
      <c r="I1" s="251"/>
      <c r="J1" s="250"/>
      <c r="K1" s="250"/>
      <c r="L1" s="251" t="s">
        <v>199</v>
      </c>
      <c r="M1" s="251"/>
      <c r="N1" s="251" t="s">
        <v>199</v>
      </c>
      <c r="O1" s="251"/>
      <c r="P1" s="251" t="s">
        <v>199</v>
      </c>
      <c r="Q1" s="251"/>
      <c r="R1" s="251" t="s">
        <v>199</v>
      </c>
      <c r="S1" s="251"/>
      <c r="T1" s="251" t="s">
        <v>200</v>
      </c>
      <c r="U1" s="251"/>
      <c r="V1" s="255" t="s">
        <v>200</v>
      </c>
      <c r="W1" s="255"/>
      <c r="X1" s="251" t="s">
        <v>200</v>
      </c>
      <c r="Y1" s="251"/>
      <c r="Z1" s="251" t="s">
        <v>200</v>
      </c>
      <c r="AA1" s="251"/>
      <c r="AB1" s="250"/>
      <c r="AC1" s="250"/>
      <c r="AD1" s="251" t="s">
        <v>200</v>
      </c>
      <c r="AE1" s="251"/>
      <c r="AF1" s="251" t="s">
        <v>200</v>
      </c>
      <c r="AG1" s="251"/>
      <c r="AH1" s="251" t="s">
        <v>201</v>
      </c>
      <c r="AI1" s="251"/>
      <c r="AJ1" s="251" t="s">
        <v>201</v>
      </c>
      <c r="AK1" s="251"/>
      <c r="AL1" s="254" t="s">
        <v>201</v>
      </c>
      <c r="AM1" s="254"/>
      <c r="AN1" s="251" t="s">
        <v>201</v>
      </c>
      <c r="AO1" s="251"/>
      <c r="AP1" s="250" t="s">
        <v>201</v>
      </c>
      <c r="AQ1" s="250"/>
      <c r="AR1" s="254" t="s">
        <v>201</v>
      </c>
      <c r="AS1" s="254"/>
      <c r="AT1" s="251" t="s">
        <v>201</v>
      </c>
      <c r="AU1" s="251"/>
      <c r="AV1" s="250"/>
      <c r="AW1" s="250"/>
      <c r="AX1" s="251" t="s">
        <v>201</v>
      </c>
      <c r="AY1" s="251"/>
      <c r="AZ1" s="251" t="s">
        <v>201</v>
      </c>
      <c r="BA1" s="251"/>
      <c r="BB1" s="251" t="s">
        <v>201</v>
      </c>
      <c r="BC1" s="251"/>
      <c r="BD1" s="251" t="s">
        <v>202</v>
      </c>
      <c r="BE1" s="251"/>
      <c r="BF1" s="251" t="s">
        <v>202</v>
      </c>
      <c r="BG1" s="251"/>
      <c r="BH1" s="251" t="s">
        <v>202</v>
      </c>
      <c r="BI1" s="251"/>
      <c r="BJ1" s="251" t="s">
        <v>202</v>
      </c>
      <c r="BK1" s="251"/>
      <c r="BL1" s="251" t="s">
        <v>202</v>
      </c>
      <c r="BM1" s="251"/>
      <c r="BN1" s="251" t="s">
        <v>202</v>
      </c>
      <c r="BO1" s="251"/>
      <c r="BP1" s="251" t="s">
        <v>202</v>
      </c>
      <c r="BQ1" s="251"/>
      <c r="BR1" s="251" t="s">
        <v>202</v>
      </c>
      <c r="BS1" s="251"/>
      <c r="BT1" s="251" t="s">
        <v>202</v>
      </c>
      <c r="BU1" s="251"/>
      <c r="BV1" s="251" t="s">
        <v>202</v>
      </c>
      <c r="BW1" s="251"/>
      <c r="BX1" s="251" t="s">
        <v>202</v>
      </c>
      <c r="BY1" s="251"/>
      <c r="BZ1" s="251" t="s">
        <v>203</v>
      </c>
      <c r="CA1" s="251"/>
      <c r="CB1" s="255" t="s">
        <v>203</v>
      </c>
      <c r="CC1" s="255"/>
      <c r="CD1" s="251" t="s">
        <v>203</v>
      </c>
      <c r="CE1" s="251"/>
      <c r="CF1" s="251" t="s">
        <v>203</v>
      </c>
      <c r="CG1" s="251"/>
      <c r="CH1" s="251" t="s">
        <v>204</v>
      </c>
      <c r="CI1" s="251"/>
      <c r="CJ1" s="251" t="s">
        <v>204</v>
      </c>
      <c r="CK1" s="251"/>
      <c r="CL1" s="251" t="s">
        <v>204</v>
      </c>
      <c r="CM1" s="251"/>
      <c r="CN1" s="251" t="s">
        <v>205</v>
      </c>
      <c r="CO1" s="251"/>
      <c r="CP1" s="251" t="s">
        <v>205</v>
      </c>
      <c r="CQ1" s="251"/>
      <c r="CR1" s="255" t="s">
        <v>205</v>
      </c>
      <c r="CS1" s="255"/>
      <c r="CT1" s="251" t="s">
        <v>205</v>
      </c>
      <c r="CU1" s="251"/>
      <c r="CV1" s="251" t="s">
        <v>205</v>
      </c>
      <c r="CW1" s="251"/>
      <c r="CX1" s="251" t="s">
        <v>205</v>
      </c>
      <c r="CY1" s="251"/>
      <c r="CZ1" s="251" t="s">
        <v>205</v>
      </c>
      <c r="DA1" s="251"/>
      <c r="DB1" s="251" t="s">
        <v>205</v>
      </c>
      <c r="DC1" s="251"/>
      <c r="DD1" s="251" t="s">
        <v>205</v>
      </c>
      <c r="DE1" s="251"/>
      <c r="DF1" s="251" t="s">
        <v>205</v>
      </c>
      <c r="DG1" s="251"/>
      <c r="DH1" s="251" t="s">
        <v>205</v>
      </c>
      <c r="DI1" s="251"/>
      <c r="DJ1" s="250" t="s">
        <v>205</v>
      </c>
      <c r="DK1" s="250"/>
      <c r="DL1" s="251" t="s">
        <v>206</v>
      </c>
      <c r="DM1" s="251"/>
      <c r="DN1" s="251" t="s">
        <v>206</v>
      </c>
      <c r="DO1" s="251"/>
      <c r="DP1" s="251" t="s">
        <v>206</v>
      </c>
      <c r="DQ1" s="251"/>
      <c r="DR1" s="251" t="s">
        <v>206</v>
      </c>
      <c r="DS1" s="251"/>
      <c r="DT1" s="251" t="s">
        <v>206</v>
      </c>
      <c r="DU1" s="251"/>
      <c r="DV1" s="251" t="s">
        <v>206</v>
      </c>
      <c r="DW1" s="251"/>
      <c r="DX1" s="251" t="s">
        <v>207</v>
      </c>
      <c r="DY1" s="251"/>
      <c r="DZ1" s="251" t="s">
        <v>207</v>
      </c>
      <c r="EA1" s="251"/>
      <c r="EB1" s="251" t="s">
        <v>207</v>
      </c>
      <c r="EC1" s="251"/>
      <c r="ED1" s="251" t="s">
        <v>207</v>
      </c>
      <c r="EE1" s="251"/>
      <c r="EF1" s="251" t="s">
        <v>207</v>
      </c>
      <c r="EG1" s="251"/>
      <c r="EH1" s="251" t="s">
        <v>207</v>
      </c>
      <c r="EI1" s="251"/>
      <c r="EJ1" s="251" t="s">
        <v>207</v>
      </c>
      <c r="EK1" s="251"/>
      <c r="EL1" s="251" t="s">
        <v>208</v>
      </c>
      <c r="EM1" s="251"/>
      <c r="EN1" s="251" t="s">
        <v>208</v>
      </c>
      <c r="EO1" s="251"/>
      <c r="EP1" s="251" t="s">
        <v>208</v>
      </c>
      <c r="EQ1" s="251"/>
      <c r="ER1" s="251" t="s">
        <v>209</v>
      </c>
      <c r="ES1" s="251"/>
      <c r="ET1" s="251" t="s">
        <v>209</v>
      </c>
      <c r="EU1" s="251"/>
      <c r="EV1" s="251" t="s">
        <v>209</v>
      </c>
      <c r="EW1" s="251"/>
      <c r="EX1" s="251" t="s">
        <v>210</v>
      </c>
      <c r="EY1" s="251"/>
      <c r="EZ1" s="251" t="s">
        <v>211</v>
      </c>
      <c r="FA1" s="251"/>
      <c r="FB1" s="251" t="s">
        <v>211</v>
      </c>
      <c r="FC1" s="251"/>
      <c r="FD1" s="251" t="s">
        <v>211</v>
      </c>
      <c r="FE1" s="251"/>
      <c r="FF1" s="251" t="s">
        <v>212</v>
      </c>
      <c r="FG1" s="251"/>
      <c r="FH1" s="251" t="s">
        <v>212</v>
      </c>
      <c r="FI1" s="251"/>
      <c r="FJ1" s="251" t="s">
        <v>212</v>
      </c>
      <c r="FK1" s="251"/>
      <c r="FL1" s="250" t="s">
        <v>212</v>
      </c>
      <c r="FM1" s="250"/>
    </row>
    <row r="2" spans="1:169" s="24" customFormat="1" ht="49.5" customHeight="1">
      <c r="B2" s="251" t="s">
        <v>213</v>
      </c>
      <c r="C2" s="251"/>
      <c r="D2" s="251" t="s">
        <v>214</v>
      </c>
      <c r="E2" s="251"/>
      <c r="F2" s="251" t="s">
        <v>213</v>
      </c>
      <c r="G2" s="251"/>
      <c r="H2" s="251" t="s">
        <v>214</v>
      </c>
      <c r="I2" s="251"/>
      <c r="J2" s="251" t="s">
        <v>214</v>
      </c>
      <c r="K2" s="251"/>
      <c r="L2" s="251" t="s">
        <v>213</v>
      </c>
      <c r="M2" s="251"/>
      <c r="N2" s="251" t="s">
        <v>213</v>
      </c>
      <c r="O2" s="251"/>
      <c r="P2" s="251" t="s">
        <v>214</v>
      </c>
      <c r="Q2" s="251"/>
      <c r="R2" s="251" t="s">
        <v>214</v>
      </c>
      <c r="S2" s="251"/>
      <c r="T2" s="251" t="s">
        <v>213</v>
      </c>
      <c r="U2" s="251"/>
      <c r="V2" s="251" t="s">
        <v>214</v>
      </c>
      <c r="W2" s="251"/>
      <c r="X2" s="251" t="s">
        <v>214</v>
      </c>
      <c r="Y2" s="251"/>
      <c r="Z2" s="251" t="s">
        <v>214</v>
      </c>
      <c r="AA2" s="251"/>
      <c r="AB2" s="250" t="s">
        <v>214</v>
      </c>
      <c r="AC2" s="250"/>
      <c r="AD2" s="251" t="s">
        <v>213</v>
      </c>
      <c r="AE2" s="251"/>
      <c r="AF2" s="251" t="s">
        <v>214</v>
      </c>
      <c r="AG2" s="251"/>
      <c r="AH2" s="251" t="s">
        <v>214</v>
      </c>
      <c r="AI2" s="251"/>
      <c r="AJ2" s="251" t="s">
        <v>214</v>
      </c>
      <c r="AK2" s="251"/>
      <c r="AL2" s="251" t="s">
        <v>214</v>
      </c>
      <c r="AM2" s="251"/>
      <c r="AN2" s="251" t="s">
        <v>214</v>
      </c>
      <c r="AO2" s="251"/>
      <c r="AP2" s="250" t="s">
        <v>214</v>
      </c>
      <c r="AQ2" s="250"/>
      <c r="AR2" s="251" t="s">
        <v>214</v>
      </c>
      <c r="AS2" s="251"/>
      <c r="AT2" s="251" t="s">
        <v>214</v>
      </c>
      <c r="AU2" s="251"/>
      <c r="AV2" s="250" t="s">
        <v>214</v>
      </c>
      <c r="AW2" s="250"/>
      <c r="AX2" s="251" t="s">
        <v>214</v>
      </c>
      <c r="AY2" s="251"/>
      <c r="AZ2" s="251" t="s">
        <v>214</v>
      </c>
      <c r="BA2" s="251"/>
      <c r="BB2" s="251" t="s">
        <v>214</v>
      </c>
      <c r="BC2" s="251"/>
      <c r="BD2" s="251" t="s">
        <v>213</v>
      </c>
      <c r="BE2" s="251"/>
      <c r="BF2" s="251" t="s">
        <v>215</v>
      </c>
      <c r="BG2" s="251"/>
      <c r="BH2" s="251" t="s">
        <v>214</v>
      </c>
      <c r="BI2" s="251"/>
      <c r="BJ2" s="251" t="s">
        <v>214</v>
      </c>
      <c r="BK2" s="251"/>
      <c r="BL2" s="251" t="s">
        <v>214</v>
      </c>
      <c r="BM2" s="251"/>
      <c r="BN2" s="251" t="s">
        <v>214</v>
      </c>
      <c r="BO2" s="251"/>
      <c r="BP2" s="251" t="s">
        <v>214</v>
      </c>
      <c r="BQ2" s="251"/>
      <c r="BR2" s="251" t="s">
        <v>214</v>
      </c>
      <c r="BS2" s="251"/>
      <c r="BT2" s="251" t="s">
        <v>214</v>
      </c>
      <c r="BU2" s="251"/>
      <c r="BV2" s="251" t="s">
        <v>214</v>
      </c>
      <c r="BW2" s="251"/>
      <c r="BX2" s="251" t="s">
        <v>214</v>
      </c>
      <c r="BY2" s="251"/>
      <c r="BZ2" s="251" t="s">
        <v>213</v>
      </c>
      <c r="CA2" s="251"/>
      <c r="CB2" s="251" t="s">
        <v>213</v>
      </c>
      <c r="CC2" s="251"/>
      <c r="CD2" s="251" t="s">
        <v>213</v>
      </c>
      <c r="CE2" s="251"/>
      <c r="CF2" s="251" t="s">
        <v>213</v>
      </c>
      <c r="CG2" s="251"/>
      <c r="CH2" s="251" t="s">
        <v>214</v>
      </c>
      <c r="CI2" s="251"/>
      <c r="CJ2" s="251" t="s">
        <v>214</v>
      </c>
      <c r="CK2" s="251"/>
      <c r="CL2" s="251" t="s">
        <v>214</v>
      </c>
      <c r="CM2" s="251"/>
      <c r="CN2" s="251" t="s">
        <v>213</v>
      </c>
      <c r="CO2" s="251"/>
      <c r="CP2" s="251" t="s">
        <v>214</v>
      </c>
      <c r="CQ2" s="251"/>
      <c r="CR2" s="251" t="s">
        <v>214</v>
      </c>
      <c r="CS2" s="251"/>
      <c r="CT2" s="251" t="s">
        <v>214</v>
      </c>
      <c r="CU2" s="251"/>
      <c r="CV2" s="251" t="s">
        <v>214</v>
      </c>
      <c r="CW2" s="251"/>
      <c r="CX2" s="251" t="s">
        <v>214</v>
      </c>
      <c r="CY2" s="251"/>
      <c r="CZ2" s="251" t="s">
        <v>214</v>
      </c>
      <c r="DA2" s="251"/>
      <c r="DB2" s="251" t="s">
        <v>213</v>
      </c>
      <c r="DC2" s="251"/>
      <c r="DD2" s="251" t="s">
        <v>214</v>
      </c>
      <c r="DE2" s="251"/>
      <c r="DF2" s="251" t="s">
        <v>214</v>
      </c>
      <c r="DG2" s="251"/>
      <c r="DH2" s="251" t="s">
        <v>214</v>
      </c>
      <c r="DI2" s="251"/>
      <c r="DJ2" s="250" t="s">
        <v>214</v>
      </c>
      <c r="DK2" s="250"/>
      <c r="DL2" s="251" t="s">
        <v>214</v>
      </c>
      <c r="DM2" s="251"/>
      <c r="DN2" s="251" t="s">
        <v>214</v>
      </c>
      <c r="DO2" s="251"/>
      <c r="DP2" s="251" t="s">
        <v>214</v>
      </c>
      <c r="DQ2" s="251"/>
      <c r="DR2" s="251" t="s">
        <v>214</v>
      </c>
      <c r="DS2" s="251"/>
      <c r="DT2" s="251" t="s">
        <v>214</v>
      </c>
      <c r="DU2" s="251"/>
      <c r="DV2" s="251" t="s">
        <v>214</v>
      </c>
      <c r="DW2" s="251"/>
      <c r="DX2" s="251" t="s">
        <v>214</v>
      </c>
      <c r="DY2" s="251"/>
      <c r="DZ2" s="251" t="s">
        <v>214</v>
      </c>
      <c r="EA2" s="251"/>
      <c r="EB2" s="251" t="s">
        <v>214</v>
      </c>
      <c r="EC2" s="251"/>
      <c r="ED2" s="251" t="s">
        <v>214</v>
      </c>
      <c r="EE2" s="251"/>
      <c r="EF2" s="251" t="s">
        <v>214</v>
      </c>
      <c r="EG2" s="251"/>
      <c r="EH2" s="251" t="s">
        <v>214</v>
      </c>
      <c r="EI2" s="251"/>
      <c r="EJ2" s="251" t="s">
        <v>214</v>
      </c>
      <c r="EK2" s="251"/>
      <c r="EL2" s="251" t="s">
        <v>214</v>
      </c>
      <c r="EM2" s="251"/>
      <c r="EN2" s="251" t="s">
        <v>214</v>
      </c>
      <c r="EO2" s="251"/>
      <c r="EP2" s="251" t="s">
        <v>214</v>
      </c>
      <c r="EQ2" s="251"/>
      <c r="ER2" s="251" t="s">
        <v>214</v>
      </c>
      <c r="ES2" s="251"/>
      <c r="ET2" s="251" t="s">
        <v>214</v>
      </c>
      <c r="EU2" s="251"/>
      <c r="EV2" s="251" t="s">
        <v>214</v>
      </c>
      <c r="EW2" s="251"/>
      <c r="EX2" s="251" t="s">
        <v>214</v>
      </c>
      <c r="EY2" s="251"/>
      <c r="EZ2" s="251" t="s">
        <v>214</v>
      </c>
      <c r="FA2" s="251"/>
      <c r="FB2" s="251" t="s">
        <v>214</v>
      </c>
      <c r="FC2" s="251"/>
      <c r="FD2" s="251" t="s">
        <v>214</v>
      </c>
      <c r="FE2" s="251"/>
      <c r="FF2" s="251" t="s">
        <v>214</v>
      </c>
      <c r="FG2" s="251"/>
      <c r="FH2" s="251" t="s">
        <v>214</v>
      </c>
      <c r="FI2" s="251"/>
      <c r="FJ2" s="251" t="s">
        <v>214</v>
      </c>
      <c r="FK2" s="251"/>
      <c r="FL2" s="250" t="s">
        <v>214</v>
      </c>
      <c r="FM2" s="250"/>
    </row>
    <row r="3" spans="1:169" s="24" customFormat="1" ht="49.5" customHeight="1">
      <c r="B3" s="213" t="s">
        <v>67</v>
      </c>
      <c r="C3" s="215"/>
      <c r="D3" s="213" t="s">
        <v>216</v>
      </c>
      <c r="E3" s="215"/>
      <c r="F3" s="213"/>
      <c r="G3" s="215"/>
      <c r="H3" s="213" t="s">
        <v>216</v>
      </c>
      <c r="I3" s="215"/>
      <c r="J3" s="213" t="s">
        <v>216</v>
      </c>
      <c r="K3" s="215"/>
      <c r="L3" s="213"/>
      <c r="M3" s="215"/>
      <c r="N3" s="213"/>
      <c r="O3" s="215"/>
      <c r="P3" s="213" t="s">
        <v>216</v>
      </c>
      <c r="Q3" s="215"/>
      <c r="R3" s="213" t="s">
        <v>216</v>
      </c>
      <c r="S3" s="215"/>
      <c r="T3" s="213"/>
      <c r="U3" s="215"/>
      <c r="V3" s="213" t="s">
        <v>217</v>
      </c>
      <c r="W3" s="215"/>
      <c r="X3" s="213" t="s">
        <v>217</v>
      </c>
      <c r="Y3" s="215"/>
      <c r="Z3" s="213" t="s">
        <v>217</v>
      </c>
      <c r="AA3" s="215"/>
      <c r="AB3" s="252" t="s">
        <v>217</v>
      </c>
      <c r="AC3" s="253"/>
      <c r="AD3" s="213"/>
      <c r="AE3" s="215"/>
      <c r="AF3" s="213" t="s">
        <v>217</v>
      </c>
      <c r="AG3" s="215"/>
      <c r="AH3" s="213" t="s">
        <v>216</v>
      </c>
      <c r="AI3" s="215"/>
      <c r="AJ3" s="213" t="s">
        <v>216</v>
      </c>
      <c r="AK3" s="215"/>
      <c r="AL3" s="213" t="s">
        <v>216</v>
      </c>
      <c r="AM3" s="215"/>
      <c r="AN3" s="213" t="s">
        <v>216</v>
      </c>
      <c r="AO3" s="215"/>
      <c r="AP3" s="252" t="s">
        <v>216</v>
      </c>
      <c r="AQ3" s="253"/>
      <c r="AR3" s="213" t="s">
        <v>216</v>
      </c>
      <c r="AS3" s="215"/>
      <c r="AT3" s="213" t="s">
        <v>216</v>
      </c>
      <c r="AU3" s="215"/>
      <c r="AV3" s="252" t="s">
        <v>216</v>
      </c>
      <c r="AW3" s="253"/>
      <c r="AX3" s="213" t="s">
        <v>216</v>
      </c>
      <c r="AY3" s="215"/>
      <c r="AZ3" s="213" t="s">
        <v>216</v>
      </c>
      <c r="BA3" s="215"/>
      <c r="BB3" s="213" t="s">
        <v>216</v>
      </c>
      <c r="BC3" s="215"/>
      <c r="BD3" s="213"/>
      <c r="BE3" s="215"/>
      <c r="BF3" s="213"/>
      <c r="BG3" s="215"/>
      <c r="BH3" s="213" t="s">
        <v>216</v>
      </c>
      <c r="BI3" s="215"/>
      <c r="BJ3" s="213" t="s">
        <v>216</v>
      </c>
      <c r="BK3" s="215"/>
      <c r="BL3" s="213" t="s">
        <v>216</v>
      </c>
      <c r="BM3" s="215"/>
      <c r="BN3" s="213" t="s">
        <v>216</v>
      </c>
      <c r="BO3" s="215"/>
      <c r="BP3" s="213" t="s">
        <v>216</v>
      </c>
      <c r="BQ3" s="215"/>
      <c r="BR3" s="213" t="s">
        <v>216</v>
      </c>
      <c r="BS3" s="215"/>
      <c r="BT3" s="213" t="s">
        <v>216</v>
      </c>
      <c r="BU3" s="215"/>
      <c r="BV3" s="213" t="s">
        <v>216</v>
      </c>
      <c r="BW3" s="215"/>
      <c r="BX3" s="213" t="s">
        <v>216</v>
      </c>
      <c r="BY3" s="215"/>
      <c r="BZ3" s="213" t="s">
        <v>66</v>
      </c>
      <c r="CA3" s="215"/>
      <c r="CB3" s="213" t="s">
        <v>66</v>
      </c>
      <c r="CC3" s="215"/>
      <c r="CD3" s="213" t="s">
        <v>66</v>
      </c>
      <c r="CE3" s="215"/>
      <c r="CF3" s="111"/>
      <c r="CG3" s="111"/>
      <c r="CH3" s="213" t="s">
        <v>67</v>
      </c>
      <c r="CI3" s="215"/>
      <c r="CJ3" s="213" t="s">
        <v>67</v>
      </c>
      <c r="CK3" s="215"/>
      <c r="CL3" s="213" t="s">
        <v>216</v>
      </c>
      <c r="CM3" s="215"/>
      <c r="CN3" s="213"/>
      <c r="CO3" s="215"/>
      <c r="CP3" s="213" t="s">
        <v>216</v>
      </c>
      <c r="CQ3" s="215"/>
      <c r="CR3" s="213" t="s">
        <v>216</v>
      </c>
      <c r="CS3" s="215"/>
      <c r="CT3" s="213" t="s">
        <v>216</v>
      </c>
      <c r="CU3" s="215"/>
      <c r="CV3" s="213" t="s">
        <v>216</v>
      </c>
      <c r="CW3" s="215"/>
      <c r="CX3" s="213" t="s">
        <v>216</v>
      </c>
      <c r="CY3" s="215"/>
      <c r="CZ3" s="213" t="s">
        <v>216</v>
      </c>
      <c r="DA3" s="215"/>
      <c r="DB3" s="213" t="s">
        <v>216</v>
      </c>
      <c r="DC3" s="215"/>
      <c r="DD3" s="213" t="s">
        <v>216</v>
      </c>
      <c r="DE3" s="215"/>
      <c r="DF3" s="213" t="s">
        <v>216</v>
      </c>
      <c r="DG3" s="215"/>
      <c r="DH3" s="213" t="s">
        <v>216</v>
      </c>
      <c r="DI3" s="215"/>
      <c r="DJ3" s="252" t="s">
        <v>216</v>
      </c>
      <c r="DK3" s="253"/>
      <c r="DL3" s="213" t="s">
        <v>65</v>
      </c>
      <c r="DM3" s="215"/>
      <c r="DN3" s="213" t="s">
        <v>65</v>
      </c>
      <c r="DO3" s="215"/>
      <c r="DP3" s="213" t="s">
        <v>65</v>
      </c>
      <c r="DQ3" s="215"/>
      <c r="DR3" s="213" t="s">
        <v>65</v>
      </c>
      <c r="DS3" s="215"/>
      <c r="DT3" s="213" t="s">
        <v>65</v>
      </c>
      <c r="DU3" s="215"/>
      <c r="DV3" s="213" t="s">
        <v>218</v>
      </c>
      <c r="DW3" s="215"/>
      <c r="DX3" s="213" t="s">
        <v>65</v>
      </c>
      <c r="DY3" s="215"/>
      <c r="DZ3" s="213" t="s">
        <v>217</v>
      </c>
      <c r="EA3" s="215"/>
      <c r="EB3" s="213" t="s">
        <v>65</v>
      </c>
      <c r="EC3" s="215"/>
      <c r="ED3" s="213" t="s">
        <v>65</v>
      </c>
      <c r="EE3" s="215"/>
      <c r="EF3" s="213" t="s">
        <v>65</v>
      </c>
      <c r="EG3" s="215"/>
      <c r="EH3" s="213" t="s">
        <v>65</v>
      </c>
      <c r="EI3" s="215"/>
      <c r="EJ3" s="213" t="s">
        <v>65</v>
      </c>
      <c r="EK3" s="215"/>
      <c r="EL3" s="213" t="s">
        <v>67</v>
      </c>
      <c r="EM3" s="215"/>
      <c r="EN3" s="213" t="s">
        <v>67</v>
      </c>
      <c r="EO3" s="215"/>
      <c r="EP3" s="213" t="s">
        <v>67</v>
      </c>
      <c r="EQ3" s="215"/>
      <c r="ER3" s="213" t="s">
        <v>67</v>
      </c>
      <c r="ES3" s="215"/>
      <c r="ET3" s="213" t="s">
        <v>67</v>
      </c>
      <c r="EU3" s="215"/>
      <c r="EV3" s="213" t="s">
        <v>67</v>
      </c>
      <c r="EW3" s="215"/>
      <c r="EX3" s="213" t="s">
        <v>67</v>
      </c>
      <c r="EY3" s="215"/>
      <c r="EZ3" s="213" t="s">
        <v>67</v>
      </c>
      <c r="FA3" s="215"/>
      <c r="FB3" s="213" t="s">
        <v>67</v>
      </c>
      <c r="FC3" s="215"/>
      <c r="FD3" s="213" t="s">
        <v>67</v>
      </c>
      <c r="FE3" s="215"/>
      <c r="FF3" s="213" t="s">
        <v>67</v>
      </c>
      <c r="FG3" s="215"/>
      <c r="FH3" s="213" t="s">
        <v>67</v>
      </c>
      <c r="FI3" s="215"/>
      <c r="FJ3" s="213" t="s">
        <v>67</v>
      </c>
      <c r="FK3" s="215"/>
      <c r="FL3" s="252" t="s">
        <v>216</v>
      </c>
      <c r="FM3" s="253"/>
    </row>
    <row r="4" spans="1:169" s="24" customFormat="1" ht="30" customHeight="1">
      <c r="B4" s="213" t="s">
        <v>219</v>
      </c>
      <c r="C4" s="215"/>
      <c r="D4" s="213" t="s">
        <v>219</v>
      </c>
      <c r="E4" s="215"/>
      <c r="F4" s="108"/>
      <c r="G4" s="109"/>
      <c r="H4" s="213" t="s">
        <v>219</v>
      </c>
      <c r="I4" s="215"/>
      <c r="J4" s="213" t="s">
        <v>220</v>
      </c>
      <c r="K4" s="215"/>
      <c r="L4" s="108"/>
      <c r="M4" s="109"/>
      <c r="N4" s="213"/>
      <c r="O4" s="215"/>
      <c r="P4" s="213" t="s">
        <v>221</v>
      </c>
      <c r="Q4" s="215"/>
      <c r="R4" s="213" t="s">
        <v>221</v>
      </c>
      <c r="S4" s="215"/>
      <c r="T4" s="108"/>
      <c r="U4" s="109"/>
      <c r="V4" s="213" t="s">
        <v>221</v>
      </c>
      <c r="W4" s="215"/>
      <c r="X4" s="213" t="s">
        <v>221</v>
      </c>
      <c r="Y4" s="215"/>
      <c r="Z4" s="213" t="s">
        <v>221</v>
      </c>
      <c r="AA4" s="215"/>
      <c r="AB4" s="252" t="s">
        <v>221</v>
      </c>
      <c r="AC4" s="253"/>
      <c r="AD4" s="108"/>
      <c r="AE4" s="109"/>
      <c r="AF4" s="213" t="s">
        <v>221</v>
      </c>
      <c r="AG4" s="215"/>
      <c r="AH4" s="213" t="s">
        <v>221</v>
      </c>
      <c r="AI4" s="215"/>
      <c r="AJ4" s="213" t="s">
        <v>219</v>
      </c>
      <c r="AK4" s="215"/>
      <c r="AL4" s="213" t="s">
        <v>219</v>
      </c>
      <c r="AM4" s="215"/>
      <c r="AN4" s="213" t="s">
        <v>219</v>
      </c>
      <c r="AO4" s="215"/>
      <c r="AP4" s="252" t="s">
        <v>220</v>
      </c>
      <c r="AQ4" s="253"/>
      <c r="AR4" s="213" t="s">
        <v>219</v>
      </c>
      <c r="AS4" s="215"/>
      <c r="AT4" s="213" t="s">
        <v>219</v>
      </c>
      <c r="AU4" s="215"/>
      <c r="AV4" s="252" t="s">
        <v>219</v>
      </c>
      <c r="AW4" s="253"/>
      <c r="AX4" s="213" t="s">
        <v>221</v>
      </c>
      <c r="AY4" s="215"/>
      <c r="AZ4" s="213" t="s">
        <v>219</v>
      </c>
      <c r="BA4" s="215"/>
      <c r="BB4" s="213" t="s">
        <v>219</v>
      </c>
      <c r="BC4" s="215"/>
      <c r="BD4" s="108"/>
      <c r="BE4" s="109"/>
      <c r="BF4" s="108"/>
      <c r="BG4" s="109"/>
      <c r="BH4" s="213" t="s">
        <v>220</v>
      </c>
      <c r="BI4" s="215"/>
      <c r="BJ4" s="213" t="s">
        <v>221</v>
      </c>
      <c r="BK4" s="215"/>
      <c r="BL4" s="213" t="s">
        <v>219</v>
      </c>
      <c r="BM4" s="215"/>
      <c r="BN4" s="213" t="s">
        <v>219</v>
      </c>
      <c r="BO4" s="215"/>
      <c r="BP4" s="213" t="s">
        <v>219</v>
      </c>
      <c r="BQ4" s="215"/>
      <c r="BR4" s="213" t="s">
        <v>219</v>
      </c>
      <c r="BS4" s="215"/>
      <c r="BT4" s="213" t="s">
        <v>219</v>
      </c>
      <c r="BU4" s="215"/>
      <c r="BV4" s="213" t="s">
        <v>219</v>
      </c>
      <c r="BW4" s="215"/>
      <c r="BX4" s="213" t="s">
        <v>219</v>
      </c>
      <c r="BY4" s="215"/>
      <c r="BZ4" s="213" t="s">
        <v>221</v>
      </c>
      <c r="CA4" s="215"/>
      <c r="CB4" s="213" t="s">
        <v>221</v>
      </c>
      <c r="CC4" s="215"/>
      <c r="CD4" s="213" t="s">
        <v>221</v>
      </c>
      <c r="CE4" s="215"/>
      <c r="CF4" s="213" t="s">
        <v>219</v>
      </c>
      <c r="CG4" s="215"/>
      <c r="CH4" s="213" t="s">
        <v>219</v>
      </c>
      <c r="CI4" s="215"/>
      <c r="CJ4" s="213" t="s">
        <v>219</v>
      </c>
      <c r="CK4" s="215"/>
      <c r="CL4" s="213" t="s">
        <v>219</v>
      </c>
      <c r="CM4" s="215"/>
      <c r="CN4" s="108"/>
      <c r="CO4" s="109"/>
      <c r="CP4" s="213" t="s">
        <v>220</v>
      </c>
      <c r="CQ4" s="215"/>
      <c r="CR4" s="213" t="s">
        <v>222</v>
      </c>
      <c r="CS4" s="215"/>
      <c r="CT4" s="213" t="s">
        <v>220</v>
      </c>
      <c r="CU4" s="215"/>
      <c r="CV4" s="213" t="s">
        <v>221</v>
      </c>
      <c r="CW4" s="215"/>
      <c r="CX4" s="213" t="s">
        <v>219</v>
      </c>
      <c r="CY4" s="215"/>
      <c r="CZ4" s="213" t="s">
        <v>219</v>
      </c>
      <c r="DA4" s="215"/>
      <c r="DB4" s="108"/>
      <c r="DC4" s="109"/>
      <c r="DD4" s="213" t="s">
        <v>220</v>
      </c>
      <c r="DE4" s="215"/>
      <c r="DF4" s="213" t="s">
        <v>221</v>
      </c>
      <c r="DG4" s="215"/>
      <c r="DH4" s="213" t="s">
        <v>221</v>
      </c>
      <c r="DI4" s="215"/>
      <c r="DJ4" s="252" t="s">
        <v>220</v>
      </c>
      <c r="DK4" s="253"/>
      <c r="DL4" s="213" t="s">
        <v>219</v>
      </c>
      <c r="DM4" s="215"/>
      <c r="DN4" s="213" t="s">
        <v>219</v>
      </c>
      <c r="DO4" s="215"/>
      <c r="DP4" s="213" t="s">
        <v>219</v>
      </c>
      <c r="DQ4" s="215"/>
      <c r="DR4" s="213" t="s">
        <v>219</v>
      </c>
      <c r="DS4" s="215"/>
      <c r="DT4" s="213" t="s">
        <v>221</v>
      </c>
      <c r="DU4" s="215"/>
      <c r="DV4" s="213" t="s">
        <v>221</v>
      </c>
      <c r="DW4" s="215"/>
      <c r="DX4" s="213" t="s">
        <v>223</v>
      </c>
      <c r="DY4" s="215"/>
      <c r="DZ4" s="213" t="s">
        <v>224</v>
      </c>
      <c r="EA4" s="215"/>
      <c r="EB4" s="213" t="s">
        <v>223</v>
      </c>
      <c r="EC4" s="215"/>
      <c r="ED4" s="213" t="s">
        <v>219</v>
      </c>
      <c r="EE4" s="215"/>
      <c r="EF4" s="213" t="s">
        <v>219</v>
      </c>
      <c r="EG4" s="215"/>
      <c r="EH4" s="213" t="s">
        <v>221</v>
      </c>
      <c r="EI4" s="215"/>
      <c r="EJ4" s="213" t="s">
        <v>221</v>
      </c>
      <c r="EK4" s="215"/>
      <c r="EL4" s="213" t="s">
        <v>219</v>
      </c>
      <c r="EM4" s="215"/>
      <c r="EN4" s="213" t="s">
        <v>219</v>
      </c>
      <c r="EO4" s="215"/>
      <c r="EP4" s="213" t="s">
        <v>219</v>
      </c>
      <c r="EQ4" s="215"/>
      <c r="ER4" s="213" t="s">
        <v>219</v>
      </c>
      <c r="ES4" s="215"/>
      <c r="ET4" s="213" t="s">
        <v>219</v>
      </c>
      <c r="EU4" s="215"/>
      <c r="EV4" s="213" t="s">
        <v>219</v>
      </c>
      <c r="EW4" s="215"/>
      <c r="EX4" s="213" t="s">
        <v>219</v>
      </c>
      <c r="EY4" s="215"/>
      <c r="EZ4" s="213" t="s">
        <v>221</v>
      </c>
      <c r="FA4" s="215"/>
      <c r="FB4" s="213" t="s">
        <v>219</v>
      </c>
      <c r="FC4" s="215"/>
      <c r="FD4" s="213" t="s">
        <v>219</v>
      </c>
      <c r="FE4" s="215"/>
      <c r="FF4" s="213" t="s">
        <v>223</v>
      </c>
      <c r="FG4" s="215"/>
      <c r="FH4" s="213" t="s">
        <v>219</v>
      </c>
      <c r="FI4" s="215"/>
      <c r="FJ4" s="213" t="s">
        <v>223</v>
      </c>
      <c r="FK4" s="215"/>
      <c r="FL4" s="252" t="s">
        <v>219</v>
      </c>
      <c r="FM4" s="253"/>
    </row>
    <row r="5" spans="1:169" s="84" customFormat="1" ht="138.75" customHeight="1">
      <c r="B5" s="256" t="s">
        <v>78</v>
      </c>
      <c r="C5" s="256"/>
      <c r="D5" s="256" t="s">
        <v>225</v>
      </c>
      <c r="E5" s="256"/>
      <c r="F5" s="256" t="s">
        <v>79</v>
      </c>
      <c r="G5" s="256"/>
      <c r="H5" s="256" t="s">
        <v>226</v>
      </c>
      <c r="I5" s="256"/>
      <c r="J5" s="256" t="s">
        <v>227</v>
      </c>
      <c r="K5" s="256"/>
      <c r="L5" s="256" t="s">
        <v>78</v>
      </c>
      <c r="M5" s="256"/>
      <c r="N5" s="256" t="s">
        <v>80</v>
      </c>
      <c r="O5" s="256"/>
      <c r="P5" s="256" t="s">
        <v>228</v>
      </c>
      <c r="Q5" s="256"/>
      <c r="R5" s="256" t="s">
        <v>228</v>
      </c>
      <c r="S5" s="256"/>
      <c r="T5" s="256" t="s">
        <v>68</v>
      </c>
      <c r="U5" s="256"/>
      <c r="V5" s="256" t="s">
        <v>229</v>
      </c>
      <c r="W5" s="256"/>
      <c r="X5" s="256" t="s">
        <v>230</v>
      </c>
      <c r="Y5" s="256"/>
      <c r="Z5" s="256" t="s">
        <v>231</v>
      </c>
      <c r="AA5" s="256"/>
      <c r="AB5" s="257" t="s">
        <v>228</v>
      </c>
      <c r="AC5" s="257"/>
      <c r="AD5" s="256" t="s">
        <v>69</v>
      </c>
      <c r="AE5" s="256"/>
      <c r="AF5" s="256" t="s">
        <v>232</v>
      </c>
      <c r="AG5" s="256"/>
      <c r="AH5" s="256" t="s">
        <v>233</v>
      </c>
      <c r="AI5" s="256"/>
      <c r="AJ5" s="256" t="s">
        <v>234</v>
      </c>
      <c r="AK5" s="256"/>
      <c r="AL5" s="256" t="s">
        <v>226</v>
      </c>
      <c r="AM5" s="256"/>
      <c r="AN5" s="256" t="s">
        <v>235</v>
      </c>
      <c r="AO5" s="256"/>
      <c r="AP5" s="257" t="s">
        <v>236</v>
      </c>
      <c r="AQ5" s="257"/>
      <c r="AR5" s="256" t="s">
        <v>237</v>
      </c>
      <c r="AS5" s="256"/>
      <c r="AT5" s="256" t="s">
        <v>238</v>
      </c>
      <c r="AU5" s="256"/>
      <c r="AV5" s="257" t="s">
        <v>239</v>
      </c>
      <c r="AW5" s="257"/>
      <c r="AX5" s="256" t="s">
        <v>228</v>
      </c>
      <c r="AY5" s="256"/>
      <c r="AZ5" s="256" t="s">
        <v>226</v>
      </c>
      <c r="BA5" s="256"/>
      <c r="BB5" s="256" t="s">
        <v>240</v>
      </c>
      <c r="BC5" s="256"/>
      <c r="BD5" s="256" t="s">
        <v>71</v>
      </c>
      <c r="BE5" s="256"/>
      <c r="BF5" s="256" t="s">
        <v>72</v>
      </c>
      <c r="BG5" s="256"/>
      <c r="BH5" s="256" t="s">
        <v>241</v>
      </c>
      <c r="BI5" s="256"/>
      <c r="BJ5" s="256" t="s">
        <v>242</v>
      </c>
      <c r="BK5" s="256"/>
      <c r="BL5" s="256" t="s">
        <v>243</v>
      </c>
      <c r="BM5" s="256"/>
      <c r="BN5" s="256" t="s">
        <v>244</v>
      </c>
      <c r="BO5" s="256"/>
      <c r="BP5" s="256" t="s">
        <v>245</v>
      </c>
      <c r="BQ5" s="256"/>
      <c r="BR5" s="256" t="s">
        <v>246</v>
      </c>
      <c r="BS5" s="256"/>
      <c r="BT5" s="256" t="s">
        <v>247</v>
      </c>
      <c r="BU5" s="256"/>
      <c r="BV5" s="256" t="s">
        <v>248</v>
      </c>
      <c r="BW5" s="256"/>
      <c r="BX5" s="256" t="s">
        <v>246</v>
      </c>
      <c r="BY5" s="256"/>
      <c r="BZ5" s="256" t="s">
        <v>74</v>
      </c>
      <c r="CA5" s="256"/>
      <c r="CB5" s="256" t="s">
        <v>75</v>
      </c>
      <c r="CC5" s="256"/>
      <c r="CD5" s="256" t="s">
        <v>76</v>
      </c>
      <c r="CE5" s="256"/>
      <c r="CF5" s="256" t="s">
        <v>77</v>
      </c>
      <c r="CG5" s="256"/>
      <c r="CH5" s="256" t="s">
        <v>249</v>
      </c>
      <c r="CI5" s="256"/>
      <c r="CJ5" s="256" t="s">
        <v>249</v>
      </c>
      <c r="CK5" s="256"/>
      <c r="CL5" s="256" t="s">
        <v>250</v>
      </c>
      <c r="CM5" s="256"/>
      <c r="CN5" s="256" t="s">
        <v>70</v>
      </c>
      <c r="CO5" s="256"/>
      <c r="CP5" s="258" t="s">
        <v>251</v>
      </c>
      <c r="CQ5" s="258"/>
      <c r="CR5" s="258" t="s">
        <v>222</v>
      </c>
      <c r="CS5" s="258"/>
      <c r="CT5" s="258" t="s">
        <v>252</v>
      </c>
      <c r="CU5" s="258"/>
      <c r="CV5" s="258" t="s">
        <v>253</v>
      </c>
      <c r="CW5" s="258"/>
      <c r="CX5" s="258" t="s">
        <v>254</v>
      </c>
      <c r="CY5" s="258"/>
      <c r="CZ5" s="258" t="s">
        <v>255</v>
      </c>
      <c r="DA5" s="258"/>
      <c r="DB5" s="256" t="s">
        <v>73</v>
      </c>
      <c r="DC5" s="256"/>
      <c r="DD5" s="256" t="s">
        <v>256</v>
      </c>
      <c r="DE5" s="256"/>
      <c r="DF5" s="256" t="s">
        <v>257</v>
      </c>
      <c r="DG5" s="256"/>
      <c r="DH5" s="256" t="s">
        <v>258</v>
      </c>
      <c r="DI5" s="256"/>
      <c r="DJ5" s="257" t="s">
        <v>256</v>
      </c>
      <c r="DK5" s="257"/>
      <c r="DL5" s="256" t="s">
        <v>259</v>
      </c>
      <c r="DM5" s="256"/>
      <c r="DN5" s="256" t="s">
        <v>259</v>
      </c>
      <c r="DO5" s="256"/>
      <c r="DP5" s="256" t="s">
        <v>260</v>
      </c>
      <c r="DQ5" s="256"/>
      <c r="DR5" s="256" t="s">
        <v>260</v>
      </c>
      <c r="DS5" s="256"/>
      <c r="DT5" s="256" t="s">
        <v>232</v>
      </c>
      <c r="DU5" s="256"/>
      <c r="DV5" s="256" t="s">
        <v>261</v>
      </c>
      <c r="DW5" s="256"/>
      <c r="DX5" s="258" t="s">
        <v>262</v>
      </c>
      <c r="DY5" s="258"/>
      <c r="DZ5" s="256" t="s">
        <v>226</v>
      </c>
      <c r="EA5" s="256"/>
      <c r="EB5" s="258" t="s">
        <v>263</v>
      </c>
      <c r="EC5" s="258"/>
      <c r="ED5" s="258" t="s">
        <v>264</v>
      </c>
      <c r="EE5" s="258"/>
      <c r="EF5" s="258" t="s">
        <v>265</v>
      </c>
      <c r="EG5" s="258"/>
      <c r="EH5" s="258" t="s">
        <v>228</v>
      </c>
      <c r="EI5" s="258"/>
      <c r="EJ5" s="258" t="s">
        <v>266</v>
      </c>
      <c r="EK5" s="258"/>
      <c r="EL5" s="256" t="s">
        <v>267</v>
      </c>
      <c r="EM5" s="256"/>
      <c r="EN5" s="256" t="s">
        <v>268</v>
      </c>
      <c r="EO5" s="256"/>
      <c r="EP5" s="256" t="s">
        <v>269</v>
      </c>
      <c r="EQ5" s="256"/>
      <c r="ER5" s="256" t="s">
        <v>270</v>
      </c>
      <c r="ES5" s="256"/>
      <c r="ET5" s="256" t="s">
        <v>268</v>
      </c>
      <c r="EU5" s="256"/>
      <c r="EV5" s="256" t="s">
        <v>269</v>
      </c>
      <c r="EW5" s="256"/>
      <c r="EX5" s="256" t="s">
        <v>271</v>
      </c>
      <c r="EY5" s="256"/>
      <c r="EZ5" s="256" t="s">
        <v>266</v>
      </c>
      <c r="FA5" s="256"/>
      <c r="FB5" s="256" t="s">
        <v>272</v>
      </c>
      <c r="FC5" s="256"/>
      <c r="FD5" s="256" t="s">
        <v>273</v>
      </c>
      <c r="FE5" s="256"/>
      <c r="FF5" s="256" t="s">
        <v>274</v>
      </c>
      <c r="FG5" s="256"/>
      <c r="FH5" s="256" t="s">
        <v>275</v>
      </c>
      <c r="FI5" s="256"/>
      <c r="FJ5" s="256" t="s">
        <v>276</v>
      </c>
      <c r="FK5" s="256"/>
      <c r="FL5" s="257" t="s">
        <v>277</v>
      </c>
      <c r="FM5" s="257"/>
    </row>
    <row r="6" spans="1:169" s="24" customFormat="1" ht="30" customHeight="1">
      <c r="B6" s="251">
        <v>5065544</v>
      </c>
      <c r="C6" s="251"/>
      <c r="D6" s="213"/>
      <c r="E6" s="215"/>
      <c r="F6" s="251">
        <v>5065541</v>
      </c>
      <c r="G6" s="251"/>
      <c r="H6" s="213"/>
      <c r="I6" s="215"/>
      <c r="J6" s="213"/>
      <c r="K6" s="215"/>
      <c r="L6" s="251">
        <v>5065542</v>
      </c>
      <c r="M6" s="251"/>
      <c r="N6" s="251">
        <v>5065540</v>
      </c>
      <c r="O6" s="251"/>
      <c r="P6" s="213"/>
      <c r="Q6" s="215"/>
      <c r="R6" s="213"/>
      <c r="S6" s="215"/>
      <c r="T6" s="251">
        <v>5065546</v>
      </c>
      <c r="U6" s="251"/>
      <c r="V6" s="213"/>
      <c r="W6" s="215"/>
      <c r="X6" s="213"/>
      <c r="Y6" s="215"/>
      <c r="Z6" s="213"/>
      <c r="AA6" s="215"/>
      <c r="AB6" s="213"/>
      <c r="AC6" s="215"/>
      <c r="AD6" s="251">
        <v>5065547</v>
      </c>
      <c r="AE6" s="251"/>
      <c r="AF6" s="213"/>
      <c r="AG6" s="215"/>
      <c r="AH6" s="259"/>
      <c r="AI6" s="260"/>
      <c r="AJ6" s="259"/>
      <c r="AK6" s="260"/>
      <c r="AL6" s="259"/>
      <c r="AM6" s="260"/>
      <c r="AN6" s="259"/>
      <c r="AO6" s="260"/>
      <c r="AP6" s="259"/>
      <c r="AQ6" s="260"/>
      <c r="AR6" s="259"/>
      <c r="AS6" s="260"/>
      <c r="AT6" s="259"/>
      <c r="AU6" s="260"/>
      <c r="AV6" s="259"/>
      <c r="AW6" s="260"/>
      <c r="AX6" s="259"/>
      <c r="AY6" s="260"/>
      <c r="AZ6" s="259"/>
      <c r="BA6" s="260"/>
      <c r="BB6" s="259"/>
      <c r="BC6" s="260"/>
      <c r="BD6" s="251">
        <v>5065548</v>
      </c>
      <c r="BE6" s="251"/>
      <c r="BF6" s="251">
        <v>5465545</v>
      </c>
      <c r="BG6" s="251"/>
      <c r="BH6" s="213"/>
      <c r="BI6" s="215"/>
      <c r="BJ6" s="213"/>
      <c r="BK6" s="215"/>
      <c r="BL6" s="213"/>
      <c r="BM6" s="215"/>
      <c r="BN6" s="213"/>
      <c r="BO6" s="215"/>
      <c r="BP6" s="213"/>
      <c r="BQ6" s="215"/>
      <c r="BR6" s="213"/>
      <c r="BS6" s="215"/>
      <c r="BT6" s="213"/>
      <c r="BU6" s="215"/>
      <c r="BV6" s="213"/>
      <c r="BW6" s="215"/>
      <c r="BX6" s="213"/>
      <c r="BY6" s="215"/>
      <c r="BZ6" s="251">
        <v>5018351</v>
      </c>
      <c r="CA6" s="251"/>
      <c r="CB6" s="251">
        <v>5018354</v>
      </c>
      <c r="CC6" s="251"/>
      <c r="CD6" s="251">
        <v>5018350</v>
      </c>
      <c r="CE6" s="251"/>
      <c r="CF6" s="251">
        <v>5065543</v>
      </c>
      <c r="CG6" s="251"/>
      <c r="CH6" s="213"/>
      <c r="CI6" s="215"/>
      <c r="CJ6" s="213"/>
      <c r="CK6" s="215"/>
      <c r="CL6" s="213"/>
      <c r="CM6" s="215"/>
      <c r="CN6" s="251">
        <v>5008272</v>
      </c>
      <c r="CO6" s="251"/>
      <c r="CP6" s="213"/>
      <c r="CQ6" s="215"/>
      <c r="CR6" s="213"/>
      <c r="CS6" s="215"/>
      <c r="CT6" s="213"/>
      <c r="CU6" s="215"/>
      <c r="CV6" s="213"/>
      <c r="CW6" s="215"/>
      <c r="CX6" s="213"/>
      <c r="CY6" s="215"/>
      <c r="CZ6" s="213"/>
      <c r="DA6" s="215"/>
      <c r="DB6" s="251">
        <v>5008273</v>
      </c>
      <c r="DC6" s="251"/>
      <c r="DD6" s="213"/>
      <c r="DE6" s="215"/>
      <c r="DF6" s="213"/>
      <c r="DG6" s="215"/>
      <c r="DH6" s="213"/>
      <c r="DI6" s="215"/>
      <c r="DJ6" s="213"/>
      <c r="DK6" s="215"/>
      <c r="DL6" s="213"/>
      <c r="DM6" s="215"/>
      <c r="DN6" s="213"/>
      <c r="DO6" s="215"/>
      <c r="DP6" s="213"/>
      <c r="DQ6" s="215"/>
      <c r="DR6" s="213"/>
      <c r="DS6" s="215"/>
      <c r="DT6" s="213"/>
      <c r="DU6" s="215"/>
      <c r="DV6" s="213"/>
      <c r="DW6" s="215"/>
      <c r="DX6" s="213"/>
      <c r="DY6" s="215"/>
      <c r="DZ6" s="213"/>
      <c r="EA6" s="215"/>
      <c r="EB6" s="213"/>
      <c r="EC6" s="215"/>
      <c r="ED6" s="213"/>
      <c r="EE6" s="215"/>
      <c r="EF6" s="213"/>
      <c r="EG6" s="215"/>
      <c r="EH6" s="213"/>
      <c r="EI6" s="215"/>
      <c r="EJ6" s="213"/>
      <c r="EK6" s="215"/>
      <c r="EL6" s="213"/>
      <c r="EM6" s="215"/>
      <c r="EN6" s="213"/>
      <c r="EO6" s="215"/>
      <c r="EP6" s="213"/>
      <c r="EQ6" s="215"/>
      <c r="ER6" s="213"/>
      <c r="ES6" s="215"/>
      <c r="ET6" s="213"/>
      <c r="EU6" s="215"/>
      <c r="EV6" s="213"/>
      <c r="EW6" s="215"/>
      <c r="EX6" s="213"/>
      <c r="EY6" s="215"/>
      <c r="EZ6" s="213"/>
      <c r="FA6" s="215"/>
      <c r="FB6" s="213"/>
      <c r="FC6" s="215"/>
      <c r="FD6" s="213"/>
      <c r="FE6" s="215"/>
      <c r="FF6" s="213"/>
      <c r="FG6" s="215"/>
      <c r="FH6" s="213"/>
      <c r="FI6" s="215"/>
      <c r="FJ6" s="213"/>
      <c r="FK6" s="215"/>
      <c r="FL6" s="213"/>
      <c r="FM6" s="215"/>
    </row>
    <row r="7" spans="1:169" s="24" customFormat="1" ht="30" customHeight="1">
      <c r="B7" s="261" t="s">
        <v>92</v>
      </c>
      <c r="C7" s="261"/>
      <c r="D7" s="261" t="s">
        <v>92</v>
      </c>
      <c r="E7" s="261"/>
      <c r="F7" s="262" t="s">
        <v>93</v>
      </c>
      <c r="G7" s="262"/>
      <c r="H7" s="263" t="s">
        <v>94</v>
      </c>
      <c r="I7" s="263"/>
      <c r="J7" s="263" t="s">
        <v>94</v>
      </c>
      <c r="K7" s="263"/>
      <c r="L7" s="263" t="s">
        <v>94</v>
      </c>
      <c r="M7" s="263"/>
      <c r="N7" s="264" t="s">
        <v>95</v>
      </c>
      <c r="O7" s="264"/>
      <c r="P7" s="264" t="s">
        <v>95</v>
      </c>
      <c r="Q7" s="264"/>
      <c r="R7" s="264" t="s">
        <v>95</v>
      </c>
      <c r="S7" s="264"/>
      <c r="T7" s="265" t="s">
        <v>82</v>
      </c>
      <c r="U7" s="265"/>
      <c r="V7" s="265" t="s">
        <v>82</v>
      </c>
      <c r="W7" s="265"/>
      <c r="X7" s="265" t="s">
        <v>82</v>
      </c>
      <c r="Y7" s="265"/>
      <c r="Z7" s="265" t="s">
        <v>82</v>
      </c>
      <c r="AA7" s="265"/>
      <c r="AB7" s="265" t="s">
        <v>82</v>
      </c>
      <c r="AC7" s="265"/>
      <c r="AD7" s="266" t="s">
        <v>83</v>
      </c>
      <c r="AE7" s="266"/>
      <c r="AF7" s="266" t="s">
        <v>83</v>
      </c>
      <c r="AG7" s="266"/>
      <c r="AH7" s="267" t="s">
        <v>85</v>
      </c>
      <c r="AI7" s="267"/>
      <c r="AJ7" s="267" t="s">
        <v>85</v>
      </c>
      <c r="AK7" s="267"/>
      <c r="AL7" s="267" t="s">
        <v>85</v>
      </c>
      <c r="AM7" s="267"/>
      <c r="AN7" s="267" t="s">
        <v>85</v>
      </c>
      <c r="AO7" s="267"/>
      <c r="AP7" s="267" t="s">
        <v>85</v>
      </c>
      <c r="AQ7" s="267"/>
      <c r="AR7" s="267" t="s">
        <v>85</v>
      </c>
      <c r="AS7" s="267"/>
      <c r="AT7" s="267" t="s">
        <v>85</v>
      </c>
      <c r="AU7" s="267"/>
      <c r="AV7" s="267" t="s">
        <v>85</v>
      </c>
      <c r="AW7" s="267"/>
      <c r="AX7" s="267" t="s">
        <v>85</v>
      </c>
      <c r="AY7" s="267"/>
      <c r="AZ7" s="267" t="s">
        <v>85</v>
      </c>
      <c r="BA7" s="267"/>
      <c r="BB7" s="267" t="s">
        <v>85</v>
      </c>
      <c r="BC7" s="267"/>
      <c r="BD7" s="267" t="s">
        <v>85</v>
      </c>
      <c r="BE7" s="267"/>
      <c r="BF7" s="268" t="s">
        <v>86</v>
      </c>
      <c r="BG7" s="268"/>
      <c r="BH7" s="268" t="s">
        <v>86</v>
      </c>
      <c r="BI7" s="268"/>
      <c r="BJ7" s="268" t="s">
        <v>86</v>
      </c>
      <c r="BK7" s="268"/>
      <c r="BL7" s="268" t="s">
        <v>86</v>
      </c>
      <c r="BM7" s="268"/>
      <c r="BN7" s="268" t="s">
        <v>86</v>
      </c>
      <c r="BO7" s="268"/>
      <c r="BP7" s="268" t="s">
        <v>86</v>
      </c>
      <c r="BQ7" s="268"/>
      <c r="BR7" s="268" t="s">
        <v>86</v>
      </c>
      <c r="BS7" s="268"/>
      <c r="BT7" s="268" t="s">
        <v>86</v>
      </c>
      <c r="BU7" s="268"/>
      <c r="BV7" s="268" t="s">
        <v>86</v>
      </c>
      <c r="BW7" s="268"/>
      <c r="BX7" s="268" t="s">
        <v>86</v>
      </c>
      <c r="BY7" s="268"/>
      <c r="BZ7" s="269" t="s">
        <v>88</v>
      </c>
      <c r="CA7" s="269"/>
      <c r="CB7" s="270" t="s">
        <v>89</v>
      </c>
      <c r="CC7" s="270"/>
      <c r="CD7" s="250" t="s">
        <v>90</v>
      </c>
      <c r="CE7" s="250"/>
      <c r="CF7" s="271" t="s">
        <v>91</v>
      </c>
      <c r="CG7" s="271"/>
      <c r="CH7" s="271" t="s">
        <v>91</v>
      </c>
      <c r="CI7" s="271"/>
      <c r="CJ7" s="271" t="s">
        <v>91</v>
      </c>
      <c r="CK7" s="271"/>
      <c r="CL7" s="271" t="s">
        <v>91</v>
      </c>
      <c r="CM7" s="271"/>
      <c r="CN7" s="272" t="s">
        <v>84</v>
      </c>
      <c r="CO7" s="272"/>
      <c r="CP7" s="272" t="s">
        <v>84</v>
      </c>
      <c r="CQ7" s="272"/>
      <c r="CR7" s="272" t="s">
        <v>84</v>
      </c>
      <c r="CS7" s="272"/>
      <c r="CT7" s="272" t="s">
        <v>84</v>
      </c>
      <c r="CU7" s="272"/>
      <c r="CV7" s="272" t="s">
        <v>84</v>
      </c>
      <c r="CW7" s="272"/>
      <c r="CX7" s="272" t="s">
        <v>84</v>
      </c>
      <c r="CY7" s="272"/>
      <c r="CZ7" s="272" t="s">
        <v>84</v>
      </c>
      <c r="DA7" s="272"/>
      <c r="DB7" s="273" t="s">
        <v>87</v>
      </c>
      <c r="DC7" s="273"/>
      <c r="DD7" s="273" t="s">
        <v>87</v>
      </c>
      <c r="DE7" s="273"/>
      <c r="DF7" s="273" t="s">
        <v>87</v>
      </c>
      <c r="DG7" s="273"/>
      <c r="DH7" s="273" t="s">
        <v>87</v>
      </c>
      <c r="DI7" s="273"/>
      <c r="DJ7" s="273" t="s">
        <v>87</v>
      </c>
      <c r="DK7" s="273"/>
      <c r="DL7" s="266" t="s">
        <v>83</v>
      </c>
      <c r="DM7" s="266"/>
      <c r="DN7" s="266" t="s">
        <v>83</v>
      </c>
      <c r="DO7" s="266"/>
      <c r="DP7" s="266" t="s">
        <v>83</v>
      </c>
      <c r="DQ7" s="266"/>
      <c r="DR7" s="266" t="s">
        <v>83</v>
      </c>
      <c r="DS7" s="266"/>
      <c r="DT7" s="266" t="s">
        <v>83</v>
      </c>
      <c r="DU7" s="266"/>
      <c r="DV7" s="266" t="s">
        <v>83</v>
      </c>
      <c r="DW7" s="266"/>
      <c r="DX7" s="265" t="s">
        <v>82</v>
      </c>
      <c r="DY7" s="265"/>
      <c r="DZ7" s="265" t="s">
        <v>82</v>
      </c>
      <c r="EA7" s="265"/>
      <c r="EB7" s="265" t="s">
        <v>82</v>
      </c>
      <c r="EC7" s="265"/>
      <c r="ED7" s="265" t="s">
        <v>82</v>
      </c>
      <c r="EE7" s="265"/>
      <c r="EF7" s="265" t="s">
        <v>82</v>
      </c>
      <c r="EG7" s="265"/>
      <c r="EH7" s="265" t="s">
        <v>82</v>
      </c>
      <c r="EI7" s="265"/>
      <c r="EJ7" s="265" t="s">
        <v>82</v>
      </c>
      <c r="EK7" s="265"/>
      <c r="EL7" s="263" t="s">
        <v>94</v>
      </c>
      <c r="EM7" s="263"/>
      <c r="EN7" s="263" t="s">
        <v>94</v>
      </c>
      <c r="EO7" s="263"/>
      <c r="EP7" s="263" t="s">
        <v>94</v>
      </c>
      <c r="EQ7" s="263"/>
      <c r="ER7" s="261" t="s">
        <v>92</v>
      </c>
      <c r="ES7" s="261"/>
      <c r="ET7" s="261" t="s">
        <v>92</v>
      </c>
      <c r="EU7" s="261"/>
      <c r="EV7" s="261" t="s">
        <v>92</v>
      </c>
      <c r="EW7" s="261"/>
      <c r="EX7" s="262" t="s">
        <v>93</v>
      </c>
      <c r="EY7" s="262"/>
      <c r="EZ7" s="264" t="s">
        <v>95</v>
      </c>
      <c r="FA7" s="264"/>
      <c r="FB7" s="264" t="s">
        <v>95</v>
      </c>
      <c r="FC7" s="264"/>
      <c r="FD7" s="264" t="s">
        <v>95</v>
      </c>
      <c r="FE7" s="264"/>
      <c r="FF7" s="262" t="s">
        <v>93</v>
      </c>
      <c r="FG7" s="262"/>
      <c r="FH7" s="262" t="s">
        <v>93</v>
      </c>
      <c r="FI7" s="262"/>
      <c r="FJ7" s="262" t="s">
        <v>93</v>
      </c>
      <c r="FK7" s="262"/>
      <c r="FL7" s="262" t="s">
        <v>93</v>
      </c>
      <c r="FM7" s="262"/>
    </row>
    <row r="8" spans="1:169" s="24" customFormat="1" ht="30" customHeight="1">
      <c r="B8" s="274"/>
      <c r="C8" s="274"/>
      <c r="D8" s="275" t="s">
        <v>278</v>
      </c>
      <c r="E8" s="276"/>
      <c r="F8" s="274"/>
      <c r="G8" s="274"/>
      <c r="H8" s="275" t="s">
        <v>279</v>
      </c>
      <c r="I8" s="276"/>
      <c r="J8" s="275" t="s">
        <v>280</v>
      </c>
      <c r="K8" s="276"/>
      <c r="L8" s="274"/>
      <c r="M8" s="274"/>
      <c r="N8" s="274"/>
      <c r="O8" s="274"/>
      <c r="P8" s="275" t="s">
        <v>281</v>
      </c>
      <c r="Q8" s="276"/>
      <c r="R8" s="275" t="s">
        <v>282</v>
      </c>
      <c r="S8" s="276"/>
      <c r="T8" s="274"/>
      <c r="U8" s="274"/>
      <c r="V8" s="275" t="s">
        <v>283</v>
      </c>
      <c r="W8" s="276"/>
      <c r="X8" s="275" t="s">
        <v>284</v>
      </c>
      <c r="Y8" s="276"/>
      <c r="Z8" s="275" t="s">
        <v>285</v>
      </c>
      <c r="AA8" s="276"/>
      <c r="AB8" s="275" t="s">
        <v>286</v>
      </c>
      <c r="AC8" s="276"/>
      <c r="AD8" s="274"/>
      <c r="AE8" s="274"/>
      <c r="AF8" s="275" t="s">
        <v>287</v>
      </c>
      <c r="AG8" s="276"/>
      <c r="AH8" s="275" t="s">
        <v>288</v>
      </c>
      <c r="AI8" s="276"/>
      <c r="AJ8" s="275" t="s">
        <v>289</v>
      </c>
      <c r="AK8" s="276"/>
      <c r="AL8" s="275" t="s">
        <v>290</v>
      </c>
      <c r="AM8" s="276"/>
      <c r="AN8" s="275" t="s">
        <v>291</v>
      </c>
      <c r="AO8" s="276"/>
      <c r="AP8" s="275" t="s">
        <v>292</v>
      </c>
      <c r="AQ8" s="276"/>
      <c r="AR8" s="275" t="s">
        <v>293</v>
      </c>
      <c r="AS8" s="276"/>
      <c r="AT8" s="275" t="s">
        <v>294</v>
      </c>
      <c r="AU8" s="276"/>
      <c r="AV8" s="275" t="s">
        <v>295</v>
      </c>
      <c r="AW8" s="276"/>
      <c r="AX8" s="275" t="s">
        <v>296</v>
      </c>
      <c r="AY8" s="276"/>
      <c r="AZ8" s="275" t="s">
        <v>297</v>
      </c>
      <c r="BA8" s="276"/>
      <c r="BB8" s="275" t="s">
        <v>298</v>
      </c>
      <c r="BC8" s="276"/>
      <c r="BD8" s="275"/>
      <c r="BE8" s="276"/>
      <c r="BF8" s="274"/>
      <c r="BG8" s="274"/>
      <c r="BH8" s="275" t="s">
        <v>299</v>
      </c>
      <c r="BI8" s="276"/>
      <c r="BJ8" s="275" t="s">
        <v>300</v>
      </c>
      <c r="BK8" s="276"/>
      <c r="BL8" s="275" t="s">
        <v>301</v>
      </c>
      <c r="BM8" s="276"/>
      <c r="BN8" s="275" t="s">
        <v>302</v>
      </c>
      <c r="BO8" s="276"/>
      <c r="BP8" s="275" t="s">
        <v>303</v>
      </c>
      <c r="BQ8" s="276"/>
      <c r="BR8" s="275" t="s">
        <v>304</v>
      </c>
      <c r="BS8" s="276"/>
      <c r="BT8" s="275" t="s">
        <v>305</v>
      </c>
      <c r="BU8" s="276"/>
      <c r="BV8" s="275" t="s">
        <v>306</v>
      </c>
      <c r="BW8" s="276"/>
      <c r="BX8" s="275" t="s">
        <v>307</v>
      </c>
      <c r="BY8" s="276"/>
      <c r="BZ8" s="274"/>
      <c r="CA8" s="274"/>
      <c r="CB8" s="274"/>
      <c r="CC8" s="274"/>
      <c r="CD8" s="274"/>
      <c r="CE8" s="274"/>
      <c r="CF8" s="274"/>
      <c r="CG8" s="274"/>
      <c r="CH8" s="275" t="s">
        <v>308</v>
      </c>
      <c r="CI8" s="276"/>
      <c r="CJ8" s="275" t="s">
        <v>309</v>
      </c>
      <c r="CK8" s="276"/>
      <c r="CL8" s="275" t="s">
        <v>310</v>
      </c>
      <c r="CM8" s="276"/>
      <c r="CN8" s="274"/>
      <c r="CO8" s="274"/>
      <c r="CP8" s="275" t="s">
        <v>311</v>
      </c>
      <c r="CQ8" s="276"/>
      <c r="CR8" s="275" t="s">
        <v>312</v>
      </c>
      <c r="CS8" s="276"/>
      <c r="CT8" s="275" t="s">
        <v>313</v>
      </c>
      <c r="CU8" s="276"/>
      <c r="CV8" s="275" t="s">
        <v>314</v>
      </c>
      <c r="CW8" s="276"/>
      <c r="CX8" s="275" t="s">
        <v>315</v>
      </c>
      <c r="CY8" s="276"/>
      <c r="CZ8" s="275" t="s">
        <v>316</v>
      </c>
      <c r="DA8" s="276"/>
      <c r="DB8" s="274"/>
      <c r="DC8" s="274"/>
      <c r="DD8" s="275" t="s">
        <v>317</v>
      </c>
      <c r="DE8" s="276"/>
      <c r="DF8" s="275" t="s">
        <v>318</v>
      </c>
      <c r="DG8" s="276"/>
      <c r="DH8" s="275" t="s">
        <v>319</v>
      </c>
      <c r="DI8" s="276"/>
      <c r="DJ8" s="275" t="s">
        <v>320</v>
      </c>
      <c r="DK8" s="276"/>
      <c r="DL8" s="275" t="s">
        <v>321</v>
      </c>
      <c r="DM8" s="276"/>
      <c r="DN8" s="275" t="s">
        <v>322</v>
      </c>
      <c r="DO8" s="276"/>
      <c r="DP8" s="275" t="s">
        <v>323</v>
      </c>
      <c r="DQ8" s="276"/>
      <c r="DR8" s="275" t="s">
        <v>324</v>
      </c>
      <c r="DS8" s="276"/>
      <c r="DT8" s="275" t="s">
        <v>325</v>
      </c>
      <c r="DU8" s="276"/>
      <c r="DV8" s="275" t="s">
        <v>326</v>
      </c>
      <c r="DW8" s="276"/>
      <c r="DX8" s="275" t="s">
        <v>327</v>
      </c>
      <c r="DY8" s="276"/>
      <c r="DZ8" s="275" t="s">
        <v>328</v>
      </c>
      <c r="EA8" s="276"/>
      <c r="EB8" s="275" t="s">
        <v>329</v>
      </c>
      <c r="EC8" s="276"/>
      <c r="ED8" s="275" t="s">
        <v>330</v>
      </c>
      <c r="EE8" s="276"/>
      <c r="EF8" s="275" t="s">
        <v>331</v>
      </c>
      <c r="EG8" s="276"/>
      <c r="EH8" s="275" t="s">
        <v>332</v>
      </c>
      <c r="EI8" s="276"/>
      <c r="EJ8" s="275" t="s">
        <v>333</v>
      </c>
      <c r="EK8" s="276"/>
      <c r="EL8" s="275" t="s">
        <v>334</v>
      </c>
      <c r="EM8" s="276"/>
      <c r="EN8" s="275" t="s">
        <v>335</v>
      </c>
      <c r="EO8" s="276"/>
      <c r="EP8" s="275" t="s">
        <v>336</v>
      </c>
      <c r="EQ8" s="276"/>
      <c r="ER8" s="275" t="s">
        <v>337</v>
      </c>
      <c r="ES8" s="276"/>
      <c r="ET8" s="275" t="s">
        <v>338</v>
      </c>
      <c r="EU8" s="276"/>
      <c r="EV8" s="275" t="s">
        <v>339</v>
      </c>
      <c r="EW8" s="276"/>
      <c r="EX8" s="275" t="s">
        <v>340</v>
      </c>
      <c r="EY8" s="276"/>
      <c r="EZ8" s="275" t="s">
        <v>341</v>
      </c>
      <c r="FA8" s="276"/>
      <c r="FB8" s="275" t="s">
        <v>342</v>
      </c>
      <c r="FC8" s="276"/>
      <c r="FD8" s="275" t="s">
        <v>343</v>
      </c>
      <c r="FE8" s="276"/>
      <c r="FF8" s="275" t="s">
        <v>344</v>
      </c>
      <c r="FG8" s="276"/>
      <c r="FH8" s="275" t="s">
        <v>345</v>
      </c>
      <c r="FI8" s="276"/>
      <c r="FJ8" s="275" t="s">
        <v>346</v>
      </c>
      <c r="FK8" s="276"/>
      <c r="FL8" s="275" t="s">
        <v>347</v>
      </c>
      <c r="FM8" s="276"/>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7"/>
      <c r="B1" s="107"/>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9" t="s">
        <v>348</v>
      </c>
      <c r="D2" s="279"/>
      <c r="E2" s="279" t="s">
        <v>349</v>
      </c>
      <c r="F2" s="279"/>
      <c r="G2" s="279" t="s">
        <v>350</v>
      </c>
      <c r="H2" s="279"/>
      <c r="I2" s="279" t="s">
        <v>351</v>
      </c>
      <c r="J2" s="279"/>
      <c r="K2" s="279" t="s">
        <v>352</v>
      </c>
      <c r="L2" s="279"/>
      <c r="M2" s="279" t="s">
        <v>353</v>
      </c>
      <c r="N2" s="279"/>
      <c r="O2" s="279" t="s">
        <v>354</v>
      </c>
      <c r="P2" s="279"/>
      <c r="Q2" s="279" t="s">
        <v>355</v>
      </c>
      <c r="R2" s="279"/>
      <c r="S2" s="279" t="s">
        <v>356</v>
      </c>
      <c r="T2" s="279"/>
      <c r="V2" s="279" t="s">
        <v>357</v>
      </c>
      <c r="W2" s="279"/>
      <c r="X2" s="279" t="s">
        <v>358</v>
      </c>
      <c r="Y2" s="279"/>
      <c r="Z2" s="279" t="s">
        <v>359</v>
      </c>
      <c r="AA2" s="279"/>
      <c r="AB2" s="279" t="s">
        <v>360</v>
      </c>
      <c r="AC2" s="279"/>
      <c r="AD2" s="279" t="s">
        <v>361</v>
      </c>
      <c r="AE2" s="279"/>
      <c r="AF2" s="279" t="s">
        <v>362</v>
      </c>
      <c r="AG2" s="279"/>
      <c r="AH2" s="279" t="s">
        <v>363</v>
      </c>
      <c r="AI2" s="279"/>
      <c r="AJ2" s="279" t="s">
        <v>364</v>
      </c>
      <c r="AK2" s="279"/>
      <c r="AL2" s="279" t="s">
        <v>365</v>
      </c>
      <c r="AM2" s="279"/>
      <c r="AO2" s="279" t="s">
        <v>366</v>
      </c>
      <c r="AP2" s="279"/>
      <c r="AQ2" s="279" t="s">
        <v>367</v>
      </c>
      <c r="AR2" s="279"/>
      <c r="AS2" s="279" t="s">
        <v>368</v>
      </c>
      <c r="AT2" s="279"/>
      <c r="AU2" s="279" t="s">
        <v>369</v>
      </c>
      <c r="AV2" s="279"/>
      <c r="AW2" s="279" t="s">
        <v>370</v>
      </c>
      <c r="AX2" s="279"/>
      <c r="AY2" s="279" t="s">
        <v>371</v>
      </c>
      <c r="AZ2" s="279"/>
      <c r="BA2" s="279" t="s">
        <v>372</v>
      </c>
      <c r="BB2" s="279"/>
      <c r="BC2" s="279" t="s">
        <v>373</v>
      </c>
      <c r="BD2" s="279"/>
      <c r="BE2" s="279" t="s">
        <v>374</v>
      </c>
      <c r="BF2" s="279"/>
      <c r="BH2" s="279" t="s">
        <v>104</v>
      </c>
      <c r="BI2" s="279"/>
      <c r="BJ2" s="279" t="s">
        <v>375</v>
      </c>
      <c r="BK2" s="279"/>
      <c r="BL2" s="279" t="s">
        <v>376</v>
      </c>
      <c r="BM2" s="279"/>
      <c r="BN2" s="279" t="s">
        <v>377</v>
      </c>
      <c r="BO2" s="279"/>
      <c r="BP2" s="279" t="s">
        <v>378</v>
      </c>
      <c r="BQ2" s="279"/>
      <c r="BR2" s="279" t="s">
        <v>379</v>
      </c>
      <c r="BS2" s="279"/>
      <c r="BT2" s="279" t="s">
        <v>380</v>
      </c>
      <c r="BU2" s="279"/>
      <c r="BV2" s="279" t="s">
        <v>381</v>
      </c>
      <c r="BW2" s="279"/>
      <c r="BX2" s="279" t="s">
        <v>382</v>
      </c>
      <c r="BY2" s="279"/>
      <c r="BZ2" s="279" t="s">
        <v>383</v>
      </c>
      <c r="CA2" s="279"/>
      <c r="CB2" s="279" t="s">
        <v>384</v>
      </c>
      <c r="CC2" s="279"/>
      <c r="CD2" s="279" t="s">
        <v>385</v>
      </c>
      <c r="CE2" s="279"/>
      <c r="CF2" s="279" t="s">
        <v>386</v>
      </c>
      <c r="CG2" s="279"/>
      <c r="CH2" s="279" t="s">
        <v>387</v>
      </c>
      <c r="CI2" s="279"/>
      <c r="CJ2" s="279" t="s">
        <v>388</v>
      </c>
      <c r="CK2" s="279"/>
      <c r="CL2" s="279" t="s">
        <v>389</v>
      </c>
      <c r="CM2" s="279"/>
      <c r="CN2" s="279" t="s">
        <v>390</v>
      </c>
      <c r="CO2" s="279"/>
      <c r="CP2" s="279" t="s">
        <v>391</v>
      </c>
      <c r="CQ2" s="279"/>
      <c r="CR2" s="279" t="s">
        <v>392</v>
      </c>
      <c r="CS2" s="279"/>
    </row>
    <row r="3" spans="1:97" s="56" customFormat="1" ht="49.5" customHeight="1">
      <c r="A3" s="113"/>
      <c r="B3" s="70"/>
      <c r="C3" s="277"/>
      <c r="D3" s="277"/>
      <c r="E3" s="280" t="s">
        <v>111</v>
      </c>
      <c r="F3" s="280"/>
      <c r="G3" s="277"/>
      <c r="H3" s="277"/>
      <c r="I3" s="281" t="s">
        <v>113</v>
      </c>
      <c r="J3" s="281"/>
      <c r="K3" s="277"/>
      <c r="L3" s="277"/>
      <c r="M3" s="277"/>
      <c r="N3" s="277"/>
      <c r="O3" s="277"/>
      <c r="P3" s="277"/>
      <c r="Q3" s="278" t="s">
        <v>114</v>
      </c>
      <c r="R3" s="278"/>
      <c r="S3" s="277"/>
      <c r="T3" s="277"/>
      <c r="U3" s="55"/>
      <c r="V3" s="278" t="s">
        <v>109</v>
      </c>
      <c r="W3" s="278"/>
      <c r="X3" s="277"/>
      <c r="Y3" s="277"/>
      <c r="Z3" s="277"/>
      <c r="AA3" s="277"/>
      <c r="AB3" s="277"/>
      <c r="AC3" s="277"/>
      <c r="AD3" s="277"/>
      <c r="AE3" s="277"/>
      <c r="AF3" s="277"/>
      <c r="AG3" s="277"/>
      <c r="AH3" s="277"/>
      <c r="AI3" s="277"/>
      <c r="AJ3" s="277"/>
      <c r="AK3" s="277"/>
      <c r="AL3" s="277"/>
      <c r="AM3" s="277"/>
      <c r="AN3" s="55"/>
      <c r="AO3" s="280" t="s">
        <v>112</v>
      </c>
      <c r="AP3" s="280"/>
      <c r="AQ3" s="277"/>
      <c r="AR3" s="277"/>
      <c r="AS3" s="277"/>
      <c r="AT3" s="277"/>
      <c r="AU3" s="277"/>
      <c r="AV3" s="277"/>
      <c r="AW3" s="277"/>
      <c r="AX3" s="277"/>
      <c r="AY3" s="277"/>
      <c r="AZ3" s="277"/>
      <c r="BA3" s="277"/>
      <c r="BB3" s="277"/>
      <c r="BC3" s="277"/>
      <c r="BD3" s="277"/>
      <c r="BE3" s="277"/>
      <c r="BF3" s="277"/>
      <c r="BG3" s="55"/>
      <c r="BH3" s="280" t="s">
        <v>110</v>
      </c>
      <c r="BI3" s="280"/>
      <c r="BJ3" s="277"/>
      <c r="BK3" s="277"/>
      <c r="BL3" s="277"/>
      <c r="BM3" s="277"/>
      <c r="BN3" s="277"/>
      <c r="BO3" s="277"/>
      <c r="BP3" s="277"/>
      <c r="BQ3" s="277"/>
      <c r="BR3" s="277"/>
      <c r="BS3" s="277"/>
      <c r="BT3" s="277"/>
      <c r="BU3" s="277"/>
      <c r="BV3" s="277"/>
      <c r="BW3" s="277"/>
      <c r="BX3" s="277"/>
      <c r="BY3" s="277"/>
      <c r="BZ3" s="277"/>
      <c r="CA3" s="277"/>
      <c r="CB3" s="277"/>
      <c r="CC3" s="277"/>
      <c r="CD3" s="277"/>
      <c r="CE3" s="277"/>
      <c r="CF3" s="277"/>
      <c r="CG3" s="277"/>
      <c r="CH3" s="277"/>
      <c r="CI3" s="277"/>
      <c r="CJ3" s="277"/>
      <c r="CK3" s="277"/>
      <c r="CL3" s="277"/>
      <c r="CM3" s="277"/>
      <c r="CN3" s="277"/>
      <c r="CO3" s="277"/>
      <c r="CP3" s="277"/>
      <c r="CQ3" s="277"/>
      <c r="CR3" s="277"/>
      <c r="CS3" s="277"/>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2022-12-23T02:15:17Z</dcterms:modified>
  <cp:category/>
  <cp:contentStatus/>
</cp:coreProperties>
</file>