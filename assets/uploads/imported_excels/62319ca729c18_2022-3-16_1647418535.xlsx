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<sst xmlns="http://schemas.openxmlformats.org/spreadsheetml/2006/main" count="128" uniqueCount="49">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</sst>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59400</v>
      </c>
      <c r="F14" s="11">
        <v>5.0000000000000001E-3</v>
      </c>
      <c r="G14" s="12">
        <f>Submetering!R14</f>
        <v>722.63476900000001</v>
      </c>
      <c r="H14" s="11">
        <v>0.52800000000000002</v>
      </c>
      <c r="I14" s="12">
        <f>Hotel!B19</f>
        <v>168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59710</v>
      </c>
      <c r="F15" s="11">
        <v>5.0000000000000001E-3</v>
      </c>
      <c r="G15" s="12">
        <f>Submetering!R15</f>
        <v>668.88194699999997</v>
      </c>
      <c r="H15" s="11">
        <v>0.52800000000000002</v>
      </c>
      <c r="I15" s="12">
        <f>Hotel!B20</f>
        <v>180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59910</v>
      </c>
      <c r="F16" s="11">
        <v>5.0000000000000001E-3</v>
      </c>
      <c r="G16" s="12">
        <f>Submetering!R16</f>
        <v>909.63402299999996</v>
      </c>
      <c r="H16" s="11">
        <v>0.52800000000000002</v>
      </c>
      <c r="I16" s="12">
        <f>Hotel!B21</f>
        <v>199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>
        <f>Hotel!Q19</f>
        <v>9000</v>
      </c>
      <c r="F14" s="4">
        <f>Hotel!R19</f>
        <v>1700</v>
      </c>
      <c r="G14" s="4">
        <f>Hotel!S19</f>
        <v>0</v>
      </c>
      <c r="H14" s="4">
        <f>Hotel!T19</f>
        <v>1500</v>
      </c>
      <c r="I14" s="4">
        <f>Hotel!U19</f>
        <v>5500</v>
      </c>
      <c r="J14" s="4">
        <f>Hotel!V19</f>
        <v>4700</v>
      </c>
      <c r="K14" s="4">
        <f>Hotel!W19</f>
        <v>3000</v>
      </c>
      <c r="L14" s="4">
        <f>Hotel!X19</f>
        <v>3900</v>
      </c>
      <c r="M14" s="4">
        <f>Hotel!Y19</f>
        <v>6000</v>
      </c>
      <c r="N14" s="4">
        <f>Hotel!Z19</f>
        <v>2800</v>
      </c>
      <c r="O14" s="4">
        <f>Hotel!AA19</f>
        <v>3300</v>
      </c>
      <c r="P14" s="4">
        <f>Hotel!AB19</f>
        <v>7000</v>
      </c>
      <c r="Q14" s="4">
        <f>Hotel!AC19</f>
        <v>11000</v>
      </c>
      <c r="R14" s="4">
        <f>Hotel!AV19*0.00378541*100</f>
        <v>722.63476900000001</v>
      </c>
      <c r="S14" s="4">
        <f>Hotel!B19</f>
        <v>168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9100</v>
      </c>
      <c r="F15" s="4">
        <f>Hotel!R20</f>
        <v>2060</v>
      </c>
      <c r="G15" s="4">
        <f>Hotel!S20</f>
        <v>0</v>
      </c>
      <c r="H15" s="4">
        <f>Hotel!T20</f>
        <v>1480</v>
      </c>
      <c r="I15" s="4">
        <f>Hotel!U20</f>
        <v>5070</v>
      </c>
      <c r="J15" s="4">
        <f>Hotel!V20</f>
        <v>4400</v>
      </c>
      <c r="K15" s="4">
        <f>Hotel!W20</f>
        <v>3080</v>
      </c>
      <c r="L15" s="4">
        <f>Hotel!X20</f>
        <v>4850</v>
      </c>
      <c r="M15" s="4">
        <f>Hotel!Y20</f>
        <v>5220</v>
      </c>
      <c r="N15" s="4">
        <f>Hotel!Z20</f>
        <v>2440</v>
      </c>
      <c r="O15" s="4">
        <f>Hotel!AA20</f>
        <v>3380</v>
      </c>
      <c r="P15" s="4">
        <f>Hotel!AB20</f>
        <v>7150</v>
      </c>
      <c r="Q15" s="4">
        <f>Hotel!AC20</f>
        <v>11480</v>
      </c>
      <c r="R15" s="4">
        <f>Hotel!AV20*0.00378541*100</f>
        <v>668.88194699999997</v>
      </c>
      <c r="S15" s="4">
        <f>Hotel!B20</f>
        <v>180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>
        <f>Hotel!Q21</f>
        <v>9040</v>
      </c>
      <c r="F16" s="4">
        <f>Hotel!R21</f>
        <v>1870</v>
      </c>
      <c r="G16" s="4">
        <f>Hotel!S21</f>
        <v>0</v>
      </c>
      <c r="H16" s="4">
        <f>Hotel!T21</f>
        <v>1490</v>
      </c>
      <c r="I16" s="4">
        <f>Hotel!U21</f>
        <v>5420</v>
      </c>
      <c r="J16" s="4">
        <f>Hotel!V21</f>
        <v>4550</v>
      </c>
      <c r="K16" s="4">
        <f>Hotel!W21</f>
        <v>2900</v>
      </c>
      <c r="L16" s="4">
        <f>Hotel!X21</f>
        <v>4520</v>
      </c>
      <c r="M16" s="4">
        <f>Hotel!Y21</f>
        <v>5420</v>
      </c>
      <c r="N16" s="4">
        <f>Hotel!Z21</f>
        <v>2740</v>
      </c>
      <c r="O16" s="4">
        <f>Hotel!AA21</f>
        <v>3370</v>
      </c>
      <c r="P16" s="4">
        <f>Hotel!AB21</f>
        <v>7060</v>
      </c>
      <c r="Q16" s="4">
        <f>Hotel!AC21</f>
        <v>11530</v>
      </c>
      <c r="R16" s="4">
        <f>Hotel!AV21*0.00378541*100</f>
        <v>909.63402299999996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1" zoomScale="93" zoomScaleNormal="93" workbookViewId="0">
      <selection activeCell="AU21" sqref="AU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>
        <v>168</v>
      </c>
      <c r="C19" s="24">
        <v>7756160</v>
      </c>
      <c r="D19" s="24">
        <v>18155980</v>
      </c>
      <c r="E19" s="24">
        <v>3200810</v>
      </c>
      <c r="F19" s="24">
        <v>3934380</v>
      </c>
      <c r="G19" s="24">
        <v>11679260</v>
      </c>
      <c r="H19" s="24">
        <v>6595380</v>
      </c>
      <c r="I19" s="24">
        <v>5763120</v>
      </c>
      <c r="J19" s="24">
        <v>7140940</v>
      </c>
      <c r="K19" s="24">
        <v>10674420</v>
      </c>
      <c r="L19" s="24">
        <v>4554630</v>
      </c>
      <c r="M19" s="24">
        <v>8770750</v>
      </c>
      <c r="N19" s="24">
        <v>14032390</v>
      </c>
      <c r="O19" s="24">
        <v>19560950</v>
      </c>
      <c r="Q19" s="37">
        <f t="shared" si="17"/>
        <v>9000</v>
      </c>
      <c r="R19" s="37">
        <f t="shared" si="18"/>
        <v>1700</v>
      </c>
      <c r="S19" s="37">
        <f t="shared" si="16"/>
        <v>0</v>
      </c>
      <c r="T19" s="37">
        <f t="shared" si="19"/>
        <v>1500</v>
      </c>
      <c r="U19" s="37">
        <f t="shared" si="20"/>
        <v>5500</v>
      </c>
      <c r="V19" s="37">
        <f t="shared" si="21"/>
        <v>4700</v>
      </c>
      <c r="W19" s="37">
        <f t="shared" si="22"/>
        <v>3000</v>
      </c>
      <c r="X19" s="37">
        <f t="shared" si="23"/>
        <v>3900</v>
      </c>
      <c r="Y19" s="37">
        <f t="shared" si="24"/>
        <v>6000</v>
      </c>
      <c r="Z19" s="37">
        <f t="shared" si="25"/>
        <v>2800</v>
      </c>
      <c r="AA19" s="37">
        <f t="shared" si="26"/>
        <v>3300</v>
      </c>
      <c r="AB19" s="37">
        <f t="shared" si="27"/>
        <v>7000</v>
      </c>
      <c r="AC19" s="37">
        <f t="shared" si="28"/>
        <v>11000</v>
      </c>
      <c r="AD19" s="35">
        <f t="shared" si="29"/>
        <v>59400</v>
      </c>
      <c r="AF19" s="20">
        <f t="shared" si="1"/>
        <v>45</v>
      </c>
      <c r="AG19" s="20">
        <f t="shared" si="2"/>
        <v>8.5</v>
      </c>
      <c r="AH19" s="20">
        <f t="shared" si="3"/>
        <v>0</v>
      </c>
      <c r="AI19" s="20">
        <f t="shared" si="4"/>
        <v>7.5</v>
      </c>
      <c r="AJ19" s="20">
        <f t="shared" si="5"/>
        <v>27.5</v>
      </c>
      <c r="AK19" s="20">
        <f t="shared" si="6"/>
        <v>23.5</v>
      </c>
      <c r="AL19" s="20">
        <f t="shared" si="7"/>
        <v>15</v>
      </c>
      <c r="AM19" s="20">
        <f t="shared" si="8"/>
        <v>19.5</v>
      </c>
      <c r="AN19" s="20">
        <f t="shared" si="9"/>
        <v>30</v>
      </c>
      <c r="AO19" s="20">
        <f t="shared" si="10"/>
        <v>14</v>
      </c>
      <c r="AP19" s="20">
        <f t="shared" si="11"/>
        <v>16.5</v>
      </c>
      <c r="AQ19" s="20">
        <f t="shared" si="12"/>
        <v>35</v>
      </c>
      <c r="AR19" s="20">
        <f t="shared" si="13"/>
        <v>55</v>
      </c>
      <c r="AS19" s="35">
        <f t="shared" si="30"/>
        <v>297</v>
      </c>
      <c r="AU19" s="47">
        <v>585031</v>
      </c>
      <c r="AV19" s="37">
        <f t="shared" si="31"/>
        <v>1909</v>
      </c>
      <c r="AW19" s="35">
        <f t="shared" si="14"/>
        <v>3.8180000000000001</v>
      </c>
    </row>
    <row r="20" spans="1:49" x14ac:dyDescent="0.25">
      <c r="A20" s="23">
        <v>44634</v>
      </c>
      <c r="B20" s="40">
        <v>180</v>
      </c>
      <c r="C20" s="24">
        <v>7765260</v>
      </c>
      <c r="D20" s="24">
        <v>18158040</v>
      </c>
      <c r="E20" s="24">
        <v>3200810</v>
      </c>
      <c r="F20" s="24">
        <v>3935860</v>
      </c>
      <c r="G20" s="24">
        <v>11684330</v>
      </c>
      <c r="H20" s="24">
        <v>6599780</v>
      </c>
      <c r="I20" s="24">
        <v>5766200</v>
      </c>
      <c r="J20" s="24">
        <v>7145790</v>
      </c>
      <c r="K20" s="24">
        <v>10679640</v>
      </c>
      <c r="L20" s="24">
        <v>4557070</v>
      </c>
      <c r="M20" s="24">
        <v>8774130</v>
      </c>
      <c r="N20" s="24">
        <v>14039540</v>
      </c>
      <c r="O20" s="24">
        <v>19572430</v>
      </c>
      <c r="Q20" s="37">
        <f t="shared" si="17"/>
        <v>9100</v>
      </c>
      <c r="R20" s="37">
        <f t="shared" si="18"/>
        <v>2060</v>
      </c>
      <c r="S20" s="37">
        <f t="shared" si="16"/>
        <v>0</v>
      </c>
      <c r="T20" s="37">
        <f t="shared" si="19"/>
        <v>1480</v>
      </c>
      <c r="U20" s="37">
        <f t="shared" si="20"/>
        <v>5070</v>
      </c>
      <c r="V20" s="37">
        <f t="shared" si="21"/>
        <v>4400</v>
      </c>
      <c r="W20" s="37">
        <f t="shared" si="22"/>
        <v>3080</v>
      </c>
      <c r="X20" s="37">
        <f t="shared" si="23"/>
        <v>4850</v>
      </c>
      <c r="Y20" s="37">
        <f t="shared" si="24"/>
        <v>5220</v>
      </c>
      <c r="Z20" s="37">
        <f t="shared" si="25"/>
        <v>2440</v>
      </c>
      <c r="AA20" s="37">
        <f t="shared" si="26"/>
        <v>3380</v>
      </c>
      <c r="AB20" s="37">
        <f t="shared" si="27"/>
        <v>7150</v>
      </c>
      <c r="AC20" s="37">
        <f t="shared" si="28"/>
        <v>11480</v>
      </c>
      <c r="AD20" s="35">
        <f t="shared" si="29"/>
        <v>59710</v>
      </c>
      <c r="AF20" s="20">
        <f t="shared" si="1"/>
        <v>45.5</v>
      </c>
      <c r="AG20" s="20">
        <f t="shared" si="2"/>
        <v>10.3</v>
      </c>
      <c r="AH20" s="20">
        <f t="shared" si="3"/>
        <v>0</v>
      </c>
      <c r="AI20" s="20">
        <f t="shared" si="4"/>
        <v>7.4</v>
      </c>
      <c r="AJ20" s="20">
        <f t="shared" si="5"/>
        <v>25.35</v>
      </c>
      <c r="AK20" s="20">
        <f t="shared" si="6"/>
        <v>22</v>
      </c>
      <c r="AL20" s="20">
        <f t="shared" si="7"/>
        <v>15.4</v>
      </c>
      <c r="AM20" s="20">
        <f t="shared" si="8"/>
        <v>24.25</v>
      </c>
      <c r="AN20" s="20">
        <f t="shared" si="9"/>
        <v>26.1</v>
      </c>
      <c r="AO20" s="20">
        <f t="shared" si="10"/>
        <v>12.200000000000001</v>
      </c>
      <c r="AP20" s="20">
        <f t="shared" si="11"/>
        <v>16.899999999999999</v>
      </c>
      <c r="AQ20" s="20">
        <f t="shared" si="12"/>
        <v>35.75</v>
      </c>
      <c r="AR20" s="20">
        <f t="shared" si="13"/>
        <v>57.4</v>
      </c>
      <c r="AS20" s="35">
        <f t="shared" si="30"/>
        <v>298.54999999999995</v>
      </c>
      <c r="AU20" s="47">
        <v>586798</v>
      </c>
      <c r="AV20" s="37">
        <f t="shared" si="31"/>
        <v>1767</v>
      </c>
      <c r="AW20" s="35">
        <f t="shared" si="14"/>
        <v>3.5340000000000003</v>
      </c>
    </row>
    <row r="21" spans="1:49" x14ac:dyDescent="0.25">
      <c r="A21" s="23">
        <v>44635</v>
      </c>
      <c r="B21" s="40">
        <v>199</v>
      </c>
      <c r="C21" s="24">
        <v>7774300</v>
      </c>
      <c r="D21" s="24">
        <v>18159910</v>
      </c>
      <c r="E21" s="24">
        <v>3200810</v>
      </c>
      <c r="F21" s="24">
        <v>3937350</v>
      </c>
      <c r="G21" s="24">
        <v>11689750</v>
      </c>
      <c r="H21" s="24">
        <v>6604330</v>
      </c>
      <c r="I21" s="24">
        <v>5769100</v>
      </c>
      <c r="J21" s="24">
        <v>7150310</v>
      </c>
      <c r="K21" s="24">
        <v>10685060</v>
      </c>
      <c r="L21" s="24">
        <v>4559810</v>
      </c>
      <c r="M21" s="24">
        <v>8777500</v>
      </c>
      <c r="N21" s="24">
        <v>14046600</v>
      </c>
      <c r="O21" s="24">
        <v>19583960</v>
      </c>
      <c r="Q21" s="37">
        <f t="shared" si="17"/>
        <v>9040</v>
      </c>
      <c r="R21" s="37">
        <f t="shared" si="18"/>
        <v>1870</v>
      </c>
      <c r="S21" s="37">
        <f t="shared" si="16"/>
        <v>0</v>
      </c>
      <c r="T21" s="37">
        <f t="shared" si="19"/>
        <v>1490</v>
      </c>
      <c r="U21" s="37">
        <f t="shared" si="20"/>
        <v>5420</v>
      </c>
      <c r="V21" s="37">
        <f t="shared" si="21"/>
        <v>4550</v>
      </c>
      <c r="W21" s="37">
        <f t="shared" si="22"/>
        <v>2900</v>
      </c>
      <c r="X21" s="37">
        <f t="shared" si="23"/>
        <v>4520</v>
      </c>
      <c r="Y21" s="37">
        <f t="shared" si="24"/>
        <v>5420</v>
      </c>
      <c r="Z21" s="37">
        <f t="shared" si="25"/>
        <v>2740</v>
      </c>
      <c r="AA21" s="37">
        <f t="shared" si="26"/>
        <v>3370</v>
      </c>
      <c r="AB21" s="37">
        <f t="shared" si="27"/>
        <v>7060</v>
      </c>
      <c r="AC21" s="37">
        <f t="shared" si="28"/>
        <v>11530</v>
      </c>
      <c r="AD21" s="35">
        <f t="shared" si="29"/>
        <v>59910</v>
      </c>
      <c r="AF21" s="20">
        <f t="shared" si="1"/>
        <v>45.2</v>
      </c>
      <c r="AG21" s="20">
        <f t="shared" si="2"/>
        <v>9.35</v>
      </c>
      <c r="AH21" s="20">
        <f t="shared" si="3"/>
        <v>0</v>
      </c>
      <c r="AI21" s="20">
        <f t="shared" si="4"/>
        <v>7.45</v>
      </c>
      <c r="AJ21" s="20">
        <f t="shared" si="5"/>
        <v>27.1</v>
      </c>
      <c r="AK21" s="20">
        <f t="shared" si="6"/>
        <v>22.75</v>
      </c>
      <c r="AL21" s="20">
        <f t="shared" si="7"/>
        <v>14.5</v>
      </c>
      <c r="AM21" s="20">
        <f t="shared" si="8"/>
        <v>22.6</v>
      </c>
      <c r="AN21" s="20">
        <f t="shared" si="9"/>
        <v>27.1</v>
      </c>
      <c r="AO21" s="20">
        <f t="shared" si="10"/>
        <v>13.700000000000001</v>
      </c>
      <c r="AP21" s="20">
        <f t="shared" si="11"/>
        <v>16.850000000000001</v>
      </c>
      <c r="AQ21" s="20">
        <f t="shared" si="12"/>
        <v>35.300000000000004</v>
      </c>
      <c r="AR21" s="20">
        <f t="shared" si="13"/>
        <v>57.65</v>
      </c>
      <c r="AS21" s="35">
        <f t="shared" si="30"/>
        <v>299.55</v>
      </c>
      <c r="AU21" s="47">
        <v>589201</v>
      </c>
      <c r="AV21" s="37">
        <f t="shared" si="31"/>
        <v>2403</v>
      </c>
      <c r="AW21" s="35">
        <f t="shared" si="14"/>
        <v>4.806</v>
      </c>
    </row>
    <row r="22" spans="1:49" x14ac:dyDescent="0.25">
      <c r="A22" s="23">
        <v>44636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7"/>
        <v>0</v>
      </c>
      <c r="R22" s="37" t="str">
        <f t="shared" si="18"/>
        <v>0</v>
      </c>
      <c r="S22" s="37" t="str">
        <f t="shared" si="16"/>
        <v>0</v>
      </c>
      <c r="T22" s="37" t="str">
        <f t="shared" si="19"/>
        <v>0</v>
      </c>
      <c r="U22" s="37" t="str">
        <f t="shared" si="20"/>
        <v>0</v>
      </c>
      <c r="V22" s="37" t="str">
        <f t="shared" si="21"/>
        <v>0</v>
      </c>
      <c r="W22" s="37" t="str">
        <f t="shared" si="22"/>
        <v>0</v>
      </c>
      <c r="X22" s="37" t="str">
        <f t="shared" si="23"/>
        <v>0</v>
      </c>
      <c r="Y22" s="37" t="str">
        <f t="shared" si="24"/>
        <v>0</v>
      </c>
      <c r="Z22" s="37" t="str">
        <f t="shared" si="25"/>
        <v>0</v>
      </c>
      <c r="AA22" s="37" t="str">
        <f t="shared" si="26"/>
        <v>0</v>
      </c>
      <c r="AB22" s="37" t="str">
        <f t="shared" si="27"/>
        <v>0</v>
      </c>
      <c r="AC22" s="37" t="str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 t="str">
        <f t="shared" si="31"/>
        <v>0</v>
      </c>
      <c r="AW22" s="35">
        <f t="shared" si="14"/>
        <v>0</v>
      </c>
    </row>
    <row r="23" spans="1:49" x14ac:dyDescent="0.25">
      <c r="A23" s="23">
        <v>44637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44638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44639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44640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44641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44642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44643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44644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44645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44646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44647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44648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44649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44650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44651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140380</v>
      </c>
      <c r="R38" s="38">
        <f t="shared" ref="R38:AD38" si="61">SUM(R7:R37)</f>
        <v>28020</v>
      </c>
      <c r="S38" s="38">
        <f t="shared" si="61"/>
        <v>0</v>
      </c>
      <c r="T38" s="38">
        <f t="shared" si="61"/>
        <v>22130</v>
      </c>
      <c r="U38" s="38">
        <f t="shared" si="61"/>
        <v>80280</v>
      </c>
      <c r="V38" s="38">
        <f t="shared" si="61"/>
        <v>68090</v>
      </c>
      <c r="W38" s="38">
        <f t="shared" si="61"/>
        <v>44710</v>
      </c>
      <c r="X38" s="38">
        <f t="shared" si="61"/>
        <v>59910</v>
      </c>
      <c r="Y38" s="38">
        <f t="shared" si="61"/>
        <v>81820</v>
      </c>
      <c r="Z38" s="38">
        <f t="shared" si="61"/>
        <v>40840</v>
      </c>
      <c r="AA38" s="38">
        <f t="shared" si="61"/>
        <v>49210</v>
      </c>
      <c r="AB38" s="38">
        <f t="shared" si="61"/>
        <v>107470</v>
      </c>
      <c r="AC38" s="38">
        <f t="shared" si="61"/>
        <v>162700</v>
      </c>
      <c r="AD38" s="38">
        <f t="shared" si="61"/>
        <v>885560</v>
      </c>
      <c r="AF38" s="35">
        <f>SUM(AF7:AF37)</f>
        <v>701.90000000000009</v>
      </c>
      <c r="AG38" s="35">
        <f t="shared" ref="AG38:AS38" si="62">SUM(AG7:AG37)</f>
        <v>140.1</v>
      </c>
      <c r="AH38" s="35">
        <f t="shared" si="62"/>
        <v>0</v>
      </c>
      <c r="AI38" s="35">
        <f t="shared" si="62"/>
        <v>110.64999999999999</v>
      </c>
      <c r="AJ38" s="35">
        <f t="shared" si="62"/>
        <v>401.40000000000009</v>
      </c>
      <c r="AK38" s="35">
        <f t="shared" si="62"/>
        <v>340.45</v>
      </c>
      <c r="AL38" s="35">
        <f t="shared" si="62"/>
        <v>223.55</v>
      </c>
      <c r="AM38" s="35">
        <f t="shared" si="62"/>
        <v>299.54999999999995</v>
      </c>
      <c r="AN38" s="35">
        <f t="shared" si="62"/>
        <v>409.1</v>
      </c>
      <c r="AO38" s="35">
        <f t="shared" si="62"/>
        <v>204.2</v>
      </c>
      <c r="AP38" s="35">
        <f t="shared" si="62"/>
        <v>246.04999999999998</v>
      </c>
      <c r="AQ38" s="35">
        <f t="shared" si="62"/>
        <v>537.34999999999991</v>
      </c>
      <c r="AR38" s="35">
        <f t="shared" si="62"/>
        <v>813.49999999999989</v>
      </c>
      <c r="AS38" s="35">
        <f t="shared" si="62"/>
        <v>4427.8</v>
      </c>
      <c r="AU38" s="48"/>
      <c r="AV38" s="35">
        <f>SUM(AV7:AV34)</f>
        <v>28554</v>
      </c>
      <c r="AW38" s="35">
        <f>SUM(AW7:AW34)</f>
        <v>57.10799999999999</v>
      </c>
    </row>
    <row r="39" spans="1:49" x14ac:dyDescent="0.25">
      <c r="D39">
        <v>5.0000000000000001E-3</v>
      </c>
      <c r="AV39" s="36">
        <f>AV38*0.00378541*1000</f>
        <v>108088.59713999998</v>
      </c>
    </row>
    <row r="40" spans="1:49" x14ac:dyDescent="0.25">
      <c r="D40">
        <v>2E-3</v>
      </c>
      <c r="AV40">
        <f>AV39/31</f>
        <v>3486.7289399999995</v>
      </c>
    </row>
    <row r="41" spans="1:49" x14ac:dyDescent="0.25">
      <c r="AV41">
        <f>AV38*0.00378541</f>
        <v>108.08859713999999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2022-03-16T08:14:30Z</dcterms:modified>
</cp:coreProperties>
</file>