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<sst xmlns="http://schemas.openxmlformats.org/spreadsheetml/2006/main" count="313" uniqueCount="148">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</sst>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 t="e">
        <f>Submetering!E8+Submetering!F8+Submetering!G8+Submetering!H8+Submetering!J8-Submetering!AV8</f>
        <v>#VALUE!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 t="e">
        <f>'FS Desroches Daily'!CM10</f>
        <v>#VALUE!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 t="str">
        <f>'FS Desroches Daily'!D10</f>
        <v>0</v>
      </c>
      <c r="F8" s="32" t="str">
        <f>'FS Desroches Daily'!F10</f>
        <v>0</v>
      </c>
      <c r="G8" s="31" t="str">
        <f>'FS Desroches Daily'!H10</f>
        <v>0</v>
      </c>
      <c r="H8" s="32" t="str">
        <f>'FS Desroches Daily'!J10</f>
        <v>0</v>
      </c>
      <c r="I8" s="31" t="str">
        <f>'FS Desroches Daily'!L10</f>
        <v>0</v>
      </c>
      <c r="J8" s="32" t="str">
        <f>'FS Desroches Daily'!N10</f>
        <v/>
      </c>
      <c r="K8" s="13" t="str">
        <f>'FS Desroches Daily'!P10</f>
        <v/>
      </c>
      <c r="L8" s="31" t="str">
        <f>'FS Desroches Daily'!R10</f>
        <v/>
      </c>
      <c r="M8" s="31" t="str">
        <f>'FS Desroches Daily'!T10</f>
        <v/>
      </c>
      <c r="N8" s="31" t="str">
        <f>'FS Desroches Daily'!V10</f>
        <v/>
      </c>
      <c r="O8" s="31" t="str">
        <f>'FS Desroches Daily'!X10</f>
        <v/>
      </c>
      <c r="P8" s="31" t="str">
        <f>'FS Desroches Daily'!Z10</f>
        <v/>
      </c>
      <c r="Q8" s="31" t="str">
        <f>'FS Desroches Daily'!AB10</f>
        <v/>
      </c>
      <c r="R8" s="31" t="str">
        <f>'FS Desroches Daily'!AD10</f>
        <v/>
      </c>
      <c r="S8" s="31" t="str">
        <f>'FS Desroches Daily'!AF10</f>
        <v/>
      </c>
      <c r="T8" s="31" t="str">
        <f>'FS Desroches Daily'!AH10</f>
        <v/>
      </c>
      <c r="U8" s="35" t="str">
        <f>'FS Desroches Daily'!AJ10</f>
        <v/>
      </c>
      <c r="V8" s="35" t="str">
        <f>'FS Desroches Daily'!AL10</f>
        <v/>
      </c>
      <c r="W8" s="35" t="str">
        <f>'FS Desroches Daily'!AN10</f>
        <v/>
      </c>
      <c r="X8" s="35" t="str">
        <f>'FS Desroches Daily'!AP10</f>
        <v/>
      </c>
      <c r="Y8" s="35" t="str">
        <f>'FS Desroches Daily'!AR10</f>
        <v/>
      </c>
      <c r="Z8" s="35" t="str">
        <f>'FS Desroches Daily'!AT10</f>
        <v/>
      </c>
      <c r="AA8" s="35" t="str">
        <f>'FS Desroches Daily'!AT10</f>
        <v/>
      </c>
      <c r="AB8" s="35" t="str">
        <f>'FS Desroches Daily'!AV10</f>
        <v/>
      </c>
      <c r="AC8" s="35" t="str">
        <f>'FS Desroches Daily'!AZ10</f>
        <v/>
      </c>
      <c r="AD8" s="35" t="str">
        <f>'FS Desroches Daily'!BB10</f>
        <v/>
      </c>
      <c r="AE8" s="35" t="str">
        <f>'FS Desroches Daily'!BD10</f>
        <v/>
      </c>
      <c r="AF8" s="31" t="str">
        <f>'FS Desroches Daily'!BF10</f>
        <v/>
      </c>
      <c r="AG8" s="32" t="str">
        <f>'FS Desroches Daily'!BH10</f>
        <v/>
      </c>
      <c r="AH8" s="32" t="str">
        <f>'FS Desroches Daily'!BJ10</f>
        <v/>
      </c>
      <c r="AI8" s="32" t="str">
        <f>'FS Desroches Daily'!BL10</f>
        <v/>
      </c>
      <c r="AJ8" s="32" t="str">
        <f>'FS Desroches Daily'!BN10</f>
        <v/>
      </c>
      <c r="AK8" s="32" t="str">
        <f>'FS Desroches Daily'!BP10</f>
        <v/>
      </c>
      <c r="AL8" s="32" t="str">
        <f>'FS Desroches Daily'!BR10</f>
        <v/>
      </c>
      <c r="AM8" s="32" t="str">
        <f>'FS Desroches Daily'!BT10</f>
        <v/>
      </c>
      <c r="AN8" s="32" t="str">
        <f>'FS Desroches Daily'!BV10</f>
        <v/>
      </c>
      <c r="AO8" s="32" t="str">
        <f>'FS Desroches Daily'!BX10</f>
        <v/>
      </c>
      <c r="AP8" s="32" t="str">
        <f>'FS Desroches Daily'!BZ10</f>
        <v/>
      </c>
      <c r="AQ8" s="31" t="str">
        <f>'FS Desroches Daily'!CB10</f>
        <v/>
      </c>
      <c r="AR8" s="31" t="str">
        <f>'FS Desroches Daily'!CD10</f>
        <v/>
      </c>
      <c r="AS8" s="31" t="str">
        <f>'FS Desroches Daily'!CF10</f>
        <v/>
      </c>
      <c r="AT8" s="31" t="str">
        <f>'FS Desroches Daily'!CH10</f>
        <v/>
      </c>
      <c r="AU8" s="31" t="str">
        <f>'FS Desroches Daily'!CJ10</f>
        <v/>
      </c>
      <c r="AV8" s="31" t="str">
        <f>'FS Desroches Daily'!CL10</f>
        <v/>
      </c>
      <c r="AW8" s="31" t="e">
        <f>'FS Desroches Daily'!CM10</f>
        <v>#VALUE!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6499.9999999999509</v>
      </c>
      <c r="F33" s="17">
        <f t="shared" ref="F33:BC33" si="1">SUM(F2:F32)</f>
        <v>3700.0000000002588</v>
      </c>
      <c r="G33" s="17">
        <f t="shared" si="1"/>
        <v>8599.9999999999418</v>
      </c>
      <c r="H33" s="17">
        <f t="shared" si="1"/>
        <v>4999.9999999998927</v>
      </c>
      <c r="I33" s="17">
        <f t="shared" si="1"/>
        <v>9900.00000000002</v>
      </c>
      <c r="J33" s="17">
        <f t="shared" si="1"/>
        <v>3200.0000000000919</v>
      </c>
      <c r="K33" s="17">
        <f t="shared" si="1"/>
        <v>4</v>
      </c>
      <c r="L33" s="17">
        <f t="shared" si="1"/>
        <v>27</v>
      </c>
      <c r="M33" s="17">
        <f t="shared" si="1"/>
        <v>790.40000000002328</v>
      </c>
      <c r="N33" s="17">
        <f t="shared" si="1"/>
        <v>470.79999999998836</v>
      </c>
      <c r="O33" s="17">
        <f t="shared" si="1"/>
        <v>529.99999999997272</v>
      </c>
      <c r="P33" s="17">
        <f t="shared" si="1"/>
        <v>2599.9999999997135</v>
      </c>
      <c r="Q33" s="17">
        <f t="shared" si="1"/>
        <v>500</v>
      </c>
      <c r="R33" s="17">
        <f t="shared" si="1"/>
        <v>819.99999999999318</v>
      </c>
      <c r="S33" s="17">
        <f t="shared" si="1"/>
        <v>1240.0000000000091</v>
      </c>
      <c r="T33" s="17">
        <f t="shared" si="1"/>
        <v>7.2999999999999545</v>
      </c>
      <c r="U33" s="35">
        <f t="shared" si="1"/>
        <v>1420.0000000000159</v>
      </c>
      <c r="V33" s="35">
        <f t="shared" si="1"/>
        <v>859.99999999998522</v>
      </c>
      <c r="W33" s="35">
        <f t="shared" si="1"/>
        <v>729.99999999998977</v>
      </c>
      <c r="X33" s="35">
        <f t="shared" si="1"/>
        <v>730.00000000001819</v>
      </c>
      <c r="Y33" s="35">
        <f t="shared" si="1"/>
        <v>189.99999999999773</v>
      </c>
      <c r="Z33" s="35">
        <f t="shared" si="1"/>
        <v>199.99999999998863</v>
      </c>
      <c r="AA33" s="35">
        <f t="shared" si="1"/>
        <v>199.99999999998863</v>
      </c>
      <c r="AB33" s="35">
        <f t="shared" si="1"/>
        <v>180.00000000000682</v>
      </c>
      <c r="AC33" s="35">
        <f t="shared" si="1"/>
        <v>139.99999999998636</v>
      </c>
      <c r="AD33" s="35">
        <f t="shared" si="1"/>
        <v>159.99999999996817</v>
      </c>
      <c r="AE33" s="35">
        <f t="shared" si="1"/>
        <v>109.99999999998522</v>
      </c>
      <c r="AF33" s="17">
        <f t="shared" si="1"/>
        <v>177</v>
      </c>
      <c r="AG33" s="32">
        <f t="shared" si="1"/>
        <v>49.999999999982947</v>
      </c>
      <c r="AH33" s="32">
        <f t="shared" si="1"/>
        <v>60.000000000002274</v>
      </c>
      <c r="AI33" s="32">
        <f t="shared" si="1"/>
        <v>39.999999999992042</v>
      </c>
      <c r="AJ33" s="32">
        <f t="shared" si="1"/>
        <v>180.00000000000682</v>
      </c>
      <c r="AK33" s="32">
        <f t="shared" si="1"/>
        <v>129.99999999999545</v>
      </c>
      <c r="AL33" s="32">
        <f t="shared" si="1"/>
        <v>73</v>
      </c>
      <c r="AM33" s="32">
        <f t="shared" si="1"/>
        <v>129.99999999999545</v>
      </c>
      <c r="AN33" s="32">
        <f t="shared" si="1"/>
        <v>173</v>
      </c>
      <c r="AO33" s="32">
        <f t="shared" si="1"/>
        <v>150.00000000000568</v>
      </c>
      <c r="AP33" s="32">
        <f t="shared" si="1"/>
        <v>150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119.70000000000437</v>
      </c>
      <c r="AU33" s="17">
        <f t="shared" si="1"/>
        <v>1192</v>
      </c>
      <c r="AV33" s="17">
        <f t="shared" si="1"/>
        <v>2159.9999999999682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25.640999999999998</v>
      </c>
      <c r="BC33" s="17">
        <f t="shared" si="1"/>
        <v>0</v>
      </c>
    </row>
    <row r="35" spans="5:55" x14ac:dyDescent="0.25">
      <c r="E35" s="38">
        <f>E33/E37</f>
        <v>0.35836365641194745</v>
      </c>
      <c r="G35" s="29">
        <f>G33-M36</f>
        <v>7338.7999999999302</v>
      </c>
      <c r="AE35" s="35">
        <f>SUM(U33:AE33)</f>
        <v>4919.9999999999309</v>
      </c>
      <c r="AG35" s="32">
        <f>SUM(AG33:AP33)</f>
        <v>1135.9999999999807</v>
      </c>
    </row>
    <row r="36" spans="5:55" x14ac:dyDescent="0.25">
      <c r="G36" s="29">
        <f>G35-633*14</f>
        <v>-1523.2000000000698</v>
      </c>
      <c r="M36" s="29">
        <f>M33+N33</f>
        <v>1261.2000000000116</v>
      </c>
    </row>
    <row r="37" spans="5:55" x14ac:dyDescent="0.25">
      <c r="E37" s="17">
        <f>E33+F33+G33+H33+J33-633*14</f>
        <v>18138.000000000135</v>
      </c>
      <c r="G37" s="37">
        <f>M36/E37</f>
        <v>6.9533575917962415E-2</v>
      </c>
      <c r="M37" s="35">
        <f>AE35</f>
        <v>4919.9999999999309</v>
      </c>
    </row>
    <row r="38" spans="5:55" x14ac:dyDescent="0.25">
      <c r="L38" s="27">
        <f>M38/E37</f>
        <v>6.2630940566764381E-2</v>
      </c>
      <c r="M38" s="29">
        <f>AG35</f>
        <v>1135.9999999999807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2" activePane="bottomLeft" state="frozen"/>
      <selection pane="bottomLeft" activeCell="CV10" sqref="CV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/>
      <c r="D10" s="64" t="str">
        <f t="shared" si="0"/>
        <v>0</v>
      </c>
      <c r="E10" s="58"/>
      <c r="F10" s="64" t="str">
        <f t="shared" si="1"/>
        <v>0</v>
      </c>
      <c r="G10" s="58"/>
      <c r="H10" s="64" t="str">
        <f t="shared" si="2"/>
        <v>0</v>
      </c>
      <c r="I10" s="58"/>
      <c r="J10" s="64" t="str">
        <f t="shared" si="3"/>
        <v>0</v>
      </c>
      <c r="K10" s="58"/>
      <c r="L10" s="64" t="str">
        <f t="shared" si="4"/>
        <v>0</v>
      </c>
      <c r="M10" s="58"/>
      <c r="N10" s="64" t="str">
        <f t="shared" si="5"/>
        <v/>
      </c>
      <c r="O10" s="58"/>
      <c r="P10" s="67" t="str">
        <f t="shared" si="43"/>
        <v/>
      </c>
      <c r="Q10" s="58"/>
      <c r="R10" s="67" t="str">
        <f t="shared" si="6"/>
        <v/>
      </c>
      <c r="S10" s="58"/>
      <c r="T10" s="67" t="str">
        <f t="shared" si="7"/>
        <v/>
      </c>
      <c r="U10" s="58"/>
      <c r="V10" s="67" t="str">
        <f t="shared" si="8"/>
        <v/>
      </c>
      <c r="W10" s="58"/>
      <c r="X10" s="65" t="str">
        <f t="shared" si="9"/>
        <v/>
      </c>
      <c r="Y10" s="58"/>
      <c r="Z10" s="65" t="str">
        <f t="shared" si="10"/>
        <v/>
      </c>
      <c r="AA10" s="58"/>
      <c r="AB10" s="65" t="str">
        <f t="shared" si="11"/>
        <v/>
      </c>
      <c r="AC10" s="58"/>
      <c r="AD10" s="65" t="str">
        <f t="shared" si="12"/>
        <v/>
      </c>
      <c r="AE10" s="58"/>
      <c r="AF10" s="65" t="str">
        <f t="shared" si="13"/>
        <v/>
      </c>
      <c r="AG10" s="58"/>
      <c r="AH10" s="67" t="str">
        <f t="shared" si="14"/>
        <v/>
      </c>
      <c r="AI10" s="58"/>
      <c r="AJ10" s="65" t="str">
        <f t="shared" si="15"/>
        <v/>
      </c>
      <c r="AK10" s="58"/>
      <c r="AL10" s="65" t="str">
        <f t="shared" si="15"/>
        <v/>
      </c>
      <c r="AM10" s="58"/>
      <c r="AN10" s="65" t="str">
        <f t="shared" si="15"/>
        <v/>
      </c>
      <c r="AO10" s="58"/>
      <c r="AP10" s="65" t="str">
        <f t="shared" si="15"/>
        <v/>
      </c>
      <c r="AQ10" s="58"/>
      <c r="AR10" s="65" t="str">
        <f t="shared" si="16"/>
        <v/>
      </c>
      <c r="AS10" s="58"/>
      <c r="AT10" s="65" t="str">
        <f t="shared" si="17"/>
        <v/>
      </c>
      <c r="AU10" s="58"/>
      <c r="AV10" s="65" t="str">
        <f t="shared" si="18"/>
        <v/>
      </c>
      <c r="AW10" s="58"/>
      <c r="AX10" s="65" t="str">
        <f t="shared" si="19"/>
        <v/>
      </c>
      <c r="AY10" s="58"/>
      <c r="AZ10" s="65" t="str">
        <f t="shared" si="20"/>
        <v/>
      </c>
      <c r="BA10" s="58"/>
      <c r="BB10" s="65" t="str">
        <f t="shared" si="21"/>
        <v/>
      </c>
      <c r="BC10" s="58"/>
      <c r="BD10" s="65" t="str">
        <f t="shared" si="22"/>
        <v/>
      </c>
      <c r="BE10" s="59"/>
      <c r="BF10" s="67" t="str">
        <f t="shared" si="39"/>
        <v/>
      </c>
      <c r="BG10" s="60"/>
      <c r="BH10" s="65" t="str">
        <f t="shared" si="23"/>
        <v/>
      </c>
      <c r="BI10" s="60"/>
      <c r="BJ10" s="65" t="str">
        <f t="shared" si="40"/>
        <v/>
      </c>
      <c r="BK10" s="60"/>
      <c r="BL10" s="65" t="str">
        <f t="shared" si="24"/>
        <v/>
      </c>
      <c r="BM10" s="60"/>
      <c r="BN10" s="65" t="str">
        <f t="shared" si="25"/>
        <v/>
      </c>
      <c r="BO10" s="60"/>
      <c r="BP10" s="65" t="str">
        <f t="shared" si="26"/>
        <v/>
      </c>
      <c r="BQ10" s="60"/>
      <c r="BR10" s="65" t="str">
        <f t="shared" si="27"/>
        <v/>
      </c>
      <c r="BS10" s="60"/>
      <c r="BT10" s="65" t="str">
        <f t="shared" si="42"/>
        <v/>
      </c>
      <c r="BU10" s="60"/>
      <c r="BV10" s="65" t="str">
        <f t="shared" si="29"/>
        <v/>
      </c>
      <c r="BW10" s="60"/>
      <c r="BX10" s="65" t="str">
        <f t="shared" si="30"/>
        <v/>
      </c>
      <c r="BY10" s="60"/>
      <c r="BZ10" s="67" t="str">
        <f t="shared" si="31"/>
        <v/>
      </c>
      <c r="CA10" s="60"/>
      <c r="CB10" s="67" t="str">
        <f t="shared" si="32"/>
        <v/>
      </c>
      <c r="CC10" s="60"/>
      <c r="CD10" s="67" t="str">
        <f t="shared" si="33"/>
        <v/>
      </c>
      <c r="CE10" s="60"/>
      <c r="CF10" s="67" t="str">
        <f t="shared" si="34"/>
        <v/>
      </c>
      <c r="CG10" s="60"/>
      <c r="CH10" s="67" t="str">
        <f t="shared" si="35"/>
        <v/>
      </c>
      <c r="CI10" s="60"/>
      <c r="CJ10" s="67" t="str">
        <f t="shared" si="36"/>
        <v/>
      </c>
      <c r="CK10" s="60"/>
      <c r="CL10" s="64" t="str">
        <f t="shared" si="37"/>
        <v/>
      </c>
      <c r="CM10" s="65" t="e">
        <f t="shared" si="41"/>
        <v>#VALUE!</v>
      </c>
      <c r="CN10" s="62">
        <v>0</v>
      </c>
      <c r="CO10" s="62">
        <v>0</v>
      </c>
      <c r="CP10" s="68"/>
      <c r="CQ10" s="67" t="str">
        <f>IF((CP10-CP9&lt;0), "",CP10-CP9)</f>
        <v/>
      </c>
      <c r="CR10" s="68"/>
      <c r="CS10" s="67" t="str">
        <f t="shared" si="38"/>
        <v/>
      </c>
      <c r="CT10" s="75"/>
      <c r="CU10" s="67" t="str">
        <f t="shared" si="38"/>
        <v/>
      </c>
      <c r="CV10" s="68"/>
      <c r="CW10" s="67" t="str">
        <f t="shared" si="38"/>
        <v/>
      </c>
    </row>
    <row r="11" spans="1:102" ht="25.5" customHeight="1" thickBot="1" x14ac:dyDescent="0.45">
      <c r="A11" s="63">
        <v>44112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si="43"/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44113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44114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44115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ref="P14:P34" si="44">IF((O14-O13&lt;0), "",O14-O13)</f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44116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44117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44118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44119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44120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44121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44122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2" zoomScaleNormal="100" workbookViewId="0">
      <selection activeCell="S15" sqref="S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-196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2020-10-07T11:41:36Z</dcterms:modified>
</cp:coreProperties>
</file>