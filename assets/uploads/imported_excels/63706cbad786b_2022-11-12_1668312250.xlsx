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Nov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2" i="5" l="1"/>
  <c r="G32" i="5"/>
  <c r="E32" i="5"/>
  <c r="B39" i="7" l="1"/>
  <c r="S32" i="9" l="1"/>
  <c r="B32" i="9"/>
  <c r="B32" i="5"/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l="1"/>
  <c r="R32" i="9"/>
  <c r="AW7" i="7"/>
  <c r="AX7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AX29" i="7" l="1"/>
  <c r="X36" i="7" l="1"/>
  <c r="X37" i="7"/>
  <c r="L32" i="9" s="1"/>
  <c r="AB34" i="7" l="1"/>
  <c r="AB35" i="7"/>
  <c r="AB36" i="7"/>
  <c r="AB37" i="7"/>
  <c r="P32" i="9" s="1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AN37" i="7" l="1"/>
  <c r="AX36" i="7"/>
  <c r="R31" i="9"/>
  <c r="G31" i="5" s="1"/>
  <c r="AD37" i="7"/>
  <c r="AM37" i="7"/>
  <c r="AX37" i="7"/>
  <c r="AK37" i="7"/>
  <c r="AJ37" i="7"/>
  <c r="AP37" i="7"/>
  <c r="AH37" i="7"/>
  <c r="AO37" i="7"/>
  <c r="AG37" i="7"/>
  <c r="AR37" i="7"/>
  <c r="AF37" i="7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<sst xmlns="http://schemas.openxmlformats.org/spreadsheetml/2006/main" count="129" uniqueCount="50">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</sst>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0" fillId="5" borderId="2" xfId="0" quotePrefix="1" applyNumberFormat="1" applyFont="1" applyFill="1" applyBorder="1" applyAlignment="1">
      <alignment horizontal="right"/>
    </xf>
    <xf numFmtId="0" fontId="7" fillId="6" borderId="2" xfId="0" quotePrefix="1" applyNumberFormat="1" applyFont="1" applyFill="1" applyBorder="1" applyAlignment="1">
      <alignment horizontal="right"/>
    </xf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J32" sqref="J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4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64380</v>
      </c>
      <c r="F2" s="11">
        <v>5.0000000000000001E-3</v>
      </c>
      <c r="G2" s="12">
        <f>Submetering!R2</f>
        <v>542.82779400000004</v>
      </c>
      <c r="H2" s="11">
        <v>0.52800000000000002</v>
      </c>
      <c r="I2" s="12">
        <f>Hotel!B7</f>
        <v>65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60490</v>
      </c>
      <c r="F3" s="11">
        <v>5.0000000000000001E-3</v>
      </c>
      <c r="G3" s="12">
        <f>Submetering!R3</f>
        <v>772.22363999999993</v>
      </c>
      <c r="H3" s="11">
        <v>0.52800000000000002</v>
      </c>
      <c r="I3" s="12">
        <f>Hotel!B8</f>
        <v>84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11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56060</v>
      </c>
      <c r="F4" s="11">
        <v>5.0000000000000001E-3</v>
      </c>
      <c r="G4" s="12">
        <f>Submetering!R4</f>
        <v>601.88018999999997</v>
      </c>
      <c r="H4" s="11">
        <v>0.52800000000000002</v>
      </c>
      <c r="I4" s="12">
        <f>Hotel!B9</f>
        <v>84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55640</v>
      </c>
      <c r="F5" s="11">
        <v>5.0000000000000001E-3</v>
      </c>
      <c r="G5" s="12">
        <f>Submetering!R5</f>
        <v>560.24068</v>
      </c>
      <c r="H5" s="11">
        <v>0.52800000000000002</v>
      </c>
      <c r="I5" s="12">
        <f>Hotel!B10</f>
        <v>109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53430</v>
      </c>
      <c r="F6" s="11">
        <v>5.0000000000000001E-3</v>
      </c>
      <c r="G6" s="12">
        <f>Submetering!R6</f>
        <v>626.10681399999999</v>
      </c>
      <c r="H6" s="11">
        <v>0.52800000000000002</v>
      </c>
      <c r="I6" s="12">
        <f>Hotel!B11</f>
        <v>86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51640</v>
      </c>
      <c r="F7" s="11">
        <v>5.0000000000000001E-3</v>
      </c>
      <c r="G7" s="12">
        <f>Submetering!R7</f>
        <v>576.89648399999999</v>
      </c>
      <c r="H7" s="11">
        <v>0.52800000000000002</v>
      </c>
      <c r="I7" s="12">
        <f>Hotel!B12</f>
        <v>132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52190</v>
      </c>
      <c r="F8" s="11">
        <v>5.0000000000000001E-3</v>
      </c>
      <c r="G8" s="12">
        <f>Submetering!R8</f>
        <v>605.66560000000004</v>
      </c>
      <c r="H8" s="11">
        <v>0.52800000000000002</v>
      </c>
      <c r="I8" s="12">
        <f>Hotel!B13</f>
        <v>130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55730</v>
      </c>
      <c r="F9" s="11">
        <v>5.0000000000000001E-3</v>
      </c>
      <c r="G9" s="12">
        <f>Submetering!R9</f>
        <v>552.66985999999997</v>
      </c>
      <c r="H9" s="11">
        <v>0.52800000000000002</v>
      </c>
      <c r="I9" s="12">
        <f>Hotel!B14</f>
        <v>139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62500</v>
      </c>
      <c r="F10" s="11">
        <v>5.0000000000000001E-3</v>
      </c>
      <c r="G10" s="12">
        <f>Submetering!R10</f>
        <v>684.02358700000002</v>
      </c>
      <c r="H10" s="11">
        <v>0.52800000000000002</v>
      </c>
      <c r="I10" s="12">
        <f>Hotel!B15</f>
        <v>110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54571</v>
      </c>
      <c r="F11" s="11">
        <v>5.0000000000000001E-3</v>
      </c>
      <c r="G11" s="12">
        <f>Submetering!R11</f>
        <v>564.78317200000004</v>
      </c>
      <c r="H11" s="11">
        <v>0.52800000000000002</v>
      </c>
      <c r="I11" s="12">
        <f>Hotel!B16</f>
        <v>138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67209</v>
      </c>
      <c r="F12" s="11">
        <v>5.0000000000000001E-3</v>
      </c>
      <c r="G12" s="12">
        <f>Submetering!R12</f>
        <v>583.33168099999989</v>
      </c>
      <c r="H12" s="11">
        <v>0.52800000000000002</v>
      </c>
      <c r="I12" s="12">
        <f>Hotel!B17</f>
        <v>184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59570</v>
      </c>
      <c r="F13" s="11">
        <v>5.0000000000000001E-3</v>
      </c>
      <c r="G13" s="12">
        <f>Submetering!R13</f>
        <v>623.83556799999997</v>
      </c>
      <c r="H13" s="11">
        <v>0.52800000000000002</v>
      </c>
      <c r="I13" s="12">
        <f>Hotel!B18</f>
        <v>115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x14ac:dyDescent="0.25">
      <c r="A32" s="21" t="s">
        <v>31</v>
      </c>
      <c r="B32" s="14">
        <f t="shared" si="0"/>
        <v>31</v>
      </c>
      <c r="C32" s="3">
        <v>11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11</v>
      </c>
      <c r="D2" s="11">
        <v>2022</v>
      </c>
      <c r="E2" s="4">
        <f>Hotel!Q7</f>
        <v>10610</v>
      </c>
      <c r="F2" s="4">
        <f>Hotel!R7</f>
        <v>3420</v>
      </c>
      <c r="G2" s="4">
        <f>Hotel!S7</f>
        <v>2710</v>
      </c>
      <c r="H2" s="4">
        <f>Hotel!T7</f>
        <v>1640</v>
      </c>
      <c r="I2" s="4">
        <f>Hotel!U7</f>
        <v>4560</v>
      </c>
      <c r="J2" s="4">
        <f>Hotel!V7</f>
        <v>3900</v>
      </c>
      <c r="K2" s="4">
        <f>Hotel!W7</f>
        <v>2830</v>
      </c>
      <c r="L2" s="4">
        <f>Hotel!X7</f>
        <v>4360</v>
      </c>
      <c r="M2" s="4">
        <f>Hotel!Y7</f>
        <v>5540</v>
      </c>
      <c r="N2" s="4">
        <f>Hotel!Z7</f>
        <v>2500</v>
      </c>
      <c r="O2" s="4">
        <f>Hotel!AA7</f>
        <v>2740</v>
      </c>
      <c r="P2" s="4">
        <f>Hotel!AB7</f>
        <v>8040</v>
      </c>
      <c r="Q2" s="4">
        <f>Hotel!AC7</f>
        <v>11530</v>
      </c>
      <c r="R2" s="4">
        <f>Hotel!AV7*0.00378541*100</f>
        <v>542.82779400000004</v>
      </c>
      <c r="S2" s="4">
        <f>Hotel!B7</f>
        <v>65</v>
      </c>
    </row>
    <row r="3" spans="1:19" x14ac:dyDescent="0.25">
      <c r="A3" s="21" t="s">
        <v>31</v>
      </c>
      <c r="B3" s="2">
        <f>B2+1</f>
        <v>2</v>
      </c>
      <c r="C3" s="3">
        <v>11</v>
      </c>
      <c r="D3" s="11">
        <v>2022</v>
      </c>
      <c r="E3" s="4">
        <f>Hotel!Q8</f>
        <v>9430</v>
      </c>
      <c r="F3" s="4">
        <f>Hotel!R8</f>
        <v>3490</v>
      </c>
      <c r="G3" s="4">
        <f>Hotel!S8</f>
        <v>2980</v>
      </c>
      <c r="H3" s="4">
        <f>Hotel!T8</f>
        <v>1550</v>
      </c>
      <c r="I3" s="4">
        <f>Hotel!U8</f>
        <v>4400</v>
      </c>
      <c r="J3" s="4">
        <f>Hotel!V8</f>
        <v>3760</v>
      </c>
      <c r="K3" s="4">
        <f>Hotel!W8</f>
        <v>3000</v>
      </c>
      <c r="L3" s="4">
        <f>Hotel!X8</f>
        <v>4170</v>
      </c>
      <c r="M3" s="4">
        <f>Hotel!Y8</f>
        <v>4850</v>
      </c>
      <c r="N3" s="4">
        <f>Hotel!Z8</f>
        <v>2340</v>
      </c>
      <c r="O3" s="4">
        <f>Hotel!AA8</f>
        <v>2570</v>
      </c>
      <c r="P3" s="4">
        <f>Hotel!AB8</f>
        <v>7450</v>
      </c>
      <c r="Q3" s="4">
        <f>Hotel!AC8</f>
        <v>10500</v>
      </c>
      <c r="R3" s="4">
        <f>Hotel!AV8*0.00378541*100</f>
        <v>772.22363999999993</v>
      </c>
      <c r="S3" s="4">
        <f>Hotel!B8</f>
        <v>84</v>
      </c>
    </row>
    <row r="4" spans="1:19" x14ac:dyDescent="0.25">
      <c r="A4" s="21" t="s">
        <v>31</v>
      </c>
      <c r="B4" s="2">
        <f t="shared" ref="B4:B29" si="0">B3+1</f>
        <v>3</v>
      </c>
      <c r="C4" s="3">
        <v>11</v>
      </c>
      <c r="D4" s="11">
        <v>2022</v>
      </c>
      <c r="E4" s="4">
        <f>Hotel!Q9</f>
        <v>4020</v>
      </c>
      <c r="F4" s="4">
        <f>Hotel!R9</f>
        <v>2540</v>
      </c>
      <c r="G4" s="4">
        <f>Hotel!S9</f>
        <v>3660</v>
      </c>
      <c r="H4" s="4">
        <f>Hotel!T9</f>
        <v>1500</v>
      </c>
      <c r="I4" s="4">
        <f>Hotel!U9</f>
        <v>4610</v>
      </c>
      <c r="J4" s="4">
        <f>Hotel!V9</f>
        <v>3810</v>
      </c>
      <c r="K4" s="4">
        <f>Hotel!W9</f>
        <v>2920</v>
      </c>
      <c r="L4" s="4">
        <f>Hotel!X9</f>
        <v>4310</v>
      </c>
      <c r="M4" s="4">
        <f>Hotel!Y9</f>
        <v>4900</v>
      </c>
      <c r="N4" s="4">
        <f>Hotel!Z9</f>
        <v>2380</v>
      </c>
      <c r="O4" s="4">
        <f>Hotel!AA9</f>
        <v>2700</v>
      </c>
      <c r="P4" s="4">
        <f>Hotel!AB9</f>
        <v>7480</v>
      </c>
      <c r="Q4" s="4">
        <f>Hotel!AC9</f>
        <v>11230</v>
      </c>
      <c r="R4" s="4">
        <f>Hotel!AV9*0.00378541*100</f>
        <v>601.88018999999997</v>
      </c>
      <c r="S4" s="4">
        <f>Hotel!B9</f>
        <v>84</v>
      </c>
    </row>
    <row r="5" spans="1:19" x14ac:dyDescent="0.25">
      <c r="A5" s="21" t="s">
        <v>31</v>
      </c>
      <c r="B5" s="2">
        <f t="shared" si="0"/>
        <v>4</v>
      </c>
      <c r="C5" s="3">
        <v>11</v>
      </c>
      <c r="D5" s="11">
        <v>2022</v>
      </c>
      <c r="E5" s="4">
        <f>Hotel!Q10</f>
        <v>2550</v>
      </c>
      <c r="F5" s="4">
        <f>Hotel!R10</f>
        <v>2270</v>
      </c>
      <c r="G5" s="4">
        <f>Hotel!S10</f>
        <v>3550</v>
      </c>
      <c r="H5" s="4">
        <f>Hotel!T10</f>
        <v>1490</v>
      </c>
      <c r="I5" s="4">
        <f>Hotel!U10</f>
        <v>4820</v>
      </c>
      <c r="J5" s="4">
        <f>Hotel!V10</f>
        <v>3900</v>
      </c>
      <c r="K5" s="4">
        <f>Hotel!W10</f>
        <v>3070</v>
      </c>
      <c r="L5" s="4">
        <f>Hotel!X10</f>
        <v>4260</v>
      </c>
      <c r="M5" s="4">
        <f>Hotel!Y10</f>
        <v>5480</v>
      </c>
      <c r="N5" s="4">
        <f>Hotel!Z10</f>
        <v>2560</v>
      </c>
      <c r="O5" s="4">
        <f>Hotel!AA10</f>
        <v>2800</v>
      </c>
      <c r="P5" s="4">
        <f>Hotel!AB10</f>
        <v>7680</v>
      </c>
      <c r="Q5" s="4">
        <f>Hotel!AC10</f>
        <v>11210</v>
      </c>
      <c r="R5" s="4">
        <f>Hotel!AV10*0.00378541*100</f>
        <v>560.24068</v>
      </c>
      <c r="S5" s="4">
        <f>Hotel!B10</f>
        <v>109</v>
      </c>
    </row>
    <row r="6" spans="1:19" x14ac:dyDescent="0.25">
      <c r="A6" s="21" t="s">
        <v>31</v>
      </c>
      <c r="B6" s="2">
        <f t="shared" si="0"/>
        <v>5</v>
      </c>
      <c r="C6" s="3">
        <v>11</v>
      </c>
      <c r="D6" s="11">
        <v>2022</v>
      </c>
      <c r="E6" s="4">
        <f>Hotel!Q11</f>
        <v>580</v>
      </c>
      <c r="F6" s="4">
        <f>Hotel!R11</f>
        <v>1860</v>
      </c>
      <c r="G6" s="4">
        <f>Hotel!S11</f>
        <v>3930</v>
      </c>
      <c r="H6" s="4">
        <f>Hotel!T11</f>
        <v>1500</v>
      </c>
      <c r="I6" s="4">
        <f>Hotel!U11</f>
        <v>4920</v>
      </c>
      <c r="J6" s="4">
        <f>Hotel!V11</f>
        <v>3970</v>
      </c>
      <c r="K6" s="4">
        <f>Hotel!W11</f>
        <v>3170</v>
      </c>
      <c r="L6" s="4">
        <f>Hotel!X11</f>
        <v>4270</v>
      </c>
      <c r="M6" s="4">
        <f>Hotel!Y11</f>
        <v>5590</v>
      </c>
      <c r="N6" s="4">
        <f>Hotel!Z11</f>
        <v>2570</v>
      </c>
      <c r="O6" s="4">
        <f>Hotel!AA11</f>
        <v>2840</v>
      </c>
      <c r="P6" s="4">
        <f>Hotel!AB11</f>
        <v>7640</v>
      </c>
      <c r="Q6" s="4">
        <f>Hotel!AC11</f>
        <v>10590</v>
      </c>
      <c r="R6" s="4">
        <f>Hotel!AV11*0.00378541*100</f>
        <v>626.10681399999999</v>
      </c>
      <c r="S6" s="4">
        <f>Hotel!B11</f>
        <v>86</v>
      </c>
    </row>
    <row r="7" spans="1:19" x14ac:dyDescent="0.25">
      <c r="A7" s="21" t="s">
        <v>31</v>
      </c>
      <c r="B7" s="2">
        <f t="shared" si="0"/>
        <v>6</v>
      </c>
      <c r="C7" s="3">
        <v>11</v>
      </c>
      <c r="D7" s="11">
        <v>2022</v>
      </c>
      <c r="E7" s="4">
        <f>Hotel!Q12</f>
        <v>580</v>
      </c>
      <c r="F7" s="4">
        <f>Hotel!R12</f>
        <v>1850</v>
      </c>
      <c r="G7" s="4">
        <f>Hotel!S12</f>
        <v>3520</v>
      </c>
      <c r="H7" s="4">
        <f>Hotel!T12</f>
        <v>1470</v>
      </c>
      <c r="I7" s="4">
        <f>Hotel!U12</f>
        <v>4860</v>
      </c>
      <c r="J7" s="4">
        <f>Hotel!V12</f>
        <v>3790</v>
      </c>
      <c r="K7" s="4">
        <f>Hotel!W12</f>
        <v>2920</v>
      </c>
      <c r="L7" s="4">
        <f>Hotel!X12</f>
        <v>3840</v>
      </c>
      <c r="M7" s="4">
        <f>Hotel!Y12</f>
        <v>5260</v>
      </c>
      <c r="N7" s="4">
        <f>Hotel!Z12</f>
        <v>2530</v>
      </c>
      <c r="O7" s="4">
        <f>Hotel!AA12</f>
        <v>2800</v>
      </c>
      <c r="P7" s="4">
        <f>Hotel!AB12</f>
        <v>7620</v>
      </c>
      <c r="Q7" s="4">
        <f>Hotel!AC12</f>
        <v>10600</v>
      </c>
      <c r="R7" s="4">
        <f>Hotel!AV12*0.00378541*100</f>
        <v>576.89648399999999</v>
      </c>
      <c r="S7" s="4">
        <f>Hotel!B12</f>
        <v>132</v>
      </c>
    </row>
    <row r="8" spans="1:19" x14ac:dyDescent="0.25">
      <c r="A8" s="21" t="s">
        <v>31</v>
      </c>
      <c r="B8" s="2">
        <f t="shared" si="0"/>
        <v>7</v>
      </c>
      <c r="C8" s="3">
        <v>11</v>
      </c>
      <c r="D8" s="11">
        <v>2022</v>
      </c>
      <c r="E8" s="4">
        <f>Hotel!Q13</f>
        <v>570</v>
      </c>
      <c r="F8" s="4">
        <f>Hotel!R13</f>
        <v>1820</v>
      </c>
      <c r="G8" s="4">
        <f>Hotel!S13</f>
        <v>3600</v>
      </c>
      <c r="H8" s="4">
        <f>Hotel!T13</f>
        <v>1450</v>
      </c>
      <c r="I8" s="4">
        <f>Hotel!U13</f>
        <v>4730</v>
      </c>
      <c r="J8" s="4">
        <f>Hotel!V13</f>
        <v>3730</v>
      </c>
      <c r="K8" s="4">
        <f>Hotel!W13</f>
        <v>2820</v>
      </c>
      <c r="L8" s="4">
        <f>Hotel!X13</f>
        <v>4260</v>
      </c>
      <c r="M8" s="4">
        <f>Hotel!Y13</f>
        <v>5390</v>
      </c>
      <c r="N8" s="4">
        <f>Hotel!Z13</f>
        <v>2530</v>
      </c>
      <c r="O8" s="4">
        <f>Hotel!AA13</f>
        <v>2800</v>
      </c>
      <c r="P8" s="4">
        <f>Hotel!AB13</f>
        <v>7580</v>
      </c>
      <c r="Q8" s="4">
        <f>Hotel!AC13</f>
        <v>10910</v>
      </c>
      <c r="R8" s="4">
        <f>Hotel!AV13*0.00378541*100</f>
        <v>605.66560000000004</v>
      </c>
      <c r="S8" s="4">
        <f>Hotel!B13</f>
        <v>130</v>
      </c>
    </row>
    <row r="9" spans="1:19" x14ac:dyDescent="0.25">
      <c r="A9" s="21" t="s">
        <v>31</v>
      </c>
      <c r="B9" s="2">
        <f t="shared" si="0"/>
        <v>8</v>
      </c>
      <c r="C9" s="3">
        <v>11</v>
      </c>
      <c r="D9" s="11">
        <v>2022</v>
      </c>
      <c r="E9" s="4">
        <f>Hotel!Q14</f>
        <v>2440</v>
      </c>
      <c r="F9" s="4">
        <f>Hotel!R14</f>
        <v>2210</v>
      </c>
      <c r="G9" s="4">
        <f>Hotel!S14</f>
        <v>3700</v>
      </c>
      <c r="H9" s="4">
        <f>Hotel!T14</f>
        <v>1520</v>
      </c>
      <c r="I9" s="4">
        <f>Hotel!U14</f>
        <v>4920</v>
      </c>
      <c r="J9" s="4">
        <f>Hotel!V14</f>
        <v>3880</v>
      </c>
      <c r="K9" s="4">
        <f>Hotel!W14</f>
        <v>3240</v>
      </c>
      <c r="L9" s="4">
        <f>Hotel!X14</f>
        <v>4300</v>
      </c>
      <c r="M9" s="4">
        <f>Hotel!Y14</f>
        <v>5490</v>
      </c>
      <c r="N9" s="4">
        <f>Hotel!Z14</f>
        <v>2580</v>
      </c>
      <c r="O9" s="4">
        <f>Hotel!AA14</f>
        <v>2920</v>
      </c>
      <c r="P9" s="4">
        <f>Hotel!AB14</f>
        <v>7640</v>
      </c>
      <c r="Q9" s="4">
        <f>Hotel!AC14</f>
        <v>10890</v>
      </c>
      <c r="R9" s="4">
        <f>Hotel!AV14*0.00378541*100</f>
        <v>552.66985999999997</v>
      </c>
      <c r="S9" s="4">
        <f>Hotel!B14</f>
        <v>139</v>
      </c>
    </row>
    <row r="10" spans="1:19" x14ac:dyDescent="0.25">
      <c r="A10" s="21" t="s">
        <v>31</v>
      </c>
      <c r="B10" s="2">
        <f t="shared" si="0"/>
        <v>9</v>
      </c>
      <c r="C10" s="3">
        <v>11</v>
      </c>
      <c r="D10" s="11">
        <v>2022</v>
      </c>
      <c r="E10" s="4">
        <f>Hotel!Q15</f>
        <v>6980</v>
      </c>
      <c r="F10" s="4">
        <f>Hotel!R15</f>
        <v>3340</v>
      </c>
      <c r="G10" s="4">
        <f>Hotel!S15</f>
        <v>3220</v>
      </c>
      <c r="H10" s="4">
        <f>Hotel!T15</f>
        <v>3030</v>
      </c>
      <c r="I10" s="4">
        <f>Hotel!U15</f>
        <v>5130</v>
      </c>
      <c r="J10" s="4">
        <f>Hotel!V15</f>
        <v>4030</v>
      </c>
      <c r="K10" s="4">
        <f>Hotel!W15</f>
        <v>2930</v>
      </c>
      <c r="L10" s="4">
        <f>Hotel!X15</f>
        <v>4250</v>
      </c>
      <c r="M10" s="4">
        <f>Hotel!Y15</f>
        <v>5750</v>
      </c>
      <c r="N10" s="4">
        <f>Hotel!Z15</f>
        <v>2630</v>
      </c>
      <c r="O10" s="4">
        <f>Hotel!AA15</f>
        <v>3030</v>
      </c>
      <c r="P10" s="4">
        <f>Hotel!AB15</f>
        <v>7910</v>
      </c>
      <c r="Q10" s="4">
        <f>Hotel!AC15</f>
        <v>10270</v>
      </c>
      <c r="R10" s="4">
        <f>Hotel!AV15*0.00378541*100</f>
        <v>684.02358700000002</v>
      </c>
      <c r="S10" s="4">
        <f>Hotel!B15</f>
        <v>110</v>
      </c>
    </row>
    <row r="11" spans="1:19" x14ac:dyDescent="0.25">
      <c r="A11" s="21" t="s">
        <v>31</v>
      </c>
      <c r="B11" s="2">
        <f t="shared" si="0"/>
        <v>10</v>
      </c>
      <c r="C11" s="3">
        <v>11</v>
      </c>
      <c r="D11" s="11">
        <v>2022</v>
      </c>
      <c r="E11" s="4">
        <f>Hotel!Q16</f>
        <v>4710</v>
      </c>
      <c r="F11" s="4">
        <f>Hotel!R16</f>
        <v>2630</v>
      </c>
      <c r="G11" s="4">
        <f>Hotel!S16</f>
        <v>3380</v>
      </c>
      <c r="H11" s="4">
        <f>Hotel!T16</f>
        <v>80</v>
      </c>
      <c r="I11" s="4">
        <f>Hotel!U16</f>
        <v>4790</v>
      </c>
      <c r="J11" s="4">
        <f>Hotel!V16</f>
        <v>3820</v>
      </c>
      <c r="K11" s="4">
        <f>Hotel!W16</f>
        <v>2890</v>
      </c>
      <c r="L11" s="4">
        <f>Hotel!X16</f>
        <v>4070</v>
      </c>
      <c r="M11" s="4">
        <f>Hotel!Y16</f>
        <v>5400</v>
      </c>
      <c r="N11" s="4">
        <f>Hotel!Z16</f>
        <v>2530</v>
      </c>
      <c r="O11" s="4">
        <f>Hotel!AA16</f>
        <v>2910</v>
      </c>
      <c r="P11" s="4">
        <f>Hotel!AB16</f>
        <v>7310</v>
      </c>
      <c r="Q11" s="4">
        <f>Hotel!AC16</f>
        <v>10051</v>
      </c>
      <c r="R11" s="4">
        <f>Hotel!AV16*0.00378541*100</f>
        <v>564.78317200000004</v>
      </c>
      <c r="S11" s="4">
        <f>Hotel!B16</f>
        <v>138</v>
      </c>
    </row>
    <row r="12" spans="1:19" x14ac:dyDescent="0.25">
      <c r="A12" s="21" t="s">
        <v>31</v>
      </c>
      <c r="B12" s="2">
        <f t="shared" si="0"/>
        <v>11</v>
      </c>
      <c r="C12" s="3">
        <v>11</v>
      </c>
      <c r="D12" s="11">
        <v>2022</v>
      </c>
      <c r="E12" s="4">
        <f>Hotel!Q17</f>
        <v>10120</v>
      </c>
      <c r="F12" s="4">
        <f>Hotel!R17</f>
        <v>4120</v>
      </c>
      <c r="G12" s="4">
        <f>Hotel!S17</f>
        <v>3170</v>
      </c>
      <c r="H12" s="4">
        <f>Hotel!T17</f>
        <v>1670</v>
      </c>
      <c r="I12" s="4">
        <f>Hotel!U17</f>
        <v>5440</v>
      </c>
      <c r="J12" s="4">
        <f>Hotel!V17</f>
        <v>4030</v>
      </c>
      <c r="K12" s="4">
        <f>Hotel!W17</f>
        <v>3380</v>
      </c>
      <c r="L12" s="4">
        <f>Hotel!X17</f>
        <v>4550</v>
      </c>
      <c r="M12" s="4">
        <f>Hotel!Y17</f>
        <v>5690</v>
      </c>
      <c r="N12" s="4">
        <f>Hotel!Z17</f>
        <v>2900</v>
      </c>
      <c r="O12" s="4">
        <f>Hotel!AA17</f>
        <v>3320</v>
      </c>
      <c r="P12" s="4">
        <f>Hotel!AB17</f>
        <v>7820</v>
      </c>
      <c r="Q12" s="4">
        <f>Hotel!AC17</f>
        <v>10999</v>
      </c>
      <c r="R12" s="4">
        <f>Hotel!AV17*0.00378541*100</f>
        <v>583.33168099999989</v>
      </c>
      <c r="S12" s="4">
        <f>Hotel!B17</f>
        <v>184</v>
      </c>
    </row>
    <row r="13" spans="1:19" x14ac:dyDescent="0.25">
      <c r="A13" s="21" t="s">
        <v>31</v>
      </c>
      <c r="B13" s="2">
        <f t="shared" si="0"/>
        <v>12</v>
      </c>
      <c r="C13" s="3">
        <v>11</v>
      </c>
      <c r="D13" s="11">
        <v>2022</v>
      </c>
      <c r="E13" s="4">
        <f>Hotel!Q18</f>
        <v>6870</v>
      </c>
      <c r="F13" s="4">
        <f>Hotel!R18</f>
        <v>3180</v>
      </c>
      <c r="G13" s="4">
        <f>Hotel!S18</f>
        <v>3050</v>
      </c>
      <c r="H13" s="4">
        <f>Hotel!T18</f>
        <v>1500</v>
      </c>
      <c r="I13" s="4">
        <f>Hotel!U18</f>
        <v>5150</v>
      </c>
      <c r="J13" s="4">
        <f>Hotel!V18</f>
        <v>3530</v>
      </c>
      <c r="K13" s="4">
        <f>Hotel!W18</f>
        <v>3000</v>
      </c>
      <c r="L13" s="4">
        <f>Hotel!X18</f>
        <v>4310</v>
      </c>
      <c r="M13" s="4">
        <f>Hotel!Y18</f>
        <v>5400</v>
      </c>
      <c r="N13" s="4">
        <f>Hotel!Z18</f>
        <v>2670</v>
      </c>
      <c r="O13" s="4">
        <f>Hotel!AA18</f>
        <v>3070</v>
      </c>
      <c r="P13" s="4">
        <f>Hotel!AB18</f>
        <v>7490</v>
      </c>
      <c r="Q13" s="4">
        <f>Hotel!AC18</f>
        <v>10350</v>
      </c>
      <c r="R13" s="4">
        <f>Hotel!AV18*0.00378541*100</f>
        <v>623.83556799999997</v>
      </c>
      <c r="S13" s="4">
        <f>Hotel!B18</f>
        <v>115</v>
      </c>
    </row>
    <row r="14" spans="1:19" x14ac:dyDescent="0.25">
      <c r="A14" s="21" t="s">
        <v>31</v>
      </c>
      <c r="B14" s="2">
        <f t="shared" si="0"/>
        <v>13</v>
      </c>
      <c r="C14" s="3">
        <v>11</v>
      </c>
      <c r="D14" s="11">
        <v>2022</v>
      </c>
      <c r="E14" s="4" t="str">
        <f>Hotel!Q19</f>
        <v>0</v>
      </c>
      <c r="F14" s="4" t="str">
        <f>Hotel!R19</f>
        <v>0</v>
      </c>
      <c r="G14" s="4" t="str">
        <f>Hotel!S19</f>
        <v>0</v>
      </c>
      <c r="H14" s="4" t="str">
        <f>Hotel!T19</f>
        <v>0</v>
      </c>
      <c r="I14" s="4" t="str">
        <f>Hotel!U19</f>
        <v>0</v>
      </c>
      <c r="J14" s="4" t="str">
        <f>Hotel!V19</f>
        <v>0</v>
      </c>
      <c r="K14" s="4" t="str">
        <f>Hotel!W19</f>
        <v>0</v>
      </c>
      <c r="L14" s="4" t="str">
        <f>Hotel!X19</f>
        <v>0</v>
      </c>
      <c r="M14" s="4" t="str">
        <f>Hotel!Y19</f>
        <v>0</v>
      </c>
      <c r="N14" s="4" t="str">
        <f>Hotel!Z19</f>
        <v>0</v>
      </c>
      <c r="O14" s="4" t="str">
        <f>Hotel!AA19</f>
        <v>0</v>
      </c>
      <c r="P14" s="4" t="str">
        <f>Hotel!AB19</f>
        <v>0</v>
      </c>
      <c r="Q14" s="4" t="str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11</v>
      </c>
      <c r="D15" s="11">
        <v>2022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11</v>
      </c>
      <c r="D16" s="11">
        <v>2022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3">
        <v>11</v>
      </c>
      <c r="D17" s="11">
        <v>2022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3">
        <v>11</v>
      </c>
      <c r="D18" s="11">
        <v>2022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11</v>
      </c>
      <c r="D19" s="11">
        <v>2022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11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11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11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11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11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11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11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11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11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11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11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11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11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topLeftCell="AG1" zoomScale="93" zoomScaleNormal="93" workbookViewId="0">
      <selection activeCell="AU18" sqref="AU18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44865</v>
      </c>
      <c r="B2" s="40">
        <v>80</v>
      </c>
      <c r="C2" s="24">
        <v>8554300</v>
      </c>
      <c r="D2" s="24">
        <v>20947360</v>
      </c>
      <c r="E2" s="24">
        <v>3728660</v>
      </c>
      <c r="F2" s="24">
        <v>4328650</v>
      </c>
      <c r="G2" s="24">
        <v>12753490</v>
      </c>
      <c r="H2" s="24">
        <v>7536930</v>
      </c>
      <c r="I2" s="24">
        <v>6536470</v>
      </c>
      <c r="J2" s="24">
        <v>8134370</v>
      </c>
      <c r="K2" s="24">
        <v>11830570</v>
      </c>
      <c r="L2" s="24">
        <v>5159970</v>
      </c>
      <c r="M2" s="24">
        <v>9473770</v>
      </c>
      <c r="N2" s="24">
        <v>15672980</v>
      </c>
      <c r="O2" s="24">
        <v>21923120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7">
        <v>298410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5" t="s">
        <v>23</v>
      </c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Q4" s="67" t="s">
        <v>24</v>
      </c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9"/>
      <c r="AD4" s="28" t="s">
        <v>25</v>
      </c>
      <c r="AF4" s="70" t="s">
        <v>26</v>
      </c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29" t="s">
        <v>27</v>
      </c>
      <c r="AU4" s="61" t="s">
        <v>28</v>
      </c>
      <c r="AV4" s="62" t="s">
        <v>29</v>
      </c>
      <c r="AW4" s="62" t="s">
        <v>48</v>
      </c>
      <c r="AX4" s="64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1"/>
      <c r="AV5" s="63"/>
      <c r="AW5" s="63"/>
      <c r="AX5" s="64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7">
        <v>298410</v>
      </c>
    </row>
    <row r="7" spans="1:50" x14ac:dyDescent="0.25">
      <c r="A7" s="23">
        <v>44866</v>
      </c>
      <c r="B7" s="40">
        <v>65</v>
      </c>
      <c r="C7" s="51">
        <v>8564910</v>
      </c>
      <c r="D7" s="51">
        <v>20950780</v>
      </c>
      <c r="E7" s="51">
        <v>3731370</v>
      </c>
      <c r="F7" s="51">
        <v>4330290</v>
      </c>
      <c r="G7" s="51">
        <v>12758050</v>
      </c>
      <c r="H7" s="51">
        <v>7540830</v>
      </c>
      <c r="I7" s="51">
        <v>6539300</v>
      </c>
      <c r="J7" s="51">
        <v>8138730</v>
      </c>
      <c r="K7" s="51">
        <v>11836110</v>
      </c>
      <c r="L7" s="51">
        <v>5162470</v>
      </c>
      <c r="M7" s="51">
        <v>9476510</v>
      </c>
      <c r="N7" s="51">
        <v>15681020</v>
      </c>
      <c r="O7" s="51">
        <v>21934650</v>
      </c>
      <c r="Q7" s="37">
        <f t="shared" ref="Q7:AC7" si="0">IF((C7-C2&lt;0), "0",C7-C2)</f>
        <v>10610</v>
      </c>
      <c r="R7" s="37">
        <f t="shared" si="0"/>
        <v>3420</v>
      </c>
      <c r="S7" s="37">
        <f t="shared" si="0"/>
        <v>2710</v>
      </c>
      <c r="T7" s="37">
        <f t="shared" si="0"/>
        <v>1640</v>
      </c>
      <c r="U7" s="37">
        <f t="shared" si="0"/>
        <v>4560</v>
      </c>
      <c r="V7" s="37">
        <f t="shared" si="0"/>
        <v>3900</v>
      </c>
      <c r="W7" s="37">
        <f t="shared" si="0"/>
        <v>2830</v>
      </c>
      <c r="X7" s="37">
        <f t="shared" si="0"/>
        <v>4360</v>
      </c>
      <c r="Y7" s="37">
        <f t="shared" si="0"/>
        <v>5540</v>
      </c>
      <c r="Z7" s="37">
        <f t="shared" si="0"/>
        <v>2500</v>
      </c>
      <c r="AA7" s="37">
        <f t="shared" si="0"/>
        <v>2740</v>
      </c>
      <c r="AB7" s="37">
        <f t="shared" si="0"/>
        <v>8040</v>
      </c>
      <c r="AC7" s="37">
        <f t="shared" si="0"/>
        <v>11530</v>
      </c>
      <c r="AD7" s="34">
        <f>SUM(Q7:AC7)</f>
        <v>64380</v>
      </c>
      <c r="AF7" s="20">
        <f t="shared" ref="AF7:AF36" si="1">Q7*$D$39</f>
        <v>53.050000000000004</v>
      </c>
      <c r="AG7" s="20">
        <f t="shared" ref="AG7:AG36" si="2">R7*$D$39</f>
        <v>17.100000000000001</v>
      </c>
      <c r="AH7" s="20">
        <f t="shared" ref="AH7:AH36" si="3">S7*$D$39</f>
        <v>13.55</v>
      </c>
      <c r="AI7" s="20">
        <f t="shared" ref="AI7:AI36" si="4">T7*$D$39</f>
        <v>8.1999999999999993</v>
      </c>
      <c r="AJ7" s="20">
        <f t="shared" ref="AJ7:AJ36" si="5">U7*$D$39</f>
        <v>22.8</v>
      </c>
      <c r="AK7" s="20">
        <f t="shared" ref="AK7:AK36" si="6">V7*$D$39</f>
        <v>19.5</v>
      </c>
      <c r="AL7" s="20">
        <f t="shared" ref="AL7:AL36" si="7">W7*$D$39</f>
        <v>14.15</v>
      </c>
      <c r="AM7" s="20">
        <f t="shared" ref="AM7:AM36" si="8">X7*$D$39</f>
        <v>21.8</v>
      </c>
      <c r="AN7" s="20">
        <f t="shared" ref="AN7:AN36" si="9">Y7*$D$39</f>
        <v>27.7</v>
      </c>
      <c r="AO7" s="20">
        <f t="shared" ref="AO7:AO36" si="10">Z7*$D$39</f>
        <v>12.5</v>
      </c>
      <c r="AP7" s="20">
        <f t="shared" ref="AP7:AP36" si="11">AA7*$D$39</f>
        <v>13.700000000000001</v>
      </c>
      <c r="AQ7" s="20">
        <f t="shared" ref="AQ7:AQ36" si="12">AB7*$D$39</f>
        <v>40.200000000000003</v>
      </c>
      <c r="AR7" s="20">
        <f t="shared" ref="AR7:AR36" si="13">AC7*$D$39</f>
        <v>57.65</v>
      </c>
      <c r="AS7" s="35">
        <f>SUM(AF7:AR7)</f>
        <v>321.89999999999998</v>
      </c>
      <c r="AU7" s="54">
        <v>299844</v>
      </c>
      <c r="AV7" s="37">
        <f>IF((AU7-AU6&lt;0),"0",AU7-AU6)</f>
        <v>1434</v>
      </c>
      <c r="AW7" s="37">
        <f>AV7*100*AV44</f>
        <v>542.82779400000004</v>
      </c>
      <c r="AX7" s="35">
        <f t="shared" ref="AX7:AX35" si="14">AV7*$D$40</f>
        <v>2.8679999999999999</v>
      </c>
    </row>
    <row r="8" spans="1:50" x14ac:dyDescent="0.25">
      <c r="A8" s="23">
        <v>44867</v>
      </c>
      <c r="B8" s="40">
        <v>84</v>
      </c>
      <c r="C8" s="52">
        <v>8574340</v>
      </c>
      <c r="D8" s="52">
        <v>20954270</v>
      </c>
      <c r="E8" s="52">
        <v>3734350</v>
      </c>
      <c r="F8" s="52">
        <v>4331840</v>
      </c>
      <c r="G8" s="52">
        <v>12762450</v>
      </c>
      <c r="H8" s="52">
        <v>7544590</v>
      </c>
      <c r="I8" s="52">
        <v>6542300</v>
      </c>
      <c r="J8" s="52">
        <v>8142900</v>
      </c>
      <c r="K8" s="52">
        <v>11840960</v>
      </c>
      <c r="L8" s="52">
        <v>5164810</v>
      </c>
      <c r="M8" s="52">
        <v>9479080</v>
      </c>
      <c r="N8" s="52">
        <v>15688470</v>
      </c>
      <c r="O8" s="52">
        <v>21945150</v>
      </c>
      <c r="Q8" s="37">
        <f>IF((C8-C7&lt;0), "0",C8-C7)</f>
        <v>9430</v>
      </c>
      <c r="R8" s="37">
        <f t="shared" ref="R8:AC8" si="15">IF((D8-D7&lt;0), "0",D8-D7)</f>
        <v>3490</v>
      </c>
      <c r="S8" s="37">
        <f t="shared" ref="S8:S35" si="16">IF((E8-E7&lt;0), "0",E8-E7)</f>
        <v>2980</v>
      </c>
      <c r="T8" s="37">
        <f t="shared" si="15"/>
        <v>1550</v>
      </c>
      <c r="U8" s="37">
        <f t="shared" si="15"/>
        <v>4400</v>
      </c>
      <c r="V8" s="37">
        <f t="shared" si="15"/>
        <v>3760</v>
      </c>
      <c r="W8" s="37">
        <f t="shared" si="15"/>
        <v>3000</v>
      </c>
      <c r="X8" s="37">
        <f t="shared" si="15"/>
        <v>4170</v>
      </c>
      <c r="Y8" s="37">
        <f t="shared" si="15"/>
        <v>4850</v>
      </c>
      <c r="Z8" s="37">
        <f t="shared" si="15"/>
        <v>2340</v>
      </c>
      <c r="AA8" s="37">
        <f t="shared" si="15"/>
        <v>2570</v>
      </c>
      <c r="AB8" s="37">
        <f t="shared" si="15"/>
        <v>7450</v>
      </c>
      <c r="AC8" s="37">
        <f t="shared" si="15"/>
        <v>10500</v>
      </c>
      <c r="AD8" s="35">
        <f>SUM(Q8:AC8)</f>
        <v>60490</v>
      </c>
      <c r="AF8" s="20">
        <f t="shared" si="1"/>
        <v>47.15</v>
      </c>
      <c r="AG8" s="20">
        <f t="shared" si="2"/>
        <v>17.45</v>
      </c>
      <c r="AH8" s="20">
        <f t="shared" si="3"/>
        <v>14.9</v>
      </c>
      <c r="AI8" s="20">
        <f t="shared" si="4"/>
        <v>7.75</v>
      </c>
      <c r="AJ8" s="20">
        <f t="shared" si="5"/>
        <v>22</v>
      </c>
      <c r="AK8" s="20">
        <f t="shared" si="6"/>
        <v>18.8</v>
      </c>
      <c r="AL8" s="20">
        <f t="shared" si="7"/>
        <v>15</v>
      </c>
      <c r="AM8" s="20">
        <f t="shared" si="8"/>
        <v>20.85</v>
      </c>
      <c r="AN8" s="20">
        <f t="shared" si="9"/>
        <v>24.25</v>
      </c>
      <c r="AO8" s="20">
        <f t="shared" si="10"/>
        <v>11.700000000000001</v>
      </c>
      <c r="AP8" s="20">
        <f t="shared" si="11"/>
        <v>12.85</v>
      </c>
      <c r="AQ8" s="20">
        <f t="shared" si="12"/>
        <v>37.25</v>
      </c>
      <c r="AR8" s="20">
        <f t="shared" si="13"/>
        <v>52.5</v>
      </c>
      <c r="AS8" s="35">
        <f>SUM(AF8:AR8)</f>
        <v>302.45</v>
      </c>
      <c r="AU8" s="55">
        <v>301884</v>
      </c>
      <c r="AV8" s="37">
        <f>IF((AU8-AU7&lt;0),"0",AU8-AU7)</f>
        <v>2040</v>
      </c>
      <c r="AW8" s="37">
        <f>AV8*100*AV44</f>
        <v>772.22363999999993</v>
      </c>
      <c r="AX8" s="35">
        <f t="shared" si="14"/>
        <v>4.08</v>
      </c>
    </row>
    <row r="9" spans="1:50" x14ac:dyDescent="0.25">
      <c r="A9" s="23">
        <v>44868</v>
      </c>
      <c r="B9" s="40">
        <v>84</v>
      </c>
      <c r="C9" s="52">
        <v>8578360</v>
      </c>
      <c r="D9" s="52">
        <v>20956810</v>
      </c>
      <c r="E9" s="52">
        <v>3738010</v>
      </c>
      <c r="F9" s="52">
        <v>4333340</v>
      </c>
      <c r="G9" s="52">
        <v>12767060</v>
      </c>
      <c r="H9" s="52">
        <v>7548400</v>
      </c>
      <c r="I9" s="52">
        <v>6545220</v>
      </c>
      <c r="J9" s="52">
        <v>8147210</v>
      </c>
      <c r="K9" s="52">
        <v>11845860</v>
      </c>
      <c r="L9" s="52">
        <v>5167190</v>
      </c>
      <c r="M9" s="52">
        <v>9481780</v>
      </c>
      <c r="N9" s="52">
        <v>15695950</v>
      </c>
      <c r="O9" s="52">
        <v>21956380</v>
      </c>
      <c r="Q9" s="37">
        <f t="shared" ref="Q9:Q30" si="17">IF((C9-C8&lt;0), "0",C9-C8)</f>
        <v>4020</v>
      </c>
      <c r="R9" s="37">
        <f t="shared" ref="R9:R37" si="18">IF((D9-D8&lt;0), "0",D9-D8)</f>
        <v>2540</v>
      </c>
      <c r="S9" s="37">
        <f t="shared" si="16"/>
        <v>3660</v>
      </c>
      <c r="T9" s="37">
        <f t="shared" ref="T9:T35" si="19">IF((F9-F8&lt;0), "0",F9-F8)</f>
        <v>1500</v>
      </c>
      <c r="U9" s="37">
        <f t="shared" ref="U9:U35" si="20">IF((G9-G8&lt;0), "0",G9-G8)</f>
        <v>4610</v>
      </c>
      <c r="V9" s="37">
        <f t="shared" ref="V9:V35" si="21">IF((H9-H8&lt;0), "0",H9-H8)</f>
        <v>3810</v>
      </c>
      <c r="W9" s="37">
        <f t="shared" ref="W9:W35" si="22">IF((I9-I8&lt;0), "0",I9-I8)</f>
        <v>2920</v>
      </c>
      <c r="X9" s="37">
        <f t="shared" ref="X9:X37" si="23">IF((J9-J8&lt;0), "0",J9-J8)</f>
        <v>4310</v>
      </c>
      <c r="Y9" s="37">
        <f t="shared" ref="Y9:Y35" si="24">IF((K9-K8&lt;0), "0",K9-K8)</f>
        <v>4900</v>
      </c>
      <c r="Z9" s="37">
        <f t="shared" ref="Z9:Z35" si="25">IF((L9-L8&lt;0), "0",L9-L8)</f>
        <v>2380</v>
      </c>
      <c r="AA9" s="37">
        <f t="shared" ref="AA9:AA35" si="26">IF((M9-M8&lt;0), "0",M9-M8)</f>
        <v>2700</v>
      </c>
      <c r="AB9" s="37">
        <f t="shared" ref="AB9:AB37" si="27">IF((N9-N8&lt;0), "0",N9-N8)</f>
        <v>7480</v>
      </c>
      <c r="AC9" s="37">
        <f t="shared" ref="AC9:AC37" si="28">IF((O9-O8&lt;0), "0",O9-O8)</f>
        <v>11230</v>
      </c>
      <c r="AD9" s="35">
        <f t="shared" ref="AD9:AD37" si="29">SUM(Q9:AC9)</f>
        <v>56060</v>
      </c>
      <c r="AF9" s="20">
        <f t="shared" si="1"/>
        <v>20.100000000000001</v>
      </c>
      <c r="AG9" s="20">
        <f t="shared" si="2"/>
        <v>12.700000000000001</v>
      </c>
      <c r="AH9" s="20">
        <f t="shared" si="3"/>
        <v>18.3</v>
      </c>
      <c r="AI9" s="20">
        <f t="shared" si="4"/>
        <v>7.5</v>
      </c>
      <c r="AJ9" s="20">
        <f t="shared" si="5"/>
        <v>23.05</v>
      </c>
      <c r="AK9" s="20">
        <f t="shared" si="6"/>
        <v>19.05</v>
      </c>
      <c r="AL9" s="20">
        <f t="shared" si="7"/>
        <v>14.6</v>
      </c>
      <c r="AM9" s="20">
        <f t="shared" si="8"/>
        <v>21.55</v>
      </c>
      <c r="AN9" s="20">
        <f t="shared" si="9"/>
        <v>24.5</v>
      </c>
      <c r="AO9" s="20">
        <f t="shared" si="10"/>
        <v>11.9</v>
      </c>
      <c r="AP9" s="20">
        <f t="shared" si="11"/>
        <v>13.5</v>
      </c>
      <c r="AQ9" s="20">
        <f t="shared" si="12"/>
        <v>37.4</v>
      </c>
      <c r="AR9" s="20">
        <f t="shared" si="13"/>
        <v>56.15</v>
      </c>
      <c r="AS9" s="35">
        <f t="shared" ref="AS9:AS33" si="30">SUM(AF9:AR9)</f>
        <v>280.3</v>
      </c>
      <c r="AU9" s="55">
        <v>303474</v>
      </c>
      <c r="AV9" s="37">
        <f>IF((AU9-AU8&lt;0),"0",AU9-AU8)</f>
        <v>1590</v>
      </c>
      <c r="AW9" s="37">
        <f>AV9*100*AV44</f>
        <v>601.88018999999997</v>
      </c>
      <c r="AX9" s="35">
        <f t="shared" si="14"/>
        <v>3.18</v>
      </c>
    </row>
    <row r="10" spans="1:50" x14ac:dyDescent="0.25">
      <c r="A10" s="23">
        <v>44869</v>
      </c>
      <c r="B10" s="40">
        <v>109</v>
      </c>
      <c r="C10" s="51">
        <v>8580910</v>
      </c>
      <c r="D10" s="51">
        <v>20959080</v>
      </c>
      <c r="E10" s="51">
        <v>3741560</v>
      </c>
      <c r="F10" s="51">
        <v>4334830</v>
      </c>
      <c r="G10" s="51">
        <v>12771880</v>
      </c>
      <c r="H10" s="51">
        <v>7552300</v>
      </c>
      <c r="I10" s="51">
        <v>6548290</v>
      </c>
      <c r="J10" s="51">
        <v>8151470</v>
      </c>
      <c r="K10" s="51">
        <v>11851340</v>
      </c>
      <c r="L10" s="51">
        <v>5169750</v>
      </c>
      <c r="M10" s="51">
        <v>9484580</v>
      </c>
      <c r="N10" s="51">
        <v>15703630</v>
      </c>
      <c r="O10" s="51">
        <v>21967590</v>
      </c>
      <c r="Q10" s="37">
        <f t="shared" si="17"/>
        <v>2550</v>
      </c>
      <c r="R10" s="37">
        <f t="shared" si="18"/>
        <v>2270</v>
      </c>
      <c r="S10" s="37">
        <f t="shared" si="16"/>
        <v>3550</v>
      </c>
      <c r="T10" s="37">
        <f t="shared" si="19"/>
        <v>1490</v>
      </c>
      <c r="U10" s="37">
        <f t="shared" si="20"/>
        <v>4820</v>
      </c>
      <c r="V10" s="37">
        <f t="shared" si="21"/>
        <v>3900</v>
      </c>
      <c r="W10" s="37">
        <f t="shared" si="22"/>
        <v>3070</v>
      </c>
      <c r="X10" s="37">
        <f t="shared" si="23"/>
        <v>4260</v>
      </c>
      <c r="Y10" s="37">
        <f t="shared" si="24"/>
        <v>5480</v>
      </c>
      <c r="Z10" s="37">
        <f t="shared" si="25"/>
        <v>2560</v>
      </c>
      <c r="AA10" s="37">
        <f t="shared" si="26"/>
        <v>2800</v>
      </c>
      <c r="AB10" s="37">
        <f t="shared" si="27"/>
        <v>7680</v>
      </c>
      <c r="AC10" s="37">
        <f t="shared" si="28"/>
        <v>11210</v>
      </c>
      <c r="AD10" s="35">
        <f t="shared" si="29"/>
        <v>55640</v>
      </c>
      <c r="AF10" s="20">
        <f t="shared" si="1"/>
        <v>12.75</v>
      </c>
      <c r="AG10" s="20">
        <f t="shared" si="2"/>
        <v>11.35</v>
      </c>
      <c r="AH10" s="20">
        <f t="shared" si="3"/>
        <v>17.75</v>
      </c>
      <c r="AI10" s="20">
        <f t="shared" si="4"/>
        <v>7.45</v>
      </c>
      <c r="AJ10" s="20">
        <f t="shared" si="5"/>
        <v>24.1</v>
      </c>
      <c r="AK10" s="20">
        <f t="shared" si="6"/>
        <v>19.5</v>
      </c>
      <c r="AL10" s="20">
        <f t="shared" si="7"/>
        <v>15.35</v>
      </c>
      <c r="AM10" s="20">
        <f t="shared" si="8"/>
        <v>21.3</v>
      </c>
      <c r="AN10" s="20">
        <f t="shared" si="9"/>
        <v>27.400000000000002</v>
      </c>
      <c r="AO10" s="20">
        <f t="shared" si="10"/>
        <v>12.8</v>
      </c>
      <c r="AP10" s="20">
        <f t="shared" si="11"/>
        <v>14</v>
      </c>
      <c r="AQ10" s="20">
        <f t="shared" si="12"/>
        <v>38.4</v>
      </c>
      <c r="AR10" s="20">
        <f t="shared" si="13"/>
        <v>56.050000000000004</v>
      </c>
      <c r="AS10" s="35">
        <f t="shared" si="30"/>
        <v>278.20000000000005</v>
      </c>
      <c r="AU10" s="54">
        <v>304954</v>
      </c>
      <c r="AV10" s="37">
        <f t="shared" ref="AV10:AV26" si="31">IF((AU10-AU9&lt;0),"0",AU10-AU9)</f>
        <v>1480</v>
      </c>
      <c r="AW10" s="37">
        <f>AV10*100*AV44</f>
        <v>560.24068</v>
      </c>
      <c r="AX10" s="35">
        <f t="shared" si="14"/>
        <v>2.96</v>
      </c>
    </row>
    <row r="11" spans="1:50" x14ac:dyDescent="0.25">
      <c r="A11" s="23">
        <v>44870</v>
      </c>
      <c r="B11" s="40">
        <v>86</v>
      </c>
      <c r="C11" s="51">
        <v>8581490</v>
      </c>
      <c r="D11" s="51">
        <v>20960940</v>
      </c>
      <c r="E11" s="51">
        <v>3745490</v>
      </c>
      <c r="F11" s="51">
        <v>4336330</v>
      </c>
      <c r="G11" s="51">
        <v>12776800</v>
      </c>
      <c r="H11" s="51">
        <v>7556270</v>
      </c>
      <c r="I11" s="51">
        <v>6551460</v>
      </c>
      <c r="J11" s="51">
        <v>8155740</v>
      </c>
      <c r="K11" s="51">
        <v>11856930</v>
      </c>
      <c r="L11" s="51">
        <v>5172320</v>
      </c>
      <c r="M11" s="51">
        <v>9487420</v>
      </c>
      <c r="N11" s="51">
        <v>15711270</v>
      </c>
      <c r="O11" s="51">
        <v>21978180</v>
      </c>
      <c r="Q11" s="37">
        <f t="shared" si="17"/>
        <v>580</v>
      </c>
      <c r="R11" s="37">
        <f t="shared" si="18"/>
        <v>1860</v>
      </c>
      <c r="S11" s="37">
        <f t="shared" si="16"/>
        <v>3930</v>
      </c>
      <c r="T11" s="37">
        <f t="shared" si="19"/>
        <v>1500</v>
      </c>
      <c r="U11" s="37">
        <f t="shared" si="20"/>
        <v>4920</v>
      </c>
      <c r="V11" s="37">
        <f t="shared" si="21"/>
        <v>3970</v>
      </c>
      <c r="W11" s="37">
        <f t="shared" si="22"/>
        <v>3170</v>
      </c>
      <c r="X11" s="37">
        <f t="shared" si="23"/>
        <v>4270</v>
      </c>
      <c r="Y11" s="37">
        <f t="shared" si="24"/>
        <v>5590</v>
      </c>
      <c r="Z11" s="37">
        <f t="shared" si="25"/>
        <v>2570</v>
      </c>
      <c r="AA11" s="37">
        <f t="shared" si="26"/>
        <v>2840</v>
      </c>
      <c r="AB11" s="37">
        <f t="shared" si="27"/>
        <v>7640</v>
      </c>
      <c r="AC11" s="37">
        <f t="shared" si="28"/>
        <v>10590</v>
      </c>
      <c r="AD11" s="35">
        <f t="shared" si="29"/>
        <v>53430</v>
      </c>
      <c r="AF11" s="20">
        <f t="shared" si="1"/>
        <v>2.9</v>
      </c>
      <c r="AG11" s="20">
        <f t="shared" si="2"/>
        <v>9.3000000000000007</v>
      </c>
      <c r="AH11" s="20">
        <f t="shared" si="3"/>
        <v>19.650000000000002</v>
      </c>
      <c r="AI11" s="20">
        <f t="shared" si="4"/>
        <v>7.5</v>
      </c>
      <c r="AJ11" s="20">
        <f t="shared" si="5"/>
        <v>24.6</v>
      </c>
      <c r="AK11" s="20">
        <f t="shared" si="6"/>
        <v>19.850000000000001</v>
      </c>
      <c r="AL11" s="20">
        <f t="shared" si="7"/>
        <v>15.85</v>
      </c>
      <c r="AM11" s="20">
        <f t="shared" si="8"/>
        <v>21.35</v>
      </c>
      <c r="AN11" s="20">
        <f t="shared" si="9"/>
        <v>27.95</v>
      </c>
      <c r="AO11" s="20">
        <f t="shared" si="10"/>
        <v>12.85</v>
      </c>
      <c r="AP11" s="20">
        <f t="shared" si="11"/>
        <v>14.200000000000001</v>
      </c>
      <c r="AQ11" s="20">
        <f t="shared" si="12"/>
        <v>38.200000000000003</v>
      </c>
      <c r="AR11" s="20">
        <f t="shared" si="13"/>
        <v>52.95</v>
      </c>
      <c r="AS11" s="35">
        <f t="shared" si="30"/>
        <v>267.14999999999998</v>
      </c>
      <c r="AU11" s="54">
        <v>306608</v>
      </c>
      <c r="AV11" s="37">
        <f t="shared" si="31"/>
        <v>1654</v>
      </c>
      <c r="AW11" s="37">
        <f>AV11*100*AV44</f>
        <v>626.10681399999999</v>
      </c>
      <c r="AX11" s="35">
        <f t="shared" si="14"/>
        <v>3.3080000000000003</v>
      </c>
    </row>
    <row r="12" spans="1:50" x14ac:dyDescent="0.25">
      <c r="A12" s="23">
        <v>44871</v>
      </c>
      <c r="B12" s="40">
        <v>132</v>
      </c>
      <c r="C12" s="52">
        <v>8582070</v>
      </c>
      <c r="D12" s="52">
        <v>20962790</v>
      </c>
      <c r="E12" s="52">
        <v>3749010</v>
      </c>
      <c r="F12" s="52">
        <v>4337800</v>
      </c>
      <c r="G12" s="52">
        <v>12781660</v>
      </c>
      <c r="H12" s="52">
        <v>7560060</v>
      </c>
      <c r="I12" s="52">
        <v>6554380</v>
      </c>
      <c r="J12" s="52">
        <v>8159580</v>
      </c>
      <c r="K12" s="52">
        <v>11862190</v>
      </c>
      <c r="L12" s="52">
        <v>5174850</v>
      </c>
      <c r="M12" s="52">
        <v>9490220</v>
      </c>
      <c r="N12" s="52">
        <v>15718890</v>
      </c>
      <c r="O12" s="52">
        <v>21988780</v>
      </c>
      <c r="Q12" s="37">
        <f t="shared" si="17"/>
        <v>580</v>
      </c>
      <c r="R12" s="37">
        <f t="shared" si="18"/>
        <v>1850</v>
      </c>
      <c r="S12" s="37">
        <f t="shared" si="16"/>
        <v>3520</v>
      </c>
      <c r="T12" s="37">
        <f t="shared" ref="T12:W14" si="32">IF((F12-F11&lt;0), "0",F12-F11)</f>
        <v>1470</v>
      </c>
      <c r="U12" s="37">
        <f t="shared" si="32"/>
        <v>4860</v>
      </c>
      <c r="V12" s="37">
        <f t="shared" si="32"/>
        <v>3790</v>
      </c>
      <c r="W12" s="37">
        <f t="shared" si="32"/>
        <v>2920</v>
      </c>
      <c r="X12" s="37">
        <f t="shared" si="23"/>
        <v>3840</v>
      </c>
      <c r="Y12" s="37">
        <f t="shared" si="24"/>
        <v>5260</v>
      </c>
      <c r="Z12" s="37">
        <f>IF((L12-L11&lt;0), "0",L12-L11)</f>
        <v>2530</v>
      </c>
      <c r="AA12" s="37">
        <f t="shared" si="26"/>
        <v>2800</v>
      </c>
      <c r="AB12" s="37">
        <f t="shared" si="27"/>
        <v>7620</v>
      </c>
      <c r="AC12" s="37">
        <f t="shared" si="28"/>
        <v>10600</v>
      </c>
      <c r="AD12" s="35">
        <f t="shared" si="29"/>
        <v>51640</v>
      </c>
      <c r="AF12" s="20">
        <f t="shared" si="1"/>
        <v>2.9</v>
      </c>
      <c r="AG12" s="20">
        <f t="shared" si="2"/>
        <v>9.25</v>
      </c>
      <c r="AH12" s="20">
        <f t="shared" si="3"/>
        <v>17.600000000000001</v>
      </c>
      <c r="AI12" s="20">
        <f t="shared" si="4"/>
        <v>7.3500000000000005</v>
      </c>
      <c r="AJ12" s="20">
        <f t="shared" si="5"/>
        <v>24.3</v>
      </c>
      <c r="AK12" s="20">
        <f t="shared" si="6"/>
        <v>18.95</v>
      </c>
      <c r="AL12" s="20">
        <f t="shared" si="7"/>
        <v>14.6</v>
      </c>
      <c r="AM12" s="20">
        <f t="shared" si="8"/>
        <v>19.2</v>
      </c>
      <c r="AN12" s="20">
        <f t="shared" si="9"/>
        <v>26.3</v>
      </c>
      <c r="AO12" s="20">
        <f t="shared" si="10"/>
        <v>12.65</v>
      </c>
      <c r="AP12" s="20">
        <f t="shared" si="11"/>
        <v>14</v>
      </c>
      <c r="AQ12" s="20">
        <f t="shared" si="12"/>
        <v>38.1</v>
      </c>
      <c r="AR12" s="20">
        <f t="shared" si="13"/>
        <v>53</v>
      </c>
      <c r="AS12" s="35">
        <f t="shared" si="30"/>
        <v>258.20000000000005</v>
      </c>
      <c r="AU12" s="55">
        <v>308132</v>
      </c>
      <c r="AV12" s="37">
        <f t="shared" si="31"/>
        <v>1524</v>
      </c>
      <c r="AW12" s="37">
        <f>AV12*100*AV44</f>
        <v>576.89648399999999</v>
      </c>
      <c r="AX12" s="35">
        <f t="shared" si="14"/>
        <v>3.048</v>
      </c>
    </row>
    <row r="13" spans="1:50" x14ac:dyDescent="0.25">
      <c r="A13" s="23">
        <v>44872</v>
      </c>
      <c r="B13" s="40">
        <v>130</v>
      </c>
      <c r="C13" s="59">
        <v>8582640</v>
      </c>
      <c r="D13" s="59">
        <v>20964610</v>
      </c>
      <c r="E13" s="59">
        <v>3752610</v>
      </c>
      <c r="F13" s="59">
        <v>4339250</v>
      </c>
      <c r="G13" s="59">
        <v>12786390</v>
      </c>
      <c r="H13" s="59">
        <v>7563790</v>
      </c>
      <c r="I13" s="59">
        <v>6557200</v>
      </c>
      <c r="J13" s="59">
        <v>8163840</v>
      </c>
      <c r="K13" s="59">
        <v>11867580</v>
      </c>
      <c r="L13" s="59">
        <v>5177380</v>
      </c>
      <c r="M13" s="59">
        <v>9493020</v>
      </c>
      <c r="N13" s="59">
        <v>15726470</v>
      </c>
      <c r="O13" s="59">
        <v>21999690</v>
      </c>
      <c r="Q13" s="37">
        <f t="shared" si="17"/>
        <v>570</v>
      </c>
      <c r="R13" s="37">
        <f t="shared" si="18"/>
        <v>1820</v>
      </c>
      <c r="S13" s="37">
        <f t="shared" si="16"/>
        <v>3600</v>
      </c>
      <c r="T13" s="37">
        <f t="shared" si="32"/>
        <v>1450</v>
      </c>
      <c r="U13" s="37">
        <f t="shared" si="32"/>
        <v>4730</v>
      </c>
      <c r="V13" s="37">
        <f t="shared" si="32"/>
        <v>3730</v>
      </c>
      <c r="W13" s="37">
        <f t="shared" si="32"/>
        <v>2820</v>
      </c>
      <c r="X13" s="37">
        <f t="shared" si="23"/>
        <v>4260</v>
      </c>
      <c r="Y13" s="37">
        <f t="shared" si="24"/>
        <v>5390</v>
      </c>
      <c r="Z13" s="37">
        <f>IF((L13-L12&lt;0), "0",L13-L12)</f>
        <v>2530</v>
      </c>
      <c r="AA13" s="37">
        <f t="shared" si="26"/>
        <v>2800</v>
      </c>
      <c r="AB13" s="37">
        <f t="shared" si="27"/>
        <v>7580</v>
      </c>
      <c r="AC13" s="37">
        <f t="shared" si="28"/>
        <v>10910</v>
      </c>
      <c r="AD13" s="35">
        <f t="shared" si="29"/>
        <v>52190</v>
      </c>
      <c r="AF13" s="20">
        <f t="shared" si="1"/>
        <v>2.85</v>
      </c>
      <c r="AG13" s="20">
        <f t="shared" si="2"/>
        <v>9.1</v>
      </c>
      <c r="AH13" s="20">
        <f t="shared" si="3"/>
        <v>18</v>
      </c>
      <c r="AI13" s="20">
        <f t="shared" si="4"/>
        <v>7.25</v>
      </c>
      <c r="AJ13" s="20">
        <f t="shared" si="5"/>
        <v>23.650000000000002</v>
      </c>
      <c r="AK13" s="20">
        <f t="shared" si="6"/>
        <v>18.650000000000002</v>
      </c>
      <c r="AL13" s="20">
        <f t="shared" si="7"/>
        <v>14.1</v>
      </c>
      <c r="AM13" s="20">
        <f t="shared" si="8"/>
        <v>21.3</v>
      </c>
      <c r="AN13" s="20">
        <f t="shared" si="9"/>
        <v>26.95</v>
      </c>
      <c r="AO13" s="20">
        <f t="shared" si="10"/>
        <v>12.65</v>
      </c>
      <c r="AP13" s="20">
        <f t="shared" si="11"/>
        <v>14</v>
      </c>
      <c r="AQ13" s="20">
        <f t="shared" si="12"/>
        <v>37.9</v>
      </c>
      <c r="AR13" s="20">
        <f t="shared" si="13"/>
        <v>54.550000000000004</v>
      </c>
      <c r="AS13" s="35">
        <f t="shared" si="30"/>
        <v>260.95</v>
      </c>
      <c r="AU13" s="60">
        <v>309732</v>
      </c>
      <c r="AV13" s="37">
        <f t="shared" si="31"/>
        <v>1600</v>
      </c>
      <c r="AW13" s="37">
        <f>AV13*100*AV44</f>
        <v>605.66560000000004</v>
      </c>
      <c r="AX13" s="35">
        <f t="shared" si="14"/>
        <v>3.2</v>
      </c>
    </row>
    <row r="14" spans="1:50" x14ac:dyDescent="0.25">
      <c r="A14" s="23">
        <v>44873</v>
      </c>
      <c r="B14" s="40">
        <v>139</v>
      </c>
      <c r="C14" s="52">
        <v>8585080</v>
      </c>
      <c r="D14" s="52">
        <v>20966820</v>
      </c>
      <c r="E14" s="52">
        <v>3756310</v>
      </c>
      <c r="F14" s="52">
        <v>4340770</v>
      </c>
      <c r="G14" s="52">
        <v>12791310</v>
      </c>
      <c r="H14" s="52">
        <v>7567670</v>
      </c>
      <c r="I14" s="52">
        <v>6560440</v>
      </c>
      <c r="J14" s="52">
        <v>8168140</v>
      </c>
      <c r="K14" s="52">
        <v>11873070</v>
      </c>
      <c r="L14" s="52">
        <v>5179960</v>
      </c>
      <c r="M14" s="52">
        <v>9495940</v>
      </c>
      <c r="N14" s="52">
        <v>15734110</v>
      </c>
      <c r="O14" s="52">
        <v>22010580</v>
      </c>
      <c r="P14" s="49"/>
      <c r="Q14" s="37">
        <f t="shared" si="17"/>
        <v>2440</v>
      </c>
      <c r="R14" s="37">
        <f t="shared" si="18"/>
        <v>2210</v>
      </c>
      <c r="S14" s="37">
        <f t="shared" si="16"/>
        <v>3700</v>
      </c>
      <c r="T14" s="37">
        <f t="shared" si="32"/>
        <v>1520</v>
      </c>
      <c r="U14" s="37">
        <f t="shared" si="32"/>
        <v>4920</v>
      </c>
      <c r="V14" s="37">
        <f t="shared" si="32"/>
        <v>3880</v>
      </c>
      <c r="W14" s="37">
        <f t="shared" si="32"/>
        <v>3240</v>
      </c>
      <c r="X14" s="37">
        <f t="shared" si="23"/>
        <v>4300</v>
      </c>
      <c r="Y14" s="37">
        <f t="shared" si="24"/>
        <v>5490</v>
      </c>
      <c r="Z14" s="37">
        <f>IF((L14-L13&lt;0), "0",L14-L13)</f>
        <v>2580</v>
      </c>
      <c r="AA14" s="37">
        <f t="shared" si="26"/>
        <v>2920</v>
      </c>
      <c r="AB14" s="37">
        <f t="shared" si="27"/>
        <v>7640</v>
      </c>
      <c r="AC14" s="37">
        <f t="shared" si="28"/>
        <v>10890</v>
      </c>
      <c r="AD14" s="35">
        <f t="shared" si="29"/>
        <v>55730</v>
      </c>
      <c r="AF14" s="20">
        <f t="shared" si="1"/>
        <v>12.200000000000001</v>
      </c>
      <c r="AG14" s="20">
        <f t="shared" si="2"/>
        <v>11.05</v>
      </c>
      <c r="AH14" s="20">
        <f t="shared" si="3"/>
        <v>18.5</v>
      </c>
      <c r="AI14" s="20">
        <f t="shared" si="4"/>
        <v>7.6000000000000005</v>
      </c>
      <c r="AJ14" s="20">
        <f t="shared" si="5"/>
        <v>24.6</v>
      </c>
      <c r="AK14" s="20">
        <f t="shared" si="6"/>
        <v>19.400000000000002</v>
      </c>
      <c r="AL14" s="20">
        <f t="shared" si="7"/>
        <v>16.2</v>
      </c>
      <c r="AM14" s="20">
        <f t="shared" si="8"/>
        <v>21.5</v>
      </c>
      <c r="AN14" s="20">
        <f t="shared" si="9"/>
        <v>27.45</v>
      </c>
      <c r="AO14" s="20">
        <f t="shared" si="10"/>
        <v>12.9</v>
      </c>
      <c r="AP14" s="20">
        <f t="shared" si="11"/>
        <v>14.6</v>
      </c>
      <c r="AQ14" s="20">
        <f t="shared" si="12"/>
        <v>38.200000000000003</v>
      </c>
      <c r="AR14" s="20">
        <f t="shared" si="13"/>
        <v>54.45</v>
      </c>
      <c r="AS14" s="35">
        <f t="shared" si="30"/>
        <v>278.64999999999998</v>
      </c>
      <c r="AU14" s="55">
        <v>311192</v>
      </c>
      <c r="AV14" s="37">
        <f t="shared" si="31"/>
        <v>1460</v>
      </c>
      <c r="AW14" s="37">
        <f>AV14*100*AV44</f>
        <v>552.66985999999997</v>
      </c>
      <c r="AX14" s="35">
        <f t="shared" si="14"/>
        <v>2.92</v>
      </c>
    </row>
    <row r="15" spans="1:50" x14ac:dyDescent="0.25">
      <c r="A15" s="23">
        <v>44874</v>
      </c>
      <c r="B15" s="40">
        <v>110</v>
      </c>
      <c r="C15" s="51">
        <v>8592060</v>
      </c>
      <c r="D15" s="51">
        <v>20970160</v>
      </c>
      <c r="E15" s="51">
        <v>3759530</v>
      </c>
      <c r="F15" s="51">
        <v>4343800</v>
      </c>
      <c r="G15" s="51">
        <v>12796440</v>
      </c>
      <c r="H15" s="51">
        <v>7571700</v>
      </c>
      <c r="I15" s="51">
        <v>6563370</v>
      </c>
      <c r="J15" s="51">
        <v>8172390</v>
      </c>
      <c r="K15" s="51">
        <v>11878820</v>
      </c>
      <c r="L15" s="51">
        <v>5182590</v>
      </c>
      <c r="M15" s="51">
        <v>9498970</v>
      </c>
      <c r="N15" s="51">
        <v>15742020</v>
      </c>
      <c r="O15" s="51">
        <v>22020850</v>
      </c>
      <c r="Q15" s="37">
        <f t="shared" si="17"/>
        <v>6980</v>
      </c>
      <c r="R15" s="37">
        <f t="shared" si="18"/>
        <v>3340</v>
      </c>
      <c r="S15" s="37">
        <f t="shared" si="16"/>
        <v>3220</v>
      </c>
      <c r="T15" s="37">
        <f t="shared" si="19"/>
        <v>3030</v>
      </c>
      <c r="U15" s="37">
        <f t="shared" si="20"/>
        <v>5130</v>
      </c>
      <c r="V15" s="37">
        <f t="shared" si="21"/>
        <v>4030</v>
      </c>
      <c r="W15" s="37">
        <f t="shared" si="22"/>
        <v>2930</v>
      </c>
      <c r="X15" s="37">
        <f t="shared" si="23"/>
        <v>4250</v>
      </c>
      <c r="Y15" s="37">
        <f t="shared" si="24"/>
        <v>5750</v>
      </c>
      <c r="Z15" s="37">
        <f t="shared" si="25"/>
        <v>2630</v>
      </c>
      <c r="AA15" s="37">
        <f t="shared" si="26"/>
        <v>3030</v>
      </c>
      <c r="AB15" s="37">
        <f t="shared" si="27"/>
        <v>7910</v>
      </c>
      <c r="AC15" s="37">
        <f t="shared" si="28"/>
        <v>10270</v>
      </c>
      <c r="AD15" s="35">
        <f t="shared" si="29"/>
        <v>62500</v>
      </c>
      <c r="AF15" s="20">
        <f t="shared" si="1"/>
        <v>34.9</v>
      </c>
      <c r="AG15" s="20">
        <f t="shared" si="2"/>
        <v>16.7</v>
      </c>
      <c r="AH15" s="20">
        <f t="shared" si="3"/>
        <v>16.100000000000001</v>
      </c>
      <c r="AI15" s="20">
        <f t="shared" si="4"/>
        <v>15.15</v>
      </c>
      <c r="AJ15" s="20">
        <f t="shared" si="5"/>
        <v>25.650000000000002</v>
      </c>
      <c r="AK15" s="20">
        <f t="shared" si="6"/>
        <v>20.150000000000002</v>
      </c>
      <c r="AL15" s="20">
        <f t="shared" si="7"/>
        <v>14.65</v>
      </c>
      <c r="AM15" s="20">
        <f t="shared" si="8"/>
        <v>21.25</v>
      </c>
      <c r="AN15" s="20">
        <f t="shared" si="9"/>
        <v>28.75</v>
      </c>
      <c r="AO15" s="20">
        <f t="shared" si="10"/>
        <v>13.15</v>
      </c>
      <c r="AP15" s="20">
        <f t="shared" si="11"/>
        <v>15.15</v>
      </c>
      <c r="AQ15" s="20">
        <f t="shared" si="12"/>
        <v>39.550000000000004</v>
      </c>
      <c r="AR15" s="20">
        <f t="shared" si="13"/>
        <v>51.35</v>
      </c>
      <c r="AS15" s="35">
        <f t="shared" si="30"/>
        <v>312.50000000000006</v>
      </c>
      <c r="AU15" s="54">
        <v>312999</v>
      </c>
      <c r="AV15" s="37">
        <f t="shared" si="31"/>
        <v>1807</v>
      </c>
      <c r="AW15" s="37">
        <f>AV15*100*AV44</f>
        <v>684.02358700000002</v>
      </c>
      <c r="AX15" s="35">
        <f t="shared" si="14"/>
        <v>3.6139999999999999</v>
      </c>
    </row>
    <row r="16" spans="1:50" x14ac:dyDescent="0.25">
      <c r="A16" s="23">
        <v>44875</v>
      </c>
      <c r="B16" s="40">
        <v>138</v>
      </c>
      <c r="C16" s="52">
        <v>8596770</v>
      </c>
      <c r="D16" s="52">
        <v>20972790</v>
      </c>
      <c r="E16" s="52">
        <v>3762910</v>
      </c>
      <c r="F16" s="52">
        <v>4343880</v>
      </c>
      <c r="G16" s="52">
        <v>12801230</v>
      </c>
      <c r="H16" s="52">
        <v>7575520</v>
      </c>
      <c r="I16" s="52">
        <v>6566260</v>
      </c>
      <c r="J16" s="52">
        <v>8176460</v>
      </c>
      <c r="K16" s="52">
        <v>11884220</v>
      </c>
      <c r="L16" s="52">
        <v>5185120</v>
      </c>
      <c r="M16" s="52">
        <v>9501880</v>
      </c>
      <c r="N16" s="52">
        <v>15749330</v>
      </c>
      <c r="O16" s="52">
        <v>22030901</v>
      </c>
      <c r="Q16" s="37">
        <f t="shared" si="17"/>
        <v>4710</v>
      </c>
      <c r="R16" s="37">
        <f t="shared" si="18"/>
        <v>2630</v>
      </c>
      <c r="S16" s="37">
        <f t="shared" si="16"/>
        <v>3380</v>
      </c>
      <c r="T16" s="37">
        <f t="shared" si="19"/>
        <v>80</v>
      </c>
      <c r="U16" s="37">
        <f>IF((G16-G15&lt;0), "0",G16-G15)</f>
        <v>4790</v>
      </c>
      <c r="V16" s="37">
        <f>IF((H16-H15&lt;0), "0",H16-H15)</f>
        <v>3820</v>
      </c>
      <c r="W16" s="37">
        <f t="shared" si="22"/>
        <v>2890</v>
      </c>
      <c r="X16" s="37">
        <f t="shared" si="23"/>
        <v>4070</v>
      </c>
      <c r="Y16" s="37">
        <f t="shared" si="24"/>
        <v>5400</v>
      </c>
      <c r="Z16" s="37">
        <f t="shared" si="25"/>
        <v>2530</v>
      </c>
      <c r="AA16" s="37">
        <f t="shared" si="26"/>
        <v>2910</v>
      </c>
      <c r="AB16" s="37">
        <f t="shared" si="27"/>
        <v>7310</v>
      </c>
      <c r="AC16" s="37">
        <f t="shared" si="28"/>
        <v>10051</v>
      </c>
      <c r="AD16" s="35">
        <f t="shared" si="29"/>
        <v>54571</v>
      </c>
      <c r="AF16" s="20">
        <f t="shared" si="1"/>
        <v>23.55</v>
      </c>
      <c r="AG16" s="20">
        <f t="shared" si="2"/>
        <v>13.15</v>
      </c>
      <c r="AH16" s="20">
        <f t="shared" si="3"/>
        <v>16.899999999999999</v>
      </c>
      <c r="AI16" s="20">
        <f t="shared" si="4"/>
        <v>0.4</v>
      </c>
      <c r="AJ16" s="20">
        <f t="shared" si="5"/>
        <v>23.95</v>
      </c>
      <c r="AK16" s="20">
        <f t="shared" si="6"/>
        <v>19.100000000000001</v>
      </c>
      <c r="AL16" s="20">
        <f t="shared" si="7"/>
        <v>14.450000000000001</v>
      </c>
      <c r="AM16" s="20">
        <f t="shared" si="8"/>
        <v>20.350000000000001</v>
      </c>
      <c r="AN16" s="20">
        <f t="shared" si="9"/>
        <v>27</v>
      </c>
      <c r="AO16" s="20">
        <f t="shared" si="10"/>
        <v>12.65</v>
      </c>
      <c r="AP16" s="20">
        <f t="shared" si="11"/>
        <v>14.55</v>
      </c>
      <c r="AQ16" s="20">
        <f t="shared" si="12"/>
        <v>36.550000000000004</v>
      </c>
      <c r="AR16" s="20">
        <f t="shared" si="13"/>
        <v>50.255000000000003</v>
      </c>
      <c r="AS16" s="35">
        <f t="shared" si="30"/>
        <v>272.85500000000008</v>
      </c>
      <c r="AU16" s="55">
        <v>314491</v>
      </c>
      <c r="AV16" s="37">
        <f t="shared" si="31"/>
        <v>1492</v>
      </c>
      <c r="AW16" s="37">
        <f>AV16*100*AV44</f>
        <v>564.78317200000004</v>
      </c>
      <c r="AX16" s="35">
        <f t="shared" si="14"/>
        <v>2.984</v>
      </c>
    </row>
    <row r="17" spans="1:50" x14ac:dyDescent="0.25">
      <c r="A17" s="23">
        <v>44876</v>
      </c>
      <c r="B17" s="40">
        <v>184</v>
      </c>
      <c r="C17" s="51">
        <v>8606890</v>
      </c>
      <c r="D17" s="51">
        <v>20976910</v>
      </c>
      <c r="E17" s="51">
        <v>3766080</v>
      </c>
      <c r="F17" s="51">
        <v>4345550</v>
      </c>
      <c r="G17" s="51">
        <v>12806670</v>
      </c>
      <c r="H17" s="51">
        <v>7579550</v>
      </c>
      <c r="I17" s="51">
        <v>6569640</v>
      </c>
      <c r="J17" s="51">
        <v>8181010</v>
      </c>
      <c r="K17" s="51">
        <v>11889910</v>
      </c>
      <c r="L17" s="51">
        <v>5188020</v>
      </c>
      <c r="M17" s="51">
        <v>9505200</v>
      </c>
      <c r="N17" s="51">
        <v>15757150</v>
      </c>
      <c r="O17" s="51">
        <v>22041900</v>
      </c>
      <c r="Q17" s="37">
        <f t="shared" si="17"/>
        <v>10120</v>
      </c>
      <c r="R17" s="37">
        <f t="shared" si="18"/>
        <v>4120</v>
      </c>
      <c r="S17" s="37">
        <f t="shared" si="16"/>
        <v>3170</v>
      </c>
      <c r="T17" s="37">
        <f t="shared" si="19"/>
        <v>1670</v>
      </c>
      <c r="U17" s="37">
        <f>IF((G17-G16&lt;0), "0",G17-G16)</f>
        <v>5440</v>
      </c>
      <c r="V17" s="37">
        <f>IF((H17-H16&lt;0), "0",H17-H16)</f>
        <v>4030</v>
      </c>
      <c r="W17" s="37">
        <f t="shared" si="22"/>
        <v>3380</v>
      </c>
      <c r="X17" s="37">
        <f t="shared" si="23"/>
        <v>4550</v>
      </c>
      <c r="Y17" s="37">
        <f t="shared" si="24"/>
        <v>5690</v>
      </c>
      <c r="Z17" s="37">
        <f t="shared" si="25"/>
        <v>2900</v>
      </c>
      <c r="AA17" s="37">
        <f t="shared" si="26"/>
        <v>3320</v>
      </c>
      <c r="AB17" s="37">
        <f t="shared" si="27"/>
        <v>7820</v>
      </c>
      <c r="AC17" s="37">
        <f t="shared" si="28"/>
        <v>10999</v>
      </c>
      <c r="AD17" s="35">
        <f t="shared" si="29"/>
        <v>67209</v>
      </c>
      <c r="AF17" s="20">
        <f t="shared" si="1"/>
        <v>50.6</v>
      </c>
      <c r="AG17" s="20">
        <f t="shared" si="2"/>
        <v>20.6</v>
      </c>
      <c r="AH17" s="20">
        <f t="shared" si="3"/>
        <v>15.85</v>
      </c>
      <c r="AI17" s="20">
        <f t="shared" si="4"/>
        <v>8.35</v>
      </c>
      <c r="AJ17" s="20">
        <f t="shared" si="5"/>
        <v>27.2</v>
      </c>
      <c r="AK17" s="20">
        <f t="shared" si="6"/>
        <v>20.150000000000002</v>
      </c>
      <c r="AL17" s="20">
        <f t="shared" si="7"/>
        <v>16.899999999999999</v>
      </c>
      <c r="AM17" s="20">
        <f t="shared" si="8"/>
        <v>22.75</v>
      </c>
      <c r="AN17" s="20">
        <f t="shared" si="9"/>
        <v>28.45</v>
      </c>
      <c r="AO17" s="20">
        <f t="shared" si="10"/>
        <v>14.5</v>
      </c>
      <c r="AP17" s="20">
        <f t="shared" si="11"/>
        <v>16.600000000000001</v>
      </c>
      <c r="AQ17" s="20">
        <f t="shared" si="12"/>
        <v>39.1</v>
      </c>
      <c r="AR17" s="20">
        <f t="shared" si="13"/>
        <v>54.995000000000005</v>
      </c>
      <c r="AS17" s="35">
        <f t="shared" si="30"/>
        <v>336.04500000000002</v>
      </c>
      <c r="AU17" s="58">
        <v>316032</v>
      </c>
      <c r="AV17" s="37">
        <f t="shared" si="31"/>
        <v>1541</v>
      </c>
      <c r="AW17" s="37">
        <f>AV17*100*AV44</f>
        <v>583.331681</v>
      </c>
      <c r="AX17" s="35">
        <f t="shared" si="14"/>
        <v>3.0819999999999999</v>
      </c>
    </row>
    <row r="18" spans="1:50" x14ac:dyDescent="0.25">
      <c r="A18" s="23">
        <v>44877</v>
      </c>
      <c r="B18" s="40">
        <v>115</v>
      </c>
      <c r="C18" s="52">
        <v>8613760</v>
      </c>
      <c r="D18" s="52">
        <v>20980090</v>
      </c>
      <c r="E18" s="52">
        <v>3769130</v>
      </c>
      <c r="F18" s="52">
        <v>4347050</v>
      </c>
      <c r="G18" s="52">
        <v>12811820</v>
      </c>
      <c r="H18" s="52">
        <v>7583080</v>
      </c>
      <c r="I18" s="52">
        <v>6572640</v>
      </c>
      <c r="J18" s="52">
        <v>8185320</v>
      </c>
      <c r="K18" s="52">
        <v>11895310</v>
      </c>
      <c r="L18" s="52">
        <v>5190690</v>
      </c>
      <c r="M18" s="52">
        <v>9508270</v>
      </c>
      <c r="N18" s="52">
        <v>15764640</v>
      </c>
      <c r="O18" s="52">
        <v>22052250</v>
      </c>
      <c r="Q18" s="37">
        <f t="shared" si="17"/>
        <v>6870</v>
      </c>
      <c r="R18" s="37">
        <f t="shared" si="18"/>
        <v>3180</v>
      </c>
      <c r="S18" s="37">
        <f t="shared" si="16"/>
        <v>3050</v>
      </c>
      <c r="T18" s="37">
        <f t="shared" si="19"/>
        <v>1500</v>
      </c>
      <c r="U18" s="37">
        <f t="shared" si="20"/>
        <v>5150</v>
      </c>
      <c r="V18" s="37">
        <f t="shared" si="21"/>
        <v>3530</v>
      </c>
      <c r="W18" s="37">
        <f t="shared" si="22"/>
        <v>3000</v>
      </c>
      <c r="X18" s="37">
        <f t="shared" si="23"/>
        <v>4310</v>
      </c>
      <c r="Y18" s="37">
        <f t="shared" si="24"/>
        <v>5400</v>
      </c>
      <c r="Z18" s="37">
        <f t="shared" si="25"/>
        <v>2670</v>
      </c>
      <c r="AA18" s="37">
        <f t="shared" si="26"/>
        <v>3070</v>
      </c>
      <c r="AB18" s="37">
        <f t="shared" si="27"/>
        <v>7490</v>
      </c>
      <c r="AC18" s="37">
        <f t="shared" si="28"/>
        <v>10350</v>
      </c>
      <c r="AD18" s="35">
        <f t="shared" si="29"/>
        <v>59570</v>
      </c>
      <c r="AF18" s="20">
        <f t="shared" si="1"/>
        <v>34.35</v>
      </c>
      <c r="AG18" s="20">
        <f t="shared" si="2"/>
        <v>15.9</v>
      </c>
      <c r="AH18" s="20">
        <f t="shared" si="3"/>
        <v>15.25</v>
      </c>
      <c r="AI18" s="20">
        <f t="shared" si="4"/>
        <v>7.5</v>
      </c>
      <c r="AJ18" s="20">
        <f t="shared" si="5"/>
        <v>25.75</v>
      </c>
      <c r="AK18" s="20">
        <f t="shared" si="6"/>
        <v>17.650000000000002</v>
      </c>
      <c r="AL18" s="20">
        <f t="shared" si="7"/>
        <v>15</v>
      </c>
      <c r="AM18" s="20">
        <f t="shared" si="8"/>
        <v>21.55</v>
      </c>
      <c r="AN18" s="20">
        <f t="shared" si="9"/>
        <v>27</v>
      </c>
      <c r="AO18" s="20">
        <f t="shared" si="10"/>
        <v>13.35</v>
      </c>
      <c r="AP18" s="20">
        <f t="shared" si="11"/>
        <v>15.35</v>
      </c>
      <c r="AQ18" s="20">
        <f t="shared" si="12"/>
        <v>37.450000000000003</v>
      </c>
      <c r="AR18" s="20">
        <f t="shared" si="13"/>
        <v>51.75</v>
      </c>
      <c r="AS18" s="35">
        <f t="shared" si="30"/>
        <v>297.85000000000002</v>
      </c>
      <c r="AU18" s="55">
        <v>317680</v>
      </c>
      <c r="AV18" s="37">
        <f t="shared" si="31"/>
        <v>1648</v>
      </c>
      <c r="AW18" s="37">
        <f>AV18*100*AV44</f>
        <v>623.83556799999997</v>
      </c>
      <c r="AX18" s="35">
        <f t="shared" si="14"/>
        <v>3.2960000000000003</v>
      </c>
    </row>
    <row r="19" spans="1:50" x14ac:dyDescent="0.25">
      <c r="A19" s="23">
        <v>44878</v>
      </c>
      <c r="B19" s="40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Q19" s="37" t="str">
        <f t="shared" si="17"/>
        <v>0</v>
      </c>
      <c r="R19" s="37" t="str">
        <f t="shared" si="18"/>
        <v>0</v>
      </c>
      <c r="S19" s="37" t="str">
        <f t="shared" si="16"/>
        <v>0</v>
      </c>
      <c r="T19" s="37" t="str">
        <f t="shared" si="19"/>
        <v>0</v>
      </c>
      <c r="U19" s="37" t="str">
        <f t="shared" si="20"/>
        <v>0</v>
      </c>
      <c r="V19" s="37" t="str">
        <f t="shared" si="21"/>
        <v>0</v>
      </c>
      <c r="W19" s="37" t="str">
        <f t="shared" si="22"/>
        <v>0</v>
      </c>
      <c r="X19" s="37" t="str">
        <f t="shared" si="23"/>
        <v>0</v>
      </c>
      <c r="Y19" s="37" t="str">
        <f t="shared" si="24"/>
        <v>0</v>
      </c>
      <c r="Z19" s="37" t="str">
        <f t="shared" si="25"/>
        <v>0</v>
      </c>
      <c r="AA19" s="37" t="str">
        <f t="shared" si="26"/>
        <v>0</v>
      </c>
      <c r="AB19" s="37" t="str">
        <f t="shared" si="27"/>
        <v>0</v>
      </c>
      <c r="AC19" s="37" t="str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54"/>
      <c r="AV19" s="37" t="str">
        <f t="shared" si="31"/>
        <v>0</v>
      </c>
      <c r="AW19" s="37">
        <f>AV19*100*AV44</f>
        <v>0</v>
      </c>
      <c r="AX19" s="35">
        <f t="shared" si="14"/>
        <v>0</v>
      </c>
    </row>
    <row r="20" spans="1:50" x14ac:dyDescent="0.25">
      <c r="A20" s="23">
        <v>44879</v>
      </c>
      <c r="B20" s="40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55"/>
      <c r="AV20" s="37">
        <f t="shared" si="31"/>
        <v>0</v>
      </c>
      <c r="AW20" s="37">
        <f>AV20*100*AV44</f>
        <v>0</v>
      </c>
      <c r="AX20" s="35">
        <f t="shared" si="14"/>
        <v>0</v>
      </c>
    </row>
    <row r="21" spans="1:50" x14ac:dyDescent="0.25">
      <c r="A21" s="23">
        <v>44880</v>
      </c>
      <c r="B21" s="40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54"/>
      <c r="AV21" s="37">
        <f>IF((AU21-AU20&lt;0),"0",AU21-AU20)</f>
        <v>0</v>
      </c>
      <c r="AW21" s="37">
        <f>AV21*100*AV44</f>
        <v>0</v>
      </c>
      <c r="AX21" s="35">
        <f t="shared" si="14"/>
        <v>0</v>
      </c>
    </row>
    <row r="22" spans="1:50" x14ac:dyDescent="0.25">
      <c r="A22" s="23">
        <v>44881</v>
      </c>
      <c r="B22" s="40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55"/>
      <c r="AV22" s="37">
        <f>IF((AU22-AU21&lt;0),"0",AU22-AU21)</f>
        <v>0</v>
      </c>
      <c r="AW22" s="37">
        <f>AV22*100*AV44</f>
        <v>0</v>
      </c>
      <c r="AX22" s="35">
        <f t="shared" si="14"/>
        <v>0</v>
      </c>
    </row>
    <row r="23" spans="1:50" x14ac:dyDescent="0.25">
      <c r="A23" s="23">
        <v>44882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53"/>
      <c r="AV23" s="37">
        <f t="shared" si="31"/>
        <v>0</v>
      </c>
      <c r="AW23" s="37">
        <f>AV23*100*AV44</f>
        <v>0</v>
      </c>
      <c r="AX23" s="35">
        <f t="shared" si="14"/>
        <v>0</v>
      </c>
    </row>
    <row r="24" spans="1:50" x14ac:dyDescent="0.25">
      <c r="A24" s="23">
        <v>44883</v>
      </c>
      <c r="B24" s="40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55"/>
      <c r="AV24" s="37">
        <f t="shared" si="31"/>
        <v>0</v>
      </c>
      <c r="AW24" s="37">
        <f>AV24*100*AV44</f>
        <v>0</v>
      </c>
      <c r="AX24" s="35">
        <f t="shared" si="14"/>
        <v>0</v>
      </c>
    </row>
    <row r="25" spans="1:50" x14ac:dyDescent="0.25">
      <c r="A25" s="23">
        <v>44884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18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53"/>
      <c r="AV25" s="37">
        <f t="shared" si="31"/>
        <v>0</v>
      </c>
      <c r="AW25" s="37">
        <f>AV25*100*AV44</f>
        <v>0</v>
      </c>
      <c r="AX25" s="35">
        <f t="shared" si="14"/>
        <v>0</v>
      </c>
    </row>
    <row r="26" spans="1:50" x14ac:dyDescent="0.25">
      <c r="A26" s="23">
        <v>44885</v>
      </c>
      <c r="B26" s="40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Q26" s="37">
        <f t="shared" si="33"/>
        <v>0</v>
      </c>
      <c r="R26" s="37">
        <f t="shared" si="18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55"/>
      <c r="AV26" s="37">
        <f t="shared" si="31"/>
        <v>0</v>
      </c>
      <c r="AW26" s="37">
        <f>AV26*100*AV44</f>
        <v>0</v>
      </c>
      <c r="AX26" s="35">
        <f t="shared" si="14"/>
        <v>0</v>
      </c>
    </row>
    <row r="27" spans="1:50" x14ac:dyDescent="0.25">
      <c r="A27" s="23">
        <v>44886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18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53"/>
      <c r="AV27" s="37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44887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3"/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44888</v>
      </c>
      <c r="B29" s="40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60"/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44889</v>
      </c>
      <c r="B30" s="40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5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44890</v>
      </c>
      <c r="B31" s="40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8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44891</v>
      </c>
      <c r="B32" s="40"/>
      <c r="C32" s="24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5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44892</v>
      </c>
      <c r="B33" s="40"/>
      <c r="C33" s="24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4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44893</v>
      </c>
      <c r="B34" s="48"/>
      <c r="C34" s="47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5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44894</v>
      </c>
      <c r="B35" s="40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60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44895</v>
      </c>
      <c r="B36" s="40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57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53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59460</v>
      </c>
      <c r="R38" s="38">
        <f t="shared" ref="R38:AD38" si="60">SUM(R7:R37)</f>
        <v>32730</v>
      </c>
      <c r="S38" s="38">
        <f t="shared" si="60"/>
        <v>40470</v>
      </c>
      <c r="T38" s="38">
        <f t="shared" si="60"/>
        <v>18400</v>
      </c>
      <c r="U38" s="38">
        <f t="shared" si="60"/>
        <v>58330</v>
      </c>
      <c r="V38" s="38">
        <f t="shared" si="60"/>
        <v>46150</v>
      </c>
      <c r="W38" s="38">
        <f t="shared" si="60"/>
        <v>36170</v>
      </c>
      <c r="X38" s="38">
        <f t="shared" si="60"/>
        <v>50950</v>
      </c>
      <c r="Y38" s="38">
        <f t="shared" si="60"/>
        <v>64740</v>
      </c>
      <c r="Z38" s="38">
        <f t="shared" si="60"/>
        <v>30720</v>
      </c>
      <c r="AA38" s="38">
        <f t="shared" si="60"/>
        <v>34500</v>
      </c>
      <c r="AB38" s="38">
        <f t="shared" si="60"/>
        <v>91660</v>
      </c>
      <c r="AC38" s="38">
        <f t="shared" si="60"/>
        <v>129130</v>
      </c>
      <c r="AD38" s="38">
        <f t="shared" si="60"/>
        <v>693410</v>
      </c>
      <c r="AF38" s="35">
        <f>SUM(AF7:AF37)</f>
        <v>297.30000000000007</v>
      </c>
      <c r="AG38" s="35">
        <f t="shared" ref="AG38:AS38" si="61">SUM(AG7:AG37)</f>
        <v>163.65</v>
      </c>
      <c r="AH38" s="35">
        <f t="shared" si="61"/>
        <v>202.35</v>
      </c>
      <c r="AI38" s="35">
        <f t="shared" si="61"/>
        <v>92</v>
      </c>
      <c r="AJ38" s="35">
        <f t="shared" si="61"/>
        <v>291.64999999999998</v>
      </c>
      <c r="AK38" s="35">
        <f t="shared" si="61"/>
        <v>230.75</v>
      </c>
      <c r="AL38" s="35">
        <f t="shared" si="61"/>
        <v>180.85</v>
      </c>
      <c r="AM38" s="35">
        <f t="shared" si="61"/>
        <v>254.75</v>
      </c>
      <c r="AN38" s="35">
        <f t="shared" si="61"/>
        <v>323.7</v>
      </c>
      <c r="AO38" s="35">
        <f t="shared" si="61"/>
        <v>153.60000000000002</v>
      </c>
      <c r="AP38" s="35">
        <f t="shared" si="61"/>
        <v>172.5</v>
      </c>
      <c r="AQ38" s="35">
        <f t="shared" si="61"/>
        <v>458.3</v>
      </c>
      <c r="AR38" s="35">
        <f t="shared" si="61"/>
        <v>645.65000000000009</v>
      </c>
      <c r="AS38" s="35">
        <f t="shared" si="61"/>
        <v>3467.05</v>
      </c>
      <c r="AU38" s="46"/>
      <c r="AV38" s="34">
        <f>SUM(AV7:AV37)</f>
        <v>19270</v>
      </c>
      <c r="AW38" s="34">
        <f>SUM(AW7:AW37)</f>
        <v>7294.4850699999988</v>
      </c>
      <c r="AX38" s="35">
        <f>SUM(AX7:AX37)</f>
        <v>38.54</v>
      </c>
    </row>
    <row r="39" spans="1:50" x14ac:dyDescent="0.25">
      <c r="B39" s="39">
        <f>SUM(B7:B37)</f>
        <v>1376</v>
      </c>
      <c r="D39">
        <v>5.0000000000000001E-3</v>
      </c>
      <c r="AV39" s="36"/>
      <c r="AW39" s="50">
        <f>AW38/31</f>
        <v>235.30596999999997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2022-11-13T04:03:10Z</dcterms:modified>
</cp:coreProperties>
</file>