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 l="1"/>
  <c r="K29" i="2"/>
  <c r="K30" i="2"/>
  <c r="K31" i="2"/>
  <c r="K32" i="2"/>
  <c r="Y40" i="3" l="1"/>
  <c r="U39" i="3"/>
  <c r="P39" i="3"/>
  <c r="I32" i="2" s="1"/>
  <c r="N39" i="3"/>
  <c r="H39" i="3"/>
  <c r="G32" i="2" s="1"/>
  <c r="F39" i="3"/>
  <c r="F32" i="2" s="1"/>
  <c r="D39" i="3"/>
  <c r="V38" i="3"/>
  <c r="U38" i="3"/>
  <c r="P38" i="3"/>
  <c r="I31" i="2" s="1"/>
  <c r="N38" i="3"/>
  <c r="H31" i="2" s="1"/>
  <c r="H38" i="3"/>
  <c r="G31" i="2" s="1"/>
  <c r="F38" i="3"/>
  <c r="F31" i="2" s="1"/>
  <c r="D38" i="3"/>
  <c r="E31" i="2" s="1"/>
  <c r="U37" i="3"/>
  <c r="P37" i="3"/>
  <c r="I30" i="2" s="1"/>
  <c r="N37" i="3"/>
  <c r="H37" i="3"/>
  <c r="G30" i="2" s="1"/>
  <c r="F37" i="3"/>
  <c r="F30" i="2" s="1"/>
  <c r="D37" i="3"/>
  <c r="E30" i="2" s="1"/>
  <c r="U36" i="3"/>
  <c r="P36" i="3"/>
  <c r="I29" i="2" s="1"/>
  <c r="N36" i="3"/>
  <c r="H29" i="2" s="1"/>
  <c r="G29" i="1" s="1"/>
  <c r="H36" i="3"/>
  <c r="G29" i="2" s="1"/>
  <c r="F36" i="3"/>
  <c r="F29" i="2" s="1"/>
  <c r="D36" i="3"/>
  <c r="E29" i="2" s="1"/>
  <c r="E29" i="1" s="1"/>
  <c r="U35" i="3"/>
  <c r="P35" i="3"/>
  <c r="N35" i="3"/>
  <c r="H35" i="3"/>
  <c r="G28" i="2" s="1"/>
  <c r="F35" i="3"/>
  <c r="F28" i="2" s="1"/>
  <c r="D35" i="3"/>
  <c r="E28" i="2" s="1"/>
  <c r="U34" i="3"/>
  <c r="V34" i="3" s="1"/>
  <c r="P34" i="3"/>
  <c r="N34" i="3"/>
  <c r="H27" i="2" s="1"/>
  <c r="H34" i="3"/>
  <c r="G27" i="2" s="1"/>
  <c r="F34" i="3"/>
  <c r="F27" i="2" s="1"/>
  <c r="D34" i="3"/>
  <c r="E27" i="2" s="1"/>
  <c r="U33" i="3"/>
  <c r="P33" i="3"/>
  <c r="I26" i="2" s="1"/>
  <c r="N33" i="3"/>
  <c r="H33" i="3"/>
  <c r="G26" i="2" s="1"/>
  <c r="F33" i="3"/>
  <c r="F26" i="2" s="1"/>
  <c r="D33" i="3"/>
  <c r="E26" i="2" s="1"/>
  <c r="U32" i="3"/>
  <c r="V32" i="3" s="1"/>
  <c r="P32" i="3"/>
  <c r="I25" i="2" s="1"/>
  <c r="N32" i="3"/>
  <c r="H25" i="2" s="1"/>
  <c r="G25" i="1" s="1"/>
  <c r="H32" i="3"/>
  <c r="G25" i="2" s="1"/>
  <c r="F32" i="3"/>
  <c r="F25" i="2" s="1"/>
  <c r="D32" i="3"/>
  <c r="E25" i="2" s="1"/>
  <c r="V31" i="3"/>
  <c r="U31" i="3"/>
  <c r="P31" i="3"/>
  <c r="N31" i="3"/>
  <c r="H24" i="2" s="1"/>
  <c r="H31" i="3"/>
  <c r="G24" i="2" s="1"/>
  <c r="F31" i="3"/>
  <c r="F24" i="2" s="1"/>
  <c r="D31" i="3"/>
  <c r="E24" i="2" s="1"/>
  <c r="U30" i="3"/>
  <c r="P30" i="3"/>
  <c r="I23" i="2" s="1"/>
  <c r="N30" i="3"/>
  <c r="H30" i="3"/>
  <c r="G23" i="2" s="1"/>
  <c r="F30" i="3"/>
  <c r="F23" i="2" s="1"/>
  <c r="D30" i="3"/>
  <c r="E23" i="2" s="1"/>
  <c r="U29" i="3"/>
  <c r="V29" i="3" s="1"/>
  <c r="P29" i="3"/>
  <c r="I22" i="2" s="1"/>
  <c r="N29" i="3"/>
  <c r="H22" i="2" s="1"/>
  <c r="G22" i="1" s="1"/>
  <c r="H29" i="3"/>
  <c r="G22" i="2" s="1"/>
  <c r="F29" i="3"/>
  <c r="F22" i="2" s="1"/>
  <c r="D29" i="3"/>
  <c r="E22" i="2" s="1"/>
  <c r="U28" i="3"/>
  <c r="P28" i="3"/>
  <c r="I21" i="2" s="1"/>
  <c r="N28" i="3"/>
  <c r="H28" i="3"/>
  <c r="G21" i="2" s="1"/>
  <c r="F28" i="3"/>
  <c r="F21" i="2" s="1"/>
  <c r="D28" i="3"/>
  <c r="E21" i="2" s="1"/>
  <c r="U27" i="3"/>
  <c r="V27" i="3" s="1"/>
  <c r="P27" i="3"/>
  <c r="I20" i="2" s="1"/>
  <c r="N27" i="3"/>
  <c r="H20" i="2" s="1"/>
  <c r="G20" i="1" s="1"/>
  <c r="H27" i="3"/>
  <c r="G20" i="2" s="1"/>
  <c r="F27" i="3"/>
  <c r="F20" i="2" s="1"/>
  <c r="D27" i="3"/>
  <c r="E20" i="2" s="1"/>
  <c r="U26" i="3"/>
  <c r="P26" i="3"/>
  <c r="N26" i="3"/>
  <c r="H26" i="3"/>
  <c r="G19" i="2" s="1"/>
  <c r="F26" i="3"/>
  <c r="F19" i="2" s="1"/>
  <c r="D26" i="3"/>
  <c r="E19" i="2" s="1"/>
  <c r="U25" i="3"/>
  <c r="P25" i="3"/>
  <c r="I18" i="2" s="1"/>
  <c r="N25" i="3"/>
  <c r="H18" i="2" s="1"/>
  <c r="H25" i="3"/>
  <c r="G18" i="2" s="1"/>
  <c r="F25" i="3"/>
  <c r="F18" i="2" s="1"/>
  <c r="D25" i="3"/>
  <c r="E18" i="2" s="1"/>
  <c r="U24" i="3"/>
  <c r="P24" i="3"/>
  <c r="I17" i="2" s="1"/>
  <c r="N24" i="3"/>
  <c r="H17" i="2" s="1"/>
  <c r="H24" i="3"/>
  <c r="G17" i="2" s="1"/>
  <c r="F24" i="3"/>
  <c r="F17" i="2" s="1"/>
  <c r="D24" i="3"/>
  <c r="E17" i="2" s="1"/>
  <c r="U23" i="3"/>
  <c r="P23" i="3"/>
  <c r="N23" i="3"/>
  <c r="H16" i="2" s="1"/>
  <c r="H23" i="3"/>
  <c r="G16" i="2" s="1"/>
  <c r="F23" i="3"/>
  <c r="F16" i="2" s="1"/>
  <c r="D23" i="3"/>
  <c r="E16" i="2" s="1"/>
  <c r="U22" i="3"/>
  <c r="P22" i="3"/>
  <c r="I15" i="2" s="1"/>
  <c r="N22" i="3"/>
  <c r="H15" i="2" s="1"/>
  <c r="H22" i="3"/>
  <c r="G15" i="2" s="1"/>
  <c r="F22" i="3"/>
  <c r="F15" i="2" s="1"/>
  <c r="D22" i="3"/>
  <c r="E15" i="2" s="1"/>
  <c r="V21" i="3"/>
  <c r="U21" i="3"/>
  <c r="P21" i="3"/>
  <c r="I14" i="2" s="1"/>
  <c r="N21" i="3"/>
  <c r="H14" i="2" s="1"/>
  <c r="H21" i="3"/>
  <c r="G14" i="2" s="1"/>
  <c r="F21" i="3"/>
  <c r="F14" i="2" s="1"/>
  <c r="D21" i="3"/>
  <c r="E14" i="2" s="1"/>
  <c r="U20" i="3"/>
  <c r="P20" i="3"/>
  <c r="I13" i="2" s="1"/>
  <c r="N20" i="3"/>
  <c r="H13" i="2" s="1"/>
  <c r="H20" i="3"/>
  <c r="G13" i="2" s="1"/>
  <c r="F20" i="3"/>
  <c r="F13" i="2" s="1"/>
  <c r="D20" i="3"/>
  <c r="E13" i="2" s="1"/>
  <c r="U19" i="3"/>
  <c r="P19" i="3"/>
  <c r="I12" i="2" s="1"/>
  <c r="N19" i="3"/>
  <c r="H12" i="2" s="1"/>
  <c r="H19" i="3"/>
  <c r="G12" i="2" s="1"/>
  <c r="F19" i="3"/>
  <c r="F12" i="2" s="1"/>
  <c r="D19" i="3"/>
  <c r="E12" i="2" s="1"/>
  <c r="U18" i="3"/>
  <c r="P18" i="3"/>
  <c r="I11" i="2" s="1"/>
  <c r="N18" i="3"/>
  <c r="H11" i="2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P17" i="3"/>
  <c r="I10" i="2" s="1"/>
  <c r="N17" i="3"/>
  <c r="H10" i="2" s="1"/>
  <c r="H17" i="3"/>
  <c r="G10" i="2" s="1"/>
  <c r="F17" i="3"/>
  <c r="F10" i="2" s="1"/>
  <c r="D17" i="3"/>
  <c r="E10" i="2" s="1"/>
  <c r="U16" i="3"/>
  <c r="P16" i="3"/>
  <c r="I9" i="2" s="1"/>
  <c r="N16" i="3"/>
  <c r="H9" i="2" s="1"/>
  <c r="H16" i="3"/>
  <c r="G9" i="2" s="1"/>
  <c r="F16" i="3"/>
  <c r="F9" i="2" s="1"/>
  <c r="D16" i="3"/>
  <c r="E9" i="2" s="1"/>
  <c r="U15" i="3"/>
  <c r="P15" i="3"/>
  <c r="I8" i="2" s="1"/>
  <c r="N15" i="3"/>
  <c r="H8" i="2" s="1"/>
  <c r="H15" i="3"/>
  <c r="G8" i="2" s="1"/>
  <c r="F15" i="3"/>
  <c r="F8" i="2" s="1"/>
  <c r="D15" i="3"/>
  <c r="E8" i="2" s="1"/>
  <c r="U14" i="3"/>
  <c r="P14" i="3"/>
  <c r="I7" i="2" s="1"/>
  <c r="N14" i="3"/>
  <c r="H7" i="2" s="1"/>
  <c r="H14" i="3"/>
  <c r="G7" i="2" s="1"/>
  <c r="F14" i="3"/>
  <c r="F7" i="2" s="1"/>
  <c r="D14" i="3"/>
  <c r="E7" i="2" s="1"/>
  <c r="U13" i="3"/>
  <c r="P13" i="3"/>
  <c r="I6" i="2" s="1"/>
  <c r="N13" i="3"/>
  <c r="H6" i="2" s="1"/>
  <c r="H13" i="3"/>
  <c r="G6" i="2" s="1"/>
  <c r="F13" i="3"/>
  <c r="F6" i="2" s="1"/>
  <c r="D13" i="3"/>
  <c r="E6" i="2" s="1"/>
  <c r="U12" i="3"/>
  <c r="P12" i="3"/>
  <c r="I5" i="2" s="1"/>
  <c r="N12" i="3"/>
  <c r="H5" i="2" s="1"/>
  <c r="H12" i="3"/>
  <c r="G5" i="2" s="1"/>
  <c r="F12" i="3"/>
  <c r="F5" i="2" s="1"/>
  <c r="D12" i="3"/>
  <c r="E5" i="2" s="1"/>
  <c r="U11" i="3"/>
  <c r="P11" i="3"/>
  <c r="I4" i="2" s="1"/>
  <c r="N11" i="3"/>
  <c r="H4" i="2" s="1"/>
  <c r="H11" i="3"/>
  <c r="G4" i="2" s="1"/>
  <c r="F11" i="3"/>
  <c r="F4" i="2" s="1"/>
  <c r="D11" i="3"/>
  <c r="E4" i="2" s="1"/>
  <c r="U10" i="3"/>
  <c r="P10" i="3"/>
  <c r="I3" i="2" s="1"/>
  <c r="N10" i="3"/>
  <c r="H3" i="2" s="1"/>
  <c r="H10" i="3"/>
  <c r="G3" i="2" s="1"/>
  <c r="F10" i="3"/>
  <c r="F3" i="2" s="1"/>
  <c r="D10" i="3"/>
  <c r="B10" i="3"/>
  <c r="B11" i="3" s="1"/>
  <c r="B12" i="3" s="1"/>
  <c r="B13" i="3" s="1"/>
  <c r="B14" i="3" s="1"/>
  <c r="B15" i="3" s="1"/>
  <c r="B16" i="3" s="1"/>
  <c r="U9" i="3"/>
  <c r="P9" i="3"/>
  <c r="I2" i="2" s="1"/>
  <c r="N9" i="3"/>
  <c r="H2" i="2" s="1"/>
  <c r="H9" i="3"/>
  <c r="G2" i="2" s="1"/>
  <c r="F9" i="3"/>
  <c r="F2" i="2" s="1"/>
  <c r="D9" i="3"/>
  <c r="E2" i="2" s="1"/>
  <c r="U6" i="3"/>
  <c r="V6" i="3" s="1"/>
  <c r="P6" i="3"/>
  <c r="N6" i="3"/>
  <c r="Q6" i="3" s="1"/>
  <c r="R6" i="3" s="1"/>
  <c r="H6" i="3"/>
  <c r="B6" i="3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G11" i="1" l="1"/>
  <c r="E11" i="1"/>
  <c r="E13" i="1"/>
  <c r="G2" i="1"/>
  <c r="G3" i="1"/>
  <c r="G5" i="1"/>
  <c r="G7" i="1"/>
  <c r="G9" i="1"/>
  <c r="V11" i="3"/>
  <c r="I4" i="1"/>
  <c r="J4" i="2"/>
  <c r="V13" i="3"/>
  <c r="I6" i="1"/>
  <c r="J6" i="2"/>
  <c r="V17" i="3"/>
  <c r="I10" i="1"/>
  <c r="J10" i="2"/>
  <c r="V15" i="3"/>
  <c r="I8" i="1"/>
  <c r="J8" i="2"/>
  <c r="V10" i="3"/>
  <c r="I3" i="1"/>
  <c r="J3" i="2"/>
  <c r="V12" i="3"/>
  <c r="I5" i="1"/>
  <c r="J5" i="2"/>
  <c r="V14" i="3"/>
  <c r="I7" i="1"/>
  <c r="J7" i="2"/>
  <c r="V16" i="3"/>
  <c r="I9" i="1"/>
  <c r="J9" i="2"/>
  <c r="I2" i="1"/>
  <c r="J2" i="2"/>
  <c r="V18" i="3"/>
  <c r="I11" i="1"/>
  <c r="J11" i="2"/>
  <c r="G4" i="1"/>
  <c r="G6" i="1"/>
  <c r="G8" i="1"/>
  <c r="G10" i="1"/>
  <c r="G15" i="1"/>
  <c r="G17" i="1"/>
  <c r="G12" i="1"/>
  <c r="G14" i="1"/>
  <c r="R10" i="3"/>
  <c r="R14" i="3"/>
  <c r="Q16" i="3"/>
  <c r="R13" i="3"/>
  <c r="E21" i="1"/>
  <c r="E23" i="1"/>
  <c r="E30" i="1"/>
  <c r="E5" i="1"/>
  <c r="E7" i="1"/>
  <c r="E9" i="1"/>
  <c r="E16" i="1"/>
  <c r="E18" i="1"/>
  <c r="E27" i="1"/>
  <c r="E2" i="1"/>
  <c r="E4" i="1"/>
  <c r="E6" i="1"/>
  <c r="E8" i="1"/>
  <c r="E10" i="1"/>
  <c r="E19" i="1"/>
  <c r="I10" i="3"/>
  <c r="K10" i="3" s="1"/>
  <c r="E3" i="2"/>
  <c r="E3" i="1" s="1"/>
  <c r="I24" i="1"/>
  <c r="J24" i="2"/>
  <c r="J27" i="2"/>
  <c r="I27" i="1"/>
  <c r="V37" i="3"/>
  <c r="J30" i="2"/>
  <c r="I30" i="1"/>
  <c r="I25" i="1"/>
  <c r="J25" i="2"/>
  <c r="V35" i="3"/>
  <c r="I28" i="1"/>
  <c r="J28" i="2"/>
  <c r="I29" i="1"/>
  <c r="J29" i="2"/>
  <c r="V39" i="3"/>
  <c r="I32" i="1"/>
  <c r="J32" i="2"/>
  <c r="V30" i="3"/>
  <c r="J23" i="2"/>
  <c r="I23" i="1"/>
  <c r="V33" i="3"/>
  <c r="J26" i="2"/>
  <c r="I26" i="1"/>
  <c r="V36" i="3"/>
  <c r="J31" i="2"/>
  <c r="I31" i="1"/>
  <c r="R31" i="3"/>
  <c r="I24" i="2"/>
  <c r="Q34" i="3"/>
  <c r="I27" i="2"/>
  <c r="G27" i="1" s="1"/>
  <c r="G31" i="1"/>
  <c r="G24" i="1"/>
  <c r="R35" i="3"/>
  <c r="I28" i="2"/>
  <c r="Q39" i="3"/>
  <c r="H32" i="2"/>
  <c r="G32" i="1" s="1"/>
  <c r="Q30" i="3"/>
  <c r="Q33" i="3"/>
  <c r="H26" i="2"/>
  <c r="G26" i="1" s="1"/>
  <c r="R39" i="3"/>
  <c r="Q35" i="3"/>
  <c r="H28" i="2"/>
  <c r="G28" i="1" s="1"/>
  <c r="Q38" i="3"/>
  <c r="R30" i="3"/>
  <c r="H23" i="2"/>
  <c r="G23" i="1" s="1"/>
  <c r="R32" i="3"/>
  <c r="Q37" i="3"/>
  <c r="H30" i="2"/>
  <c r="G30" i="1" s="1"/>
  <c r="E25" i="1"/>
  <c r="E26" i="1"/>
  <c r="E31" i="1"/>
  <c r="I35" i="3"/>
  <c r="K35" i="3" s="1"/>
  <c r="I34" i="3"/>
  <c r="K34" i="3" s="1"/>
  <c r="E24" i="1"/>
  <c r="E28" i="1"/>
  <c r="I39" i="3"/>
  <c r="K39" i="3" s="1"/>
  <c r="X39" i="3" s="1"/>
  <c r="Z39" i="3" s="1"/>
  <c r="E32" i="2"/>
  <c r="E32" i="1" s="1"/>
  <c r="J16" i="2"/>
  <c r="I16" i="1"/>
  <c r="V26" i="3"/>
  <c r="I19" i="1"/>
  <c r="J19" i="2"/>
  <c r="V20" i="3"/>
  <c r="I13" i="1"/>
  <c r="J13" i="2"/>
  <c r="V23" i="3"/>
  <c r="I18" i="1"/>
  <c r="J18" i="2"/>
  <c r="V28" i="3"/>
  <c r="I21" i="1"/>
  <c r="J21" i="2"/>
  <c r="V22" i="3"/>
  <c r="I15" i="1"/>
  <c r="J15" i="2"/>
  <c r="V25" i="3"/>
  <c r="J20" i="2"/>
  <c r="I20" i="1"/>
  <c r="V19" i="3"/>
  <c r="J12" i="2"/>
  <c r="I12" i="1"/>
  <c r="I14" i="1"/>
  <c r="J14" i="2"/>
  <c r="V24" i="3"/>
  <c r="I17" i="1"/>
  <c r="J17" i="2"/>
  <c r="I22" i="1"/>
  <c r="J22" i="2"/>
  <c r="G16" i="1"/>
  <c r="G13" i="1"/>
  <c r="R23" i="3"/>
  <c r="I16" i="2"/>
  <c r="G18" i="1"/>
  <c r="Q26" i="3"/>
  <c r="I19" i="2"/>
  <c r="R27" i="3"/>
  <c r="R24" i="3"/>
  <c r="R26" i="3"/>
  <c r="H19" i="2"/>
  <c r="G19" i="1" s="1"/>
  <c r="R28" i="3"/>
  <c r="H21" i="2"/>
  <c r="G21" i="1" s="1"/>
  <c r="E22" i="1"/>
  <c r="E15" i="1"/>
  <c r="E20" i="1"/>
  <c r="E12" i="1"/>
  <c r="E14" i="1"/>
  <c r="E17" i="1"/>
  <c r="I27" i="3"/>
  <c r="K27" i="3" s="1"/>
  <c r="X27" i="3" s="1"/>
  <c r="Z27" i="3" s="1"/>
  <c r="Q10" i="3"/>
  <c r="Q12" i="3"/>
  <c r="Q14" i="3"/>
  <c r="R19" i="3"/>
  <c r="I11" i="3"/>
  <c r="K11" i="3" s="1"/>
  <c r="I15" i="3"/>
  <c r="K15" i="3" s="1"/>
  <c r="C40" i="3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X34" i="3"/>
  <c r="Z34" i="3" s="1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X24" i="3" s="1"/>
  <c r="Z24" i="3" s="1"/>
  <c r="I25" i="3"/>
  <c r="K25" i="3" s="1"/>
  <c r="I32" i="3"/>
  <c r="K32" i="3" s="1"/>
  <c r="X32" i="3" s="1"/>
  <c r="Z32" i="3" s="1"/>
  <c r="I33" i="3"/>
  <c r="K33" i="3" s="1"/>
  <c r="I22" i="3"/>
  <c r="K22" i="3" s="1"/>
  <c r="X22" i="3" s="1"/>
  <c r="Z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X36" i="3" s="1"/>
  <c r="Z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X6" i="3" s="1"/>
  <c r="Z6" i="3" s="1"/>
  <c r="J6" i="3"/>
  <c r="M40" i="3"/>
  <c r="Q9" i="3"/>
  <c r="Q17" i="3"/>
  <c r="I20" i="3"/>
  <c r="K20" i="3" s="1"/>
  <c r="Q23" i="3"/>
  <c r="X15" i="3" l="1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I40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<sst xmlns="http://schemas.openxmlformats.org/spreadsheetml/2006/main" count="310" uniqueCount="123">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</sst>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6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25" fillId="11" borderId="0" xfId="0" applyFont="1" applyFill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  <xf numFmtId="3" fontId="28" fillId="0" borderId="32" xfId="0" applyNumberFormat="1" applyFont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C3" sqref="C3:C32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7</v>
      </c>
      <c r="D2" s="7">
        <v>2020</v>
      </c>
      <c r="E2" s="9">
        <f>submetering!E2+submetering!F2+submetering!G2</f>
        <v>9707</v>
      </c>
      <c r="F2" s="7">
        <v>0.251</v>
      </c>
      <c r="G2" s="9">
        <f>submetering!H2+submetering!I2</f>
        <v>607</v>
      </c>
      <c r="H2" s="7">
        <v>0.57181599999999999</v>
      </c>
      <c r="I2" s="9">
        <f>HOTEL!U9</f>
        <v>288</v>
      </c>
      <c r="J2" s="7">
        <v>2.855</v>
      </c>
      <c r="K2" s="7">
        <f>HOTEL!Y9</f>
        <v>9</v>
      </c>
    </row>
    <row r="3" spans="1:11" s="12" customFormat="1" x14ac:dyDescent="0.25">
      <c r="A3" s="7" t="s">
        <v>11</v>
      </c>
      <c r="B3" s="11">
        <f>B2+1</f>
        <v>2</v>
      </c>
      <c r="C3" s="8">
        <v>7</v>
      </c>
      <c r="D3" s="7">
        <v>2020</v>
      </c>
      <c r="E3" s="9">
        <f>submetering!E3+submetering!F3+submetering!G3</f>
        <v>11096</v>
      </c>
      <c r="F3" s="7">
        <v>0.251</v>
      </c>
      <c r="G3" s="9">
        <f>submetering!H3+submetering!I3</f>
        <v>644</v>
      </c>
      <c r="H3" s="7">
        <v>0.57181599999999999</v>
      </c>
      <c r="I3" s="9">
        <f>HOTEL!U10</f>
        <v>43</v>
      </c>
      <c r="J3" s="7">
        <v>2.855</v>
      </c>
      <c r="K3" s="7">
        <f>HOTEL!Y10</f>
        <v>10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7</v>
      </c>
      <c r="D4" s="7">
        <v>2020</v>
      </c>
      <c r="E4" s="9">
        <f>submetering!E4+submetering!F4+submetering!G4</f>
        <v>11499</v>
      </c>
      <c r="F4" s="7">
        <v>0.251</v>
      </c>
      <c r="G4" s="9">
        <f>submetering!H4+submetering!I4</f>
        <v>656</v>
      </c>
      <c r="H4" s="7">
        <v>0.57181599999999999</v>
      </c>
      <c r="I4" s="9">
        <f>HOTEL!U11</f>
        <v>92</v>
      </c>
      <c r="J4" s="7">
        <v>2.855</v>
      </c>
      <c r="K4" s="7">
        <f>HOTEL!Y11</f>
        <v>18</v>
      </c>
    </row>
    <row r="5" spans="1:11" s="12" customFormat="1" x14ac:dyDescent="0.25">
      <c r="A5" s="7" t="s">
        <v>11</v>
      </c>
      <c r="B5" s="11">
        <f t="shared" si="0"/>
        <v>4</v>
      </c>
      <c r="C5" s="8">
        <v>7</v>
      </c>
      <c r="D5" s="7">
        <v>2020</v>
      </c>
      <c r="E5" s="9">
        <f>submetering!E5+submetering!F5+submetering!G5</f>
        <v>11570</v>
      </c>
      <c r="F5" s="7">
        <v>0.251</v>
      </c>
      <c r="G5" s="9">
        <f>submetering!H5+submetering!I5</f>
        <v>909</v>
      </c>
      <c r="H5" s="7">
        <v>0.57181599999999999</v>
      </c>
      <c r="I5" s="9">
        <f>HOTEL!U12</f>
        <v>376</v>
      </c>
      <c r="J5" s="7">
        <v>2.855</v>
      </c>
      <c r="K5" s="7">
        <f>HOTEL!Y12</f>
        <v>19</v>
      </c>
    </row>
    <row r="6" spans="1:11" s="12" customFormat="1" x14ac:dyDescent="0.25">
      <c r="A6" s="7" t="s">
        <v>11</v>
      </c>
      <c r="B6" s="11">
        <f t="shared" si="0"/>
        <v>5</v>
      </c>
      <c r="C6" s="8">
        <v>7</v>
      </c>
      <c r="D6" s="7">
        <v>2020</v>
      </c>
      <c r="E6" s="9">
        <f>submetering!E6+submetering!F6+submetering!G6</f>
        <v>9869</v>
      </c>
      <c r="F6" s="7">
        <v>0.251</v>
      </c>
      <c r="G6" s="9">
        <f>submetering!H6+submetering!I6</f>
        <v>718</v>
      </c>
      <c r="H6" s="7">
        <v>0.57181599999999999</v>
      </c>
      <c r="I6" s="9">
        <f>HOTEL!U13</f>
        <v>200</v>
      </c>
      <c r="J6" s="7">
        <v>2.855</v>
      </c>
      <c r="K6" s="7">
        <f>HOTEL!Y13</f>
        <v>21</v>
      </c>
    </row>
    <row r="7" spans="1:11" s="12" customFormat="1" x14ac:dyDescent="0.25">
      <c r="A7" s="7" t="s">
        <v>11</v>
      </c>
      <c r="B7" s="11">
        <f t="shared" si="0"/>
        <v>6</v>
      </c>
      <c r="C7" s="8">
        <v>7</v>
      </c>
      <c r="D7" s="7">
        <v>2020</v>
      </c>
      <c r="E7" s="9">
        <f>submetering!E7+submetering!F7+submetering!G7</f>
        <v>10455</v>
      </c>
      <c r="F7" s="7">
        <v>0.251</v>
      </c>
      <c r="G7" s="9">
        <f>submetering!H7+submetering!I7</f>
        <v>826</v>
      </c>
      <c r="H7" s="7">
        <v>0.57181599999999999</v>
      </c>
      <c r="I7" s="9">
        <f>HOTEL!U14</f>
        <v>348</v>
      </c>
      <c r="J7" s="7">
        <v>2.855</v>
      </c>
      <c r="K7" s="7">
        <f>HOTEL!Y14</f>
        <v>19</v>
      </c>
    </row>
    <row r="8" spans="1:11" s="12" customFormat="1" x14ac:dyDescent="0.25">
      <c r="A8" s="7" t="s">
        <v>11</v>
      </c>
      <c r="B8" s="11">
        <f t="shared" si="0"/>
        <v>7</v>
      </c>
      <c r="C8" s="8">
        <v>7</v>
      </c>
      <c r="D8" s="7">
        <v>2020</v>
      </c>
      <c r="E8" s="9">
        <f>submetering!E8+submetering!F8+submetering!G8</f>
        <v>10538</v>
      </c>
      <c r="F8" s="7">
        <v>0.251</v>
      </c>
      <c r="G8" s="9">
        <f>submetering!H8+submetering!I8</f>
        <v>776</v>
      </c>
      <c r="H8" s="7">
        <v>0.57181599999999999</v>
      </c>
      <c r="I8" s="9">
        <f>HOTEL!U15</f>
        <v>426</v>
      </c>
      <c r="J8" s="7">
        <v>2.855</v>
      </c>
      <c r="K8" s="7">
        <f>HOTEL!Y15</f>
        <v>28</v>
      </c>
    </row>
    <row r="9" spans="1:11" s="12" customFormat="1" x14ac:dyDescent="0.25">
      <c r="A9" s="7" t="s">
        <v>11</v>
      </c>
      <c r="B9" s="11">
        <f t="shared" si="0"/>
        <v>8</v>
      </c>
      <c r="C9" s="8">
        <v>7</v>
      </c>
      <c r="D9" s="7">
        <v>2020</v>
      </c>
      <c r="E9" s="9">
        <f>submetering!E9+submetering!F9+submetering!G9</f>
        <v>10702</v>
      </c>
      <c r="F9" s="7">
        <v>0.251</v>
      </c>
      <c r="G9" s="9">
        <f>submetering!H9+submetering!I9</f>
        <v>597</v>
      </c>
      <c r="H9" s="7">
        <v>0.57181599999999999</v>
      </c>
      <c r="I9" s="9">
        <f>HOTEL!U16</f>
        <v>241</v>
      </c>
      <c r="J9" s="7">
        <v>2.855</v>
      </c>
      <c r="K9" s="7">
        <f>HOTEL!Y16</f>
        <v>28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7</v>
      </c>
      <c r="D10" s="7">
        <v>2020</v>
      </c>
      <c r="E10" s="9">
        <f>submetering!E10+submetering!F10+submetering!G10</f>
        <v>9306</v>
      </c>
      <c r="F10" s="7">
        <v>0.251</v>
      </c>
      <c r="G10" s="9">
        <f>submetering!H10+submetering!I10</f>
        <v>583</v>
      </c>
      <c r="H10" s="7">
        <v>0.57181599999999999</v>
      </c>
      <c r="I10" s="9">
        <f>HOTEL!U17</f>
        <v>463</v>
      </c>
      <c r="J10" s="7">
        <v>2.855</v>
      </c>
      <c r="K10" s="7">
        <f>HOTEL!Y17</f>
        <v>25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7</v>
      </c>
      <c r="D11" s="7">
        <v>2020</v>
      </c>
      <c r="E11" s="9">
        <f>submetering!E11+submetering!F11+submetering!G11</f>
        <v>10604</v>
      </c>
      <c r="F11" s="7">
        <v>0.251</v>
      </c>
      <c r="G11" s="9">
        <f>submetering!H11+submetering!I11</f>
        <v>845</v>
      </c>
      <c r="H11" s="7">
        <v>0.57181599999999999</v>
      </c>
      <c r="I11" s="9">
        <f>HOTEL!U18</f>
        <v>197</v>
      </c>
      <c r="J11" s="7">
        <v>2.855</v>
      </c>
      <c r="K11" s="7">
        <f>HOTEL!Y18</f>
        <v>28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7</v>
      </c>
      <c r="D12" s="7">
        <v>2020</v>
      </c>
      <c r="E12" s="9">
        <f>submetering!E12+submetering!F12+submetering!G12</f>
        <v>11445</v>
      </c>
      <c r="F12" s="7">
        <v>0.251</v>
      </c>
      <c r="G12" s="9">
        <f>submetering!H12+submetering!I12</f>
        <v>806</v>
      </c>
      <c r="H12" s="7">
        <v>0.57181599999999999</v>
      </c>
      <c r="I12" s="9">
        <f>HOTEL!U19</f>
        <v>349</v>
      </c>
      <c r="J12" s="7">
        <v>2.855</v>
      </c>
      <c r="K12" s="7">
        <f>HOTEL!Y19</f>
        <v>27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7</v>
      </c>
      <c r="D13" s="7">
        <v>2020</v>
      </c>
      <c r="E13" s="9">
        <f>submetering!E13+submetering!F13+submetering!G13</f>
        <v>11376</v>
      </c>
      <c r="F13" s="7">
        <v>0.251</v>
      </c>
      <c r="G13" s="9">
        <f>submetering!H13+submetering!I13</f>
        <v>839</v>
      </c>
      <c r="H13" s="7">
        <v>0.57181599999999999</v>
      </c>
      <c r="I13" s="9">
        <f>HOTEL!U20</f>
        <v>203</v>
      </c>
      <c r="J13" s="7">
        <v>2.855</v>
      </c>
      <c r="K13" s="7">
        <f>HOTEL!Y20</f>
        <v>43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7</v>
      </c>
      <c r="D14" s="7">
        <v>2020</v>
      </c>
      <c r="E14" s="9">
        <f>submetering!E14+submetering!F14+submetering!G14</f>
        <v>0</v>
      </c>
      <c r="F14" s="7">
        <v>0.251</v>
      </c>
      <c r="G14" s="9">
        <f>submetering!H14+submetering!I14</f>
        <v>0</v>
      </c>
      <c r="H14" s="7">
        <v>0.57181599999999999</v>
      </c>
      <c r="I14" s="9" t="str">
        <f>HOTEL!U21</f>
        <v>0</v>
      </c>
      <c r="J14" s="7">
        <v>2.855</v>
      </c>
      <c r="K14" s="7">
        <f>HOTEL!Y21</f>
        <v>0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7</v>
      </c>
      <c r="D15" s="7">
        <v>2020</v>
      </c>
      <c r="E15" s="9">
        <f>submetering!E15+submetering!F15+submetering!G15</f>
        <v>0</v>
      </c>
      <c r="F15" s="7">
        <v>0.251</v>
      </c>
      <c r="G15" s="9">
        <f>submetering!H15+submetering!I15</f>
        <v>0</v>
      </c>
      <c r="H15" s="7">
        <v>0.57181599999999999</v>
      </c>
      <c r="I15" s="9">
        <f>HOTEL!U22</f>
        <v>0</v>
      </c>
      <c r="J15" s="7">
        <v>2.855</v>
      </c>
      <c r="K15" s="7">
        <f>HOTEL!Y22</f>
        <v>0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7</v>
      </c>
      <c r="D16" s="7">
        <v>2020</v>
      </c>
      <c r="E16" s="9">
        <f>submetering!E16+submetering!F16+submetering!G16</f>
        <v>0</v>
      </c>
      <c r="F16" s="7">
        <v>0.251</v>
      </c>
      <c r="G16" s="9">
        <f>submetering!H16+submetering!I16</f>
        <v>0</v>
      </c>
      <c r="H16" s="7">
        <v>0.57181599999999999</v>
      </c>
      <c r="I16" s="9">
        <f>HOTEL!U23</f>
        <v>0</v>
      </c>
      <c r="J16" s="7">
        <v>2.855</v>
      </c>
      <c r="K16" s="7">
        <f>HOTEL!Y23</f>
        <v>0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7</v>
      </c>
      <c r="D17" s="7">
        <v>2020</v>
      </c>
      <c r="E17" s="9">
        <f>submetering!E17+submetering!F17+submetering!G17</f>
        <v>0</v>
      </c>
      <c r="F17" s="7">
        <v>0.251</v>
      </c>
      <c r="G17" s="9">
        <f>submetering!H17+submetering!I17</f>
        <v>0</v>
      </c>
      <c r="H17" s="7">
        <v>0.57181599999999999</v>
      </c>
      <c r="I17" s="9">
        <f>HOTEL!U24</f>
        <v>0</v>
      </c>
      <c r="J17" s="7">
        <v>2.855</v>
      </c>
      <c r="K17" s="7">
        <f>HOTEL!Y24</f>
        <v>0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7</v>
      </c>
      <c r="D18" s="7">
        <v>2020</v>
      </c>
      <c r="E18" s="9">
        <f>submetering!E18+submetering!F18+submetering!G18</f>
        <v>0</v>
      </c>
      <c r="F18" s="7">
        <v>0.251</v>
      </c>
      <c r="G18" s="9">
        <f>submetering!H18+submetering!I18</f>
        <v>0</v>
      </c>
      <c r="H18" s="7">
        <v>0.57181599999999999</v>
      </c>
      <c r="I18" s="9">
        <f>HOTEL!U25</f>
        <v>0</v>
      </c>
      <c r="J18" s="7">
        <v>2.855</v>
      </c>
      <c r="K18" s="7">
        <f>HOTEL!Y25</f>
        <v>0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7</v>
      </c>
      <c r="D19" s="7">
        <v>2020</v>
      </c>
      <c r="E19" s="9">
        <f>submetering!E19+submetering!F19+submetering!G19</f>
        <v>0</v>
      </c>
      <c r="F19" s="7">
        <v>0.251</v>
      </c>
      <c r="G19" s="9">
        <f>submetering!H19+submetering!I19</f>
        <v>0</v>
      </c>
      <c r="H19" s="7">
        <v>0.57181599999999999</v>
      </c>
      <c r="I19" s="9">
        <f>HOTEL!U26</f>
        <v>0</v>
      </c>
      <c r="J19" s="7">
        <v>2.855</v>
      </c>
      <c r="K19" s="7">
        <f>HOTEL!Y26</f>
        <v>0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7</v>
      </c>
      <c r="D20" s="7">
        <v>2020</v>
      </c>
      <c r="E20" s="9">
        <f>submetering!E20+submetering!F20+submetering!G20</f>
        <v>0</v>
      </c>
      <c r="F20" s="7">
        <v>0.251</v>
      </c>
      <c r="G20" s="9">
        <f>submetering!H20+submetering!I20</f>
        <v>0</v>
      </c>
      <c r="H20" s="7">
        <v>0.57181599999999999</v>
      </c>
      <c r="I20" s="9">
        <f>HOTEL!U27</f>
        <v>0</v>
      </c>
      <c r="J20" s="7">
        <v>2.855</v>
      </c>
      <c r="K20" s="7">
        <f>HOTEL!Y27</f>
        <v>0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7</v>
      </c>
      <c r="D21" s="7">
        <v>2020</v>
      </c>
      <c r="E21" s="9">
        <f>submetering!E21+submetering!F21+submetering!G21</f>
        <v>0</v>
      </c>
      <c r="F21" s="7">
        <v>0.251</v>
      </c>
      <c r="G21" s="9">
        <f>submetering!H21+submetering!I21</f>
        <v>0</v>
      </c>
      <c r="H21" s="7">
        <v>0.57181599999999999</v>
      </c>
      <c r="I21" s="9">
        <f>HOTEL!U28</f>
        <v>0</v>
      </c>
      <c r="J21" s="7">
        <v>2.855</v>
      </c>
      <c r="K21" s="7">
        <f>HOTEL!Y28</f>
        <v>0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7</v>
      </c>
      <c r="D22" s="7">
        <v>2020</v>
      </c>
      <c r="E22" s="9">
        <f>submetering!E22+submetering!F22+submetering!G22</f>
        <v>0</v>
      </c>
      <c r="F22" s="7">
        <v>0.251</v>
      </c>
      <c r="G22" s="9">
        <f>submetering!H22+submetering!I22</f>
        <v>0</v>
      </c>
      <c r="H22" s="7">
        <v>0.57181599999999999</v>
      </c>
      <c r="I22" s="9">
        <f>HOTEL!U29</f>
        <v>0</v>
      </c>
      <c r="J22" s="7">
        <v>2.855</v>
      </c>
      <c r="K22" s="7">
        <f>HOTEL!Y29</f>
        <v>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7</v>
      </c>
      <c r="D23" s="7">
        <v>2020</v>
      </c>
      <c r="E23" s="9">
        <f>submetering!E23+submetering!F23+submetering!G23</f>
        <v>0</v>
      </c>
      <c r="F23" s="7">
        <v>0.251</v>
      </c>
      <c r="G23" s="9">
        <f>submetering!H23+submetering!I23</f>
        <v>0</v>
      </c>
      <c r="H23" s="7">
        <v>0.57181599999999999</v>
      </c>
      <c r="I23" s="9">
        <f>HOTEL!U30</f>
        <v>0</v>
      </c>
      <c r="J23" s="7">
        <v>2.855</v>
      </c>
      <c r="K23" s="7">
        <f>HOTEL!Y30</f>
        <v>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7</v>
      </c>
      <c r="D24" s="7">
        <v>2020</v>
      </c>
      <c r="E24" s="9">
        <f>submetering!E24+submetering!F24+submetering!G24</f>
        <v>0</v>
      </c>
      <c r="F24" s="7">
        <v>0.251</v>
      </c>
      <c r="G24" s="9">
        <f>submetering!H24+submetering!I24</f>
        <v>0</v>
      </c>
      <c r="H24" s="7">
        <v>0.57181599999999999</v>
      </c>
      <c r="I24" s="9">
        <f>HOTEL!U31</f>
        <v>0</v>
      </c>
      <c r="J24" s="7">
        <v>2.855</v>
      </c>
      <c r="K24" s="7">
        <f>HOTEL!Y31</f>
        <v>0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7</v>
      </c>
      <c r="D25" s="7">
        <v>2020</v>
      </c>
      <c r="E25" s="9">
        <f>submetering!E25+submetering!F25+submetering!G25</f>
        <v>0</v>
      </c>
      <c r="F25" s="7">
        <v>0.251</v>
      </c>
      <c r="G25" s="9">
        <f>submetering!H25+submetering!I25</f>
        <v>0</v>
      </c>
      <c r="H25" s="7">
        <v>0.57181599999999999</v>
      </c>
      <c r="I25" s="9">
        <f>HOTEL!U32</f>
        <v>0</v>
      </c>
      <c r="J25" s="7">
        <v>2.855</v>
      </c>
      <c r="K25" s="7">
        <f>HOTEL!Y32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7</v>
      </c>
      <c r="D26" s="7">
        <v>2020</v>
      </c>
      <c r="E26" s="9">
        <f>submetering!E26+submetering!F26+submetering!G26</f>
        <v>0</v>
      </c>
      <c r="F26" s="7">
        <v>0.251</v>
      </c>
      <c r="G26" s="9">
        <f>submetering!H26+submetering!I26</f>
        <v>0</v>
      </c>
      <c r="H26" s="7">
        <v>0.57181599999999999</v>
      </c>
      <c r="I26" s="9">
        <f>HOTEL!U33</f>
        <v>0</v>
      </c>
      <c r="J26" s="7">
        <v>2.855</v>
      </c>
      <c r="K26" s="7">
        <f>HOTEL!Y33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7</v>
      </c>
      <c r="D27" s="7">
        <v>2020</v>
      </c>
      <c r="E27" s="9">
        <f>submetering!E27+submetering!F27+submetering!G27</f>
        <v>0</v>
      </c>
      <c r="F27" s="7">
        <v>0.251</v>
      </c>
      <c r="G27" s="9">
        <f>submetering!H27+submetering!I27</f>
        <v>0</v>
      </c>
      <c r="H27" s="7">
        <v>0.57181599999999999</v>
      </c>
      <c r="I27" s="9">
        <f>HOTEL!U34</f>
        <v>0</v>
      </c>
      <c r="J27" s="7">
        <v>2.855</v>
      </c>
      <c r="K27" s="7">
        <f>HOTEL!Y34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7</v>
      </c>
      <c r="D28" s="7">
        <v>2020</v>
      </c>
      <c r="E28" s="9">
        <f>submetering!E28+submetering!F28+submetering!G28</f>
        <v>0</v>
      </c>
      <c r="F28" s="7">
        <v>0.251</v>
      </c>
      <c r="G28" s="9">
        <f>submetering!H28+submetering!I28</f>
        <v>0</v>
      </c>
      <c r="H28" s="7">
        <v>0.57181599999999999</v>
      </c>
      <c r="I28" s="9">
        <f>HOTEL!U35</f>
        <v>0</v>
      </c>
      <c r="J28" s="7">
        <v>2.855</v>
      </c>
      <c r="K28" s="7">
        <f>HOTEL!Y35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7</v>
      </c>
      <c r="D29" s="7">
        <v>2020</v>
      </c>
      <c r="E29" s="9">
        <f>submetering!E29+submetering!F29+submetering!G29</f>
        <v>0</v>
      </c>
      <c r="F29" s="7">
        <v>0.251</v>
      </c>
      <c r="G29" s="9">
        <f>submetering!H29+submetering!I29</f>
        <v>0</v>
      </c>
      <c r="H29" s="7">
        <v>0.57181599999999999</v>
      </c>
      <c r="I29" s="9">
        <f>HOTEL!U36</f>
        <v>0</v>
      </c>
      <c r="J29" s="7">
        <v>2.855</v>
      </c>
      <c r="K29" s="7">
        <f>HOTEL!Y36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7</v>
      </c>
      <c r="D30" s="7">
        <v>2020</v>
      </c>
      <c r="E30" s="9">
        <f>submetering!E30+submetering!F30+submetering!G30</f>
        <v>0</v>
      </c>
      <c r="F30" s="7">
        <v>0.251</v>
      </c>
      <c r="G30" s="9">
        <f>submetering!H30+submetering!I30</f>
        <v>0</v>
      </c>
      <c r="H30" s="7">
        <v>0.57181599999999999</v>
      </c>
      <c r="I30" s="9">
        <f>HOTEL!U37</f>
        <v>0</v>
      </c>
      <c r="J30" s="7">
        <v>2.855</v>
      </c>
      <c r="K30" s="7">
        <f>HOTEL!Y37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7</v>
      </c>
      <c r="D31" s="7">
        <v>2020</v>
      </c>
      <c r="E31" s="9">
        <f>submetering!E31+submetering!F31+submetering!G31</f>
        <v>0</v>
      </c>
      <c r="F31" s="7">
        <v>0.251</v>
      </c>
      <c r="G31" s="9">
        <f>submetering!H31+submetering!I31</f>
        <v>0</v>
      </c>
      <c r="H31" s="7">
        <v>0.57181599999999999</v>
      </c>
      <c r="I31" s="9">
        <f>HOTEL!U38</f>
        <v>0</v>
      </c>
      <c r="J31" s="7">
        <v>2.855</v>
      </c>
      <c r="K31" s="7">
        <f>HOTEL!Y38</f>
        <v>0</v>
      </c>
    </row>
    <row r="32" spans="1:11" s="10" customFormat="1" x14ac:dyDescent="0.25">
      <c r="A32" s="7" t="s">
        <v>11</v>
      </c>
      <c r="B32" s="11">
        <f t="shared" si="0"/>
        <v>31</v>
      </c>
      <c r="C32" s="8">
        <v>7</v>
      </c>
      <c r="D32" s="7">
        <v>2020</v>
      </c>
      <c r="E32" s="9">
        <f>submetering!E32+submetering!F32+submetering!G32</f>
        <v>0</v>
      </c>
      <c r="F32" s="7">
        <v>0.251</v>
      </c>
      <c r="G32" s="9">
        <f>submetering!H32+submetering!I32</f>
        <v>0</v>
      </c>
      <c r="H32" s="7">
        <v>0.57181599999999999</v>
      </c>
      <c r="I32" s="9">
        <f>HOTEL!U39</f>
        <v>0</v>
      </c>
      <c r="J32" s="7">
        <v>2.855</v>
      </c>
      <c r="K32" s="7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9"/>
  <sheetViews>
    <sheetView workbookViewId="0">
      <selection activeCell="M14" sqref="M14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7</v>
      </c>
      <c r="D2" s="13">
        <v>2020</v>
      </c>
      <c r="E2" s="16">
        <f>HOTEL!D9</f>
        <v>3332</v>
      </c>
      <c r="F2" s="16">
        <f>HOTEL!F9</f>
        <v>3295</v>
      </c>
      <c r="G2" s="16">
        <f>HOTEL!H9</f>
        <v>3080</v>
      </c>
      <c r="H2" s="16">
        <f>HOTEL!N9</f>
        <v>93</v>
      </c>
      <c r="I2" s="16">
        <f>HOTEL!P9</f>
        <v>514</v>
      </c>
      <c r="J2" s="16">
        <f>HOTEL!U9</f>
        <v>288</v>
      </c>
      <c r="K2" s="16">
        <f>HOTEL!Y9</f>
        <v>9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7</v>
      </c>
      <c r="D3" s="13">
        <v>2020</v>
      </c>
      <c r="E3" s="16">
        <f>HOTEL!D10</f>
        <v>3807</v>
      </c>
      <c r="F3" s="16">
        <f>HOTEL!F10</f>
        <v>3750</v>
      </c>
      <c r="G3" s="16">
        <f>HOTEL!H10</f>
        <v>3539</v>
      </c>
      <c r="H3" s="16">
        <f>HOTEL!N10</f>
        <v>105</v>
      </c>
      <c r="I3" s="16">
        <f>HOTEL!P10</f>
        <v>539</v>
      </c>
      <c r="J3" s="16">
        <f>HOTEL!U10</f>
        <v>43</v>
      </c>
      <c r="K3" s="16">
        <f>HOTEL!Y10</f>
        <v>10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7</v>
      </c>
      <c r="D4" s="13">
        <v>2020</v>
      </c>
      <c r="E4" s="16">
        <f>HOTEL!D11</f>
        <v>3938</v>
      </c>
      <c r="F4" s="16">
        <f>HOTEL!F11</f>
        <v>3876</v>
      </c>
      <c r="G4" s="16">
        <f>HOTEL!H11</f>
        <v>3685</v>
      </c>
      <c r="H4" s="16">
        <f>HOTEL!N11</f>
        <v>106</v>
      </c>
      <c r="I4" s="16">
        <f>HOTEL!P11</f>
        <v>550</v>
      </c>
      <c r="J4" s="16">
        <f>HOTEL!U11</f>
        <v>92</v>
      </c>
      <c r="K4" s="16">
        <f>HOTEL!Y11</f>
        <v>18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7</v>
      </c>
      <c r="D5" s="13">
        <v>2020</v>
      </c>
      <c r="E5" s="16">
        <f>HOTEL!D12</f>
        <v>3959</v>
      </c>
      <c r="F5" s="16">
        <f>HOTEL!F12</f>
        <v>3916</v>
      </c>
      <c r="G5" s="16">
        <f>HOTEL!H12</f>
        <v>3695</v>
      </c>
      <c r="H5" s="16">
        <f>HOTEL!N12</f>
        <v>103</v>
      </c>
      <c r="I5" s="16">
        <f>HOTEL!P12</f>
        <v>806</v>
      </c>
      <c r="J5" s="16">
        <f>HOTEL!U12</f>
        <v>376</v>
      </c>
      <c r="K5" s="16">
        <f>HOTEL!Y12</f>
        <v>19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7</v>
      </c>
      <c r="D6" s="13">
        <v>2020</v>
      </c>
      <c r="E6" s="16">
        <f>HOTEL!D13</f>
        <v>3365</v>
      </c>
      <c r="F6" s="16">
        <f>HOTEL!F13</f>
        <v>3361</v>
      </c>
      <c r="G6" s="16">
        <f>HOTEL!H13</f>
        <v>3143</v>
      </c>
      <c r="H6" s="16">
        <f>HOTEL!N13</f>
        <v>111</v>
      </c>
      <c r="I6" s="16">
        <f>HOTEL!P13</f>
        <v>607</v>
      </c>
      <c r="J6" s="16">
        <f>HOTEL!U13</f>
        <v>200</v>
      </c>
      <c r="K6" s="16">
        <f>HOTEL!Y13</f>
        <v>21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7</v>
      </c>
      <c r="D7" s="13">
        <v>2020</v>
      </c>
      <c r="E7" s="16">
        <f>HOTEL!D14</f>
        <v>3582</v>
      </c>
      <c r="F7" s="16">
        <f>HOTEL!F14</f>
        <v>3544</v>
      </c>
      <c r="G7" s="16">
        <f>HOTEL!H14</f>
        <v>3329</v>
      </c>
      <c r="H7" s="16">
        <f>HOTEL!N14</f>
        <v>101</v>
      </c>
      <c r="I7" s="16">
        <f>HOTEL!P14</f>
        <v>725</v>
      </c>
      <c r="J7" s="16">
        <f>HOTEL!U14</f>
        <v>348</v>
      </c>
      <c r="K7" s="16">
        <f>HOTEL!Y14</f>
        <v>19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7</v>
      </c>
      <c r="D8" s="13">
        <v>2020</v>
      </c>
      <c r="E8" s="16">
        <f>HOTEL!D15</f>
        <v>3574</v>
      </c>
      <c r="F8" s="16">
        <f>HOTEL!F15</f>
        <v>3577</v>
      </c>
      <c r="G8" s="16">
        <f>HOTEL!H15</f>
        <v>3387</v>
      </c>
      <c r="H8" s="16">
        <f>HOTEL!N15</f>
        <v>75</v>
      </c>
      <c r="I8" s="16">
        <f>HOTEL!P15</f>
        <v>701</v>
      </c>
      <c r="J8" s="16">
        <f>HOTEL!U15</f>
        <v>426</v>
      </c>
      <c r="K8" s="16">
        <f>HOTEL!Y15</f>
        <v>28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7</v>
      </c>
      <c r="D9" s="13">
        <v>2020</v>
      </c>
      <c r="E9" s="16">
        <f>HOTEL!D16</f>
        <v>3654</v>
      </c>
      <c r="F9" s="16">
        <f>HOTEL!F16</f>
        <v>3639</v>
      </c>
      <c r="G9" s="16">
        <f>HOTEL!H16</f>
        <v>3409</v>
      </c>
      <c r="H9" s="16">
        <f>HOTEL!N16</f>
        <v>106</v>
      </c>
      <c r="I9" s="16">
        <f>HOTEL!P16</f>
        <v>491</v>
      </c>
      <c r="J9" s="16">
        <f>HOTEL!U16</f>
        <v>241</v>
      </c>
      <c r="K9" s="16">
        <f>HOTEL!Y16</f>
        <v>28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7</v>
      </c>
      <c r="D10" s="13">
        <v>2020</v>
      </c>
      <c r="E10" s="16">
        <f>HOTEL!D17</f>
        <v>3176</v>
      </c>
      <c r="F10" s="16">
        <f>HOTEL!F17</f>
        <v>3175</v>
      </c>
      <c r="G10" s="16">
        <f>HOTEL!H17</f>
        <v>2955</v>
      </c>
      <c r="H10" s="16">
        <f>HOTEL!N17</f>
        <v>101</v>
      </c>
      <c r="I10" s="16">
        <f>HOTEL!P17</f>
        <v>482</v>
      </c>
      <c r="J10" s="16">
        <f>HOTEL!U17</f>
        <v>463</v>
      </c>
      <c r="K10" s="16">
        <f>HOTEL!Y17</f>
        <v>25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7</v>
      </c>
      <c r="D11" s="13">
        <v>2020</v>
      </c>
      <c r="E11" s="16">
        <f>HOTEL!D18</f>
        <v>3619</v>
      </c>
      <c r="F11" s="16">
        <f>HOTEL!F18</f>
        <v>3599</v>
      </c>
      <c r="G11" s="16">
        <f>HOTEL!H18</f>
        <v>3386</v>
      </c>
      <c r="H11" s="16">
        <f>HOTEL!N18</f>
        <v>104</v>
      </c>
      <c r="I11" s="16">
        <f>HOTEL!P18</f>
        <v>741</v>
      </c>
      <c r="J11" s="16">
        <f>HOTEL!U18</f>
        <v>197</v>
      </c>
      <c r="K11" s="16">
        <f>HOTEL!Y18</f>
        <v>28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7</v>
      </c>
      <c r="D12" s="13">
        <v>2020</v>
      </c>
      <c r="E12" s="16">
        <f>HOTEL!D19</f>
        <v>3922</v>
      </c>
      <c r="F12" s="16">
        <f>HOTEL!F19</f>
        <v>3858</v>
      </c>
      <c r="G12" s="16">
        <f>HOTEL!H19</f>
        <v>3665</v>
      </c>
      <c r="H12" s="16">
        <f>HOTEL!N19</f>
        <v>101</v>
      </c>
      <c r="I12" s="16">
        <f>HOTEL!P19</f>
        <v>705</v>
      </c>
      <c r="J12" s="16">
        <f>HOTEL!U19</f>
        <v>349</v>
      </c>
      <c r="K12" s="16">
        <f>HOTEL!Y19</f>
        <v>27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7</v>
      </c>
      <c r="D13" s="13">
        <v>2020</v>
      </c>
      <c r="E13" s="16">
        <f>HOTEL!D20</f>
        <v>3887</v>
      </c>
      <c r="F13" s="16">
        <f>HOTEL!F20</f>
        <v>3833</v>
      </c>
      <c r="G13" s="16">
        <f>HOTEL!H20</f>
        <v>3656</v>
      </c>
      <c r="H13" s="16">
        <f>HOTEL!N20</f>
        <v>125</v>
      </c>
      <c r="I13" s="16">
        <f>HOTEL!P20</f>
        <v>714</v>
      </c>
      <c r="J13" s="16">
        <f>HOTEL!U20</f>
        <v>203</v>
      </c>
      <c r="K13" s="16">
        <f>HOTEL!Y20</f>
        <v>43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7</v>
      </c>
      <c r="D14" s="13">
        <v>2020</v>
      </c>
      <c r="E14" s="16" t="str">
        <f>HOTEL!D21</f>
        <v>0</v>
      </c>
      <c r="F14" s="16" t="str">
        <f>HOTEL!F21</f>
        <v>0</v>
      </c>
      <c r="G14" s="16" t="str">
        <f>HOTEL!H21</f>
        <v>0</v>
      </c>
      <c r="H14" s="16" t="str">
        <f>HOTEL!N21</f>
        <v>0</v>
      </c>
      <c r="I14" s="16" t="str">
        <f>HOTEL!P21</f>
        <v>0</v>
      </c>
      <c r="J14" s="16" t="str">
        <f>HOTEL!U21</f>
        <v>0</v>
      </c>
      <c r="K14" s="16">
        <f>HOTEL!Y21</f>
        <v>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7</v>
      </c>
      <c r="D15" s="13">
        <v>2020</v>
      </c>
      <c r="E15" s="16">
        <f>HOTEL!D22</f>
        <v>0</v>
      </c>
      <c r="F15" s="16">
        <f>HOTEL!F22</f>
        <v>0</v>
      </c>
      <c r="G15" s="16">
        <f>HOTEL!H22</f>
        <v>0</v>
      </c>
      <c r="H15" s="16">
        <f>HOTEL!N22</f>
        <v>0</v>
      </c>
      <c r="I15" s="16">
        <f>HOTEL!P22</f>
        <v>0</v>
      </c>
      <c r="J15" s="16">
        <f>HOTEL!U22</f>
        <v>0</v>
      </c>
      <c r="K15" s="16">
        <f>HOTEL!Y22</f>
        <v>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7</v>
      </c>
      <c r="D16" s="13">
        <v>2020</v>
      </c>
      <c r="E16" s="16">
        <f>HOTEL!D23</f>
        <v>0</v>
      </c>
      <c r="F16" s="16">
        <f>HOTEL!F23</f>
        <v>0</v>
      </c>
      <c r="G16" s="16">
        <f>HOTEL!H23</f>
        <v>0</v>
      </c>
      <c r="H16" s="16">
        <f>HOTEL!N23</f>
        <v>0</v>
      </c>
      <c r="I16" s="16">
        <f>HOTEL!P23</f>
        <v>0</v>
      </c>
      <c r="J16" s="16">
        <f>HOTEL!U23</f>
        <v>0</v>
      </c>
      <c r="K16" s="16">
        <f>HOTEL!Y23</f>
        <v>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7</v>
      </c>
      <c r="D17" s="13">
        <v>2020</v>
      </c>
      <c r="E17" s="16">
        <f>HOTEL!D24</f>
        <v>0</v>
      </c>
      <c r="F17" s="16">
        <f>HOTEL!F24</f>
        <v>0</v>
      </c>
      <c r="G17" s="16">
        <f>HOTEL!H24</f>
        <v>0</v>
      </c>
      <c r="H17" s="16">
        <f>HOTEL!N24</f>
        <v>0</v>
      </c>
      <c r="I17" s="16">
        <f>HOTEL!P24</f>
        <v>0</v>
      </c>
      <c r="J17" s="16">
        <f>HOTEL!U24</f>
        <v>0</v>
      </c>
      <c r="K17" s="16">
        <f>HOTEL!Y24</f>
        <v>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7</v>
      </c>
      <c r="D18" s="13">
        <v>2020</v>
      </c>
      <c r="E18" s="16">
        <f>HOTEL!D25</f>
        <v>0</v>
      </c>
      <c r="F18" s="16">
        <f>HOTEL!F25</f>
        <v>0</v>
      </c>
      <c r="G18" s="16">
        <f>HOTEL!H25</f>
        <v>0</v>
      </c>
      <c r="H18" s="16">
        <f>HOTEL!N25</f>
        <v>0</v>
      </c>
      <c r="I18" s="16">
        <f>HOTEL!P25</f>
        <v>0</v>
      </c>
      <c r="J18" s="16">
        <f>HOTEL!U25</f>
        <v>0</v>
      </c>
      <c r="K18" s="16">
        <f>HOTEL!Y25</f>
        <v>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7</v>
      </c>
      <c r="D19" s="13">
        <v>2020</v>
      </c>
      <c r="E19" s="16">
        <f>HOTEL!D26</f>
        <v>0</v>
      </c>
      <c r="F19" s="16">
        <f>HOTEL!F26</f>
        <v>0</v>
      </c>
      <c r="G19" s="16">
        <f>HOTEL!H26</f>
        <v>0</v>
      </c>
      <c r="H19" s="16">
        <f>HOTEL!N26</f>
        <v>0</v>
      </c>
      <c r="I19" s="16">
        <f>HOTEL!P26</f>
        <v>0</v>
      </c>
      <c r="J19" s="16">
        <f>HOTEL!U26</f>
        <v>0</v>
      </c>
      <c r="K19" s="16">
        <f>HOTEL!Y26</f>
        <v>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7</v>
      </c>
      <c r="D20" s="13">
        <v>2020</v>
      </c>
      <c r="E20" s="16">
        <f>HOTEL!D27</f>
        <v>0</v>
      </c>
      <c r="F20" s="16">
        <f>HOTEL!F27</f>
        <v>0</v>
      </c>
      <c r="G20" s="16">
        <f>HOTEL!H27</f>
        <v>0</v>
      </c>
      <c r="H20" s="16">
        <f>HOTEL!N27</f>
        <v>0</v>
      </c>
      <c r="I20" s="16">
        <f>HOTEL!P27</f>
        <v>0</v>
      </c>
      <c r="J20" s="16">
        <f>HOTEL!U27</f>
        <v>0</v>
      </c>
      <c r="K20" s="16">
        <f>HOTEL!Y27</f>
        <v>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7</v>
      </c>
      <c r="D21" s="13">
        <v>2020</v>
      </c>
      <c r="E21" s="16">
        <f>HOTEL!D28</f>
        <v>0</v>
      </c>
      <c r="F21" s="16">
        <f>HOTEL!F28</f>
        <v>0</v>
      </c>
      <c r="G21" s="16">
        <f>HOTEL!H28</f>
        <v>0</v>
      </c>
      <c r="H21" s="16">
        <f>HOTEL!N28</f>
        <v>0</v>
      </c>
      <c r="I21" s="16">
        <f>HOTEL!P28</f>
        <v>0</v>
      </c>
      <c r="J21" s="16">
        <f>HOTEL!U28</f>
        <v>0</v>
      </c>
      <c r="K21" s="16">
        <f>HOTEL!Y28</f>
        <v>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7</v>
      </c>
      <c r="D22" s="13">
        <v>2020</v>
      </c>
      <c r="E22" s="16">
        <f>HOTEL!D29</f>
        <v>0</v>
      </c>
      <c r="F22" s="16">
        <f>HOTEL!F29</f>
        <v>0</v>
      </c>
      <c r="G22" s="16">
        <f>HOTEL!H29</f>
        <v>0</v>
      </c>
      <c r="H22" s="16">
        <f>HOTEL!N29</f>
        <v>0</v>
      </c>
      <c r="I22" s="16">
        <f>HOTEL!P29</f>
        <v>0</v>
      </c>
      <c r="J22" s="16">
        <f>HOTEL!U29</f>
        <v>0</v>
      </c>
      <c r="K22" s="16">
        <f>HOTEL!Y29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7</v>
      </c>
      <c r="D23" s="13">
        <v>2020</v>
      </c>
      <c r="E23" s="16">
        <f>HOTEL!D30</f>
        <v>0</v>
      </c>
      <c r="F23" s="16">
        <f>HOTEL!F30</f>
        <v>0</v>
      </c>
      <c r="G23" s="16">
        <f>HOTEL!H30</f>
        <v>0</v>
      </c>
      <c r="H23" s="16">
        <f>HOTEL!N30</f>
        <v>0</v>
      </c>
      <c r="I23" s="16">
        <f>HOTEL!P30</f>
        <v>0</v>
      </c>
      <c r="J23" s="16">
        <f>HOTEL!U30</f>
        <v>0</v>
      </c>
      <c r="K23" s="16">
        <f>HOTEL!Y30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7</v>
      </c>
      <c r="D24" s="13">
        <v>2020</v>
      </c>
      <c r="E24" s="16">
        <f>HOTEL!D31</f>
        <v>0</v>
      </c>
      <c r="F24" s="16">
        <f>HOTEL!F31</f>
        <v>0</v>
      </c>
      <c r="G24" s="16">
        <f>HOTEL!H31</f>
        <v>0</v>
      </c>
      <c r="H24" s="16">
        <f>HOTEL!N31</f>
        <v>0</v>
      </c>
      <c r="I24" s="16">
        <f>HOTEL!P31</f>
        <v>0</v>
      </c>
      <c r="J24" s="16">
        <f>HOTEL!U31</f>
        <v>0</v>
      </c>
      <c r="K24" s="16">
        <f>HOTEL!Y31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7</v>
      </c>
      <c r="D25" s="13">
        <v>2020</v>
      </c>
      <c r="E25" s="16">
        <f>HOTEL!D32</f>
        <v>0</v>
      </c>
      <c r="F25" s="16">
        <f>HOTEL!F32</f>
        <v>0</v>
      </c>
      <c r="G25" s="16">
        <f>HOTEL!H32</f>
        <v>0</v>
      </c>
      <c r="H25" s="16">
        <f>HOTEL!N32</f>
        <v>0</v>
      </c>
      <c r="I25" s="16">
        <f>HOTEL!P32</f>
        <v>0</v>
      </c>
      <c r="J25" s="16">
        <f>HOTEL!U32</f>
        <v>0</v>
      </c>
      <c r="K25" s="16">
        <f>HOTEL!Y32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7</v>
      </c>
      <c r="D26" s="13">
        <v>2020</v>
      </c>
      <c r="E26" s="16">
        <f>HOTEL!D33</f>
        <v>0</v>
      </c>
      <c r="F26" s="16">
        <f>HOTEL!F33</f>
        <v>0</v>
      </c>
      <c r="G26" s="16">
        <f>HOTEL!H33</f>
        <v>0</v>
      </c>
      <c r="H26" s="16">
        <f>HOTEL!N33</f>
        <v>0</v>
      </c>
      <c r="I26" s="16">
        <f>HOTEL!P33</f>
        <v>0</v>
      </c>
      <c r="J26" s="16">
        <f>HOTEL!U33</f>
        <v>0</v>
      </c>
      <c r="K26" s="16">
        <f>HOTEL!Y33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7</v>
      </c>
      <c r="D27" s="13">
        <v>2020</v>
      </c>
      <c r="E27" s="16">
        <f>HOTEL!D34</f>
        <v>0</v>
      </c>
      <c r="F27" s="16">
        <f>HOTEL!F34</f>
        <v>0</v>
      </c>
      <c r="G27" s="16">
        <f>HOTEL!H34</f>
        <v>0</v>
      </c>
      <c r="H27" s="16">
        <f>HOTEL!N34</f>
        <v>0</v>
      </c>
      <c r="I27" s="16">
        <f>HOTEL!P34</f>
        <v>0</v>
      </c>
      <c r="J27" s="16">
        <f>HOTEL!U34</f>
        <v>0</v>
      </c>
      <c r="K27" s="16">
        <f>HOTEL!Y34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7</v>
      </c>
      <c r="D28" s="13">
        <v>2020</v>
      </c>
      <c r="E28" s="16">
        <f>HOTEL!D35</f>
        <v>0</v>
      </c>
      <c r="F28" s="16">
        <f>HOTEL!F35</f>
        <v>0</v>
      </c>
      <c r="G28" s="16">
        <f>HOTEL!H35</f>
        <v>0</v>
      </c>
      <c r="H28" s="16">
        <f>HOTEL!N35</f>
        <v>0</v>
      </c>
      <c r="I28" s="16">
        <f>HOTEL!P35</f>
        <v>0</v>
      </c>
      <c r="J28" s="16">
        <f>HOTEL!U35</f>
        <v>0</v>
      </c>
      <c r="K28" s="16">
        <f>HOTEL!Y35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7</v>
      </c>
      <c r="D29" s="13">
        <v>2020</v>
      </c>
      <c r="E29" s="16">
        <f>HOTEL!D36</f>
        <v>0</v>
      </c>
      <c r="F29" s="16">
        <f>HOTEL!F36</f>
        <v>0</v>
      </c>
      <c r="G29" s="16">
        <f>HOTEL!H36</f>
        <v>0</v>
      </c>
      <c r="H29" s="16">
        <f>HOTEL!N36</f>
        <v>0</v>
      </c>
      <c r="I29" s="16">
        <f>HOTEL!P36</f>
        <v>0</v>
      </c>
      <c r="J29" s="16">
        <f>HOTEL!U36</f>
        <v>0</v>
      </c>
      <c r="K29" s="16">
        <f>HOTEL!Y36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7</v>
      </c>
      <c r="D30" s="13">
        <v>2020</v>
      </c>
      <c r="E30" s="16">
        <f>HOTEL!D37</f>
        <v>0</v>
      </c>
      <c r="F30" s="16">
        <f>HOTEL!F37</f>
        <v>0</v>
      </c>
      <c r="G30" s="16">
        <f>HOTEL!H37</f>
        <v>0</v>
      </c>
      <c r="H30" s="16">
        <f>HOTEL!N37</f>
        <v>0</v>
      </c>
      <c r="I30" s="16">
        <f>HOTEL!P37</f>
        <v>0</v>
      </c>
      <c r="J30" s="16">
        <f>HOTEL!U37</f>
        <v>0</v>
      </c>
      <c r="K30" s="16">
        <f>HOTEL!Y37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7</v>
      </c>
      <c r="D31" s="13">
        <v>2020</v>
      </c>
      <c r="E31" s="16">
        <f>HOTEL!D38</f>
        <v>0</v>
      </c>
      <c r="F31" s="16">
        <f>HOTEL!F38</f>
        <v>0</v>
      </c>
      <c r="G31" s="16">
        <f>HOTEL!H38</f>
        <v>0</v>
      </c>
      <c r="H31" s="16">
        <f>HOTEL!N38</f>
        <v>0</v>
      </c>
      <c r="I31" s="16">
        <f>HOTEL!P38</f>
        <v>0</v>
      </c>
      <c r="J31" s="16">
        <f>HOTEL!U38</f>
        <v>0</v>
      </c>
      <c r="K31" s="16">
        <f>HOTEL!Y38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7</v>
      </c>
      <c r="D32" s="13">
        <v>2020</v>
      </c>
      <c r="E32" s="16">
        <f>HOTEL!D39</f>
        <v>0</v>
      </c>
      <c r="F32" s="16">
        <f>HOTEL!F39</f>
        <v>0</v>
      </c>
      <c r="G32" s="16">
        <f>HOTEL!H39</f>
        <v>0</v>
      </c>
      <c r="H32" s="16">
        <f>HOTEL!N39</f>
        <v>0</v>
      </c>
      <c r="I32" s="16">
        <f>HOTEL!P39</f>
        <v>0</v>
      </c>
      <c r="J32" s="16">
        <f>HOTEL!U39</f>
        <v>0</v>
      </c>
      <c r="K32" s="16">
        <f>HOTEL!Y39</f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 t="str">
        <f>IF(([1]Submeters!AY38-[1]Submeters!AY37)&lt;0,"0",[1]Submeters!AY38-[1]Submeters!AY37)</f>
        <v>0</v>
      </c>
      <c r="BJ32" s="29">
        <f>IF(([1]Submeters!AZ38-[1]Submeters!AZ37)&lt;0,"0",[1]Submeters!AZ38-[1]Submeters!AZ37)</f>
        <v>0</v>
      </c>
      <c r="BK32" s="29">
        <f>IF(([1]Submeters!BA38-[1]Submeters!BA37)&lt;0,"0",[1]Submeters!BA38-[1]Submeters!BA37)</f>
        <v>0</v>
      </c>
      <c r="BL32" s="29">
        <f>IF(([1]Submeters!BB38-[1]Submeters!BB37)&lt;0,"0",[1]Submeters!BB38-[1]Submeters!BB37)</f>
        <v>0</v>
      </c>
      <c r="BM32" s="29">
        <f>IF(([1]Submeters!BC38-[1]Submeters!BC37)&lt;0,"0",[1]Submeters!BC38-[1]Submeters!BC37)</f>
        <v>0</v>
      </c>
      <c r="BN32" s="29">
        <f>IF(([1]Submeters!BD38-[1]Submeters!BD37)&lt;0,"0",[1]Submeters!BD38-[1]Submeters!BD37)</f>
        <v>0</v>
      </c>
      <c r="BO32" s="29">
        <f>IF(([1]Submeters!BE38-[1]Submeters!BE37)&lt;0,"0",[1]Submeters!BE38-[1]Submeters!BE37)</f>
        <v>0</v>
      </c>
      <c r="BP32" s="29">
        <f>IF(([1]Submeters!BF38-[1]Submeters!BF37)&lt;0,"0",[1]Submeters!BF38-[1]Submeters!BF37)</f>
        <v>0</v>
      </c>
      <c r="BQ32" s="29">
        <f>IF(([1]Submeters!BG38-[1]Submeters!BG37)&lt;0,"0",[1]Submeters!BG38-[1]Submeters!BG37)</f>
        <v>0</v>
      </c>
      <c r="BR32" s="29">
        <f>IF(([1]Submeters!BH38-[1]Submeters!BH37)&lt;0,"0",[1]Submeters!BH38-[1]Submeters!BH37)</f>
        <v>0</v>
      </c>
      <c r="BS32" s="29">
        <f>IF(([1]Submeters!BI38-[1]Submeters!BI37)&lt;0,"0",[1]Submeters!BI38-[1]Submeters!BI37)</f>
        <v>0</v>
      </c>
      <c r="BT32" s="29">
        <f>IF(([1]Submeters!BJ38-[1]Submeters!BJ37)&lt;0,"0",[1]Submeters!BJ38-[1]Submeters!BJ37)</f>
        <v>0</v>
      </c>
      <c r="BU32" s="29">
        <f>IF(([1]Submeters!BK38-[1]Submeters!BK37)&lt;0,"0",[1]Submeters!BK38-[1]Submeters!BK37)</f>
        <v>0</v>
      </c>
      <c r="BV32" s="29">
        <f>IF(([1]Submeters!BL38-[1]Submeters!BL37)&lt;0,"0",[1]Submeters!BL38-[1]Submeters!BL37)</f>
        <v>0</v>
      </c>
      <c r="BW32" s="29">
        <f>IF(([1]Submeters!BM38-[1]Submeters!BM37)&lt;0,"0",[1]Submeters!BM38-[1]Submeters!BM37)</f>
        <v>0</v>
      </c>
      <c r="BX32" s="29">
        <f>IF(([1]Submeters!BN38-[1]Submeters!BN37)&lt;0,"0",[1]Submeters!BN38-[1]Submeters!BN37)</f>
        <v>0</v>
      </c>
      <c r="BY32" s="29">
        <f>IF(([1]Submeters!BO38-[1]Submeters!BO37)&lt;0,"0",[1]Submeters!BO38-[1]Submeters!BO37)</f>
        <v>0</v>
      </c>
      <c r="BZ32" s="29">
        <f>IF(([1]Submeters!BP38-[1]Submeters!BP37)&lt;0,"0",[1]Submeters!BP38-[1]Submeters!BP37)</f>
        <v>0</v>
      </c>
      <c r="CA32" s="29">
        <f>IF(([1]Submeters!BQ38-[1]Submeters!BQ37)&lt;0,"0",[1]Submeters!BQ38-[1]Submeters!BQ37)</f>
        <v>0</v>
      </c>
      <c r="CB32" s="29">
        <f>IF(([1]Submeters!BR38-[1]Submeters!BR37)&lt;0,"0",[1]Submeters!BR38-[1]Submeters!BR37)</f>
        <v>0</v>
      </c>
      <c r="CC32" s="29">
        <f>IF(([1]Submeters!BS38-[1]Submeters!BS37)&lt;0,"0",[1]Submeters!BS38-[1]Submeters!BS37)</f>
        <v>0</v>
      </c>
      <c r="CD32" s="29">
        <f>IF(([1]Submeters!BT38-[1]Submeters!BT37)&lt;0,"0",[1]Submeters!BT38-[1]Submeters!BT37)</f>
        <v>0</v>
      </c>
      <c r="CE32" s="29">
        <f>IF(([1]Submeters!BU38-[1]Submeters!BU37)&lt;0,"0",[1]Submeters!BU38-[1]Submeters!BU37)</f>
        <v>0</v>
      </c>
      <c r="CF32" s="29">
        <f>IF(([1]Submeters!BV38-[1]Submeters!BV37)&lt;0,"0",[1]Submeters!BV38-[1]Submeters!BV37)</f>
        <v>0</v>
      </c>
      <c r="CG32" s="29">
        <f>IF(([1]Submeters!BW38-[1]Submeters!BW37)&lt;0,"0",[1]Submeters!BW38-[1]Submeters!BW37)</f>
        <v>0</v>
      </c>
      <c r="CH32" s="29">
        <f>IF(([1]Submeters!BX38-[1]Submeters!BX37)&lt;0,"0",[1]Submeters!BX38-[1]Submeters!BX37)</f>
        <v>0</v>
      </c>
      <c r="CI32" s="29">
        <f>IF(([1]Submeters!BY38-[1]Submeters!BY37)&lt;0,"0",[1]Submeters!BY38-[1]Submeters!BY37)</f>
        <v>0</v>
      </c>
      <c r="CJ32" s="29">
        <f>IF(([1]Submeters!BZ38-[1]Submeters!BZ37)&lt;0,"0",[1]Submeters!BZ38-[1]Submeters!BZ37)</f>
        <v>0</v>
      </c>
      <c r="CK32" s="29">
        <f>IF(([1]Submeters!CA38-[1]Submeters!CA37)&lt;0,"0",[1]Submeters!CA38-[1]Submeters!CA37)</f>
        <v>0</v>
      </c>
      <c r="CL32" s="29">
        <f>IF(([1]Submeters!CB38-[1]Submeters!CB37)&lt;0,"0",[1]Submeters!CB38-[1]Submeters!CB37)</f>
        <v>0</v>
      </c>
      <c r="CM32" s="29">
        <f>IF(([1]Submeters!CC38-[1]Submeters!CC37)&lt;0,"0",[1]Submeters!CC38-[1]Submeters!CC37)</f>
        <v>0</v>
      </c>
      <c r="CN32" s="29">
        <f>IF(([1]Submeters!CD38-[1]Submeters!CD37)&lt;0,"0",[1]Submeters!CD38-[1]Submeters!CD37)</f>
        <v>0</v>
      </c>
      <c r="CO32" s="29">
        <f>IF(([1]Submeters!CE38-[1]Submeters!CE37)&lt;0,"0",[1]Submeters!CE38-[1]Submeters!CE37)</f>
        <v>0</v>
      </c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  <row r="39" spans="12:93" x14ac:dyDescent="0.25"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workbookViewId="0">
      <selection activeCell="U17" sqref="U17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37"/>
      <c r="C1" s="137"/>
      <c r="D1" s="137"/>
      <c r="E1" s="137"/>
      <c r="F1" s="138" t="s">
        <v>95</v>
      </c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38" t="s">
        <v>122</v>
      </c>
      <c r="X1" s="139"/>
      <c r="Y1" s="139"/>
      <c r="Z1" s="140"/>
    </row>
    <row r="2" spans="1:27" x14ac:dyDescent="0.25">
      <c r="A2" s="13"/>
      <c r="B2" s="137"/>
      <c r="C2" s="137"/>
      <c r="D2" s="137"/>
      <c r="E2" s="137"/>
      <c r="F2" s="141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1"/>
      <c r="X2" s="142"/>
      <c r="Y2" s="142"/>
      <c r="Z2" s="143"/>
    </row>
    <row r="3" spans="1:27" x14ac:dyDescent="0.25">
      <c r="A3" s="13"/>
      <c r="B3" s="137"/>
      <c r="C3" s="137"/>
      <c r="D3" s="137"/>
      <c r="E3" s="137"/>
      <c r="F3" s="141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1">
        <v>2020</v>
      </c>
      <c r="X3" s="142"/>
      <c r="Y3" s="142"/>
      <c r="Z3" s="143"/>
    </row>
    <row r="4" spans="1:27" x14ac:dyDescent="0.25">
      <c r="A4" s="13"/>
      <c r="B4" s="137"/>
      <c r="C4" s="137"/>
      <c r="D4" s="137"/>
      <c r="E4" s="137"/>
      <c r="F4" s="144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6"/>
      <c r="W4" s="144"/>
      <c r="X4" s="145"/>
      <c r="Y4" s="145"/>
      <c r="Z4" s="146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4398853</v>
      </c>
      <c r="D6" s="36"/>
      <c r="E6" s="37">
        <v>4352049</v>
      </c>
      <c r="F6" s="38"/>
      <c r="G6" s="35">
        <v>4124201</v>
      </c>
      <c r="H6" s="39">
        <f>G6-G5</f>
        <v>4124201</v>
      </c>
      <c r="I6" s="40"/>
      <c r="J6" s="41">
        <f>D6+F6+H6</f>
        <v>4124201</v>
      </c>
      <c r="K6" s="41" t="e">
        <f>D6*0.152+F6*0.238+H6*0.115+#REF!*0.218</f>
        <v>#REF!</v>
      </c>
      <c r="L6" s="42"/>
      <c r="M6" s="43">
        <v>100710</v>
      </c>
      <c r="N6" s="39" t="e">
        <f>M6-#REF!</f>
        <v>#REF!</v>
      </c>
      <c r="O6" s="44">
        <v>1823218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183233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47" t="s">
        <v>97</v>
      </c>
      <c r="D7" s="148"/>
      <c r="E7" s="148"/>
      <c r="F7" s="148"/>
      <c r="G7" s="148"/>
      <c r="H7" s="148"/>
      <c r="I7" s="148"/>
      <c r="J7" s="148"/>
      <c r="K7" s="149"/>
      <c r="L7" s="49"/>
      <c r="M7" s="147" t="s">
        <v>98</v>
      </c>
      <c r="N7" s="148"/>
      <c r="O7" s="148"/>
      <c r="P7" s="148"/>
      <c r="Q7" s="148"/>
      <c r="R7" s="149"/>
      <c r="S7" s="49"/>
      <c r="T7" s="150" t="s">
        <v>99</v>
      </c>
      <c r="U7" s="150"/>
      <c r="V7" s="151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119</v>
      </c>
      <c r="B9" s="67">
        <v>1</v>
      </c>
      <c r="C9" s="105">
        <v>4402185</v>
      </c>
      <c r="D9" s="69">
        <f>IF((C9-C6&lt;0), "0",C9-C6)</f>
        <v>3332</v>
      </c>
      <c r="E9" s="106">
        <v>4355344</v>
      </c>
      <c r="F9" s="69">
        <f>IF((E9-E6&lt;0), "0",E9-E6)</f>
        <v>3295</v>
      </c>
      <c r="G9" s="88">
        <v>4127281</v>
      </c>
      <c r="H9" s="69">
        <f>IF((G9-G6&lt;0), "0",G9-G6)</f>
        <v>3080</v>
      </c>
      <c r="I9" s="71">
        <f>SUM(H9,F9,D9)</f>
        <v>9707</v>
      </c>
      <c r="J9" s="72">
        <v>0.98</v>
      </c>
      <c r="K9" s="73">
        <f>I9*0.251</f>
        <v>2436.4569999999999</v>
      </c>
      <c r="L9" s="74"/>
      <c r="M9" s="105">
        <v>100803</v>
      </c>
      <c r="N9" s="69">
        <f>IF((M9-M6&lt;0), "0",M9-M6)</f>
        <v>93</v>
      </c>
      <c r="O9" s="105">
        <v>1823732</v>
      </c>
      <c r="P9" s="69">
        <f>IF((O9-O6&lt;0), "0",O9-O6)</f>
        <v>514</v>
      </c>
      <c r="Q9" s="75">
        <f t="shared" ref="Q9:Q39" si="0">N9+P9</f>
        <v>607</v>
      </c>
      <c r="R9" s="76">
        <f>(P9+N9)*0.056*10.211</f>
        <v>347.09231199999999</v>
      </c>
      <c r="S9" s="77"/>
      <c r="T9" s="107">
        <v>183521</v>
      </c>
      <c r="U9" s="69">
        <f>IF((T9-T6&lt;0), "0",T9-T6)</f>
        <v>288</v>
      </c>
      <c r="V9" s="79">
        <f>U9*(1.315+1.54)</f>
        <v>822.24</v>
      </c>
      <c r="W9" s="80"/>
      <c r="X9" s="81">
        <f t="shared" ref="X9:X39" si="1">K9+R9+V9</f>
        <v>3605.7893119999999</v>
      </c>
      <c r="Y9" s="82">
        <v>9</v>
      </c>
      <c r="Z9" s="83">
        <f>X9/Y9</f>
        <v>400.64325688888886</v>
      </c>
    </row>
    <row r="10" spans="1:27" x14ac:dyDescent="0.25">
      <c r="A10" s="13" t="s">
        <v>120</v>
      </c>
      <c r="B10" s="67">
        <f>B9+1</f>
        <v>2</v>
      </c>
      <c r="C10" s="68">
        <v>4405992</v>
      </c>
      <c r="D10" s="69">
        <f>IF((C10-C9&lt;0), "0",C10-C9)</f>
        <v>3807</v>
      </c>
      <c r="E10" s="70">
        <v>4359094</v>
      </c>
      <c r="F10" s="69">
        <f>IF((E10-E9&lt;0), "0",E10-E9)</f>
        <v>3750</v>
      </c>
      <c r="G10" s="70">
        <v>4130820</v>
      </c>
      <c r="H10" s="69">
        <f>IF((G10-G9&lt;0), "0",G10-G9)</f>
        <v>3539</v>
      </c>
      <c r="I10" s="71">
        <f t="shared" ref="I10:I39" si="2">SUM(H10,F10,D10)</f>
        <v>11096</v>
      </c>
      <c r="J10" s="72">
        <v>0.98</v>
      </c>
      <c r="K10" s="73">
        <f t="shared" ref="K10:K39" si="3">I10*0.251</f>
        <v>2785.096</v>
      </c>
      <c r="L10" s="74"/>
      <c r="M10" s="70">
        <v>100908</v>
      </c>
      <c r="N10" s="69">
        <f>IF((M10-M9&lt;0), "0",M10-M9)</f>
        <v>105</v>
      </c>
      <c r="O10" s="70">
        <v>1824271</v>
      </c>
      <c r="P10" s="69">
        <f>IF((O10-O9&lt;0), "0",O10-O9)</f>
        <v>539</v>
      </c>
      <c r="Q10" s="75">
        <f t="shared" si="0"/>
        <v>644</v>
      </c>
      <c r="R10" s="76">
        <f t="shared" ref="R10:R39" si="4">(P10+N10)*0.056*10.211</f>
        <v>368.249504</v>
      </c>
      <c r="S10" s="77"/>
      <c r="T10" s="78">
        <v>183564</v>
      </c>
      <c r="U10" s="69">
        <f>IF((T10-T9&lt;0), "0",T10-T9)</f>
        <v>43</v>
      </c>
      <c r="V10" s="79">
        <f t="shared" ref="V10:V39" si="5">U10*(1.315+1.54)</f>
        <v>122.765</v>
      </c>
      <c r="W10" s="80"/>
      <c r="X10" s="84">
        <f t="shared" si="1"/>
        <v>3276.1105039999998</v>
      </c>
      <c r="Y10" s="85">
        <v>10</v>
      </c>
      <c r="Z10" s="86">
        <f t="shared" ref="Z10:Z39" si="6">X10/Y10</f>
        <v>327.61105039999995</v>
      </c>
    </row>
    <row r="11" spans="1:27" x14ac:dyDescent="0.25">
      <c r="A11" s="13" t="s">
        <v>96</v>
      </c>
      <c r="B11" s="67">
        <f t="shared" ref="B11:B38" si="7">B10+1</f>
        <v>3</v>
      </c>
      <c r="C11" s="68">
        <v>4409930</v>
      </c>
      <c r="D11" s="69">
        <f t="shared" ref="D11:D39" si="8">IF((C11-C10&lt;0), "0",C11-C10)</f>
        <v>3938</v>
      </c>
      <c r="E11" s="68">
        <v>4362970</v>
      </c>
      <c r="F11" s="69">
        <f t="shared" ref="F11:F39" si="9">IF((E11-E10&lt;0), "0",E11-E10)</f>
        <v>3876</v>
      </c>
      <c r="G11" s="70">
        <v>4134505</v>
      </c>
      <c r="H11" s="69">
        <f t="shared" ref="H11:H39" si="10">IF((G11-G10&lt;0), "0",G11-G10)</f>
        <v>3685</v>
      </c>
      <c r="I11" s="71">
        <f t="shared" si="2"/>
        <v>11499</v>
      </c>
      <c r="J11" s="72">
        <v>0.98</v>
      </c>
      <c r="K11" s="73">
        <f t="shared" si="3"/>
        <v>2886.2489999999998</v>
      </c>
      <c r="L11" s="74"/>
      <c r="M11" s="70">
        <v>101014</v>
      </c>
      <c r="N11" s="69">
        <f t="shared" ref="N11:N39" si="11">IF((M11-M10&lt;0), "0",M11-M10)</f>
        <v>106</v>
      </c>
      <c r="O11" s="70">
        <v>1824821</v>
      </c>
      <c r="P11" s="69">
        <f t="shared" ref="P11:P39" si="12">IF((O11-O10&lt;0), "0",O11-O10)</f>
        <v>550</v>
      </c>
      <c r="Q11" s="75">
        <f t="shared" si="0"/>
        <v>656</v>
      </c>
      <c r="R11" s="76">
        <f t="shared" si="4"/>
        <v>375.11129600000004</v>
      </c>
      <c r="S11" s="77"/>
      <c r="T11" s="87">
        <v>183656</v>
      </c>
      <c r="U11" s="69">
        <f t="shared" ref="U11:U39" si="13">IF((T11-T10&lt;0), "0",T11-T10)</f>
        <v>92</v>
      </c>
      <c r="V11" s="79">
        <f t="shared" si="5"/>
        <v>262.66000000000003</v>
      </c>
      <c r="W11" s="80"/>
      <c r="X11" s="84">
        <f t="shared" si="1"/>
        <v>3524.0202959999997</v>
      </c>
      <c r="Y11" s="85">
        <v>18</v>
      </c>
      <c r="Z11" s="86">
        <f t="shared" si="6"/>
        <v>195.77890533333331</v>
      </c>
    </row>
    <row r="12" spans="1:27" x14ac:dyDescent="0.25">
      <c r="A12" s="13" t="s">
        <v>121</v>
      </c>
      <c r="B12" s="67">
        <f t="shared" si="7"/>
        <v>4</v>
      </c>
      <c r="C12" s="68">
        <v>4413889</v>
      </c>
      <c r="D12" s="69">
        <f t="shared" si="8"/>
        <v>3959</v>
      </c>
      <c r="E12" s="68">
        <v>4366886</v>
      </c>
      <c r="F12" s="69">
        <f t="shared" si="9"/>
        <v>3916</v>
      </c>
      <c r="G12" s="70">
        <v>4138200</v>
      </c>
      <c r="H12" s="69">
        <f t="shared" si="10"/>
        <v>3695</v>
      </c>
      <c r="I12" s="71">
        <f t="shared" si="2"/>
        <v>11570</v>
      </c>
      <c r="J12" s="72">
        <v>0.98</v>
      </c>
      <c r="K12" s="73">
        <f t="shared" si="3"/>
        <v>2904.07</v>
      </c>
      <c r="L12" s="74"/>
      <c r="M12" s="70">
        <v>101117</v>
      </c>
      <c r="N12" s="69">
        <f t="shared" si="11"/>
        <v>103</v>
      </c>
      <c r="O12" s="70">
        <v>1825627</v>
      </c>
      <c r="P12" s="69">
        <f t="shared" si="12"/>
        <v>806</v>
      </c>
      <c r="Q12" s="75">
        <f t="shared" si="0"/>
        <v>909</v>
      </c>
      <c r="R12" s="76">
        <f t="shared" si="4"/>
        <v>519.78074400000003</v>
      </c>
      <c r="S12" s="77"/>
      <c r="T12" s="78">
        <v>184032</v>
      </c>
      <c r="U12" s="69">
        <f t="shared" si="13"/>
        <v>376</v>
      </c>
      <c r="V12" s="79">
        <f t="shared" si="5"/>
        <v>1073.48</v>
      </c>
      <c r="W12" s="80"/>
      <c r="X12" s="84">
        <f t="shared" si="1"/>
        <v>4497.3307440000008</v>
      </c>
      <c r="Y12" s="85">
        <v>19</v>
      </c>
      <c r="Z12" s="86">
        <f t="shared" si="6"/>
        <v>236.70161810526321</v>
      </c>
    </row>
    <row r="13" spans="1:27" x14ac:dyDescent="0.25">
      <c r="A13" s="13" t="s">
        <v>116</v>
      </c>
      <c r="B13" s="67">
        <f t="shared" si="7"/>
        <v>5</v>
      </c>
      <c r="C13" s="88">
        <v>4417254</v>
      </c>
      <c r="D13" s="69">
        <f t="shared" si="8"/>
        <v>3365</v>
      </c>
      <c r="E13" s="68">
        <v>4370247</v>
      </c>
      <c r="F13" s="69">
        <f t="shared" si="9"/>
        <v>3361</v>
      </c>
      <c r="G13" s="88">
        <v>4141343</v>
      </c>
      <c r="H13" s="69">
        <f t="shared" si="10"/>
        <v>3143</v>
      </c>
      <c r="I13" s="71">
        <f t="shared" si="2"/>
        <v>9869</v>
      </c>
      <c r="J13" s="72">
        <v>0.98</v>
      </c>
      <c r="K13" s="73">
        <f t="shared" si="3"/>
        <v>2477.1190000000001</v>
      </c>
      <c r="L13" s="74"/>
      <c r="M13" s="70">
        <v>101228</v>
      </c>
      <c r="N13" s="69">
        <f t="shared" si="11"/>
        <v>111</v>
      </c>
      <c r="O13" s="68">
        <v>1826234</v>
      </c>
      <c r="P13" s="69">
        <f t="shared" si="12"/>
        <v>607</v>
      </c>
      <c r="Q13" s="75">
        <f t="shared" si="0"/>
        <v>718</v>
      </c>
      <c r="R13" s="76">
        <f t="shared" si="4"/>
        <v>410.56388800000002</v>
      </c>
      <c r="S13" s="77"/>
      <c r="T13" s="89">
        <v>184232</v>
      </c>
      <c r="U13" s="69">
        <f t="shared" si="13"/>
        <v>200</v>
      </c>
      <c r="V13" s="79">
        <f t="shared" si="5"/>
        <v>571</v>
      </c>
      <c r="W13" s="80"/>
      <c r="X13" s="84">
        <f t="shared" si="1"/>
        <v>3458.6828880000003</v>
      </c>
      <c r="Y13" s="85">
        <v>21</v>
      </c>
      <c r="Z13" s="86">
        <f t="shared" si="6"/>
        <v>164.69918514285715</v>
      </c>
    </row>
    <row r="14" spans="1:27" x14ac:dyDescent="0.25">
      <c r="A14" s="13" t="s">
        <v>117</v>
      </c>
      <c r="B14" s="67">
        <f t="shared" si="7"/>
        <v>6</v>
      </c>
      <c r="C14" s="68">
        <v>4420836</v>
      </c>
      <c r="D14" s="69">
        <f t="shared" si="8"/>
        <v>3582</v>
      </c>
      <c r="E14" s="68">
        <v>4373791</v>
      </c>
      <c r="F14" s="69">
        <f t="shared" si="9"/>
        <v>3544</v>
      </c>
      <c r="G14" s="88">
        <v>4144672</v>
      </c>
      <c r="H14" s="69">
        <f t="shared" si="10"/>
        <v>3329</v>
      </c>
      <c r="I14" s="71">
        <f t="shared" si="2"/>
        <v>10455</v>
      </c>
      <c r="J14" s="72">
        <v>0.98</v>
      </c>
      <c r="K14" s="73">
        <f t="shared" si="3"/>
        <v>2624.2049999999999</v>
      </c>
      <c r="L14" s="74"/>
      <c r="M14" s="70">
        <v>101329</v>
      </c>
      <c r="N14" s="69">
        <f t="shared" si="11"/>
        <v>101</v>
      </c>
      <c r="O14" s="68">
        <v>1826959</v>
      </c>
      <c r="P14" s="69">
        <f t="shared" si="12"/>
        <v>725</v>
      </c>
      <c r="Q14" s="75">
        <f t="shared" si="0"/>
        <v>826</v>
      </c>
      <c r="R14" s="76">
        <f t="shared" si="4"/>
        <v>472.32001600000001</v>
      </c>
      <c r="S14" s="77"/>
      <c r="T14" s="89">
        <v>184580</v>
      </c>
      <c r="U14" s="69">
        <f t="shared" si="13"/>
        <v>348</v>
      </c>
      <c r="V14" s="79">
        <f t="shared" si="5"/>
        <v>993.54</v>
      </c>
      <c r="W14" s="80"/>
      <c r="X14" s="84">
        <f t="shared" si="1"/>
        <v>4090.065016</v>
      </c>
      <c r="Y14" s="85">
        <v>19</v>
      </c>
      <c r="Z14" s="86">
        <f t="shared" si="6"/>
        <v>215.2665797894737</v>
      </c>
    </row>
    <row r="15" spans="1:27" x14ac:dyDescent="0.25">
      <c r="A15" s="13" t="s">
        <v>118</v>
      </c>
      <c r="B15" s="67">
        <f t="shared" si="7"/>
        <v>7</v>
      </c>
      <c r="C15" s="68">
        <v>4424410</v>
      </c>
      <c r="D15" s="69">
        <f t="shared" si="8"/>
        <v>3574</v>
      </c>
      <c r="E15" s="68">
        <v>4377368</v>
      </c>
      <c r="F15" s="69">
        <f t="shared" si="9"/>
        <v>3577</v>
      </c>
      <c r="G15" s="68">
        <v>4148059</v>
      </c>
      <c r="H15" s="69">
        <f t="shared" si="10"/>
        <v>3387</v>
      </c>
      <c r="I15" s="71">
        <f t="shared" si="2"/>
        <v>10538</v>
      </c>
      <c r="J15" s="72">
        <v>0.98</v>
      </c>
      <c r="K15" s="73">
        <f t="shared" si="3"/>
        <v>2645.038</v>
      </c>
      <c r="L15" s="74"/>
      <c r="M15" s="70">
        <v>101404</v>
      </c>
      <c r="N15" s="69">
        <f t="shared" si="11"/>
        <v>75</v>
      </c>
      <c r="O15" s="68">
        <v>1827660</v>
      </c>
      <c r="P15" s="69">
        <f t="shared" si="12"/>
        <v>701</v>
      </c>
      <c r="Q15" s="75">
        <f t="shared" si="0"/>
        <v>776</v>
      </c>
      <c r="R15" s="76">
        <f t="shared" si="4"/>
        <v>443.72921600000006</v>
      </c>
      <c r="S15" s="77"/>
      <c r="T15" s="89">
        <v>185006</v>
      </c>
      <c r="U15" s="69">
        <f t="shared" si="13"/>
        <v>426</v>
      </c>
      <c r="V15" s="79">
        <f t="shared" si="5"/>
        <v>1216.23</v>
      </c>
      <c r="W15" s="80"/>
      <c r="X15" s="84">
        <f t="shared" si="1"/>
        <v>4304.9972159999998</v>
      </c>
      <c r="Y15" s="85">
        <v>28</v>
      </c>
      <c r="Z15" s="86">
        <f t="shared" si="6"/>
        <v>153.74990057142855</v>
      </c>
    </row>
    <row r="16" spans="1:27" x14ac:dyDescent="0.25">
      <c r="A16" s="13" t="s">
        <v>119</v>
      </c>
      <c r="B16" s="67">
        <f t="shared" si="7"/>
        <v>8</v>
      </c>
      <c r="C16" s="68">
        <v>4428064</v>
      </c>
      <c r="D16" s="69">
        <f t="shared" si="8"/>
        <v>3654</v>
      </c>
      <c r="E16" s="68">
        <v>4381007</v>
      </c>
      <c r="F16" s="69">
        <f t="shared" si="9"/>
        <v>3639</v>
      </c>
      <c r="G16" s="68">
        <v>4151468</v>
      </c>
      <c r="H16" s="69">
        <f t="shared" si="10"/>
        <v>3409</v>
      </c>
      <c r="I16" s="71">
        <f t="shared" si="2"/>
        <v>10702</v>
      </c>
      <c r="J16" s="72">
        <v>0.97</v>
      </c>
      <c r="K16" s="73">
        <f t="shared" si="3"/>
        <v>2686.2020000000002</v>
      </c>
      <c r="L16" s="74"/>
      <c r="M16" s="70">
        <v>101510</v>
      </c>
      <c r="N16" s="69">
        <f t="shared" si="11"/>
        <v>106</v>
      </c>
      <c r="O16" s="68">
        <v>1828151</v>
      </c>
      <c r="P16" s="69">
        <f t="shared" si="12"/>
        <v>491</v>
      </c>
      <c r="Q16" s="75">
        <f t="shared" si="0"/>
        <v>597</v>
      </c>
      <c r="R16" s="76">
        <f t="shared" si="4"/>
        <v>341.37415200000004</v>
      </c>
      <c r="S16" s="77"/>
      <c r="T16" s="89">
        <v>185247</v>
      </c>
      <c r="U16" s="69">
        <f t="shared" si="13"/>
        <v>241</v>
      </c>
      <c r="V16" s="79">
        <f t="shared" si="5"/>
        <v>688.05499999999995</v>
      </c>
      <c r="W16" s="80"/>
      <c r="X16" s="84">
        <f t="shared" si="1"/>
        <v>3715.6311519999999</v>
      </c>
      <c r="Y16" s="85">
        <v>28</v>
      </c>
      <c r="Z16" s="86">
        <f t="shared" si="6"/>
        <v>132.70111257142858</v>
      </c>
    </row>
    <row r="17" spans="1:26" x14ac:dyDescent="0.25">
      <c r="A17" s="13" t="s">
        <v>120</v>
      </c>
      <c r="B17" s="67">
        <v>9</v>
      </c>
      <c r="C17" s="90">
        <v>4431240</v>
      </c>
      <c r="D17" s="69">
        <f t="shared" si="8"/>
        <v>3176</v>
      </c>
      <c r="E17" s="90">
        <v>4384182</v>
      </c>
      <c r="F17" s="69">
        <f t="shared" si="9"/>
        <v>3175</v>
      </c>
      <c r="G17" s="90">
        <v>4154423</v>
      </c>
      <c r="H17" s="69">
        <f t="shared" si="10"/>
        <v>2955</v>
      </c>
      <c r="I17" s="71">
        <f t="shared" si="2"/>
        <v>9306</v>
      </c>
      <c r="J17" s="72">
        <v>0.96</v>
      </c>
      <c r="K17" s="73">
        <f t="shared" si="3"/>
        <v>2335.806</v>
      </c>
      <c r="L17" s="74"/>
      <c r="M17" s="90">
        <v>101611</v>
      </c>
      <c r="N17" s="69">
        <f t="shared" si="11"/>
        <v>101</v>
      </c>
      <c r="O17" s="90">
        <v>1828633</v>
      </c>
      <c r="P17" s="69">
        <f t="shared" si="12"/>
        <v>482</v>
      </c>
      <c r="Q17" s="75">
        <f t="shared" si="0"/>
        <v>583</v>
      </c>
      <c r="R17" s="76">
        <f t="shared" si="4"/>
        <v>333.36872800000003</v>
      </c>
      <c r="S17" s="77"/>
      <c r="T17" s="91">
        <v>185710</v>
      </c>
      <c r="U17" s="69">
        <f t="shared" si="13"/>
        <v>463</v>
      </c>
      <c r="V17" s="79">
        <f t="shared" si="5"/>
        <v>1321.865</v>
      </c>
      <c r="W17" s="80"/>
      <c r="X17" s="84">
        <f t="shared" si="1"/>
        <v>3991.0397279999997</v>
      </c>
      <c r="Y17" s="85">
        <v>25</v>
      </c>
      <c r="Z17" s="86">
        <f t="shared" si="6"/>
        <v>159.64158911999999</v>
      </c>
    </row>
    <row r="18" spans="1:26" x14ac:dyDescent="0.25">
      <c r="A18" s="13" t="s">
        <v>96</v>
      </c>
      <c r="B18" s="92">
        <f t="shared" si="7"/>
        <v>10</v>
      </c>
      <c r="C18" s="90">
        <v>4434859</v>
      </c>
      <c r="D18" s="69">
        <f t="shared" si="8"/>
        <v>3619</v>
      </c>
      <c r="E18" s="68">
        <v>4387781</v>
      </c>
      <c r="F18" s="69">
        <f t="shared" si="9"/>
        <v>3599</v>
      </c>
      <c r="G18" s="68">
        <v>4157809</v>
      </c>
      <c r="H18" s="69">
        <f t="shared" si="10"/>
        <v>3386</v>
      </c>
      <c r="I18" s="71">
        <f t="shared" si="2"/>
        <v>10604</v>
      </c>
      <c r="J18" s="72">
        <v>0.97</v>
      </c>
      <c r="K18" s="73">
        <f t="shared" si="3"/>
        <v>2661.6039999999998</v>
      </c>
      <c r="L18" s="93"/>
      <c r="M18" s="70">
        <v>101715</v>
      </c>
      <c r="N18" s="69">
        <f t="shared" si="11"/>
        <v>104</v>
      </c>
      <c r="O18" s="68">
        <v>1829374</v>
      </c>
      <c r="P18" s="69">
        <f t="shared" si="12"/>
        <v>741</v>
      </c>
      <c r="Q18" s="75">
        <f t="shared" si="0"/>
        <v>845</v>
      </c>
      <c r="R18" s="76">
        <f t="shared" si="4"/>
        <v>483.18452000000002</v>
      </c>
      <c r="S18" s="94"/>
      <c r="T18" s="89">
        <v>185907</v>
      </c>
      <c r="U18" s="69">
        <f t="shared" si="13"/>
        <v>197</v>
      </c>
      <c r="V18" s="79">
        <f t="shared" si="5"/>
        <v>562.43499999999995</v>
      </c>
      <c r="W18" s="80"/>
      <c r="X18" s="84">
        <f t="shared" si="1"/>
        <v>3707.22352</v>
      </c>
      <c r="Y18" s="85">
        <v>28</v>
      </c>
      <c r="Z18" s="95">
        <f t="shared" si="6"/>
        <v>132.40083999999999</v>
      </c>
    </row>
    <row r="19" spans="1:26" x14ac:dyDescent="0.25">
      <c r="A19" s="13" t="s">
        <v>121</v>
      </c>
      <c r="B19" s="96">
        <f t="shared" si="7"/>
        <v>11</v>
      </c>
      <c r="C19" s="68">
        <v>4438781</v>
      </c>
      <c r="D19" s="69">
        <f t="shared" si="8"/>
        <v>3922</v>
      </c>
      <c r="E19" s="68">
        <v>4391639</v>
      </c>
      <c r="F19" s="69">
        <f t="shared" si="9"/>
        <v>3858</v>
      </c>
      <c r="G19" s="68">
        <v>4161474</v>
      </c>
      <c r="H19" s="69">
        <f t="shared" si="10"/>
        <v>3665</v>
      </c>
      <c r="I19" s="71">
        <f t="shared" si="2"/>
        <v>11445</v>
      </c>
      <c r="J19" s="72">
        <v>0.97</v>
      </c>
      <c r="K19" s="73">
        <f t="shared" si="3"/>
        <v>2872.6950000000002</v>
      </c>
      <c r="L19" s="74"/>
      <c r="M19" s="70">
        <v>101816</v>
      </c>
      <c r="N19" s="69">
        <f t="shared" si="11"/>
        <v>101</v>
      </c>
      <c r="O19" s="97">
        <v>1830079</v>
      </c>
      <c r="P19" s="69">
        <f t="shared" si="12"/>
        <v>705</v>
      </c>
      <c r="Q19" s="75">
        <f t="shared" si="0"/>
        <v>806</v>
      </c>
      <c r="R19" s="76">
        <f t="shared" si="4"/>
        <v>460.88369600000004</v>
      </c>
      <c r="S19" s="77"/>
      <c r="T19" s="98">
        <v>186256</v>
      </c>
      <c r="U19" s="69">
        <f t="shared" si="13"/>
        <v>349</v>
      </c>
      <c r="V19" s="79">
        <f t="shared" si="5"/>
        <v>996.39499999999998</v>
      </c>
      <c r="W19" s="80"/>
      <c r="X19" s="84">
        <f t="shared" si="1"/>
        <v>4329.973696</v>
      </c>
      <c r="Y19" s="85">
        <v>27</v>
      </c>
      <c r="Z19" s="83">
        <f t="shared" si="6"/>
        <v>160.36939614814816</v>
      </c>
    </row>
    <row r="20" spans="1:26" x14ac:dyDescent="0.25">
      <c r="A20" s="13" t="s">
        <v>116</v>
      </c>
      <c r="B20" s="67">
        <f t="shared" si="7"/>
        <v>12</v>
      </c>
      <c r="C20" s="68">
        <v>4442668</v>
      </c>
      <c r="D20" s="69">
        <f t="shared" si="8"/>
        <v>3887</v>
      </c>
      <c r="E20" s="68">
        <v>4395472</v>
      </c>
      <c r="F20" s="69">
        <f t="shared" si="9"/>
        <v>3833</v>
      </c>
      <c r="G20" s="68">
        <v>4165130</v>
      </c>
      <c r="H20" s="69">
        <f t="shared" si="10"/>
        <v>3656</v>
      </c>
      <c r="I20" s="71">
        <f t="shared" si="2"/>
        <v>11376</v>
      </c>
      <c r="J20" s="72">
        <v>0.97</v>
      </c>
      <c r="K20" s="73">
        <f t="shared" si="3"/>
        <v>2855.3760000000002</v>
      </c>
      <c r="L20" s="74"/>
      <c r="M20" s="70">
        <v>101941</v>
      </c>
      <c r="N20" s="69">
        <f t="shared" si="11"/>
        <v>125</v>
      </c>
      <c r="O20" s="68">
        <v>1830793</v>
      </c>
      <c r="P20" s="69">
        <f t="shared" si="12"/>
        <v>714</v>
      </c>
      <c r="Q20" s="75">
        <f t="shared" si="0"/>
        <v>839</v>
      </c>
      <c r="R20" s="76">
        <f t="shared" si="4"/>
        <v>479.75362400000006</v>
      </c>
      <c r="S20" s="77"/>
      <c r="T20" s="89">
        <v>186459</v>
      </c>
      <c r="U20" s="69">
        <f t="shared" si="13"/>
        <v>203</v>
      </c>
      <c r="V20" s="79">
        <f t="shared" si="5"/>
        <v>579.56499999999994</v>
      </c>
      <c r="W20" s="80"/>
      <c r="X20" s="84">
        <f t="shared" si="1"/>
        <v>3914.6946240000002</v>
      </c>
      <c r="Y20" s="85">
        <v>43</v>
      </c>
      <c r="Z20" s="86">
        <f t="shared" si="6"/>
        <v>91.039409860465128</v>
      </c>
    </row>
    <row r="21" spans="1:26" x14ac:dyDescent="0.25">
      <c r="A21" s="13" t="s">
        <v>117</v>
      </c>
      <c r="B21" s="67">
        <f t="shared" si="7"/>
        <v>13</v>
      </c>
      <c r="C21" s="90"/>
      <c r="D21" s="69" t="str">
        <f t="shared" si="8"/>
        <v>0</v>
      </c>
      <c r="E21" s="68"/>
      <c r="F21" s="69" t="str">
        <f t="shared" si="9"/>
        <v>0</v>
      </c>
      <c r="G21" s="68"/>
      <c r="H21" s="69" t="str">
        <f t="shared" si="10"/>
        <v>0</v>
      </c>
      <c r="I21" s="71">
        <f t="shared" si="2"/>
        <v>0</v>
      </c>
      <c r="J21" s="72">
        <v>0.98</v>
      </c>
      <c r="K21" s="73">
        <f t="shared" si="3"/>
        <v>0</v>
      </c>
      <c r="L21" s="74"/>
      <c r="M21" s="70"/>
      <c r="N21" s="69" t="str">
        <f t="shared" si="11"/>
        <v>0</v>
      </c>
      <c r="O21" s="68"/>
      <c r="P21" s="69" t="str">
        <f t="shared" si="12"/>
        <v>0</v>
      </c>
      <c r="Q21" s="75">
        <f t="shared" si="0"/>
        <v>0</v>
      </c>
      <c r="R21" s="76">
        <f t="shared" si="4"/>
        <v>0</v>
      </c>
      <c r="S21" s="77"/>
      <c r="T21" s="89"/>
      <c r="U21" s="69" t="str">
        <f t="shared" si="13"/>
        <v>0</v>
      </c>
      <c r="V21" s="79">
        <f t="shared" si="5"/>
        <v>0</v>
      </c>
      <c r="W21" s="80"/>
      <c r="X21" s="84">
        <f t="shared" si="1"/>
        <v>0</v>
      </c>
      <c r="Y21" s="85"/>
      <c r="Z21" s="86" t="e">
        <f t="shared" si="6"/>
        <v>#DIV/0!</v>
      </c>
    </row>
    <row r="22" spans="1:26" x14ac:dyDescent="0.25">
      <c r="A22" s="13" t="s">
        <v>118</v>
      </c>
      <c r="B22" s="67">
        <f t="shared" si="7"/>
        <v>14</v>
      </c>
      <c r="C22" s="90"/>
      <c r="D22" s="69">
        <f t="shared" si="8"/>
        <v>0</v>
      </c>
      <c r="E22" s="68"/>
      <c r="F22" s="69">
        <f t="shared" si="9"/>
        <v>0</v>
      </c>
      <c r="G22" s="68"/>
      <c r="H22" s="69">
        <f t="shared" si="10"/>
        <v>0</v>
      </c>
      <c r="I22" s="71">
        <f t="shared" si="2"/>
        <v>0</v>
      </c>
      <c r="J22" s="72">
        <v>0.97</v>
      </c>
      <c r="K22" s="73">
        <f t="shared" si="3"/>
        <v>0</v>
      </c>
      <c r="L22" s="74"/>
      <c r="M22" s="70"/>
      <c r="N22" s="69">
        <f t="shared" si="11"/>
        <v>0</v>
      </c>
      <c r="O22" s="68"/>
      <c r="P22" s="69">
        <f t="shared" si="12"/>
        <v>0</v>
      </c>
      <c r="Q22" s="75">
        <f t="shared" si="0"/>
        <v>0</v>
      </c>
      <c r="R22" s="76">
        <f t="shared" si="4"/>
        <v>0</v>
      </c>
      <c r="S22" s="77"/>
      <c r="T22" s="89"/>
      <c r="U22" s="69">
        <f t="shared" si="13"/>
        <v>0</v>
      </c>
      <c r="V22" s="79">
        <f t="shared" si="5"/>
        <v>0</v>
      </c>
      <c r="W22" s="80"/>
      <c r="X22" s="84">
        <f t="shared" si="1"/>
        <v>0</v>
      </c>
      <c r="Y22" s="85"/>
      <c r="Z22" s="86" t="e">
        <f t="shared" si="6"/>
        <v>#DIV/0!</v>
      </c>
    </row>
    <row r="23" spans="1:26" x14ac:dyDescent="0.25">
      <c r="A23" s="13" t="s">
        <v>119</v>
      </c>
      <c r="B23" s="67">
        <f t="shared" si="7"/>
        <v>15</v>
      </c>
      <c r="C23" s="68"/>
      <c r="D23" s="69">
        <f t="shared" si="8"/>
        <v>0</v>
      </c>
      <c r="E23" s="68"/>
      <c r="F23" s="69">
        <f t="shared" si="9"/>
        <v>0</v>
      </c>
      <c r="G23" s="68"/>
      <c r="H23" s="69">
        <f t="shared" si="10"/>
        <v>0</v>
      </c>
      <c r="I23" s="71">
        <f t="shared" si="2"/>
        <v>0</v>
      </c>
      <c r="J23" s="72">
        <v>0.97</v>
      </c>
      <c r="K23" s="73">
        <f t="shared" si="3"/>
        <v>0</v>
      </c>
      <c r="L23" s="74"/>
      <c r="M23" s="70"/>
      <c r="N23" s="69">
        <f t="shared" si="11"/>
        <v>0</v>
      </c>
      <c r="O23" s="68"/>
      <c r="P23" s="69">
        <f t="shared" si="12"/>
        <v>0</v>
      </c>
      <c r="Q23" s="75">
        <f t="shared" si="0"/>
        <v>0</v>
      </c>
      <c r="R23" s="76">
        <f t="shared" si="4"/>
        <v>0</v>
      </c>
      <c r="S23" s="77"/>
      <c r="T23" s="89"/>
      <c r="U23" s="69">
        <f t="shared" si="13"/>
        <v>0</v>
      </c>
      <c r="V23" s="79">
        <f t="shared" si="5"/>
        <v>0</v>
      </c>
      <c r="W23" s="80"/>
      <c r="X23" s="84">
        <f t="shared" si="1"/>
        <v>0</v>
      </c>
      <c r="Y23" s="85"/>
      <c r="Z23" s="86" t="e">
        <f t="shared" si="6"/>
        <v>#DIV/0!</v>
      </c>
    </row>
    <row r="24" spans="1:26" x14ac:dyDescent="0.25">
      <c r="A24" s="13" t="s">
        <v>120</v>
      </c>
      <c r="B24" s="67">
        <f t="shared" si="7"/>
        <v>16</v>
      </c>
      <c r="C24" s="68"/>
      <c r="D24" s="69">
        <f t="shared" si="8"/>
        <v>0</v>
      </c>
      <c r="E24" s="68"/>
      <c r="F24" s="69">
        <f t="shared" si="9"/>
        <v>0</v>
      </c>
      <c r="G24" s="68"/>
      <c r="H24" s="69">
        <f t="shared" si="10"/>
        <v>0</v>
      </c>
      <c r="I24" s="71">
        <f t="shared" si="2"/>
        <v>0</v>
      </c>
      <c r="J24" s="72">
        <v>0.98</v>
      </c>
      <c r="K24" s="73">
        <f t="shared" si="3"/>
        <v>0</v>
      </c>
      <c r="L24" s="74"/>
      <c r="M24" s="70"/>
      <c r="N24" s="69">
        <f t="shared" si="11"/>
        <v>0</v>
      </c>
      <c r="O24" s="68"/>
      <c r="P24" s="69">
        <f t="shared" si="12"/>
        <v>0</v>
      </c>
      <c r="Q24" s="75">
        <f t="shared" si="0"/>
        <v>0</v>
      </c>
      <c r="R24" s="76">
        <f t="shared" si="4"/>
        <v>0</v>
      </c>
      <c r="S24" s="77"/>
      <c r="T24" s="89"/>
      <c r="U24" s="69">
        <f t="shared" si="13"/>
        <v>0</v>
      </c>
      <c r="V24" s="79">
        <f t="shared" si="5"/>
        <v>0</v>
      </c>
      <c r="W24" s="80"/>
      <c r="X24" s="84">
        <f t="shared" si="1"/>
        <v>0</v>
      </c>
      <c r="Y24" s="85"/>
      <c r="Z24" s="86" t="e">
        <f t="shared" si="6"/>
        <v>#DIV/0!</v>
      </c>
    </row>
    <row r="25" spans="1:26" x14ac:dyDescent="0.25">
      <c r="A25" s="13" t="s">
        <v>96</v>
      </c>
      <c r="B25" s="67">
        <f t="shared" si="7"/>
        <v>17</v>
      </c>
      <c r="C25" s="68"/>
      <c r="D25" s="69">
        <f t="shared" si="8"/>
        <v>0</v>
      </c>
      <c r="E25" s="68"/>
      <c r="F25" s="69">
        <f t="shared" si="9"/>
        <v>0</v>
      </c>
      <c r="G25" s="68"/>
      <c r="H25" s="69">
        <f t="shared" si="10"/>
        <v>0</v>
      </c>
      <c r="I25" s="71">
        <f t="shared" si="2"/>
        <v>0</v>
      </c>
      <c r="J25" s="72">
        <v>0.98</v>
      </c>
      <c r="K25" s="73">
        <f t="shared" si="3"/>
        <v>0</v>
      </c>
      <c r="L25" s="74"/>
      <c r="M25" s="70"/>
      <c r="N25" s="69">
        <f t="shared" si="11"/>
        <v>0</v>
      </c>
      <c r="O25" s="68"/>
      <c r="P25" s="69">
        <f t="shared" si="12"/>
        <v>0</v>
      </c>
      <c r="Q25" s="75">
        <f t="shared" si="0"/>
        <v>0</v>
      </c>
      <c r="R25" s="76">
        <f t="shared" si="4"/>
        <v>0</v>
      </c>
      <c r="S25" s="77"/>
      <c r="T25" s="89"/>
      <c r="U25" s="69">
        <f t="shared" si="13"/>
        <v>0</v>
      </c>
      <c r="V25" s="79">
        <f t="shared" si="5"/>
        <v>0</v>
      </c>
      <c r="W25" s="80"/>
      <c r="X25" s="84">
        <f t="shared" si="1"/>
        <v>0</v>
      </c>
      <c r="Y25" s="85"/>
      <c r="Z25" s="86" t="e">
        <f t="shared" si="6"/>
        <v>#DIV/0!</v>
      </c>
    </row>
    <row r="26" spans="1:26" x14ac:dyDescent="0.25">
      <c r="A26" s="13" t="s">
        <v>121</v>
      </c>
      <c r="B26" s="67">
        <f t="shared" si="7"/>
        <v>18</v>
      </c>
      <c r="C26" s="68"/>
      <c r="D26" s="69">
        <f t="shared" si="8"/>
        <v>0</v>
      </c>
      <c r="E26" s="68"/>
      <c r="F26" s="69">
        <f t="shared" si="9"/>
        <v>0</v>
      </c>
      <c r="G26" s="68"/>
      <c r="H26" s="69">
        <f t="shared" si="10"/>
        <v>0</v>
      </c>
      <c r="I26" s="71">
        <f t="shared" si="2"/>
        <v>0</v>
      </c>
      <c r="J26" s="72">
        <v>0.98</v>
      </c>
      <c r="K26" s="73">
        <f t="shared" si="3"/>
        <v>0</v>
      </c>
      <c r="L26" s="74"/>
      <c r="M26" s="70"/>
      <c r="N26" s="69">
        <f t="shared" si="11"/>
        <v>0</v>
      </c>
      <c r="O26" s="68"/>
      <c r="P26" s="69">
        <f t="shared" si="12"/>
        <v>0</v>
      </c>
      <c r="Q26" s="75">
        <f t="shared" si="0"/>
        <v>0</v>
      </c>
      <c r="R26" s="76">
        <f t="shared" si="4"/>
        <v>0</v>
      </c>
      <c r="S26" s="77"/>
      <c r="T26" s="89"/>
      <c r="U26" s="69">
        <f t="shared" si="13"/>
        <v>0</v>
      </c>
      <c r="V26" s="79">
        <f t="shared" si="5"/>
        <v>0</v>
      </c>
      <c r="W26" s="80"/>
      <c r="X26" s="84">
        <f t="shared" si="1"/>
        <v>0</v>
      </c>
      <c r="Y26" s="85"/>
      <c r="Z26" s="86" t="e">
        <f t="shared" si="6"/>
        <v>#DIV/0!</v>
      </c>
    </row>
    <row r="27" spans="1:26" x14ac:dyDescent="0.25">
      <c r="A27" s="13" t="s">
        <v>116</v>
      </c>
      <c r="B27" s="67">
        <f t="shared" si="7"/>
        <v>19</v>
      </c>
      <c r="C27" s="68"/>
      <c r="D27" s="69">
        <f t="shared" si="8"/>
        <v>0</v>
      </c>
      <c r="E27" s="68"/>
      <c r="F27" s="69">
        <f t="shared" si="9"/>
        <v>0</v>
      </c>
      <c r="G27" s="68"/>
      <c r="H27" s="69">
        <f t="shared" si="10"/>
        <v>0</v>
      </c>
      <c r="I27" s="71">
        <f t="shared" si="2"/>
        <v>0</v>
      </c>
      <c r="J27" s="72">
        <v>0.98</v>
      </c>
      <c r="K27" s="73">
        <f t="shared" si="3"/>
        <v>0</v>
      </c>
      <c r="L27" s="99"/>
      <c r="M27" s="70"/>
      <c r="N27" s="69">
        <f t="shared" si="11"/>
        <v>0</v>
      </c>
      <c r="O27" s="68"/>
      <c r="P27" s="69">
        <f t="shared" si="12"/>
        <v>0</v>
      </c>
      <c r="Q27" s="75">
        <f t="shared" si="0"/>
        <v>0</v>
      </c>
      <c r="R27" s="76">
        <f t="shared" si="4"/>
        <v>0</v>
      </c>
      <c r="S27" s="77"/>
      <c r="T27" s="89"/>
      <c r="U27" s="69">
        <f t="shared" si="13"/>
        <v>0</v>
      </c>
      <c r="V27" s="79">
        <f t="shared" si="5"/>
        <v>0</v>
      </c>
      <c r="W27" s="80"/>
      <c r="X27" s="84">
        <f t="shared" si="1"/>
        <v>0</v>
      </c>
      <c r="Y27" s="85"/>
      <c r="Z27" s="86" t="e">
        <f t="shared" si="6"/>
        <v>#DIV/0!</v>
      </c>
    </row>
    <row r="28" spans="1:26" x14ac:dyDescent="0.25">
      <c r="A28" s="13" t="s">
        <v>117</v>
      </c>
      <c r="B28" s="92">
        <f t="shared" si="7"/>
        <v>20</v>
      </c>
      <c r="C28" s="90"/>
      <c r="D28" s="69">
        <f t="shared" si="8"/>
        <v>0</v>
      </c>
      <c r="E28" s="90"/>
      <c r="F28" s="69">
        <f t="shared" si="9"/>
        <v>0</v>
      </c>
      <c r="G28" s="90"/>
      <c r="H28" s="69">
        <f t="shared" si="10"/>
        <v>0</v>
      </c>
      <c r="I28" s="71">
        <f t="shared" si="2"/>
        <v>0</v>
      </c>
      <c r="J28" s="72">
        <v>0.98</v>
      </c>
      <c r="K28" s="73">
        <f t="shared" si="3"/>
        <v>0</v>
      </c>
      <c r="L28" s="100"/>
      <c r="M28" s="70"/>
      <c r="N28" s="69">
        <f t="shared" si="11"/>
        <v>0</v>
      </c>
      <c r="O28" s="68"/>
      <c r="P28" s="69">
        <f t="shared" si="12"/>
        <v>0</v>
      </c>
      <c r="Q28" s="75">
        <f t="shared" si="0"/>
        <v>0</v>
      </c>
      <c r="R28" s="76">
        <f t="shared" si="4"/>
        <v>0</v>
      </c>
      <c r="S28" s="68"/>
      <c r="T28" s="89"/>
      <c r="U28" s="69">
        <f t="shared" si="13"/>
        <v>0</v>
      </c>
      <c r="V28" s="79">
        <f t="shared" si="5"/>
        <v>0</v>
      </c>
      <c r="W28" s="80"/>
      <c r="X28" s="101">
        <f t="shared" si="1"/>
        <v>0</v>
      </c>
      <c r="Y28" s="85"/>
      <c r="Z28" s="95" t="e">
        <f t="shared" si="6"/>
        <v>#DIV/0!</v>
      </c>
    </row>
    <row r="29" spans="1:26" x14ac:dyDescent="0.25">
      <c r="A29" s="13" t="s">
        <v>118</v>
      </c>
      <c r="B29" s="96">
        <f t="shared" si="7"/>
        <v>21</v>
      </c>
      <c r="C29" s="68"/>
      <c r="D29" s="69">
        <f t="shared" si="8"/>
        <v>0</v>
      </c>
      <c r="E29" s="68"/>
      <c r="F29" s="69">
        <f t="shared" si="9"/>
        <v>0</v>
      </c>
      <c r="G29" s="68"/>
      <c r="H29" s="69">
        <f t="shared" si="10"/>
        <v>0</v>
      </c>
      <c r="I29" s="71">
        <f t="shared" si="2"/>
        <v>0</v>
      </c>
      <c r="J29" s="72">
        <v>0.98</v>
      </c>
      <c r="K29" s="73">
        <f t="shared" si="3"/>
        <v>0</v>
      </c>
      <c r="L29" s="74"/>
      <c r="M29" s="70"/>
      <c r="N29" s="69">
        <f t="shared" si="11"/>
        <v>0</v>
      </c>
      <c r="O29" s="68"/>
      <c r="P29" s="69">
        <f t="shared" si="12"/>
        <v>0</v>
      </c>
      <c r="Q29" s="75">
        <f t="shared" si="0"/>
        <v>0</v>
      </c>
      <c r="R29" s="76">
        <f t="shared" si="4"/>
        <v>0</v>
      </c>
      <c r="S29" s="77"/>
      <c r="T29" s="89"/>
      <c r="U29" s="69">
        <f t="shared" si="13"/>
        <v>0</v>
      </c>
      <c r="V29" s="79">
        <f t="shared" si="5"/>
        <v>0</v>
      </c>
      <c r="W29" s="80"/>
      <c r="X29" s="81">
        <f t="shared" si="1"/>
        <v>0</v>
      </c>
      <c r="Y29" s="85"/>
      <c r="Z29" s="83" t="e">
        <f t="shared" si="6"/>
        <v>#DIV/0!</v>
      </c>
    </row>
    <row r="30" spans="1:26" x14ac:dyDescent="0.25">
      <c r="A30" s="13" t="s">
        <v>119</v>
      </c>
      <c r="B30" s="67">
        <f t="shared" si="7"/>
        <v>22</v>
      </c>
      <c r="C30" s="68"/>
      <c r="D30" s="69">
        <f t="shared" si="8"/>
        <v>0</v>
      </c>
      <c r="E30" s="68"/>
      <c r="F30" s="69">
        <f t="shared" si="9"/>
        <v>0</v>
      </c>
      <c r="G30" s="68"/>
      <c r="H30" s="69">
        <f t="shared" si="10"/>
        <v>0</v>
      </c>
      <c r="I30" s="71">
        <f t="shared" si="2"/>
        <v>0</v>
      </c>
      <c r="J30" s="72">
        <v>0.98</v>
      </c>
      <c r="K30" s="73">
        <f t="shared" si="3"/>
        <v>0</v>
      </c>
      <c r="L30" s="74"/>
      <c r="M30" s="70"/>
      <c r="N30" s="69">
        <f t="shared" si="11"/>
        <v>0</v>
      </c>
      <c r="O30" s="68"/>
      <c r="P30" s="69">
        <f t="shared" si="12"/>
        <v>0</v>
      </c>
      <c r="Q30" s="75">
        <f t="shared" si="0"/>
        <v>0</v>
      </c>
      <c r="R30" s="76">
        <f t="shared" si="4"/>
        <v>0</v>
      </c>
      <c r="S30" s="77"/>
      <c r="T30" s="89"/>
      <c r="U30" s="69">
        <f t="shared" si="13"/>
        <v>0</v>
      </c>
      <c r="V30" s="79">
        <f t="shared" si="5"/>
        <v>0</v>
      </c>
      <c r="W30" s="80"/>
      <c r="X30" s="84">
        <f t="shared" si="1"/>
        <v>0</v>
      </c>
      <c r="Y30" s="85"/>
      <c r="Z30" s="86" t="e">
        <f t="shared" si="6"/>
        <v>#DIV/0!</v>
      </c>
    </row>
    <row r="31" spans="1:26" x14ac:dyDescent="0.25">
      <c r="A31" s="13" t="s">
        <v>120</v>
      </c>
      <c r="B31" s="67">
        <f t="shared" si="7"/>
        <v>23</v>
      </c>
      <c r="C31" s="68"/>
      <c r="D31" s="69">
        <f t="shared" si="8"/>
        <v>0</v>
      </c>
      <c r="E31" s="68"/>
      <c r="F31" s="69">
        <f t="shared" si="9"/>
        <v>0</v>
      </c>
      <c r="G31" s="68"/>
      <c r="H31" s="69">
        <f t="shared" si="10"/>
        <v>0</v>
      </c>
      <c r="I31" s="71">
        <f t="shared" si="2"/>
        <v>0</v>
      </c>
      <c r="J31" s="72">
        <v>0.98</v>
      </c>
      <c r="K31" s="73">
        <f t="shared" si="3"/>
        <v>0</v>
      </c>
      <c r="L31" s="74"/>
      <c r="M31" s="70"/>
      <c r="N31" s="69">
        <f t="shared" si="11"/>
        <v>0</v>
      </c>
      <c r="O31" s="68"/>
      <c r="P31" s="69">
        <f t="shared" si="12"/>
        <v>0</v>
      </c>
      <c r="Q31" s="75">
        <f t="shared" si="0"/>
        <v>0</v>
      </c>
      <c r="R31" s="76">
        <f t="shared" si="4"/>
        <v>0</v>
      </c>
      <c r="S31" s="77"/>
      <c r="T31" s="89"/>
      <c r="U31" s="69">
        <f t="shared" si="13"/>
        <v>0</v>
      </c>
      <c r="V31" s="79">
        <f t="shared" si="5"/>
        <v>0</v>
      </c>
      <c r="W31" s="80"/>
      <c r="X31" s="102">
        <f t="shared" si="1"/>
        <v>0</v>
      </c>
      <c r="Y31" s="85"/>
      <c r="Z31" s="86" t="e">
        <f t="shared" si="6"/>
        <v>#DIV/0!</v>
      </c>
    </row>
    <row r="32" spans="1:26" x14ac:dyDescent="0.25">
      <c r="A32" s="13" t="s">
        <v>96</v>
      </c>
      <c r="B32" s="67">
        <f t="shared" si="7"/>
        <v>24</v>
      </c>
      <c r="C32" s="68"/>
      <c r="D32" s="69">
        <f t="shared" si="8"/>
        <v>0</v>
      </c>
      <c r="E32" s="68"/>
      <c r="F32" s="69">
        <f t="shared" si="9"/>
        <v>0</v>
      </c>
      <c r="G32" s="68"/>
      <c r="H32" s="69">
        <f t="shared" si="10"/>
        <v>0</v>
      </c>
      <c r="I32" s="71">
        <f t="shared" si="2"/>
        <v>0</v>
      </c>
      <c r="J32" s="72">
        <v>0.98</v>
      </c>
      <c r="K32" s="73">
        <f t="shared" si="3"/>
        <v>0</v>
      </c>
      <c r="L32" s="74"/>
      <c r="M32" s="70"/>
      <c r="N32" s="69">
        <f t="shared" si="11"/>
        <v>0</v>
      </c>
      <c r="O32" s="68"/>
      <c r="P32" s="69">
        <f t="shared" si="12"/>
        <v>0</v>
      </c>
      <c r="Q32" s="75">
        <f t="shared" si="0"/>
        <v>0</v>
      </c>
      <c r="R32" s="76">
        <f t="shared" si="4"/>
        <v>0</v>
      </c>
      <c r="S32" s="77"/>
      <c r="T32" s="89"/>
      <c r="U32" s="69">
        <f t="shared" si="13"/>
        <v>0</v>
      </c>
      <c r="V32" s="79">
        <f t="shared" si="5"/>
        <v>0</v>
      </c>
      <c r="W32" s="80"/>
      <c r="X32" s="102">
        <f t="shared" si="1"/>
        <v>0</v>
      </c>
      <c r="Y32" s="85"/>
      <c r="Z32" s="86" t="e">
        <f t="shared" si="6"/>
        <v>#DIV/0!</v>
      </c>
    </row>
    <row r="33" spans="1:26" x14ac:dyDescent="0.25">
      <c r="A33" s="13" t="s">
        <v>121</v>
      </c>
      <c r="B33" s="67">
        <f t="shared" si="7"/>
        <v>25</v>
      </c>
      <c r="C33" s="68"/>
      <c r="D33" s="69">
        <f t="shared" si="8"/>
        <v>0</v>
      </c>
      <c r="E33" s="68"/>
      <c r="F33" s="69">
        <f t="shared" si="9"/>
        <v>0</v>
      </c>
      <c r="G33" s="68"/>
      <c r="H33" s="69">
        <f t="shared" si="10"/>
        <v>0</v>
      </c>
      <c r="I33" s="71">
        <f t="shared" si="2"/>
        <v>0</v>
      </c>
      <c r="J33" s="72">
        <v>0.98</v>
      </c>
      <c r="K33" s="73">
        <f t="shared" si="3"/>
        <v>0</v>
      </c>
      <c r="L33" s="74"/>
      <c r="M33" s="70"/>
      <c r="N33" s="69">
        <f t="shared" si="11"/>
        <v>0</v>
      </c>
      <c r="O33" s="68"/>
      <c r="P33" s="69">
        <f t="shared" si="12"/>
        <v>0</v>
      </c>
      <c r="Q33" s="75">
        <f t="shared" si="0"/>
        <v>0</v>
      </c>
      <c r="R33" s="76">
        <f t="shared" si="4"/>
        <v>0</v>
      </c>
      <c r="S33" s="77"/>
      <c r="T33" s="89"/>
      <c r="U33" s="69">
        <f t="shared" si="13"/>
        <v>0</v>
      </c>
      <c r="V33" s="79">
        <f t="shared" si="5"/>
        <v>0</v>
      </c>
      <c r="W33" s="80"/>
      <c r="X33" s="102">
        <f t="shared" si="1"/>
        <v>0</v>
      </c>
      <c r="Y33" s="85"/>
      <c r="Z33" s="86" t="e">
        <f t="shared" si="6"/>
        <v>#DIV/0!</v>
      </c>
    </row>
    <row r="34" spans="1:26" x14ac:dyDescent="0.25">
      <c r="A34" s="13" t="s">
        <v>116</v>
      </c>
      <c r="B34" s="67">
        <f t="shared" si="7"/>
        <v>26</v>
      </c>
      <c r="C34" s="90"/>
      <c r="D34" s="69">
        <f t="shared" si="8"/>
        <v>0</v>
      </c>
      <c r="E34" s="68"/>
      <c r="F34" s="69">
        <f t="shared" si="9"/>
        <v>0</v>
      </c>
      <c r="G34" s="68"/>
      <c r="H34" s="69">
        <f t="shared" si="10"/>
        <v>0</v>
      </c>
      <c r="I34" s="71">
        <f t="shared" si="2"/>
        <v>0</v>
      </c>
      <c r="J34" s="72">
        <v>0.98</v>
      </c>
      <c r="K34" s="73">
        <f t="shared" si="3"/>
        <v>0</v>
      </c>
      <c r="L34" s="74"/>
      <c r="M34" s="70"/>
      <c r="N34" s="69">
        <f t="shared" si="11"/>
        <v>0</v>
      </c>
      <c r="O34" s="68"/>
      <c r="P34" s="69">
        <f t="shared" si="12"/>
        <v>0</v>
      </c>
      <c r="Q34" s="75">
        <f t="shared" si="0"/>
        <v>0</v>
      </c>
      <c r="R34" s="76">
        <f t="shared" si="4"/>
        <v>0</v>
      </c>
      <c r="S34" s="77"/>
      <c r="T34" s="89"/>
      <c r="U34" s="69">
        <f t="shared" si="13"/>
        <v>0</v>
      </c>
      <c r="V34" s="79">
        <f t="shared" si="5"/>
        <v>0</v>
      </c>
      <c r="W34" s="80"/>
      <c r="X34" s="102">
        <f t="shared" si="1"/>
        <v>0</v>
      </c>
      <c r="Y34" s="85"/>
      <c r="Z34" s="86" t="e">
        <f t="shared" si="6"/>
        <v>#DIV/0!</v>
      </c>
    </row>
    <row r="35" spans="1:26" x14ac:dyDescent="0.25">
      <c r="A35" s="13" t="s">
        <v>117</v>
      </c>
      <c r="B35" s="67">
        <f t="shared" si="7"/>
        <v>27</v>
      </c>
      <c r="C35" s="90"/>
      <c r="D35" s="69">
        <f t="shared" si="8"/>
        <v>0</v>
      </c>
      <c r="E35" s="68"/>
      <c r="F35" s="69">
        <f t="shared" si="9"/>
        <v>0</v>
      </c>
      <c r="G35" s="68"/>
      <c r="H35" s="69">
        <f t="shared" si="10"/>
        <v>0</v>
      </c>
      <c r="I35" s="71">
        <f t="shared" si="2"/>
        <v>0</v>
      </c>
      <c r="J35" s="72">
        <v>0.98</v>
      </c>
      <c r="K35" s="73">
        <f t="shared" si="3"/>
        <v>0</v>
      </c>
      <c r="L35" s="74"/>
      <c r="M35" s="70"/>
      <c r="N35" s="69">
        <f t="shared" si="11"/>
        <v>0</v>
      </c>
      <c r="O35" s="68"/>
      <c r="P35" s="69">
        <f t="shared" si="12"/>
        <v>0</v>
      </c>
      <c r="Q35" s="75">
        <f t="shared" si="0"/>
        <v>0</v>
      </c>
      <c r="R35" s="76">
        <f t="shared" si="4"/>
        <v>0</v>
      </c>
      <c r="S35" s="77"/>
      <c r="T35" s="89"/>
      <c r="U35" s="69">
        <f t="shared" si="13"/>
        <v>0</v>
      </c>
      <c r="V35" s="79">
        <f t="shared" si="5"/>
        <v>0</v>
      </c>
      <c r="W35" s="80"/>
      <c r="X35" s="102">
        <f t="shared" si="1"/>
        <v>0</v>
      </c>
      <c r="Y35" s="85"/>
      <c r="Z35" s="86" t="e">
        <f t="shared" si="6"/>
        <v>#DIV/0!</v>
      </c>
    </row>
    <row r="36" spans="1:26" x14ac:dyDescent="0.25">
      <c r="A36" s="13" t="s">
        <v>118</v>
      </c>
      <c r="B36" s="67">
        <f>B35+1</f>
        <v>28</v>
      </c>
      <c r="C36" s="90"/>
      <c r="D36" s="69">
        <f t="shared" si="8"/>
        <v>0</v>
      </c>
      <c r="E36" s="103"/>
      <c r="F36" s="69">
        <f t="shared" si="9"/>
        <v>0</v>
      </c>
      <c r="G36" s="103"/>
      <c r="H36" s="69">
        <f t="shared" si="10"/>
        <v>0</v>
      </c>
      <c r="I36" s="71">
        <f t="shared" si="2"/>
        <v>0</v>
      </c>
      <c r="J36" s="72">
        <v>0.98</v>
      </c>
      <c r="K36" s="73">
        <f t="shared" si="3"/>
        <v>0</v>
      </c>
      <c r="L36" s="74"/>
      <c r="M36" s="70"/>
      <c r="N36" s="69">
        <f t="shared" si="11"/>
        <v>0</v>
      </c>
      <c r="O36" s="68"/>
      <c r="P36" s="69">
        <f t="shared" si="12"/>
        <v>0</v>
      </c>
      <c r="Q36" s="75">
        <f t="shared" si="0"/>
        <v>0</v>
      </c>
      <c r="R36" s="76">
        <f t="shared" si="4"/>
        <v>0</v>
      </c>
      <c r="S36" s="77"/>
      <c r="T36" s="89"/>
      <c r="U36" s="69">
        <f t="shared" si="13"/>
        <v>0</v>
      </c>
      <c r="V36" s="79">
        <f t="shared" si="5"/>
        <v>0</v>
      </c>
      <c r="W36" s="80"/>
      <c r="X36" s="102">
        <f t="shared" si="1"/>
        <v>0</v>
      </c>
      <c r="Y36" s="85"/>
      <c r="Z36" s="86" t="e">
        <f t="shared" si="6"/>
        <v>#DIV/0!</v>
      </c>
    </row>
    <row r="37" spans="1:26" x14ac:dyDescent="0.25">
      <c r="A37" s="13" t="s">
        <v>119</v>
      </c>
      <c r="B37" s="67">
        <f t="shared" si="7"/>
        <v>29</v>
      </c>
      <c r="C37" s="90"/>
      <c r="D37" s="69">
        <f t="shared" si="8"/>
        <v>0</v>
      </c>
      <c r="E37" s="103"/>
      <c r="F37" s="69">
        <f t="shared" si="9"/>
        <v>0</v>
      </c>
      <c r="G37" s="103"/>
      <c r="H37" s="69">
        <f t="shared" si="10"/>
        <v>0</v>
      </c>
      <c r="I37" s="71">
        <f t="shared" si="2"/>
        <v>0</v>
      </c>
      <c r="J37" s="72">
        <v>0.99</v>
      </c>
      <c r="K37" s="73">
        <f t="shared" si="3"/>
        <v>0</v>
      </c>
      <c r="L37" s="74"/>
      <c r="M37" s="70"/>
      <c r="N37" s="69">
        <f t="shared" si="11"/>
        <v>0</v>
      </c>
      <c r="O37" s="68"/>
      <c r="P37" s="69">
        <f t="shared" si="12"/>
        <v>0</v>
      </c>
      <c r="Q37" s="75">
        <f t="shared" si="0"/>
        <v>0</v>
      </c>
      <c r="R37" s="76">
        <f t="shared" si="4"/>
        <v>0</v>
      </c>
      <c r="S37" s="77"/>
      <c r="T37" s="89"/>
      <c r="U37" s="69">
        <f t="shared" si="13"/>
        <v>0</v>
      </c>
      <c r="V37" s="79">
        <f t="shared" si="5"/>
        <v>0</v>
      </c>
      <c r="W37" s="80"/>
      <c r="X37" s="102">
        <f t="shared" si="1"/>
        <v>0</v>
      </c>
      <c r="Y37" s="80"/>
      <c r="Z37" s="86" t="e">
        <f t="shared" si="6"/>
        <v>#DIV/0!</v>
      </c>
    </row>
    <row r="38" spans="1:26" x14ac:dyDescent="0.25">
      <c r="A38" s="13" t="s">
        <v>120</v>
      </c>
      <c r="B38" s="67">
        <f t="shared" si="7"/>
        <v>30</v>
      </c>
      <c r="C38" s="68"/>
      <c r="D38" s="69">
        <f t="shared" si="8"/>
        <v>0</v>
      </c>
      <c r="E38" s="90"/>
      <c r="F38" s="69">
        <f t="shared" si="9"/>
        <v>0</v>
      </c>
      <c r="G38" s="90"/>
      <c r="H38" s="69">
        <f t="shared" si="10"/>
        <v>0</v>
      </c>
      <c r="I38" s="71">
        <f t="shared" si="2"/>
        <v>0</v>
      </c>
      <c r="J38" s="72">
        <v>0.99</v>
      </c>
      <c r="K38" s="73">
        <f t="shared" si="3"/>
        <v>0</v>
      </c>
      <c r="L38" s="74"/>
      <c r="M38" s="70"/>
      <c r="N38" s="69">
        <f t="shared" si="11"/>
        <v>0</v>
      </c>
      <c r="O38" s="68"/>
      <c r="P38" s="69">
        <f t="shared" si="12"/>
        <v>0</v>
      </c>
      <c r="Q38" s="75">
        <f t="shared" si="0"/>
        <v>0</v>
      </c>
      <c r="R38" s="76">
        <f t="shared" si="4"/>
        <v>0</v>
      </c>
      <c r="S38" s="77"/>
      <c r="T38" s="89"/>
      <c r="U38" s="69">
        <f t="shared" si="13"/>
        <v>0</v>
      </c>
      <c r="V38" s="79">
        <f t="shared" si="5"/>
        <v>0</v>
      </c>
      <c r="W38" s="80"/>
      <c r="X38" s="102">
        <f t="shared" si="1"/>
        <v>0</v>
      </c>
      <c r="Y38" s="80"/>
      <c r="Z38" s="86" t="e">
        <f t="shared" si="6"/>
        <v>#DIV/0!</v>
      </c>
    </row>
    <row r="39" spans="1:26" x14ac:dyDescent="0.25">
      <c r="A39" s="13" t="s">
        <v>96</v>
      </c>
      <c r="B39" s="104">
        <v>31</v>
      </c>
      <c r="C39" s="105"/>
      <c r="D39" s="69">
        <f t="shared" si="8"/>
        <v>0</v>
      </c>
      <c r="E39" s="106"/>
      <c r="F39" s="69">
        <f t="shared" si="9"/>
        <v>0</v>
      </c>
      <c r="G39" s="88"/>
      <c r="H39" s="69">
        <f t="shared" si="10"/>
        <v>0</v>
      </c>
      <c r="I39" s="71">
        <f t="shared" si="2"/>
        <v>0</v>
      </c>
      <c r="J39" s="72">
        <v>0.99</v>
      </c>
      <c r="K39" s="73">
        <f t="shared" si="3"/>
        <v>0</v>
      </c>
      <c r="L39" s="74"/>
      <c r="M39" s="105"/>
      <c r="N39" s="69">
        <f t="shared" si="11"/>
        <v>0</v>
      </c>
      <c r="O39" s="105"/>
      <c r="P39" s="69">
        <f t="shared" si="12"/>
        <v>0</v>
      </c>
      <c r="Q39" s="75">
        <f t="shared" si="0"/>
        <v>0</v>
      </c>
      <c r="R39" s="76">
        <f t="shared" si="4"/>
        <v>0</v>
      </c>
      <c r="S39" s="77"/>
      <c r="T39" s="107"/>
      <c r="U39" s="69">
        <f t="shared" si="13"/>
        <v>0</v>
      </c>
      <c r="V39" s="79">
        <f t="shared" si="5"/>
        <v>0</v>
      </c>
      <c r="W39" s="80"/>
      <c r="X39" s="102">
        <f t="shared" si="1"/>
        <v>0</v>
      </c>
      <c r="Y39" s="80"/>
      <c r="Z39" s="86" t="e">
        <f t="shared" si="6"/>
        <v>#DIV/0!</v>
      </c>
    </row>
    <row r="40" spans="1:26" x14ac:dyDescent="0.25">
      <c r="A40" s="13"/>
      <c r="B40" s="108"/>
      <c r="C40" s="152">
        <f>SUMIF(D9:D39,"&gt;0")</f>
        <v>43815</v>
      </c>
      <c r="D40" s="153"/>
      <c r="E40" s="154">
        <f>SUMIF(F9:F39,"&gt;0")</f>
        <v>43423</v>
      </c>
      <c r="F40" s="155"/>
      <c r="G40" s="152">
        <f>SUMIF(H9:H39,"&gt;0")</f>
        <v>40929</v>
      </c>
      <c r="H40" s="155"/>
      <c r="I40" s="109">
        <f>SUMIF(I9:I39,"&gt;0")</f>
        <v>128167</v>
      </c>
      <c r="J40" s="110"/>
      <c r="K40" s="111">
        <f>SUMIF(K9:K39,"&gt;0")</f>
        <v>32169.917000000001</v>
      </c>
      <c r="L40" s="109"/>
      <c r="M40" s="152">
        <f>SUMIF(N9:N39,"&gt;0")</f>
        <v>1231</v>
      </c>
      <c r="N40" s="155"/>
      <c r="O40" s="152">
        <f>SUMIF(P9:P39,"&gt;0")</f>
        <v>7575</v>
      </c>
      <c r="P40" s="155"/>
      <c r="Q40" s="110">
        <f>SUMIF(Q9:Q39,"&gt;0")</f>
        <v>8806</v>
      </c>
      <c r="R40" s="111">
        <f>SUMIF(R9:R39,"&gt;0")</f>
        <v>5035.4116960000001</v>
      </c>
      <c r="S40" s="112"/>
      <c r="T40" s="136">
        <f>SUMIF(U9:U39,"&gt;0")</f>
        <v>3226</v>
      </c>
      <c r="U40" s="136"/>
      <c r="V40" s="113">
        <f>SUMIF(V9:V39,"&gt;0")</f>
        <v>9210.2300000000014</v>
      </c>
      <c r="W40" s="114"/>
      <c r="X40" s="115">
        <f>SUMIF(X9:X39,"&gt;0")</f>
        <v>46415.558696</v>
      </c>
      <c r="Y40" s="116">
        <f>SUM(Y9:Y39)</f>
        <v>275</v>
      </c>
      <c r="Z40" s="117">
        <f>(SUMIF(Z9:Z36,"&gt;0")/31)</f>
        <v>76.471059481654407</v>
      </c>
    </row>
  </sheetData>
  <mergeCells count="13">
    <mergeCell ref="T40:U40"/>
    <mergeCell ref="B1:E4"/>
    <mergeCell ref="F1:V4"/>
    <mergeCell ref="W1:Z2"/>
    <mergeCell ref="W3:Z4"/>
    <mergeCell ref="C7:K7"/>
    <mergeCell ref="M7:R7"/>
    <mergeCell ref="T7:V7"/>
    <mergeCell ref="C40:D40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8"/>
  <sheetViews>
    <sheetView zoomScaleNormal="100" workbookViewId="0">
      <selection activeCell="G16" sqref="G16"/>
    </sheetView>
  </sheetViews>
  <sheetFormatPr defaultRowHeight="15" x14ac:dyDescent="0.25"/>
  <sheetData>
    <row r="6" spans="1:83" ht="15.75" thickBot="1" x14ac:dyDescent="0.3">
      <c r="B6" s="118">
        <v>49433</v>
      </c>
      <c r="C6" s="119">
        <v>79236</v>
      </c>
      <c r="D6" s="120">
        <v>15207</v>
      </c>
      <c r="E6" s="120">
        <v>13719</v>
      </c>
      <c r="F6" s="120">
        <v>189420</v>
      </c>
      <c r="G6" s="120">
        <v>3495</v>
      </c>
      <c r="H6" s="119">
        <v>1485</v>
      </c>
      <c r="I6" s="120">
        <v>380288</v>
      </c>
      <c r="J6" s="120">
        <v>68377</v>
      </c>
      <c r="K6" s="120">
        <v>7921</v>
      </c>
      <c r="L6" s="120">
        <v>29890</v>
      </c>
      <c r="M6" s="120">
        <v>52115</v>
      </c>
      <c r="N6" s="120">
        <v>38542</v>
      </c>
      <c r="O6" s="120">
        <v>181658</v>
      </c>
      <c r="P6" s="120">
        <v>375920</v>
      </c>
      <c r="Q6" s="120">
        <v>2808</v>
      </c>
      <c r="R6" s="120">
        <v>18050</v>
      </c>
      <c r="S6" s="120">
        <v>25503</v>
      </c>
      <c r="T6" s="120">
        <v>278413</v>
      </c>
      <c r="U6" s="120">
        <v>375407</v>
      </c>
      <c r="V6" s="120">
        <v>40159</v>
      </c>
      <c r="W6" s="120">
        <v>5416</v>
      </c>
      <c r="X6" s="120">
        <v>13927</v>
      </c>
      <c r="Y6" s="120">
        <v>86195</v>
      </c>
      <c r="Z6" s="119">
        <v>540</v>
      </c>
      <c r="AA6" s="120">
        <v>170186</v>
      </c>
      <c r="AB6" s="120">
        <v>7562</v>
      </c>
      <c r="AC6" s="120">
        <v>1974</v>
      </c>
      <c r="AD6" s="120">
        <v>17975</v>
      </c>
      <c r="AE6" s="120">
        <v>76508</v>
      </c>
      <c r="AF6" s="120">
        <v>205359</v>
      </c>
      <c r="AG6" s="120">
        <v>1125790</v>
      </c>
      <c r="AH6" s="120">
        <v>11123</v>
      </c>
      <c r="AI6" s="120">
        <v>483379</v>
      </c>
      <c r="AJ6" s="120">
        <v>637743</v>
      </c>
      <c r="AK6" s="120">
        <v>9334</v>
      </c>
      <c r="AL6" s="121">
        <v>29315</v>
      </c>
      <c r="AM6" s="120">
        <v>28542</v>
      </c>
      <c r="AN6" s="122">
        <v>596531</v>
      </c>
      <c r="AO6" s="122">
        <v>5246</v>
      </c>
      <c r="AP6" s="123">
        <v>0</v>
      </c>
      <c r="AQ6" s="120">
        <v>109712</v>
      </c>
      <c r="AR6" s="120">
        <v>217210</v>
      </c>
      <c r="AS6" s="120">
        <v>63112</v>
      </c>
      <c r="AT6" s="120">
        <v>560</v>
      </c>
      <c r="AU6" s="120">
        <v>107079</v>
      </c>
      <c r="AV6" s="120">
        <v>44534</v>
      </c>
      <c r="AW6" s="120">
        <v>38275</v>
      </c>
      <c r="AX6" s="120">
        <v>175158</v>
      </c>
      <c r="AY6" s="124">
        <v>481902</v>
      </c>
    </row>
    <row r="7" spans="1:83" ht="90" x14ac:dyDescent="0.25">
      <c r="A7" s="125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6" t="s">
        <v>63</v>
      </c>
      <c r="BA7" s="126" t="s">
        <v>64</v>
      </c>
      <c r="BB7" s="126" t="s">
        <v>65</v>
      </c>
      <c r="BC7" s="126" t="s">
        <v>66</v>
      </c>
      <c r="BD7" s="126" t="s">
        <v>67</v>
      </c>
      <c r="BE7" s="126" t="s">
        <v>68</v>
      </c>
      <c r="BF7" s="126" t="s">
        <v>69</v>
      </c>
      <c r="BG7" s="126" t="s">
        <v>70</v>
      </c>
      <c r="BH7" s="126" t="s">
        <v>71</v>
      </c>
      <c r="BI7" s="126" t="s">
        <v>72</v>
      </c>
      <c r="BJ7" s="126" t="s">
        <v>73</v>
      </c>
      <c r="BK7" s="126" t="s">
        <v>74</v>
      </c>
      <c r="BL7" s="126" t="s">
        <v>75</v>
      </c>
      <c r="BM7" s="126" t="s">
        <v>76</v>
      </c>
      <c r="BN7" s="126" t="s">
        <v>77</v>
      </c>
      <c r="BO7" s="126" t="s">
        <v>78</v>
      </c>
      <c r="BP7" s="126" t="s">
        <v>79</v>
      </c>
      <c r="BQ7" s="126" t="s">
        <v>80</v>
      </c>
      <c r="BR7" s="126" t="s">
        <v>81</v>
      </c>
      <c r="BS7" s="127" t="s">
        <v>82</v>
      </c>
      <c r="BT7" s="127" t="s">
        <v>83</v>
      </c>
      <c r="BU7" s="127" t="s">
        <v>84</v>
      </c>
      <c r="BV7" s="127" t="s">
        <v>85</v>
      </c>
      <c r="BW7" s="127" t="s">
        <v>86</v>
      </c>
      <c r="BX7" s="127" t="s">
        <v>87</v>
      </c>
      <c r="BY7" s="127" t="s">
        <v>88</v>
      </c>
      <c r="BZ7" s="127" t="s">
        <v>89</v>
      </c>
      <c r="CA7" s="127" t="s">
        <v>90</v>
      </c>
      <c r="CB7" s="127" t="s">
        <v>91</v>
      </c>
      <c r="CC7" s="127" t="s">
        <v>92</v>
      </c>
      <c r="CD7" s="127" t="s">
        <v>93</v>
      </c>
      <c r="CE7" s="127" t="s">
        <v>94</v>
      </c>
    </row>
    <row r="8" spans="1:83" x14ac:dyDescent="0.25">
      <c r="A8">
        <v>1</v>
      </c>
      <c r="B8" s="128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30"/>
      <c r="AN8" s="129"/>
      <c r="AO8" s="131"/>
      <c r="AP8" s="131"/>
      <c r="AQ8" s="131"/>
      <c r="AR8" s="129"/>
      <c r="AS8" s="129"/>
      <c r="AT8" s="129"/>
      <c r="AU8" s="129"/>
      <c r="AV8" s="129"/>
      <c r="AW8" s="129"/>
      <c r="AX8" s="129"/>
      <c r="AY8" s="129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32"/>
    </row>
    <row r="9" spans="1:83" x14ac:dyDescent="0.25">
      <c r="A9">
        <v>2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33"/>
      <c r="AM9" s="119"/>
      <c r="AN9" s="123"/>
      <c r="AO9" s="123"/>
      <c r="AP9" s="123"/>
      <c r="AQ9" s="119"/>
      <c r="AR9" s="119"/>
      <c r="AS9" s="119"/>
      <c r="AT9" s="119"/>
      <c r="AU9" s="119"/>
      <c r="AV9" s="119"/>
      <c r="AW9" s="119"/>
      <c r="AX9" s="119"/>
      <c r="AY9" s="119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132"/>
      <c r="CB9" s="132"/>
      <c r="CC9" s="132"/>
      <c r="CD9" s="132"/>
      <c r="CE9" s="132"/>
    </row>
    <row r="10" spans="1:83" x14ac:dyDescent="0.25">
      <c r="A10">
        <v>3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23"/>
      <c r="AF10" s="123"/>
      <c r="AG10" s="132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2"/>
      <c r="CD10" s="132"/>
      <c r="CE10" s="132"/>
    </row>
    <row r="11" spans="1:83" x14ac:dyDescent="0.25">
      <c r="A11">
        <v>4</v>
      </c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33"/>
      <c r="AM11" s="119"/>
      <c r="AN11" s="123"/>
      <c r="AO11" s="123"/>
      <c r="AP11" s="123"/>
      <c r="AQ11" s="119"/>
      <c r="AR11" s="119"/>
      <c r="AS11" s="119"/>
      <c r="AT11" s="119"/>
      <c r="AU11" s="119"/>
      <c r="AV11" s="119"/>
      <c r="AW11" s="119"/>
      <c r="AX11" s="119"/>
      <c r="AY11" s="119"/>
      <c r="AZ11" s="132"/>
      <c r="BA11" s="132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2"/>
      <c r="CD11" s="132"/>
      <c r="CE11" s="132"/>
    </row>
    <row r="12" spans="1:83" x14ac:dyDescent="0.25">
      <c r="A12">
        <v>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</row>
    <row r="13" spans="1:83" x14ac:dyDescent="0.25">
      <c r="A13">
        <v>6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33"/>
      <c r="AM13" s="119"/>
      <c r="AN13" s="123"/>
      <c r="AO13" s="123"/>
      <c r="AP13" s="123"/>
      <c r="AQ13" s="119"/>
      <c r="AR13" s="119"/>
      <c r="AS13" s="119"/>
      <c r="AT13" s="119"/>
      <c r="AU13" s="119"/>
      <c r="AV13" s="119"/>
      <c r="AW13" s="119"/>
      <c r="AX13" s="119"/>
      <c r="AY13" s="119"/>
      <c r="AZ13" s="132"/>
      <c r="BA13" s="132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132"/>
      <c r="CD13" s="132"/>
      <c r="CE13" s="132"/>
    </row>
    <row r="14" spans="1:83" x14ac:dyDescent="0.25">
      <c r="A14">
        <v>7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33"/>
      <c r="AM14" s="119"/>
      <c r="AN14" s="123"/>
      <c r="AO14" s="123"/>
      <c r="AP14" s="123"/>
      <c r="AQ14" s="119"/>
      <c r="AR14" s="119"/>
      <c r="AS14" s="119"/>
      <c r="AT14" s="119"/>
      <c r="AU14" s="119"/>
      <c r="AV14" s="119"/>
      <c r="AW14" s="119"/>
      <c r="AX14" s="119"/>
      <c r="AY14" s="119"/>
      <c r="AZ14" s="132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  <c r="CC14" s="132"/>
      <c r="CD14" s="132"/>
      <c r="CE14" s="132"/>
    </row>
    <row r="15" spans="1:83" x14ac:dyDescent="0.25">
      <c r="A15">
        <v>8</v>
      </c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33"/>
      <c r="AM15" s="119"/>
      <c r="AN15" s="123"/>
      <c r="AO15" s="123"/>
      <c r="AP15" s="123"/>
      <c r="AQ15" s="119"/>
      <c r="AR15" s="119"/>
      <c r="AS15" s="119"/>
      <c r="AT15" s="119"/>
      <c r="AU15" s="119"/>
      <c r="AV15" s="119"/>
      <c r="AW15" s="119"/>
      <c r="AX15" s="119"/>
      <c r="AY15" s="119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</row>
    <row r="16" spans="1:83" x14ac:dyDescent="0.25">
      <c r="A16">
        <v>9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33"/>
      <c r="AM16" s="119"/>
      <c r="AN16" s="123"/>
      <c r="AO16" s="123"/>
      <c r="AP16" s="123"/>
      <c r="AQ16" s="119"/>
      <c r="AR16" s="119"/>
      <c r="AS16" s="119"/>
      <c r="AT16" s="119"/>
      <c r="AU16" s="119"/>
      <c r="AV16" s="119"/>
      <c r="AW16" s="119"/>
      <c r="AX16" s="119"/>
      <c r="AY16" s="119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</row>
    <row r="17" spans="1:83" x14ac:dyDescent="0.25">
      <c r="A17">
        <v>10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33"/>
      <c r="AM17" s="119"/>
      <c r="AN17" s="123"/>
      <c r="AO17" s="123"/>
      <c r="AP17" s="123"/>
      <c r="AQ17" s="119"/>
      <c r="AR17" s="119"/>
      <c r="AS17" s="119"/>
      <c r="AT17" s="119"/>
      <c r="AU17" s="119"/>
      <c r="AV17" s="119"/>
      <c r="AW17" s="119"/>
      <c r="AX17" s="119"/>
      <c r="AY17" s="119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</row>
    <row r="18" spans="1:83" x14ac:dyDescent="0.25">
      <c r="A18">
        <v>11</v>
      </c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33"/>
      <c r="AM18" s="119"/>
      <c r="AN18" s="123"/>
      <c r="AO18" s="123"/>
      <c r="AP18" s="123"/>
      <c r="AQ18" s="119"/>
      <c r="AR18" s="119"/>
      <c r="AS18" s="119"/>
      <c r="AT18" s="119"/>
      <c r="AU18" s="119"/>
      <c r="AV18" s="119"/>
      <c r="AW18" s="119"/>
      <c r="AX18" s="119"/>
      <c r="AY18" s="119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</row>
    <row r="19" spans="1:83" x14ac:dyDescent="0.25">
      <c r="A19">
        <v>12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33"/>
      <c r="AM19" s="119"/>
      <c r="AN19" s="123"/>
      <c r="AO19" s="123"/>
      <c r="AP19" s="123"/>
      <c r="AQ19" s="119"/>
      <c r="AR19" s="119"/>
      <c r="AS19" s="119"/>
      <c r="AT19" s="119"/>
      <c r="AU19" s="119"/>
      <c r="AV19" s="119"/>
      <c r="AW19" s="119"/>
      <c r="AX19" s="119"/>
      <c r="AY19" s="119"/>
      <c r="AZ19" s="132"/>
      <c r="BA19" s="132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2"/>
      <c r="BW19" s="132"/>
      <c r="BX19" s="132"/>
      <c r="BY19" s="132"/>
      <c r="BZ19" s="132"/>
      <c r="CA19" s="132"/>
      <c r="CB19" s="132"/>
      <c r="CC19" s="132"/>
      <c r="CD19" s="132"/>
      <c r="CE19" s="132"/>
    </row>
    <row r="20" spans="1:83" x14ac:dyDescent="0.25">
      <c r="A20">
        <v>13</v>
      </c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23"/>
      <c r="AK20" s="123"/>
      <c r="AL20" s="13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132"/>
      <c r="CB20" s="132"/>
      <c r="CC20" s="132"/>
      <c r="CD20" s="132"/>
      <c r="CE20" s="132"/>
    </row>
    <row r="21" spans="1:83" x14ac:dyDescent="0.25">
      <c r="A21">
        <v>14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23"/>
      <c r="AK21" s="123"/>
      <c r="AL21" s="13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  <c r="BM21" s="132"/>
      <c r="BN21" s="132"/>
      <c r="BO21" s="132"/>
      <c r="BP21" s="132"/>
      <c r="BQ21" s="132"/>
      <c r="BR21" s="132"/>
      <c r="BS21" s="132"/>
      <c r="BT21" s="132"/>
      <c r="BU21" s="132"/>
      <c r="BV21" s="132"/>
      <c r="BW21" s="132"/>
      <c r="BX21" s="132"/>
      <c r="BY21" s="132"/>
      <c r="BZ21" s="132"/>
      <c r="CA21" s="132"/>
      <c r="CB21" s="132"/>
      <c r="CC21" s="132"/>
      <c r="CD21" s="132"/>
      <c r="CE21" s="132"/>
    </row>
    <row r="22" spans="1:83" x14ac:dyDescent="0.25">
      <c r="A22">
        <v>15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23"/>
      <c r="AK22" s="123"/>
      <c r="AL22" s="13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32"/>
      <c r="BA22" s="132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2"/>
      <c r="BM22" s="132"/>
      <c r="BN22" s="132"/>
      <c r="BO22" s="132"/>
      <c r="BP22" s="132"/>
      <c r="BQ22" s="132"/>
      <c r="BR22" s="132"/>
      <c r="BS22" s="132"/>
      <c r="BT22" s="132"/>
      <c r="BU22" s="132"/>
      <c r="BV22" s="132"/>
      <c r="BW22" s="132"/>
      <c r="BX22" s="132"/>
      <c r="BY22" s="132"/>
      <c r="BZ22" s="132"/>
      <c r="CA22" s="132"/>
      <c r="CB22" s="132"/>
      <c r="CC22" s="132"/>
      <c r="CD22" s="132"/>
      <c r="CE22" s="132"/>
    </row>
    <row r="23" spans="1:83" x14ac:dyDescent="0.25">
      <c r="A23">
        <v>16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33"/>
      <c r="AM23" s="119"/>
      <c r="AN23" s="123"/>
      <c r="AO23" s="123"/>
      <c r="AP23" s="123"/>
      <c r="AQ23" s="119"/>
      <c r="AR23" s="119"/>
      <c r="AS23" s="119"/>
      <c r="AT23" s="119"/>
      <c r="AU23" s="119"/>
      <c r="AV23" s="119"/>
      <c r="AW23" s="119"/>
      <c r="AX23" s="119"/>
      <c r="AY23" s="119"/>
      <c r="AZ23" s="132"/>
      <c r="BA23" s="132"/>
      <c r="BB23" s="132"/>
      <c r="BC23" s="132"/>
      <c r="BD23" s="132"/>
      <c r="BE23" s="132"/>
      <c r="BF23" s="132"/>
      <c r="BG23" s="132"/>
      <c r="BH23" s="132"/>
      <c r="BI23" s="132"/>
      <c r="BJ23" s="132"/>
      <c r="BK23" s="132"/>
      <c r="BL23" s="132"/>
      <c r="BM23" s="132"/>
      <c r="BN23" s="132"/>
      <c r="BO23" s="132"/>
      <c r="BP23" s="132"/>
      <c r="BQ23" s="132"/>
      <c r="BR23" s="132"/>
      <c r="BS23" s="132"/>
      <c r="BT23" s="132"/>
      <c r="BU23" s="132"/>
      <c r="BV23" s="132"/>
      <c r="BW23" s="132"/>
      <c r="BX23" s="132"/>
      <c r="BY23" s="132"/>
      <c r="BZ23" s="132"/>
      <c r="CA23" s="132"/>
      <c r="CB23" s="132"/>
      <c r="CC23" s="132"/>
      <c r="CD23" s="132"/>
      <c r="CE23" s="132"/>
    </row>
    <row r="24" spans="1:83" x14ac:dyDescent="0.25">
      <c r="A24">
        <v>17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33"/>
      <c r="AM24" s="119"/>
      <c r="AN24" s="123"/>
      <c r="AO24" s="123"/>
      <c r="AP24" s="123"/>
      <c r="AQ24" s="119"/>
      <c r="AR24" s="119"/>
      <c r="AS24" s="119"/>
      <c r="AT24" s="119"/>
      <c r="AU24" s="119"/>
      <c r="AV24" s="119"/>
      <c r="AW24" s="119"/>
      <c r="AX24" s="119"/>
      <c r="AY24" s="119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  <c r="BM24" s="132"/>
      <c r="BN24" s="132"/>
      <c r="BO24" s="132"/>
      <c r="BP24" s="132"/>
      <c r="BQ24" s="132"/>
      <c r="BR24" s="132"/>
      <c r="BS24" s="132"/>
      <c r="BT24" s="132"/>
      <c r="BU24" s="132"/>
      <c r="BV24" s="132"/>
      <c r="BW24" s="132"/>
      <c r="BX24" s="132"/>
      <c r="BY24" s="132"/>
      <c r="BZ24" s="132"/>
      <c r="CA24" s="132"/>
      <c r="CB24" s="132"/>
      <c r="CC24" s="132"/>
      <c r="CD24" s="132"/>
      <c r="CE24" s="132"/>
    </row>
    <row r="25" spans="1:83" x14ac:dyDescent="0.25">
      <c r="A25">
        <v>18</v>
      </c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33"/>
      <c r="AM25" s="119"/>
      <c r="AN25" s="123"/>
      <c r="AO25" s="123"/>
      <c r="AP25" s="123"/>
      <c r="AQ25" s="119"/>
      <c r="AR25" s="119"/>
      <c r="AS25" s="119"/>
      <c r="AT25" s="119"/>
      <c r="AU25" s="119"/>
      <c r="AV25" s="119"/>
      <c r="AW25" s="119"/>
      <c r="AX25" s="119"/>
      <c r="AY25" s="119"/>
      <c r="AZ25" s="132"/>
      <c r="BA25" s="132"/>
      <c r="BB25" s="132"/>
      <c r="BC25" s="132"/>
      <c r="BD25" s="132"/>
      <c r="BE25" s="132"/>
      <c r="BF25" s="132"/>
      <c r="BG25" s="132"/>
      <c r="BH25" s="132"/>
      <c r="BI25" s="132"/>
      <c r="BJ25" s="132"/>
      <c r="BK25" s="132"/>
      <c r="BL25" s="132"/>
      <c r="BM25" s="132"/>
      <c r="BN25" s="132"/>
      <c r="BO25" s="132"/>
      <c r="BP25" s="132"/>
      <c r="BQ25" s="132"/>
      <c r="BR25" s="132"/>
      <c r="BS25" s="132"/>
      <c r="BT25" s="132"/>
      <c r="BU25" s="132"/>
      <c r="BV25" s="132"/>
      <c r="BW25" s="132"/>
      <c r="BX25" s="132"/>
      <c r="BY25" s="132"/>
      <c r="BZ25" s="132"/>
      <c r="CA25" s="132"/>
      <c r="CB25" s="132"/>
      <c r="CC25" s="132"/>
      <c r="CD25" s="132"/>
      <c r="CE25" s="132"/>
    </row>
    <row r="26" spans="1:83" x14ac:dyDescent="0.25">
      <c r="A26">
        <v>19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33"/>
      <c r="AM26" s="119"/>
      <c r="AN26" s="123"/>
      <c r="AO26" s="123"/>
      <c r="AP26" s="123"/>
      <c r="AQ26" s="119"/>
      <c r="AR26" s="119"/>
      <c r="AS26" s="119"/>
      <c r="AT26" s="119"/>
      <c r="AU26" s="119"/>
      <c r="AV26" s="119"/>
      <c r="AW26" s="119"/>
      <c r="AX26" s="119"/>
      <c r="AY26" s="119"/>
      <c r="AZ26" s="132"/>
      <c r="BA26" s="132"/>
      <c r="BB26" s="132"/>
      <c r="BC26" s="132"/>
      <c r="BD26" s="132"/>
      <c r="BE26" s="132"/>
      <c r="BF26" s="132"/>
      <c r="BG26" s="132"/>
      <c r="BH26" s="132"/>
      <c r="BI26" s="132"/>
      <c r="BJ26" s="132"/>
      <c r="BK26" s="132"/>
      <c r="BL26" s="132"/>
      <c r="BM26" s="132"/>
      <c r="BN26" s="132"/>
      <c r="BO26" s="132"/>
      <c r="BP26" s="132"/>
      <c r="BQ26" s="132"/>
      <c r="BR26" s="132"/>
      <c r="BS26" s="132"/>
      <c r="BT26" s="132"/>
      <c r="BU26" s="132"/>
      <c r="BV26" s="132"/>
      <c r="BW26" s="132"/>
      <c r="BX26" s="132"/>
      <c r="BY26" s="132"/>
      <c r="BZ26" s="132"/>
      <c r="CA26" s="132"/>
      <c r="CB26" s="132"/>
      <c r="CC26" s="132"/>
      <c r="CD26" s="132"/>
      <c r="CE26" s="132"/>
    </row>
    <row r="27" spans="1:83" x14ac:dyDescent="0.25">
      <c r="A27">
        <v>20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33"/>
      <c r="AM27" s="119"/>
      <c r="AN27" s="123"/>
      <c r="AO27" s="123"/>
      <c r="AP27" s="123"/>
      <c r="AQ27" s="119"/>
      <c r="AR27" s="119"/>
      <c r="AS27" s="119"/>
      <c r="AT27" s="119"/>
      <c r="AU27" s="119"/>
      <c r="AV27" s="119"/>
      <c r="AW27" s="119"/>
      <c r="AX27" s="119"/>
      <c r="AY27" s="119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132"/>
      <c r="BN27" s="132"/>
      <c r="BO27" s="132"/>
      <c r="BP27" s="132"/>
      <c r="BQ27" s="132"/>
      <c r="BR27" s="132"/>
      <c r="BS27" s="132"/>
      <c r="BT27" s="132"/>
      <c r="BU27" s="132"/>
      <c r="BV27" s="132"/>
      <c r="BW27" s="132"/>
      <c r="BX27" s="132"/>
      <c r="BY27" s="132"/>
      <c r="BZ27" s="132"/>
      <c r="CA27" s="132"/>
      <c r="CB27" s="132"/>
      <c r="CC27" s="132"/>
      <c r="CD27" s="132"/>
      <c r="CE27" s="132"/>
    </row>
    <row r="28" spans="1:83" x14ac:dyDescent="0.25">
      <c r="A28">
        <v>21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33"/>
      <c r="AM28" s="119"/>
      <c r="AN28" s="123"/>
      <c r="AO28" s="123"/>
      <c r="AP28" s="123"/>
      <c r="AQ28" s="119"/>
      <c r="AR28" s="119"/>
      <c r="AS28" s="119"/>
      <c r="AT28" s="119"/>
      <c r="AU28" s="119"/>
      <c r="AV28" s="119"/>
      <c r="AW28" s="119"/>
      <c r="AX28" s="119"/>
      <c r="AY28" s="119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2"/>
      <c r="BZ28" s="132"/>
      <c r="CA28" s="132"/>
      <c r="CB28" s="132"/>
      <c r="CC28" s="132"/>
      <c r="CD28" s="132"/>
      <c r="CE28" s="132"/>
    </row>
    <row r="29" spans="1:83" x14ac:dyDescent="0.25">
      <c r="A29">
        <v>22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33"/>
      <c r="AM29" s="119"/>
      <c r="AN29" s="123"/>
      <c r="AO29" s="123"/>
      <c r="AP29" s="123"/>
      <c r="AQ29" s="119"/>
      <c r="AR29" s="119"/>
      <c r="AS29" s="119"/>
      <c r="AT29" s="119"/>
      <c r="AU29" s="119"/>
      <c r="AV29" s="119"/>
      <c r="AW29" s="119"/>
      <c r="AX29" s="119"/>
      <c r="AY29" s="119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  <c r="CC29" s="132"/>
      <c r="CD29" s="132"/>
      <c r="CE29" s="132"/>
    </row>
    <row r="30" spans="1:83" x14ac:dyDescent="0.25">
      <c r="A30">
        <v>23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33"/>
      <c r="AM30" s="119"/>
      <c r="AN30" s="123"/>
      <c r="AO30" s="123"/>
      <c r="AP30" s="123"/>
      <c r="AQ30" s="119"/>
      <c r="AR30" s="123"/>
      <c r="AS30" s="119"/>
      <c r="AT30" s="119"/>
      <c r="AU30" s="119"/>
      <c r="AV30" s="119"/>
      <c r="AW30" s="119"/>
      <c r="AX30" s="119"/>
      <c r="AY30" s="119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  <c r="BO30" s="132"/>
      <c r="BP30" s="132"/>
      <c r="BQ30" s="132"/>
      <c r="BR30" s="132"/>
      <c r="BS30" s="132"/>
      <c r="BT30" s="132"/>
      <c r="BU30" s="132"/>
      <c r="BV30" s="132"/>
      <c r="BW30" s="132"/>
      <c r="BX30" s="132"/>
      <c r="BY30" s="132"/>
      <c r="BZ30" s="132"/>
      <c r="CA30" s="132"/>
      <c r="CB30" s="132"/>
      <c r="CC30" s="132"/>
      <c r="CD30" s="132"/>
      <c r="CE30" s="132"/>
    </row>
    <row r="31" spans="1:83" x14ac:dyDescent="0.25">
      <c r="A31">
        <v>24</v>
      </c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33"/>
      <c r="AM31" s="119"/>
      <c r="AN31" s="123"/>
      <c r="AO31" s="123"/>
      <c r="AP31" s="123"/>
      <c r="AQ31" s="119"/>
      <c r="AR31" s="119"/>
      <c r="AS31" s="119"/>
      <c r="AT31" s="119"/>
      <c r="AU31" s="119"/>
      <c r="AV31" s="119"/>
      <c r="AW31" s="119"/>
      <c r="AX31" s="119"/>
      <c r="AY31" s="119"/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  <c r="BM31" s="132"/>
      <c r="BN31" s="132"/>
      <c r="BO31" s="132"/>
      <c r="BP31" s="132"/>
      <c r="BQ31" s="132"/>
      <c r="BR31" s="132"/>
      <c r="BS31" s="132"/>
      <c r="BT31" s="132"/>
      <c r="BU31" s="132"/>
      <c r="BV31" s="132"/>
      <c r="BW31" s="132"/>
      <c r="BX31" s="132"/>
      <c r="BY31" s="132"/>
      <c r="BZ31" s="132"/>
      <c r="CA31" s="132"/>
      <c r="CB31" s="132"/>
      <c r="CC31" s="132"/>
      <c r="CD31" s="132"/>
      <c r="CE31" s="132"/>
    </row>
    <row r="32" spans="1:83" x14ac:dyDescent="0.25">
      <c r="A32">
        <v>25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33"/>
      <c r="AM32" s="119"/>
      <c r="AN32" s="123"/>
      <c r="AO32" s="123"/>
      <c r="AP32" s="123"/>
      <c r="AQ32" s="119"/>
      <c r="AR32" s="119"/>
      <c r="AS32" s="119"/>
      <c r="AT32" s="119"/>
      <c r="AU32" s="119"/>
      <c r="AV32" s="119"/>
      <c r="AW32" s="119"/>
      <c r="AX32" s="119"/>
      <c r="AY32" s="119"/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2"/>
      <c r="BV32" s="132"/>
      <c r="BW32" s="132"/>
      <c r="BX32" s="132"/>
      <c r="BY32" s="132"/>
      <c r="BZ32" s="132"/>
      <c r="CA32" s="132"/>
      <c r="CB32" s="132"/>
      <c r="CC32" s="132"/>
      <c r="CD32" s="132"/>
      <c r="CE32" s="132"/>
    </row>
    <row r="33" spans="1:83" x14ac:dyDescent="0.25">
      <c r="A33">
        <v>26</v>
      </c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33"/>
      <c r="AM33" s="119"/>
      <c r="AN33" s="123"/>
      <c r="AO33" s="123"/>
      <c r="AP33" s="123"/>
      <c r="AQ33" s="119"/>
      <c r="AR33" s="119"/>
      <c r="AS33" s="119"/>
      <c r="AT33" s="119"/>
      <c r="AU33" s="119"/>
      <c r="AV33" s="119"/>
      <c r="AW33" s="119"/>
      <c r="AX33" s="119"/>
      <c r="AY33" s="119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2"/>
      <c r="BZ33" s="132"/>
      <c r="CA33" s="132"/>
      <c r="CB33" s="132"/>
      <c r="CC33" s="132"/>
      <c r="CD33" s="132"/>
      <c r="CE33" s="132"/>
    </row>
    <row r="34" spans="1:83" x14ac:dyDescent="0.25">
      <c r="A34">
        <v>27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33"/>
      <c r="AM34" s="119"/>
      <c r="AN34" s="123"/>
      <c r="AO34" s="123"/>
      <c r="AP34" s="123"/>
      <c r="AQ34" s="119"/>
      <c r="AR34" s="119"/>
      <c r="AS34" s="119"/>
      <c r="AT34" s="119"/>
      <c r="AU34" s="119"/>
      <c r="AV34" s="119"/>
      <c r="AW34" s="119"/>
      <c r="AX34" s="119"/>
      <c r="AY34" s="119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  <c r="BU34" s="132"/>
      <c r="BV34" s="132"/>
      <c r="BW34" s="132"/>
      <c r="BX34" s="132"/>
      <c r="BY34" s="132"/>
      <c r="BZ34" s="132"/>
      <c r="CA34" s="132"/>
      <c r="CB34" s="132"/>
      <c r="CC34" s="132"/>
      <c r="CD34" s="132"/>
      <c r="CE34" s="132"/>
    </row>
    <row r="35" spans="1:83" x14ac:dyDescent="0.25">
      <c r="A35">
        <v>28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33"/>
      <c r="AM35" s="119"/>
      <c r="AN35" s="123"/>
      <c r="AO35" s="123"/>
      <c r="AP35" s="123"/>
      <c r="AQ35" s="119"/>
      <c r="AR35" s="119"/>
      <c r="AS35" s="119"/>
      <c r="AT35" s="119"/>
      <c r="AU35" s="119"/>
      <c r="AV35" s="119"/>
      <c r="AW35" s="119"/>
      <c r="AX35" s="119"/>
      <c r="AY35" s="119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2"/>
      <c r="BR35" s="132"/>
      <c r="BS35" s="132"/>
      <c r="BT35" s="132"/>
      <c r="BU35" s="132"/>
      <c r="BV35" s="132"/>
      <c r="BW35" s="132"/>
      <c r="BX35" s="132"/>
      <c r="BY35" s="132"/>
      <c r="BZ35" s="132"/>
      <c r="CA35" s="132"/>
      <c r="CB35" s="132"/>
      <c r="CC35" s="132"/>
      <c r="CD35" s="132"/>
      <c r="CE35" s="132"/>
    </row>
    <row r="36" spans="1:83" x14ac:dyDescent="0.25">
      <c r="A36">
        <v>29</v>
      </c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33"/>
      <c r="AM36" s="119"/>
      <c r="AN36" s="123"/>
      <c r="AO36" s="123"/>
      <c r="AP36" s="123"/>
      <c r="AQ36" s="119"/>
      <c r="AR36" s="119"/>
      <c r="AS36" s="119"/>
      <c r="AT36" s="119"/>
      <c r="AU36" s="119"/>
      <c r="AV36" s="119"/>
      <c r="AW36" s="119"/>
      <c r="AX36" s="119"/>
      <c r="AY36" s="119"/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</row>
    <row r="37" spans="1:83" ht="15.75" thickBot="1" x14ac:dyDescent="0.3">
      <c r="A37">
        <v>30</v>
      </c>
      <c r="B37" s="134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33"/>
      <c r="AM37" s="119"/>
      <c r="AN37" s="123"/>
      <c r="AO37" s="123"/>
      <c r="AP37" s="123"/>
      <c r="AQ37" s="119"/>
      <c r="AR37" s="119"/>
      <c r="AS37" s="119"/>
      <c r="AT37" s="119"/>
      <c r="AU37" s="119"/>
      <c r="AV37" s="119"/>
      <c r="AW37" s="119"/>
      <c r="AX37" s="119"/>
      <c r="AY37" s="135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</row>
    <row r="38" spans="1:83" ht="15.75" thickBot="1" x14ac:dyDescent="0.3">
      <c r="A38">
        <v>31</v>
      </c>
      <c r="B38" s="118"/>
      <c r="C38" s="119"/>
      <c r="D38" s="120"/>
      <c r="E38" s="120"/>
      <c r="F38" s="120"/>
      <c r="G38" s="120"/>
      <c r="H38" s="119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9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1"/>
      <c r="AM38" s="120"/>
      <c r="AN38" s="122"/>
      <c r="AO38" s="122"/>
      <c r="AP38" s="123"/>
      <c r="AQ38" s="120"/>
      <c r="AR38" s="120"/>
      <c r="AS38" s="120"/>
      <c r="AT38" s="120"/>
      <c r="AU38" s="120"/>
      <c r="AV38" s="120"/>
      <c r="AW38" s="120"/>
      <c r="AX38" s="120"/>
      <c r="AY38" s="124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2020-07-12T08:49:16Z</dcterms:modified>
</cp:coreProperties>
</file>