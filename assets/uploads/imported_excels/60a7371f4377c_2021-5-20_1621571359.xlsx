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Only'!$A$1:$F$38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9" l="1"/>
  <c r="BO20" i="19" l="1"/>
  <c r="AT20" i="19"/>
  <c r="AQ20" i="19"/>
  <c r="AN18" i="19"/>
  <c r="J5" i="9" l="1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2" i="9"/>
  <c r="H26" i="9"/>
  <c r="H27" i="9"/>
  <c r="H28" i="9"/>
  <c r="H29" i="9"/>
  <c r="H30" i="9"/>
  <c r="H31" i="9"/>
  <c r="H32" i="9"/>
  <c r="H33" i="9"/>
  <c r="H34" i="9"/>
  <c r="H5" i="9"/>
  <c r="D10" i="7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H20" i="9" s="1"/>
  <c r="F21" i="9"/>
  <c r="H21" i="9" s="1"/>
  <c r="F22" i="9"/>
  <c r="F23" i="9"/>
  <c r="H23" i="9" s="1"/>
  <c r="F24" i="9"/>
  <c r="H24" i="9" s="1"/>
  <c r="F25" i="9"/>
  <c r="H25" i="9" s="1"/>
  <c r="F26" i="9"/>
  <c r="F27" i="9"/>
  <c r="F28" i="9"/>
  <c r="F29" i="9"/>
  <c r="F30" i="9"/>
  <c r="F31" i="9"/>
  <c r="F32" i="9"/>
  <c r="F33" i="9"/>
  <c r="F34" i="9"/>
  <c r="F6" i="9"/>
  <c r="AN17" i="19"/>
  <c r="AV13" i="12" l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D35" i="22" l="1"/>
  <c r="B40" i="7"/>
  <c r="D40" i="7"/>
  <c r="B40" i="6"/>
  <c r="D40" i="6"/>
  <c r="B40" i="5"/>
  <c r="D40" i="5"/>
  <c r="B40" i="4"/>
  <c r="D40" i="4"/>
  <c r="B40" i="3"/>
  <c r="D40" i="3"/>
  <c r="E32" i="17" l="1"/>
  <c r="DS11" i="12"/>
  <c r="DS10" i="12"/>
  <c r="DS9" i="12"/>
  <c r="N13" i="19"/>
  <c r="H6" i="21" l="1"/>
  <c r="AP13" i="19" l="1"/>
  <c r="AP14" i="19"/>
  <c r="AP15" i="19"/>
  <c r="AP16" i="19"/>
  <c r="AP17" i="19"/>
  <c r="AP18" i="19"/>
  <c r="AP19" i="19"/>
  <c r="AS13" i="19"/>
  <c r="AS14" i="19"/>
  <c r="AS15" i="19"/>
  <c r="AS16" i="19"/>
  <c r="AS17" i="19"/>
  <c r="AS18" i="19"/>
  <c r="AS19" i="19"/>
  <c r="AS20" i="19"/>
  <c r="AS21" i="19"/>
  <c r="AV13" i="19"/>
  <c r="AV14" i="19"/>
  <c r="AV15" i="19"/>
  <c r="AV16" i="19"/>
  <c r="AV17" i="19"/>
  <c r="AV18" i="19"/>
  <c r="BA12" i="19"/>
  <c r="BA13" i="19"/>
  <c r="AY12" i="19"/>
  <c r="AY13" i="19"/>
  <c r="AY14" i="19"/>
  <c r="BA14" i="19" s="1"/>
  <c r="AY15" i="19"/>
  <c r="BA15" i="19" s="1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2" i="19"/>
  <c r="BE13" i="19"/>
  <c r="BE14" i="19"/>
  <c r="BE15" i="19"/>
  <c r="BE16" i="19"/>
  <c r="BE17" i="19"/>
  <c r="BE18" i="19"/>
  <c r="BH13" i="19"/>
  <c r="BH14" i="19"/>
  <c r="BH15" i="19"/>
  <c r="BH16" i="19"/>
  <c r="BH17" i="19"/>
  <c r="BK13" i="19"/>
  <c r="BK14" i="19"/>
  <c r="BK15" i="19"/>
  <c r="BK16" i="19"/>
  <c r="BN13" i="19"/>
  <c r="BN14" i="19"/>
  <c r="BN15" i="19"/>
  <c r="BN16" i="19"/>
  <c r="BQ13" i="19"/>
  <c r="BQ14" i="19"/>
  <c r="BQ15" i="19"/>
  <c r="BQ16" i="19"/>
  <c r="BT13" i="19"/>
  <c r="BT14" i="19"/>
  <c r="BT15" i="19"/>
  <c r="BT16" i="19"/>
  <c r="BW13" i="19"/>
  <c r="BW14" i="19"/>
  <c r="BW15" i="19"/>
  <c r="BW16" i="19"/>
  <c r="BW17" i="19"/>
  <c r="BW18" i="19"/>
  <c r="BZ13" i="19"/>
  <c r="BZ14" i="19"/>
  <c r="BZ15" i="19"/>
  <c r="BZ16" i="19"/>
  <c r="BZ17" i="19"/>
  <c r="CC13" i="19"/>
  <c r="CC14" i="19"/>
  <c r="CC15" i="19"/>
  <c r="CC16" i="19"/>
  <c r="CF13" i="19"/>
  <c r="CF14" i="19"/>
  <c r="CF15" i="19"/>
  <c r="CF16" i="19"/>
  <c r="CF17" i="19"/>
  <c r="CI13" i="19"/>
  <c r="CI14" i="19"/>
  <c r="CI15" i="19"/>
  <c r="CI16" i="19"/>
  <c r="CI17" i="19"/>
  <c r="CI18" i="19"/>
  <c r="CI19" i="19"/>
  <c r="AM13" i="19"/>
  <c r="AM14" i="19"/>
  <c r="AM15" i="19"/>
  <c r="AM16" i="19"/>
  <c r="AM17" i="19"/>
  <c r="AM18" i="19"/>
  <c r="AM19" i="19"/>
  <c r="AJ13" i="19"/>
  <c r="AJ14" i="19"/>
  <c r="AJ15" i="19"/>
  <c r="AJ16" i="19"/>
  <c r="AJ17" i="19"/>
  <c r="AJ18" i="19"/>
  <c r="AJ19" i="19"/>
  <c r="AG13" i="19"/>
  <c r="AG14" i="19"/>
  <c r="AG15" i="19"/>
  <c r="AD13" i="19"/>
  <c r="AD14" i="19"/>
  <c r="AD15" i="19"/>
  <c r="AD16" i="19"/>
  <c r="AF6" i="19"/>
  <c r="AD17" i="19"/>
  <c r="AA13" i="19"/>
  <c r="AA14" i="19"/>
  <c r="K31" i="17"/>
  <c r="L31" i="17"/>
  <c r="K32" i="17"/>
  <c r="L32" i="17"/>
  <c r="CI8" i="19" l="1"/>
  <c r="CI9" i="19"/>
  <c r="CI10" i="19"/>
  <c r="CI11" i="19"/>
  <c r="CI12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9" i="19"/>
  <c r="BQ10" i="19"/>
  <c r="BQ11" i="19"/>
  <c r="BQ12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BA11" i="19" s="1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2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R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8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B41" i="6"/>
  <c r="B41" i="5"/>
  <c r="B41" i="4"/>
  <c r="E37" i="21"/>
  <c r="W37" i="19"/>
  <c r="W38" i="19" s="1"/>
  <c r="EQ22" i="12"/>
  <c r="ES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L36" i="19"/>
  <c r="G36" i="19"/>
  <c r="B36" i="19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L23" i="12"/>
  <c r="EN23" i="12" s="1"/>
  <c r="EQ34" i="12"/>
  <c r="ES34" i="12" s="1"/>
  <c r="EQ33" i="12"/>
  <c r="ES33" i="12" s="1"/>
  <c r="EQ32" i="12"/>
  <c r="ES32" i="12" s="1"/>
  <c r="EQ31" i="12"/>
  <c r="ES31" i="12" s="1"/>
  <c r="EQ30" i="12"/>
  <c r="ES30" i="12" s="1"/>
  <c r="EQ29" i="12"/>
  <c r="ES29" i="12" s="1"/>
  <c r="EQ28" i="12"/>
  <c r="ES28" i="12" s="1"/>
  <c r="EQ27" i="12"/>
  <c r="ES27" i="12" s="1"/>
  <c r="EQ26" i="12"/>
  <c r="ES26" i="12" s="1"/>
  <c r="EQ25" i="12"/>
  <c r="ES25" i="12" s="1"/>
  <c r="EQ24" i="12"/>
  <c r="ES24" i="12" s="1"/>
  <c r="EQ23" i="12"/>
  <c r="ES23" i="12" s="1"/>
  <c r="EQ21" i="12"/>
  <c r="ES21" i="12" s="1"/>
  <c r="EQ20" i="12"/>
  <c r="ES20" i="12" s="1"/>
  <c r="EQ19" i="12"/>
  <c r="ES19" i="12" s="1"/>
  <c r="EQ18" i="12"/>
  <c r="ES18" i="12" s="1"/>
  <c r="EQ17" i="12"/>
  <c r="ES17" i="12" s="1"/>
  <c r="EQ16" i="12"/>
  <c r="ES16" i="12" s="1"/>
  <c r="EQ15" i="12"/>
  <c r="ES15" i="12" s="1"/>
  <c r="EQ14" i="12"/>
  <c r="ES14" i="12" s="1"/>
  <c r="EQ13" i="12"/>
  <c r="ES13" i="12" s="1"/>
  <c r="EQ12" i="12"/>
  <c r="ES12" i="12" s="1"/>
  <c r="EQ11" i="12"/>
  <c r="ES11" i="12" s="1"/>
  <c r="EQ10" i="12"/>
  <c r="ES10" i="12" s="1"/>
  <c r="EQ9" i="12"/>
  <c r="ES9" i="12" s="1"/>
  <c r="EQ8" i="12"/>
  <c r="ES8" i="12" s="1"/>
  <c r="EQ7" i="12"/>
  <c r="ES7" i="12" s="1"/>
  <c r="EQ6" i="12"/>
  <c r="ES6" i="12" s="1"/>
  <c r="ES5" i="12"/>
  <c r="EL34" i="12"/>
  <c r="EN34" i="12" s="1"/>
  <c r="EL33" i="12"/>
  <c r="EN33" i="12" s="1"/>
  <c r="EL32" i="12"/>
  <c r="EN32" i="12" s="1"/>
  <c r="EL31" i="12"/>
  <c r="EN31" i="12" s="1"/>
  <c r="EL30" i="12"/>
  <c r="EN30" i="12" s="1"/>
  <c r="EL29" i="12"/>
  <c r="EN29" i="12" s="1"/>
  <c r="EL28" i="12"/>
  <c r="EN28" i="12" s="1"/>
  <c r="EL27" i="12"/>
  <c r="EN27" i="12" s="1"/>
  <c r="EL26" i="12"/>
  <c r="EN26" i="12" s="1"/>
  <c r="EL25" i="12"/>
  <c r="EN25" i="12" s="1"/>
  <c r="EL24" i="12"/>
  <c r="EN24" i="12" s="1"/>
  <c r="EL22" i="12"/>
  <c r="EN22" i="12" s="1"/>
  <c r="EL21" i="12"/>
  <c r="EN21" i="12" s="1"/>
  <c r="EL20" i="12"/>
  <c r="EN20" i="12" s="1"/>
  <c r="EL19" i="12"/>
  <c r="EN19" i="12" s="1"/>
  <c r="EL18" i="12"/>
  <c r="EN18" i="12" s="1"/>
  <c r="EL17" i="12"/>
  <c r="EN17" i="12" s="1"/>
  <c r="EL16" i="12"/>
  <c r="EN16" i="12" s="1"/>
  <c r="EL15" i="12"/>
  <c r="EN15" i="12" s="1"/>
  <c r="EL14" i="12"/>
  <c r="EN14" i="12" s="1"/>
  <c r="EL13" i="12"/>
  <c r="EN13" i="12" s="1"/>
  <c r="EL12" i="12"/>
  <c r="EN12" i="12" s="1"/>
  <c r="EL11" i="12"/>
  <c r="EN11" i="12" s="1"/>
  <c r="EL10" i="12"/>
  <c r="EN10" i="12" s="1"/>
  <c r="EL9" i="12"/>
  <c r="EN9" i="12" s="1"/>
  <c r="EL8" i="12"/>
  <c r="EN8" i="12" s="1"/>
  <c r="EL7" i="12"/>
  <c r="EN7" i="12" s="1"/>
  <c r="EL6" i="12"/>
  <c r="EN6" i="12" s="1"/>
  <c r="EN5" i="12"/>
  <c r="EG34" i="12"/>
  <c r="EI34" i="12" s="1"/>
  <c r="EG33" i="12"/>
  <c r="EI33" i="12" s="1"/>
  <c r="EG32" i="12"/>
  <c r="EI32" i="12" s="1"/>
  <c r="EG31" i="12"/>
  <c r="EI31" i="12" s="1"/>
  <c r="EG30" i="12"/>
  <c r="EI30" i="12" s="1"/>
  <c r="EG29" i="12"/>
  <c r="EI29" i="12" s="1"/>
  <c r="EG28" i="12"/>
  <c r="EI28" i="12" s="1"/>
  <c r="EG27" i="12"/>
  <c r="EI27" i="12" s="1"/>
  <c r="EG26" i="12"/>
  <c r="EI26" i="12" s="1"/>
  <c r="EG25" i="12"/>
  <c r="EI25" i="12" s="1"/>
  <c r="EG24" i="12"/>
  <c r="EI24" i="12" s="1"/>
  <c r="EG23" i="12"/>
  <c r="EI23" i="12" s="1"/>
  <c r="EG22" i="12"/>
  <c r="EI22" i="12" s="1"/>
  <c r="EG21" i="12"/>
  <c r="EI21" i="12" s="1"/>
  <c r="EG20" i="12"/>
  <c r="EI20" i="12" s="1"/>
  <c r="EG19" i="12"/>
  <c r="EI19" i="12" s="1"/>
  <c r="EG18" i="12"/>
  <c r="EI18" i="12" s="1"/>
  <c r="EG17" i="12"/>
  <c r="EI17" i="12" s="1"/>
  <c r="EG16" i="12"/>
  <c r="EI16" i="12" s="1"/>
  <c r="EG15" i="12"/>
  <c r="EI15" i="12" s="1"/>
  <c r="EG14" i="12"/>
  <c r="EI14" i="12" s="1"/>
  <c r="EG13" i="12"/>
  <c r="EI13" i="12" s="1"/>
  <c r="EG12" i="12"/>
  <c r="EI12" i="12" s="1"/>
  <c r="EG11" i="12"/>
  <c r="EI11" i="12" s="1"/>
  <c r="EG10" i="12"/>
  <c r="EI10" i="12" s="1"/>
  <c r="EG9" i="12"/>
  <c r="EI9" i="12" s="1"/>
  <c r="EG8" i="12"/>
  <c r="EI8" i="12" s="1"/>
  <c r="EG7" i="12"/>
  <c r="EI7" i="12" s="1"/>
  <c r="EG6" i="12"/>
  <c r="EI6" i="12" s="1"/>
  <c r="EI5" i="12"/>
  <c r="EB34" i="12"/>
  <c r="ED34" i="12" s="1"/>
  <c r="EB33" i="12"/>
  <c r="ED33" i="12" s="1"/>
  <c r="EB32" i="12"/>
  <c r="ED32" i="12" s="1"/>
  <c r="EB31" i="12"/>
  <c r="ED31" i="12" s="1"/>
  <c r="EB30" i="12"/>
  <c r="ED30" i="12" s="1"/>
  <c r="EB29" i="12"/>
  <c r="ED29" i="12" s="1"/>
  <c r="EB28" i="12"/>
  <c r="ED28" i="12" s="1"/>
  <c r="EB27" i="12"/>
  <c r="ED27" i="12" s="1"/>
  <c r="EB26" i="12"/>
  <c r="ED26" i="12" s="1"/>
  <c r="EB25" i="12"/>
  <c r="ED25" i="12" s="1"/>
  <c r="EB24" i="12"/>
  <c r="ED24" i="12" s="1"/>
  <c r="EB23" i="12"/>
  <c r="ED23" i="12" s="1"/>
  <c r="EB22" i="12"/>
  <c r="ED22" i="12" s="1"/>
  <c r="EB21" i="12"/>
  <c r="ED21" i="12" s="1"/>
  <c r="EB20" i="12"/>
  <c r="ED20" i="12" s="1"/>
  <c r="EB19" i="12"/>
  <c r="ED19" i="12" s="1"/>
  <c r="EB18" i="12"/>
  <c r="ED18" i="12" s="1"/>
  <c r="EB17" i="12"/>
  <c r="ED17" i="12" s="1"/>
  <c r="EB16" i="12"/>
  <c r="ED16" i="12" s="1"/>
  <c r="EB15" i="12"/>
  <c r="ED15" i="12" s="1"/>
  <c r="EB14" i="12"/>
  <c r="ED14" i="12" s="1"/>
  <c r="EB13" i="12"/>
  <c r="ED13" i="12" s="1"/>
  <c r="EB12" i="12"/>
  <c r="ED12" i="12" s="1"/>
  <c r="EB11" i="12"/>
  <c r="ED11" i="12" s="1"/>
  <c r="EB10" i="12"/>
  <c r="ED10" i="12" s="1"/>
  <c r="EB9" i="12"/>
  <c r="ED9" i="12" s="1"/>
  <c r="EB8" i="12"/>
  <c r="ED8" i="12" s="1"/>
  <c r="EB7" i="12"/>
  <c r="ED7" i="12" s="1"/>
  <c r="EB6" i="12"/>
  <c r="ED6" i="12" s="1"/>
  <c r="ED5" i="12"/>
  <c r="DW34" i="12"/>
  <c r="DY34" i="12" s="1"/>
  <c r="DW33" i="12"/>
  <c r="DY33" i="12" s="1"/>
  <c r="DW32" i="12"/>
  <c r="DY32" i="12" s="1"/>
  <c r="DW31" i="12"/>
  <c r="DY31" i="12" s="1"/>
  <c r="DW30" i="12"/>
  <c r="DY30" i="12" s="1"/>
  <c r="DW29" i="12"/>
  <c r="DY29" i="12" s="1"/>
  <c r="DW28" i="12"/>
  <c r="DY28" i="12" s="1"/>
  <c r="DW27" i="12"/>
  <c r="DY27" i="12" s="1"/>
  <c r="DW26" i="12"/>
  <c r="DY26" i="12" s="1"/>
  <c r="DW25" i="12"/>
  <c r="DY25" i="12" s="1"/>
  <c r="DW24" i="12"/>
  <c r="DY24" i="12" s="1"/>
  <c r="DW23" i="12"/>
  <c r="DY23" i="12" s="1"/>
  <c r="DW22" i="12"/>
  <c r="DY22" i="12" s="1"/>
  <c r="DW21" i="12"/>
  <c r="DY21" i="12" s="1"/>
  <c r="DW20" i="12"/>
  <c r="DY20" i="12" s="1"/>
  <c r="DW19" i="12"/>
  <c r="DY19" i="12" s="1"/>
  <c r="DW18" i="12"/>
  <c r="DY18" i="12" s="1"/>
  <c r="DW17" i="12"/>
  <c r="DY17" i="12" s="1"/>
  <c r="DW16" i="12"/>
  <c r="DY16" i="12" s="1"/>
  <c r="DW15" i="12"/>
  <c r="DY15" i="12" s="1"/>
  <c r="DW14" i="12"/>
  <c r="DY14" i="12" s="1"/>
  <c r="DW13" i="12"/>
  <c r="DY13" i="12" s="1"/>
  <c r="DW12" i="12"/>
  <c r="DY12" i="12" s="1"/>
  <c r="DW11" i="12"/>
  <c r="DY11" i="12" s="1"/>
  <c r="DW10" i="12"/>
  <c r="DY10" i="12" s="1"/>
  <c r="DW9" i="12"/>
  <c r="DY9" i="12" s="1"/>
  <c r="DW8" i="12"/>
  <c r="DY8" i="12" s="1"/>
  <c r="DW7" i="12"/>
  <c r="DY7" i="12" s="1"/>
  <c r="DW6" i="12"/>
  <c r="DY6" i="12" s="1"/>
  <c r="DY5" i="12"/>
  <c r="DR34" i="12"/>
  <c r="DT34" i="12" s="1"/>
  <c r="DR33" i="12"/>
  <c r="DT33" i="12" s="1"/>
  <c r="DR32" i="12"/>
  <c r="DT32" i="12" s="1"/>
  <c r="DR31" i="12"/>
  <c r="DT31" i="12" s="1"/>
  <c r="DR30" i="12"/>
  <c r="DT30" i="12" s="1"/>
  <c r="DR29" i="12"/>
  <c r="DT29" i="12" s="1"/>
  <c r="DR28" i="12"/>
  <c r="DT28" i="12" s="1"/>
  <c r="DR27" i="12"/>
  <c r="DT27" i="12" s="1"/>
  <c r="DR26" i="12"/>
  <c r="DT26" i="12" s="1"/>
  <c r="DR25" i="12"/>
  <c r="DT25" i="12" s="1"/>
  <c r="DR24" i="12"/>
  <c r="DT24" i="12" s="1"/>
  <c r="DR23" i="12"/>
  <c r="DT23" i="12" s="1"/>
  <c r="DR22" i="12"/>
  <c r="DT22" i="12" s="1"/>
  <c r="DR21" i="12"/>
  <c r="DT21" i="12" s="1"/>
  <c r="DR20" i="12"/>
  <c r="DT20" i="12" s="1"/>
  <c r="DR19" i="12"/>
  <c r="DT19" i="12" s="1"/>
  <c r="DR18" i="12"/>
  <c r="DT18" i="12" s="1"/>
  <c r="DR17" i="12"/>
  <c r="DT17" i="12" s="1"/>
  <c r="DR16" i="12"/>
  <c r="DT16" i="12" s="1"/>
  <c r="DR15" i="12"/>
  <c r="DT15" i="12" s="1"/>
  <c r="DR14" i="12"/>
  <c r="DT14" i="12" s="1"/>
  <c r="DR13" i="12"/>
  <c r="DT13" i="12" s="1"/>
  <c r="DR12" i="12"/>
  <c r="DT12" i="12" s="1"/>
  <c r="DR11" i="12"/>
  <c r="DT11" i="12" s="1"/>
  <c r="DR10" i="12"/>
  <c r="DT10" i="12" s="1"/>
  <c r="DR9" i="12"/>
  <c r="DT9" i="12" s="1"/>
  <c r="DR8" i="12"/>
  <c r="DT8" i="12" s="1"/>
  <c r="DR7" i="12"/>
  <c r="DT7" i="12" s="1"/>
  <c r="DR6" i="12"/>
  <c r="DT6" i="12" s="1"/>
  <c r="DT5" i="12"/>
  <c r="DM34" i="12"/>
  <c r="DO34" i="12" s="1"/>
  <c r="DM33" i="12"/>
  <c r="DO33" i="12" s="1"/>
  <c r="DM32" i="12"/>
  <c r="DO32" i="12" s="1"/>
  <c r="DM31" i="12"/>
  <c r="DO31" i="12" s="1"/>
  <c r="DM30" i="12"/>
  <c r="DO30" i="12" s="1"/>
  <c r="DM29" i="12"/>
  <c r="DO29" i="12" s="1"/>
  <c r="DM28" i="12"/>
  <c r="DO28" i="12" s="1"/>
  <c r="DM27" i="12"/>
  <c r="DO27" i="12" s="1"/>
  <c r="DM26" i="12"/>
  <c r="DO26" i="12" s="1"/>
  <c r="DM25" i="12"/>
  <c r="DO25" i="12" s="1"/>
  <c r="DM24" i="12"/>
  <c r="DO24" i="12" s="1"/>
  <c r="DM23" i="12"/>
  <c r="DO23" i="12" s="1"/>
  <c r="DM22" i="12"/>
  <c r="DO22" i="12" s="1"/>
  <c r="DM21" i="12"/>
  <c r="DO21" i="12" s="1"/>
  <c r="DM20" i="12"/>
  <c r="DO20" i="12" s="1"/>
  <c r="DM19" i="12"/>
  <c r="DO19" i="12" s="1"/>
  <c r="DM18" i="12"/>
  <c r="DO18" i="12" s="1"/>
  <c r="DM17" i="12"/>
  <c r="DO17" i="12" s="1"/>
  <c r="DM16" i="12"/>
  <c r="DO16" i="12" s="1"/>
  <c r="DM15" i="12"/>
  <c r="DO15" i="12" s="1"/>
  <c r="DM14" i="12"/>
  <c r="DO14" i="12" s="1"/>
  <c r="DM13" i="12"/>
  <c r="DO13" i="12" s="1"/>
  <c r="DM12" i="12"/>
  <c r="DO12" i="12" s="1"/>
  <c r="DM11" i="12"/>
  <c r="DO11" i="12" s="1"/>
  <c r="DM10" i="12"/>
  <c r="DO10" i="12" s="1"/>
  <c r="DM9" i="12"/>
  <c r="DO9" i="12" s="1"/>
  <c r="DM8" i="12"/>
  <c r="DO8" i="12" s="1"/>
  <c r="DM7" i="12"/>
  <c r="DO7" i="12" s="1"/>
  <c r="DM6" i="12"/>
  <c r="DO6" i="12" s="1"/>
  <c r="DO5" i="12"/>
  <c r="DH34" i="12"/>
  <c r="DJ34" i="12" s="1"/>
  <c r="CS34" i="12"/>
  <c r="CU34" i="12" s="1"/>
  <c r="CN34" i="12"/>
  <c r="CP34" i="12" s="1"/>
  <c r="CI34" i="12"/>
  <c r="CK34" i="12" s="1"/>
  <c r="BY34" i="12"/>
  <c r="CA34" i="12" s="1"/>
  <c r="BT34" i="12"/>
  <c r="BV34" i="12" s="1"/>
  <c r="BO34" i="12"/>
  <c r="BQ34" i="12" s="1"/>
  <c r="CD34" i="12"/>
  <c r="CF34" i="12" s="1"/>
  <c r="BE34" i="12"/>
  <c r="BG34" i="12" s="1"/>
  <c r="BJ34" i="12"/>
  <c r="BL34" i="12" s="1"/>
  <c r="AZ34" i="12"/>
  <c r="BB34" i="12" s="1"/>
  <c r="AU34" i="12"/>
  <c r="AW34" i="12" s="1"/>
  <c r="AP34" i="12"/>
  <c r="AR34" i="12" s="1"/>
  <c r="AK34" i="12"/>
  <c r="AM34" i="12" s="1"/>
  <c r="AF34" i="12"/>
  <c r="AH34" i="12" s="1"/>
  <c r="AA34" i="12"/>
  <c r="AC34" i="12" s="1"/>
  <c r="V34" i="12"/>
  <c r="X34" i="12" s="1"/>
  <c r="B34" i="9"/>
  <c r="D34" i="9" s="1"/>
  <c r="C37" i="1" s="1"/>
  <c r="G35" i="15"/>
  <c r="F35" i="15"/>
  <c r="D35" i="15"/>
  <c r="C35" i="15"/>
  <c r="B38" i="11"/>
  <c r="D38" i="11" s="1"/>
  <c r="BV5" i="12"/>
  <c r="AR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C21" i="12" s="1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6" i="12"/>
  <c r="AC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I5" i="12"/>
  <c r="N5" i="12"/>
  <c r="S5" i="12"/>
  <c r="X5" i="12"/>
  <c r="AC5" i="12"/>
  <c r="AH5" i="12"/>
  <c r="AM5" i="12"/>
  <c r="AW5" i="12"/>
  <c r="BB5" i="12"/>
  <c r="BL5" i="12"/>
  <c r="BG5" i="12"/>
  <c r="CF5" i="12"/>
  <c r="BQ5" i="12"/>
  <c r="CA5" i="12"/>
  <c r="CK5" i="12"/>
  <c r="CP5" i="12"/>
  <c r="CU5" i="12"/>
  <c r="CZ5" i="12"/>
  <c r="DE5" i="12"/>
  <c r="DJ5" i="12"/>
  <c r="B6" i="12"/>
  <c r="D6" i="12" s="1"/>
  <c r="G6" i="12"/>
  <c r="I6" i="12" s="1"/>
  <c r="L6" i="12"/>
  <c r="N6" i="12" s="1"/>
  <c r="Q6" i="12"/>
  <c r="S6" i="12" s="1"/>
  <c r="V6" i="12"/>
  <c r="X6" i="12" s="1"/>
  <c r="AF6" i="12"/>
  <c r="AH6" i="12" s="1"/>
  <c r="AK6" i="12"/>
  <c r="AM6" i="12" s="1"/>
  <c r="AP6" i="12"/>
  <c r="AR6" i="12" s="1"/>
  <c r="AU6" i="12"/>
  <c r="AW6" i="12" s="1"/>
  <c r="AZ6" i="12"/>
  <c r="BB6" i="12" s="1"/>
  <c r="BJ6" i="12"/>
  <c r="BL6" i="12" s="1"/>
  <c r="BE6" i="12"/>
  <c r="BG6" i="12" s="1"/>
  <c r="CD6" i="12"/>
  <c r="CF6" i="12" s="1"/>
  <c r="BO6" i="12"/>
  <c r="BQ6" i="12" s="1"/>
  <c r="BT6" i="12"/>
  <c r="BV6" i="12" s="1"/>
  <c r="BY6" i="12"/>
  <c r="CA6" i="12" s="1"/>
  <c r="CI6" i="12"/>
  <c r="CK6" i="12" s="1"/>
  <c r="CN6" i="12"/>
  <c r="CP6" i="12" s="1"/>
  <c r="CS6" i="12"/>
  <c r="CU6" i="12" s="1"/>
  <c r="CX6" i="12"/>
  <c r="CZ6" i="12" s="1"/>
  <c r="DC6" i="12"/>
  <c r="DE6" i="12" s="1"/>
  <c r="DH6" i="12"/>
  <c r="DJ6" i="12" s="1"/>
  <c r="B7" i="12"/>
  <c r="D7" i="12" s="1"/>
  <c r="G7" i="12"/>
  <c r="I7" i="12" s="1"/>
  <c r="L7" i="12"/>
  <c r="N7" i="12" s="1"/>
  <c r="P7" i="12" s="1"/>
  <c r="Q7" i="12"/>
  <c r="S7" i="12" s="1"/>
  <c r="V7" i="12"/>
  <c r="X7" i="12" s="1"/>
  <c r="AF7" i="12"/>
  <c r="AH7" i="12" s="1"/>
  <c r="AK7" i="12"/>
  <c r="AM7" i="12" s="1"/>
  <c r="AP7" i="12"/>
  <c r="AR7" i="12" s="1"/>
  <c r="AU7" i="12"/>
  <c r="AW7" i="12" s="1"/>
  <c r="AZ7" i="12"/>
  <c r="BB7" i="12" s="1"/>
  <c r="BJ7" i="12"/>
  <c r="BL7" i="12" s="1"/>
  <c r="BE7" i="12"/>
  <c r="BG7" i="12" s="1"/>
  <c r="CD7" i="12"/>
  <c r="CF7" i="12" s="1"/>
  <c r="BO7" i="12"/>
  <c r="BQ7" i="12" s="1"/>
  <c r="BT7" i="12"/>
  <c r="BV7" i="12" s="1"/>
  <c r="BY7" i="12"/>
  <c r="CA7" i="12" s="1"/>
  <c r="CI7" i="12"/>
  <c r="CK7" i="12" s="1"/>
  <c r="CN7" i="12"/>
  <c r="CP7" i="12" s="1"/>
  <c r="CS7" i="12"/>
  <c r="CU7" i="12" s="1"/>
  <c r="CX7" i="12"/>
  <c r="CZ7" i="12" s="1"/>
  <c r="DC7" i="12"/>
  <c r="DE7" i="12" s="1"/>
  <c r="DH7" i="12"/>
  <c r="DJ7" i="12" s="1"/>
  <c r="B8" i="12"/>
  <c r="D8" i="12" s="1"/>
  <c r="G8" i="12"/>
  <c r="I8" i="12" s="1"/>
  <c r="L8" i="12"/>
  <c r="N8" i="12" s="1"/>
  <c r="Q8" i="12"/>
  <c r="S8" i="12" s="1"/>
  <c r="V8" i="12"/>
  <c r="X8" i="12" s="1"/>
  <c r="AF8" i="12"/>
  <c r="AH8" i="12" s="1"/>
  <c r="AK8" i="12"/>
  <c r="AM8" i="12" s="1"/>
  <c r="AP8" i="12"/>
  <c r="AR8" i="12" s="1"/>
  <c r="AU8" i="12"/>
  <c r="AW8" i="12" s="1"/>
  <c r="AZ8" i="12"/>
  <c r="BB8" i="12" s="1"/>
  <c r="BJ8" i="12"/>
  <c r="BL8" i="12" s="1"/>
  <c r="BE8" i="12"/>
  <c r="BG8" i="12" s="1"/>
  <c r="CD8" i="12"/>
  <c r="CF8" i="12" s="1"/>
  <c r="BO8" i="12"/>
  <c r="BQ8" i="12" s="1"/>
  <c r="BT8" i="12"/>
  <c r="BV8" i="12" s="1"/>
  <c r="BY8" i="12"/>
  <c r="CA8" i="12" s="1"/>
  <c r="CI8" i="12"/>
  <c r="CK8" i="12" s="1"/>
  <c r="CN8" i="12"/>
  <c r="CP8" i="12" s="1"/>
  <c r="CS8" i="12"/>
  <c r="CU8" i="12" s="1"/>
  <c r="CX8" i="12"/>
  <c r="CZ8" i="12" s="1"/>
  <c r="DC8" i="12"/>
  <c r="DE8" i="12" s="1"/>
  <c r="DH8" i="12"/>
  <c r="DJ8" i="12" s="1"/>
  <c r="B9" i="12"/>
  <c r="D9" i="12" s="1"/>
  <c r="G9" i="12"/>
  <c r="I9" i="12" s="1"/>
  <c r="L9" i="12"/>
  <c r="N9" i="12" s="1"/>
  <c r="Q9" i="12"/>
  <c r="S9" i="12" s="1"/>
  <c r="V9" i="12"/>
  <c r="X9" i="12" s="1"/>
  <c r="AF9" i="12"/>
  <c r="AH9" i="12" s="1"/>
  <c r="AK9" i="12"/>
  <c r="AM9" i="12" s="1"/>
  <c r="AP9" i="12"/>
  <c r="AR9" i="12" s="1"/>
  <c r="AU9" i="12"/>
  <c r="AW9" i="12" s="1"/>
  <c r="AZ9" i="12"/>
  <c r="BB9" i="12" s="1"/>
  <c r="BJ9" i="12"/>
  <c r="BL9" i="12" s="1"/>
  <c r="BE9" i="12"/>
  <c r="BG9" i="12" s="1"/>
  <c r="CD9" i="12"/>
  <c r="CF9" i="12" s="1"/>
  <c r="BO9" i="12"/>
  <c r="BQ9" i="12" s="1"/>
  <c r="BT9" i="12"/>
  <c r="BV9" i="12" s="1"/>
  <c r="BY9" i="12"/>
  <c r="CA9" i="12" s="1"/>
  <c r="CI9" i="12"/>
  <c r="CK9" i="12" s="1"/>
  <c r="CN9" i="12"/>
  <c r="CP9" i="12" s="1"/>
  <c r="CS9" i="12"/>
  <c r="CU9" i="12" s="1"/>
  <c r="CX9" i="12"/>
  <c r="CZ9" i="12" s="1"/>
  <c r="DC9" i="12"/>
  <c r="DE9" i="12" s="1"/>
  <c r="DH9" i="12"/>
  <c r="DJ9" i="12" s="1"/>
  <c r="B10" i="12"/>
  <c r="D10" i="12" s="1"/>
  <c r="G10" i="12"/>
  <c r="I10" i="12" s="1"/>
  <c r="L10" i="12"/>
  <c r="N10" i="12" s="1"/>
  <c r="Q10" i="12"/>
  <c r="S10" i="12" s="1"/>
  <c r="V10" i="12"/>
  <c r="X10" i="12" s="1"/>
  <c r="AF10" i="12"/>
  <c r="AH10" i="12" s="1"/>
  <c r="AK10" i="12"/>
  <c r="AM10" i="12" s="1"/>
  <c r="AP10" i="12"/>
  <c r="AR10" i="12" s="1"/>
  <c r="AU10" i="12"/>
  <c r="AW10" i="12" s="1"/>
  <c r="AZ10" i="12"/>
  <c r="BB10" i="12" s="1"/>
  <c r="BJ10" i="12"/>
  <c r="BL10" i="12" s="1"/>
  <c r="BE10" i="12"/>
  <c r="BG10" i="12" s="1"/>
  <c r="CD10" i="12"/>
  <c r="CF10" i="12" s="1"/>
  <c r="BO10" i="12"/>
  <c r="BQ10" i="12" s="1"/>
  <c r="BT10" i="12"/>
  <c r="BV10" i="12" s="1"/>
  <c r="BY10" i="12"/>
  <c r="CA10" i="12" s="1"/>
  <c r="CI10" i="12"/>
  <c r="CK10" i="12" s="1"/>
  <c r="CN10" i="12"/>
  <c r="CP10" i="12" s="1"/>
  <c r="CS10" i="12"/>
  <c r="CU10" i="12" s="1"/>
  <c r="CX10" i="12"/>
  <c r="CZ10" i="12" s="1"/>
  <c r="DC10" i="12"/>
  <c r="DE10" i="12" s="1"/>
  <c r="DH10" i="12"/>
  <c r="DJ10" i="12" s="1"/>
  <c r="B11" i="12"/>
  <c r="D11" i="12" s="1"/>
  <c r="G11" i="12"/>
  <c r="I11" i="12" s="1"/>
  <c r="L11" i="12"/>
  <c r="N11" i="12" s="1"/>
  <c r="Q11" i="12"/>
  <c r="S11" i="12" s="1"/>
  <c r="V11" i="12"/>
  <c r="X11" i="12" s="1"/>
  <c r="AF11" i="12"/>
  <c r="AH11" i="12" s="1"/>
  <c r="AK11" i="12"/>
  <c r="AM11" i="12" s="1"/>
  <c r="AP11" i="12"/>
  <c r="AR11" i="12" s="1"/>
  <c r="AU11" i="12"/>
  <c r="AW11" i="12" s="1"/>
  <c r="AZ11" i="12"/>
  <c r="BB11" i="12" s="1"/>
  <c r="BJ11" i="12"/>
  <c r="BL11" i="12" s="1"/>
  <c r="BE11" i="12"/>
  <c r="BG11" i="12" s="1"/>
  <c r="CD11" i="12"/>
  <c r="CF11" i="12" s="1"/>
  <c r="BO11" i="12"/>
  <c r="BQ11" i="12" s="1"/>
  <c r="BT11" i="12"/>
  <c r="BV11" i="12" s="1"/>
  <c r="BY11" i="12"/>
  <c r="CA11" i="12" s="1"/>
  <c r="CI11" i="12"/>
  <c r="CK11" i="12" s="1"/>
  <c r="CN11" i="12"/>
  <c r="CP11" i="12" s="1"/>
  <c r="CS11" i="12"/>
  <c r="CU11" i="12" s="1"/>
  <c r="CX11" i="12"/>
  <c r="CZ11" i="12" s="1"/>
  <c r="DC11" i="12"/>
  <c r="DE11" i="12" s="1"/>
  <c r="DH11" i="12"/>
  <c r="DJ11" i="12" s="1"/>
  <c r="B12" i="12"/>
  <c r="D12" i="12" s="1"/>
  <c r="G12" i="12"/>
  <c r="I12" i="12" s="1"/>
  <c r="L12" i="12"/>
  <c r="N12" i="12" s="1"/>
  <c r="Q12" i="12"/>
  <c r="S12" i="12" s="1"/>
  <c r="V12" i="12"/>
  <c r="X12" i="12" s="1"/>
  <c r="AF12" i="12"/>
  <c r="AH12" i="12" s="1"/>
  <c r="AK12" i="12"/>
  <c r="AM12" i="12" s="1"/>
  <c r="AP12" i="12"/>
  <c r="AR12" i="12" s="1"/>
  <c r="AU12" i="12"/>
  <c r="AW12" i="12" s="1"/>
  <c r="AZ12" i="12"/>
  <c r="BB12" i="12" s="1"/>
  <c r="BJ12" i="12"/>
  <c r="BL12" i="12" s="1"/>
  <c r="BE12" i="12"/>
  <c r="BG12" i="12" s="1"/>
  <c r="CD12" i="12"/>
  <c r="CF12" i="12" s="1"/>
  <c r="BO12" i="12"/>
  <c r="BQ12" i="12" s="1"/>
  <c r="BT12" i="12"/>
  <c r="BV12" i="12" s="1"/>
  <c r="BY12" i="12"/>
  <c r="CA12" i="12" s="1"/>
  <c r="CI12" i="12"/>
  <c r="CK12" i="12" s="1"/>
  <c r="CN12" i="12"/>
  <c r="CP12" i="12" s="1"/>
  <c r="CS12" i="12"/>
  <c r="CU12" i="12" s="1"/>
  <c r="CX12" i="12"/>
  <c r="CZ12" i="12" s="1"/>
  <c r="DC12" i="12"/>
  <c r="DE12" i="12" s="1"/>
  <c r="DH12" i="12"/>
  <c r="DJ12" i="12" s="1"/>
  <c r="B13" i="12"/>
  <c r="D13" i="12" s="1"/>
  <c r="G13" i="12"/>
  <c r="I13" i="12" s="1"/>
  <c r="L13" i="12"/>
  <c r="N13" i="12" s="1"/>
  <c r="Q13" i="12"/>
  <c r="S13" i="12" s="1"/>
  <c r="V13" i="12"/>
  <c r="X13" i="12" s="1"/>
  <c r="AF13" i="12"/>
  <c r="AH13" i="12" s="1"/>
  <c r="AK13" i="12"/>
  <c r="AM13" i="12" s="1"/>
  <c r="AP13" i="12"/>
  <c r="AR13" i="12" s="1"/>
  <c r="AU13" i="12"/>
  <c r="AW13" i="12" s="1"/>
  <c r="AZ13" i="12"/>
  <c r="BB13" i="12" s="1"/>
  <c r="BJ13" i="12"/>
  <c r="BL13" i="12" s="1"/>
  <c r="BE13" i="12"/>
  <c r="BG13" i="12" s="1"/>
  <c r="CD13" i="12"/>
  <c r="CF13" i="12" s="1"/>
  <c r="BO13" i="12"/>
  <c r="BQ13" i="12" s="1"/>
  <c r="BT13" i="12"/>
  <c r="BV13" i="12" s="1"/>
  <c r="BY13" i="12"/>
  <c r="CA13" i="12" s="1"/>
  <c r="CI13" i="12"/>
  <c r="CK13" i="12" s="1"/>
  <c r="CN13" i="12"/>
  <c r="CP13" i="12" s="1"/>
  <c r="CS13" i="12"/>
  <c r="CU13" i="12" s="1"/>
  <c r="CX13" i="12"/>
  <c r="CZ13" i="12" s="1"/>
  <c r="DC13" i="12"/>
  <c r="DE13" i="12" s="1"/>
  <c r="DH13" i="12"/>
  <c r="DJ13" i="12" s="1"/>
  <c r="B14" i="12"/>
  <c r="D14" i="12" s="1"/>
  <c r="G14" i="12"/>
  <c r="I14" i="12" s="1"/>
  <c r="L14" i="12"/>
  <c r="N14" i="12" s="1"/>
  <c r="Q14" i="12"/>
  <c r="S14" i="12" s="1"/>
  <c r="V14" i="12"/>
  <c r="X14" i="12" s="1"/>
  <c r="AF14" i="12"/>
  <c r="AH14" i="12" s="1"/>
  <c r="AK14" i="12"/>
  <c r="AM14" i="12" s="1"/>
  <c r="AP14" i="12"/>
  <c r="AR14" i="12" s="1"/>
  <c r="AU14" i="12"/>
  <c r="AW14" i="12" s="1"/>
  <c r="AZ14" i="12"/>
  <c r="BB14" i="12" s="1"/>
  <c r="BJ14" i="12"/>
  <c r="BL14" i="12" s="1"/>
  <c r="BE14" i="12"/>
  <c r="BG14" i="12" s="1"/>
  <c r="CD14" i="12"/>
  <c r="CF14" i="12" s="1"/>
  <c r="BO14" i="12"/>
  <c r="BQ14" i="12" s="1"/>
  <c r="BT14" i="12"/>
  <c r="BV14" i="12" s="1"/>
  <c r="BY14" i="12"/>
  <c r="CA14" i="12" s="1"/>
  <c r="CI14" i="12"/>
  <c r="CK14" i="12" s="1"/>
  <c r="CN14" i="12"/>
  <c r="CP14" i="12" s="1"/>
  <c r="CS14" i="12"/>
  <c r="CU14" i="12" s="1"/>
  <c r="CX14" i="12"/>
  <c r="CZ14" i="12" s="1"/>
  <c r="DC14" i="12"/>
  <c r="DE14" i="12" s="1"/>
  <c r="DH14" i="12"/>
  <c r="DJ14" i="12" s="1"/>
  <c r="B15" i="12"/>
  <c r="D15" i="12" s="1"/>
  <c r="G15" i="12"/>
  <c r="I15" i="12" s="1"/>
  <c r="L15" i="12"/>
  <c r="N15" i="12" s="1"/>
  <c r="Q15" i="12"/>
  <c r="S15" i="12" s="1"/>
  <c r="V15" i="12"/>
  <c r="X15" i="12" s="1"/>
  <c r="AF15" i="12"/>
  <c r="AH15" i="12" s="1"/>
  <c r="AK15" i="12"/>
  <c r="AM15" i="12" s="1"/>
  <c r="AP15" i="12"/>
  <c r="AR15" i="12" s="1"/>
  <c r="AU15" i="12"/>
  <c r="AW15" i="12" s="1"/>
  <c r="AZ15" i="12"/>
  <c r="BB15" i="12" s="1"/>
  <c r="BJ15" i="12"/>
  <c r="BL15" i="12" s="1"/>
  <c r="BE15" i="12"/>
  <c r="BG15" i="12" s="1"/>
  <c r="CD15" i="12"/>
  <c r="CF15" i="12" s="1"/>
  <c r="BO15" i="12"/>
  <c r="BQ15" i="12" s="1"/>
  <c r="BT15" i="12"/>
  <c r="BV15" i="12" s="1"/>
  <c r="BY15" i="12"/>
  <c r="CA15" i="12" s="1"/>
  <c r="CI15" i="12"/>
  <c r="CK15" i="12" s="1"/>
  <c r="CN15" i="12"/>
  <c r="CP15" i="12" s="1"/>
  <c r="CS15" i="12"/>
  <c r="CU15" i="12" s="1"/>
  <c r="CX15" i="12"/>
  <c r="CZ15" i="12" s="1"/>
  <c r="DC15" i="12"/>
  <c r="DE15" i="12" s="1"/>
  <c r="DH15" i="12"/>
  <c r="DJ15" i="12" s="1"/>
  <c r="B16" i="12"/>
  <c r="D16" i="12" s="1"/>
  <c r="G16" i="12"/>
  <c r="I16" i="12" s="1"/>
  <c r="L16" i="12"/>
  <c r="N16" i="12" s="1"/>
  <c r="Q16" i="12"/>
  <c r="S16" i="12" s="1"/>
  <c r="V16" i="12"/>
  <c r="X16" i="12" s="1"/>
  <c r="AF16" i="12"/>
  <c r="AH16" i="12" s="1"/>
  <c r="AK16" i="12"/>
  <c r="AM16" i="12" s="1"/>
  <c r="AP16" i="12"/>
  <c r="AR16" i="12" s="1"/>
  <c r="AU16" i="12"/>
  <c r="AW16" i="12" s="1"/>
  <c r="AZ16" i="12"/>
  <c r="BB16" i="12" s="1"/>
  <c r="BJ16" i="12"/>
  <c r="BL16" i="12" s="1"/>
  <c r="BE16" i="12"/>
  <c r="BG16" i="12" s="1"/>
  <c r="CD16" i="12"/>
  <c r="CF16" i="12" s="1"/>
  <c r="BO16" i="12"/>
  <c r="BQ16" i="12" s="1"/>
  <c r="BT16" i="12"/>
  <c r="BV16" i="12" s="1"/>
  <c r="BY16" i="12"/>
  <c r="CA16" i="12" s="1"/>
  <c r="CI16" i="12"/>
  <c r="CK16" i="12" s="1"/>
  <c r="CN16" i="12"/>
  <c r="CP16" i="12" s="1"/>
  <c r="CS16" i="12"/>
  <c r="CU16" i="12" s="1"/>
  <c r="CX16" i="12"/>
  <c r="CZ16" i="12" s="1"/>
  <c r="DC16" i="12"/>
  <c r="DE16" i="12" s="1"/>
  <c r="DH16" i="12"/>
  <c r="DJ16" i="12" s="1"/>
  <c r="B17" i="12"/>
  <c r="D17" i="12" s="1"/>
  <c r="G17" i="12"/>
  <c r="I17" i="12" s="1"/>
  <c r="L17" i="12"/>
  <c r="N17" i="12" s="1"/>
  <c r="Q17" i="12"/>
  <c r="S17" i="12" s="1"/>
  <c r="V17" i="12"/>
  <c r="X17" i="12" s="1"/>
  <c r="AF17" i="12"/>
  <c r="AH17" i="12" s="1"/>
  <c r="AK17" i="12"/>
  <c r="AM17" i="12" s="1"/>
  <c r="AP17" i="12"/>
  <c r="AR17" i="12" s="1"/>
  <c r="AU17" i="12"/>
  <c r="AW17" i="12" s="1"/>
  <c r="AZ17" i="12"/>
  <c r="BB17" i="12" s="1"/>
  <c r="BJ17" i="12"/>
  <c r="BL17" i="12" s="1"/>
  <c r="BE17" i="12"/>
  <c r="BG17" i="12" s="1"/>
  <c r="CD17" i="12"/>
  <c r="CF17" i="12" s="1"/>
  <c r="BO17" i="12"/>
  <c r="BQ17" i="12" s="1"/>
  <c r="BT17" i="12"/>
  <c r="BV17" i="12" s="1"/>
  <c r="BY17" i="12"/>
  <c r="CA17" i="12" s="1"/>
  <c r="CI17" i="12"/>
  <c r="CK17" i="12" s="1"/>
  <c r="CN17" i="12"/>
  <c r="CP17" i="12" s="1"/>
  <c r="CS17" i="12"/>
  <c r="CU17" i="12" s="1"/>
  <c r="CX17" i="12"/>
  <c r="CZ17" i="12" s="1"/>
  <c r="DC17" i="12"/>
  <c r="DE17" i="12" s="1"/>
  <c r="DH17" i="12"/>
  <c r="DJ17" i="12" s="1"/>
  <c r="B18" i="12"/>
  <c r="D18" i="12" s="1"/>
  <c r="G18" i="12"/>
  <c r="I18" i="12" s="1"/>
  <c r="L18" i="12"/>
  <c r="N18" i="12" s="1"/>
  <c r="Q18" i="12"/>
  <c r="S18" i="12" s="1"/>
  <c r="V18" i="12"/>
  <c r="X18" i="12" s="1"/>
  <c r="AF18" i="12"/>
  <c r="AH18" i="12" s="1"/>
  <c r="AK18" i="12"/>
  <c r="AM18" i="12" s="1"/>
  <c r="AP18" i="12"/>
  <c r="AR18" i="12" s="1"/>
  <c r="AU18" i="12"/>
  <c r="AW18" i="12" s="1"/>
  <c r="AZ18" i="12"/>
  <c r="BB18" i="12" s="1"/>
  <c r="BJ18" i="12"/>
  <c r="BL18" i="12" s="1"/>
  <c r="BE18" i="12"/>
  <c r="BG18" i="12" s="1"/>
  <c r="CD18" i="12"/>
  <c r="CF18" i="12" s="1"/>
  <c r="BO18" i="12"/>
  <c r="BQ18" i="12" s="1"/>
  <c r="BT18" i="12"/>
  <c r="BV18" i="12" s="1"/>
  <c r="BY18" i="12"/>
  <c r="CA18" i="12" s="1"/>
  <c r="CI18" i="12"/>
  <c r="CK18" i="12" s="1"/>
  <c r="CN18" i="12"/>
  <c r="CP18" i="12" s="1"/>
  <c r="CS18" i="12"/>
  <c r="CU18" i="12" s="1"/>
  <c r="CX18" i="12"/>
  <c r="CZ18" i="12" s="1"/>
  <c r="DC18" i="12"/>
  <c r="DE18" i="12" s="1"/>
  <c r="DH18" i="12"/>
  <c r="DJ18" i="12" s="1"/>
  <c r="B19" i="12"/>
  <c r="D19" i="12" s="1"/>
  <c r="G19" i="12"/>
  <c r="I19" i="12" s="1"/>
  <c r="L19" i="12"/>
  <c r="N19" i="12" s="1"/>
  <c r="Q19" i="12"/>
  <c r="S19" i="12" s="1"/>
  <c r="V19" i="12"/>
  <c r="X19" i="12" s="1"/>
  <c r="AF19" i="12"/>
  <c r="AH19" i="12" s="1"/>
  <c r="AK19" i="12"/>
  <c r="AM19" i="12" s="1"/>
  <c r="AP19" i="12"/>
  <c r="AR19" i="12" s="1"/>
  <c r="AU19" i="12"/>
  <c r="AW19" i="12" s="1"/>
  <c r="AZ19" i="12"/>
  <c r="BB19" i="12" s="1"/>
  <c r="BJ19" i="12"/>
  <c r="BL19" i="12" s="1"/>
  <c r="BE19" i="12"/>
  <c r="BG19" i="12" s="1"/>
  <c r="CD19" i="12"/>
  <c r="CF19" i="12" s="1"/>
  <c r="BO19" i="12"/>
  <c r="BQ19" i="12" s="1"/>
  <c r="BT19" i="12"/>
  <c r="BV19" i="12" s="1"/>
  <c r="BY19" i="12"/>
  <c r="CA19" i="12" s="1"/>
  <c r="CI19" i="12"/>
  <c r="CK19" i="12" s="1"/>
  <c r="CN19" i="12"/>
  <c r="CP19" i="12" s="1"/>
  <c r="CS19" i="12"/>
  <c r="CU19" i="12" s="1"/>
  <c r="CX19" i="12"/>
  <c r="CZ19" i="12" s="1"/>
  <c r="DC19" i="12"/>
  <c r="DE19" i="12" s="1"/>
  <c r="DH19" i="12"/>
  <c r="DJ19" i="12" s="1"/>
  <c r="B20" i="12"/>
  <c r="D20" i="12" s="1"/>
  <c r="G20" i="12"/>
  <c r="I20" i="12" s="1"/>
  <c r="L20" i="12"/>
  <c r="N20" i="12" s="1"/>
  <c r="Q20" i="12"/>
  <c r="S20" i="12" s="1"/>
  <c r="V20" i="12"/>
  <c r="X20" i="12" s="1"/>
  <c r="AF20" i="12"/>
  <c r="AH20" i="12" s="1"/>
  <c r="AK20" i="12"/>
  <c r="AM20" i="12" s="1"/>
  <c r="AP20" i="12"/>
  <c r="AR20" i="12" s="1"/>
  <c r="AU20" i="12"/>
  <c r="AW20" i="12" s="1"/>
  <c r="AZ20" i="12"/>
  <c r="BB20" i="12" s="1"/>
  <c r="BJ20" i="12"/>
  <c r="BL20" i="12" s="1"/>
  <c r="BE20" i="12"/>
  <c r="BG20" i="12" s="1"/>
  <c r="CD20" i="12"/>
  <c r="CF20" i="12" s="1"/>
  <c r="BO20" i="12"/>
  <c r="BQ20" i="12" s="1"/>
  <c r="BT20" i="12"/>
  <c r="BV20" i="12" s="1"/>
  <c r="BY20" i="12"/>
  <c r="CA20" i="12" s="1"/>
  <c r="CI20" i="12"/>
  <c r="CK20" i="12" s="1"/>
  <c r="CN20" i="12"/>
  <c r="CP20" i="12" s="1"/>
  <c r="CS20" i="12"/>
  <c r="CU20" i="12" s="1"/>
  <c r="CX20" i="12"/>
  <c r="CZ20" i="12" s="1"/>
  <c r="DC20" i="12"/>
  <c r="DE20" i="12" s="1"/>
  <c r="DH20" i="12"/>
  <c r="DJ20" i="12" s="1"/>
  <c r="B21" i="12"/>
  <c r="D21" i="12" s="1"/>
  <c r="G21" i="12"/>
  <c r="I21" i="12" s="1"/>
  <c r="L21" i="12"/>
  <c r="N21" i="12" s="1"/>
  <c r="Q21" i="12"/>
  <c r="S21" i="12" s="1"/>
  <c r="V21" i="12"/>
  <c r="X21" i="12" s="1"/>
  <c r="AF21" i="12"/>
  <c r="AH21" i="12" s="1"/>
  <c r="AK21" i="12"/>
  <c r="AM21" i="12" s="1"/>
  <c r="AP21" i="12"/>
  <c r="AR21" i="12" s="1"/>
  <c r="AU21" i="12"/>
  <c r="AW21" i="12" s="1"/>
  <c r="AZ21" i="12"/>
  <c r="BB21" i="12" s="1"/>
  <c r="BJ21" i="12"/>
  <c r="BL21" i="12" s="1"/>
  <c r="BE21" i="12"/>
  <c r="BG21" i="12" s="1"/>
  <c r="CD21" i="12"/>
  <c r="CF21" i="12" s="1"/>
  <c r="BO21" i="12"/>
  <c r="BQ21" i="12" s="1"/>
  <c r="BT21" i="12"/>
  <c r="BV21" i="12" s="1"/>
  <c r="BY21" i="12"/>
  <c r="CA21" i="12" s="1"/>
  <c r="CI21" i="12"/>
  <c r="CK21" i="12" s="1"/>
  <c r="CN21" i="12"/>
  <c r="CP21" i="12" s="1"/>
  <c r="CS21" i="12"/>
  <c r="CU21" i="12" s="1"/>
  <c r="CX21" i="12"/>
  <c r="CZ21" i="12" s="1"/>
  <c r="DC21" i="12"/>
  <c r="DE21" i="12" s="1"/>
  <c r="DH21" i="12"/>
  <c r="DJ21" i="12" s="1"/>
  <c r="B22" i="12"/>
  <c r="D22" i="12" s="1"/>
  <c r="G22" i="12"/>
  <c r="I22" i="12" s="1"/>
  <c r="L22" i="12"/>
  <c r="N22" i="12" s="1"/>
  <c r="Q22" i="12"/>
  <c r="S22" i="12" s="1"/>
  <c r="V22" i="12"/>
  <c r="X22" i="12" s="1"/>
  <c r="AF22" i="12"/>
  <c r="AH22" i="12" s="1"/>
  <c r="AK22" i="12"/>
  <c r="AM22" i="12" s="1"/>
  <c r="AP22" i="12"/>
  <c r="AR22" i="12" s="1"/>
  <c r="AU22" i="12"/>
  <c r="AW22" i="12" s="1"/>
  <c r="AZ22" i="12"/>
  <c r="BB22" i="12" s="1"/>
  <c r="BJ22" i="12"/>
  <c r="BL22" i="12" s="1"/>
  <c r="BE22" i="12"/>
  <c r="BG22" i="12" s="1"/>
  <c r="CD22" i="12"/>
  <c r="CF22" i="12" s="1"/>
  <c r="BO22" i="12"/>
  <c r="BQ22" i="12" s="1"/>
  <c r="BT22" i="12"/>
  <c r="BV22" i="12" s="1"/>
  <c r="BY22" i="12"/>
  <c r="CA22" i="12" s="1"/>
  <c r="CI22" i="12"/>
  <c r="CK22" i="12" s="1"/>
  <c r="CN22" i="12"/>
  <c r="CP22" i="12" s="1"/>
  <c r="CS22" i="12"/>
  <c r="CU22" i="12" s="1"/>
  <c r="CX22" i="12"/>
  <c r="CZ22" i="12" s="1"/>
  <c r="DC22" i="12"/>
  <c r="DE22" i="12" s="1"/>
  <c r="DH22" i="12"/>
  <c r="DJ22" i="12" s="1"/>
  <c r="B23" i="12"/>
  <c r="D23" i="12" s="1"/>
  <c r="G23" i="12"/>
  <c r="I23" i="12" s="1"/>
  <c r="L23" i="12"/>
  <c r="N23" i="12" s="1"/>
  <c r="Q23" i="12"/>
  <c r="S23" i="12" s="1"/>
  <c r="V23" i="12"/>
  <c r="X23" i="12" s="1"/>
  <c r="AF23" i="12"/>
  <c r="AH23" i="12" s="1"/>
  <c r="AK23" i="12"/>
  <c r="AM23" i="12" s="1"/>
  <c r="AP23" i="12"/>
  <c r="AR23" i="12" s="1"/>
  <c r="AU23" i="12"/>
  <c r="AW23" i="12" s="1"/>
  <c r="AZ23" i="12"/>
  <c r="BB23" i="12" s="1"/>
  <c r="BJ23" i="12"/>
  <c r="BL23" i="12" s="1"/>
  <c r="BE23" i="12"/>
  <c r="BG23" i="12" s="1"/>
  <c r="CD23" i="12"/>
  <c r="CF23" i="12" s="1"/>
  <c r="BO23" i="12"/>
  <c r="BQ23" i="12" s="1"/>
  <c r="BT23" i="12"/>
  <c r="BV23" i="12" s="1"/>
  <c r="BY23" i="12"/>
  <c r="CA23" i="12" s="1"/>
  <c r="CI23" i="12"/>
  <c r="CK23" i="12" s="1"/>
  <c r="CN23" i="12"/>
  <c r="CP23" i="12" s="1"/>
  <c r="CS23" i="12"/>
  <c r="CU23" i="12" s="1"/>
  <c r="CX23" i="12"/>
  <c r="CZ23" i="12" s="1"/>
  <c r="DC23" i="12"/>
  <c r="DE23" i="12" s="1"/>
  <c r="DH23" i="12"/>
  <c r="DJ23" i="12" s="1"/>
  <c r="B24" i="12"/>
  <c r="D24" i="12" s="1"/>
  <c r="G24" i="12"/>
  <c r="I24" i="12" s="1"/>
  <c r="L24" i="12"/>
  <c r="N24" i="12" s="1"/>
  <c r="Q24" i="12"/>
  <c r="S24" i="12" s="1"/>
  <c r="V24" i="12"/>
  <c r="X24" i="12" s="1"/>
  <c r="AF24" i="12"/>
  <c r="AH24" i="12" s="1"/>
  <c r="AK24" i="12"/>
  <c r="AM24" i="12" s="1"/>
  <c r="AP24" i="12"/>
  <c r="AR24" i="12" s="1"/>
  <c r="AU24" i="12"/>
  <c r="AW24" i="12" s="1"/>
  <c r="AZ24" i="12"/>
  <c r="BB24" i="12" s="1"/>
  <c r="BJ24" i="12"/>
  <c r="BL24" i="12" s="1"/>
  <c r="BE24" i="12"/>
  <c r="BG24" i="12" s="1"/>
  <c r="CD24" i="12"/>
  <c r="CF24" i="12" s="1"/>
  <c r="BO24" i="12"/>
  <c r="BQ24" i="12" s="1"/>
  <c r="BT24" i="12"/>
  <c r="BV24" i="12" s="1"/>
  <c r="BY24" i="12"/>
  <c r="CA24" i="12" s="1"/>
  <c r="CI24" i="12"/>
  <c r="CK24" i="12" s="1"/>
  <c r="CN24" i="12"/>
  <c r="CP24" i="12" s="1"/>
  <c r="CS24" i="12"/>
  <c r="CU24" i="12" s="1"/>
  <c r="CX24" i="12"/>
  <c r="CZ24" i="12" s="1"/>
  <c r="DC24" i="12"/>
  <c r="DE24" i="12" s="1"/>
  <c r="DH24" i="12"/>
  <c r="DJ24" i="12" s="1"/>
  <c r="B25" i="12"/>
  <c r="D25" i="12" s="1"/>
  <c r="G25" i="12"/>
  <c r="I25" i="12" s="1"/>
  <c r="L25" i="12"/>
  <c r="N25" i="12" s="1"/>
  <c r="Q25" i="12"/>
  <c r="S25" i="12" s="1"/>
  <c r="V25" i="12"/>
  <c r="X25" i="12" s="1"/>
  <c r="AF25" i="12"/>
  <c r="AH25" i="12" s="1"/>
  <c r="AK25" i="12"/>
  <c r="AM25" i="12" s="1"/>
  <c r="AP25" i="12"/>
  <c r="AR25" i="12" s="1"/>
  <c r="AU25" i="12"/>
  <c r="AW25" i="12" s="1"/>
  <c r="AZ25" i="12"/>
  <c r="BB25" i="12" s="1"/>
  <c r="BJ25" i="12"/>
  <c r="BL25" i="12" s="1"/>
  <c r="BE25" i="12"/>
  <c r="BG25" i="12" s="1"/>
  <c r="CD25" i="12"/>
  <c r="CF25" i="12" s="1"/>
  <c r="BO25" i="12"/>
  <c r="BQ25" i="12" s="1"/>
  <c r="BT25" i="12"/>
  <c r="BV25" i="12" s="1"/>
  <c r="BY25" i="12"/>
  <c r="CA25" i="12" s="1"/>
  <c r="CI25" i="12"/>
  <c r="CK25" i="12" s="1"/>
  <c r="CN25" i="12"/>
  <c r="CP25" i="12" s="1"/>
  <c r="CS25" i="12"/>
  <c r="CU25" i="12" s="1"/>
  <c r="CX25" i="12"/>
  <c r="CZ25" i="12" s="1"/>
  <c r="DC25" i="12"/>
  <c r="DE25" i="12" s="1"/>
  <c r="DH25" i="12"/>
  <c r="DJ25" i="12" s="1"/>
  <c r="B26" i="12"/>
  <c r="D26" i="12" s="1"/>
  <c r="G26" i="12"/>
  <c r="I26" i="12" s="1"/>
  <c r="L26" i="12"/>
  <c r="N26" i="12" s="1"/>
  <c r="Q26" i="12"/>
  <c r="S26" i="12" s="1"/>
  <c r="V26" i="12"/>
  <c r="X26" i="12" s="1"/>
  <c r="AF26" i="12"/>
  <c r="AH26" i="12" s="1"/>
  <c r="AK26" i="12"/>
  <c r="AM26" i="12" s="1"/>
  <c r="AP26" i="12"/>
  <c r="AR26" i="12" s="1"/>
  <c r="AU26" i="12"/>
  <c r="AW26" i="12" s="1"/>
  <c r="AZ26" i="12"/>
  <c r="BB26" i="12" s="1"/>
  <c r="BJ26" i="12"/>
  <c r="BL26" i="12" s="1"/>
  <c r="BE26" i="12"/>
  <c r="BG26" i="12" s="1"/>
  <c r="CD26" i="12"/>
  <c r="CF26" i="12" s="1"/>
  <c r="BO26" i="12"/>
  <c r="BQ26" i="12" s="1"/>
  <c r="BT26" i="12"/>
  <c r="BV26" i="12" s="1"/>
  <c r="BY26" i="12"/>
  <c r="CA26" i="12" s="1"/>
  <c r="CI26" i="12"/>
  <c r="CK26" i="12" s="1"/>
  <c r="CN26" i="12"/>
  <c r="CP26" i="12" s="1"/>
  <c r="CS26" i="12"/>
  <c r="CU26" i="12" s="1"/>
  <c r="CX26" i="12"/>
  <c r="CZ26" i="12" s="1"/>
  <c r="DC26" i="12"/>
  <c r="DE26" i="12" s="1"/>
  <c r="DH26" i="12"/>
  <c r="DJ26" i="12" s="1"/>
  <c r="B27" i="12"/>
  <c r="D27" i="12" s="1"/>
  <c r="G27" i="12"/>
  <c r="I27" i="12" s="1"/>
  <c r="L27" i="12"/>
  <c r="N27" i="12" s="1"/>
  <c r="Q27" i="12"/>
  <c r="S27" i="12" s="1"/>
  <c r="V27" i="12"/>
  <c r="X27" i="12" s="1"/>
  <c r="AF27" i="12"/>
  <c r="AH27" i="12" s="1"/>
  <c r="AK27" i="12"/>
  <c r="AM27" i="12" s="1"/>
  <c r="AP27" i="12"/>
  <c r="AR27" i="12" s="1"/>
  <c r="AU27" i="12"/>
  <c r="AW27" i="12" s="1"/>
  <c r="AZ27" i="12"/>
  <c r="BB27" i="12" s="1"/>
  <c r="BJ27" i="12"/>
  <c r="BL27" i="12" s="1"/>
  <c r="BE27" i="12"/>
  <c r="BG27" i="12" s="1"/>
  <c r="CD27" i="12"/>
  <c r="CF27" i="12" s="1"/>
  <c r="BO27" i="12"/>
  <c r="BQ27" i="12" s="1"/>
  <c r="BT27" i="12"/>
  <c r="BV27" i="12" s="1"/>
  <c r="BY27" i="12"/>
  <c r="CA27" i="12" s="1"/>
  <c r="CI27" i="12"/>
  <c r="CK27" i="12" s="1"/>
  <c r="CN27" i="12"/>
  <c r="CP27" i="12" s="1"/>
  <c r="CS27" i="12"/>
  <c r="CU27" i="12" s="1"/>
  <c r="CX27" i="12"/>
  <c r="CZ27" i="12" s="1"/>
  <c r="DC27" i="12"/>
  <c r="DE27" i="12" s="1"/>
  <c r="DH27" i="12"/>
  <c r="DJ27" i="12" s="1"/>
  <c r="B28" i="12"/>
  <c r="D28" i="12" s="1"/>
  <c r="G28" i="12"/>
  <c r="I28" i="12" s="1"/>
  <c r="L28" i="12"/>
  <c r="N28" i="12" s="1"/>
  <c r="Q28" i="12"/>
  <c r="S28" i="12" s="1"/>
  <c r="V28" i="12"/>
  <c r="X28" i="12" s="1"/>
  <c r="AF28" i="12"/>
  <c r="AH28" i="12" s="1"/>
  <c r="AK28" i="12"/>
  <c r="AM28" i="12" s="1"/>
  <c r="AP28" i="12"/>
  <c r="AR28" i="12" s="1"/>
  <c r="AU28" i="12"/>
  <c r="AW28" i="12" s="1"/>
  <c r="AZ28" i="12"/>
  <c r="BB28" i="12" s="1"/>
  <c r="BJ28" i="12"/>
  <c r="BL28" i="12" s="1"/>
  <c r="BE28" i="12"/>
  <c r="BG28" i="12" s="1"/>
  <c r="CD28" i="12"/>
  <c r="CF28" i="12" s="1"/>
  <c r="BO28" i="12"/>
  <c r="BQ28" i="12" s="1"/>
  <c r="BT28" i="12"/>
  <c r="BV28" i="12" s="1"/>
  <c r="BY28" i="12"/>
  <c r="CA28" i="12" s="1"/>
  <c r="CI28" i="12"/>
  <c r="CK28" i="12" s="1"/>
  <c r="CN28" i="12"/>
  <c r="CP28" i="12" s="1"/>
  <c r="CS28" i="12"/>
  <c r="CU28" i="12" s="1"/>
  <c r="CX28" i="12"/>
  <c r="CZ28" i="12" s="1"/>
  <c r="DC28" i="12"/>
  <c r="DE28" i="12" s="1"/>
  <c r="DH28" i="12"/>
  <c r="DJ28" i="12" s="1"/>
  <c r="B29" i="12"/>
  <c r="D29" i="12" s="1"/>
  <c r="G29" i="12"/>
  <c r="I29" i="12" s="1"/>
  <c r="L29" i="12"/>
  <c r="N29" i="12" s="1"/>
  <c r="Q29" i="12"/>
  <c r="S29" i="12" s="1"/>
  <c r="V29" i="12"/>
  <c r="X29" i="12" s="1"/>
  <c r="AF29" i="12"/>
  <c r="AH29" i="12" s="1"/>
  <c r="AK29" i="12"/>
  <c r="AM29" i="12" s="1"/>
  <c r="AP29" i="12"/>
  <c r="AR29" i="12" s="1"/>
  <c r="AU29" i="12"/>
  <c r="AW29" i="12" s="1"/>
  <c r="AZ29" i="12"/>
  <c r="BB29" i="12" s="1"/>
  <c r="BJ29" i="12"/>
  <c r="BL29" i="12" s="1"/>
  <c r="BE29" i="12"/>
  <c r="BG29" i="12" s="1"/>
  <c r="CD29" i="12"/>
  <c r="CF29" i="12" s="1"/>
  <c r="BO29" i="12"/>
  <c r="BQ29" i="12" s="1"/>
  <c r="BT29" i="12"/>
  <c r="BV29" i="12" s="1"/>
  <c r="BY29" i="12"/>
  <c r="CA29" i="12" s="1"/>
  <c r="CI29" i="12"/>
  <c r="CK29" i="12" s="1"/>
  <c r="CN29" i="12"/>
  <c r="CP29" i="12" s="1"/>
  <c r="CS29" i="12"/>
  <c r="CU29" i="12" s="1"/>
  <c r="CX29" i="12"/>
  <c r="CZ29" i="12" s="1"/>
  <c r="DC29" i="12"/>
  <c r="DE29" i="12" s="1"/>
  <c r="DH29" i="12"/>
  <c r="DJ29" i="12" s="1"/>
  <c r="B30" i="12"/>
  <c r="D30" i="12" s="1"/>
  <c r="G30" i="12"/>
  <c r="I30" i="12" s="1"/>
  <c r="L30" i="12"/>
  <c r="N30" i="12" s="1"/>
  <c r="Q30" i="12"/>
  <c r="S30" i="12" s="1"/>
  <c r="V30" i="12"/>
  <c r="X30" i="12" s="1"/>
  <c r="AF30" i="12"/>
  <c r="AH30" i="12" s="1"/>
  <c r="AK30" i="12"/>
  <c r="AM30" i="12" s="1"/>
  <c r="AP30" i="12"/>
  <c r="AR30" i="12" s="1"/>
  <c r="AU30" i="12"/>
  <c r="AW30" i="12" s="1"/>
  <c r="AZ30" i="12"/>
  <c r="BB30" i="12" s="1"/>
  <c r="BJ30" i="12"/>
  <c r="BL30" i="12" s="1"/>
  <c r="BE30" i="12"/>
  <c r="BG30" i="12" s="1"/>
  <c r="CD30" i="12"/>
  <c r="CF30" i="12" s="1"/>
  <c r="BO30" i="12"/>
  <c r="BQ30" i="12" s="1"/>
  <c r="BT30" i="12"/>
  <c r="BV30" i="12" s="1"/>
  <c r="BY30" i="12"/>
  <c r="CA30" i="12" s="1"/>
  <c r="CI30" i="12"/>
  <c r="CK30" i="12" s="1"/>
  <c r="CN30" i="12"/>
  <c r="CP30" i="12" s="1"/>
  <c r="CS30" i="12"/>
  <c r="CU30" i="12" s="1"/>
  <c r="CX30" i="12"/>
  <c r="CZ30" i="12" s="1"/>
  <c r="DC30" i="12"/>
  <c r="DE30" i="12" s="1"/>
  <c r="DH30" i="12"/>
  <c r="DJ30" i="12" s="1"/>
  <c r="B31" i="12"/>
  <c r="D31" i="12" s="1"/>
  <c r="G31" i="12"/>
  <c r="I31" i="12" s="1"/>
  <c r="L31" i="12"/>
  <c r="N31" i="12" s="1"/>
  <c r="Q31" i="12"/>
  <c r="S31" i="12" s="1"/>
  <c r="V31" i="12"/>
  <c r="X31" i="12" s="1"/>
  <c r="AF31" i="12"/>
  <c r="AH31" i="12" s="1"/>
  <c r="AK31" i="12"/>
  <c r="AM31" i="12" s="1"/>
  <c r="AP31" i="12"/>
  <c r="AR31" i="12" s="1"/>
  <c r="AU31" i="12"/>
  <c r="AW31" i="12" s="1"/>
  <c r="AZ31" i="12"/>
  <c r="BB31" i="12" s="1"/>
  <c r="BJ31" i="12"/>
  <c r="BL31" i="12" s="1"/>
  <c r="BE31" i="12"/>
  <c r="BG31" i="12" s="1"/>
  <c r="CD31" i="12"/>
  <c r="CF31" i="12" s="1"/>
  <c r="BO31" i="12"/>
  <c r="BQ31" i="12" s="1"/>
  <c r="BT31" i="12"/>
  <c r="BV31" i="12" s="1"/>
  <c r="BY31" i="12"/>
  <c r="CA31" i="12" s="1"/>
  <c r="CI31" i="12"/>
  <c r="CK31" i="12" s="1"/>
  <c r="CN31" i="12"/>
  <c r="CP31" i="12" s="1"/>
  <c r="CS31" i="12"/>
  <c r="CU31" i="12" s="1"/>
  <c r="CX31" i="12"/>
  <c r="CZ31" i="12" s="1"/>
  <c r="DC31" i="12"/>
  <c r="DE31" i="12" s="1"/>
  <c r="DH31" i="12"/>
  <c r="DJ31" i="12" s="1"/>
  <c r="B32" i="12"/>
  <c r="D32" i="12" s="1"/>
  <c r="G32" i="12"/>
  <c r="I32" i="12" s="1"/>
  <c r="L32" i="12"/>
  <c r="N32" i="12" s="1"/>
  <c r="Q32" i="12"/>
  <c r="S32" i="12" s="1"/>
  <c r="V32" i="12"/>
  <c r="X32" i="12" s="1"/>
  <c r="AF32" i="12"/>
  <c r="AH32" i="12" s="1"/>
  <c r="AK32" i="12"/>
  <c r="AM32" i="12" s="1"/>
  <c r="AP32" i="12"/>
  <c r="AR32" i="12" s="1"/>
  <c r="AU32" i="12"/>
  <c r="AW32" i="12" s="1"/>
  <c r="AZ32" i="12"/>
  <c r="BB32" i="12" s="1"/>
  <c r="BJ32" i="12"/>
  <c r="BL32" i="12" s="1"/>
  <c r="BE32" i="12"/>
  <c r="BG32" i="12" s="1"/>
  <c r="CD32" i="12"/>
  <c r="CF32" i="12" s="1"/>
  <c r="BO32" i="12"/>
  <c r="BQ32" i="12" s="1"/>
  <c r="BT32" i="12"/>
  <c r="BV32" i="12" s="1"/>
  <c r="BY32" i="12"/>
  <c r="CA32" i="12" s="1"/>
  <c r="CI32" i="12"/>
  <c r="CK32" i="12" s="1"/>
  <c r="CN32" i="12"/>
  <c r="CP32" i="12" s="1"/>
  <c r="CS32" i="12"/>
  <c r="CU32" i="12" s="1"/>
  <c r="CX32" i="12"/>
  <c r="CZ32" i="12" s="1"/>
  <c r="DC32" i="12"/>
  <c r="DE32" i="12" s="1"/>
  <c r="DH32" i="12"/>
  <c r="DJ32" i="12" s="1"/>
  <c r="B33" i="12"/>
  <c r="D33" i="12" s="1"/>
  <c r="G33" i="12"/>
  <c r="I33" i="12" s="1"/>
  <c r="L33" i="12"/>
  <c r="N33" i="12" s="1"/>
  <c r="Q33" i="12"/>
  <c r="S33" i="12" s="1"/>
  <c r="V33" i="12"/>
  <c r="X33" i="12" s="1"/>
  <c r="AF33" i="12"/>
  <c r="AH33" i="12" s="1"/>
  <c r="AK33" i="12"/>
  <c r="AM33" i="12" s="1"/>
  <c r="AP33" i="12"/>
  <c r="AR33" i="12" s="1"/>
  <c r="AU33" i="12"/>
  <c r="AW33" i="12" s="1"/>
  <c r="AZ33" i="12"/>
  <c r="BB33" i="12" s="1"/>
  <c r="BJ33" i="12"/>
  <c r="BL33" i="12" s="1"/>
  <c r="BE33" i="12"/>
  <c r="BG33" i="12" s="1"/>
  <c r="CD33" i="12"/>
  <c r="CF33" i="12" s="1"/>
  <c r="BO33" i="12"/>
  <c r="BQ33" i="12" s="1"/>
  <c r="BT33" i="12"/>
  <c r="BV33" i="12" s="1"/>
  <c r="BY33" i="12"/>
  <c r="CA33" i="12" s="1"/>
  <c r="CI33" i="12"/>
  <c r="CK33" i="12" s="1"/>
  <c r="CN33" i="12"/>
  <c r="CP33" i="12" s="1"/>
  <c r="CS33" i="12"/>
  <c r="CU33" i="12" s="1"/>
  <c r="CX33" i="12"/>
  <c r="CZ33" i="12" s="1"/>
  <c r="DC33" i="12"/>
  <c r="DE33" i="12" s="1"/>
  <c r="DH33" i="12"/>
  <c r="DJ33" i="12" s="1"/>
  <c r="B34" i="12"/>
  <c r="D34" i="12" s="1"/>
  <c r="G34" i="12"/>
  <c r="I34" i="12" s="1"/>
  <c r="L34" i="12"/>
  <c r="N34" i="12" s="1"/>
  <c r="Q34" i="12"/>
  <c r="S34" i="12" s="1"/>
  <c r="CX34" i="12"/>
  <c r="CZ34" i="12" s="1"/>
  <c r="DC34" i="12"/>
  <c r="DE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L5" i="9" s="1"/>
  <c r="M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C28" i="1"/>
  <c r="DK30" i="12" l="1"/>
  <c r="DL30" i="12"/>
  <c r="CC8" i="12"/>
  <c r="CB8" i="12"/>
  <c r="CG33" i="12"/>
  <c r="CH33" i="12"/>
  <c r="Z8" i="12"/>
  <c r="Y8" i="12"/>
  <c r="BX7" i="12"/>
  <c r="BW7" i="12"/>
  <c r="DL6" i="12"/>
  <c r="DK6" i="12"/>
  <c r="BD6" i="12"/>
  <c r="BC6" i="12"/>
  <c r="AD23" i="12"/>
  <c r="AD7" i="12"/>
  <c r="AE7" i="12"/>
  <c r="BM34" i="12"/>
  <c r="BN34" i="12"/>
  <c r="DQ11" i="12"/>
  <c r="DP11" i="12"/>
  <c r="DP23" i="12"/>
  <c r="DU17" i="12"/>
  <c r="DV29" i="12"/>
  <c r="DU29" i="12"/>
  <c r="DZ15" i="12"/>
  <c r="EA27" i="12"/>
  <c r="DZ27" i="12"/>
  <c r="EF9" i="12"/>
  <c r="EE9" i="12"/>
  <c r="EF29" i="12"/>
  <c r="EE29" i="12"/>
  <c r="EK11" i="12"/>
  <c r="EJ11" i="12"/>
  <c r="EJ23" i="12"/>
  <c r="EK31" i="12"/>
  <c r="EJ31" i="12"/>
  <c r="EP9" i="12"/>
  <c r="EO9" i="12"/>
  <c r="EO17" i="12"/>
  <c r="EP26" i="12"/>
  <c r="EO26" i="12"/>
  <c r="EP30" i="12"/>
  <c r="EO30" i="12"/>
  <c r="EP34" i="12"/>
  <c r="EO34" i="12"/>
  <c r="EU8" i="12"/>
  <c r="ET8" i="12"/>
  <c r="ET12" i="12"/>
  <c r="ET16" i="12"/>
  <c r="ET20" i="12"/>
  <c r="ET25" i="12"/>
  <c r="EU29" i="12"/>
  <c r="ET29" i="12"/>
  <c r="EU33" i="12"/>
  <c r="ET33" i="12"/>
  <c r="DB33" i="12"/>
  <c r="DA33" i="12"/>
  <c r="AY33" i="12"/>
  <c r="AX33" i="12"/>
  <c r="Y33" i="12"/>
  <c r="Z33" i="12"/>
  <c r="CV32" i="12"/>
  <c r="CW32" i="12"/>
  <c r="BN32" i="12"/>
  <c r="BM32" i="12"/>
  <c r="AT32" i="12"/>
  <c r="AS32" i="12"/>
  <c r="T32" i="12"/>
  <c r="U32" i="12"/>
  <c r="DL31" i="12"/>
  <c r="DK31" i="12"/>
  <c r="CR31" i="12"/>
  <c r="CQ31" i="12"/>
  <c r="BS31" i="12"/>
  <c r="BR31" i="12"/>
  <c r="BD31" i="12"/>
  <c r="BC31" i="12"/>
  <c r="AO31" i="12"/>
  <c r="AN31" i="12"/>
  <c r="DG30" i="12"/>
  <c r="DF30" i="12"/>
  <c r="CL30" i="12"/>
  <c r="CM30" i="12"/>
  <c r="CG30" i="12"/>
  <c r="CH30" i="12"/>
  <c r="AJ30" i="12"/>
  <c r="AI30" i="12"/>
  <c r="DA29" i="12"/>
  <c r="DB29" i="12"/>
  <c r="CC29" i="12"/>
  <c r="CB29" i="12"/>
  <c r="BI29" i="12"/>
  <c r="BH29" i="12"/>
  <c r="AY29" i="12"/>
  <c r="AX29" i="12"/>
  <c r="Y29" i="12"/>
  <c r="Z29" i="12"/>
  <c r="CV28" i="12"/>
  <c r="CW28" i="12"/>
  <c r="BX28" i="12"/>
  <c r="BW28" i="12"/>
  <c r="BN28" i="12"/>
  <c r="BM28" i="12"/>
  <c r="AS28" i="12"/>
  <c r="AT28" i="12"/>
  <c r="T28" i="12"/>
  <c r="U28" i="12"/>
  <c r="DL27" i="12"/>
  <c r="DK27" i="12"/>
  <c r="CR27" i="12"/>
  <c r="CQ27" i="12"/>
  <c r="BR27" i="12"/>
  <c r="BS27" i="12"/>
  <c r="BD27" i="12"/>
  <c r="BC27" i="12"/>
  <c r="AO27" i="12"/>
  <c r="AN27" i="12"/>
  <c r="DG26" i="12"/>
  <c r="DF26" i="12"/>
  <c r="CM26" i="12"/>
  <c r="CL26" i="12"/>
  <c r="CH26" i="12"/>
  <c r="CG26" i="12"/>
  <c r="AJ26" i="12"/>
  <c r="AI26" i="12"/>
  <c r="DA25" i="12"/>
  <c r="CB25" i="12"/>
  <c r="BH25" i="12"/>
  <c r="AX25" i="12"/>
  <c r="Y25" i="12"/>
  <c r="CV24" i="12"/>
  <c r="BW24" i="12"/>
  <c r="BM24" i="12"/>
  <c r="AS24" i="12"/>
  <c r="T24" i="12"/>
  <c r="DK23" i="12"/>
  <c r="CQ23" i="12"/>
  <c r="BR23" i="12"/>
  <c r="BC23" i="12"/>
  <c r="AN23" i="12"/>
  <c r="DF22" i="12"/>
  <c r="CL22" i="12"/>
  <c r="CG22" i="12"/>
  <c r="AI22" i="12"/>
  <c r="DA21" i="12"/>
  <c r="CB21" i="12"/>
  <c r="BH21" i="12"/>
  <c r="AX21" i="12"/>
  <c r="Y21" i="12"/>
  <c r="CV20" i="12"/>
  <c r="BW20" i="12"/>
  <c r="BM20" i="12"/>
  <c r="AS20" i="12"/>
  <c r="T20" i="12"/>
  <c r="DK19" i="12"/>
  <c r="CQ19" i="12"/>
  <c r="BR19" i="12"/>
  <c r="BC19" i="12"/>
  <c r="AN19" i="12"/>
  <c r="DF18" i="12"/>
  <c r="CL18" i="12"/>
  <c r="CG18" i="12"/>
  <c r="AI18" i="12"/>
  <c r="DA17" i="12"/>
  <c r="CB17" i="12"/>
  <c r="BH17" i="12"/>
  <c r="AX17" i="12"/>
  <c r="Y17" i="12"/>
  <c r="CV16" i="12"/>
  <c r="BW16" i="12"/>
  <c r="BM16" i="12"/>
  <c r="AS16" i="12"/>
  <c r="T16" i="12"/>
  <c r="DK15" i="12"/>
  <c r="CQ15" i="12"/>
  <c r="BR15" i="12"/>
  <c r="BC15" i="12"/>
  <c r="AN15" i="12"/>
  <c r="DF14" i="12"/>
  <c r="CL14" i="12"/>
  <c r="CG14" i="12"/>
  <c r="AI14" i="12"/>
  <c r="DA13" i="12"/>
  <c r="CB13" i="12"/>
  <c r="BH13" i="12"/>
  <c r="AX13" i="12"/>
  <c r="Y13" i="12"/>
  <c r="CV12" i="12"/>
  <c r="BW12" i="12"/>
  <c r="BM12" i="12"/>
  <c r="AS12" i="12"/>
  <c r="T12" i="12"/>
  <c r="DL11" i="12"/>
  <c r="DK11" i="12"/>
  <c r="CR11" i="12"/>
  <c r="CQ11" i="12"/>
  <c r="BS11" i="12"/>
  <c r="BR11" i="12"/>
  <c r="BD11" i="12"/>
  <c r="BC11" i="12"/>
  <c r="AO11" i="12"/>
  <c r="AN11" i="12"/>
  <c r="DG10" i="12"/>
  <c r="DF10" i="12"/>
  <c r="CL10" i="12"/>
  <c r="CM10" i="12"/>
  <c r="CH10" i="12"/>
  <c r="CG10" i="12"/>
  <c r="AJ10" i="12"/>
  <c r="AI10" i="12"/>
  <c r="DB9" i="12"/>
  <c r="DA9" i="12"/>
  <c r="CC9" i="12"/>
  <c r="CB9" i="12"/>
  <c r="BI9" i="12"/>
  <c r="BH9" i="12"/>
  <c r="AY9" i="12"/>
  <c r="AX9" i="12"/>
  <c r="Y9" i="12"/>
  <c r="Z9" i="12"/>
  <c r="CV8" i="12"/>
  <c r="CW8" i="12"/>
  <c r="BX8" i="12"/>
  <c r="BW8" i="12"/>
  <c r="BM8" i="12"/>
  <c r="BN8" i="12"/>
  <c r="AS8" i="12"/>
  <c r="AT8" i="12"/>
  <c r="T8" i="12"/>
  <c r="U8" i="12"/>
  <c r="DL7" i="12"/>
  <c r="DK7" i="12"/>
  <c r="CR7" i="12"/>
  <c r="CQ7" i="12"/>
  <c r="BS7" i="12"/>
  <c r="BR7" i="12"/>
  <c r="BD7" i="12"/>
  <c r="BC7" i="12"/>
  <c r="AN7" i="12"/>
  <c r="AO7" i="12"/>
  <c r="DG6" i="12"/>
  <c r="DF6" i="12"/>
  <c r="CL6" i="12"/>
  <c r="CM6" i="12"/>
  <c r="CH6" i="12"/>
  <c r="CG6" i="12"/>
  <c r="AJ6" i="12"/>
  <c r="AI6" i="12"/>
  <c r="AD6" i="12"/>
  <c r="AE6" i="12"/>
  <c r="AD30" i="12"/>
  <c r="AE30" i="12"/>
  <c r="AD26" i="12"/>
  <c r="AE26" i="12"/>
  <c r="AD22" i="12"/>
  <c r="AD18" i="12"/>
  <c r="AD14" i="12"/>
  <c r="AD10" i="12"/>
  <c r="AE10" i="12"/>
  <c r="AD34" i="12"/>
  <c r="AE34" i="12"/>
  <c r="AX34" i="12"/>
  <c r="AY34" i="12"/>
  <c r="BI34" i="12"/>
  <c r="BH34" i="12"/>
  <c r="CC34" i="12"/>
  <c r="CB34" i="12"/>
  <c r="DL34" i="12"/>
  <c r="DK34" i="12"/>
  <c r="DQ8" i="12"/>
  <c r="DP8" i="12"/>
  <c r="DP12" i="12"/>
  <c r="DP16" i="12"/>
  <c r="DP20" i="12"/>
  <c r="DP24" i="12"/>
  <c r="DQ28" i="12"/>
  <c r="DP28" i="12"/>
  <c r="DQ32" i="12"/>
  <c r="DP32" i="12"/>
  <c r="DV6" i="12"/>
  <c r="DU6" i="12"/>
  <c r="DV10" i="12"/>
  <c r="DU10" i="12"/>
  <c r="DU14" i="12"/>
  <c r="DU18" i="12"/>
  <c r="DU22" i="12"/>
  <c r="DV26" i="12"/>
  <c r="DU26" i="12"/>
  <c r="DV30" i="12"/>
  <c r="DU30" i="12"/>
  <c r="DV34" i="12"/>
  <c r="DU34" i="12"/>
  <c r="EA8" i="12"/>
  <c r="DZ8" i="12"/>
  <c r="DZ12" i="12"/>
  <c r="DZ16" i="12"/>
  <c r="DZ20" i="12"/>
  <c r="DZ24" i="12"/>
  <c r="EA28" i="12"/>
  <c r="DZ28" i="12"/>
  <c r="EA32" i="12"/>
  <c r="DZ32" i="12"/>
  <c r="EF6" i="12"/>
  <c r="EE6" i="12"/>
  <c r="EF10" i="12"/>
  <c r="EE10" i="12"/>
  <c r="EE14" i="12"/>
  <c r="EE18" i="12"/>
  <c r="EE22" i="12"/>
  <c r="EF26" i="12"/>
  <c r="EE26" i="12"/>
  <c r="EF30" i="12"/>
  <c r="EE30" i="12"/>
  <c r="EF34" i="12"/>
  <c r="EE34" i="12"/>
  <c r="EK8" i="12"/>
  <c r="EJ8" i="12"/>
  <c r="EJ12" i="12"/>
  <c r="EJ16" i="12"/>
  <c r="EJ20" i="12"/>
  <c r="EJ24" i="12"/>
  <c r="EK28" i="12"/>
  <c r="EJ28" i="12"/>
  <c r="EK32" i="12"/>
  <c r="EJ32" i="12"/>
  <c r="EO6" i="12"/>
  <c r="EP6" i="12"/>
  <c r="EP10" i="12"/>
  <c r="EO10" i="12"/>
  <c r="EO14" i="12"/>
  <c r="EO18" i="12"/>
  <c r="EO22" i="12"/>
  <c r="EP27" i="12"/>
  <c r="EO27" i="12"/>
  <c r="EO31" i="12"/>
  <c r="EP31" i="12"/>
  <c r="EU9" i="12"/>
  <c r="ET9" i="12"/>
  <c r="ET13" i="12"/>
  <c r="ET17" i="12"/>
  <c r="ET21" i="12"/>
  <c r="ET26" i="12"/>
  <c r="EU26" i="12"/>
  <c r="ET30" i="12"/>
  <c r="EU30" i="12"/>
  <c r="ET34" i="12"/>
  <c r="EU34" i="12"/>
  <c r="DG33" i="12"/>
  <c r="DF33" i="12"/>
  <c r="AI33" i="12"/>
  <c r="AJ33" i="12"/>
  <c r="DA32" i="12"/>
  <c r="DB32" i="12"/>
  <c r="BI32" i="12"/>
  <c r="BH32" i="12"/>
  <c r="AX32" i="12"/>
  <c r="AY32" i="12"/>
  <c r="BW31" i="12"/>
  <c r="BX31" i="12"/>
  <c r="AT31" i="12"/>
  <c r="AS31" i="12"/>
  <c r="CQ30" i="12"/>
  <c r="CR30" i="12"/>
  <c r="BC30" i="12"/>
  <c r="BD30" i="12"/>
  <c r="CM29" i="12"/>
  <c r="CL29" i="12"/>
  <c r="CH29" i="12"/>
  <c r="CG29" i="12"/>
  <c r="AJ29" i="12"/>
  <c r="AI29" i="12"/>
  <c r="DB28" i="12"/>
  <c r="DA28" i="12"/>
  <c r="BH28" i="12"/>
  <c r="BI28" i="12"/>
  <c r="Y28" i="12"/>
  <c r="Z28" i="12"/>
  <c r="CW27" i="12"/>
  <c r="CV27" i="12"/>
  <c r="BN27" i="12"/>
  <c r="BM27" i="12"/>
  <c r="T27" i="12"/>
  <c r="U27" i="12"/>
  <c r="CR26" i="12"/>
  <c r="CQ26" i="12"/>
  <c r="BD26" i="12"/>
  <c r="BC26" i="12"/>
  <c r="CL25" i="12"/>
  <c r="AI25" i="12"/>
  <c r="DA24" i="12"/>
  <c r="BH24" i="12"/>
  <c r="Y24" i="12"/>
  <c r="CV23" i="12"/>
  <c r="BM23" i="12"/>
  <c r="T23" i="12"/>
  <c r="CQ22" i="12"/>
  <c r="AN22" i="12"/>
  <c r="DF21" i="12"/>
  <c r="CG21" i="12"/>
  <c r="AI21" i="12"/>
  <c r="CB20" i="12"/>
  <c r="T19" i="12"/>
  <c r="AY8" i="12"/>
  <c r="AX8" i="12"/>
  <c r="CV7" i="12"/>
  <c r="CW7" i="12"/>
  <c r="AT7" i="12"/>
  <c r="AS7" i="12"/>
  <c r="CR6" i="12"/>
  <c r="CQ6" i="12"/>
  <c r="AN6" i="12"/>
  <c r="AO6" i="12"/>
  <c r="AD27" i="12"/>
  <c r="AE27" i="12"/>
  <c r="AD15" i="12"/>
  <c r="Z34" i="12"/>
  <c r="Y34" i="12"/>
  <c r="BX34" i="12"/>
  <c r="BW34" i="12"/>
  <c r="DQ7" i="12"/>
  <c r="DP7" i="12"/>
  <c r="DP19" i="12"/>
  <c r="DP31" i="12"/>
  <c r="DQ31" i="12"/>
  <c r="DU13" i="12"/>
  <c r="DU25" i="12"/>
  <c r="EA7" i="12"/>
  <c r="DZ7" i="12"/>
  <c r="DZ19" i="12"/>
  <c r="EA31" i="12"/>
  <c r="DZ31" i="12"/>
  <c r="EE13" i="12"/>
  <c r="EE25" i="12"/>
  <c r="EK7" i="12"/>
  <c r="EJ7" i="12"/>
  <c r="EJ19" i="12"/>
  <c r="EO13" i="12"/>
  <c r="ET22" i="12"/>
  <c r="CB33" i="12"/>
  <c r="CC33" i="12"/>
  <c r="DA34" i="12"/>
  <c r="DB34" i="12"/>
  <c r="CW33" i="12"/>
  <c r="CV33" i="12"/>
  <c r="BX33" i="12"/>
  <c r="BW33" i="12"/>
  <c r="BN33" i="12"/>
  <c r="BM33" i="12"/>
  <c r="AS33" i="12"/>
  <c r="AT33" i="12"/>
  <c r="U33" i="12"/>
  <c r="T33" i="12"/>
  <c r="DL32" i="12"/>
  <c r="DK32" i="12"/>
  <c r="CR32" i="12"/>
  <c r="CQ32" i="12"/>
  <c r="BS32" i="12"/>
  <c r="BR32" i="12"/>
  <c r="BD32" i="12"/>
  <c r="BC32" i="12"/>
  <c r="AO32" i="12"/>
  <c r="AN32" i="12"/>
  <c r="DG31" i="12"/>
  <c r="DF31" i="12"/>
  <c r="CL31" i="12"/>
  <c r="CM31" i="12"/>
  <c r="CH31" i="12"/>
  <c r="CG31" i="12"/>
  <c r="AJ31" i="12"/>
  <c r="AI31" i="12"/>
  <c r="DB30" i="12"/>
  <c r="DA30" i="12"/>
  <c r="CC30" i="12"/>
  <c r="CB30" i="12"/>
  <c r="BI30" i="12"/>
  <c r="BH30" i="12"/>
  <c r="AY30" i="12"/>
  <c r="AX30" i="12"/>
  <c r="Z30" i="12"/>
  <c r="Y30" i="12"/>
  <c r="CW29" i="12"/>
  <c r="CV29" i="12"/>
  <c r="BX29" i="12"/>
  <c r="BW29" i="12"/>
  <c r="BM29" i="12"/>
  <c r="BN29" i="12"/>
  <c r="AS29" i="12"/>
  <c r="AT29" i="12"/>
  <c r="U29" i="12"/>
  <c r="T29" i="12"/>
  <c r="DK28" i="12"/>
  <c r="DL28" i="12"/>
  <c r="CQ28" i="12"/>
  <c r="CR28" i="12"/>
  <c r="BR28" i="12"/>
  <c r="BS28" i="12"/>
  <c r="BD28" i="12"/>
  <c r="BC28" i="12"/>
  <c r="AN28" i="12"/>
  <c r="AO28" i="12"/>
  <c r="DG27" i="12"/>
  <c r="DF27" i="12"/>
  <c r="CM27" i="12"/>
  <c r="CL27" i="12"/>
  <c r="CH27" i="12"/>
  <c r="CG27" i="12"/>
  <c r="AJ27" i="12"/>
  <c r="AI27" i="12"/>
  <c r="DA26" i="12"/>
  <c r="DB26" i="12"/>
  <c r="CC26" i="12"/>
  <c r="CB26" i="12"/>
  <c r="BH26" i="12"/>
  <c r="BI26" i="12"/>
  <c r="AY26" i="12"/>
  <c r="AX26" i="12"/>
  <c r="Z26" i="12"/>
  <c r="Y26" i="12"/>
  <c r="CV25" i="12"/>
  <c r="BW25" i="12"/>
  <c r="BM25" i="12"/>
  <c r="AS25" i="12"/>
  <c r="T25" i="12"/>
  <c r="DK24" i="12"/>
  <c r="CQ24" i="12"/>
  <c r="BR24" i="12"/>
  <c r="BC24" i="12"/>
  <c r="AN24" i="12"/>
  <c r="DF23" i="12"/>
  <c r="CL23" i="12"/>
  <c r="CG23" i="12"/>
  <c r="AI23" i="12"/>
  <c r="DA22" i="12"/>
  <c r="CB22" i="12"/>
  <c r="BH22" i="12"/>
  <c r="AX22" i="12"/>
  <c r="Y22" i="12"/>
  <c r="CV21" i="12"/>
  <c r="BW21" i="12"/>
  <c r="BM21" i="12"/>
  <c r="AS21" i="12"/>
  <c r="T21" i="12"/>
  <c r="DK20" i="12"/>
  <c r="CQ20" i="12"/>
  <c r="BR20" i="12"/>
  <c r="BC20" i="12"/>
  <c r="AN20" i="12"/>
  <c r="O21" i="12"/>
  <c r="DF19" i="12"/>
  <c r="CL19" i="12"/>
  <c r="CG19" i="12"/>
  <c r="AI19" i="12"/>
  <c r="DA18" i="12"/>
  <c r="CB18" i="12"/>
  <c r="BH18" i="12"/>
  <c r="AX18" i="12"/>
  <c r="Y18" i="12"/>
  <c r="CV17" i="12"/>
  <c r="BW17" i="12"/>
  <c r="BM17" i="12"/>
  <c r="AS17" i="12"/>
  <c r="T17" i="12"/>
  <c r="DK16" i="12"/>
  <c r="CQ16" i="12"/>
  <c r="BR16" i="12"/>
  <c r="BC16" i="12"/>
  <c r="AN16" i="12"/>
  <c r="DF15" i="12"/>
  <c r="CL15" i="12"/>
  <c r="CG15" i="12"/>
  <c r="AI15" i="12"/>
  <c r="DA14" i="12"/>
  <c r="CB14" i="12"/>
  <c r="BH14" i="12"/>
  <c r="AX14" i="12"/>
  <c r="Y14" i="12"/>
  <c r="CV13" i="12"/>
  <c r="BW13" i="12"/>
  <c r="BM13" i="12"/>
  <c r="AS13" i="12"/>
  <c r="T13" i="12"/>
  <c r="DK12" i="12"/>
  <c r="CQ12" i="12"/>
  <c r="BR12" i="12"/>
  <c r="BC12" i="12"/>
  <c r="AN12" i="12"/>
  <c r="DG11" i="12"/>
  <c r="DF11" i="12"/>
  <c r="CM11" i="12"/>
  <c r="CL11" i="12"/>
  <c r="CH11" i="12"/>
  <c r="CG11" i="12"/>
  <c r="AJ11" i="12"/>
  <c r="AI11" i="12"/>
  <c r="DA10" i="12"/>
  <c r="DB10" i="12"/>
  <c r="CC10" i="12"/>
  <c r="CB10" i="12"/>
  <c r="BI10" i="12"/>
  <c r="BH10" i="12"/>
  <c r="AY10" i="12"/>
  <c r="AX10" i="12"/>
  <c r="Z10" i="12"/>
  <c r="Y10" i="12"/>
  <c r="CW9" i="12"/>
  <c r="CV9" i="12"/>
  <c r="BX9" i="12"/>
  <c r="BW9" i="12"/>
  <c r="BN9" i="12"/>
  <c r="BM9" i="12"/>
  <c r="AT9" i="12"/>
  <c r="AS9" i="12"/>
  <c r="U9" i="12"/>
  <c r="T9" i="12"/>
  <c r="DL8" i="12"/>
  <c r="DK8" i="12"/>
  <c r="CR8" i="12"/>
  <c r="CQ8" i="12"/>
  <c r="BS8" i="12"/>
  <c r="BR8" i="12"/>
  <c r="BC8" i="12"/>
  <c r="BD8" i="12"/>
  <c r="AO8" i="12"/>
  <c r="AN8" i="12"/>
  <c r="DF7" i="12"/>
  <c r="DG7" i="12"/>
  <c r="CM7" i="12"/>
  <c r="CL7" i="12"/>
  <c r="CH7" i="12"/>
  <c r="CG7" i="12"/>
  <c r="AJ7" i="12"/>
  <c r="AI7" i="12"/>
  <c r="DB6" i="12"/>
  <c r="DA6" i="12"/>
  <c r="CC6" i="12"/>
  <c r="CB6" i="12"/>
  <c r="BH6" i="12"/>
  <c r="BI6" i="12"/>
  <c r="AY6" i="12"/>
  <c r="AX6" i="12"/>
  <c r="Y6" i="12"/>
  <c r="Z6" i="12"/>
  <c r="E6" i="12"/>
  <c r="AE33" i="12"/>
  <c r="AD33" i="12"/>
  <c r="AE29" i="12"/>
  <c r="AD29" i="12"/>
  <c r="AD25" i="12"/>
  <c r="AD21" i="12"/>
  <c r="AD17" i="12"/>
  <c r="AD13" i="12"/>
  <c r="AE9" i="12"/>
  <c r="AD9" i="12"/>
  <c r="AJ34" i="12"/>
  <c r="AI34" i="12"/>
  <c r="CH34" i="12"/>
  <c r="CG34" i="12"/>
  <c r="CM34" i="12"/>
  <c r="CL34" i="12"/>
  <c r="DQ9" i="12"/>
  <c r="DP9" i="12"/>
  <c r="DP13" i="12"/>
  <c r="DP17" i="12"/>
  <c r="DP21" i="12"/>
  <c r="DP25" i="12"/>
  <c r="DQ29" i="12"/>
  <c r="DP29" i="12"/>
  <c r="DQ33" i="12"/>
  <c r="DP33" i="12"/>
  <c r="DU7" i="12"/>
  <c r="DV7" i="12"/>
  <c r="DV11" i="12"/>
  <c r="DU11" i="12"/>
  <c r="DU15" i="12"/>
  <c r="DU19" i="12"/>
  <c r="DU23" i="12"/>
  <c r="DV27" i="12"/>
  <c r="DU27" i="12"/>
  <c r="DU31" i="12"/>
  <c r="DV31" i="12"/>
  <c r="DZ9" i="12"/>
  <c r="EA9" i="12"/>
  <c r="DZ13" i="12"/>
  <c r="DZ17" i="12"/>
  <c r="DZ21" i="12"/>
  <c r="DZ25" i="12"/>
  <c r="EA29" i="12"/>
  <c r="DZ29" i="12"/>
  <c r="DZ33" i="12"/>
  <c r="EA33" i="12"/>
  <c r="EF7" i="12"/>
  <c r="EE7" i="12"/>
  <c r="EF11" i="12"/>
  <c r="EE11" i="12"/>
  <c r="EE15" i="12"/>
  <c r="EE19" i="12"/>
  <c r="EE23" i="12"/>
  <c r="EF27" i="12"/>
  <c r="EE27" i="12"/>
  <c r="EF31" i="12"/>
  <c r="EE31" i="12"/>
  <c r="EK9" i="12"/>
  <c r="EJ9" i="12"/>
  <c r="EJ13" i="12"/>
  <c r="EJ17" i="12"/>
  <c r="EJ21" i="12"/>
  <c r="EJ25" i="12"/>
  <c r="EJ29" i="12"/>
  <c r="EK29" i="12"/>
  <c r="EK33" i="12"/>
  <c r="EJ33" i="12"/>
  <c r="EP7" i="12"/>
  <c r="EO7" i="12"/>
  <c r="EO11" i="12"/>
  <c r="EP11" i="12"/>
  <c r="EO15" i="12"/>
  <c r="EO19" i="12"/>
  <c r="EO24" i="12"/>
  <c r="EO28" i="12"/>
  <c r="EP28" i="12"/>
  <c r="EO32" i="12"/>
  <c r="EP32" i="12"/>
  <c r="EU6" i="12"/>
  <c r="ET6" i="12"/>
  <c r="ET10" i="12"/>
  <c r="EU10" i="12"/>
  <c r="ET14" i="12"/>
  <c r="ET18" i="12"/>
  <c r="ET23" i="12"/>
  <c r="EU27" i="12"/>
  <c r="ET27" i="12"/>
  <c r="EU31" i="12"/>
  <c r="ET31" i="12"/>
  <c r="EO23" i="12"/>
  <c r="CM33" i="12"/>
  <c r="CL33" i="12"/>
  <c r="CC32" i="12"/>
  <c r="CB32" i="12"/>
  <c r="Z32" i="12"/>
  <c r="Y32" i="12"/>
  <c r="CW31" i="12"/>
  <c r="CV31" i="12"/>
  <c r="BN31" i="12"/>
  <c r="BM31" i="12"/>
  <c r="T31" i="12"/>
  <c r="U31" i="12"/>
  <c r="BS30" i="12"/>
  <c r="BR30" i="12"/>
  <c r="AO30" i="12"/>
  <c r="AN30" i="12"/>
  <c r="DG29" i="12"/>
  <c r="DF29" i="12"/>
  <c r="CC28" i="12"/>
  <c r="CB28" i="12"/>
  <c r="AX28" i="12"/>
  <c r="AY28" i="12"/>
  <c r="BX27" i="12"/>
  <c r="BW27" i="12"/>
  <c r="AT27" i="12"/>
  <c r="AS27" i="12"/>
  <c r="DL26" i="12"/>
  <c r="DK26" i="12"/>
  <c r="BS26" i="12"/>
  <c r="BR26" i="12"/>
  <c r="AO26" i="12"/>
  <c r="AN26" i="12"/>
  <c r="DF25" i="12"/>
  <c r="CG25" i="12"/>
  <c r="CB24" i="12"/>
  <c r="AX24" i="12"/>
  <c r="BW23" i="12"/>
  <c r="AS23" i="12"/>
  <c r="DK22" i="12"/>
  <c r="BR22" i="12"/>
  <c r="BC22" i="12"/>
  <c r="CL21" i="12"/>
  <c r="DA20" i="12"/>
  <c r="BH20" i="12"/>
  <c r="AX20" i="12"/>
  <c r="Y20" i="12"/>
  <c r="CV19" i="12"/>
  <c r="BW19" i="12"/>
  <c r="BM19" i="12"/>
  <c r="AS19" i="12"/>
  <c r="DK18" i="12"/>
  <c r="CQ18" i="12"/>
  <c r="BR18" i="12"/>
  <c r="BC18" i="12"/>
  <c r="AN18" i="12"/>
  <c r="DF17" i="12"/>
  <c r="CL17" i="12"/>
  <c r="CG17" i="12"/>
  <c r="AI17" i="12"/>
  <c r="DA16" i="12"/>
  <c r="CB16" i="12"/>
  <c r="BH16" i="12"/>
  <c r="AX16" i="12"/>
  <c r="Y16" i="12"/>
  <c r="CV15" i="12"/>
  <c r="BW15" i="12"/>
  <c r="BM15" i="12"/>
  <c r="AS15" i="12"/>
  <c r="T15" i="12"/>
  <c r="DK14" i="12"/>
  <c r="CQ14" i="12"/>
  <c r="BR14" i="12"/>
  <c r="BC14" i="12"/>
  <c r="AN14" i="12"/>
  <c r="DF13" i="12"/>
  <c r="CL13" i="12"/>
  <c r="CG13" i="12"/>
  <c r="AI13" i="12"/>
  <c r="DA12" i="12"/>
  <c r="CB12" i="12"/>
  <c r="BH12" i="12"/>
  <c r="AX12" i="12"/>
  <c r="Y12" i="12"/>
  <c r="CV11" i="12"/>
  <c r="CW11" i="12"/>
  <c r="BW11" i="12"/>
  <c r="BX11" i="12"/>
  <c r="BN11" i="12"/>
  <c r="BM11" i="12"/>
  <c r="AT11" i="12"/>
  <c r="AS11" i="12"/>
  <c r="T11" i="12"/>
  <c r="U11" i="12"/>
  <c r="DL10" i="12"/>
  <c r="DK10" i="12"/>
  <c r="CR10" i="12"/>
  <c r="CQ10" i="12"/>
  <c r="BR10" i="12"/>
  <c r="BS10" i="12"/>
  <c r="BD10" i="12"/>
  <c r="BC10" i="12"/>
  <c r="AO10" i="12"/>
  <c r="AN10" i="12"/>
  <c r="DG9" i="12"/>
  <c r="DF9" i="12"/>
  <c r="CM9" i="12"/>
  <c r="CL9" i="12"/>
  <c r="CG9" i="12"/>
  <c r="CH9" i="12"/>
  <c r="AI9" i="12"/>
  <c r="AJ9" i="12"/>
  <c r="DA8" i="12"/>
  <c r="DB8" i="12"/>
  <c r="BI8" i="12"/>
  <c r="BH8" i="12"/>
  <c r="BN7" i="12"/>
  <c r="BM7" i="12"/>
  <c r="T7" i="12"/>
  <c r="U7" i="12"/>
  <c r="BS6" i="12"/>
  <c r="BR6" i="12"/>
  <c r="AD31" i="12"/>
  <c r="AE31" i="12"/>
  <c r="AD19" i="12"/>
  <c r="AD11" i="12"/>
  <c r="AE11" i="12"/>
  <c r="AS34" i="12"/>
  <c r="AT34" i="12"/>
  <c r="CV34" i="12"/>
  <c r="CW34" i="12"/>
  <c r="DP15" i="12"/>
  <c r="DQ27" i="12"/>
  <c r="DP27" i="12"/>
  <c r="DV9" i="12"/>
  <c r="DU9" i="12"/>
  <c r="DU21" i="12"/>
  <c r="DV33" i="12"/>
  <c r="DU33" i="12"/>
  <c r="EA11" i="12"/>
  <c r="DZ11" i="12"/>
  <c r="DZ23" i="12"/>
  <c r="EE17" i="12"/>
  <c r="EE21" i="12"/>
  <c r="EF33" i="12"/>
  <c r="EE33" i="12"/>
  <c r="EJ15" i="12"/>
  <c r="EK27" i="12"/>
  <c r="EJ27" i="12"/>
  <c r="EO21" i="12"/>
  <c r="DF34" i="12"/>
  <c r="DG34" i="12"/>
  <c r="BI33" i="12"/>
  <c r="BH33" i="12"/>
  <c r="BW32" i="12"/>
  <c r="BX32" i="12"/>
  <c r="U34" i="12"/>
  <c r="T34" i="12"/>
  <c r="DK33" i="12"/>
  <c r="DL33" i="12"/>
  <c r="CQ33" i="12"/>
  <c r="CR33" i="12"/>
  <c r="BS33" i="12"/>
  <c r="BR33" i="12"/>
  <c r="BD33" i="12"/>
  <c r="BC33" i="12"/>
  <c r="AO33" i="12"/>
  <c r="AN33" i="12"/>
  <c r="DG32" i="12"/>
  <c r="DF32" i="12"/>
  <c r="CM32" i="12"/>
  <c r="CL32" i="12"/>
  <c r="CH32" i="12"/>
  <c r="CG32" i="12"/>
  <c r="AI32" i="12"/>
  <c r="AJ32" i="12"/>
  <c r="DB31" i="12"/>
  <c r="DA31" i="12"/>
  <c r="CB31" i="12"/>
  <c r="CC31" i="12"/>
  <c r="BI31" i="12"/>
  <c r="BH31" i="12"/>
  <c r="AY31" i="12"/>
  <c r="AX31" i="12"/>
  <c r="Z31" i="12"/>
  <c r="Y31" i="12"/>
  <c r="CV30" i="12"/>
  <c r="CW30" i="12"/>
  <c r="BX30" i="12"/>
  <c r="BW30" i="12"/>
  <c r="BN30" i="12"/>
  <c r="BM30" i="12"/>
  <c r="AT30" i="12"/>
  <c r="AS30" i="12"/>
  <c r="U30" i="12"/>
  <c r="T30" i="12"/>
  <c r="DL29" i="12"/>
  <c r="DK29" i="12"/>
  <c r="CR29" i="12"/>
  <c r="CQ29" i="12"/>
  <c r="BS29" i="12"/>
  <c r="BR29" i="12"/>
  <c r="BD29" i="12"/>
  <c r="BC29" i="12"/>
  <c r="AO29" i="12"/>
  <c r="AN29" i="12"/>
  <c r="DF28" i="12"/>
  <c r="DG28" i="12"/>
  <c r="CM28" i="12"/>
  <c r="CL28" i="12"/>
  <c r="CG28" i="12"/>
  <c r="CH28" i="12"/>
  <c r="AI28" i="12"/>
  <c r="AJ28" i="12"/>
  <c r="DB27" i="12"/>
  <c r="DA27" i="12"/>
  <c r="CB27" i="12"/>
  <c r="CC27" i="12"/>
  <c r="BI27" i="12"/>
  <c r="BH27" i="12"/>
  <c r="AY27" i="12"/>
  <c r="AX27" i="12"/>
  <c r="Z27" i="12"/>
  <c r="Y27" i="12"/>
  <c r="CW26" i="12"/>
  <c r="CV26" i="12"/>
  <c r="BW26" i="12"/>
  <c r="BX26" i="12"/>
  <c r="BN26" i="12"/>
  <c r="BM26" i="12"/>
  <c r="AT26" i="12"/>
  <c r="AS26" i="12"/>
  <c r="U26" i="12"/>
  <c r="T26" i="12"/>
  <c r="DK25" i="12"/>
  <c r="CQ25" i="12"/>
  <c r="BR25" i="12"/>
  <c r="BC25" i="12"/>
  <c r="AN25" i="12"/>
  <c r="DF24" i="12"/>
  <c r="CL24" i="12"/>
  <c r="CG24" i="12"/>
  <c r="AI24" i="12"/>
  <c r="DA23" i="12"/>
  <c r="CB23" i="12"/>
  <c r="BH23" i="12"/>
  <c r="AX23" i="12"/>
  <c r="Y23" i="12"/>
  <c r="CV22" i="12"/>
  <c r="BW22" i="12"/>
  <c r="BM22" i="12"/>
  <c r="AS22" i="12"/>
  <c r="T22" i="12"/>
  <c r="DK21" i="12"/>
  <c r="CQ21" i="12"/>
  <c r="BR21" i="12"/>
  <c r="BC21" i="12"/>
  <c r="AN21" i="12"/>
  <c r="DF20" i="12"/>
  <c r="CL20" i="12"/>
  <c r="CG20" i="12"/>
  <c r="AI20" i="12"/>
  <c r="DA19" i="12"/>
  <c r="CB19" i="12"/>
  <c r="BH19" i="12"/>
  <c r="AX19" i="12"/>
  <c r="Y19" i="12"/>
  <c r="CV18" i="12"/>
  <c r="BW18" i="12"/>
  <c r="BM18" i="12"/>
  <c r="AS18" i="12"/>
  <c r="T18" i="12"/>
  <c r="DK17" i="12"/>
  <c r="CQ17" i="12"/>
  <c r="BR17" i="12"/>
  <c r="BC17" i="12"/>
  <c r="AN17" i="12"/>
  <c r="DF16" i="12"/>
  <c r="CL16" i="12"/>
  <c r="CG16" i="12"/>
  <c r="AI16" i="12"/>
  <c r="DA15" i="12"/>
  <c r="CB15" i="12"/>
  <c r="BH15" i="12"/>
  <c r="AX15" i="12"/>
  <c r="Y15" i="12"/>
  <c r="CV14" i="12"/>
  <c r="BW14" i="12"/>
  <c r="BM14" i="12"/>
  <c r="AS14" i="12"/>
  <c r="T14" i="12"/>
  <c r="DK13" i="12"/>
  <c r="CQ13" i="12"/>
  <c r="BR13" i="12"/>
  <c r="BC13" i="12"/>
  <c r="AN13" i="12"/>
  <c r="DF12" i="12"/>
  <c r="CL12" i="12"/>
  <c r="CG12" i="12"/>
  <c r="AI12" i="12"/>
  <c r="DB11" i="12"/>
  <c r="DA11" i="12"/>
  <c r="CB11" i="12"/>
  <c r="CC11" i="12"/>
  <c r="BI11" i="12"/>
  <c r="BH11" i="12"/>
  <c r="AX11" i="12"/>
  <c r="AY11" i="12"/>
  <c r="Z11" i="12"/>
  <c r="Y11" i="12"/>
  <c r="CW10" i="12"/>
  <c r="CV10" i="12"/>
  <c r="BW10" i="12"/>
  <c r="BX10" i="12"/>
  <c r="BN10" i="12"/>
  <c r="BM10" i="12"/>
  <c r="AT10" i="12"/>
  <c r="AS10" i="12"/>
  <c r="U10" i="12"/>
  <c r="T10" i="12"/>
  <c r="DK9" i="12"/>
  <c r="DL9" i="12"/>
  <c r="CQ9" i="12"/>
  <c r="CR9" i="12"/>
  <c r="BR9" i="12"/>
  <c r="BS9" i="12"/>
  <c r="BD9" i="12"/>
  <c r="BC9" i="12"/>
  <c r="AO9" i="12"/>
  <c r="AN9" i="12"/>
  <c r="DG8" i="12"/>
  <c r="DF8" i="12"/>
  <c r="CM8" i="12"/>
  <c r="CL8" i="12"/>
  <c r="CH8" i="12"/>
  <c r="CG8" i="12"/>
  <c r="AI8" i="12"/>
  <c r="AJ8" i="12"/>
  <c r="DB7" i="12"/>
  <c r="DA7" i="12"/>
  <c r="CB7" i="12"/>
  <c r="CC7" i="12"/>
  <c r="BH7" i="12"/>
  <c r="BI7" i="12"/>
  <c r="AX7" i="12"/>
  <c r="AY7" i="12"/>
  <c r="Z7" i="12"/>
  <c r="Y7" i="12"/>
  <c r="CV6" i="12"/>
  <c r="CW6" i="12"/>
  <c r="BX6" i="12"/>
  <c r="BW6" i="12"/>
  <c r="BN6" i="12"/>
  <c r="BM6" i="12"/>
  <c r="AT6" i="12"/>
  <c r="AS6" i="12"/>
  <c r="T6" i="12"/>
  <c r="U6" i="12"/>
  <c r="AE32" i="12"/>
  <c r="AD32" i="12"/>
  <c r="AE28" i="12"/>
  <c r="AD28" i="12"/>
  <c r="AD24" i="12"/>
  <c r="AD20" i="12"/>
  <c r="AD16" i="12"/>
  <c r="AD12" i="12"/>
  <c r="AE8" i="12"/>
  <c r="AD8" i="12"/>
  <c r="AN34" i="12"/>
  <c r="AO34" i="12"/>
  <c r="BC34" i="12"/>
  <c r="BD34" i="12"/>
  <c r="BR34" i="12"/>
  <c r="BS34" i="12"/>
  <c r="CR34" i="12"/>
  <c r="CQ34" i="12"/>
  <c r="DQ6" i="12"/>
  <c r="DP6" i="12"/>
  <c r="DP10" i="12"/>
  <c r="DQ10" i="12"/>
  <c r="DP14" i="12"/>
  <c r="DP18" i="12"/>
  <c r="DP22" i="12"/>
  <c r="DP26" i="12"/>
  <c r="DQ26" i="12"/>
  <c r="DQ30" i="12"/>
  <c r="DP30" i="12"/>
  <c r="DQ34" i="12"/>
  <c r="DP34" i="12"/>
  <c r="DV8" i="12"/>
  <c r="DU8" i="12"/>
  <c r="DU12" i="12"/>
  <c r="DU16" i="12"/>
  <c r="DU20" i="12"/>
  <c r="DU24" i="12"/>
  <c r="DU28" i="12"/>
  <c r="DV28" i="12"/>
  <c r="DU32" i="12"/>
  <c r="DV32" i="12"/>
  <c r="EA6" i="12"/>
  <c r="DZ6" i="12"/>
  <c r="DZ10" i="12"/>
  <c r="EA10" i="12"/>
  <c r="DZ14" i="12"/>
  <c r="DZ18" i="12"/>
  <c r="DZ22" i="12"/>
  <c r="DZ26" i="12"/>
  <c r="EA26" i="12"/>
  <c r="DZ30" i="12"/>
  <c r="EA30" i="12"/>
  <c r="DZ34" i="12"/>
  <c r="EA34" i="12"/>
  <c r="EE8" i="12"/>
  <c r="EF8" i="12"/>
  <c r="EE12" i="12"/>
  <c r="EE16" i="12"/>
  <c r="EE20" i="12"/>
  <c r="EE24" i="12"/>
  <c r="EE28" i="12"/>
  <c r="EF28" i="12"/>
  <c r="EE32" i="12"/>
  <c r="EF32" i="12"/>
  <c r="EK6" i="12"/>
  <c r="EJ6" i="12"/>
  <c r="EJ10" i="12"/>
  <c r="EK10" i="12"/>
  <c r="EJ14" i="12"/>
  <c r="EJ18" i="12"/>
  <c r="EJ22" i="12"/>
  <c r="EJ26" i="12"/>
  <c r="EK26" i="12"/>
  <c r="EJ30" i="12"/>
  <c r="EK30" i="12"/>
  <c r="EJ34" i="12"/>
  <c r="EK34" i="12"/>
  <c r="EO8" i="12"/>
  <c r="EP8" i="12"/>
  <c r="EO12" i="12"/>
  <c r="EO16" i="12"/>
  <c r="EO20" i="12"/>
  <c r="EO25" i="12"/>
  <c r="EP29" i="12"/>
  <c r="EO29" i="12"/>
  <c r="EP33" i="12"/>
  <c r="EO33" i="12"/>
  <c r="EU7" i="12"/>
  <c r="ET7" i="12"/>
  <c r="EU11" i="12"/>
  <c r="ET11" i="12"/>
  <c r="ET15" i="12"/>
  <c r="ET19" i="12"/>
  <c r="ET24" i="12"/>
  <c r="EU28" i="12"/>
  <c r="ET28" i="12"/>
  <c r="EU32" i="12"/>
  <c r="ET32" i="12"/>
  <c r="D37" i="19"/>
  <c r="D23" i="1"/>
  <c r="J20" i="9"/>
  <c r="E21" i="12"/>
  <c r="D35" i="2"/>
  <c r="H32" i="22"/>
  <c r="I29" i="17" s="1"/>
  <c r="O23" i="12"/>
  <c r="J22" i="12"/>
  <c r="E23" i="12"/>
  <c r="H25" i="22"/>
  <c r="I22" i="17" s="1"/>
  <c r="J11" i="12"/>
  <c r="J30" i="12"/>
  <c r="E12" i="12"/>
  <c r="O34" i="12"/>
  <c r="O33" i="12"/>
  <c r="J32" i="12"/>
  <c r="E31" i="12"/>
  <c r="O24" i="12"/>
  <c r="O16" i="12"/>
  <c r="J15" i="12"/>
  <c r="E14" i="12"/>
  <c r="O7" i="12"/>
  <c r="J6" i="12"/>
  <c r="J28" i="12"/>
  <c r="O31" i="12"/>
  <c r="E29" i="12"/>
  <c r="J34" i="12"/>
  <c r="J33" i="12"/>
  <c r="E32" i="12"/>
  <c r="O26" i="12"/>
  <c r="O25" i="12"/>
  <c r="J24" i="12"/>
  <c r="O17" i="12"/>
  <c r="J16" i="12"/>
  <c r="E15" i="12"/>
  <c r="O9" i="12"/>
  <c r="O8" i="12"/>
  <c r="J7" i="12"/>
  <c r="O12" i="12"/>
  <c r="O14" i="12"/>
  <c r="E34" i="12"/>
  <c r="E33" i="12"/>
  <c r="O27" i="12"/>
  <c r="J26" i="12"/>
  <c r="J25" i="12"/>
  <c r="E24" i="12"/>
  <c r="J17" i="12"/>
  <c r="E16" i="12"/>
  <c r="O10" i="12"/>
  <c r="J9" i="12"/>
  <c r="J8" i="12"/>
  <c r="E7" i="12"/>
  <c r="O29" i="12"/>
  <c r="J13" i="12"/>
  <c r="O28" i="12"/>
  <c r="J27" i="12"/>
  <c r="E26" i="12"/>
  <c r="E25" i="12"/>
  <c r="E17" i="12"/>
  <c r="O11" i="12"/>
  <c r="J10" i="12"/>
  <c r="E9" i="12"/>
  <c r="E8" i="12"/>
  <c r="E27" i="12"/>
  <c r="E10" i="12"/>
  <c r="O30" i="12"/>
  <c r="J29" i="12"/>
  <c r="E28" i="12"/>
  <c r="O13" i="12"/>
  <c r="J12" i="12"/>
  <c r="E11" i="12"/>
  <c r="O32" i="12"/>
  <c r="J31" i="12"/>
  <c r="E30" i="12"/>
  <c r="J23" i="12"/>
  <c r="O15" i="12"/>
  <c r="J14" i="12"/>
  <c r="E13" i="12"/>
  <c r="O6" i="12"/>
  <c r="O22" i="12"/>
  <c r="O18" i="12"/>
  <c r="O19" i="12"/>
  <c r="O20" i="12"/>
  <c r="J21" i="12"/>
  <c r="J20" i="12"/>
  <c r="J19" i="12"/>
  <c r="J18" i="12"/>
  <c r="E22" i="12"/>
  <c r="E18" i="12"/>
  <c r="E19" i="12"/>
  <c r="E20" i="12"/>
  <c r="D25" i="2"/>
  <c r="C29" i="1"/>
  <c r="C30" i="2"/>
  <c r="D39" i="2"/>
  <c r="J27" i="9"/>
  <c r="C31" i="2"/>
  <c r="C32" i="15"/>
  <c r="H32" i="15" s="1"/>
  <c r="B35" i="1"/>
  <c r="P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5" i="22"/>
  <c r="I32" i="17" s="1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P26" i="12" s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H34" i="15" s="1"/>
  <c r="B38" i="2"/>
  <c r="B37" i="1"/>
  <c r="K34" i="12" s="1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F27" i="12" s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EA19" i="12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BX20" i="12" s="1"/>
  <c r="C24" i="15"/>
  <c r="H24" i="15" s="1"/>
  <c r="B27" i="1"/>
  <c r="K24" i="12" s="1"/>
  <c r="B28" i="2"/>
  <c r="B26" i="2"/>
  <c r="B25" i="1"/>
  <c r="DG22" i="12" s="1"/>
  <c r="C22" i="15"/>
  <c r="H22" i="15" s="1"/>
  <c r="B28" i="1"/>
  <c r="P25" i="12" s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5" i="22"/>
  <c r="E39" i="2"/>
  <c r="E34" i="1"/>
  <c r="E31" i="22"/>
  <c r="F31" i="22" s="1"/>
  <c r="G28" i="17" s="1"/>
  <c r="B21" i="1"/>
  <c r="K18" i="12" s="1"/>
  <c r="B26" i="1"/>
  <c r="EK23" i="12" s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P28" i="12" s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S35" i="12"/>
  <c r="EN35" i="12"/>
  <c r="EI35" i="12"/>
  <c r="ED35" i="12"/>
  <c r="DY35" i="12"/>
  <c r="DT35" i="12"/>
  <c r="DO35" i="12"/>
  <c r="DJ35" i="12"/>
  <c r="DE35" i="12"/>
  <c r="CZ35" i="12"/>
  <c r="CU35" i="12"/>
  <c r="CP35" i="12"/>
  <c r="CK35" i="12"/>
  <c r="CA35" i="12"/>
  <c r="BV35" i="12"/>
  <c r="BQ35" i="12"/>
  <c r="CF35" i="12"/>
  <c r="BG35" i="12"/>
  <c r="BL35" i="12"/>
  <c r="BB35" i="12"/>
  <c r="AW35" i="12"/>
  <c r="AR35" i="12"/>
  <c r="AM35" i="12"/>
  <c r="AH35" i="12"/>
  <c r="AC35" i="12"/>
  <c r="X35" i="12"/>
  <c r="S35" i="12"/>
  <c r="N35" i="12"/>
  <c r="I35" i="12"/>
  <c r="D35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39" i="1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D35" i="9"/>
  <c r="L35" i="9" s="1"/>
  <c r="M35" i="9" s="1"/>
  <c r="L6" i="9"/>
  <c r="M6" i="9" s="1"/>
  <c r="C9" i="1"/>
  <c r="J6" i="9"/>
  <c r="C10" i="2"/>
  <c r="D17" i="7"/>
  <c r="G12" i="15" s="1"/>
  <c r="G36" i="15" s="1"/>
  <c r="B9" i="2"/>
  <c r="I9" i="2" s="1"/>
  <c r="D41" i="6"/>
  <c r="B19" i="1"/>
  <c r="P16" i="12" s="1"/>
  <c r="E16" i="15"/>
  <c r="H16" i="15" s="1"/>
  <c r="B20" i="2"/>
  <c r="B11" i="1"/>
  <c r="F8" i="12" s="1"/>
  <c r="B12" i="2"/>
  <c r="B15" i="2"/>
  <c r="D11" i="15"/>
  <c r="H11" i="15" s="1"/>
  <c r="B14" i="1"/>
  <c r="K11" i="12" s="1"/>
  <c r="D20" i="4"/>
  <c r="H9" i="15"/>
  <c r="H17" i="15"/>
  <c r="B20" i="1"/>
  <c r="F17" i="12" s="1"/>
  <c r="H8" i="15"/>
  <c r="B10" i="2"/>
  <c r="D6" i="15"/>
  <c r="H6" i="15" s="1"/>
  <c r="B9" i="1"/>
  <c r="K6" i="12" s="1"/>
  <c r="D5" i="15"/>
  <c r="B8" i="1"/>
  <c r="B21" i="2"/>
  <c r="B17" i="1"/>
  <c r="P14" i="12" s="1"/>
  <c r="B18" i="2"/>
  <c r="C14" i="15"/>
  <c r="H14" i="15" s="1"/>
  <c r="C13" i="15"/>
  <c r="H13" i="15" s="1"/>
  <c r="B17" i="2"/>
  <c r="B16" i="1"/>
  <c r="F13" i="12" s="1"/>
  <c r="B14" i="2"/>
  <c r="C10" i="15"/>
  <c r="H10" i="15" s="1"/>
  <c r="B13" i="1"/>
  <c r="K10" i="12" s="1"/>
  <c r="B13" i="2"/>
  <c r="B12" i="1"/>
  <c r="K9" i="12" s="1"/>
  <c r="C7" i="15"/>
  <c r="H7" i="15" s="1"/>
  <c r="B10" i="1"/>
  <c r="K7" i="12" s="1"/>
  <c r="B11" i="2"/>
  <c r="EF25" i="12" l="1"/>
  <c r="DV25" i="12"/>
  <c r="DB25" i="12"/>
  <c r="BI25" i="12"/>
  <c r="CH25" i="12"/>
  <c r="EP25" i="12"/>
  <c r="DL25" i="12"/>
  <c r="EP24" i="12"/>
  <c r="BI24" i="12"/>
  <c r="AY22" i="12"/>
  <c r="BX22" i="12"/>
  <c r="AO25" i="12"/>
  <c r="BS25" i="12"/>
  <c r="EK25" i="12"/>
  <c r="DQ25" i="12"/>
  <c r="AE25" i="12"/>
  <c r="U25" i="12"/>
  <c r="BN25" i="12"/>
  <c r="CW25" i="12"/>
  <c r="CM25" i="12"/>
  <c r="BX24" i="12"/>
  <c r="CC25" i="12"/>
  <c r="AJ24" i="12"/>
  <c r="CR25" i="12"/>
  <c r="EA25" i="12"/>
  <c r="CR24" i="12"/>
  <c r="AJ25" i="12"/>
  <c r="AY25" i="12"/>
  <c r="EF24" i="12"/>
  <c r="DV24" i="12"/>
  <c r="BD25" i="12"/>
  <c r="DG25" i="12"/>
  <c r="BD24" i="12"/>
  <c r="AT25" i="12"/>
  <c r="BX25" i="12"/>
  <c r="Z25" i="12"/>
  <c r="EU25" i="12"/>
  <c r="EU24" i="12"/>
  <c r="CH24" i="12"/>
  <c r="DG24" i="12"/>
  <c r="CC24" i="12"/>
  <c r="DB24" i="12"/>
  <c r="U24" i="12"/>
  <c r="BN24" i="12"/>
  <c r="AE24" i="12"/>
  <c r="AO24" i="12"/>
  <c r="BS24" i="12"/>
  <c r="DL24" i="12"/>
  <c r="Z24" i="12"/>
  <c r="EK24" i="12"/>
  <c r="EA24" i="12"/>
  <c r="DQ24" i="12"/>
  <c r="CW24" i="12"/>
  <c r="CM24" i="12"/>
  <c r="AY24" i="12"/>
  <c r="AT24" i="12"/>
  <c r="Z23" i="12"/>
  <c r="AT22" i="12"/>
  <c r="AY23" i="12"/>
  <c r="CC23" i="12"/>
  <c r="DL22" i="12"/>
  <c r="DV23" i="12"/>
  <c r="DG23" i="12"/>
  <c r="U23" i="12"/>
  <c r="CW23" i="12"/>
  <c r="DV22" i="12"/>
  <c r="AE22" i="12"/>
  <c r="DL23" i="12"/>
  <c r="DQ23" i="12"/>
  <c r="DB23" i="12"/>
  <c r="AT23" i="12"/>
  <c r="BN23" i="12"/>
  <c r="EA23" i="12"/>
  <c r="BX23" i="12"/>
  <c r="EP23" i="12"/>
  <c r="AJ23" i="12"/>
  <c r="CH23" i="12"/>
  <c r="BD23" i="12"/>
  <c r="EU23" i="12"/>
  <c r="AO23" i="12"/>
  <c r="BS23" i="12"/>
  <c r="AE23" i="12"/>
  <c r="EA22" i="12"/>
  <c r="BI23" i="12"/>
  <c r="EF23" i="12"/>
  <c r="CM23" i="12"/>
  <c r="CR22" i="12"/>
  <c r="CR23" i="12"/>
  <c r="DQ22" i="12"/>
  <c r="BD22" i="12"/>
  <c r="CC22" i="12"/>
  <c r="CM22" i="12"/>
  <c r="CW22" i="12"/>
  <c r="EU22" i="12"/>
  <c r="EP22" i="12"/>
  <c r="CH22" i="12"/>
  <c r="EK22" i="12"/>
  <c r="U22" i="12"/>
  <c r="BN22" i="12"/>
  <c r="BS22" i="12"/>
  <c r="Z22" i="12"/>
  <c r="BI22" i="12"/>
  <c r="DB22" i="12"/>
  <c r="AO22" i="12"/>
  <c r="EF22" i="12"/>
  <c r="AJ22" i="12"/>
  <c r="AJ20" i="12"/>
  <c r="AT20" i="12"/>
  <c r="DV20" i="12"/>
  <c r="BS20" i="12"/>
  <c r="EP20" i="12"/>
  <c r="AO20" i="12"/>
  <c r="EA20" i="12"/>
  <c r="CH20" i="12"/>
  <c r="BI20" i="12"/>
  <c r="CC20" i="12"/>
  <c r="AE20" i="12"/>
  <c r="DG20" i="12"/>
  <c r="CR20" i="12"/>
  <c r="DQ20" i="12"/>
  <c r="U20" i="12"/>
  <c r="EF20" i="12"/>
  <c r="CM20" i="12"/>
  <c r="AY20" i="12"/>
  <c r="DB20" i="12"/>
  <c r="BD20" i="12"/>
  <c r="EK20" i="12"/>
  <c r="BN20" i="12"/>
  <c r="CW20" i="12"/>
  <c r="EU20" i="12"/>
  <c r="Z20" i="12"/>
  <c r="DL20" i="12"/>
  <c r="EF19" i="12"/>
  <c r="AJ19" i="12"/>
  <c r="CH19" i="12"/>
  <c r="DG19" i="12"/>
  <c r="DQ19" i="12"/>
  <c r="U19" i="12"/>
  <c r="AO19" i="12"/>
  <c r="BS19" i="12"/>
  <c r="DL19" i="12"/>
  <c r="EU19" i="12"/>
  <c r="Z19" i="12"/>
  <c r="BI19" i="12"/>
  <c r="DB19" i="12"/>
  <c r="BN19" i="12"/>
  <c r="CW19" i="12"/>
  <c r="DV19" i="12"/>
  <c r="CR19" i="12"/>
  <c r="CC19" i="12"/>
  <c r="BX19" i="12"/>
  <c r="CM19" i="12"/>
  <c r="EK19" i="12"/>
  <c r="BD19" i="12"/>
  <c r="AY19" i="12"/>
  <c r="AE19" i="12"/>
  <c r="AT19" i="12"/>
  <c r="EP19" i="12"/>
  <c r="AE18" i="12"/>
  <c r="DG18" i="12"/>
  <c r="EA18" i="12"/>
  <c r="DQ18" i="12"/>
  <c r="BN18" i="12"/>
  <c r="CW18" i="12"/>
  <c r="DL18" i="12"/>
  <c r="AY18" i="12"/>
  <c r="DV18" i="12"/>
  <c r="AJ18" i="12"/>
  <c r="CH18" i="12"/>
  <c r="AT18" i="12"/>
  <c r="BD18" i="12"/>
  <c r="CR18" i="12"/>
  <c r="BI18" i="12"/>
  <c r="DB18" i="12"/>
  <c r="EP18" i="12"/>
  <c r="CM18" i="12"/>
  <c r="BX18" i="12"/>
  <c r="AO18" i="12"/>
  <c r="BS18" i="12"/>
  <c r="Z18" i="12"/>
  <c r="EK18" i="12"/>
  <c r="U18" i="12"/>
  <c r="EU18" i="12"/>
  <c r="CC18" i="12"/>
  <c r="EF18" i="12"/>
  <c r="AO17" i="12"/>
  <c r="BS17" i="12"/>
  <c r="AJ17" i="12"/>
  <c r="CH17" i="12"/>
  <c r="AO16" i="12"/>
  <c r="AT17" i="12"/>
  <c r="AY17" i="12"/>
  <c r="CC17" i="12"/>
  <c r="EP17" i="12"/>
  <c r="AJ16" i="12"/>
  <c r="CR17" i="12"/>
  <c r="DG17" i="12"/>
  <c r="EK17" i="12"/>
  <c r="DQ17" i="12"/>
  <c r="AE17" i="12"/>
  <c r="DL16" i="12"/>
  <c r="BX17" i="12"/>
  <c r="Z17" i="12"/>
  <c r="BD17" i="12"/>
  <c r="EA17" i="12"/>
  <c r="EU17" i="12"/>
  <c r="BI17" i="12"/>
  <c r="DB17" i="12"/>
  <c r="DL17" i="12"/>
  <c r="EF17" i="12"/>
  <c r="CM17" i="12"/>
  <c r="U17" i="12"/>
  <c r="BN17" i="12"/>
  <c r="CW17" i="12"/>
  <c r="DV17" i="12"/>
  <c r="CH16" i="12"/>
  <c r="DG16" i="12"/>
  <c r="AY16" i="12"/>
  <c r="CC16" i="12"/>
  <c r="BD16" i="12"/>
  <c r="AT16" i="12"/>
  <c r="BX16" i="12"/>
  <c r="EU16" i="12"/>
  <c r="DQ16" i="12"/>
  <c r="U16" i="12"/>
  <c r="DB16" i="12"/>
  <c r="CR16" i="12"/>
  <c r="EP16" i="12"/>
  <c r="EF16" i="12"/>
  <c r="DV16" i="12"/>
  <c r="AE16" i="12"/>
  <c r="CM16" i="12"/>
  <c r="Z16" i="12"/>
  <c r="BI16" i="12"/>
  <c r="BS16" i="12"/>
  <c r="EK16" i="12"/>
  <c r="EA16" i="12"/>
  <c r="BN16" i="12"/>
  <c r="CW16" i="12"/>
  <c r="AY14" i="12"/>
  <c r="CM14" i="12"/>
  <c r="AO14" i="12"/>
  <c r="BS14" i="12"/>
  <c r="DQ14" i="12"/>
  <c r="BX14" i="12"/>
  <c r="BD14" i="12"/>
  <c r="CR14" i="12"/>
  <c r="CC14" i="12"/>
  <c r="CH14" i="12"/>
  <c r="EA14" i="12"/>
  <c r="AT14" i="12"/>
  <c r="EF14" i="12"/>
  <c r="DG14" i="12"/>
  <c r="DL14" i="12"/>
  <c r="EU14" i="12"/>
  <c r="Z14" i="12"/>
  <c r="BI14" i="12"/>
  <c r="DB14" i="12"/>
  <c r="DV14" i="12"/>
  <c r="AJ14" i="12"/>
  <c r="EK14" i="12"/>
  <c r="U14" i="12"/>
  <c r="BN14" i="12"/>
  <c r="CW14" i="12"/>
  <c r="EP14" i="12"/>
  <c r="AE14" i="12"/>
  <c r="U13" i="12"/>
  <c r="CW13" i="12"/>
  <c r="BD13" i="12"/>
  <c r="CR13" i="12"/>
  <c r="CM13" i="12"/>
  <c r="AE13" i="12"/>
  <c r="AT13" i="12"/>
  <c r="EP13" i="12"/>
  <c r="EF13" i="12"/>
  <c r="EU13" i="12"/>
  <c r="AY13" i="12"/>
  <c r="CC13" i="12"/>
  <c r="EK13" i="12"/>
  <c r="BX13" i="12"/>
  <c r="Z13" i="12"/>
  <c r="DB13" i="12"/>
  <c r="AO13" i="12"/>
  <c r="BS13" i="12"/>
  <c r="DL13" i="12"/>
  <c r="AJ13" i="12"/>
  <c r="CH13" i="12"/>
  <c r="DG13" i="12"/>
  <c r="EA13" i="12"/>
  <c r="DQ13" i="12"/>
  <c r="BN13" i="12"/>
  <c r="DV13" i="12"/>
  <c r="BI13" i="12"/>
  <c r="D25" i="22"/>
  <c r="E22" i="17" s="1"/>
  <c r="D29" i="22"/>
  <c r="E26" i="17" s="1"/>
  <c r="D31" i="22"/>
  <c r="E28" i="17" s="1"/>
  <c r="B33" i="1"/>
  <c r="K30" i="12" s="1"/>
  <c r="C30" i="15"/>
  <c r="H30" i="15" s="1"/>
  <c r="F32" i="12"/>
  <c r="K14" i="12"/>
  <c r="P9" i="12"/>
  <c r="P6" i="12"/>
  <c r="P13" i="12"/>
  <c r="F9" i="12"/>
  <c r="K17" i="12"/>
  <c r="K13" i="12"/>
  <c r="P8" i="12"/>
  <c r="K8" i="12"/>
  <c r="P17" i="12"/>
  <c r="F14" i="12"/>
  <c r="P34" i="12"/>
  <c r="K32" i="12"/>
  <c r="D30" i="22"/>
  <c r="E27" i="17" s="1"/>
  <c r="K28" i="12"/>
  <c r="D26" i="22"/>
  <c r="E23" i="17" s="1"/>
  <c r="F25" i="12"/>
  <c r="P24" i="12"/>
  <c r="F24" i="12"/>
  <c r="P27" i="12"/>
  <c r="F26" i="12"/>
  <c r="F10" i="12"/>
  <c r="P18" i="12"/>
  <c r="F18" i="12"/>
  <c r="F29" i="22"/>
  <c r="G26" i="17" s="1"/>
  <c r="F28" i="12"/>
  <c r="P11" i="12"/>
  <c r="K27" i="12"/>
  <c r="P10" i="12"/>
  <c r="K25" i="12"/>
  <c r="F34" i="12"/>
  <c r="F6" i="12"/>
  <c r="F16" i="12"/>
  <c r="K16" i="12"/>
  <c r="F13" i="22"/>
  <c r="G10" i="17" s="1"/>
  <c r="F11" i="12"/>
  <c r="F7" i="12"/>
  <c r="K26" i="12"/>
  <c r="I26" i="2"/>
  <c r="P23" i="12"/>
  <c r="K23" i="12"/>
  <c r="F23" i="12"/>
  <c r="P22" i="12"/>
  <c r="K22" i="12"/>
  <c r="F22" i="12"/>
  <c r="K20" i="12"/>
  <c r="P20" i="12"/>
  <c r="F20" i="12"/>
  <c r="P19" i="12"/>
  <c r="K19" i="12"/>
  <c r="F19" i="12"/>
  <c r="H31" i="2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G32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8" i="1"/>
  <c r="E39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8" i="1"/>
  <c r="D39" i="1" s="1"/>
  <c r="D40" i="2"/>
  <c r="C38" i="1"/>
  <c r="C39" i="1" s="1"/>
  <c r="J35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CC21" i="12" l="1"/>
  <c r="AY21" i="12"/>
  <c r="CH21" i="12"/>
  <c r="BX21" i="12"/>
  <c r="AT21" i="12"/>
  <c r="DQ21" i="12"/>
  <c r="EA21" i="12"/>
  <c r="DV21" i="12"/>
  <c r="EP21" i="12"/>
  <c r="CR21" i="12"/>
  <c r="BD21" i="12"/>
  <c r="DG21" i="12"/>
  <c r="AJ21" i="12"/>
  <c r="CW21" i="12"/>
  <c r="U21" i="12"/>
  <c r="BI21" i="12"/>
  <c r="EK21" i="12"/>
  <c r="EF21" i="12"/>
  <c r="DB21" i="12"/>
  <c r="Z21" i="12"/>
  <c r="EU21" i="12"/>
  <c r="BN21" i="12"/>
  <c r="AE21" i="12"/>
  <c r="CM21" i="12"/>
  <c r="DL21" i="12"/>
  <c r="BS21" i="12"/>
  <c r="AO21" i="12"/>
  <c r="EA15" i="12"/>
  <c r="DG15" i="12"/>
  <c r="CH15" i="12"/>
  <c r="AJ15" i="12"/>
  <c r="BX15" i="12"/>
  <c r="EK15" i="12"/>
  <c r="AY15" i="12"/>
  <c r="EU15" i="12"/>
  <c r="CR15" i="12"/>
  <c r="BD15" i="12"/>
  <c r="AE15" i="12"/>
  <c r="DV15" i="12"/>
  <c r="CW15" i="12"/>
  <c r="BN15" i="12"/>
  <c r="DQ15" i="12"/>
  <c r="CC15" i="12"/>
  <c r="U15" i="12"/>
  <c r="DB15" i="12"/>
  <c r="Z15" i="12"/>
  <c r="DL15" i="12"/>
  <c r="BS15" i="12"/>
  <c r="AO15" i="12"/>
  <c r="CM15" i="12"/>
  <c r="EF15" i="12"/>
  <c r="EP15" i="12"/>
  <c r="AT15" i="12"/>
  <c r="BI15" i="12"/>
  <c r="BX12" i="12"/>
  <c r="EA12" i="12"/>
  <c r="CR12" i="12"/>
  <c r="CM12" i="12"/>
  <c r="DV12" i="12"/>
  <c r="AT12" i="12"/>
  <c r="CC12" i="12"/>
  <c r="AY12" i="12"/>
  <c r="EP12" i="12"/>
  <c r="EU12" i="12"/>
  <c r="BN12" i="12"/>
  <c r="DQ12" i="12"/>
  <c r="EK12" i="12"/>
  <c r="DL12" i="12"/>
  <c r="BS12" i="12"/>
  <c r="AO12" i="12"/>
  <c r="DB12" i="12"/>
  <c r="AE12" i="12"/>
  <c r="CW12" i="12"/>
  <c r="U12" i="12"/>
  <c r="BD12" i="12"/>
  <c r="BI12" i="12"/>
  <c r="Z12" i="12"/>
  <c r="DG12" i="12"/>
  <c r="CH12" i="12"/>
  <c r="AJ12" i="12"/>
  <c r="EF12" i="12"/>
  <c r="P30" i="12"/>
  <c r="F30" i="12"/>
  <c r="B39" i="2"/>
  <c r="B40" i="2" s="1"/>
  <c r="I40" i="2" s="1"/>
  <c r="F12" i="12"/>
  <c r="P12" i="12"/>
  <c r="K12" i="12"/>
  <c r="P15" i="12"/>
  <c r="F15" i="12"/>
  <c r="K15" i="12"/>
  <c r="P33" i="12"/>
  <c r="K33" i="12"/>
  <c r="F33" i="12"/>
  <c r="K31" i="12"/>
  <c r="F31" i="12"/>
  <c r="P31" i="12"/>
  <c r="I16" i="2"/>
  <c r="F29" i="12"/>
  <c r="K29" i="12"/>
  <c r="P29" i="12"/>
  <c r="P21" i="12"/>
  <c r="F21" i="12"/>
  <c r="K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F38" i="1"/>
  <c r="F39" i="1" s="1"/>
  <c r="B38" i="1"/>
  <c r="B39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8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<sst xmlns="http://schemas.openxmlformats.org/spreadsheetml/2006/main" count="491" uniqueCount="180">
  <si>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</si>
  <si>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</si>
  <si>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</si>
  <si>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</si>
  <si>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</si>
  <si>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</si>
  <si>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</si>
  <si>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</si>
  <si>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</si>
  <si>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</si>
  <si>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</si>
  <si>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</si>
  <si>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</si>
  <si>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</si>
  <si>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</si>
  <si>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</si>
  <si>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</si>
  <si>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</si>
  <si>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</si>
  <si>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</si>
  <si>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</si>
  <si>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</si>
  <si>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</si>
  <si>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</si>
  <si>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</si>
  <si>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</si>
  <si>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</si>
  <si>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</si>
  <si>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</si>
  <si>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</si>
  <si>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</si>
  <si>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</si>
  <si>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</si>
  <si>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</si>
  <si>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</si>
  <si>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</si>
  <si>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</si>
  <si>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</si>
  <si>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</si>
  <si>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</si>
  <si>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</si>
  <si>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</si>
  <si>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</si>
  <si>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</si>
  <si>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</si>
  <si>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</si>
  <si>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</si>
  <si>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</si>
  <si>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</si>
  <si>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</si>
  <si>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</si>
  <si>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</si>
  <si>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</si>
  <si>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</si>
  <si>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</si>
  <si>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</si>
  <si>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</si>
  <si>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</si>
  <si>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</si>
  <si>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</si>
  <si>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</si>
  <si>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</si>
  <si>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</si>
  <si>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</si>
  <si>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</si>
  <si>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</si>
  <si>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</si>
  <si>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</si>
  <si>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</si>
  <si>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</si>
  <si>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</si>
  <si>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</si>
  <si>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</si>
  <si>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</si>
  <si>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</si>
  <si>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</si>
  <si>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</si>
  <si>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</si>
  <si>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</si>
  <si>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</si>
  <si>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</si>
  <si>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</si>
  <si>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</si>
  <si>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</si>
  <si>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</si>
  <si>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</si>
  <si>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</si>
  <si>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</si>
  <si>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</si>
  <si>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</si>
  <si>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</si>
  <si>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</si>
  <si>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</si>
  <si>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</si>
  <si>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</si>
  <si>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</si>
  <si>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</si>
  <si>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</si>
  <si>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</si>
  <si>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</si>
  <si>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</si>
  <si>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</si>
  <si>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</si>
  <si>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</si>
  <si>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</si>
  <si>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</si>
  <si>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</si>
  <si>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</si>
  <si>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</si>
  <si>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</si>
  <si>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</si>
  <si>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</si>
  <si>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</si>
  <si>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</si>
  <si>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</si>
  <si>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</si>
  <si>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</si>
  <si>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</si>
  <si>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</si>
  <si>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</si>
  <si>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</si>
  <si>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</si>
  <si>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</si>
  <si>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</si>
  <si>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</si>
  <si>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</si>
  <si>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</si>
  <si>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</si>
  <si>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</si>
  <si>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</si>
  <si>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</si>
  <si>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</si>
  <si>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</si>
  <si>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</si>
  <si>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</si>
  <si>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</si>
  <si>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</si>
  <si>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</si>
  <si>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</si>
  <si>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partly sunny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</si>
  <si>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</si>
  <si>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</si>
  <si>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</si>
  <si>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</si>
  <si>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</si>
  <si>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</si>
  <si>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</si>
  <si>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</si>
  <si>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</si>
  <si>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</si>
  <si>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</si>
  <si>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</si>
  <si>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</si>
  <si>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</si>
  <si>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</si>
  <si>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</si>
  <si>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</si>
  <si>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</si>
  <si>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</si>
  <si>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</si>
  <si>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</si>
  <si>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</si>
  <si>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</si>
  <si>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</si>
  <si>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</si>
  <si>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</si>
  <si>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</si>
  <si>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May</t>
  </si>
  <si>
    <t>partly cloudy</t>
  </si>
  <si>
    <t>partlu cloudly</t>
  </si>
  <si>
    <t>Var(Tdy vs Ystdy)</t>
  </si>
  <si>
    <t>Var (Tdy vs Ystdy)</t>
  </si>
  <si>
    <t>sunny</t>
  </si>
  <si>
    <t>cloudy</t>
  </si>
  <si>
    <t>rainy</t>
  </si>
  <si>
    <t>heavy rain</t>
  </si>
  <si>
    <t>Diesel Consumption - Powerhouse</t>
  </si>
  <si>
    <t>ConsumptionIn 24 hrs</t>
  </si>
  <si>
    <t>Consumption (Liters)</t>
  </si>
  <si>
    <t>Diesel usage by Boats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</si>
</sst>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0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5" borderId="15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6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3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3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12" fillId="5" borderId="33" xfId="9" applyFont="1" applyFill="1" applyBorder="1" applyAlignment="1">
      <alignment horizontal="center" vertical="center"/>
    </xf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8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8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4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30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/>
    </xf>
    <xf numFmtId="0" fontId="5" fillId="23" borderId="35" xfId="9" applyFont="1" applyFill="1" applyBorder="1" applyAlignment="1">
      <alignment horizontal="center" vertical="center" wrapText="1"/>
    </xf>
    <xf numFmtId="0" fontId="4" fillId="0" borderId="35" xfId="9" applyBorder="1" applyAlignment="1">
      <alignment horizontal="center"/>
    </xf>
    <xf numFmtId="0" fontId="4" fillId="0" borderId="17" xfId="9" applyBorder="1" applyAlignment="1">
      <alignment horizontal="center"/>
    </xf>
    <xf numFmtId="0" fontId="4" fillId="5" borderId="34" xfId="9" applyFont="1" applyFill="1" applyBorder="1" applyAlignment="1">
      <alignment horizontal="center" vertical="center"/>
    </xf>
    <xf numFmtId="0" fontId="4" fillId="5" borderId="15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6" xfId="9" applyBorder="1" applyAlignment="1">
      <alignment horizontal="center"/>
    </xf>
    <xf numFmtId="0" fontId="4" fillId="0" borderId="34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5" borderId="36" xfId="0" applyFont="1" applyFill="1" applyBorder="1" applyAlignment="1">
      <alignment horizontal="center"/>
    </xf>
    <xf numFmtId="0" fontId="4" fillId="5" borderId="37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10" borderId="37" xfId="0" applyFont="1" applyFill="1" applyBorder="1" applyAlignment="1">
      <alignment horizontal="center"/>
    </xf>
    <xf numFmtId="0" fontId="4" fillId="10" borderId="3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 vertical="center"/>
    </xf>
    <xf numFmtId="1" fontId="4" fillId="11" borderId="38" xfId="0" applyNumberFormat="1" applyFont="1" applyFill="1" applyBorder="1" applyAlignment="1">
      <alignment horizontal="center"/>
    </xf>
    <xf numFmtId="0" fontId="4" fillId="10" borderId="40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 wrapText="1"/>
    </xf>
    <xf numFmtId="0" fontId="4" fillId="11" borderId="40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/>
    </xf>
    <xf numFmtId="1" fontId="4" fillId="11" borderId="40" xfId="0" applyNumberFormat="1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4" fillId="11" borderId="41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1" borderId="49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46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center" vertical="center" wrapText="1"/>
    </xf>
    <xf numFmtId="2" fontId="34" fillId="10" borderId="47" xfId="0" applyNumberFormat="1" applyFont="1" applyFill="1" applyBorder="1" applyAlignment="1">
      <alignment horizontal="center" vertical="center" wrapText="1"/>
    </xf>
    <xf numFmtId="0" fontId="34" fillId="11" borderId="38" xfId="0" applyFont="1" applyFill="1" applyBorder="1" applyAlignment="1">
      <alignment horizontal="center"/>
    </xf>
    <xf numFmtId="0" fontId="34" fillId="11" borderId="43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2" fontId="34" fillId="11" borderId="44" xfId="0" applyNumberFormat="1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 wrapText="1"/>
    </xf>
    <xf numFmtId="0" fontId="19" fillId="10" borderId="4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/>
    </xf>
    <xf numFmtId="0" fontId="34" fillId="10" borderId="43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2" fontId="34" fillId="10" borderId="44" xfId="0" applyNumberFormat="1" applyFont="1" applyFill="1" applyBorder="1" applyAlignment="1">
      <alignment horizontal="center" vertical="center"/>
    </xf>
    <xf numFmtId="0" fontId="19" fillId="10" borderId="40" xfId="0" applyFont="1" applyFill="1" applyBorder="1" applyAlignment="1">
      <alignment horizontal="center" vertical="center"/>
    </xf>
    <xf numFmtId="0" fontId="4" fillId="11" borderId="51" xfId="0" applyFont="1" applyFill="1" applyBorder="1" applyAlignment="1">
      <alignment horizontal="center" vertical="center"/>
    </xf>
    <xf numFmtId="0" fontId="34" fillId="11" borderId="39" xfId="0" applyFont="1" applyFill="1" applyBorder="1" applyAlignment="1">
      <alignment horizontal="center"/>
    </xf>
    <xf numFmtId="0" fontId="34" fillId="11" borderId="52" xfId="0" applyFont="1" applyFill="1" applyBorder="1" applyAlignment="1">
      <alignment horizontal="center"/>
    </xf>
    <xf numFmtId="0" fontId="13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3" xfId="0" applyNumberFormat="1" applyFont="1" applyFill="1" applyBorder="1"/>
    <xf numFmtId="0" fontId="0" fillId="25" borderId="3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5" fillId="17" borderId="27" xfId="13" applyFont="1" applyFill="1" applyBorder="1" applyAlignment="1">
      <alignment horizontal="center" vertical="center"/>
    </xf>
    <xf numFmtId="0" fontId="21" fillId="18" borderId="28" xfId="13" applyFont="1" applyFill="1" applyBorder="1" applyAlignment="1">
      <alignment horizontal="center" vertical="center" wrapText="1"/>
    </xf>
    <xf numFmtId="0" fontId="21" fillId="18" borderId="29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53" xfId="0" applyFont="1" applyFill="1" applyBorder="1" applyAlignment="1">
      <alignment horizontal="center"/>
    </xf>
    <xf numFmtId="0" fontId="3" fillId="25" borderId="20" xfId="0" applyFont="1" applyFill="1" applyBorder="1" applyAlignment="1">
      <alignment horizontal="center"/>
    </xf>
    <xf numFmtId="0" fontId="3" fillId="25" borderId="54" xfId="0" applyFont="1" applyFill="1" applyBorder="1" applyAlignment="1">
      <alignment horizontal="center"/>
    </xf>
    <xf numFmtId="0" fontId="3" fillId="25" borderId="3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30" xfId="0" applyFont="1" applyFill="1" applyBorder="1" applyAlignment="1">
      <alignment horizontal="center" vertical="center"/>
    </xf>
    <xf numFmtId="0" fontId="3" fillId="25" borderId="53" xfId="0" applyFont="1" applyFill="1" applyBorder="1" applyAlignment="1">
      <alignment horizontal="center" vertical="center"/>
    </xf>
    <xf numFmtId="0" fontId="3" fillId="25" borderId="20" xfId="0" applyFont="1" applyFill="1" applyBorder="1" applyAlignment="1">
      <alignment horizontal="center" vertical="center"/>
    </xf>
    <xf numFmtId="0" fontId="3" fillId="25" borderId="54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45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8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4" borderId="32" xfId="9" applyFont="1" applyFill="1" applyBorder="1" applyAlignment="1">
      <alignment horizontal="center" vertical="center"/>
    </xf>
    <xf numFmtId="0" fontId="3" fillId="11" borderId="18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11" borderId="32" xfId="9" applyFont="1" applyFill="1" applyBorder="1" applyAlignment="1">
      <alignment horizontal="center" vertical="center"/>
    </xf>
    <xf numFmtId="0" fontId="3" fillId="0" borderId="19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0" borderId="22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8" xfId="9" applyNumberFormat="1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" fillId="5" borderId="32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-90179769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Only'!$G$8:$G$38</c:f>
              <c:numCache>
                <c:formatCode>0.00</c:formatCode>
                <c:ptCount val="31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27.8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68480"/>
        <c:axId val="290165888"/>
      </c:lineChart>
      <c:catAx>
        <c:axId val="28966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65888"/>
        <c:crosses val="autoZero"/>
        <c:auto val="1"/>
        <c:lblAlgn val="ctr"/>
        <c:lblOffset val="100"/>
        <c:noMultiLvlLbl val="0"/>
      </c:catAx>
      <c:valAx>
        <c:axId val="2901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4096</c:v>
                </c:pt>
                <c:pt idx="1">
                  <c:v>4189</c:v>
                </c:pt>
                <c:pt idx="2">
                  <c:v>3807</c:v>
                </c:pt>
                <c:pt idx="3">
                  <c:v>3680</c:v>
                </c:pt>
                <c:pt idx="4">
                  <c:v>3956</c:v>
                </c:pt>
                <c:pt idx="5">
                  <c:v>3800</c:v>
                </c:pt>
                <c:pt idx="6">
                  <c:v>3788</c:v>
                </c:pt>
                <c:pt idx="7">
                  <c:v>3729</c:v>
                </c:pt>
                <c:pt idx="8">
                  <c:v>3835</c:v>
                </c:pt>
                <c:pt idx="9">
                  <c:v>3768</c:v>
                </c:pt>
                <c:pt idx="10">
                  <c:v>3405</c:v>
                </c:pt>
                <c:pt idx="11">
                  <c:v>3299</c:v>
                </c:pt>
                <c:pt idx="12">
                  <c:v>3108</c:v>
                </c:pt>
                <c:pt idx="13">
                  <c:v>3269</c:v>
                </c:pt>
                <c:pt idx="14">
                  <c:v>3505</c:v>
                </c:pt>
                <c:pt idx="15">
                  <c:v>3678</c:v>
                </c:pt>
                <c:pt idx="16">
                  <c:v>3655</c:v>
                </c:pt>
                <c:pt idx="17">
                  <c:v>3806</c:v>
                </c:pt>
                <c:pt idx="18">
                  <c:v>3828</c:v>
                </c:pt>
                <c:pt idx="19">
                  <c:v>3656</c:v>
                </c:pt>
                <c:pt idx="20">
                  <c:v>-25606569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'!$I$5:$I$34</c:f>
              <c:numCache>
                <c:formatCode>General</c:formatCode>
                <c:ptCount val="30"/>
                <c:pt idx="0">
                  <c:v>5180</c:v>
                </c:pt>
                <c:pt idx="1">
                  <c:v>5283</c:v>
                </c:pt>
                <c:pt idx="2">
                  <c:v>4874</c:v>
                </c:pt>
                <c:pt idx="3">
                  <c:v>4617</c:v>
                </c:pt>
                <c:pt idx="4">
                  <c:v>4989</c:v>
                </c:pt>
                <c:pt idx="5">
                  <c:v>5137</c:v>
                </c:pt>
                <c:pt idx="6">
                  <c:v>4899</c:v>
                </c:pt>
                <c:pt idx="7">
                  <c:v>4976</c:v>
                </c:pt>
                <c:pt idx="8">
                  <c:v>5171</c:v>
                </c:pt>
                <c:pt idx="9">
                  <c:v>4913</c:v>
                </c:pt>
                <c:pt idx="10">
                  <c:v>5153</c:v>
                </c:pt>
                <c:pt idx="11">
                  <c:v>5381</c:v>
                </c:pt>
                <c:pt idx="12">
                  <c:v>4658</c:v>
                </c:pt>
                <c:pt idx="13">
                  <c:v>5210</c:v>
                </c:pt>
                <c:pt idx="14">
                  <c:v>5774</c:v>
                </c:pt>
                <c:pt idx="15">
                  <c:v>6157</c:v>
                </c:pt>
                <c:pt idx="16">
                  <c:v>6124</c:v>
                </c:pt>
                <c:pt idx="17">
                  <c:v>6290</c:v>
                </c:pt>
                <c:pt idx="18">
                  <c:v>5614</c:v>
                </c:pt>
                <c:pt idx="19">
                  <c:v>5416</c:v>
                </c:pt>
                <c:pt idx="20">
                  <c:v>-22682734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579712"/>
        <c:axId val="306606464"/>
      </c:lineChart>
      <c:catAx>
        <c:axId val="306579712"/>
        <c:scaling>
          <c:orientation val="minMax"/>
        </c:scaling>
        <c:delete val="0"/>
        <c:axPos val="b"/>
        <c:majorTickMark val="out"/>
        <c:minorTickMark val="none"/>
        <c:tickLblPos val="nextTo"/>
        <c:crossAx val="306606464"/>
        <c:crosses val="autoZero"/>
        <c:auto val="1"/>
        <c:lblAlgn val="ctr"/>
        <c:lblOffset val="100"/>
        <c:noMultiLvlLbl val="0"/>
      </c:catAx>
      <c:valAx>
        <c:axId val="30660646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579712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'!$N$5:$N$34</c:f>
              <c:numCache>
                <c:formatCode>General</c:formatCode>
                <c:ptCount val="30"/>
                <c:pt idx="0">
                  <c:v>15018</c:v>
                </c:pt>
                <c:pt idx="1">
                  <c:v>16009</c:v>
                </c:pt>
                <c:pt idx="2">
                  <c:v>15589</c:v>
                </c:pt>
                <c:pt idx="3">
                  <c:v>14575</c:v>
                </c:pt>
                <c:pt idx="4">
                  <c:v>15112</c:v>
                </c:pt>
                <c:pt idx="5">
                  <c:v>15309</c:v>
                </c:pt>
                <c:pt idx="6">
                  <c:v>15879</c:v>
                </c:pt>
                <c:pt idx="7">
                  <c:v>15528</c:v>
                </c:pt>
                <c:pt idx="8">
                  <c:v>15266</c:v>
                </c:pt>
                <c:pt idx="9">
                  <c:v>15604</c:v>
                </c:pt>
                <c:pt idx="10">
                  <c:v>14847</c:v>
                </c:pt>
                <c:pt idx="11">
                  <c:v>14563</c:v>
                </c:pt>
                <c:pt idx="12">
                  <c:v>14514</c:v>
                </c:pt>
                <c:pt idx="13">
                  <c:v>14197</c:v>
                </c:pt>
                <c:pt idx="14">
                  <c:v>14225</c:v>
                </c:pt>
                <c:pt idx="15">
                  <c:v>14323</c:v>
                </c:pt>
                <c:pt idx="16">
                  <c:v>14272</c:v>
                </c:pt>
                <c:pt idx="17">
                  <c:v>14915</c:v>
                </c:pt>
                <c:pt idx="18">
                  <c:v>15053</c:v>
                </c:pt>
                <c:pt idx="19">
                  <c:v>14760</c:v>
                </c:pt>
                <c:pt idx="20">
                  <c:v>-85720653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608064"/>
        <c:axId val="311609600"/>
      </c:lineChart>
      <c:catAx>
        <c:axId val="311608064"/>
        <c:scaling>
          <c:orientation val="minMax"/>
        </c:scaling>
        <c:delete val="0"/>
        <c:axPos val="b"/>
        <c:majorTickMark val="out"/>
        <c:minorTickMark val="none"/>
        <c:tickLblPos val="nextTo"/>
        <c:crossAx val="311609600"/>
        <c:crosses val="autoZero"/>
        <c:auto val="1"/>
        <c:lblAlgn val="ctr"/>
        <c:lblOffset val="100"/>
        <c:noMultiLvlLbl val="0"/>
      </c:catAx>
      <c:valAx>
        <c:axId val="311609600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60806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'!$S$5:$S$34</c:f>
              <c:numCache>
                <c:formatCode>General</c:formatCode>
                <c:ptCount val="30"/>
                <c:pt idx="0">
                  <c:v>2000</c:v>
                </c:pt>
                <c:pt idx="1">
                  <c:v>2100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2000</c:v>
                </c:pt>
                <c:pt idx="11">
                  <c:v>1900</c:v>
                </c:pt>
                <c:pt idx="12">
                  <c:v>2000</c:v>
                </c:pt>
                <c:pt idx="13">
                  <c:v>2100</c:v>
                </c:pt>
                <c:pt idx="14">
                  <c:v>1900</c:v>
                </c:pt>
                <c:pt idx="15">
                  <c:v>2100</c:v>
                </c:pt>
                <c:pt idx="16">
                  <c:v>2100</c:v>
                </c:pt>
                <c:pt idx="17">
                  <c:v>2200</c:v>
                </c:pt>
                <c:pt idx="18">
                  <c:v>2000</c:v>
                </c:pt>
                <c:pt idx="19">
                  <c:v>2100</c:v>
                </c:pt>
                <c:pt idx="20">
                  <c:v>-2007900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'!$X$5:$X$34</c:f>
              <c:numCache>
                <c:formatCode>General</c:formatCode>
                <c:ptCount val="30"/>
                <c:pt idx="0">
                  <c:v>2896</c:v>
                </c:pt>
                <c:pt idx="1">
                  <c:v>2893</c:v>
                </c:pt>
                <c:pt idx="2">
                  <c:v>2871</c:v>
                </c:pt>
                <c:pt idx="3">
                  <c:v>2823</c:v>
                </c:pt>
                <c:pt idx="4">
                  <c:v>2901</c:v>
                </c:pt>
                <c:pt idx="5">
                  <c:v>2800</c:v>
                </c:pt>
                <c:pt idx="6">
                  <c:v>2808</c:v>
                </c:pt>
                <c:pt idx="7">
                  <c:v>2962</c:v>
                </c:pt>
                <c:pt idx="8">
                  <c:v>2834</c:v>
                </c:pt>
                <c:pt idx="9">
                  <c:v>2689</c:v>
                </c:pt>
                <c:pt idx="10">
                  <c:v>2724</c:v>
                </c:pt>
                <c:pt idx="11">
                  <c:v>2648</c:v>
                </c:pt>
                <c:pt idx="12">
                  <c:v>2512</c:v>
                </c:pt>
                <c:pt idx="13">
                  <c:v>2558</c:v>
                </c:pt>
                <c:pt idx="14">
                  <c:v>2634</c:v>
                </c:pt>
                <c:pt idx="15">
                  <c:v>2764</c:v>
                </c:pt>
                <c:pt idx="16">
                  <c:v>2904</c:v>
                </c:pt>
                <c:pt idx="17">
                  <c:v>2825</c:v>
                </c:pt>
                <c:pt idx="18">
                  <c:v>2776</c:v>
                </c:pt>
                <c:pt idx="19">
                  <c:v>2673</c:v>
                </c:pt>
                <c:pt idx="20">
                  <c:v>-2717592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'!$AM$5:$AM$34</c:f>
              <c:numCache>
                <c:formatCode>General</c:formatCode>
                <c:ptCount val="30"/>
                <c:pt idx="0">
                  <c:v>7000</c:v>
                </c:pt>
                <c:pt idx="1">
                  <c:v>7400</c:v>
                </c:pt>
                <c:pt idx="2">
                  <c:v>6600</c:v>
                </c:pt>
                <c:pt idx="3">
                  <c:v>6300</c:v>
                </c:pt>
                <c:pt idx="4">
                  <c:v>7000</c:v>
                </c:pt>
                <c:pt idx="5">
                  <c:v>6900</c:v>
                </c:pt>
                <c:pt idx="6">
                  <c:v>6700</c:v>
                </c:pt>
                <c:pt idx="7">
                  <c:v>6700</c:v>
                </c:pt>
                <c:pt idx="8">
                  <c:v>6700</c:v>
                </c:pt>
                <c:pt idx="9">
                  <c:v>6300</c:v>
                </c:pt>
                <c:pt idx="10">
                  <c:v>5800</c:v>
                </c:pt>
                <c:pt idx="11">
                  <c:v>5800</c:v>
                </c:pt>
                <c:pt idx="12">
                  <c:v>5200</c:v>
                </c:pt>
                <c:pt idx="13">
                  <c:v>5000</c:v>
                </c:pt>
                <c:pt idx="14">
                  <c:v>5200</c:v>
                </c:pt>
                <c:pt idx="15">
                  <c:v>6500</c:v>
                </c:pt>
                <c:pt idx="16">
                  <c:v>6400</c:v>
                </c:pt>
                <c:pt idx="17">
                  <c:v>6500</c:v>
                </c:pt>
                <c:pt idx="18">
                  <c:v>6400</c:v>
                </c:pt>
                <c:pt idx="19">
                  <c:v>6200</c:v>
                </c:pt>
                <c:pt idx="20">
                  <c:v>-7726700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'!$AR$5:$AR$34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1400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1500</c:v>
                </c:pt>
                <c:pt idx="10">
                  <c:v>1600</c:v>
                </c:pt>
                <c:pt idx="11">
                  <c:v>1600</c:v>
                </c:pt>
                <c:pt idx="12">
                  <c:v>1900</c:v>
                </c:pt>
                <c:pt idx="13">
                  <c:v>1800</c:v>
                </c:pt>
                <c:pt idx="14">
                  <c:v>2000</c:v>
                </c:pt>
                <c:pt idx="15">
                  <c:v>1900</c:v>
                </c:pt>
                <c:pt idx="16">
                  <c:v>2000</c:v>
                </c:pt>
                <c:pt idx="17">
                  <c:v>1400</c:v>
                </c:pt>
                <c:pt idx="18">
                  <c:v>1400</c:v>
                </c:pt>
                <c:pt idx="19">
                  <c:v>1800</c:v>
                </c:pt>
                <c:pt idx="20">
                  <c:v>-1764500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141312"/>
        <c:axId val="41814284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'!$BE$5:$BE$34</c:f>
              <c:numCache>
                <c:formatCode>General</c:formatCode>
                <c:ptCount val="30"/>
                <c:pt idx="0">
                  <c:v>725910</c:v>
                </c:pt>
                <c:pt idx="1">
                  <c:v>727000</c:v>
                </c:pt>
                <c:pt idx="2">
                  <c:v>728130</c:v>
                </c:pt>
                <c:pt idx="3">
                  <c:v>729280</c:v>
                </c:pt>
                <c:pt idx="4">
                  <c:v>730280</c:v>
                </c:pt>
                <c:pt idx="5">
                  <c:v>731310</c:v>
                </c:pt>
                <c:pt idx="6">
                  <c:v>732360</c:v>
                </c:pt>
                <c:pt idx="7">
                  <c:v>733460</c:v>
                </c:pt>
                <c:pt idx="8">
                  <c:v>734590</c:v>
                </c:pt>
                <c:pt idx="9">
                  <c:v>735640</c:v>
                </c:pt>
                <c:pt idx="10">
                  <c:v>736800</c:v>
                </c:pt>
                <c:pt idx="11">
                  <c:v>737840</c:v>
                </c:pt>
                <c:pt idx="12">
                  <c:v>738840</c:v>
                </c:pt>
                <c:pt idx="13">
                  <c:v>739810</c:v>
                </c:pt>
                <c:pt idx="14">
                  <c:v>740910</c:v>
                </c:pt>
                <c:pt idx="15">
                  <c:v>741930</c:v>
                </c:pt>
                <c:pt idx="16">
                  <c:v>742870</c:v>
                </c:pt>
                <c:pt idx="17">
                  <c:v>743830</c:v>
                </c:pt>
                <c:pt idx="18">
                  <c:v>744820</c:v>
                </c:pt>
                <c:pt idx="19">
                  <c:v>745760</c:v>
                </c:pt>
                <c:pt idx="20">
                  <c:v>746760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166656"/>
        <c:axId val="418165120"/>
      </c:lineChart>
      <c:catAx>
        <c:axId val="41814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418142848"/>
        <c:crosses val="autoZero"/>
        <c:auto val="1"/>
        <c:lblAlgn val="ctr"/>
        <c:lblOffset val="100"/>
        <c:noMultiLvlLbl val="0"/>
      </c:catAx>
      <c:valAx>
        <c:axId val="41814284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8141312"/>
        <c:crosses val="autoZero"/>
        <c:crossBetween val="between"/>
        <c:minorUnit val="100"/>
      </c:valAx>
      <c:valAx>
        <c:axId val="4181651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18166656"/>
        <c:crosses val="max"/>
        <c:crossBetween val="between"/>
      </c:valAx>
      <c:catAx>
        <c:axId val="418166656"/>
        <c:scaling>
          <c:orientation val="minMax"/>
        </c:scaling>
        <c:delete val="1"/>
        <c:axPos val="b"/>
        <c:majorTickMark val="out"/>
        <c:minorTickMark val="none"/>
        <c:tickLblPos val="nextTo"/>
        <c:crossAx val="41816512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-90179769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52032"/>
        <c:axId val="452653824"/>
      </c:barChart>
      <c:catAx>
        <c:axId val="452652032"/>
        <c:scaling>
          <c:orientation val="minMax"/>
        </c:scaling>
        <c:delete val="0"/>
        <c:axPos val="b"/>
        <c:majorTickMark val="out"/>
        <c:minorTickMark val="none"/>
        <c:tickLblPos val="nextTo"/>
        <c:crossAx val="452653824"/>
        <c:crosses val="autoZero"/>
        <c:auto val="1"/>
        <c:lblAlgn val="ctr"/>
        <c:lblOffset val="100"/>
        <c:noMultiLvlLbl val="0"/>
      </c:catAx>
      <c:valAx>
        <c:axId val="45265382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52652032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74688"/>
        <c:axId val="452676224"/>
      </c:barChart>
      <c:catAx>
        <c:axId val="452674688"/>
        <c:scaling>
          <c:orientation val="minMax"/>
        </c:scaling>
        <c:delete val="0"/>
        <c:axPos val="b"/>
        <c:majorTickMark val="out"/>
        <c:minorTickMark val="none"/>
        <c:tickLblPos val="nextTo"/>
        <c:crossAx val="452676224"/>
        <c:crosses val="autoZero"/>
        <c:auto val="1"/>
        <c:lblAlgn val="ctr"/>
        <c:lblOffset val="100"/>
        <c:noMultiLvlLbl val="0"/>
      </c:catAx>
      <c:valAx>
        <c:axId val="452676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67468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705280"/>
        <c:axId val="452707072"/>
      </c:barChart>
      <c:catAx>
        <c:axId val="452705280"/>
        <c:scaling>
          <c:orientation val="minMax"/>
        </c:scaling>
        <c:delete val="0"/>
        <c:axPos val="b"/>
        <c:majorTickMark val="out"/>
        <c:minorTickMark val="none"/>
        <c:tickLblPos val="nextTo"/>
        <c:crossAx val="452707072"/>
        <c:crosses val="autoZero"/>
        <c:auto val="1"/>
        <c:lblAlgn val="ctr"/>
        <c:lblOffset val="100"/>
        <c:noMultiLvlLbl val="0"/>
      </c:catAx>
      <c:valAx>
        <c:axId val="45270707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70528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40</xdr:row>
      <xdr:rowOff>107950</xdr:rowOff>
    </xdr:from>
    <xdr:to>
      <xdr:col>8</xdr:col>
      <xdr:colOff>38100</xdr:colOff>
      <xdr:row>57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6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234921</xdr:colOff>
      <xdr:row>40</xdr:row>
      <xdr:rowOff>11206</xdr:rowOff>
    </xdr:from>
    <xdr:to>
      <xdr:col>16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6802</xdr:colOff>
      <xdr:row>41</xdr:row>
      <xdr:rowOff>136071</xdr:rowOff>
    </xdr:from>
    <xdr:to>
      <xdr:col>38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H8" sqref="H8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40" t="s">
        <v>113</v>
      </c>
      <c r="B1" s="140" t="s">
        <v>42</v>
      </c>
      <c r="C1" s="141" t="s">
        <v>3</v>
      </c>
      <c r="D1" s="140" t="s">
        <v>4</v>
      </c>
      <c r="E1" s="142" t="s">
        <v>114</v>
      </c>
      <c r="F1" s="143" t="s">
        <v>115</v>
      </c>
      <c r="G1" s="142" t="s">
        <v>116</v>
      </c>
      <c r="H1" s="143" t="s">
        <v>117</v>
      </c>
      <c r="I1" s="142" t="s">
        <v>118</v>
      </c>
      <c r="J1" s="144" t="s">
        <v>119</v>
      </c>
      <c r="K1" s="142" t="s">
        <v>120</v>
      </c>
      <c r="L1" s="142" t="s">
        <v>121</v>
      </c>
    </row>
    <row r="2" spans="1:12" ht="15" x14ac:dyDescent="0.25">
      <c r="A2" s="145" t="s">
        <v>122</v>
      </c>
      <c r="B2" s="145">
        <v>1</v>
      </c>
      <c r="C2" s="146">
        <v>5</v>
      </c>
      <c r="D2" s="145">
        <v>2021</v>
      </c>
      <c r="E2" s="147">
        <f>'Maldives at LG Daily'!D5</f>
        <v>30133</v>
      </c>
      <c r="F2" s="148">
        <v>0.93</v>
      </c>
      <c r="G2" s="147">
        <f>'Maldives at LG Daily'!F5</f>
        <v>225</v>
      </c>
      <c r="H2" s="148">
        <v>1.24</v>
      </c>
      <c r="I2" s="147">
        <f>'Maldives at LG Daily'!H5</f>
        <v>418</v>
      </c>
      <c r="J2" s="148">
        <v>2.16</v>
      </c>
      <c r="K2" s="147">
        <f>'Maldives at LG Daily'!I5</f>
        <v>45</v>
      </c>
      <c r="L2" s="147">
        <f>'Maldives at LG Daily'!J5</f>
        <v>318</v>
      </c>
    </row>
    <row r="3" spans="1:12" ht="15" x14ac:dyDescent="0.25">
      <c r="A3" s="145" t="s">
        <v>122</v>
      </c>
      <c r="B3" s="145">
        <f>B2+1</f>
        <v>2</v>
      </c>
      <c r="C3" s="146">
        <v>5</v>
      </c>
      <c r="D3" s="145">
        <v>2021</v>
      </c>
      <c r="E3" s="147">
        <f>'Maldives at LG Daily'!D6</f>
        <v>31397</v>
      </c>
      <c r="F3" s="148">
        <v>0.93</v>
      </c>
      <c r="G3" s="147" t="str">
        <f>'Maldives at LG Daily'!F6</f>
        <v>0</v>
      </c>
      <c r="H3" s="148">
        <v>1.24</v>
      </c>
      <c r="I3" s="147">
        <f>'Maldives at LG Daily'!H6</f>
        <v>361</v>
      </c>
      <c r="J3" s="148">
        <v>2.16</v>
      </c>
      <c r="K3" s="147">
        <f>'Maldives at LG Daily'!I6</f>
        <v>48</v>
      </c>
      <c r="L3" s="147">
        <f>'Maldives at LG Daily'!J6</f>
        <v>391</v>
      </c>
    </row>
    <row r="4" spans="1:12" ht="15" x14ac:dyDescent="0.25">
      <c r="A4" s="145" t="s">
        <v>122</v>
      </c>
      <c r="B4" s="145">
        <f t="shared" ref="B4:B30" si="0">B3+1</f>
        <v>3</v>
      </c>
      <c r="C4" s="146">
        <v>5</v>
      </c>
      <c r="D4" s="145">
        <v>2021</v>
      </c>
      <c r="E4" s="147">
        <f>'Maldives at LG Daily'!D7</f>
        <v>30147</v>
      </c>
      <c r="F4" s="148">
        <v>0.93</v>
      </c>
      <c r="G4" s="147">
        <f>'Maldives at LG Daily'!F7</f>
        <v>90</v>
      </c>
      <c r="H4" s="148">
        <v>1.24</v>
      </c>
      <c r="I4" s="147">
        <f>'Maldives at LG Daily'!H7</f>
        <v>385</v>
      </c>
      <c r="J4" s="148">
        <v>2.16</v>
      </c>
      <c r="K4" s="147">
        <f>'Maldives at LG Daily'!I7</f>
        <v>34</v>
      </c>
      <c r="L4" s="147">
        <f>'Maldives at LG Daily'!J7</f>
        <v>252</v>
      </c>
    </row>
    <row r="5" spans="1:12" ht="15" x14ac:dyDescent="0.25">
      <c r="A5" s="145" t="s">
        <v>122</v>
      </c>
      <c r="B5" s="145">
        <f t="shared" si="0"/>
        <v>4</v>
      </c>
      <c r="C5" s="146">
        <v>5</v>
      </c>
      <c r="D5" s="145">
        <v>2021</v>
      </c>
      <c r="E5" s="147">
        <f>'Maldives at LG Daily'!D8</f>
        <v>28804</v>
      </c>
      <c r="F5" s="148">
        <v>0.93</v>
      </c>
      <c r="G5" s="147">
        <f>'Maldives at LG Daily'!F8</f>
        <v>45</v>
      </c>
      <c r="H5" s="148">
        <v>1.24</v>
      </c>
      <c r="I5" s="147">
        <f>'Maldives at LG Daily'!H8</f>
        <v>368</v>
      </c>
      <c r="J5" s="148">
        <v>2.16</v>
      </c>
      <c r="K5" s="147">
        <f>'Maldives at LG Daily'!I8</f>
        <v>54</v>
      </c>
      <c r="L5" s="147">
        <f>'Maldives at LG Daily'!J8</f>
        <v>379</v>
      </c>
    </row>
    <row r="6" spans="1:12" ht="15" x14ac:dyDescent="0.25">
      <c r="A6" s="145" t="s">
        <v>122</v>
      </c>
      <c r="B6" s="145">
        <f t="shared" si="0"/>
        <v>5</v>
      </c>
      <c r="C6" s="146">
        <v>5</v>
      </c>
      <c r="D6" s="145">
        <v>2021</v>
      </c>
      <c r="E6" s="147">
        <f>'Maldives at LG Daily'!D9</f>
        <v>30365</v>
      </c>
      <c r="F6" s="148">
        <v>0.93</v>
      </c>
      <c r="G6" s="147" t="str">
        <f>'Maldives at LG Daily'!F9</f>
        <v>0</v>
      </c>
      <c r="H6" s="148">
        <v>1.24</v>
      </c>
      <c r="I6" s="147">
        <f>'Maldives at LG Daily'!H9</f>
        <v>356</v>
      </c>
      <c r="J6" s="148">
        <v>2.16</v>
      </c>
      <c r="K6" s="147">
        <f>'Maldives at LG Daily'!I9</f>
        <v>53</v>
      </c>
      <c r="L6" s="147">
        <f>'Maldives at LG Daily'!J9</f>
        <v>402</v>
      </c>
    </row>
    <row r="7" spans="1:12" ht="15" x14ac:dyDescent="0.25">
      <c r="A7" s="145" t="s">
        <v>122</v>
      </c>
      <c r="B7" s="145">
        <f t="shared" si="0"/>
        <v>6</v>
      </c>
      <c r="C7" s="146">
        <v>5</v>
      </c>
      <c r="D7" s="145">
        <v>2021</v>
      </c>
      <c r="E7" s="147">
        <f>'Maldives at LG Daily'!D10</f>
        <v>29900</v>
      </c>
      <c r="F7" s="148">
        <v>0.93</v>
      </c>
      <c r="G7" s="147">
        <f>'Maldives at LG Daily'!F10</f>
        <v>0</v>
      </c>
      <c r="H7" s="148">
        <v>1.24</v>
      </c>
      <c r="I7" s="147">
        <f>'Maldives at LG Daily'!H10</f>
        <v>379</v>
      </c>
      <c r="J7" s="148">
        <v>2.16</v>
      </c>
      <c r="K7" s="147">
        <f>'Maldives at LG Daily'!I10</f>
        <v>45</v>
      </c>
      <c r="L7" s="147">
        <f>'Maldives at LG Daily'!J10</f>
        <v>427</v>
      </c>
    </row>
    <row r="8" spans="1:12" ht="15" x14ac:dyDescent="0.25">
      <c r="A8" s="145" t="s">
        <v>122</v>
      </c>
      <c r="B8" s="145">
        <f t="shared" si="0"/>
        <v>7</v>
      </c>
      <c r="C8" s="146">
        <v>5</v>
      </c>
      <c r="D8" s="145">
        <v>2021</v>
      </c>
      <c r="E8" s="147">
        <f>'Maldives at LG Daily'!D11</f>
        <v>30587</v>
      </c>
      <c r="F8" s="148">
        <v>0.93</v>
      </c>
      <c r="G8" s="147">
        <f>'Maldives at LG Daily'!F11</f>
        <v>0</v>
      </c>
      <c r="H8" s="148">
        <v>1.24</v>
      </c>
      <c r="I8" s="147">
        <f>'Maldives at LG Daily'!H11</f>
        <v>417</v>
      </c>
      <c r="J8" s="148">
        <v>2.16</v>
      </c>
      <c r="K8" s="147">
        <f>'Maldives at LG Daily'!I11</f>
        <v>48</v>
      </c>
      <c r="L8" s="147">
        <f>'Maldives at LG Daily'!J11</f>
        <v>376</v>
      </c>
    </row>
    <row r="9" spans="1:12" ht="15" x14ac:dyDescent="0.25">
      <c r="A9" s="145" t="s">
        <v>122</v>
      </c>
      <c r="B9" s="145">
        <f t="shared" si="0"/>
        <v>8</v>
      </c>
      <c r="C9" s="146">
        <v>5</v>
      </c>
      <c r="D9" s="145">
        <v>2021</v>
      </c>
      <c r="E9" s="147">
        <f>'Maldives at LG Daily'!D12</f>
        <v>30219</v>
      </c>
      <c r="F9" s="148">
        <v>0.93</v>
      </c>
      <c r="G9" s="147">
        <f>'Maldives at LG Daily'!F12</f>
        <v>45</v>
      </c>
      <c r="H9" s="148">
        <v>1.24</v>
      </c>
      <c r="I9" s="147">
        <f>'Maldives at LG Daily'!H12</f>
        <v>390</v>
      </c>
      <c r="J9" s="148">
        <v>2.16</v>
      </c>
      <c r="K9" s="147">
        <f>'Maldives at LG Daily'!I12</f>
        <v>47</v>
      </c>
      <c r="L9" s="147">
        <f>'Maldives at LG Daily'!J12</f>
        <v>351</v>
      </c>
    </row>
    <row r="10" spans="1:12" ht="15" x14ac:dyDescent="0.25">
      <c r="A10" s="145" t="s">
        <v>122</v>
      </c>
      <c r="B10" s="145">
        <f t="shared" si="0"/>
        <v>9</v>
      </c>
      <c r="C10" s="146">
        <v>5</v>
      </c>
      <c r="D10" s="145">
        <v>2021</v>
      </c>
      <c r="E10" s="147">
        <f>'Maldives at LG Daily'!D13</f>
        <v>30190</v>
      </c>
      <c r="F10" s="148">
        <v>0.93</v>
      </c>
      <c r="G10" s="147">
        <f>'Maldives at LG Daily'!F13</f>
        <v>0</v>
      </c>
      <c r="H10" s="148">
        <v>1.24</v>
      </c>
      <c r="I10" s="147">
        <f>'Maldives at LG Daily'!H13</f>
        <v>381</v>
      </c>
      <c r="J10" s="148">
        <v>2.16</v>
      </c>
      <c r="K10" s="147">
        <f>'Maldives at LG Daily'!I13</f>
        <v>47</v>
      </c>
      <c r="L10" s="147">
        <f>'Maldives at LG Daily'!J13</f>
        <v>391</v>
      </c>
    </row>
    <row r="11" spans="1:12" ht="15" x14ac:dyDescent="0.25">
      <c r="A11" s="145" t="s">
        <v>122</v>
      </c>
      <c r="B11" s="145">
        <f t="shared" si="0"/>
        <v>10</v>
      </c>
      <c r="C11" s="146">
        <v>5</v>
      </c>
      <c r="D11" s="145">
        <v>2021</v>
      </c>
      <c r="E11" s="147">
        <f>'Maldives at LG Daily'!D14</f>
        <v>30007</v>
      </c>
      <c r="F11" s="148">
        <v>0.93</v>
      </c>
      <c r="G11" s="147" t="str">
        <f>'Maldives at LG Daily'!F14</f>
        <v>0</v>
      </c>
      <c r="H11" s="148">
        <v>1.24</v>
      </c>
      <c r="I11" s="147">
        <f>'Maldives at LG Daily'!H14</f>
        <v>353</v>
      </c>
      <c r="J11" s="148">
        <v>2.16</v>
      </c>
      <c r="K11" s="147">
        <f>'Maldives at LG Daily'!I14</f>
        <v>46</v>
      </c>
      <c r="L11" s="147">
        <f>'Maldives at LG Daily'!J14</f>
        <v>342</v>
      </c>
    </row>
    <row r="12" spans="1:12" ht="15" x14ac:dyDescent="0.25">
      <c r="A12" s="145" t="s">
        <v>122</v>
      </c>
      <c r="B12" s="145">
        <f t="shared" si="0"/>
        <v>11</v>
      </c>
      <c r="C12" s="146">
        <v>5</v>
      </c>
      <c r="D12" s="145">
        <v>2021</v>
      </c>
      <c r="E12" s="147">
        <f>'Maldives at LG Daily'!D15</f>
        <v>29374</v>
      </c>
      <c r="F12" s="148">
        <v>0.93</v>
      </c>
      <c r="G12" s="147">
        <f>'Maldives at LG Daily'!F15</f>
        <v>0</v>
      </c>
      <c r="H12" s="148">
        <v>1.24</v>
      </c>
      <c r="I12" s="147">
        <f>'Maldives at LG Daily'!H15</f>
        <v>387</v>
      </c>
      <c r="J12" s="148">
        <v>2.16</v>
      </c>
      <c r="K12" s="147">
        <f>'Maldives at LG Daily'!I15</f>
        <v>46</v>
      </c>
      <c r="L12" s="147">
        <f>'Maldives at LG Daily'!J15</f>
        <v>343</v>
      </c>
    </row>
    <row r="13" spans="1:12" ht="15" x14ac:dyDescent="0.25">
      <c r="A13" s="145" t="s">
        <v>122</v>
      </c>
      <c r="B13" s="145">
        <f t="shared" si="0"/>
        <v>12</v>
      </c>
      <c r="C13" s="146">
        <v>5</v>
      </c>
      <c r="D13" s="145">
        <v>2021</v>
      </c>
      <c r="E13" s="147">
        <f>'Maldives at LG Daily'!D16</f>
        <v>29062</v>
      </c>
      <c r="F13" s="148">
        <v>0.93</v>
      </c>
      <c r="G13" s="147" t="str">
        <f>'Maldives at LG Daily'!F16</f>
        <v>0</v>
      </c>
      <c r="H13" s="148">
        <v>1.24</v>
      </c>
      <c r="I13" s="147">
        <f>'Maldives at LG Daily'!H16</f>
        <v>328</v>
      </c>
      <c r="J13" s="148">
        <v>2.16</v>
      </c>
      <c r="K13" s="147">
        <f>'Maldives at LG Daily'!I16</f>
        <v>45</v>
      </c>
      <c r="L13" s="147">
        <f>'Maldives at LG Daily'!J16</f>
        <v>350</v>
      </c>
    </row>
    <row r="14" spans="1:12" ht="15" x14ac:dyDescent="0.25">
      <c r="A14" s="145" t="s">
        <v>122</v>
      </c>
      <c r="B14" s="145">
        <f t="shared" si="0"/>
        <v>13</v>
      </c>
      <c r="C14" s="146">
        <v>5</v>
      </c>
      <c r="D14" s="145">
        <v>2021</v>
      </c>
      <c r="E14" s="147">
        <f>'Maldives at LG Daily'!D17</f>
        <v>28176</v>
      </c>
      <c r="F14" s="148">
        <v>0.93</v>
      </c>
      <c r="G14" s="147" t="str">
        <f>'Maldives at LG Daily'!F17</f>
        <v>0</v>
      </c>
      <c r="H14" s="148">
        <v>1.24</v>
      </c>
      <c r="I14" s="147">
        <f>'Maldives at LG Daily'!H17</f>
        <v>408</v>
      </c>
      <c r="J14" s="148">
        <v>2.16</v>
      </c>
      <c r="K14" s="147">
        <f>'Maldives at LG Daily'!I17</f>
        <v>48</v>
      </c>
      <c r="L14" s="147">
        <f>'Maldives at LG Daily'!J17</f>
        <v>422</v>
      </c>
    </row>
    <row r="15" spans="1:12" ht="15" x14ac:dyDescent="0.25">
      <c r="A15" s="145" t="s">
        <v>122</v>
      </c>
      <c r="B15" s="145">
        <f t="shared" si="0"/>
        <v>14</v>
      </c>
      <c r="C15" s="146">
        <v>5</v>
      </c>
      <c r="D15" s="145">
        <v>2021</v>
      </c>
      <c r="E15" s="147">
        <f>'Maldives at LG Daily'!D18</f>
        <v>28460</v>
      </c>
      <c r="F15" s="148">
        <v>0.93</v>
      </c>
      <c r="G15" s="147">
        <f>'Maldives at LG Daily'!F18</f>
        <v>90</v>
      </c>
      <c r="H15" s="148">
        <v>1.24</v>
      </c>
      <c r="I15" s="147">
        <f>'Maldives at LG Daily'!H18</f>
        <v>364</v>
      </c>
      <c r="J15" s="148">
        <v>2.16</v>
      </c>
      <c r="K15" s="147">
        <f>'Maldives at LG Daily'!I18</f>
        <v>46</v>
      </c>
      <c r="L15" s="147">
        <f>'Maldives at LG Daily'!J18</f>
        <v>377</v>
      </c>
    </row>
    <row r="16" spans="1:12" ht="15" x14ac:dyDescent="0.25">
      <c r="A16" s="145" t="s">
        <v>122</v>
      </c>
      <c r="B16" s="145">
        <f t="shared" si="0"/>
        <v>15</v>
      </c>
      <c r="C16" s="146">
        <v>5</v>
      </c>
      <c r="D16" s="145">
        <v>2021</v>
      </c>
      <c r="E16" s="147">
        <f>'Maldives at LG Daily'!D19</f>
        <v>29731</v>
      </c>
      <c r="F16" s="148">
        <v>0.93</v>
      </c>
      <c r="G16" s="147" t="str">
        <f>'Maldives at LG Daily'!F19</f>
        <v>0</v>
      </c>
      <c r="H16" s="148">
        <v>1.24</v>
      </c>
      <c r="I16" s="147">
        <f>'Maldives at LG Daily'!H19</f>
        <v>331</v>
      </c>
      <c r="J16" s="148">
        <v>2.16</v>
      </c>
      <c r="K16" s="147">
        <f>'Maldives at LG Daily'!I19</f>
        <v>41</v>
      </c>
      <c r="L16" s="147">
        <f>'Maldives at LG Daily'!J19</f>
        <v>380</v>
      </c>
    </row>
    <row r="17" spans="1:12" ht="15" x14ac:dyDescent="0.25">
      <c r="A17" s="145" t="s">
        <v>122</v>
      </c>
      <c r="B17" s="145">
        <f t="shared" si="0"/>
        <v>16</v>
      </c>
      <c r="C17" s="146">
        <v>5</v>
      </c>
      <c r="D17" s="145">
        <v>2021</v>
      </c>
      <c r="E17" s="147">
        <f>'Maldives at LG Daily'!D20</f>
        <v>30407</v>
      </c>
      <c r="F17" s="148">
        <v>0.93</v>
      </c>
      <c r="G17" s="147">
        <f>'Maldives at LG Daily'!F20</f>
        <v>135</v>
      </c>
      <c r="H17" s="148">
        <v>1.24</v>
      </c>
      <c r="I17" s="147">
        <f>'Maldives at LG Daily'!H20</f>
        <v>325</v>
      </c>
      <c r="J17" s="148">
        <v>2.16</v>
      </c>
      <c r="K17" s="147">
        <f>'Maldives at LG Daily'!I20</f>
        <v>34</v>
      </c>
      <c r="L17" s="147">
        <f>'Maldives at LG Daily'!J20</f>
        <v>323</v>
      </c>
    </row>
    <row r="18" spans="1:12" ht="15" x14ac:dyDescent="0.25">
      <c r="A18" s="145" t="s">
        <v>122</v>
      </c>
      <c r="B18" s="145">
        <f t="shared" si="0"/>
        <v>17</v>
      </c>
      <c r="C18" s="146">
        <v>5</v>
      </c>
      <c r="D18" s="145">
        <v>2021</v>
      </c>
      <c r="E18" s="147">
        <f>'Maldives at LG Daily'!D21</f>
        <v>30934</v>
      </c>
      <c r="F18" s="148">
        <v>0.93</v>
      </c>
      <c r="G18" s="147" t="str">
        <f>'Maldives at LG Daily'!F21</f>
        <v>0</v>
      </c>
      <c r="H18" s="148">
        <v>1.24</v>
      </c>
      <c r="I18" s="147">
        <f>'Maldives at LG Daily'!H21</f>
        <v>387</v>
      </c>
      <c r="J18" s="148">
        <v>2.16</v>
      </c>
      <c r="K18" s="147">
        <f>'Maldives at LG Daily'!I21</f>
        <v>31</v>
      </c>
      <c r="L18" s="147">
        <f>'Maldives at LG Daily'!J21</f>
        <v>272</v>
      </c>
    </row>
    <row r="19" spans="1:12" ht="15" x14ac:dyDescent="0.25">
      <c r="A19" s="145" t="s">
        <v>122</v>
      </c>
      <c r="B19" s="145">
        <f t="shared" si="0"/>
        <v>18</v>
      </c>
      <c r="C19" s="146">
        <v>5</v>
      </c>
      <c r="D19" s="145">
        <v>2021</v>
      </c>
      <c r="E19" s="147">
        <f>'Maldives at LG Daily'!D22</f>
        <v>30563</v>
      </c>
      <c r="F19" s="148">
        <v>0.93</v>
      </c>
      <c r="G19" s="147">
        <f>'Maldives at LG Daily'!F22</f>
        <v>0</v>
      </c>
      <c r="H19" s="148">
        <v>1.24</v>
      </c>
      <c r="I19" s="147">
        <f>'Maldives at LG Daily'!H22</f>
        <v>358</v>
      </c>
      <c r="J19" s="148">
        <v>2.16</v>
      </c>
      <c r="K19" s="147">
        <f>'Maldives at LG Daily'!I22</f>
        <v>40</v>
      </c>
      <c r="L19" s="147">
        <f>'Maldives at LG Daily'!J22</f>
        <v>359</v>
      </c>
    </row>
    <row r="20" spans="1:12" ht="15" x14ac:dyDescent="0.25">
      <c r="A20" s="145" t="s">
        <v>122</v>
      </c>
      <c r="B20" s="145">
        <f t="shared" si="0"/>
        <v>19</v>
      </c>
      <c r="C20" s="146">
        <v>5</v>
      </c>
      <c r="D20" s="145">
        <v>2021</v>
      </c>
      <c r="E20" s="147">
        <f>'Maldives at LG Daily'!D23</f>
        <v>30366</v>
      </c>
      <c r="F20" s="148">
        <v>0.93</v>
      </c>
      <c r="G20" s="147">
        <f>'Maldives at LG Daily'!F23</f>
        <v>135</v>
      </c>
      <c r="H20" s="148">
        <v>1.24</v>
      </c>
      <c r="I20" s="147">
        <f>'Maldives at LG Daily'!H23</f>
        <v>367</v>
      </c>
      <c r="J20" s="148">
        <v>2.16</v>
      </c>
      <c r="K20" s="147">
        <f>'Maldives at LG Daily'!I23</f>
        <v>36</v>
      </c>
      <c r="L20" s="147">
        <f>'Maldives at LG Daily'!J23</f>
        <v>304</v>
      </c>
    </row>
    <row r="21" spans="1:12" ht="15" x14ac:dyDescent="0.25">
      <c r="A21" s="145" t="s">
        <v>122</v>
      </c>
      <c r="B21" s="145">
        <f t="shared" si="0"/>
        <v>20</v>
      </c>
      <c r="C21" s="146">
        <v>5</v>
      </c>
      <c r="D21" s="145">
        <v>2021</v>
      </c>
      <c r="E21" s="147">
        <f>'Maldives at LG Daily'!D24</f>
        <v>29240</v>
      </c>
      <c r="F21" s="148">
        <v>0.93</v>
      </c>
      <c r="G21" s="147" t="str">
        <f>'Maldives at LG Daily'!F24</f>
        <v>0</v>
      </c>
      <c r="H21" s="148">
        <v>1.24</v>
      </c>
      <c r="I21" s="147">
        <f>'Maldives at LG Daily'!H24</f>
        <v>356</v>
      </c>
      <c r="J21" s="148">
        <v>2.16</v>
      </c>
      <c r="K21" s="147">
        <f>'Maldives at LG Daily'!I24</f>
        <v>0</v>
      </c>
      <c r="L21" s="147">
        <f>'Maldives at LG Daily'!J24</f>
        <v>0</v>
      </c>
    </row>
    <row r="22" spans="1:12" ht="15" x14ac:dyDescent="0.25">
      <c r="A22" s="145" t="s">
        <v>122</v>
      </c>
      <c r="B22" s="145">
        <f t="shared" si="0"/>
        <v>21</v>
      </c>
      <c r="C22" s="146">
        <v>5</v>
      </c>
      <c r="D22" s="145">
        <v>2021</v>
      </c>
      <c r="E22" s="147" t="str">
        <f>'Maldives at LG Daily'!D25</f>
        <v>0</v>
      </c>
      <c r="F22" s="148">
        <v>0.93</v>
      </c>
      <c r="G22" s="147">
        <f>'Maldives at LG Daily'!F25</f>
        <v>0</v>
      </c>
      <c r="H22" s="148">
        <v>1.24</v>
      </c>
      <c r="I22" s="147">
        <f>'Maldives at LG Daily'!H25</f>
        <v>320</v>
      </c>
      <c r="J22" s="148">
        <v>2.16</v>
      </c>
      <c r="K22" s="147">
        <f>'Maldives at LG Daily'!I25</f>
        <v>0</v>
      </c>
      <c r="L22" s="147">
        <f>'Maldives at LG Daily'!J25</f>
        <v>0</v>
      </c>
    </row>
    <row r="23" spans="1:12" ht="15" x14ac:dyDescent="0.25">
      <c r="A23" s="145" t="s">
        <v>122</v>
      </c>
      <c r="B23" s="145">
        <f t="shared" si="0"/>
        <v>22</v>
      </c>
      <c r="C23" s="146">
        <v>5</v>
      </c>
      <c r="D23" s="145">
        <v>2021</v>
      </c>
      <c r="E23" s="147">
        <f>'Maldives at LG Daily'!D26</f>
        <v>0</v>
      </c>
      <c r="F23" s="148">
        <v>0.93</v>
      </c>
      <c r="G23" s="147">
        <f>'Maldives at LG Daily'!F26</f>
        <v>0</v>
      </c>
      <c r="H23" s="148">
        <v>1.24</v>
      </c>
      <c r="I23" s="147" t="str">
        <f>'Maldives at LG Daily'!H26</f>
        <v>0</v>
      </c>
      <c r="J23" s="148">
        <v>2.16</v>
      </c>
      <c r="K23" s="147">
        <f>'Maldives at LG Daily'!I26</f>
        <v>0</v>
      </c>
      <c r="L23" s="147">
        <f>'Maldives at LG Daily'!J26</f>
        <v>0</v>
      </c>
    </row>
    <row r="24" spans="1:12" ht="15" x14ac:dyDescent="0.25">
      <c r="A24" s="145" t="s">
        <v>122</v>
      </c>
      <c r="B24" s="145">
        <f t="shared" si="0"/>
        <v>23</v>
      </c>
      <c r="C24" s="146">
        <v>5</v>
      </c>
      <c r="D24" s="145">
        <v>2021</v>
      </c>
      <c r="E24" s="147">
        <f>'Maldives at LG Daily'!D27</f>
        <v>0</v>
      </c>
      <c r="F24" s="148">
        <v>0.93</v>
      </c>
      <c r="G24" s="147">
        <f>'Maldives at LG Daily'!F27</f>
        <v>0</v>
      </c>
      <c r="H24" s="148">
        <v>1.24</v>
      </c>
      <c r="I24" s="147">
        <f>'Maldives at LG Daily'!H27</f>
        <v>0</v>
      </c>
      <c r="J24" s="148">
        <v>2.16</v>
      </c>
      <c r="K24" s="147">
        <f>'Maldives at LG Daily'!I27</f>
        <v>0</v>
      </c>
      <c r="L24" s="147">
        <f>'Maldives at LG Daily'!J27</f>
        <v>0</v>
      </c>
    </row>
    <row r="25" spans="1:12" ht="15" x14ac:dyDescent="0.25">
      <c r="A25" s="145" t="s">
        <v>122</v>
      </c>
      <c r="B25" s="145">
        <f t="shared" si="0"/>
        <v>24</v>
      </c>
      <c r="C25" s="146">
        <v>5</v>
      </c>
      <c r="D25" s="145">
        <v>2021</v>
      </c>
      <c r="E25" s="147">
        <f>'Maldives at LG Daily'!D28</f>
        <v>0</v>
      </c>
      <c r="F25" s="148">
        <v>0.93</v>
      </c>
      <c r="G25" s="147">
        <f>'Maldives at LG Daily'!F28</f>
        <v>0</v>
      </c>
      <c r="H25" s="148">
        <v>1.24</v>
      </c>
      <c r="I25" s="147">
        <f>'Maldives at LG Daily'!H28</f>
        <v>0</v>
      </c>
      <c r="J25" s="148">
        <v>2.16</v>
      </c>
      <c r="K25" s="147">
        <f>'Maldives at LG Daily'!I28</f>
        <v>0</v>
      </c>
      <c r="L25" s="147">
        <f>'Maldives at LG Daily'!J28</f>
        <v>0</v>
      </c>
    </row>
    <row r="26" spans="1:12" ht="15" x14ac:dyDescent="0.25">
      <c r="A26" s="145" t="s">
        <v>122</v>
      </c>
      <c r="B26" s="145">
        <f>B25+1</f>
        <v>25</v>
      </c>
      <c r="C26" s="146">
        <v>5</v>
      </c>
      <c r="D26" s="145">
        <v>2021</v>
      </c>
      <c r="E26" s="147">
        <f>'Maldives at LG Daily'!D29</f>
        <v>0</v>
      </c>
      <c r="F26" s="148">
        <v>0.93</v>
      </c>
      <c r="G26" s="147">
        <f>'Maldives at LG Daily'!F29</f>
        <v>0</v>
      </c>
      <c r="H26" s="148">
        <v>1.24</v>
      </c>
      <c r="I26" s="147">
        <f>'Maldives at LG Daily'!H29</f>
        <v>0</v>
      </c>
      <c r="J26" s="148">
        <v>2.16</v>
      </c>
      <c r="K26" s="147">
        <f>'Maldives at LG Daily'!I29</f>
        <v>0</v>
      </c>
      <c r="L26" s="147">
        <f>'Maldives at LG Daily'!J29</f>
        <v>0</v>
      </c>
    </row>
    <row r="27" spans="1:12" ht="15" x14ac:dyDescent="0.25">
      <c r="A27" s="145" t="s">
        <v>122</v>
      </c>
      <c r="B27" s="145">
        <f t="shared" si="0"/>
        <v>26</v>
      </c>
      <c r="C27" s="146">
        <v>5</v>
      </c>
      <c r="D27" s="145">
        <v>2021</v>
      </c>
      <c r="E27" s="147">
        <f>'Maldives at LG Daily'!D30</f>
        <v>0</v>
      </c>
      <c r="F27" s="148">
        <v>0.93</v>
      </c>
      <c r="G27" s="147">
        <f>'Maldives at LG Daily'!F30</f>
        <v>0</v>
      </c>
      <c r="H27" s="148">
        <v>1.24</v>
      </c>
      <c r="I27" s="147">
        <f>'Maldives at LG Daily'!H30</f>
        <v>0</v>
      </c>
      <c r="J27" s="148">
        <v>2.16</v>
      </c>
      <c r="K27" s="147">
        <f>'Maldives at LG Daily'!I30</f>
        <v>0</v>
      </c>
      <c r="L27" s="147">
        <f>'Maldives at LG Daily'!J30</f>
        <v>0</v>
      </c>
    </row>
    <row r="28" spans="1:12" ht="15" x14ac:dyDescent="0.25">
      <c r="A28" s="145" t="s">
        <v>122</v>
      </c>
      <c r="B28" s="145">
        <f t="shared" si="0"/>
        <v>27</v>
      </c>
      <c r="C28" s="146">
        <v>5</v>
      </c>
      <c r="D28" s="145">
        <v>2021</v>
      </c>
      <c r="E28" s="147">
        <f>'Maldives at LG Daily'!D31</f>
        <v>0</v>
      </c>
      <c r="F28" s="148">
        <v>0.93</v>
      </c>
      <c r="G28" s="147">
        <f>'Maldives at LG Daily'!F31</f>
        <v>0</v>
      </c>
      <c r="H28" s="148">
        <v>1.24</v>
      </c>
      <c r="I28" s="147">
        <f>'Maldives at LG Daily'!H31</f>
        <v>0</v>
      </c>
      <c r="J28" s="148">
        <v>2.16</v>
      </c>
      <c r="K28" s="147">
        <f>'Maldives at LG Daily'!I31</f>
        <v>0</v>
      </c>
      <c r="L28" s="147">
        <f>'Maldives at LG Daily'!J31</f>
        <v>0</v>
      </c>
    </row>
    <row r="29" spans="1:12" ht="15" x14ac:dyDescent="0.25">
      <c r="A29" s="145" t="s">
        <v>122</v>
      </c>
      <c r="B29" s="145">
        <f t="shared" si="0"/>
        <v>28</v>
      </c>
      <c r="C29" s="146">
        <v>5</v>
      </c>
      <c r="D29" s="145">
        <v>2021</v>
      </c>
      <c r="E29" s="147">
        <f>'Maldives at LG Daily'!D32</f>
        <v>0</v>
      </c>
      <c r="F29" s="148">
        <v>0.93</v>
      </c>
      <c r="G29" s="147">
        <f>'Maldives at LG Daily'!F32</f>
        <v>0</v>
      </c>
      <c r="H29" s="148">
        <v>1.24</v>
      </c>
      <c r="I29" s="147">
        <f>'Maldives at LG Daily'!H32</f>
        <v>0</v>
      </c>
      <c r="J29" s="148">
        <v>2.16</v>
      </c>
      <c r="K29" s="147">
        <f>'Maldives at LG Daily'!I32</f>
        <v>0</v>
      </c>
      <c r="L29" s="147">
        <f>'Maldives at LG Daily'!J32</f>
        <v>0</v>
      </c>
    </row>
    <row r="30" spans="1:12" ht="15" x14ac:dyDescent="0.25">
      <c r="A30" s="145" t="s">
        <v>122</v>
      </c>
      <c r="B30" s="145">
        <f t="shared" si="0"/>
        <v>29</v>
      </c>
      <c r="C30" s="146">
        <v>5</v>
      </c>
      <c r="D30" s="145">
        <v>2021</v>
      </c>
      <c r="E30" s="147">
        <f>'Maldives at LG Daily'!D33</f>
        <v>0</v>
      </c>
      <c r="F30" s="148">
        <v>0.93</v>
      </c>
      <c r="G30" s="147">
        <f>'Maldives at LG Daily'!F33</f>
        <v>0</v>
      </c>
      <c r="H30" s="148">
        <v>2.2400000000000002</v>
      </c>
      <c r="I30" s="147">
        <f>'Maldives at LG Daily'!H33</f>
        <v>0</v>
      </c>
      <c r="J30" s="148">
        <v>2.16</v>
      </c>
      <c r="K30" s="147">
        <f>'Maldives at LG Daily'!I33</f>
        <v>0</v>
      </c>
      <c r="L30" s="147">
        <f>'Maldives at LG Daily'!J33</f>
        <v>0</v>
      </c>
    </row>
    <row r="31" spans="1:12" ht="15" x14ac:dyDescent="0.25">
      <c r="A31" s="145" t="s">
        <v>122</v>
      </c>
      <c r="B31" s="145">
        <v>30</v>
      </c>
      <c r="C31" s="146">
        <v>5</v>
      </c>
      <c r="D31" s="145">
        <v>2021</v>
      </c>
      <c r="E31" s="147">
        <f>'Maldives at LG Daily'!D34</f>
        <v>0</v>
      </c>
      <c r="F31" s="148">
        <v>1.93</v>
      </c>
      <c r="G31" s="147">
        <f>'Maldives at LG Daily'!F34</f>
        <v>0</v>
      </c>
      <c r="H31" s="148">
        <v>3.24</v>
      </c>
      <c r="I31" s="147">
        <f>'Maldives at LG Daily'!H34</f>
        <v>0</v>
      </c>
      <c r="J31" s="148">
        <v>2.16</v>
      </c>
      <c r="K31" s="147">
        <f>'Maldives at LG Daily'!I34</f>
        <v>0</v>
      </c>
      <c r="L31" s="147">
        <f>'Maldives at LG Daily'!J34</f>
        <v>0</v>
      </c>
    </row>
    <row r="32" spans="1:12" ht="15" x14ac:dyDescent="0.25">
      <c r="A32" s="145" t="s">
        <v>122</v>
      </c>
      <c r="B32" s="145">
        <v>31</v>
      </c>
      <c r="C32" s="146">
        <v>5</v>
      </c>
      <c r="D32" s="145">
        <v>2021</v>
      </c>
      <c r="E32" s="147">
        <f>'Maldives at LG Daily'!D35</f>
        <v>0</v>
      </c>
      <c r="F32" s="148">
        <v>2.93</v>
      </c>
      <c r="G32" s="147">
        <f>'Maldives at LG Daily'!F35</f>
        <v>0</v>
      </c>
      <c r="H32" s="148">
        <v>4.24</v>
      </c>
      <c r="I32" s="147">
        <f>'Maldives at LG Daily'!H35</f>
        <v>0</v>
      </c>
      <c r="J32" s="148">
        <v>2.16</v>
      </c>
      <c r="K32" s="147">
        <f>'Maldives at LG Daily'!I35</f>
        <v>0</v>
      </c>
      <c r="L32" s="147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6" zoomScale="85" zoomScaleNormal="85" workbookViewId="0">
      <pane xSplit="1" topLeftCell="B1" activePane="topRight" state="frozen"/>
      <selection pane="topRight" activeCell="K22" sqref="K22"/>
    </sheetView>
  </sheetViews>
  <sheetFormatPr defaultRowHeight="15" x14ac:dyDescent="0.25"/>
  <cols>
    <col min="1" max="1" width="14" style="202" customWidth="1"/>
    <col min="2" max="2" width="2" style="202" customWidth="1"/>
    <col min="3" max="3" width="11.85546875" style="220" customWidth="1"/>
    <col min="4" max="4" width="13.5703125" style="221" customWidth="1"/>
    <col min="5" max="5" width="14.85546875" style="202" customWidth="1"/>
    <col min="6" max="6" width="14.85546875" style="220" customWidth="1"/>
    <col min="7" max="7" width="8.85546875" style="202" customWidth="1"/>
    <col min="8" max="8" width="12.5703125" style="202" customWidth="1"/>
    <col min="9" max="10" width="13" style="224" customWidth="1"/>
    <col min="11" max="254" width="9.140625" style="202"/>
    <col min="255" max="255" width="14" style="202" customWidth="1"/>
    <col min="256" max="256" width="2" style="202" customWidth="1"/>
    <col min="257" max="257" width="11.85546875" style="202" customWidth="1"/>
    <col min="258" max="258" width="13.5703125" style="202" customWidth="1"/>
    <col min="259" max="260" width="13.85546875" style="202" customWidth="1"/>
    <col min="261" max="262" width="14.85546875" style="202" customWidth="1"/>
    <col min="263" max="263" width="8.85546875" style="202" customWidth="1"/>
    <col min="264" max="264" width="12.5703125" style="202" customWidth="1"/>
    <col min="265" max="266" width="13" style="202" customWidth="1"/>
    <col min="267" max="510" width="9.140625" style="202"/>
    <col min="511" max="511" width="14" style="202" customWidth="1"/>
    <col min="512" max="512" width="2" style="202" customWidth="1"/>
    <col min="513" max="513" width="11.85546875" style="202" customWidth="1"/>
    <col min="514" max="514" width="13.5703125" style="202" customWidth="1"/>
    <col min="515" max="516" width="13.85546875" style="202" customWidth="1"/>
    <col min="517" max="518" width="14.85546875" style="202" customWidth="1"/>
    <col min="519" max="519" width="8.85546875" style="202" customWidth="1"/>
    <col min="520" max="520" width="12.5703125" style="202" customWidth="1"/>
    <col min="521" max="522" width="13" style="202" customWidth="1"/>
    <col min="523" max="766" width="9.140625" style="202"/>
    <col min="767" max="767" width="14" style="202" customWidth="1"/>
    <col min="768" max="768" width="2" style="202" customWidth="1"/>
    <col min="769" max="769" width="11.85546875" style="202" customWidth="1"/>
    <col min="770" max="770" width="13.5703125" style="202" customWidth="1"/>
    <col min="771" max="772" width="13.85546875" style="202" customWidth="1"/>
    <col min="773" max="774" width="14.85546875" style="202" customWidth="1"/>
    <col min="775" max="775" width="8.85546875" style="202" customWidth="1"/>
    <col min="776" max="776" width="12.5703125" style="202" customWidth="1"/>
    <col min="777" max="778" width="13" style="202" customWidth="1"/>
    <col min="779" max="1022" width="9.140625" style="202"/>
    <col min="1023" max="1023" width="14" style="202" customWidth="1"/>
    <col min="1024" max="1024" width="2" style="202" customWidth="1"/>
    <col min="1025" max="1025" width="11.85546875" style="202" customWidth="1"/>
    <col min="1026" max="1026" width="13.5703125" style="202" customWidth="1"/>
    <col min="1027" max="1028" width="13.85546875" style="202" customWidth="1"/>
    <col min="1029" max="1030" width="14.85546875" style="202" customWidth="1"/>
    <col min="1031" max="1031" width="8.85546875" style="202" customWidth="1"/>
    <col min="1032" max="1032" width="12.5703125" style="202" customWidth="1"/>
    <col min="1033" max="1034" width="13" style="202" customWidth="1"/>
    <col min="1035" max="1278" width="9.140625" style="202"/>
    <col min="1279" max="1279" width="14" style="202" customWidth="1"/>
    <col min="1280" max="1280" width="2" style="202" customWidth="1"/>
    <col min="1281" max="1281" width="11.85546875" style="202" customWidth="1"/>
    <col min="1282" max="1282" width="13.5703125" style="202" customWidth="1"/>
    <col min="1283" max="1284" width="13.85546875" style="202" customWidth="1"/>
    <col min="1285" max="1286" width="14.85546875" style="202" customWidth="1"/>
    <col min="1287" max="1287" width="8.85546875" style="202" customWidth="1"/>
    <col min="1288" max="1288" width="12.5703125" style="202" customWidth="1"/>
    <col min="1289" max="1290" width="13" style="202" customWidth="1"/>
    <col min="1291" max="1534" width="9.140625" style="202"/>
    <col min="1535" max="1535" width="14" style="202" customWidth="1"/>
    <col min="1536" max="1536" width="2" style="202" customWidth="1"/>
    <col min="1537" max="1537" width="11.85546875" style="202" customWidth="1"/>
    <col min="1538" max="1538" width="13.5703125" style="202" customWidth="1"/>
    <col min="1539" max="1540" width="13.85546875" style="202" customWidth="1"/>
    <col min="1541" max="1542" width="14.85546875" style="202" customWidth="1"/>
    <col min="1543" max="1543" width="8.85546875" style="202" customWidth="1"/>
    <col min="1544" max="1544" width="12.5703125" style="202" customWidth="1"/>
    <col min="1545" max="1546" width="13" style="202" customWidth="1"/>
    <col min="1547" max="1790" width="9.140625" style="202"/>
    <col min="1791" max="1791" width="14" style="202" customWidth="1"/>
    <col min="1792" max="1792" width="2" style="202" customWidth="1"/>
    <col min="1793" max="1793" width="11.85546875" style="202" customWidth="1"/>
    <col min="1794" max="1794" width="13.5703125" style="202" customWidth="1"/>
    <col min="1795" max="1796" width="13.85546875" style="202" customWidth="1"/>
    <col min="1797" max="1798" width="14.85546875" style="202" customWidth="1"/>
    <col min="1799" max="1799" width="8.85546875" style="202" customWidth="1"/>
    <col min="1800" max="1800" width="12.5703125" style="202" customWidth="1"/>
    <col min="1801" max="1802" width="13" style="202" customWidth="1"/>
    <col min="1803" max="2046" width="9.140625" style="202"/>
    <col min="2047" max="2047" width="14" style="202" customWidth="1"/>
    <col min="2048" max="2048" width="2" style="202" customWidth="1"/>
    <col min="2049" max="2049" width="11.85546875" style="202" customWidth="1"/>
    <col min="2050" max="2050" width="13.5703125" style="202" customWidth="1"/>
    <col min="2051" max="2052" width="13.85546875" style="202" customWidth="1"/>
    <col min="2053" max="2054" width="14.85546875" style="202" customWidth="1"/>
    <col min="2055" max="2055" width="8.85546875" style="202" customWidth="1"/>
    <col min="2056" max="2056" width="12.5703125" style="202" customWidth="1"/>
    <col min="2057" max="2058" width="13" style="202" customWidth="1"/>
    <col min="2059" max="2302" width="9.140625" style="202"/>
    <col min="2303" max="2303" width="14" style="202" customWidth="1"/>
    <col min="2304" max="2304" width="2" style="202" customWidth="1"/>
    <col min="2305" max="2305" width="11.85546875" style="202" customWidth="1"/>
    <col min="2306" max="2306" width="13.5703125" style="202" customWidth="1"/>
    <col min="2307" max="2308" width="13.85546875" style="202" customWidth="1"/>
    <col min="2309" max="2310" width="14.85546875" style="202" customWidth="1"/>
    <col min="2311" max="2311" width="8.85546875" style="202" customWidth="1"/>
    <col min="2312" max="2312" width="12.5703125" style="202" customWidth="1"/>
    <col min="2313" max="2314" width="13" style="202" customWidth="1"/>
    <col min="2315" max="2558" width="9.140625" style="202"/>
    <col min="2559" max="2559" width="14" style="202" customWidth="1"/>
    <col min="2560" max="2560" width="2" style="202" customWidth="1"/>
    <col min="2561" max="2561" width="11.85546875" style="202" customWidth="1"/>
    <col min="2562" max="2562" width="13.5703125" style="202" customWidth="1"/>
    <col min="2563" max="2564" width="13.85546875" style="202" customWidth="1"/>
    <col min="2565" max="2566" width="14.85546875" style="202" customWidth="1"/>
    <col min="2567" max="2567" width="8.85546875" style="202" customWidth="1"/>
    <col min="2568" max="2568" width="12.5703125" style="202" customWidth="1"/>
    <col min="2569" max="2570" width="13" style="202" customWidth="1"/>
    <col min="2571" max="2814" width="9.140625" style="202"/>
    <col min="2815" max="2815" width="14" style="202" customWidth="1"/>
    <col min="2816" max="2816" width="2" style="202" customWidth="1"/>
    <col min="2817" max="2817" width="11.85546875" style="202" customWidth="1"/>
    <col min="2818" max="2818" width="13.5703125" style="202" customWidth="1"/>
    <col min="2819" max="2820" width="13.85546875" style="202" customWidth="1"/>
    <col min="2821" max="2822" width="14.85546875" style="202" customWidth="1"/>
    <col min="2823" max="2823" width="8.85546875" style="202" customWidth="1"/>
    <col min="2824" max="2824" width="12.5703125" style="202" customWidth="1"/>
    <col min="2825" max="2826" width="13" style="202" customWidth="1"/>
    <col min="2827" max="3070" width="9.140625" style="202"/>
    <col min="3071" max="3071" width="14" style="202" customWidth="1"/>
    <col min="3072" max="3072" width="2" style="202" customWidth="1"/>
    <col min="3073" max="3073" width="11.85546875" style="202" customWidth="1"/>
    <col min="3074" max="3074" width="13.5703125" style="202" customWidth="1"/>
    <col min="3075" max="3076" width="13.85546875" style="202" customWidth="1"/>
    <col min="3077" max="3078" width="14.85546875" style="202" customWidth="1"/>
    <col min="3079" max="3079" width="8.85546875" style="202" customWidth="1"/>
    <col min="3080" max="3080" width="12.5703125" style="202" customWidth="1"/>
    <col min="3081" max="3082" width="13" style="202" customWidth="1"/>
    <col min="3083" max="3326" width="9.140625" style="202"/>
    <col min="3327" max="3327" width="14" style="202" customWidth="1"/>
    <col min="3328" max="3328" width="2" style="202" customWidth="1"/>
    <col min="3329" max="3329" width="11.85546875" style="202" customWidth="1"/>
    <col min="3330" max="3330" width="13.5703125" style="202" customWidth="1"/>
    <col min="3331" max="3332" width="13.85546875" style="202" customWidth="1"/>
    <col min="3333" max="3334" width="14.85546875" style="202" customWidth="1"/>
    <col min="3335" max="3335" width="8.85546875" style="202" customWidth="1"/>
    <col min="3336" max="3336" width="12.5703125" style="202" customWidth="1"/>
    <col min="3337" max="3338" width="13" style="202" customWidth="1"/>
    <col min="3339" max="3582" width="9.140625" style="202"/>
    <col min="3583" max="3583" width="14" style="202" customWidth="1"/>
    <col min="3584" max="3584" width="2" style="202" customWidth="1"/>
    <col min="3585" max="3585" width="11.85546875" style="202" customWidth="1"/>
    <col min="3586" max="3586" width="13.5703125" style="202" customWidth="1"/>
    <col min="3587" max="3588" width="13.85546875" style="202" customWidth="1"/>
    <col min="3589" max="3590" width="14.85546875" style="202" customWidth="1"/>
    <col min="3591" max="3591" width="8.85546875" style="202" customWidth="1"/>
    <col min="3592" max="3592" width="12.5703125" style="202" customWidth="1"/>
    <col min="3593" max="3594" width="13" style="202" customWidth="1"/>
    <col min="3595" max="3838" width="9.140625" style="202"/>
    <col min="3839" max="3839" width="14" style="202" customWidth="1"/>
    <col min="3840" max="3840" width="2" style="202" customWidth="1"/>
    <col min="3841" max="3841" width="11.85546875" style="202" customWidth="1"/>
    <col min="3842" max="3842" width="13.5703125" style="202" customWidth="1"/>
    <col min="3843" max="3844" width="13.85546875" style="202" customWidth="1"/>
    <col min="3845" max="3846" width="14.85546875" style="202" customWidth="1"/>
    <col min="3847" max="3847" width="8.85546875" style="202" customWidth="1"/>
    <col min="3848" max="3848" width="12.5703125" style="202" customWidth="1"/>
    <col min="3849" max="3850" width="13" style="202" customWidth="1"/>
    <col min="3851" max="4094" width="9.140625" style="202"/>
    <col min="4095" max="4095" width="14" style="202" customWidth="1"/>
    <col min="4096" max="4096" width="2" style="202" customWidth="1"/>
    <col min="4097" max="4097" width="11.85546875" style="202" customWidth="1"/>
    <col min="4098" max="4098" width="13.5703125" style="202" customWidth="1"/>
    <col min="4099" max="4100" width="13.85546875" style="202" customWidth="1"/>
    <col min="4101" max="4102" width="14.85546875" style="202" customWidth="1"/>
    <col min="4103" max="4103" width="8.85546875" style="202" customWidth="1"/>
    <col min="4104" max="4104" width="12.5703125" style="202" customWidth="1"/>
    <col min="4105" max="4106" width="13" style="202" customWidth="1"/>
    <col min="4107" max="4350" width="9.140625" style="202"/>
    <col min="4351" max="4351" width="14" style="202" customWidth="1"/>
    <col min="4352" max="4352" width="2" style="202" customWidth="1"/>
    <col min="4353" max="4353" width="11.85546875" style="202" customWidth="1"/>
    <col min="4354" max="4354" width="13.5703125" style="202" customWidth="1"/>
    <col min="4355" max="4356" width="13.85546875" style="202" customWidth="1"/>
    <col min="4357" max="4358" width="14.85546875" style="202" customWidth="1"/>
    <col min="4359" max="4359" width="8.85546875" style="202" customWidth="1"/>
    <col min="4360" max="4360" width="12.5703125" style="202" customWidth="1"/>
    <col min="4361" max="4362" width="13" style="202" customWidth="1"/>
    <col min="4363" max="4606" width="9.140625" style="202"/>
    <col min="4607" max="4607" width="14" style="202" customWidth="1"/>
    <col min="4608" max="4608" width="2" style="202" customWidth="1"/>
    <col min="4609" max="4609" width="11.85546875" style="202" customWidth="1"/>
    <col min="4610" max="4610" width="13.5703125" style="202" customWidth="1"/>
    <col min="4611" max="4612" width="13.85546875" style="202" customWidth="1"/>
    <col min="4613" max="4614" width="14.85546875" style="202" customWidth="1"/>
    <col min="4615" max="4615" width="8.85546875" style="202" customWidth="1"/>
    <col min="4616" max="4616" width="12.5703125" style="202" customWidth="1"/>
    <col min="4617" max="4618" width="13" style="202" customWidth="1"/>
    <col min="4619" max="4862" width="9.140625" style="202"/>
    <col min="4863" max="4863" width="14" style="202" customWidth="1"/>
    <col min="4864" max="4864" width="2" style="202" customWidth="1"/>
    <col min="4865" max="4865" width="11.85546875" style="202" customWidth="1"/>
    <col min="4866" max="4866" width="13.5703125" style="202" customWidth="1"/>
    <col min="4867" max="4868" width="13.85546875" style="202" customWidth="1"/>
    <col min="4869" max="4870" width="14.85546875" style="202" customWidth="1"/>
    <col min="4871" max="4871" width="8.85546875" style="202" customWidth="1"/>
    <col min="4872" max="4872" width="12.5703125" style="202" customWidth="1"/>
    <col min="4873" max="4874" width="13" style="202" customWidth="1"/>
    <col min="4875" max="5118" width="9.140625" style="202"/>
    <col min="5119" max="5119" width="14" style="202" customWidth="1"/>
    <col min="5120" max="5120" width="2" style="202" customWidth="1"/>
    <col min="5121" max="5121" width="11.85546875" style="202" customWidth="1"/>
    <col min="5122" max="5122" width="13.5703125" style="202" customWidth="1"/>
    <col min="5123" max="5124" width="13.85546875" style="202" customWidth="1"/>
    <col min="5125" max="5126" width="14.85546875" style="202" customWidth="1"/>
    <col min="5127" max="5127" width="8.85546875" style="202" customWidth="1"/>
    <col min="5128" max="5128" width="12.5703125" style="202" customWidth="1"/>
    <col min="5129" max="5130" width="13" style="202" customWidth="1"/>
    <col min="5131" max="5374" width="9.140625" style="202"/>
    <col min="5375" max="5375" width="14" style="202" customWidth="1"/>
    <col min="5376" max="5376" width="2" style="202" customWidth="1"/>
    <col min="5377" max="5377" width="11.85546875" style="202" customWidth="1"/>
    <col min="5378" max="5378" width="13.5703125" style="202" customWidth="1"/>
    <col min="5379" max="5380" width="13.85546875" style="202" customWidth="1"/>
    <col min="5381" max="5382" width="14.85546875" style="202" customWidth="1"/>
    <col min="5383" max="5383" width="8.85546875" style="202" customWidth="1"/>
    <col min="5384" max="5384" width="12.5703125" style="202" customWidth="1"/>
    <col min="5385" max="5386" width="13" style="202" customWidth="1"/>
    <col min="5387" max="5630" width="9.140625" style="202"/>
    <col min="5631" max="5631" width="14" style="202" customWidth="1"/>
    <col min="5632" max="5632" width="2" style="202" customWidth="1"/>
    <col min="5633" max="5633" width="11.85546875" style="202" customWidth="1"/>
    <col min="5634" max="5634" width="13.5703125" style="202" customWidth="1"/>
    <col min="5635" max="5636" width="13.85546875" style="202" customWidth="1"/>
    <col min="5637" max="5638" width="14.85546875" style="202" customWidth="1"/>
    <col min="5639" max="5639" width="8.85546875" style="202" customWidth="1"/>
    <col min="5640" max="5640" width="12.5703125" style="202" customWidth="1"/>
    <col min="5641" max="5642" width="13" style="202" customWidth="1"/>
    <col min="5643" max="5886" width="9.140625" style="202"/>
    <col min="5887" max="5887" width="14" style="202" customWidth="1"/>
    <col min="5888" max="5888" width="2" style="202" customWidth="1"/>
    <col min="5889" max="5889" width="11.85546875" style="202" customWidth="1"/>
    <col min="5890" max="5890" width="13.5703125" style="202" customWidth="1"/>
    <col min="5891" max="5892" width="13.85546875" style="202" customWidth="1"/>
    <col min="5893" max="5894" width="14.85546875" style="202" customWidth="1"/>
    <col min="5895" max="5895" width="8.85546875" style="202" customWidth="1"/>
    <col min="5896" max="5896" width="12.5703125" style="202" customWidth="1"/>
    <col min="5897" max="5898" width="13" style="202" customWidth="1"/>
    <col min="5899" max="6142" width="9.140625" style="202"/>
    <col min="6143" max="6143" width="14" style="202" customWidth="1"/>
    <col min="6144" max="6144" width="2" style="202" customWidth="1"/>
    <col min="6145" max="6145" width="11.85546875" style="202" customWidth="1"/>
    <col min="6146" max="6146" width="13.5703125" style="202" customWidth="1"/>
    <col min="6147" max="6148" width="13.85546875" style="202" customWidth="1"/>
    <col min="6149" max="6150" width="14.85546875" style="202" customWidth="1"/>
    <col min="6151" max="6151" width="8.85546875" style="202" customWidth="1"/>
    <col min="6152" max="6152" width="12.5703125" style="202" customWidth="1"/>
    <col min="6153" max="6154" width="13" style="202" customWidth="1"/>
    <col min="6155" max="6398" width="9.140625" style="202"/>
    <col min="6399" max="6399" width="14" style="202" customWidth="1"/>
    <col min="6400" max="6400" width="2" style="202" customWidth="1"/>
    <col min="6401" max="6401" width="11.85546875" style="202" customWidth="1"/>
    <col min="6402" max="6402" width="13.5703125" style="202" customWidth="1"/>
    <col min="6403" max="6404" width="13.85546875" style="202" customWidth="1"/>
    <col min="6405" max="6406" width="14.85546875" style="202" customWidth="1"/>
    <col min="6407" max="6407" width="8.85546875" style="202" customWidth="1"/>
    <col min="6408" max="6408" width="12.5703125" style="202" customWidth="1"/>
    <col min="6409" max="6410" width="13" style="202" customWidth="1"/>
    <col min="6411" max="6654" width="9.140625" style="202"/>
    <col min="6655" max="6655" width="14" style="202" customWidth="1"/>
    <col min="6656" max="6656" width="2" style="202" customWidth="1"/>
    <col min="6657" max="6657" width="11.85546875" style="202" customWidth="1"/>
    <col min="6658" max="6658" width="13.5703125" style="202" customWidth="1"/>
    <col min="6659" max="6660" width="13.85546875" style="202" customWidth="1"/>
    <col min="6661" max="6662" width="14.85546875" style="202" customWidth="1"/>
    <col min="6663" max="6663" width="8.85546875" style="202" customWidth="1"/>
    <col min="6664" max="6664" width="12.5703125" style="202" customWidth="1"/>
    <col min="6665" max="6666" width="13" style="202" customWidth="1"/>
    <col min="6667" max="6910" width="9.140625" style="202"/>
    <col min="6911" max="6911" width="14" style="202" customWidth="1"/>
    <col min="6912" max="6912" width="2" style="202" customWidth="1"/>
    <col min="6913" max="6913" width="11.85546875" style="202" customWidth="1"/>
    <col min="6914" max="6914" width="13.5703125" style="202" customWidth="1"/>
    <col min="6915" max="6916" width="13.85546875" style="202" customWidth="1"/>
    <col min="6917" max="6918" width="14.85546875" style="202" customWidth="1"/>
    <col min="6919" max="6919" width="8.85546875" style="202" customWidth="1"/>
    <col min="6920" max="6920" width="12.5703125" style="202" customWidth="1"/>
    <col min="6921" max="6922" width="13" style="202" customWidth="1"/>
    <col min="6923" max="7166" width="9.140625" style="202"/>
    <col min="7167" max="7167" width="14" style="202" customWidth="1"/>
    <col min="7168" max="7168" width="2" style="202" customWidth="1"/>
    <col min="7169" max="7169" width="11.85546875" style="202" customWidth="1"/>
    <col min="7170" max="7170" width="13.5703125" style="202" customWidth="1"/>
    <col min="7171" max="7172" width="13.85546875" style="202" customWidth="1"/>
    <col min="7173" max="7174" width="14.85546875" style="202" customWidth="1"/>
    <col min="7175" max="7175" width="8.85546875" style="202" customWidth="1"/>
    <col min="7176" max="7176" width="12.5703125" style="202" customWidth="1"/>
    <col min="7177" max="7178" width="13" style="202" customWidth="1"/>
    <col min="7179" max="7422" width="9.140625" style="202"/>
    <col min="7423" max="7423" width="14" style="202" customWidth="1"/>
    <col min="7424" max="7424" width="2" style="202" customWidth="1"/>
    <col min="7425" max="7425" width="11.85546875" style="202" customWidth="1"/>
    <col min="7426" max="7426" width="13.5703125" style="202" customWidth="1"/>
    <col min="7427" max="7428" width="13.85546875" style="202" customWidth="1"/>
    <col min="7429" max="7430" width="14.85546875" style="202" customWidth="1"/>
    <col min="7431" max="7431" width="8.85546875" style="202" customWidth="1"/>
    <col min="7432" max="7432" width="12.5703125" style="202" customWidth="1"/>
    <col min="7433" max="7434" width="13" style="202" customWidth="1"/>
    <col min="7435" max="7678" width="9.140625" style="202"/>
    <col min="7679" max="7679" width="14" style="202" customWidth="1"/>
    <col min="7680" max="7680" width="2" style="202" customWidth="1"/>
    <col min="7681" max="7681" width="11.85546875" style="202" customWidth="1"/>
    <col min="7682" max="7682" width="13.5703125" style="202" customWidth="1"/>
    <col min="7683" max="7684" width="13.85546875" style="202" customWidth="1"/>
    <col min="7685" max="7686" width="14.85546875" style="202" customWidth="1"/>
    <col min="7687" max="7687" width="8.85546875" style="202" customWidth="1"/>
    <col min="7688" max="7688" width="12.5703125" style="202" customWidth="1"/>
    <col min="7689" max="7690" width="13" style="202" customWidth="1"/>
    <col min="7691" max="7934" width="9.140625" style="202"/>
    <col min="7935" max="7935" width="14" style="202" customWidth="1"/>
    <col min="7936" max="7936" width="2" style="202" customWidth="1"/>
    <col min="7937" max="7937" width="11.85546875" style="202" customWidth="1"/>
    <col min="7938" max="7938" width="13.5703125" style="202" customWidth="1"/>
    <col min="7939" max="7940" width="13.85546875" style="202" customWidth="1"/>
    <col min="7941" max="7942" width="14.85546875" style="202" customWidth="1"/>
    <col min="7943" max="7943" width="8.85546875" style="202" customWidth="1"/>
    <col min="7944" max="7944" width="12.5703125" style="202" customWidth="1"/>
    <col min="7945" max="7946" width="13" style="202" customWidth="1"/>
    <col min="7947" max="8190" width="9.140625" style="202"/>
    <col min="8191" max="8191" width="14" style="202" customWidth="1"/>
    <col min="8192" max="8192" width="2" style="202" customWidth="1"/>
    <col min="8193" max="8193" width="11.85546875" style="202" customWidth="1"/>
    <col min="8194" max="8194" width="13.5703125" style="202" customWidth="1"/>
    <col min="8195" max="8196" width="13.85546875" style="202" customWidth="1"/>
    <col min="8197" max="8198" width="14.85546875" style="202" customWidth="1"/>
    <col min="8199" max="8199" width="8.85546875" style="202" customWidth="1"/>
    <col min="8200" max="8200" width="12.5703125" style="202" customWidth="1"/>
    <col min="8201" max="8202" width="13" style="202" customWidth="1"/>
    <col min="8203" max="8446" width="9.140625" style="202"/>
    <col min="8447" max="8447" width="14" style="202" customWidth="1"/>
    <col min="8448" max="8448" width="2" style="202" customWidth="1"/>
    <col min="8449" max="8449" width="11.85546875" style="202" customWidth="1"/>
    <col min="8450" max="8450" width="13.5703125" style="202" customWidth="1"/>
    <col min="8451" max="8452" width="13.85546875" style="202" customWidth="1"/>
    <col min="8453" max="8454" width="14.85546875" style="202" customWidth="1"/>
    <col min="8455" max="8455" width="8.85546875" style="202" customWidth="1"/>
    <col min="8456" max="8456" width="12.5703125" style="202" customWidth="1"/>
    <col min="8457" max="8458" width="13" style="202" customWidth="1"/>
    <col min="8459" max="8702" width="9.140625" style="202"/>
    <col min="8703" max="8703" width="14" style="202" customWidth="1"/>
    <col min="8704" max="8704" width="2" style="202" customWidth="1"/>
    <col min="8705" max="8705" width="11.85546875" style="202" customWidth="1"/>
    <col min="8706" max="8706" width="13.5703125" style="202" customWidth="1"/>
    <col min="8707" max="8708" width="13.85546875" style="202" customWidth="1"/>
    <col min="8709" max="8710" width="14.85546875" style="202" customWidth="1"/>
    <col min="8711" max="8711" width="8.85546875" style="202" customWidth="1"/>
    <col min="8712" max="8712" width="12.5703125" style="202" customWidth="1"/>
    <col min="8713" max="8714" width="13" style="202" customWidth="1"/>
    <col min="8715" max="8958" width="9.140625" style="202"/>
    <col min="8959" max="8959" width="14" style="202" customWidth="1"/>
    <col min="8960" max="8960" width="2" style="202" customWidth="1"/>
    <col min="8961" max="8961" width="11.85546875" style="202" customWidth="1"/>
    <col min="8962" max="8962" width="13.5703125" style="202" customWidth="1"/>
    <col min="8963" max="8964" width="13.85546875" style="202" customWidth="1"/>
    <col min="8965" max="8966" width="14.85546875" style="202" customWidth="1"/>
    <col min="8967" max="8967" width="8.85546875" style="202" customWidth="1"/>
    <col min="8968" max="8968" width="12.5703125" style="202" customWidth="1"/>
    <col min="8969" max="8970" width="13" style="202" customWidth="1"/>
    <col min="8971" max="9214" width="9.140625" style="202"/>
    <col min="9215" max="9215" width="14" style="202" customWidth="1"/>
    <col min="9216" max="9216" width="2" style="202" customWidth="1"/>
    <col min="9217" max="9217" width="11.85546875" style="202" customWidth="1"/>
    <col min="9218" max="9218" width="13.5703125" style="202" customWidth="1"/>
    <col min="9219" max="9220" width="13.85546875" style="202" customWidth="1"/>
    <col min="9221" max="9222" width="14.85546875" style="202" customWidth="1"/>
    <col min="9223" max="9223" width="8.85546875" style="202" customWidth="1"/>
    <col min="9224" max="9224" width="12.5703125" style="202" customWidth="1"/>
    <col min="9225" max="9226" width="13" style="202" customWidth="1"/>
    <col min="9227" max="9470" width="9.140625" style="202"/>
    <col min="9471" max="9471" width="14" style="202" customWidth="1"/>
    <col min="9472" max="9472" width="2" style="202" customWidth="1"/>
    <col min="9473" max="9473" width="11.85546875" style="202" customWidth="1"/>
    <col min="9474" max="9474" width="13.5703125" style="202" customWidth="1"/>
    <col min="9475" max="9476" width="13.85546875" style="202" customWidth="1"/>
    <col min="9477" max="9478" width="14.85546875" style="202" customWidth="1"/>
    <col min="9479" max="9479" width="8.85546875" style="202" customWidth="1"/>
    <col min="9480" max="9480" width="12.5703125" style="202" customWidth="1"/>
    <col min="9481" max="9482" width="13" style="202" customWidth="1"/>
    <col min="9483" max="9726" width="9.140625" style="202"/>
    <col min="9727" max="9727" width="14" style="202" customWidth="1"/>
    <col min="9728" max="9728" width="2" style="202" customWidth="1"/>
    <col min="9729" max="9729" width="11.85546875" style="202" customWidth="1"/>
    <col min="9730" max="9730" width="13.5703125" style="202" customWidth="1"/>
    <col min="9731" max="9732" width="13.85546875" style="202" customWidth="1"/>
    <col min="9733" max="9734" width="14.85546875" style="202" customWidth="1"/>
    <col min="9735" max="9735" width="8.85546875" style="202" customWidth="1"/>
    <col min="9736" max="9736" width="12.5703125" style="202" customWidth="1"/>
    <col min="9737" max="9738" width="13" style="202" customWidth="1"/>
    <col min="9739" max="9982" width="9.140625" style="202"/>
    <col min="9983" max="9983" width="14" style="202" customWidth="1"/>
    <col min="9984" max="9984" width="2" style="202" customWidth="1"/>
    <col min="9985" max="9985" width="11.85546875" style="202" customWidth="1"/>
    <col min="9986" max="9986" width="13.5703125" style="202" customWidth="1"/>
    <col min="9987" max="9988" width="13.85546875" style="202" customWidth="1"/>
    <col min="9989" max="9990" width="14.85546875" style="202" customWidth="1"/>
    <col min="9991" max="9991" width="8.85546875" style="202" customWidth="1"/>
    <col min="9992" max="9992" width="12.5703125" style="202" customWidth="1"/>
    <col min="9993" max="9994" width="13" style="202" customWidth="1"/>
    <col min="9995" max="10238" width="9.140625" style="202"/>
    <col min="10239" max="10239" width="14" style="202" customWidth="1"/>
    <col min="10240" max="10240" width="2" style="202" customWidth="1"/>
    <col min="10241" max="10241" width="11.85546875" style="202" customWidth="1"/>
    <col min="10242" max="10242" width="13.5703125" style="202" customWidth="1"/>
    <col min="10243" max="10244" width="13.85546875" style="202" customWidth="1"/>
    <col min="10245" max="10246" width="14.85546875" style="202" customWidth="1"/>
    <col min="10247" max="10247" width="8.85546875" style="202" customWidth="1"/>
    <col min="10248" max="10248" width="12.5703125" style="202" customWidth="1"/>
    <col min="10249" max="10250" width="13" style="202" customWidth="1"/>
    <col min="10251" max="10494" width="9.140625" style="202"/>
    <col min="10495" max="10495" width="14" style="202" customWidth="1"/>
    <col min="10496" max="10496" width="2" style="202" customWidth="1"/>
    <col min="10497" max="10497" width="11.85546875" style="202" customWidth="1"/>
    <col min="10498" max="10498" width="13.5703125" style="202" customWidth="1"/>
    <col min="10499" max="10500" width="13.85546875" style="202" customWidth="1"/>
    <col min="10501" max="10502" width="14.85546875" style="202" customWidth="1"/>
    <col min="10503" max="10503" width="8.85546875" style="202" customWidth="1"/>
    <col min="10504" max="10504" width="12.5703125" style="202" customWidth="1"/>
    <col min="10505" max="10506" width="13" style="202" customWidth="1"/>
    <col min="10507" max="10750" width="9.140625" style="202"/>
    <col min="10751" max="10751" width="14" style="202" customWidth="1"/>
    <col min="10752" max="10752" width="2" style="202" customWidth="1"/>
    <col min="10753" max="10753" width="11.85546875" style="202" customWidth="1"/>
    <col min="10754" max="10754" width="13.5703125" style="202" customWidth="1"/>
    <col min="10755" max="10756" width="13.85546875" style="202" customWidth="1"/>
    <col min="10757" max="10758" width="14.85546875" style="202" customWidth="1"/>
    <col min="10759" max="10759" width="8.85546875" style="202" customWidth="1"/>
    <col min="10760" max="10760" width="12.5703125" style="202" customWidth="1"/>
    <col min="10761" max="10762" width="13" style="202" customWidth="1"/>
    <col min="10763" max="11006" width="9.140625" style="202"/>
    <col min="11007" max="11007" width="14" style="202" customWidth="1"/>
    <col min="11008" max="11008" width="2" style="202" customWidth="1"/>
    <col min="11009" max="11009" width="11.85546875" style="202" customWidth="1"/>
    <col min="11010" max="11010" width="13.5703125" style="202" customWidth="1"/>
    <col min="11011" max="11012" width="13.85546875" style="202" customWidth="1"/>
    <col min="11013" max="11014" width="14.85546875" style="202" customWidth="1"/>
    <col min="11015" max="11015" width="8.85546875" style="202" customWidth="1"/>
    <col min="11016" max="11016" width="12.5703125" style="202" customWidth="1"/>
    <col min="11017" max="11018" width="13" style="202" customWidth="1"/>
    <col min="11019" max="11262" width="9.140625" style="202"/>
    <col min="11263" max="11263" width="14" style="202" customWidth="1"/>
    <col min="11264" max="11264" width="2" style="202" customWidth="1"/>
    <col min="11265" max="11265" width="11.85546875" style="202" customWidth="1"/>
    <col min="11266" max="11266" width="13.5703125" style="202" customWidth="1"/>
    <col min="11267" max="11268" width="13.85546875" style="202" customWidth="1"/>
    <col min="11269" max="11270" width="14.85546875" style="202" customWidth="1"/>
    <col min="11271" max="11271" width="8.85546875" style="202" customWidth="1"/>
    <col min="11272" max="11272" width="12.5703125" style="202" customWidth="1"/>
    <col min="11273" max="11274" width="13" style="202" customWidth="1"/>
    <col min="11275" max="11518" width="9.140625" style="202"/>
    <col min="11519" max="11519" width="14" style="202" customWidth="1"/>
    <col min="11520" max="11520" width="2" style="202" customWidth="1"/>
    <col min="11521" max="11521" width="11.85546875" style="202" customWidth="1"/>
    <col min="11522" max="11522" width="13.5703125" style="202" customWidth="1"/>
    <col min="11523" max="11524" width="13.85546875" style="202" customWidth="1"/>
    <col min="11525" max="11526" width="14.85546875" style="202" customWidth="1"/>
    <col min="11527" max="11527" width="8.85546875" style="202" customWidth="1"/>
    <col min="11528" max="11528" width="12.5703125" style="202" customWidth="1"/>
    <col min="11529" max="11530" width="13" style="202" customWidth="1"/>
    <col min="11531" max="11774" width="9.140625" style="202"/>
    <col min="11775" max="11775" width="14" style="202" customWidth="1"/>
    <col min="11776" max="11776" width="2" style="202" customWidth="1"/>
    <col min="11777" max="11777" width="11.85546875" style="202" customWidth="1"/>
    <col min="11778" max="11778" width="13.5703125" style="202" customWidth="1"/>
    <col min="11779" max="11780" width="13.85546875" style="202" customWidth="1"/>
    <col min="11781" max="11782" width="14.85546875" style="202" customWidth="1"/>
    <col min="11783" max="11783" width="8.85546875" style="202" customWidth="1"/>
    <col min="11784" max="11784" width="12.5703125" style="202" customWidth="1"/>
    <col min="11785" max="11786" width="13" style="202" customWidth="1"/>
    <col min="11787" max="12030" width="9.140625" style="202"/>
    <col min="12031" max="12031" width="14" style="202" customWidth="1"/>
    <col min="12032" max="12032" width="2" style="202" customWidth="1"/>
    <col min="12033" max="12033" width="11.85546875" style="202" customWidth="1"/>
    <col min="12034" max="12034" width="13.5703125" style="202" customWidth="1"/>
    <col min="12035" max="12036" width="13.85546875" style="202" customWidth="1"/>
    <col min="12037" max="12038" width="14.85546875" style="202" customWidth="1"/>
    <col min="12039" max="12039" width="8.85546875" style="202" customWidth="1"/>
    <col min="12040" max="12040" width="12.5703125" style="202" customWidth="1"/>
    <col min="12041" max="12042" width="13" style="202" customWidth="1"/>
    <col min="12043" max="12286" width="9.140625" style="202"/>
    <col min="12287" max="12287" width="14" style="202" customWidth="1"/>
    <col min="12288" max="12288" width="2" style="202" customWidth="1"/>
    <col min="12289" max="12289" width="11.85546875" style="202" customWidth="1"/>
    <col min="12290" max="12290" width="13.5703125" style="202" customWidth="1"/>
    <col min="12291" max="12292" width="13.85546875" style="202" customWidth="1"/>
    <col min="12293" max="12294" width="14.85546875" style="202" customWidth="1"/>
    <col min="12295" max="12295" width="8.85546875" style="202" customWidth="1"/>
    <col min="12296" max="12296" width="12.5703125" style="202" customWidth="1"/>
    <col min="12297" max="12298" width="13" style="202" customWidth="1"/>
    <col min="12299" max="12542" width="9.140625" style="202"/>
    <col min="12543" max="12543" width="14" style="202" customWidth="1"/>
    <col min="12544" max="12544" width="2" style="202" customWidth="1"/>
    <col min="12545" max="12545" width="11.85546875" style="202" customWidth="1"/>
    <col min="12546" max="12546" width="13.5703125" style="202" customWidth="1"/>
    <col min="12547" max="12548" width="13.85546875" style="202" customWidth="1"/>
    <col min="12549" max="12550" width="14.85546875" style="202" customWidth="1"/>
    <col min="12551" max="12551" width="8.85546875" style="202" customWidth="1"/>
    <col min="12552" max="12552" width="12.5703125" style="202" customWidth="1"/>
    <col min="12553" max="12554" width="13" style="202" customWidth="1"/>
    <col min="12555" max="12798" width="9.140625" style="202"/>
    <col min="12799" max="12799" width="14" style="202" customWidth="1"/>
    <col min="12800" max="12800" width="2" style="202" customWidth="1"/>
    <col min="12801" max="12801" width="11.85546875" style="202" customWidth="1"/>
    <col min="12802" max="12802" width="13.5703125" style="202" customWidth="1"/>
    <col min="12803" max="12804" width="13.85546875" style="202" customWidth="1"/>
    <col min="12805" max="12806" width="14.85546875" style="202" customWidth="1"/>
    <col min="12807" max="12807" width="8.85546875" style="202" customWidth="1"/>
    <col min="12808" max="12808" width="12.5703125" style="202" customWidth="1"/>
    <col min="12809" max="12810" width="13" style="202" customWidth="1"/>
    <col min="12811" max="13054" width="9.140625" style="202"/>
    <col min="13055" max="13055" width="14" style="202" customWidth="1"/>
    <col min="13056" max="13056" width="2" style="202" customWidth="1"/>
    <col min="13057" max="13057" width="11.85546875" style="202" customWidth="1"/>
    <col min="13058" max="13058" width="13.5703125" style="202" customWidth="1"/>
    <col min="13059" max="13060" width="13.85546875" style="202" customWidth="1"/>
    <col min="13061" max="13062" width="14.85546875" style="202" customWidth="1"/>
    <col min="13063" max="13063" width="8.85546875" style="202" customWidth="1"/>
    <col min="13064" max="13064" width="12.5703125" style="202" customWidth="1"/>
    <col min="13065" max="13066" width="13" style="202" customWidth="1"/>
    <col min="13067" max="13310" width="9.140625" style="202"/>
    <col min="13311" max="13311" width="14" style="202" customWidth="1"/>
    <col min="13312" max="13312" width="2" style="202" customWidth="1"/>
    <col min="13313" max="13313" width="11.85546875" style="202" customWidth="1"/>
    <col min="13314" max="13314" width="13.5703125" style="202" customWidth="1"/>
    <col min="13315" max="13316" width="13.85546875" style="202" customWidth="1"/>
    <col min="13317" max="13318" width="14.85546875" style="202" customWidth="1"/>
    <col min="13319" max="13319" width="8.85546875" style="202" customWidth="1"/>
    <col min="13320" max="13320" width="12.5703125" style="202" customWidth="1"/>
    <col min="13321" max="13322" width="13" style="202" customWidth="1"/>
    <col min="13323" max="13566" width="9.140625" style="202"/>
    <col min="13567" max="13567" width="14" style="202" customWidth="1"/>
    <col min="13568" max="13568" width="2" style="202" customWidth="1"/>
    <col min="13569" max="13569" width="11.85546875" style="202" customWidth="1"/>
    <col min="13570" max="13570" width="13.5703125" style="202" customWidth="1"/>
    <col min="13571" max="13572" width="13.85546875" style="202" customWidth="1"/>
    <col min="13573" max="13574" width="14.85546875" style="202" customWidth="1"/>
    <col min="13575" max="13575" width="8.85546875" style="202" customWidth="1"/>
    <col min="13576" max="13576" width="12.5703125" style="202" customWidth="1"/>
    <col min="13577" max="13578" width="13" style="202" customWidth="1"/>
    <col min="13579" max="13822" width="9.140625" style="202"/>
    <col min="13823" max="13823" width="14" style="202" customWidth="1"/>
    <col min="13824" max="13824" width="2" style="202" customWidth="1"/>
    <col min="13825" max="13825" width="11.85546875" style="202" customWidth="1"/>
    <col min="13826" max="13826" width="13.5703125" style="202" customWidth="1"/>
    <col min="13827" max="13828" width="13.85546875" style="202" customWidth="1"/>
    <col min="13829" max="13830" width="14.85546875" style="202" customWidth="1"/>
    <col min="13831" max="13831" width="8.85546875" style="202" customWidth="1"/>
    <col min="13832" max="13832" width="12.5703125" style="202" customWidth="1"/>
    <col min="13833" max="13834" width="13" style="202" customWidth="1"/>
    <col min="13835" max="14078" width="9.140625" style="202"/>
    <col min="14079" max="14079" width="14" style="202" customWidth="1"/>
    <col min="14080" max="14080" width="2" style="202" customWidth="1"/>
    <col min="14081" max="14081" width="11.85546875" style="202" customWidth="1"/>
    <col min="14082" max="14082" width="13.5703125" style="202" customWidth="1"/>
    <col min="14083" max="14084" width="13.85546875" style="202" customWidth="1"/>
    <col min="14085" max="14086" width="14.85546875" style="202" customWidth="1"/>
    <col min="14087" max="14087" width="8.85546875" style="202" customWidth="1"/>
    <col min="14088" max="14088" width="12.5703125" style="202" customWidth="1"/>
    <col min="14089" max="14090" width="13" style="202" customWidth="1"/>
    <col min="14091" max="14334" width="9.140625" style="202"/>
    <col min="14335" max="14335" width="14" style="202" customWidth="1"/>
    <col min="14336" max="14336" width="2" style="202" customWidth="1"/>
    <col min="14337" max="14337" width="11.85546875" style="202" customWidth="1"/>
    <col min="14338" max="14338" width="13.5703125" style="202" customWidth="1"/>
    <col min="14339" max="14340" width="13.85546875" style="202" customWidth="1"/>
    <col min="14341" max="14342" width="14.85546875" style="202" customWidth="1"/>
    <col min="14343" max="14343" width="8.85546875" style="202" customWidth="1"/>
    <col min="14344" max="14344" width="12.5703125" style="202" customWidth="1"/>
    <col min="14345" max="14346" width="13" style="202" customWidth="1"/>
    <col min="14347" max="14590" width="9.140625" style="202"/>
    <col min="14591" max="14591" width="14" style="202" customWidth="1"/>
    <col min="14592" max="14592" width="2" style="202" customWidth="1"/>
    <col min="14593" max="14593" width="11.85546875" style="202" customWidth="1"/>
    <col min="14594" max="14594" width="13.5703125" style="202" customWidth="1"/>
    <col min="14595" max="14596" width="13.85546875" style="202" customWidth="1"/>
    <col min="14597" max="14598" width="14.85546875" style="202" customWidth="1"/>
    <col min="14599" max="14599" width="8.85546875" style="202" customWidth="1"/>
    <col min="14600" max="14600" width="12.5703125" style="202" customWidth="1"/>
    <col min="14601" max="14602" width="13" style="202" customWidth="1"/>
    <col min="14603" max="14846" width="9.140625" style="202"/>
    <col min="14847" max="14847" width="14" style="202" customWidth="1"/>
    <col min="14848" max="14848" width="2" style="202" customWidth="1"/>
    <col min="14849" max="14849" width="11.85546875" style="202" customWidth="1"/>
    <col min="14850" max="14850" width="13.5703125" style="202" customWidth="1"/>
    <col min="14851" max="14852" width="13.85546875" style="202" customWidth="1"/>
    <col min="14853" max="14854" width="14.85546875" style="202" customWidth="1"/>
    <col min="14855" max="14855" width="8.85546875" style="202" customWidth="1"/>
    <col min="14856" max="14856" width="12.5703125" style="202" customWidth="1"/>
    <col min="14857" max="14858" width="13" style="202" customWidth="1"/>
    <col min="14859" max="15102" width="9.140625" style="202"/>
    <col min="15103" max="15103" width="14" style="202" customWidth="1"/>
    <col min="15104" max="15104" width="2" style="202" customWidth="1"/>
    <col min="15105" max="15105" width="11.85546875" style="202" customWidth="1"/>
    <col min="15106" max="15106" width="13.5703125" style="202" customWidth="1"/>
    <col min="15107" max="15108" width="13.85546875" style="202" customWidth="1"/>
    <col min="15109" max="15110" width="14.85546875" style="202" customWidth="1"/>
    <col min="15111" max="15111" width="8.85546875" style="202" customWidth="1"/>
    <col min="15112" max="15112" width="12.5703125" style="202" customWidth="1"/>
    <col min="15113" max="15114" width="13" style="202" customWidth="1"/>
    <col min="15115" max="15358" width="9.140625" style="202"/>
    <col min="15359" max="15359" width="14" style="202" customWidth="1"/>
    <col min="15360" max="15360" width="2" style="202" customWidth="1"/>
    <col min="15361" max="15361" width="11.85546875" style="202" customWidth="1"/>
    <col min="15362" max="15362" width="13.5703125" style="202" customWidth="1"/>
    <col min="15363" max="15364" width="13.85546875" style="202" customWidth="1"/>
    <col min="15365" max="15366" width="14.85546875" style="202" customWidth="1"/>
    <col min="15367" max="15367" width="8.85546875" style="202" customWidth="1"/>
    <col min="15368" max="15368" width="12.5703125" style="202" customWidth="1"/>
    <col min="15369" max="15370" width="13" style="202" customWidth="1"/>
    <col min="15371" max="15614" width="9.140625" style="202"/>
    <col min="15615" max="15615" width="14" style="202" customWidth="1"/>
    <col min="15616" max="15616" width="2" style="202" customWidth="1"/>
    <col min="15617" max="15617" width="11.85546875" style="202" customWidth="1"/>
    <col min="15618" max="15618" width="13.5703125" style="202" customWidth="1"/>
    <col min="15619" max="15620" width="13.85546875" style="202" customWidth="1"/>
    <col min="15621" max="15622" width="14.85546875" style="202" customWidth="1"/>
    <col min="15623" max="15623" width="8.85546875" style="202" customWidth="1"/>
    <col min="15624" max="15624" width="12.5703125" style="202" customWidth="1"/>
    <col min="15625" max="15626" width="13" style="202" customWidth="1"/>
    <col min="15627" max="15870" width="9.140625" style="202"/>
    <col min="15871" max="15871" width="14" style="202" customWidth="1"/>
    <col min="15872" max="15872" width="2" style="202" customWidth="1"/>
    <col min="15873" max="15873" width="11.85546875" style="202" customWidth="1"/>
    <col min="15874" max="15874" width="13.5703125" style="202" customWidth="1"/>
    <col min="15875" max="15876" width="13.85546875" style="202" customWidth="1"/>
    <col min="15877" max="15878" width="14.85546875" style="202" customWidth="1"/>
    <col min="15879" max="15879" width="8.85546875" style="202" customWidth="1"/>
    <col min="15880" max="15880" width="12.5703125" style="202" customWidth="1"/>
    <col min="15881" max="15882" width="13" style="202" customWidth="1"/>
    <col min="15883" max="16126" width="9.140625" style="202"/>
    <col min="16127" max="16127" width="14" style="202" customWidth="1"/>
    <col min="16128" max="16128" width="2" style="202" customWidth="1"/>
    <col min="16129" max="16129" width="11.85546875" style="202" customWidth="1"/>
    <col min="16130" max="16130" width="13.5703125" style="202" customWidth="1"/>
    <col min="16131" max="16132" width="13.85546875" style="202" customWidth="1"/>
    <col min="16133" max="16134" width="14.85546875" style="202" customWidth="1"/>
    <col min="16135" max="16135" width="8.85546875" style="202" customWidth="1"/>
    <col min="16136" max="16136" width="12.5703125" style="202" customWidth="1"/>
    <col min="16137" max="16138" width="13" style="202" customWidth="1"/>
    <col min="16139" max="16384" width="9.140625" style="202"/>
  </cols>
  <sheetData>
    <row r="1" spans="1:10" ht="10.5" customHeight="1" thickBot="1" x14ac:dyDescent="0.45">
      <c r="A1" s="200"/>
      <c r="B1" s="327"/>
      <c r="C1" s="200"/>
      <c r="D1" s="201"/>
      <c r="E1" s="200"/>
      <c r="F1" s="200"/>
      <c r="G1" s="328"/>
      <c r="H1" s="328"/>
      <c r="I1" s="219"/>
      <c r="J1" s="219"/>
    </row>
    <row r="2" spans="1:10" ht="35.25" customHeight="1" thickBot="1" x14ac:dyDescent="0.3">
      <c r="A2" s="203" t="s">
        <v>101</v>
      </c>
      <c r="B2" s="327"/>
      <c r="C2" s="329" t="s">
        <v>102</v>
      </c>
      <c r="D2" s="330"/>
      <c r="E2" s="331" t="s">
        <v>103</v>
      </c>
      <c r="F2" s="331"/>
      <c r="G2" s="332" t="s">
        <v>104</v>
      </c>
      <c r="H2" s="333"/>
      <c r="I2" s="222"/>
      <c r="J2" s="222"/>
    </row>
    <row r="3" spans="1:10" ht="44.25" customHeight="1" x14ac:dyDescent="0.25">
      <c r="A3" s="204" t="s">
        <v>39</v>
      </c>
      <c r="B3" s="327"/>
      <c r="C3" s="205" t="s">
        <v>105</v>
      </c>
      <c r="D3" s="206" t="s">
        <v>106</v>
      </c>
      <c r="E3" s="207" t="s">
        <v>107</v>
      </c>
      <c r="F3" s="207" t="s">
        <v>108</v>
      </c>
      <c r="G3" s="207" t="s">
        <v>109</v>
      </c>
      <c r="H3" s="208" t="s">
        <v>110</v>
      </c>
      <c r="I3" s="223" t="s">
        <v>111</v>
      </c>
      <c r="J3" s="223" t="s">
        <v>112</v>
      </c>
    </row>
    <row r="4" spans="1:10" s="214" customFormat="1" ht="35.25" customHeight="1" x14ac:dyDescent="0.25">
      <c r="A4" s="209">
        <v>44316</v>
      </c>
      <c r="B4" s="327"/>
      <c r="C4" s="210">
        <f>SUM('GENSET #1'!B10+'GENSET #2'!B10+'GENSET #3'!B10+'GENSET #4'!B10+'GENSET #5'!B10)</f>
        <v>89581707</v>
      </c>
      <c r="D4" s="211">
        <v>30577</v>
      </c>
      <c r="E4" s="212">
        <f>'Gas-2'!G5</f>
        <v>0</v>
      </c>
      <c r="F4" s="213">
        <v>90</v>
      </c>
      <c r="G4" s="212">
        <f>SUM(WATER!G6,WATER!L6,WATER!Q6,WATER!B6)</f>
        <v>946438</v>
      </c>
      <c r="H4" s="214">
        <v>423</v>
      </c>
      <c r="I4" s="215"/>
      <c r="J4" s="215"/>
    </row>
    <row r="5" spans="1:10" ht="33" customHeight="1" x14ac:dyDescent="0.25">
      <c r="A5" s="216">
        <f>A4+1</f>
        <v>44317</v>
      </c>
      <c r="B5" s="327"/>
      <c r="C5" s="210">
        <f>SUM('GENSET #1'!C10+'GENSET #2'!C10+'GENSET #3'!C10+'GENSET #4'!C10+'GENSET #5'!C10)</f>
        <v>89611840</v>
      </c>
      <c r="D5" s="217">
        <f>IF((C5-C4&lt;0), "0",C5-C4)</f>
        <v>30133</v>
      </c>
      <c r="E5" s="210">
        <f>'Gas-2'!G6</f>
        <v>225</v>
      </c>
      <c r="F5" s="217">
        <f>IF((E5-E4&lt;0), "0",E5-E4)</f>
        <v>225</v>
      </c>
      <c r="G5" s="218">
        <f>SUM(WATER!C6,WATER!H6,WATER!M6,WATER!R6)</f>
        <v>946813</v>
      </c>
      <c r="H5" s="217">
        <v>418</v>
      </c>
      <c r="I5" s="219">
        <v>45</v>
      </c>
      <c r="J5" s="219">
        <v>318</v>
      </c>
    </row>
    <row r="6" spans="1:10" ht="45" customHeight="1" x14ac:dyDescent="0.25">
      <c r="A6" s="216">
        <f t="shared" ref="A6:A34" si="0">A5+1</f>
        <v>44318</v>
      </c>
      <c r="B6" s="327"/>
      <c r="C6" s="210">
        <f>SUM('GENSET #1'!C11+'GENSET #2'!C11+'GENSET #3'!C11+'GENSET #4'!C11+'GENSET #5'!C11)</f>
        <v>89643237</v>
      </c>
      <c r="D6" s="217">
        <f>IF((C6-C5&lt;0), "0",C6-C5)</f>
        <v>31397</v>
      </c>
      <c r="E6" s="210">
        <f>'Gas-2'!G7</f>
        <v>180</v>
      </c>
      <c r="F6" s="217" t="str">
        <f t="shared" ref="F6:F35" si="1">IF((E6-E5&lt;0), "0",E6-E5)</f>
        <v>0</v>
      </c>
      <c r="G6" s="218">
        <f>SUM(WATER!C7,WATER!H7,WATER!M7,WATER!R7)</f>
        <v>947174</v>
      </c>
      <c r="H6" s="217">
        <f t="shared" ref="H6:H35" si="2">IF((G6-G5&lt;0), "0",G6-G5)</f>
        <v>361</v>
      </c>
      <c r="I6" s="219">
        <v>48</v>
      </c>
      <c r="J6" s="219">
        <v>391</v>
      </c>
    </row>
    <row r="7" spans="1:10" ht="45" customHeight="1" x14ac:dyDescent="0.25">
      <c r="A7" s="216">
        <f t="shared" si="0"/>
        <v>44319</v>
      </c>
      <c r="B7" s="327"/>
      <c r="C7" s="210">
        <f>SUM('GENSET #1'!C12+'GENSET #2'!C12+'GENSET #3'!C12+'GENSET #4'!C12+'GENSET #5'!C12)</f>
        <v>89673384</v>
      </c>
      <c r="D7" s="217">
        <f t="shared" ref="D7:D22" si="3">IF((C7-C6&lt;0), "0",C7-C6)</f>
        <v>30147</v>
      </c>
      <c r="E7" s="210">
        <f>'Gas-2'!G8</f>
        <v>270</v>
      </c>
      <c r="F7" s="217">
        <f t="shared" si="1"/>
        <v>90</v>
      </c>
      <c r="G7" s="218">
        <f>SUM(WATER!C8,WATER!H8,WATER!M8,WATER!R8)</f>
        <v>947559</v>
      </c>
      <c r="H7" s="217">
        <f t="shared" si="2"/>
        <v>385</v>
      </c>
      <c r="I7" s="219">
        <v>34</v>
      </c>
      <c r="J7" s="219">
        <v>252</v>
      </c>
    </row>
    <row r="8" spans="1:10" ht="45" customHeight="1" x14ac:dyDescent="0.25">
      <c r="A8" s="216">
        <f t="shared" si="0"/>
        <v>44320</v>
      </c>
      <c r="B8" s="327"/>
      <c r="C8" s="210">
        <f>SUM('GENSET #1'!C13+'GENSET #2'!C13+'GENSET #3'!C13+'GENSET #4'!C13+'GENSET #5'!C13)</f>
        <v>89702188</v>
      </c>
      <c r="D8" s="217">
        <f t="shared" si="3"/>
        <v>28804</v>
      </c>
      <c r="E8" s="210">
        <f>'Gas-2'!G9</f>
        <v>315</v>
      </c>
      <c r="F8" s="217">
        <f t="shared" si="1"/>
        <v>45</v>
      </c>
      <c r="G8" s="218">
        <f>SUM(WATER!C9,WATER!H9,WATER!M9,WATER!R9)</f>
        <v>947927</v>
      </c>
      <c r="H8" s="217">
        <f t="shared" si="2"/>
        <v>368</v>
      </c>
      <c r="I8" s="219">
        <v>54</v>
      </c>
      <c r="J8" s="219">
        <v>379</v>
      </c>
    </row>
    <row r="9" spans="1:10" ht="45" customHeight="1" x14ac:dyDescent="0.25">
      <c r="A9" s="216">
        <f t="shared" si="0"/>
        <v>44321</v>
      </c>
      <c r="B9" s="327"/>
      <c r="C9" s="210">
        <f>SUM('GENSET #1'!C14+'GENSET #2'!C14+'GENSET #3'!C14+'GENSET #4'!C14+'GENSET #5'!C14)</f>
        <v>89732553</v>
      </c>
      <c r="D9" s="217">
        <f t="shared" si="3"/>
        <v>30365</v>
      </c>
      <c r="E9" s="210">
        <f>'Gas-2'!G10</f>
        <v>270</v>
      </c>
      <c r="F9" s="217" t="str">
        <f t="shared" si="1"/>
        <v>0</v>
      </c>
      <c r="G9" s="218">
        <f>SUM(WATER!C10,WATER!H10,WATER!M10,WATER!R10)</f>
        <v>948283</v>
      </c>
      <c r="H9" s="217">
        <f t="shared" si="2"/>
        <v>356</v>
      </c>
      <c r="I9" s="219">
        <v>53</v>
      </c>
      <c r="J9" s="219">
        <v>402</v>
      </c>
    </row>
    <row r="10" spans="1:10" ht="45" customHeight="1" x14ac:dyDescent="0.25">
      <c r="A10" s="216">
        <f t="shared" si="0"/>
        <v>44322</v>
      </c>
      <c r="B10" s="327"/>
      <c r="C10" s="210">
        <f>SUM('GENSET #1'!C15+'GENSET #2'!C15+'GENSET #3'!C15+'GENSET #4'!C15+'GENSET #5'!C15)</f>
        <v>89762453</v>
      </c>
      <c r="D10" s="217">
        <f t="shared" si="3"/>
        <v>29900</v>
      </c>
      <c r="E10" s="210">
        <f>'Gas-2'!G11</f>
        <v>270</v>
      </c>
      <c r="F10" s="217">
        <f t="shared" si="1"/>
        <v>0</v>
      </c>
      <c r="G10" s="218">
        <f>SUM(WATER!C11,WATER!H11,WATER!M11,WATER!R11)</f>
        <v>948662</v>
      </c>
      <c r="H10" s="217">
        <f t="shared" si="2"/>
        <v>379</v>
      </c>
      <c r="I10" s="219">
        <v>45</v>
      </c>
      <c r="J10" s="219">
        <v>427</v>
      </c>
    </row>
    <row r="11" spans="1:10" ht="45" customHeight="1" x14ac:dyDescent="0.25">
      <c r="A11" s="216">
        <f t="shared" si="0"/>
        <v>44323</v>
      </c>
      <c r="B11" s="327"/>
      <c r="C11" s="210">
        <f>SUM('GENSET #1'!C16+'GENSET #2'!C16+'GENSET #3'!C16+'GENSET #4'!C16+'GENSET #5'!C16)</f>
        <v>89793040</v>
      </c>
      <c r="D11" s="217">
        <f t="shared" si="3"/>
        <v>30587</v>
      </c>
      <c r="E11" s="210">
        <f>'Gas-2'!G12</f>
        <v>270</v>
      </c>
      <c r="F11" s="217">
        <f t="shared" si="1"/>
        <v>0</v>
      </c>
      <c r="G11" s="218">
        <f>SUM(WATER!C12,WATER!H12,WATER!M12,WATER!R12)</f>
        <v>949079</v>
      </c>
      <c r="H11" s="217">
        <f t="shared" si="2"/>
        <v>417</v>
      </c>
      <c r="I11" s="219">
        <v>48</v>
      </c>
      <c r="J11" s="219">
        <v>376</v>
      </c>
    </row>
    <row r="12" spans="1:10" ht="45" customHeight="1" x14ac:dyDescent="0.25">
      <c r="A12" s="216">
        <f t="shared" si="0"/>
        <v>44324</v>
      </c>
      <c r="B12" s="327"/>
      <c r="C12" s="210">
        <f>SUM('GENSET #1'!C17+'GENSET #2'!C17+'GENSET #3'!C17+'GENSET #4'!C17+'GENSET #5'!C17)</f>
        <v>89823259</v>
      </c>
      <c r="D12" s="217">
        <f t="shared" si="3"/>
        <v>30219</v>
      </c>
      <c r="E12" s="210">
        <f>'Gas-2'!G13</f>
        <v>315</v>
      </c>
      <c r="F12" s="217">
        <f t="shared" si="1"/>
        <v>45</v>
      </c>
      <c r="G12" s="218">
        <f>SUM(WATER!C13,WATER!H13,WATER!M13,WATER!R13)</f>
        <v>949469</v>
      </c>
      <c r="H12" s="217">
        <f t="shared" si="2"/>
        <v>390</v>
      </c>
      <c r="I12" s="219">
        <v>47</v>
      </c>
      <c r="J12" s="219">
        <v>351</v>
      </c>
    </row>
    <row r="13" spans="1:10" ht="45" customHeight="1" x14ac:dyDescent="0.25">
      <c r="A13" s="216">
        <f t="shared" si="0"/>
        <v>44325</v>
      </c>
      <c r="B13" s="327"/>
      <c r="C13" s="210">
        <f>SUM('GENSET #1'!C18+'GENSET #2'!C18+'GENSET #3'!C18+'GENSET #4'!C18+'GENSET #5'!C18)</f>
        <v>89853449</v>
      </c>
      <c r="D13" s="217">
        <f t="shared" si="3"/>
        <v>30190</v>
      </c>
      <c r="E13" s="210">
        <f>'Gas-2'!G14</f>
        <v>315</v>
      </c>
      <c r="F13" s="217">
        <f t="shared" si="1"/>
        <v>0</v>
      </c>
      <c r="G13" s="218">
        <f>SUM(WATER!C14,WATER!H14,WATER!M14,WATER!R14)</f>
        <v>949850</v>
      </c>
      <c r="H13" s="217">
        <f t="shared" si="2"/>
        <v>381</v>
      </c>
      <c r="I13" s="219">
        <v>47</v>
      </c>
      <c r="J13" s="219">
        <v>391</v>
      </c>
    </row>
    <row r="14" spans="1:10" ht="45" customHeight="1" x14ac:dyDescent="0.25">
      <c r="A14" s="216">
        <f t="shared" si="0"/>
        <v>44326</v>
      </c>
      <c r="B14" s="327"/>
      <c r="C14" s="210">
        <f>SUM('GENSET #1'!C19+'GENSET #2'!C19+'GENSET #3'!C19+'GENSET #4'!C19+'GENSET #5'!C19)</f>
        <v>89883456</v>
      </c>
      <c r="D14" s="217">
        <f t="shared" si="3"/>
        <v>30007</v>
      </c>
      <c r="E14" s="210">
        <f>'Gas-2'!G15</f>
        <v>270</v>
      </c>
      <c r="F14" s="217" t="str">
        <f t="shared" si="1"/>
        <v>0</v>
      </c>
      <c r="G14" s="218">
        <f>SUM(WATER!C15,WATER!H15,WATER!M15,WATER!R15)</f>
        <v>950203</v>
      </c>
      <c r="H14" s="217">
        <f t="shared" si="2"/>
        <v>353</v>
      </c>
      <c r="I14" s="219">
        <v>46</v>
      </c>
      <c r="J14" s="219">
        <v>342</v>
      </c>
    </row>
    <row r="15" spans="1:10" ht="45" customHeight="1" x14ac:dyDescent="0.25">
      <c r="A15" s="216">
        <f t="shared" si="0"/>
        <v>44327</v>
      </c>
      <c r="B15" s="327"/>
      <c r="C15" s="210">
        <f>SUM('GENSET #1'!C20+'GENSET #2'!C20+'GENSET #3'!C20+'GENSET #4'!C20+'GENSET #5'!C20)</f>
        <v>89912830</v>
      </c>
      <c r="D15" s="217">
        <f t="shared" si="3"/>
        <v>29374</v>
      </c>
      <c r="E15" s="210">
        <f>'Gas-2'!G16</f>
        <v>270</v>
      </c>
      <c r="F15" s="217">
        <f t="shared" si="1"/>
        <v>0</v>
      </c>
      <c r="G15" s="218">
        <f>SUM(WATER!C16,WATER!H16,WATER!M16,WATER!R16)</f>
        <v>950590</v>
      </c>
      <c r="H15" s="217">
        <f t="shared" si="2"/>
        <v>387</v>
      </c>
      <c r="I15" s="219">
        <v>46</v>
      </c>
      <c r="J15" s="219">
        <v>343</v>
      </c>
    </row>
    <row r="16" spans="1:10" ht="45" customHeight="1" x14ac:dyDescent="0.25">
      <c r="A16" s="216">
        <f t="shared" si="0"/>
        <v>44328</v>
      </c>
      <c r="B16" s="327"/>
      <c r="C16" s="210">
        <f>SUM('GENSET #1'!C21+'GENSET #2'!C21+'GENSET #3'!C21+'GENSET #4'!C21+'GENSET #5'!C21)</f>
        <v>89941892</v>
      </c>
      <c r="D16" s="217">
        <f t="shared" si="3"/>
        <v>29062</v>
      </c>
      <c r="E16" s="210">
        <f>'Gas-2'!G17</f>
        <v>225</v>
      </c>
      <c r="F16" s="217" t="str">
        <f t="shared" si="1"/>
        <v>0</v>
      </c>
      <c r="G16" s="218">
        <f>SUM(WATER!C17,WATER!H17,WATER!M17,WATER!R17)</f>
        <v>950918</v>
      </c>
      <c r="H16" s="217">
        <f t="shared" si="2"/>
        <v>328</v>
      </c>
      <c r="I16" s="219">
        <v>45</v>
      </c>
      <c r="J16" s="219">
        <v>350</v>
      </c>
    </row>
    <row r="17" spans="1:10" ht="45" customHeight="1" x14ac:dyDescent="0.25">
      <c r="A17" s="216">
        <f t="shared" si="0"/>
        <v>44329</v>
      </c>
      <c r="B17" s="327"/>
      <c r="C17" s="210">
        <f>SUM('GENSET #1'!C22+'GENSET #2'!C22+'GENSET #3'!C22+'GENSET #4'!C22+'GENSET #5'!C22)</f>
        <v>89970068</v>
      </c>
      <c r="D17" s="217">
        <f t="shared" si="3"/>
        <v>28176</v>
      </c>
      <c r="E17" s="210">
        <f>'Gas-2'!G18</f>
        <v>180</v>
      </c>
      <c r="F17" s="217" t="str">
        <f t="shared" si="1"/>
        <v>0</v>
      </c>
      <c r="G17" s="218">
        <f>SUM(WATER!C18,WATER!H18,WATER!M18,WATER!R18)</f>
        <v>951326</v>
      </c>
      <c r="H17" s="217">
        <f t="shared" si="2"/>
        <v>408</v>
      </c>
      <c r="I17" s="219">
        <v>48</v>
      </c>
      <c r="J17" s="219">
        <v>422</v>
      </c>
    </row>
    <row r="18" spans="1:10" ht="45" customHeight="1" x14ac:dyDescent="0.25">
      <c r="A18" s="216">
        <f t="shared" si="0"/>
        <v>44330</v>
      </c>
      <c r="B18" s="327"/>
      <c r="C18" s="210">
        <f>SUM('GENSET #1'!C23+'GENSET #2'!C23+'GENSET #3'!C23+'GENSET #4'!C23+'GENSET #5'!C23)</f>
        <v>89998528</v>
      </c>
      <c r="D18" s="217">
        <f t="shared" si="3"/>
        <v>28460</v>
      </c>
      <c r="E18" s="210">
        <f>'Gas-2'!G19</f>
        <v>270</v>
      </c>
      <c r="F18" s="217">
        <f t="shared" si="1"/>
        <v>90</v>
      </c>
      <c r="G18" s="218">
        <f>SUM(WATER!C19,WATER!H19,WATER!M19,WATER!R19)</f>
        <v>951690</v>
      </c>
      <c r="H18" s="217">
        <f t="shared" si="2"/>
        <v>364</v>
      </c>
      <c r="I18" s="219">
        <v>46</v>
      </c>
      <c r="J18" s="219">
        <v>377</v>
      </c>
    </row>
    <row r="19" spans="1:10" ht="45" customHeight="1" x14ac:dyDescent="0.25">
      <c r="A19" s="216">
        <f t="shared" si="0"/>
        <v>44331</v>
      </c>
      <c r="B19" s="327"/>
      <c r="C19" s="210">
        <f>SUM('GENSET #1'!C24+'GENSET #2'!C24+'GENSET #3'!C24+'GENSET #4'!C24+'GENSET #5'!C24)</f>
        <v>90028259</v>
      </c>
      <c r="D19" s="217">
        <f t="shared" si="3"/>
        <v>29731</v>
      </c>
      <c r="E19" s="210">
        <f>'Gas-2'!G20</f>
        <v>180</v>
      </c>
      <c r="F19" s="217" t="str">
        <f t="shared" si="1"/>
        <v>0</v>
      </c>
      <c r="G19" s="218">
        <f>SUM(WATER!C20,WATER!H20,WATER!M20,WATER!R20)</f>
        <v>952021</v>
      </c>
      <c r="H19" s="217">
        <f t="shared" si="2"/>
        <v>331</v>
      </c>
      <c r="I19" s="219">
        <v>41</v>
      </c>
      <c r="J19" s="219">
        <v>380</v>
      </c>
    </row>
    <row r="20" spans="1:10" ht="45" customHeight="1" x14ac:dyDescent="0.25">
      <c r="A20" s="216">
        <f t="shared" si="0"/>
        <v>44332</v>
      </c>
      <c r="B20" s="327"/>
      <c r="C20" s="210">
        <f>SUM('GENSET #1'!C25+'GENSET #2'!C25+'GENSET #3'!C25+'GENSET #4'!C25+'GENSET #5'!C25)</f>
        <v>90058666</v>
      </c>
      <c r="D20" s="217">
        <f t="shared" si="3"/>
        <v>30407</v>
      </c>
      <c r="E20" s="210">
        <f>'Gas-2'!G21</f>
        <v>315</v>
      </c>
      <c r="F20" s="217">
        <f t="shared" si="1"/>
        <v>135</v>
      </c>
      <c r="G20" s="218">
        <f>SUM(WATER!C21,WATER!H21,WATER!M21,WATER!R21)</f>
        <v>952346</v>
      </c>
      <c r="H20" s="217">
        <f t="shared" si="2"/>
        <v>325</v>
      </c>
      <c r="I20" s="219">
        <v>34</v>
      </c>
      <c r="J20" s="219">
        <v>323</v>
      </c>
    </row>
    <row r="21" spans="1:10" ht="45" customHeight="1" x14ac:dyDescent="0.25">
      <c r="A21" s="216">
        <f t="shared" si="0"/>
        <v>44333</v>
      </c>
      <c r="B21" s="327"/>
      <c r="C21" s="210">
        <f>SUM('GENSET #1'!C26+'GENSET #2'!C26+'GENSET #3'!C26+'GENSET #4'!C26+'GENSET #5'!C26)</f>
        <v>90089600</v>
      </c>
      <c r="D21" s="217">
        <f t="shared" si="3"/>
        <v>30934</v>
      </c>
      <c r="E21" s="210">
        <f>'Gas-2'!G22</f>
        <v>270</v>
      </c>
      <c r="F21" s="217" t="str">
        <f t="shared" si="1"/>
        <v>0</v>
      </c>
      <c r="G21" s="218">
        <f>SUM(WATER!C22,WATER!H22,WATER!M22,WATER!R22)</f>
        <v>952733</v>
      </c>
      <c r="H21" s="217">
        <f t="shared" si="2"/>
        <v>387</v>
      </c>
      <c r="I21" s="219">
        <v>31</v>
      </c>
      <c r="J21" s="219">
        <v>272</v>
      </c>
    </row>
    <row r="22" spans="1:10" ht="45" customHeight="1" x14ac:dyDescent="0.25">
      <c r="A22" s="216">
        <f t="shared" si="0"/>
        <v>44334</v>
      </c>
      <c r="B22" s="327"/>
      <c r="C22" s="210">
        <f>SUM('GENSET #1'!C27+'GENSET #2'!C27+'GENSET #3'!C27+'GENSET #4'!C27+'GENSET #5'!C27)</f>
        <v>90120163</v>
      </c>
      <c r="D22" s="217">
        <f t="shared" si="3"/>
        <v>30563</v>
      </c>
      <c r="E22" s="210">
        <f>'Gas-2'!G23</f>
        <v>270</v>
      </c>
      <c r="F22" s="217">
        <f t="shared" si="1"/>
        <v>0</v>
      </c>
      <c r="G22" s="218">
        <f>SUM(WATER!C23,WATER!H23,WATER!M23,WATER!R23)</f>
        <v>953091</v>
      </c>
      <c r="H22" s="217">
        <f t="shared" si="2"/>
        <v>358</v>
      </c>
      <c r="I22" s="219">
        <v>40</v>
      </c>
      <c r="J22" s="219">
        <v>359</v>
      </c>
    </row>
    <row r="23" spans="1:10" ht="45" customHeight="1" x14ac:dyDescent="0.25">
      <c r="A23" s="216">
        <f t="shared" si="0"/>
        <v>44335</v>
      </c>
      <c r="B23" s="327"/>
      <c r="C23" s="210">
        <f>SUM('GENSET #1'!C28+'GENSET #2'!C28+'GENSET #3'!C28+'GENSET #4'!C28+'GENSET #5'!C28)</f>
        <v>90150529</v>
      </c>
      <c r="D23" s="217">
        <f>IF((C23-C22&lt;0), "0",C23-C22)</f>
        <v>30366</v>
      </c>
      <c r="E23" s="210">
        <f>'Gas-2'!G24</f>
        <v>405</v>
      </c>
      <c r="F23" s="217">
        <f t="shared" si="1"/>
        <v>135</v>
      </c>
      <c r="G23" s="218">
        <f>SUM(WATER!C24,WATER!H24,WATER!M24,WATER!R24)</f>
        <v>953458</v>
      </c>
      <c r="H23" s="217">
        <f t="shared" si="2"/>
        <v>367</v>
      </c>
      <c r="I23" s="219">
        <v>36</v>
      </c>
      <c r="J23" s="219">
        <v>304</v>
      </c>
    </row>
    <row r="24" spans="1:10" ht="45" customHeight="1" x14ac:dyDescent="0.25">
      <c r="A24" s="216">
        <f t="shared" si="0"/>
        <v>44336</v>
      </c>
      <c r="B24" s="327"/>
      <c r="C24" s="210">
        <f>SUM('GENSET #1'!C29+'GENSET #2'!C29+'GENSET #3'!C29+'GENSET #4'!C29+'GENSET #5'!C29)</f>
        <v>90179769</v>
      </c>
      <c r="D24" s="217">
        <f t="shared" ref="D24:D35" si="4">IF((C24-C23&lt;0), "0",C24-C23)</f>
        <v>29240</v>
      </c>
      <c r="E24" s="210">
        <f>'Gas-2'!G25</f>
        <v>0</v>
      </c>
      <c r="F24" s="217" t="str">
        <f t="shared" si="1"/>
        <v>0</v>
      </c>
      <c r="G24" s="218">
        <f>SUM(WATER!C25,WATER!H25,WATER!M25,WATER!R25)</f>
        <v>953814</v>
      </c>
      <c r="H24" s="217">
        <f t="shared" si="2"/>
        <v>356</v>
      </c>
      <c r="I24" s="219"/>
      <c r="J24" s="219"/>
    </row>
    <row r="25" spans="1:10" ht="45" customHeight="1" x14ac:dyDescent="0.25">
      <c r="A25" s="216">
        <f t="shared" si="0"/>
        <v>44337</v>
      </c>
      <c r="B25" s="327"/>
      <c r="C25" s="210">
        <f>SUM('GENSET #1'!C30+'GENSET #2'!C30+'GENSET #3'!C30+'GENSET #4'!C30+'GENSET #5'!C30)</f>
        <v>0</v>
      </c>
      <c r="D25" s="217" t="str">
        <f t="shared" si="4"/>
        <v>0</v>
      </c>
      <c r="E25" s="210">
        <f>'Gas-2'!G26</f>
        <v>0</v>
      </c>
      <c r="F25" s="217">
        <f t="shared" si="1"/>
        <v>0</v>
      </c>
      <c r="G25" s="218">
        <f>SUM(WATER!C26,WATER!H26,WATER!M26,WATER!R26)</f>
        <v>954134</v>
      </c>
      <c r="H25" s="217">
        <f t="shared" si="2"/>
        <v>320</v>
      </c>
      <c r="I25" s="219"/>
      <c r="J25" s="219"/>
    </row>
    <row r="26" spans="1:10" ht="45" customHeight="1" x14ac:dyDescent="0.25">
      <c r="A26" s="216">
        <f t="shared" si="0"/>
        <v>44338</v>
      </c>
      <c r="B26" s="327"/>
      <c r="C26" s="210">
        <f>SUM('GENSET #1'!C31+'GENSET #2'!C31+'GENSET #3'!C31+'GENSET #4'!C31+'GENSET #5'!C31)</f>
        <v>0</v>
      </c>
      <c r="D26" s="217">
        <f t="shared" si="4"/>
        <v>0</v>
      </c>
      <c r="E26" s="210">
        <f>'Gas-2'!G27</f>
        <v>0</v>
      </c>
      <c r="F26" s="217">
        <f t="shared" si="1"/>
        <v>0</v>
      </c>
      <c r="G26" s="218">
        <f>SUM(WATER!C27,WATER!H27,WATER!M27,WATER!R27)</f>
        <v>0</v>
      </c>
      <c r="H26" s="217" t="str">
        <f t="shared" si="2"/>
        <v>0</v>
      </c>
      <c r="I26" s="219"/>
      <c r="J26" s="219"/>
    </row>
    <row r="27" spans="1:10" ht="45" customHeight="1" x14ac:dyDescent="0.25">
      <c r="A27" s="216">
        <f t="shared" si="0"/>
        <v>44339</v>
      </c>
      <c r="B27" s="327"/>
      <c r="C27" s="210">
        <f>SUM('GENSET #1'!C32+'GENSET #2'!C32+'GENSET #3'!C32+'GENSET #4'!C32+'GENSET #5'!C32)</f>
        <v>0</v>
      </c>
      <c r="D27" s="217">
        <f t="shared" si="4"/>
        <v>0</v>
      </c>
      <c r="E27" s="210">
        <f>'Gas-2'!G28</f>
        <v>0</v>
      </c>
      <c r="F27" s="217">
        <f t="shared" si="1"/>
        <v>0</v>
      </c>
      <c r="G27" s="218">
        <f>SUM(WATER!C28,WATER!H28,WATER!M28,WATER!R28)</f>
        <v>0</v>
      </c>
      <c r="H27" s="217">
        <f t="shared" si="2"/>
        <v>0</v>
      </c>
      <c r="I27" s="219"/>
      <c r="J27" s="219"/>
    </row>
    <row r="28" spans="1:10" ht="45" customHeight="1" x14ac:dyDescent="0.25">
      <c r="A28" s="216">
        <f t="shared" si="0"/>
        <v>44340</v>
      </c>
      <c r="B28" s="327"/>
      <c r="C28" s="210">
        <f>SUM('GENSET #1'!C33+'GENSET #2'!C33+'GENSET #3'!C33+'GENSET #4'!C33+'GENSET #5'!C33)</f>
        <v>0</v>
      </c>
      <c r="D28" s="217">
        <f t="shared" si="4"/>
        <v>0</v>
      </c>
      <c r="E28" s="210">
        <f>'Gas-2'!G29</f>
        <v>0</v>
      </c>
      <c r="F28" s="217">
        <f t="shared" si="1"/>
        <v>0</v>
      </c>
      <c r="G28" s="218">
        <f>SUM(WATER!C29,WATER!H29,WATER!M29,WATER!R29)</f>
        <v>0</v>
      </c>
      <c r="H28" s="217">
        <f t="shared" si="2"/>
        <v>0</v>
      </c>
      <c r="I28" s="219"/>
      <c r="J28" s="219"/>
    </row>
    <row r="29" spans="1:10" ht="45" customHeight="1" x14ac:dyDescent="0.25">
      <c r="A29" s="216">
        <f t="shared" si="0"/>
        <v>44341</v>
      </c>
      <c r="B29" s="327"/>
      <c r="C29" s="210">
        <f>SUM('GENSET #1'!C34+'GENSET #2'!C34+'GENSET #3'!C34+'GENSET #4'!C34+'GENSET #5'!C34)</f>
        <v>0</v>
      </c>
      <c r="D29" s="217">
        <f t="shared" si="4"/>
        <v>0</v>
      </c>
      <c r="E29" s="210">
        <f>'Gas-2'!G30</f>
        <v>0</v>
      </c>
      <c r="F29" s="217">
        <f t="shared" si="1"/>
        <v>0</v>
      </c>
      <c r="G29" s="218">
        <f>SUM(WATER!C30,WATER!H30,WATER!M30,WATER!R30)</f>
        <v>0</v>
      </c>
      <c r="H29" s="217">
        <f t="shared" si="2"/>
        <v>0</v>
      </c>
      <c r="I29" s="219"/>
      <c r="J29" s="219"/>
    </row>
    <row r="30" spans="1:10" ht="45" customHeight="1" x14ac:dyDescent="0.25">
      <c r="A30" s="216">
        <f t="shared" si="0"/>
        <v>44342</v>
      </c>
      <c r="B30" s="327"/>
      <c r="C30" s="210">
        <f>SUM('GENSET #1'!C35+'GENSET #2'!C35+'GENSET #3'!C35+'GENSET #4'!C35+'GENSET #5'!C35)</f>
        <v>0</v>
      </c>
      <c r="D30" s="217">
        <f t="shared" si="4"/>
        <v>0</v>
      </c>
      <c r="E30" s="210">
        <f>'Gas-2'!G31</f>
        <v>0</v>
      </c>
      <c r="F30" s="217">
        <f t="shared" si="1"/>
        <v>0</v>
      </c>
      <c r="G30" s="218">
        <f>SUM(WATER!C31,WATER!H31,WATER!M31,WATER!R31)</f>
        <v>0</v>
      </c>
      <c r="H30" s="217">
        <f t="shared" si="2"/>
        <v>0</v>
      </c>
      <c r="I30" s="219"/>
      <c r="J30" s="219"/>
    </row>
    <row r="31" spans="1:10" ht="45" customHeight="1" x14ac:dyDescent="0.25">
      <c r="A31" s="216">
        <f t="shared" si="0"/>
        <v>44343</v>
      </c>
      <c r="B31" s="327"/>
      <c r="C31" s="210">
        <f>SUM('GENSET #1'!C36+'GENSET #2'!C36+'GENSET #3'!C36+'GENSET #4'!C36+'GENSET #5'!C36)</f>
        <v>0</v>
      </c>
      <c r="D31" s="217">
        <f t="shared" si="4"/>
        <v>0</v>
      </c>
      <c r="E31" s="210">
        <f>'Gas-2'!G32</f>
        <v>0</v>
      </c>
      <c r="F31" s="217">
        <f t="shared" si="1"/>
        <v>0</v>
      </c>
      <c r="G31" s="218">
        <f>SUM(WATER!C32,WATER!H32,WATER!M32,WATER!R32)</f>
        <v>0</v>
      </c>
      <c r="H31" s="217">
        <f t="shared" si="2"/>
        <v>0</v>
      </c>
      <c r="I31" s="219"/>
      <c r="J31" s="219"/>
    </row>
    <row r="32" spans="1:10" ht="45" customHeight="1" x14ac:dyDescent="0.25">
      <c r="A32" s="216">
        <f t="shared" si="0"/>
        <v>44344</v>
      </c>
      <c r="B32" s="327"/>
      <c r="C32" s="210">
        <f>SUM('GENSET #1'!C37+'GENSET #2'!C37+'GENSET #3'!C37+'GENSET #4'!C37+'GENSET #5'!C37)</f>
        <v>0</v>
      </c>
      <c r="D32" s="217">
        <f t="shared" si="4"/>
        <v>0</v>
      </c>
      <c r="E32" s="210">
        <f>'Gas-2'!G33</f>
        <v>0</v>
      </c>
      <c r="F32" s="217">
        <f t="shared" si="1"/>
        <v>0</v>
      </c>
      <c r="G32" s="218">
        <f>SUM(WATER!C33,WATER!H33,WATER!M33,WATER!R33)</f>
        <v>0</v>
      </c>
      <c r="H32" s="217">
        <f t="shared" si="2"/>
        <v>0</v>
      </c>
      <c r="I32" s="219"/>
      <c r="J32" s="219"/>
    </row>
    <row r="33" spans="1:10" ht="36" customHeight="1" x14ac:dyDescent="0.25">
      <c r="A33" s="216">
        <f t="shared" si="0"/>
        <v>44345</v>
      </c>
      <c r="C33" s="210">
        <f>SUM('GENSET #1'!C38+'GENSET #2'!C38+'GENSET #3'!C38+'GENSET #4'!C38+'GENSET #5'!C38)</f>
        <v>0</v>
      </c>
      <c r="D33" s="217">
        <f t="shared" si="4"/>
        <v>0</v>
      </c>
      <c r="E33" s="210">
        <f>'Gas-2'!G34</f>
        <v>0</v>
      </c>
      <c r="F33" s="217">
        <f t="shared" si="1"/>
        <v>0</v>
      </c>
      <c r="G33" s="218">
        <f>SUM(WATER!C34,WATER!H34,WATER!M34,WATER!R34)</f>
        <v>0</v>
      </c>
      <c r="H33" s="217">
        <f t="shared" si="2"/>
        <v>0</v>
      </c>
      <c r="I33" s="219"/>
      <c r="J33" s="219"/>
    </row>
    <row r="34" spans="1:10" ht="45.6" customHeight="1" x14ac:dyDescent="0.25">
      <c r="A34" s="216">
        <f t="shared" si="0"/>
        <v>44346</v>
      </c>
      <c r="C34" s="210">
        <f>SUM('GENSET #1'!C39+'GENSET #2'!C39+'GENSET #3'!C39+'GENSET #4'!C39+'GENSET #5'!C39)</f>
        <v>0</v>
      </c>
      <c r="D34" s="217">
        <f t="shared" si="4"/>
        <v>0</v>
      </c>
      <c r="E34" s="210">
        <f>'Gas-2'!G35</f>
        <v>0</v>
      </c>
      <c r="F34" s="217">
        <f t="shared" si="1"/>
        <v>0</v>
      </c>
      <c r="G34" s="218">
        <f>SUM(WATER!C35,WATER!H35,WATER!M35,WATER!R35)</f>
        <v>0</v>
      </c>
      <c r="H34" s="217">
        <f t="shared" si="2"/>
        <v>0</v>
      </c>
      <c r="I34" s="219"/>
      <c r="J34" s="219"/>
    </row>
    <row r="35" spans="1:10" ht="47.45" customHeight="1" x14ac:dyDescent="0.25">
      <c r="A35" s="216">
        <f>A34+1</f>
        <v>44347</v>
      </c>
      <c r="C35" s="210">
        <f>SUM('GENSET #1'!C40+'GENSET #2'!C40+'GENSET #3'!C40+'GENSET #4'!C40+'GENSET #5'!C40)</f>
        <v>0</v>
      </c>
      <c r="D35" s="217">
        <f t="shared" si="4"/>
        <v>0</v>
      </c>
      <c r="E35" s="210">
        <f>'Gas-2'!G36</f>
        <v>0</v>
      </c>
      <c r="F35" s="217">
        <f t="shared" si="1"/>
        <v>0</v>
      </c>
      <c r="G35" s="218">
        <f>SUM(WATER!C36,WATER!H36,WATER!M36,WATER!R36)</f>
        <v>0</v>
      </c>
      <c r="H35" s="217">
        <f t="shared" si="2"/>
        <v>0</v>
      </c>
      <c r="I35" s="219"/>
      <c r="J35" s="219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39"/>
  <sheetViews>
    <sheetView zoomScaleNormal="100" workbookViewId="0">
      <selection activeCell="B8" sqref="B8"/>
    </sheetView>
  </sheetViews>
  <sheetFormatPr defaultRowHeight="12.75" x14ac:dyDescent="0.2"/>
  <cols>
    <col min="1" max="1" width="9.5703125" style="119" customWidth="1"/>
    <col min="2" max="2" width="15.5703125" style="18" customWidth="1"/>
    <col min="3" max="3" width="13" style="18" customWidth="1"/>
    <col min="4" max="4" width="18.5703125" style="128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335" t="s">
        <v>0</v>
      </c>
      <c r="B1" s="335"/>
      <c r="C1" s="335"/>
      <c r="D1" s="335"/>
      <c r="E1" s="335"/>
      <c r="F1" s="335"/>
    </row>
    <row r="2" spans="1:8" x14ac:dyDescent="0.2">
      <c r="A2" s="5"/>
      <c r="E2" s="131"/>
    </row>
    <row r="3" spans="1:8" x14ac:dyDescent="0.2">
      <c r="A3" s="5" t="s">
        <v>1</v>
      </c>
      <c r="B3" s="77" t="s">
        <v>2</v>
      </c>
      <c r="C3" s="77"/>
      <c r="D3" s="129"/>
      <c r="E3" s="131"/>
    </row>
    <row r="4" spans="1:8" x14ac:dyDescent="0.2">
      <c r="A4" s="5" t="s">
        <v>3</v>
      </c>
      <c r="B4" s="79" t="s">
        <v>167</v>
      </c>
      <c r="C4" s="79"/>
      <c r="D4" s="126"/>
      <c r="E4" s="131"/>
    </row>
    <row r="5" spans="1:8" x14ac:dyDescent="0.2">
      <c r="A5" s="5" t="s">
        <v>4</v>
      </c>
      <c r="B5" s="120">
        <v>2021</v>
      </c>
      <c r="C5" s="120"/>
      <c r="D5" s="126"/>
      <c r="E5" s="131"/>
    </row>
    <row r="6" spans="1:8" x14ac:dyDescent="0.2">
      <c r="E6" s="334"/>
      <c r="F6" s="334"/>
    </row>
    <row r="7" spans="1:8" ht="38.25" x14ac:dyDescent="0.2">
      <c r="A7" s="121" t="s">
        <v>5</v>
      </c>
      <c r="B7" s="122" t="s">
        <v>98</v>
      </c>
      <c r="C7" s="122" t="s">
        <v>99</v>
      </c>
      <c r="D7" s="123" t="s">
        <v>100</v>
      </c>
      <c r="E7" s="124" t="s">
        <v>97</v>
      </c>
      <c r="F7" s="122" t="s">
        <v>6</v>
      </c>
      <c r="G7" s="122" t="s">
        <v>136</v>
      </c>
      <c r="H7" s="122" t="s">
        <v>138</v>
      </c>
    </row>
    <row r="8" spans="1:8" ht="15.75" customHeight="1" x14ac:dyDescent="0.2">
      <c r="A8" s="62">
        <v>1</v>
      </c>
      <c r="B8" s="108">
        <f>SUM('GENSET #1:GENSET #5'!D10)</f>
        <v>30133</v>
      </c>
      <c r="C8" s="108">
        <f>'Diesel consumption'!D5</f>
        <v>8220</v>
      </c>
      <c r="D8" s="130">
        <f>'SOLAR METER READING'!D9</f>
        <v>3180</v>
      </c>
      <c r="E8" s="127">
        <f>'Gas-2'!G6</f>
        <v>225</v>
      </c>
      <c r="F8" s="108">
        <f>WATER!V6</f>
        <v>291</v>
      </c>
      <c r="G8" s="239">
        <f>WATER!W6</f>
        <v>45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08">
        <f>SUM('GENSET #1:GENSET #5'!D11)</f>
        <v>31397</v>
      </c>
      <c r="C9" s="108">
        <f>'Diesel consumption'!D6</f>
        <v>8710</v>
      </c>
      <c r="D9" s="130">
        <f>'SOLAR METER READING'!D10</f>
        <v>3214</v>
      </c>
      <c r="E9" s="127">
        <f>'Gas-2'!G7</f>
        <v>180</v>
      </c>
      <c r="F9" s="108">
        <f>WATER!V7</f>
        <v>361</v>
      </c>
      <c r="G9" s="239">
        <f>WATER!W7</f>
        <v>48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08">
        <f>SUM('GENSET #1:GENSET #5'!D12)</f>
        <v>30147</v>
      </c>
      <c r="C10" s="108">
        <f>'Diesel consumption'!D7</f>
        <v>8430</v>
      </c>
      <c r="D10" s="130">
        <f>'SOLAR METER READING'!D11</f>
        <v>2336</v>
      </c>
      <c r="E10" s="127">
        <f>'Gas-2'!G8</f>
        <v>270</v>
      </c>
      <c r="F10" s="108">
        <f>WATER!V8</f>
        <v>385</v>
      </c>
      <c r="G10" s="239">
        <f>WATER!W8</f>
        <v>34</v>
      </c>
      <c r="H10" s="18" t="str">
        <f>'SOLAR METER READING'!E11</f>
        <v>partly cloudy</v>
      </c>
    </row>
    <row r="11" spans="1:8" ht="15.75" customHeight="1" x14ac:dyDescent="0.2">
      <c r="A11" s="62">
        <v>4</v>
      </c>
      <c r="B11" s="108">
        <f>SUM('GENSET #1:GENSET #5'!D13)</f>
        <v>28804</v>
      </c>
      <c r="C11" s="108">
        <f>'Diesel consumption'!D8</f>
        <v>8070</v>
      </c>
      <c r="D11" s="130">
        <f>'SOLAR METER READING'!D12</f>
        <v>3076</v>
      </c>
      <c r="E11" s="127">
        <f>'Gas-2'!G9</f>
        <v>315</v>
      </c>
      <c r="F11" s="108">
        <f>WATER!V9</f>
        <v>368</v>
      </c>
      <c r="G11" s="239">
        <f>WATER!W9</f>
        <v>54</v>
      </c>
      <c r="H11" s="18" t="str">
        <f>'SOLAR METER READING'!E12</f>
        <v>partly sunny</v>
      </c>
    </row>
    <row r="12" spans="1:8" ht="15.75" customHeight="1" x14ac:dyDescent="0.2">
      <c r="A12" s="62">
        <v>5</v>
      </c>
      <c r="B12" s="108">
        <f>SUM('GENSET #1:GENSET #5'!D14)</f>
        <v>30365</v>
      </c>
      <c r="C12" s="108">
        <f>'Diesel consumption'!D9</f>
        <v>8200</v>
      </c>
      <c r="D12" s="130">
        <f>'SOLAR METER READING'!D13</f>
        <v>3178</v>
      </c>
      <c r="E12" s="127">
        <f>'Gas-2'!G10</f>
        <v>270</v>
      </c>
      <c r="F12" s="108">
        <f>WATER!V10</f>
        <v>356</v>
      </c>
      <c r="G12" s="239">
        <f>WATER!W10</f>
        <v>53</v>
      </c>
      <c r="H12" s="18" t="str">
        <f>'SOLAR METER READING'!E13</f>
        <v>partly sunny</v>
      </c>
    </row>
    <row r="13" spans="1:8" ht="15.75" customHeight="1" x14ac:dyDescent="0.2">
      <c r="A13" s="62">
        <v>6</v>
      </c>
      <c r="B13" s="108">
        <f>SUM('GENSET #1:GENSET #5'!D15)</f>
        <v>29900</v>
      </c>
      <c r="C13" s="108">
        <f>'Diesel consumption'!D10</f>
        <v>8570</v>
      </c>
      <c r="D13" s="130">
        <f>'SOLAR METER READING'!D14</f>
        <v>2974</v>
      </c>
      <c r="E13" s="127">
        <f>'Gas-2'!G11</f>
        <v>270</v>
      </c>
      <c r="F13" s="108">
        <f>WATER!V11</f>
        <v>379</v>
      </c>
      <c r="G13" s="239">
        <f>WATER!W11</f>
        <v>45</v>
      </c>
      <c r="H13" s="18" t="str">
        <f>'SOLAR METER READING'!E14</f>
        <v>partlu cloudly</v>
      </c>
    </row>
    <row r="14" spans="1:8" ht="15.75" customHeight="1" x14ac:dyDescent="0.2">
      <c r="A14" s="62">
        <v>7</v>
      </c>
      <c r="B14" s="108">
        <f>SUM('GENSET #1:GENSET #5'!D16)</f>
        <v>30587</v>
      </c>
      <c r="C14" s="108">
        <f>'Diesel consumption'!D11</f>
        <v>8380</v>
      </c>
      <c r="D14" s="130">
        <f>'SOLAR METER READING'!D15</f>
        <v>2854</v>
      </c>
      <c r="E14" s="127">
        <f>'Gas-2'!G12</f>
        <v>270</v>
      </c>
      <c r="F14" s="108">
        <f>WATER!V12</f>
        <v>417</v>
      </c>
      <c r="G14" s="239">
        <f>WATER!W12</f>
        <v>48</v>
      </c>
      <c r="H14" s="18" t="str">
        <f>'SOLAR METER READING'!E15</f>
        <v>partly cloudy</v>
      </c>
    </row>
    <row r="15" spans="1:8" ht="15.75" customHeight="1" x14ac:dyDescent="0.2">
      <c r="A15" s="62">
        <v>8</v>
      </c>
      <c r="B15" s="108">
        <f>SUM('GENSET #1:GENSET #5'!D17)</f>
        <v>30219</v>
      </c>
      <c r="C15" s="108">
        <f>'Diesel consumption'!D12</f>
        <v>8650</v>
      </c>
      <c r="D15" s="130">
        <f>'SOLAR METER READING'!D16</f>
        <v>2674</v>
      </c>
      <c r="E15" s="127">
        <f>'Gas-2'!G13</f>
        <v>315</v>
      </c>
      <c r="F15" s="108">
        <f>WATER!V13</f>
        <v>390</v>
      </c>
      <c r="G15" s="239">
        <f>WATER!W13</f>
        <v>47</v>
      </c>
      <c r="H15" s="18" t="str">
        <f>'SOLAR METER READING'!E16</f>
        <v>partly cloudy</v>
      </c>
    </row>
    <row r="16" spans="1:8" ht="15.75" customHeight="1" x14ac:dyDescent="0.2">
      <c r="A16" s="62">
        <v>9</v>
      </c>
      <c r="B16" s="108">
        <f>SUM('GENSET #1:GENSET #5'!D18)</f>
        <v>30190</v>
      </c>
      <c r="C16" s="108">
        <f>'Diesel consumption'!D13</f>
        <v>8350</v>
      </c>
      <c r="D16" s="130">
        <f>'SOLAR METER READING'!D17</f>
        <v>3112</v>
      </c>
      <c r="E16" s="127">
        <f>'Gas-2'!G14</f>
        <v>315</v>
      </c>
      <c r="F16" s="108">
        <f>WATER!V14</f>
        <v>381</v>
      </c>
      <c r="G16" s="239">
        <f>WATER!W14</f>
        <v>47</v>
      </c>
      <c r="H16" s="18" t="str">
        <f>'SOLAR METER READING'!E17</f>
        <v>sunny</v>
      </c>
    </row>
    <row r="17" spans="1:8" ht="15.75" customHeight="1" x14ac:dyDescent="0.2">
      <c r="A17" s="62">
        <v>10</v>
      </c>
      <c r="B17" s="108">
        <f>SUM('GENSET #1:GENSET #5'!D19)</f>
        <v>30007</v>
      </c>
      <c r="C17" s="108">
        <f>'Diesel consumption'!D14</f>
        <v>8460</v>
      </c>
      <c r="D17" s="130">
        <f>'SOLAR METER READING'!D18</f>
        <v>2430</v>
      </c>
      <c r="E17" s="127">
        <f>'Gas-2'!G15</f>
        <v>270</v>
      </c>
      <c r="F17" s="108">
        <f>WATER!V15</f>
        <v>353</v>
      </c>
      <c r="G17" s="239">
        <f>WATER!W15</f>
        <v>46</v>
      </c>
      <c r="H17" s="18" t="str">
        <f>'SOLAR METER READING'!E18</f>
        <v>cloudy</v>
      </c>
    </row>
    <row r="18" spans="1:8" ht="15.75" customHeight="1" x14ac:dyDescent="0.2">
      <c r="A18" s="62">
        <v>11</v>
      </c>
      <c r="B18" s="108">
        <f>SUM('GENSET #1:GENSET #5'!D20)</f>
        <v>29374</v>
      </c>
      <c r="C18" s="108">
        <f>'Diesel consumption'!D15</f>
        <v>8140</v>
      </c>
      <c r="D18" s="130">
        <f>'SOLAR METER READING'!D19</f>
        <v>1801</v>
      </c>
      <c r="E18" s="127">
        <f>'Gas-2'!G16</f>
        <v>270</v>
      </c>
      <c r="F18" s="108">
        <f>WATER!V16</f>
        <v>387</v>
      </c>
      <c r="G18" s="239">
        <f>WATER!W16</f>
        <v>46</v>
      </c>
      <c r="H18" s="18" t="str">
        <f>'SOLAR METER READING'!E19</f>
        <v>rainy</v>
      </c>
    </row>
    <row r="19" spans="1:8" ht="15.75" customHeight="1" x14ac:dyDescent="0.2">
      <c r="A19" s="62">
        <v>12</v>
      </c>
      <c r="B19" s="108">
        <f>SUM('GENSET #1:GENSET #5'!D21)</f>
        <v>29062</v>
      </c>
      <c r="C19" s="108">
        <f>'Diesel consumption'!D16</f>
        <v>8070</v>
      </c>
      <c r="D19" s="130">
        <f>'SOLAR METER READING'!D20</f>
        <v>1981</v>
      </c>
      <c r="E19" s="127">
        <f>'Gas-2'!G17</f>
        <v>225</v>
      </c>
      <c r="F19" s="108">
        <f>WATER!V17</f>
        <v>328</v>
      </c>
      <c r="G19" s="239">
        <f>WATER!W17</f>
        <v>45</v>
      </c>
      <c r="H19" s="18" t="str">
        <f>'SOLAR METER READING'!E20</f>
        <v>rainy</v>
      </c>
    </row>
    <row r="20" spans="1:8" ht="15.75" customHeight="1" x14ac:dyDescent="0.2">
      <c r="A20" s="62">
        <v>13</v>
      </c>
      <c r="B20" s="108">
        <f>SUM('GENSET #1:GENSET #5'!D22)</f>
        <v>28176</v>
      </c>
      <c r="C20" s="108">
        <f>'Diesel consumption'!D17</f>
        <v>7960</v>
      </c>
      <c r="D20" s="130">
        <f>'SOLAR METER READING'!D21</f>
        <v>998</v>
      </c>
      <c r="E20" s="127">
        <f>'Gas-2'!G18</f>
        <v>180</v>
      </c>
      <c r="F20" s="108">
        <f>WATER!V18</f>
        <v>408</v>
      </c>
      <c r="G20" s="239">
        <f>WATER!W18</f>
        <v>48</v>
      </c>
      <c r="H20" s="18" t="str">
        <f>'SOLAR METER READING'!E21</f>
        <v>heavy rain</v>
      </c>
    </row>
    <row r="21" spans="1:8" ht="15.75" customHeight="1" x14ac:dyDescent="0.2">
      <c r="A21" s="62">
        <v>14</v>
      </c>
      <c r="B21" s="108">
        <f>SUM('GENSET #1:GENSET #5'!D23)</f>
        <v>28460</v>
      </c>
      <c r="C21" s="108">
        <f>'Diesel consumption'!D18</f>
        <v>7980</v>
      </c>
      <c r="D21" s="130">
        <f>'SOLAR METER READING'!D22</f>
        <v>536</v>
      </c>
      <c r="E21" s="127">
        <f>'Gas-2'!G19</f>
        <v>270</v>
      </c>
      <c r="F21" s="108">
        <f>WATER!V19</f>
        <v>364</v>
      </c>
      <c r="G21" s="239">
        <f>WATER!W19</f>
        <v>46</v>
      </c>
      <c r="H21" s="18" t="str">
        <f>'SOLAR METER READING'!E22</f>
        <v>heavy rain</v>
      </c>
    </row>
    <row r="22" spans="1:8" ht="15.75" customHeight="1" x14ac:dyDescent="0.2">
      <c r="A22" s="62">
        <v>15</v>
      </c>
      <c r="B22" s="108">
        <f>SUM('GENSET #1:GENSET #5'!D24)</f>
        <v>29731</v>
      </c>
      <c r="C22" s="108">
        <f>'Diesel consumption'!D19</f>
        <v>8260</v>
      </c>
      <c r="D22" s="130">
        <f>'SOLAR METER READING'!D23</f>
        <v>1650</v>
      </c>
      <c r="E22" s="127">
        <f>'Gas-2'!G20</f>
        <v>180</v>
      </c>
      <c r="F22" s="108">
        <f>WATER!V20</f>
        <v>331</v>
      </c>
      <c r="G22" s="239">
        <f>WATER!W20</f>
        <v>41</v>
      </c>
      <c r="H22" s="18" t="str">
        <f>'SOLAR METER READING'!E23</f>
        <v>rainy</v>
      </c>
    </row>
    <row r="23" spans="1:8" ht="15.75" customHeight="1" x14ac:dyDescent="0.2">
      <c r="A23" s="62">
        <v>16</v>
      </c>
      <c r="B23" s="108">
        <f>SUM('GENSET #1:GENSET #5'!D25)</f>
        <v>30407</v>
      </c>
      <c r="C23" s="108">
        <f>'Diesel consumption'!D20</f>
        <v>8990</v>
      </c>
      <c r="D23" s="130">
        <f>'SOLAR METER READING'!D24</f>
        <v>3141</v>
      </c>
      <c r="E23" s="127">
        <f>'Gas-2'!G21</f>
        <v>315</v>
      </c>
      <c r="F23" s="108">
        <f>WATER!V21</f>
        <v>325</v>
      </c>
      <c r="G23" s="239">
        <f>WATER!W21</f>
        <v>34</v>
      </c>
      <c r="H23" s="18" t="str">
        <f>'SOLAR METER READING'!E24</f>
        <v>partly sunny</v>
      </c>
    </row>
    <row r="24" spans="1:8" ht="15.75" customHeight="1" x14ac:dyDescent="0.2">
      <c r="A24" s="62">
        <v>17</v>
      </c>
      <c r="B24" s="108">
        <f>SUM('GENSET #1:GENSET #5'!D26)</f>
        <v>30934</v>
      </c>
      <c r="C24" s="108">
        <f>'Diesel consumption'!D21</f>
        <v>8700</v>
      </c>
      <c r="D24" s="130">
        <f>'SOLAR METER READING'!D25</f>
        <v>3268</v>
      </c>
      <c r="E24" s="127">
        <f>'Gas-2'!G22</f>
        <v>270</v>
      </c>
      <c r="F24" s="108">
        <f>WATER!V22</f>
        <v>387</v>
      </c>
      <c r="G24" s="239">
        <f>WATER!W22</f>
        <v>31</v>
      </c>
      <c r="H24" s="18" t="str">
        <f>'SOLAR METER READING'!E25</f>
        <v>sunny</v>
      </c>
    </row>
    <row r="25" spans="1:8" ht="15.75" customHeight="1" x14ac:dyDescent="0.2">
      <c r="A25" s="62">
        <v>18</v>
      </c>
      <c r="B25" s="108">
        <f>SUM('GENSET #1:GENSET #5'!D27)</f>
        <v>30563</v>
      </c>
      <c r="C25" s="108">
        <f>'Diesel consumption'!D22</f>
        <v>8500</v>
      </c>
      <c r="D25" s="130">
        <f>'SOLAR METER READING'!D26</f>
        <v>3268</v>
      </c>
      <c r="E25" s="127">
        <f>'Gas-2'!G23</f>
        <v>270</v>
      </c>
      <c r="F25" s="108">
        <f>WATER!V23</f>
        <v>358</v>
      </c>
      <c r="G25" s="239">
        <f>WATER!W23</f>
        <v>40</v>
      </c>
      <c r="H25" s="18" t="str">
        <f>'SOLAR METER READING'!E26</f>
        <v>sunny</v>
      </c>
    </row>
    <row r="26" spans="1:8" ht="15.75" customHeight="1" x14ac:dyDescent="0.2">
      <c r="A26" s="62">
        <v>19</v>
      </c>
      <c r="B26" s="108">
        <f>SUM('GENSET #1:GENSET #5'!D28)</f>
        <v>30366</v>
      </c>
      <c r="C26" s="108">
        <f>'Diesel consumption'!D23</f>
        <v>8560</v>
      </c>
      <c r="D26" s="130">
        <f>'SOLAR METER READING'!D27</f>
        <v>3310</v>
      </c>
      <c r="E26" s="127">
        <f>'Gas-2'!G24</f>
        <v>405</v>
      </c>
      <c r="F26" s="108">
        <f>WATER!V24</f>
        <v>367</v>
      </c>
      <c r="G26" s="239">
        <f>WATER!W24</f>
        <v>36</v>
      </c>
      <c r="H26" s="18" t="str">
        <f>'SOLAR METER READING'!E27</f>
        <v>sunny</v>
      </c>
    </row>
    <row r="27" spans="1:8" ht="15.75" customHeight="1" x14ac:dyDescent="0.2">
      <c r="A27" s="62">
        <v>20</v>
      </c>
      <c r="B27" s="108">
        <f>SUM('GENSET #1:GENSET #5'!D29)</f>
        <v>29240</v>
      </c>
      <c r="C27" s="108">
        <f>'Diesel consumption'!D24</f>
        <v>8470</v>
      </c>
      <c r="D27" s="130">
        <f>'SOLAR METER READING'!D28</f>
        <v>2884</v>
      </c>
      <c r="E27" s="127">
        <f>'Gas-2'!G25</f>
        <v>0</v>
      </c>
      <c r="F27" s="108">
        <f>WATER!V25</f>
        <v>356</v>
      </c>
      <c r="G27" s="239">
        <f>WATER!W25</f>
        <v>0</v>
      </c>
      <c r="H27" s="18" t="str">
        <f>'SOLAR METER READING'!E28</f>
        <v>cloudy</v>
      </c>
    </row>
    <row r="28" spans="1:8" ht="15.75" customHeight="1" x14ac:dyDescent="0.2">
      <c r="A28" s="62">
        <v>21</v>
      </c>
      <c r="B28" s="108">
        <f>SUM('GENSET #1:GENSET #5'!D30)</f>
        <v>-90179769</v>
      </c>
      <c r="C28" s="108">
        <f>'Diesel consumption'!D25</f>
        <v>-44017890</v>
      </c>
      <c r="D28" s="130">
        <f>'SOLAR METER READING'!D29</f>
        <v>-2648567</v>
      </c>
      <c r="E28" s="127">
        <f>'Gas-2'!G26</f>
        <v>0</v>
      </c>
      <c r="F28" s="108">
        <f>WATER!V26</f>
        <v>320</v>
      </c>
      <c r="G28" s="239">
        <f>WATER!W26</f>
        <v>0</v>
      </c>
      <c r="H28" s="18">
        <f>'SOLAR METER READING'!E29</f>
        <v>0</v>
      </c>
    </row>
    <row r="29" spans="1:8" ht="15.75" customHeight="1" x14ac:dyDescent="0.2">
      <c r="A29" s="62">
        <v>22</v>
      </c>
      <c r="B29" s="108">
        <f>SUM('GENSET #1:GENSET #5'!D31)</f>
        <v>0</v>
      </c>
      <c r="C29" s="108">
        <f>'Diesel consumption'!D26</f>
        <v>0</v>
      </c>
      <c r="D29" s="130">
        <f>'SOLAR METER READING'!D30</f>
        <v>0</v>
      </c>
      <c r="E29" s="127">
        <f>'Gas-2'!G27</f>
        <v>0</v>
      </c>
      <c r="F29" s="108">
        <f>WATER!V27</f>
        <v>-954134</v>
      </c>
      <c r="G29" s="239">
        <f>WATER!W27</f>
        <v>0</v>
      </c>
      <c r="H29" s="18">
        <f>'SOLAR METER READING'!E30</f>
        <v>0</v>
      </c>
    </row>
    <row r="30" spans="1:8" ht="15.75" customHeight="1" x14ac:dyDescent="0.2">
      <c r="A30" s="62">
        <v>23</v>
      </c>
      <c r="B30" s="108">
        <f>SUM('GENSET #1:GENSET #5'!D32)</f>
        <v>0</v>
      </c>
      <c r="C30" s="108">
        <f>'Diesel consumption'!D27</f>
        <v>0</v>
      </c>
      <c r="D30" s="130">
        <f>'SOLAR METER READING'!D31</f>
        <v>0</v>
      </c>
      <c r="E30" s="127">
        <f>'Gas-2'!G28</f>
        <v>0</v>
      </c>
      <c r="F30" s="108">
        <f>WATER!V28</f>
        <v>0</v>
      </c>
      <c r="G30" s="239">
        <f>WATER!W28</f>
        <v>0</v>
      </c>
      <c r="H30" s="18">
        <f>'SOLAR METER READING'!E31</f>
        <v>0</v>
      </c>
    </row>
    <row r="31" spans="1:8" ht="15.75" customHeight="1" x14ac:dyDescent="0.2">
      <c r="A31" s="62">
        <v>24</v>
      </c>
      <c r="B31" s="108">
        <f>SUM('GENSET #1:GENSET #5'!D33)</f>
        <v>0</v>
      </c>
      <c r="C31" s="108">
        <f>'Diesel consumption'!D28</f>
        <v>0</v>
      </c>
      <c r="D31" s="130">
        <f>'SOLAR METER READING'!D32</f>
        <v>0</v>
      </c>
      <c r="E31" s="127">
        <f>'Gas-2'!G29</f>
        <v>0</v>
      </c>
      <c r="F31" s="108">
        <f>WATER!V29</f>
        <v>0</v>
      </c>
      <c r="G31" s="239">
        <f>WATER!W29</f>
        <v>0</v>
      </c>
      <c r="H31" s="18">
        <f>'SOLAR METER READING'!E32</f>
        <v>0</v>
      </c>
    </row>
    <row r="32" spans="1:8" ht="15.75" customHeight="1" x14ac:dyDescent="0.2">
      <c r="A32" s="62">
        <v>25</v>
      </c>
      <c r="B32" s="108">
        <f>SUM('GENSET #1:GENSET #5'!D34)</f>
        <v>0</v>
      </c>
      <c r="C32" s="108">
        <f>'Diesel consumption'!D29</f>
        <v>0</v>
      </c>
      <c r="D32" s="130">
        <f>'SOLAR METER READING'!D33</f>
        <v>0</v>
      </c>
      <c r="E32" s="127">
        <f>'Gas-2'!G30</f>
        <v>0</v>
      </c>
      <c r="F32" s="108">
        <f>WATER!V30</f>
        <v>0</v>
      </c>
      <c r="G32" s="239">
        <f>WATER!W30</f>
        <v>0</v>
      </c>
      <c r="H32" s="18">
        <f>'SOLAR METER READING'!E33</f>
        <v>0</v>
      </c>
    </row>
    <row r="33" spans="1:11" ht="15.75" customHeight="1" x14ac:dyDescent="0.2">
      <c r="A33" s="62">
        <v>26</v>
      </c>
      <c r="B33" s="133">
        <f>SUM('GENSET #1:GENSET #5'!D35)</f>
        <v>0</v>
      </c>
      <c r="C33" s="108">
        <f>'Diesel consumption'!D30</f>
        <v>0</v>
      </c>
      <c r="D33" s="130">
        <f>'SOLAR METER READING'!D34</f>
        <v>0</v>
      </c>
      <c r="E33" s="127">
        <f>'Gas-2'!G31</f>
        <v>0</v>
      </c>
      <c r="F33" s="108">
        <f>WATER!V31</f>
        <v>0</v>
      </c>
      <c r="G33" s="239">
        <f>WATER!W31</f>
        <v>0</v>
      </c>
      <c r="H33" s="18">
        <f>'SOLAR METER READING'!E34</f>
        <v>0</v>
      </c>
    </row>
    <row r="34" spans="1:11" ht="15.75" customHeight="1" x14ac:dyDescent="0.2">
      <c r="A34" s="62">
        <v>27</v>
      </c>
      <c r="B34" s="108">
        <f>SUM('GENSET #1:GENSET #5'!D36)</f>
        <v>0</v>
      </c>
      <c r="C34" s="108">
        <f>'Diesel consumption'!D31</f>
        <v>0</v>
      </c>
      <c r="D34" s="130">
        <f>'SOLAR METER READING'!D35</f>
        <v>0</v>
      </c>
      <c r="E34" s="127">
        <f>'Gas-2'!G32</f>
        <v>0</v>
      </c>
      <c r="F34" s="108">
        <f>WATER!V32</f>
        <v>0</v>
      </c>
      <c r="G34" s="239">
        <f>WATER!W32</f>
        <v>0</v>
      </c>
      <c r="H34" s="18">
        <f>'SOLAR METER READING'!E35</f>
        <v>0</v>
      </c>
    </row>
    <row r="35" spans="1:11" ht="15.75" customHeight="1" x14ac:dyDescent="0.2">
      <c r="A35" s="62">
        <v>28</v>
      </c>
      <c r="B35" s="108">
        <f>SUM('GENSET #1:GENSET #5'!D37)</f>
        <v>0</v>
      </c>
      <c r="C35" s="108">
        <f>'Diesel consumption'!D32</f>
        <v>0</v>
      </c>
      <c r="D35" s="130">
        <f>'SOLAR METER READING'!D36</f>
        <v>0</v>
      </c>
      <c r="E35" s="127">
        <f>'Gas-2'!G33</f>
        <v>0</v>
      </c>
      <c r="F35" s="108">
        <f>WATER!V33</f>
        <v>0</v>
      </c>
      <c r="G35" s="239">
        <f>WATER!W33</f>
        <v>0</v>
      </c>
      <c r="H35" s="18">
        <f>'SOLAR METER READING'!E36</f>
        <v>0</v>
      </c>
    </row>
    <row r="36" spans="1:11" ht="15.75" customHeight="1" x14ac:dyDescent="0.2">
      <c r="A36" s="62">
        <v>29</v>
      </c>
      <c r="B36" s="108">
        <f>SUM('GENSET #1:GENSET #5'!D38)</f>
        <v>0</v>
      </c>
      <c r="C36" s="108">
        <f>'Diesel consumption'!D33</f>
        <v>0</v>
      </c>
      <c r="D36" s="130">
        <f>'SOLAR METER READING'!D37</f>
        <v>0</v>
      </c>
      <c r="E36" s="127">
        <f>'Gas-2'!G34</f>
        <v>0</v>
      </c>
      <c r="F36" s="108">
        <f>WATER!V34</f>
        <v>0</v>
      </c>
      <c r="G36" s="239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08">
        <f>SUM('GENSET #1:GENSET #5'!D39)</f>
        <v>0</v>
      </c>
      <c r="C37" s="108">
        <f>'Diesel consumption'!D34</f>
        <v>0</v>
      </c>
      <c r="D37" s="130">
        <f>'SOLAR METER READING'!D38</f>
        <v>0</v>
      </c>
      <c r="E37" s="127">
        <f>'Gas-2'!G35</f>
        <v>0</v>
      </c>
      <c r="F37" s="108">
        <f>WATER!V35</f>
        <v>0</v>
      </c>
      <c r="G37" s="239">
        <f>WATER!W35</f>
        <v>0</v>
      </c>
      <c r="H37" s="18">
        <f>'SOLAR METER READING'!E38</f>
        <v>0</v>
      </c>
    </row>
    <row r="38" spans="1:11" ht="18.75" customHeight="1" thickBot="1" x14ac:dyDescent="0.25">
      <c r="A38" s="119" t="s">
        <v>7</v>
      </c>
      <c r="B38" s="125">
        <f>SUM(B8:B37)</f>
        <v>-89581707</v>
      </c>
      <c r="C38" s="125">
        <f>SUM(C8:C37)</f>
        <v>-43850220</v>
      </c>
      <c r="D38" s="125">
        <f>SUM(D8:D37)</f>
        <v>-2596702</v>
      </c>
      <c r="E38" s="132">
        <f>SUM(E8:E37)</f>
        <v>5085</v>
      </c>
      <c r="F38" s="9">
        <f>SUM(F8:F37)</f>
        <v>-946522</v>
      </c>
      <c r="G38" s="239">
        <f>SUM(G8:G37)/30</f>
        <v>27.8</v>
      </c>
      <c r="H38" s="18"/>
      <c r="K38" s="104"/>
    </row>
    <row r="39" spans="1:11" ht="13.5" thickTop="1" x14ac:dyDescent="0.2">
      <c r="A39" s="119" t="s">
        <v>166</v>
      </c>
      <c r="B39" s="128">
        <f>B38/30</f>
        <v>-2986056.9</v>
      </c>
      <c r="C39" s="128">
        <f>C38/30</f>
        <v>-1461674</v>
      </c>
      <c r="D39" s="128">
        <f>D38/30</f>
        <v>-86556.733333333337</v>
      </c>
      <c r="E39" s="67">
        <f>E38/30</f>
        <v>169.5</v>
      </c>
      <c r="F39" s="2">
        <f>F38/31</f>
        <v>-30532.967741935485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3" zoomScaleNormal="100" workbookViewId="0">
      <selection activeCell="C30" sqref="C30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6" t="s">
        <v>16</v>
      </c>
      <c r="D1" s="336"/>
    </row>
    <row r="2" spans="1:6" x14ac:dyDescent="0.2">
      <c r="C2" s="336"/>
      <c r="D2" s="336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44317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7" t="s">
        <v>18</v>
      </c>
      <c r="C8" s="338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17082256</v>
      </c>
      <c r="C10" s="72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72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72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72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72">
        <v>17083389</v>
      </c>
      <c r="D14" s="6">
        <f t="shared" si="1"/>
        <v>1133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17083389</v>
      </c>
      <c r="C15" s="72">
        <v>17086149</v>
      </c>
      <c r="D15" s="6">
        <f>C15-B15</f>
        <v>2760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17086149</v>
      </c>
      <c r="C16" s="72">
        <v>17086941</v>
      </c>
      <c r="D16" s="6">
        <f t="shared" si="1"/>
        <v>792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17086941</v>
      </c>
      <c r="C17" s="72">
        <v>17095994</v>
      </c>
      <c r="D17" s="6">
        <f t="shared" si="1"/>
        <v>9053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17095994</v>
      </c>
      <c r="C18" s="72">
        <v>17095994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17095994</v>
      </c>
      <c r="C19" s="72">
        <v>17099926</v>
      </c>
      <c r="D19" s="6">
        <f t="shared" si="1"/>
        <v>3932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17099926</v>
      </c>
      <c r="C20" s="72">
        <v>17103659</v>
      </c>
      <c r="D20" s="6">
        <f t="shared" si="1"/>
        <v>3733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17103659</v>
      </c>
      <c r="C21" s="72">
        <v>17107039</v>
      </c>
      <c r="D21" s="6">
        <f t="shared" si="1"/>
        <v>3380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17107039</v>
      </c>
      <c r="C22" s="72">
        <v>17115559</v>
      </c>
      <c r="D22" s="6">
        <f t="shared" si="1"/>
        <v>8520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17115559</v>
      </c>
      <c r="C23" s="72">
        <v>17121819</v>
      </c>
      <c r="D23" s="6">
        <f t="shared" si="1"/>
        <v>6260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17121819</v>
      </c>
      <c r="C24" s="72">
        <v>17125626</v>
      </c>
      <c r="D24" s="6">
        <f t="shared" si="1"/>
        <v>3807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17125626</v>
      </c>
      <c r="C25" s="72">
        <v>17136847</v>
      </c>
      <c r="D25" s="6">
        <f t="shared" si="1"/>
        <v>11221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17136847</v>
      </c>
      <c r="C26" s="72">
        <v>17144886</v>
      </c>
      <c r="D26" s="6">
        <f t="shared" si="1"/>
        <v>8039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17144886</v>
      </c>
      <c r="C27" s="72">
        <v>17151577</v>
      </c>
      <c r="D27" s="6">
        <f t="shared" si="1"/>
        <v>6691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17151577</v>
      </c>
      <c r="C28" s="72">
        <v>17155529</v>
      </c>
      <c r="D28" s="6">
        <f t="shared" si="1"/>
        <v>3952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17155529</v>
      </c>
      <c r="C29" s="72">
        <v>17163352</v>
      </c>
      <c r="D29" s="6">
        <f>C29-B29</f>
        <v>7823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17163352</v>
      </c>
      <c r="C30" s="72"/>
      <c r="D30" s="6">
        <f t="shared" si="1"/>
        <v>-17163352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96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33">
        <f t="shared" si="0"/>
        <v>0</v>
      </c>
      <c r="C35" s="72"/>
      <c r="D35" s="234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SUM(D10:D39)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0" workbookViewId="0">
      <selection activeCell="C30" sqref="C3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6" t="s">
        <v>23</v>
      </c>
      <c r="D1" s="336"/>
    </row>
    <row r="2" spans="1:7" x14ac:dyDescent="0.2">
      <c r="C2" s="336"/>
      <c r="D2" s="336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44317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7" t="s">
        <v>25</v>
      </c>
      <c r="C8" s="339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29671872</v>
      </c>
      <c r="C10" s="72">
        <v>29685141</v>
      </c>
      <c r="D10" s="6">
        <f>C10-B10</f>
        <v>13269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29685141</v>
      </c>
      <c r="C11" s="72">
        <v>29698820</v>
      </c>
      <c r="D11" s="6">
        <f t="shared" ref="D11:D39" si="0">C11-B11</f>
        <v>13679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29698820</v>
      </c>
      <c r="C12" s="72">
        <v>29712638</v>
      </c>
      <c r="D12" s="6">
        <f t="shared" si="0"/>
        <v>13818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29712638</v>
      </c>
      <c r="C13" s="72">
        <v>29724999</v>
      </c>
      <c r="D13" s="6">
        <f t="shared" si="0"/>
        <v>12361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29724999</v>
      </c>
      <c r="C14" s="72">
        <v>29736711</v>
      </c>
      <c r="D14" s="6">
        <f t="shared" si="0"/>
        <v>11712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29736711</v>
      </c>
      <c r="C15" s="72">
        <v>29747996</v>
      </c>
      <c r="D15" s="6">
        <f t="shared" si="0"/>
        <v>11285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29747996</v>
      </c>
      <c r="C16" s="72">
        <v>29759772</v>
      </c>
      <c r="D16" s="6">
        <f t="shared" si="0"/>
        <v>11776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29759772</v>
      </c>
      <c r="C17" s="72">
        <v>29770905</v>
      </c>
      <c r="D17" s="6">
        <f t="shared" si="0"/>
        <v>11133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29770905</v>
      </c>
      <c r="C18" s="72">
        <v>29782326</v>
      </c>
      <c r="D18" s="6">
        <f t="shared" si="0"/>
        <v>11421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29782326</v>
      </c>
      <c r="C19" s="72">
        <v>29794460</v>
      </c>
      <c r="D19" s="6">
        <f t="shared" si="0"/>
        <v>12134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29794460</v>
      </c>
      <c r="C20" s="72">
        <v>29807543</v>
      </c>
      <c r="D20" s="6">
        <f t="shared" si="0"/>
        <v>13083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29807543</v>
      </c>
      <c r="C21" s="72">
        <v>29819893</v>
      </c>
      <c r="D21" s="6">
        <f t="shared" si="0"/>
        <v>12350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29819893</v>
      </c>
      <c r="C22" s="72">
        <v>29832611</v>
      </c>
      <c r="D22" s="6">
        <f t="shared" si="0"/>
        <v>12718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29832611</v>
      </c>
      <c r="C23" s="72">
        <v>29844880</v>
      </c>
      <c r="D23" s="6">
        <f t="shared" si="0"/>
        <v>12269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29844880</v>
      </c>
      <c r="C24" s="72">
        <v>29857339</v>
      </c>
      <c r="D24" s="6">
        <f t="shared" si="0"/>
        <v>12459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29857339</v>
      </c>
      <c r="C25" s="72">
        <v>29868112</v>
      </c>
      <c r="D25" s="6">
        <f t="shared" si="0"/>
        <v>10773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29868112</v>
      </c>
      <c r="C26" s="72">
        <v>29881265</v>
      </c>
      <c r="D26" s="6">
        <f t="shared" si="0"/>
        <v>13153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29881265</v>
      </c>
      <c r="C27" s="72">
        <v>29899924</v>
      </c>
      <c r="D27" s="6">
        <f t="shared" si="0"/>
        <v>18659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29899924</v>
      </c>
      <c r="C28" s="72">
        <v>29914882</v>
      </c>
      <c r="D28" s="6">
        <f t="shared" si="0"/>
        <v>14958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29914882</v>
      </c>
      <c r="C29" s="72">
        <v>29928357</v>
      </c>
      <c r="D29" s="6">
        <f t="shared" si="0"/>
        <v>13475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29928357</v>
      </c>
      <c r="C30" s="72"/>
      <c r="D30" s="6">
        <f t="shared" si="0"/>
        <v>-29928357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3">
        <f t="shared" si="1"/>
        <v>0</v>
      </c>
      <c r="C35" s="72"/>
      <c r="D35" s="234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SUM(D10:D39)</f>
        <v>-29671872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C30" sqref="C3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44317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13036646</v>
      </c>
      <c r="C10" s="32">
        <v>13046723</v>
      </c>
      <c r="D10" s="38">
        <f>C10-B10</f>
        <v>10077</v>
      </c>
    </row>
    <row r="11" spans="1:5" ht="15.75" customHeight="1" x14ac:dyDescent="0.2">
      <c r="A11" s="45">
        <v>2</v>
      </c>
      <c r="B11" s="33">
        <f>C10</f>
        <v>13046723</v>
      </c>
      <c r="C11" s="32">
        <v>13050027</v>
      </c>
      <c r="D11" s="38">
        <f t="shared" ref="D11:D36" si="0">C11-B11</f>
        <v>3304</v>
      </c>
    </row>
    <row r="12" spans="1:5" x14ac:dyDescent="0.2">
      <c r="A12" s="45">
        <v>3</v>
      </c>
      <c r="B12" s="33">
        <f t="shared" ref="B12:B14" si="1">C11</f>
        <v>13050027</v>
      </c>
      <c r="C12" s="32">
        <v>13060064</v>
      </c>
      <c r="D12" s="38">
        <f t="shared" si="0"/>
        <v>10037</v>
      </c>
      <c r="E12" s="55"/>
    </row>
    <row r="13" spans="1:5" x14ac:dyDescent="0.2">
      <c r="A13" s="45">
        <v>4</v>
      </c>
      <c r="B13" s="33">
        <f t="shared" si="1"/>
        <v>13060064</v>
      </c>
      <c r="C13" s="32">
        <v>13065269</v>
      </c>
      <c r="D13" s="38">
        <f t="shared" si="0"/>
        <v>5205</v>
      </c>
      <c r="E13" s="55"/>
    </row>
    <row r="14" spans="1:5" ht="13.5" customHeight="1" x14ac:dyDescent="0.2">
      <c r="A14" s="45">
        <v>5</v>
      </c>
      <c r="B14" s="33">
        <f t="shared" si="1"/>
        <v>13065269</v>
      </c>
      <c r="C14" s="32">
        <v>13072553</v>
      </c>
      <c r="D14" s="38">
        <f t="shared" si="0"/>
        <v>7284</v>
      </c>
      <c r="E14" s="55"/>
    </row>
    <row r="15" spans="1:5" ht="13.5" customHeight="1" x14ac:dyDescent="0.2">
      <c r="A15" s="45">
        <v>6</v>
      </c>
      <c r="B15" s="33">
        <f t="shared" ref="B15:B38" si="2">C14</f>
        <v>13072553</v>
      </c>
      <c r="C15" s="32">
        <v>13076609</v>
      </c>
      <c r="D15" s="38">
        <f t="shared" si="0"/>
        <v>4056</v>
      </c>
      <c r="E15" s="55"/>
    </row>
    <row r="16" spans="1:5" ht="13.5" customHeight="1" x14ac:dyDescent="0.2">
      <c r="A16" s="45">
        <v>7</v>
      </c>
      <c r="B16" s="33">
        <f t="shared" si="2"/>
        <v>13076609</v>
      </c>
      <c r="C16" s="32">
        <v>13087086</v>
      </c>
      <c r="D16" s="38">
        <f t="shared" si="0"/>
        <v>10477</v>
      </c>
      <c r="E16" s="55"/>
    </row>
    <row r="17" spans="1:5" ht="13.5" customHeight="1" x14ac:dyDescent="0.2">
      <c r="A17" s="45">
        <v>8</v>
      </c>
      <c r="B17" s="33">
        <f t="shared" si="2"/>
        <v>13087086</v>
      </c>
      <c r="C17" s="32">
        <v>13087232</v>
      </c>
      <c r="D17" s="38">
        <f t="shared" si="0"/>
        <v>146</v>
      </c>
      <c r="E17" s="55"/>
    </row>
    <row r="18" spans="1:5" ht="13.5" customHeight="1" x14ac:dyDescent="0.2">
      <c r="A18" s="45">
        <v>9</v>
      </c>
      <c r="B18" s="33">
        <f t="shared" si="2"/>
        <v>13087232</v>
      </c>
      <c r="C18" s="32">
        <v>13097423</v>
      </c>
      <c r="D18" s="38">
        <f t="shared" si="0"/>
        <v>10191</v>
      </c>
      <c r="E18" s="55"/>
    </row>
    <row r="19" spans="1:5" ht="13.5" customHeight="1" x14ac:dyDescent="0.2">
      <c r="A19" s="45">
        <v>10</v>
      </c>
      <c r="B19" s="33">
        <f t="shared" si="2"/>
        <v>13097423</v>
      </c>
      <c r="C19" s="32">
        <v>13097895</v>
      </c>
      <c r="D19" s="38">
        <f t="shared" si="0"/>
        <v>472</v>
      </c>
      <c r="E19" s="55"/>
    </row>
    <row r="20" spans="1:5" ht="13.5" customHeight="1" x14ac:dyDescent="0.2">
      <c r="A20" s="45">
        <v>11</v>
      </c>
      <c r="B20" s="33">
        <f t="shared" si="2"/>
        <v>13097895</v>
      </c>
      <c r="C20" s="32">
        <v>13101261</v>
      </c>
      <c r="D20" s="38">
        <f t="shared" si="0"/>
        <v>3366</v>
      </c>
      <c r="E20" s="55"/>
    </row>
    <row r="21" spans="1:5" ht="13.5" customHeight="1" x14ac:dyDescent="0.2">
      <c r="A21" s="45">
        <v>12</v>
      </c>
      <c r="B21" s="33">
        <f t="shared" si="2"/>
        <v>13101261</v>
      </c>
      <c r="C21" s="32">
        <v>13108418</v>
      </c>
      <c r="D21" s="38">
        <f t="shared" si="0"/>
        <v>7157</v>
      </c>
      <c r="E21" s="55"/>
    </row>
    <row r="22" spans="1:5" ht="13.5" customHeight="1" x14ac:dyDescent="0.2">
      <c r="A22" s="45">
        <v>13</v>
      </c>
      <c r="B22" s="33">
        <f t="shared" si="2"/>
        <v>13108418</v>
      </c>
      <c r="C22" s="32">
        <v>13112001</v>
      </c>
      <c r="D22" s="38">
        <f t="shared" si="0"/>
        <v>3583</v>
      </c>
      <c r="E22" s="55"/>
    </row>
    <row r="23" spans="1:5" ht="13.5" customHeight="1" x14ac:dyDescent="0.2">
      <c r="A23" s="45">
        <v>14</v>
      </c>
      <c r="B23" s="33">
        <f t="shared" si="2"/>
        <v>13112001</v>
      </c>
      <c r="C23" s="32">
        <v>13116799</v>
      </c>
      <c r="D23" s="38">
        <f t="shared" si="0"/>
        <v>4798</v>
      </c>
      <c r="E23" s="55"/>
    </row>
    <row r="24" spans="1:5" ht="13.5" customHeight="1" x14ac:dyDescent="0.2">
      <c r="A24" s="45">
        <v>15</v>
      </c>
      <c r="B24" s="33">
        <f t="shared" si="2"/>
        <v>13116799</v>
      </c>
      <c r="C24" s="32">
        <v>13120395</v>
      </c>
      <c r="D24" s="38">
        <f t="shared" si="0"/>
        <v>3596</v>
      </c>
      <c r="E24" s="55"/>
    </row>
    <row r="25" spans="1:5" ht="13.5" customHeight="1" x14ac:dyDescent="0.2">
      <c r="A25" s="45">
        <v>16</v>
      </c>
      <c r="B25" s="33">
        <f t="shared" si="2"/>
        <v>13120395</v>
      </c>
      <c r="C25" s="32">
        <v>13120395</v>
      </c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13120395</v>
      </c>
      <c r="C26" s="32">
        <v>13120395</v>
      </c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13120395</v>
      </c>
      <c r="C27" s="32">
        <v>13120395</v>
      </c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13120395</v>
      </c>
      <c r="C28" s="32">
        <v>13127906</v>
      </c>
      <c r="D28" s="38">
        <f t="shared" si="0"/>
        <v>7511</v>
      </c>
      <c r="E28" s="55"/>
    </row>
    <row r="29" spans="1:5" ht="13.5" customHeight="1" x14ac:dyDescent="0.2">
      <c r="A29" s="45">
        <v>20</v>
      </c>
      <c r="B29" s="33">
        <f t="shared" si="2"/>
        <v>13127906</v>
      </c>
      <c r="C29" s="32">
        <v>13134204</v>
      </c>
      <c r="D29" s="38">
        <f t="shared" si="0"/>
        <v>6298</v>
      </c>
      <c r="E29" s="55"/>
    </row>
    <row r="30" spans="1:5" ht="13.5" customHeight="1" x14ac:dyDescent="0.2">
      <c r="A30" s="45">
        <v>21</v>
      </c>
      <c r="B30" s="33">
        <f t="shared" si="2"/>
        <v>13134204</v>
      </c>
      <c r="C30" s="32"/>
      <c r="D30" s="38">
        <f t="shared" si="0"/>
        <v>-13134204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88"/>
      <c r="F34" s="89"/>
      <c r="G34" s="92"/>
      <c r="H34" s="93"/>
      <c r="I34" s="92"/>
      <c r="J34" s="92"/>
    </row>
    <row r="35" spans="1:10" s="3" customFormat="1" ht="13.5" customHeight="1" x14ac:dyDescent="0.2">
      <c r="A35" s="45">
        <v>26</v>
      </c>
      <c r="B35" s="233">
        <f t="shared" si="2"/>
        <v>0</v>
      </c>
      <c r="C35" s="32"/>
      <c r="D35" s="38">
        <f t="shared" si="0"/>
        <v>0</v>
      </c>
      <c r="E35" s="88"/>
      <c r="F35" s="90"/>
      <c r="G35" s="93"/>
      <c r="H35" s="93"/>
      <c r="I35" s="93"/>
      <c r="J35" s="93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8"/>
      <c r="F36" s="89"/>
      <c r="G36" s="92"/>
      <c r="H36" s="92"/>
      <c r="I36" s="92"/>
      <c r="J36" s="92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8"/>
      <c r="F37" s="89"/>
      <c r="G37" s="92"/>
      <c r="H37" s="92"/>
      <c r="I37" s="92"/>
      <c r="J37" s="92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0"/>
      <c r="F38" s="341"/>
      <c r="G38" s="92"/>
      <c r="H38" s="92"/>
      <c r="I38" s="92"/>
      <c r="J38" s="92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8"/>
      <c r="F39" s="89"/>
      <c r="G39" s="92"/>
      <c r="H39" s="92"/>
      <c r="I39" s="92"/>
      <c r="J39" s="92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8"/>
      <c r="F40" s="89"/>
      <c r="G40" s="92"/>
      <c r="H40" s="92"/>
      <c r="I40" s="92"/>
      <c r="J40" s="92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SUM(D10:D39)</f>
        <v>-13036646</v>
      </c>
      <c r="E41" s="88"/>
      <c r="F41" s="89"/>
      <c r="G41" s="92"/>
      <c r="H41" s="92"/>
      <c r="I41" s="92"/>
      <c r="J41" s="92"/>
    </row>
    <row r="42" spans="1:10" ht="12" customHeight="1" thickTop="1" x14ac:dyDescent="0.2">
      <c r="E42" s="88"/>
      <c r="F42" s="89"/>
      <c r="G42" s="92"/>
      <c r="H42" s="92"/>
      <c r="I42" s="92"/>
      <c r="J42" s="92"/>
    </row>
    <row r="43" spans="1:10" ht="14.25" customHeight="1" x14ac:dyDescent="0.2">
      <c r="E43" s="91"/>
      <c r="F43" s="89"/>
      <c r="G43" s="92"/>
      <c r="H43" s="92"/>
      <c r="I43" s="92"/>
      <c r="J43" s="9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7" workbookViewId="0">
      <selection activeCell="C30" sqref="C3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6" t="s">
        <v>30</v>
      </c>
      <c r="D1" s="336"/>
    </row>
    <row r="2" spans="1:5" x14ac:dyDescent="0.2">
      <c r="C2" s="336"/>
      <c r="D2" s="336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44317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7" t="s">
        <v>32</v>
      </c>
      <c r="C8" s="339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11639934</v>
      </c>
      <c r="C10" s="32">
        <v>11643159</v>
      </c>
      <c r="D10" s="38">
        <f>C10-B10</f>
        <v>3225</v>
      </c>
      <c r="E10" s="29"/>
    </row>
    <row r="11" spans="1:5" ht="13.5" customHeight="1" x14ac:dyDescent="0.2">
      <c r="A11" s="45">
        <v>2</v>
      </c>
      <c r="B11" s="33">
        <f>C10</f>
        <v>11643159</v>
      </c>
      <c r="C11" s="32">
        <v>11645947</v>
      </c>
      <c r="D11" s="38">
        <f t="shared" ref="D11:D36" si="0">C11-B11</f>
        <v>2788</v>
      </c>
      <c r="E11" s="34"/>
    </row>
    <row r="12" spans="1:5" ht="13.5" customHeight="1" x14ac:dyDescent="0.2">
      <c r="A12" s="45">
        <v>3</v>
      </c>
      <c r="B12" s="33">
        <f t="shared" ref="B12:B39" si="1">C11</f>
        <v>11645947</v>
      </c>
      <c r="C12" s="32">
        <v>11649082</v>
      </c>
      <c r="D12" s="38">
        <f t="shared" si="0"/>
        <v>3135</v>
      </c>
      <c r="E12" s="34"/>
    </row>
    <row r="13" spans="1:5" ht="13.5" customHeight="1" x14ac:dyDescent="0.2">
      <c r="A13" s="45">
        <v>4</v>
      </c>
      <c r="B13" s="33">
        <f t="shared" si="1"/>
        <v>11649082</v>
      </c>
      <c r="C13" s="32">
        <v>11651119</v>
      </c>
      <c r="D13" s="38">
        <f t="shared" si="0"/>
        <v>2037</v>
      </c>
      <c r="E13" s="34"/>
    </row>
    <row r="14" spans="1:5" ht="13.5" customHeight="1" x14ac:dyDescent="0.2">
      <c r="A14" s="45">
        <v>5</v>
      </c>
      <c r="B14" s="33">
        <f t="shared" si="1"/>
        <v>11651119</v>
      </c>
      <c r="C14" s="32">
        <v>11654066</v>
      </c>
      <c r="D14" s="38">
        <f t="shared" si="0"/>
        <v>2947</v>
      </c>
      <c r="E14" s="34"/>
    </row>
    <row r="15" spans="1:5" ht="13.5" customHeight="1" x14ac:dyDescent="0.2">
      <c r="A15" s="45">
        <v>6</v>
      </c>
      <c r="B15" s="33">
        <f t="shared" si="1"/>
        <v>11654066</v>
      </c>
      <c r="C15" s="32">
        <v>11656700</v>
      </c>
      <c r="D15" s="38">
        <f t="shared" si="0"/>
        <v>2634</v>
      </c>
      <c r="E15" s="34"/>
    </row>
    <row r="16" spans="1:5" ht="13.5" customHeight="1" x14ac:dyDescent="0.2">
      <c r="A16" s="45">
        <v>7</v>
      </c>
      <c r="B16" s="33">
        <f t="shared" si="1"/>
        <v>11656700</v>
      </c>
      <c r="C16" s="32">
        <v>11660022</v>
      </c>
      <c r="D16" s="38">
        <f t="shared" si="0"/>
        <v>3322</v>
      </c>
      <c r="E16" s="34"/>
    </row>
    <row r="17" spans="1:5" ht="13.5" customHeight="1" x14ac:dyDescent="0.2">
      <c r="A17" s="45">
        <v>8</v>
      </c>
      <c r="B17" s="33">
        <f t="shared" si="1"/>
        <v>11660022</v>
      </c>
      <c r="C17" s="32">
        <v>11663033</v>
      </c>
      <c r="D17" s="38">
        <f t="shared" si="0"/>
        <v>3011</v>
      </c>
      <c r="E17" s="34"/>
    </row>
    <row r="18" spans="1:5" ht="13.5" customHeight="1" x14ac:dyDescent="0.2">
      <c r="A18" s="45">
        <v>9</v>
      </c>
      <c r="B18" s="33">
        <f t="shared" si="1"/>
        <v>11663033</v>
      </c>
      <c r="C18" s="32">
        <v>11667340</v>
      </c>
      <c r="D18" s="38">
        <f t="shared" si="0"/>
        <v>4307</v>
      </c>
      <c r="E18" s="34"/>
    </row>
    <row r="19" spans="1:5" ht="13.5" customHeight="1" x14ac:dyDescent="0.2">
      <c r="A19" s="45">
        <v>10</v>
      </c>
      <c r="B19" s="33">
        <f t="shared" si="1"/>
        <v>11667340</v>
      </c>
      <c r="C19" s="32">
        <v>11669968</v>
      </c>
      <c r="D19" s="38">
        <f t="shared" si="0"/>
        <v>2628</v>
      </c>
      <c r="E19" s="34"/>
    </row>
    <row r="20" spans="1:5" ht="13.5" customHeight="1" x14ac:dyDescent="0.2">
      <c r="A20" s="45">
        <v>11</v>
      </c>
      <c r="B20" s="33">
        <f t="shared" si="1"/>
        <v>11669968</v>
      </c>
      <c r="C20" s="32">
        <v>11671066</v>
      </c>
      <c r="D20" s="38">
        <f t="shared" si="0"/>
        <v>1098</v>
      </c>
      <c r="E20" s="34"/>
    </row>
    <row r="21" spans="1:5" ht="13.5" customHeight="1" x14ac:dyDescent="0.2">
      <c r="A21" s="45">
        <v>12</v>
      </c>
      <c r="B21" s="33">
        <f t="shared" si="1"/>
        <v>11671066</v>
      </c>
      <c r="C21" s="32">
        <v>11673429</v>
      </c>
      <c r="D21" s="38">
        <f t="shared" si="0"/>
        <v>2363</v>
      </c>
      <c r="E21" s="34"/>
    </row>
    <row r="22" spans="1:5" ht="13.5" customHeight="1" x14ac:dyDescent="0.2">
      <c r="A22" s="45">
        <v>13</v>
      </c>
      <c r="B22" s="33">
        <f t="shared" si="1"/>
        <v>11673429</v>
      </c>
      <c r="C22" s="32">
        <v>11673429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11673429</v>
      </c>
      <c r="C23" s="32">
        <v>11674541</v>
      </c>
      <c r="D23" s="38">
        <f t="shared" si="0"/>
        <v>1112</v>
      </c>
      <c r="E23" s="34"/>
    </row>
    <row r="24" spans="1:5" ht="13.5" customHeight="1" x14ac:dyDescent="0.2">
      <c r="A24" s="45">
        <v>15</v>
      </c>
      <c r="B24" s="33">
        <f t="shared" si="1"/>
        <v>11674541</v>
      </c>
      <c r="C24" s="32">
        <v>11676520</v>
      </c>
      <c r="D24" s="38">
        <f t="shared" si="0"/>
        <v>1979</v>
      </c>
      <c r="E24" s="34"/>
    </row>
    <row r="25" spans="1:5" ht="13.5" customHeight="1" x14ac:dyDescent="0.2">
      <c r="A25" s="45">
        <v>16</v>
      </c>
      <c r="B25" s="33">
        <f t="shared" si="1"/>
        <v>11676520</v>
      </c>
      <c r="C25" s="32">
        <v>11680264</v>
      </c>
      <c r="D25" s="38">
        <f t="shared" si="0"/>
        <v>3744</v>
      </c>
      <c r="E25" s="34"/>
    </row>
    <row r="26" spans="1:5" ht="13.5" customHeight="1" x14ac:dyDescent="0.2">
      <c r="A26" s="45">
        <v>17</v>
      </c>
      <c r="B26" s="33">
        <f t="shared" si="1"/>
        <v>11680264</v>
      </c>
      <c r="C26" s="32">
        <v>11682780</v>
      </c>
      <c r="D26" s="38">
        <f t="shared" si="0"/>
        <v>2516</v>
      </c>
      <c r="E26" s="34"/>
    </row>
    <row r="27" spans="1:5" ht="13.5" customHeight="1" x14ac:dyDescent="0.2">
      <c r="A27" s="45">
        <v>18</v>
      </c>
      <c r="B27" s="33">
        <f t="shared" si="1"/>
        <v>11682780</v>
      </c>
      <c r="C27" s="85">
        <v>11687575</v>
      </c>
      <c r="D27" s="86">
        <f t="shared" si="0"/>
        <v>4795</v>
      </c>
      <c r="E27" s="87"/>
    </row>
    <row r="28" spans="1:5" ht="13.5" customHeight="1" x14ac:dyDescent="0.2">
      <c r="A28" s="45">
        <v>19</v>
      </c>
      <c r="B28" s="33">
        <f t="shared" si="1"/>
        <v>11687575</v>
      </c>
      <c r="C28" s="32">
        <v>11691520</v>
      </c>
      <c r="D28" s="38">
        <f>C28-B28</f>
        <v>3945</v>
      </c>
      <c r="E28" s="34"/>
    </row>
    <row r="29" spans="1:5" ht="13.5" customHeight="1" x14ac:dyDescent="0.2">
      <c r="A29" s="45">
        <v>20</v>
      </c>
      <c r="B29" s="33">
        <f t="shared" si="1"/>
        <v>11691520</v>
      </c>
      <c r="C29" s="32">
        <v>11693164</v>
      </c>
      <c r="D29" s="38">
        <f t="shared" si="0"/>
        <v>1644</v>
      </c>
      <c r="E29" s="34"/>
    </row>
    <row r="30" spans="1:5" ht="13.5" customHeight="1" x14ac:dyDescent="0.2">
      <c r="A30" s="45">
        <v>21</v>
      </c>
      <c r="B30" s="33">
        <f t="shared" si="1"/>
        <v>11693164</v>
      </c>
      <c r="C30" s="32"/>
      <c r="D30" s="38">
        <f t="shared" si="0"/>
        <v>-11693164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SUM(D10:D39)</f>
        <v>-11639934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1" workbookViewId="0">
      <selection activeCell="C30" sqref="C3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6" t="s">
        <v>16</v>
      </c>
      <c r="D1" s="336"/>
    </row>
    <row r="2" spans="1:5" x14ac:dyDescent="0.2">
      <c r="C2" s="336"/>
      <c r="D2" s="336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8"/>
      <c r="B5" s="136"/>
      <c r="C5" s="137"/>
      <c r="D5" s="137"/>
      <c r="E5" s="137"/>
    </row>
    <row r="6" spans="1:5" x14ac:dyDescent="0.2">
      <c r="A6" s="74">
        <v>44317</v>
      </c>
    </row>
    <row r="7" spans="1:5" ht="13.5" thickBot="1" x14ac:dyDescent="0.25">
      <c r="A7" s="138"/>
    </row>
    <row r="8" spans="1:5" ht="15.75" customHeight="1" thickBot="1" x14ac:dyDescent="0.25">
      <c r="A8" s="58"/>
      <c r="B8" s="337" t="s">
        <v>34</v>
      </c>
      <c r="C8" s="339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18150999</v>
      </c>
      <c r="C10" s="32">
        <v>18154561</v>
      </c>
      <c r="D10" s="38">
        <f>C10-B10</f>
        <v>3562</v>
      </c>
      <c r="E10" s="29"/>
    </row>
    <row r="11" spans="1:5" ht="13.5" customHeight="1" x14ac:dyDescent="0.2">
      <c r="A11" s="61">
        <v>2</v>
      </c>
      <c r="B11" s="33">
        <f>C10</f>
        <v>18154561</v>
      </c>
      <c r="C11" s="32">
        <v>18166187</v>
      </c>
      <c r="D11" s="38">
        <f t="shared" ref="D11:D37" si="0">C11-B11</f>
        <v>11626</v>
      </c>
      <c r="E11" s="34"/>
    </row>
    <row r="12" spans="1:5" ht="13.5" customHeight="1" x14ac:dyDescent="0.2">
      <c r="A12" s="60">
        <v>3</v>
      </c>
      <c r="B12" s="33">
        <f t="shared" ref="B12:B38" si="1">C11</f>
        <v>18166187</v>
      </c>
      <c r="C12" s="32">
        <v>18169344</v>
      </c>
      <c r="D12" s="38">
        <f t="shared" si="0"/>
        <v>3157</v>
      </c>
      <c r="E12" s="34"/>
    </row>
    <row r="13" spans="1:5" ht="13.5" customHeight="1" x14ac:dyDescent="0.2">
      <c r="A13" s="61">
        <v>4</v>
      </c>
      <c r="B13" s="33">
        <f t="shared" si="1"/>
        <v>18169344</v>
      </c>
      <c r="C13" s="32">
        <v>18178545</v>
      </c>
      <c r="D13" s="38">
        <f t="shared" si="0"/>
        <v>9201</v>
      </c>
      <c r="E13" s="34"/>
    </row>
    <row r="14" spans="1:5" ht="13.5" customHeight="1" x14ac:dyDescent="0.2">
      <c r="A14" s="60">
        <v>5</v>
      </c>
      <c r="B14" s="33">
        <f t="shared" si="1"/>
        <v>18178545</v>
      </c>
      <c r="C14" s="32">
        <v>18185834</v>
      </c>
      <c r="D14" s="38">
        <f t="shared" si="0"/>
        <v>7289</v>
      </c>
      <c r="E14" s="34"/>
    </row>
    <row r="15" spans="1:5" ht="13.5" customHeight="1" x14ac:dyDescent="0.2">
      <c r="A15" s="61">
        <v>6</v>
      </c>
      <c r="B15" s="33">
        <f t="shared" si="1"/>
        <v>18185834</v>
      </c>
      <c r="C15" s="32">
        <v>18194999</v>
      </c>
      <c r="D15" s="38">
        <f t="shared" si="0"/>
        <v>9165</v>
      </c>
      <c r="E15" s="34"/>
    </row>
    <row r="16" spans="1:5" ht="13.5" customHeight="1" x14ac:dyDescent="0.2">
      <c r="A16" s="60">
        <v>7</v>
      </c>
      <c r="B16" s="33">
        <f t="shared" si="1"/>
        <v>18194999</v>
      </c>
      <c r="C16" s="32">
        <v>18199219</v>
      </c>
      <c r="D16" s="38">
        <f t="shared" si="0"/>
        <v>4220</v>
      </c>
      <c r="E16" s="34"/>
    </row>
    <row r="17" spans="1:5" ht="13.5" customHeight="1" x14ac:dyDescent="0.2">
      <c r="A17" s="61">
        <v>8</v>
      </c>
      <c r="B17" s="33">
        <f t="shared" si="1"/>
        <v>18199219</v>
      </c>
      <c r="C17" s="32">
        <v>18206095</v>
      </c>
      <c r="D17" s="38">
        <f t="shared" si="0"/>
        <v>6876</v>
      </c>
      <c r="E17" s="34"/>
    </row>
    <row r="18" spans="1:5" ht="13.5" customHeight="1" x14ac:dyDescent="0.2">
      <c r="A18" s="60">
        <v>9</v>
      </c>
      <c r="B18" s="33">
        <f t="shared" si="1"/>
        <v>18206095</v>
      </c>
      <c r="C18" s="32">
        <v>18210366</v>
      </c>
      <c r="D18" s="38">
        <f t="shared" si="0"/>
        <v>4271</v>
      </c>
      <c r="E18" s="34"/>
    </row>
    <row r="19" spans="1:5" ht="13.5" customHeight="1" x14ac:dyDescent="0.2">
      <c r="A19" s="61">
        <v>10</v>
      </c>
      <c r="B19" s="33">
        <f t="shared" si="1"/>
        <v>18210366</v>
      </c>
      <c r="C19" s="32">
        <v>18221207</v>
      </c>
      <c r="D19" s="38">
        <f t="shared" si="0"/>
        <v>10841</v>
      </c>
      <c r="E19" s="34"/>
    </row>
    <row r="20" spans="1:5" ht="13.5" customHeight="1" x14ac:dyDescent="0.2">
      <c r="A20" s="60">
        <v>11</v>
      </c>
      <c r="B20" s="33">
        <f t="shared" si="1"/>
        <v>18221207</v>
      </c>
      <c r="C20" s="32">
        <v>18229301</v>
      </c>
      <c r="D20" s="38">
        <f t="shared" si="0"/>
        <v>8094</v>
      </c>
      <c r="E20" s="34"/>
    </row>
    <row r="21" spans="1:5" ht="13.5" customHeight="1" x14ac:dyDescent="0.2">
      <c r="A21" s="61">
        <v>12</v>
      </c>
      <c r="B21" s="33">
        <f t="shared" si="1"/>
        <v>18229301</v>
      </c>
      <c r="C21" s="32">
        <v>18233113</v>
      </c>
      <c r="D21" s="38">
        <f t="shared" si="0"/>
        <v>3812</v>
      </c>
      <c r="E21" s="34"/>
    </row>
    <row r="22" spans="1:5" ht="13.5" customHeight="1" x14ac:dyDescent="0.2">
      <c r="A22" s="60">
        <v>13</v>
      </c>
      <c r="B22" s="33">
        <f t="shared" si="1"/>
        <v>18233113</v>
      </c>
      <c r="C22" s="32">
        <v>18236468</v>
      </c>
      <c r="D22" s="38">
        <f t="shared" si="0"/>
        <v>3355</v>
      </c>
      <c r="E22" s="34"/>
    </row>
    <row r="23" spans="1:5" ht="13.5" customHeight="1" x14ac:dyDescent="0.2">
      <c r="A23" s="61">
        <v>14</v>
      </c>
      <c r="B23" s="33">
        <f t="shared" si="1"/>
        <v>18236468</v>
      </c>
      <c r="C23" s="32">
        <v>18240489</v>
      </c>
      <c r="D23" s="38">
        <f t="shared" si="0"/>
        <v>4021</v>
      </c>
      <c r="E23" s="34"/>
    </row>
    <row r="24" spans="1:5" ht="13.5" customHeight="1" x14ac:dyDescent="0.2">
      <c r="A24" s="60">
        <v>15</v>
      </c>
      <c r="B24" s="33">
        <f t="shared" si="1"/>
        <v>18240489</v>
      </c>
      <c r="C24" s="32">
        <v>18248379</v>
      </c>
      <c r="D24" s="38">
        <f t="shared" si="0"/>
        <v>7890</v>
      </c>
      <c r="E24" s="34"/>
    </row>
    <row r="25" spans="1:5" ht="13.5" customHeight="1" x14ac:dyDescent="0.2">
      <c r="A25" s="61">
        <v>16</v>
      </c>
      <c r="B25" s="33">
        <f t="shared" si="1"/>
        <v>18248379</v>
      </c>
      <c r="C25" s="32">
        <v>18253048</v>
      </c>
      <c r="D25" s="38">
        <f t="shared" si="0"/>
        <v>4669</v>
      </c>
      <c r="E25" s="34"/>
    </row>
    <row r="26" spans="1:5" ht="13.5" customHeight="1" x14ac:dyDescent="0.2">
      <c r="A26" s="60">
        <v>17</v>
      </c>
      <c r="B26" s="33">
        <f t="shared" si="1"/>
        <v>18253048</v>
      </c>
      <c r="C26" s="32">
        <v>18260274</v>
      </c>
      <c r="D26" s="38">
        <f t="shared" si="0"/>
        <v>7226</v>
      </c>
      <c r="E26" s="34"/>
    </row>
    <row r="27" spans="1:5" ht="13.5" customHeight="1" x14ac:dyDescent="0.2">
      <c r="A27" s="61">
        <v>18</v>
      </c>
      <c r="B27" s="33">
        <f t="shared" si="1"/>
        <v>18260274</v>
      </c>
      <c r="C27" s="32">
        <v>18260692</v>
      </c>
      <c r="D27" s="38">
        <f t="shared" si="0"/>
        <v>418</v>
      </c>
      <c r="E27" s="34"/>
    </row>
    <row r="28" spans="1:5" ht="13.5" customHeight="1" x14ac:dyDescent="0.2">
      <c r="A28" s="60">
        <v>19</v>
      </c>
      <c r="B28" s="33">
        <f t="shared" si="1"/>
        <v>18260692</v>
      </c>
      <c r="C28" s="32">
        <v>18260692</v>
      </c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18260692</v>
      </c>
      <c r="C29" s="32">
        <v>18260692</v>
      </c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18260692</v>
      </c>
      <c r="C30" s="32"/>
      <c r="D30" s="38">
        <f t="shared" si="0"/>
        <v>-18260692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35">
        <v>26</v>
      </c>
      <c r="B35" s="233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SUM(D10:D39)</f>
        <v>-18150999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24" sqref="H24"/>
    </sheetView>
  </sheetViews>
  <sheetFormatPr defaultRowHeight="12.75" x14ac:dyDescent="0.2"/>
  <cols>
    <col min="1" max="1" width="10.140625" bestFit="1" customWidth="1"/>
    <col min="2" max="2" width="13.85546875" style="305" customWidth="1"/>
    <col min="3" max="3" width="10.7109375" style="305" customWidth="1"/>
    <col min="4" max="4" width="12.42578125" style="305" customWidth="1"/>
    <col min="5" max="5" width="5.85546875" customWidth="1"/>
    <col min="6" max="6" width="12.85546875" customWidth="1"/>
    <col min="7" max="7" width="12.85546875" style="305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4" t="s">
        <v>176</v>
      </c>
      <c r="B1" s="345"/>
      <c r="C1" s="345"/>
      <c r="D1" s="346"/>
      <c r="F1" s="350" t="s">
        <v>179</v>
      </c>
      <c r="G1" s="351"/>
      <c r="H1" s="352"/>
    </row>
    <row r="2" spans="1:13" x14ac:dyDescent="0.2">
      <c r="A2" s="307">
        <v>44317</v>
      </c>
      <c r="B2" s="316"/>
      <c r="C2" s="316"/>
      <c r="D2" s="308"/>
      <c r="F2" s="353"/>
      <c r="G2" s="354"/>
      <c r="H2" s="355"/>
    </row>
    <row r="3" spans="1:13" x14ac:dyDescent="0.2">
      <c r="A3" s="313"/>
      <c r="B3" s="314"/>
      <c r="C3" s="314"/>
      <c r="D3" s="315" t="s">
        <v>38</v>
      </c>
      <c r="E3" s="306"/>
      <c r="F3" s="347" t="s">
        <v>64</v>
      </c>
      <c r="G3" s="348"/>
      <c r="H3" s="349"/>
    </row>
    <row r="4" spans="1:13" s="18" customFormat="1" ht="34.5" customHeight="1" x14ac:dyDescent="0.2">
      <c r="A4" s="317" t="s">
        <v>39</v>
      </c>
      <c r="B4" s="317" t="s">
        <v>40</v>
      </c>
      <c r="C4" s="317" t="s">
        <v>41</v>
      </c>
      <c r="D4" s="318" t="s">
        <v>177</v>
      </c>
      <c r="E4" s="319"/>
      <c r="F4" s="320" t="s">
        <v>54</v>
      </c>
      <c r="G4" s="320" t="s">
        <v>55</v>
      </c>
      <c r="H4" s="321" t="s">
        <v>178</v>
      </c>
      <c r="J4" s="312" t="s">
        <v>69</v>
      </c>
      <c r="L4" s="342" t="s">
        <v>70</v>
      </c>
      <c r="M4" s="343"/>
    </row>
    <row r="5" spans="1:13" x14ac:dyDescent="0.2">
      <c r="A5" s="103">
        <v>1</v>
      </c>
      <c r="B5" s="62">
        <v>43850220</v>
      </c>
      <c r="C5" s="309">
        <v>43858440</v>
      </c>
      <c r="D5" s="309">
        <f>C5-B5</f>
        <v>8220</v>
      </c>
      <c r="F5" s="98">
        <v>360610</v>
      </c>
      <c r="G5" s="304">
        <v>361070</v>
      </c>
      <c r="H5" s="304">
        <f>G5-F5</f>
        <v>460</v>
      </c>
      <c r="J5" s="101">
        <f>D5/200</f>
        <v>41.1</v>
      </c>
      <c r="L5" s="8">
        <f>2.68*D5</f>
        <v>22029.600000000002</v>
      </c>
      <c r="M5" s="8">
        <f>L5/1000</f>
        <v>22.029600000000002</v>
      </c>
    </row>
    <row r="6" spans="1:13" x14ac:dyDescent="0.2">
      <c r="A6" s="103">
        <v>2</v>
      </c>
      <c r="B6" s="62">
        <f>C5</f>
        <v>43858440</v>
      </c>
      <c r="C6" s="62">
        <v>43867150</v>
      </c>
      <c r="D6" s="309">
        <f>C6-B6</f>
        <v>8710</v>
      </c>
      <c r="F6" s="98">
        <f>G5</f>
        <v>361070</v>
      </c>
      <c r="G6" s="304">
        <v>361480</v>
      </c>
      <c r="H6" s="304">
        <f t="shared" ref="H6:H34" si="0">G6-F6</f>
        <v>410</v>
      </c>
      <c r="J6" s="101">
        <f t="shared" ref="J6:J34" si="1">D6/200</f>
        <v>43.55</v>
      </c>
      <c r="L6" s="8">
        <f t="shared" ref="L6:L35" si="2">2.68*D6</f>
        <v>23342.800000000003</v>
      </c>
      <c r="M6" s="8">
        <f t="shared" ref="M6:M35" si="3">L6/1000</f>
        <v>23.342800000000004</v>
      </c>
    </row>
    <row r="7" spans="1:13" x14ac:dyDescent="0.2">
      <c r="A7" s="103">
        <v>3</v>
      </c>
      <c r="B7" s="62">
        <f t="shared" ref="B7:B34" si="4">C6</f>
        <v>43867150</v>
      </c>
      <c r="C7" s="62">
        <v>43875580</v>
      </c>
      <c r="D7" s="309">
        <f t="shared" ref="D7:D31" si="5">C7-B7</f>
        <v>8430</v>
      </c>
      <c r="F7" s="98">
        <f t="shared" ref="F7:F34" si="6">G6</f>
        <v>361480</v>
      </c>
      <c r="G7" s="304">
        <v>361980</v>
      </c>
      <c r="H7" s="304">
        <f t="shared" si="0"/>
        <v>500</v>
      </c>
      <c r="J7" s="101">
        <f t="shared" si="1"/>
        <v>42.15</v>
      </c>
      <c r="L7" s="8">
        <f t="shared" si="2"/>
        <v>22592.400000000001</v>
      </c>
      <c r="M7" s="8">
        <f t="shared" si="3"/>
        <v>22.592400000000001</v>
      </c>
    </row>
    <row r="8" spans="1:13" x14ac:dyDescent="0.2">
      <c r="A8" s="103">
        <v>4</v>
      </c>
      <c r="B8" s="62">
        <f t="shared" si="4"/>
        <v>43875580</v>
      </c>
      <c r="C8" s="62">
        <v>43883650</v>
      </c>
      <c r="D8" s="309">
        <f t="shared" si="5"/>
        <v>8070</v>
      </c>
      <c r="F8" s="98">
        <f t="shared" si="6"/>
        <v>361980</v>
      </c>
      <c r="G8" s="304">
        <v>362430</v>
      </c>
      <c r="H8" s="304">
        <f t="shared" si="0"/>
        <v>450</v>
      </c>
      <c r="J8" s="101">
        <f t="shared" si="1"/>
        <v>40.35</v>
      </c>
      <c r="L8" s="8">
        <f t="shared" si="2"/>
        <v>21627.600000000002</v>
      </c>
      <c r="M8" s="8">
        <f t="shared" si="3"/>
        <v>21.627600000000001</v>
      </c>
    </row>
    <row r="9" spans="1:13" x14ac:dyDescent="0.2">
      <c r="A9" s="103">
        <v>5</v>
      </c>
      <c r="B9" s="62">
        <f t="shared" si="4"/>
        <v>43883650</v>
      </c>
      <c r="C9" s="62">
        <v>43891850</v>
      </c>
      <c r="D9" s="309">
        <f t="shared" si="5"/>
        <v>8200</v>
      </c>
      <c r="F9" s="98">
        <f t="shared" si="6"/>
        <v>362430</v>
      </c>
      <c r="G9" s="304">
        <v>362860</v>
      </c>
      <c r="H9" s="304">
        <f t="shared" si="0"/>
        <v>430</v>
      </c>
      <c r="J9" s="101">
        <f t="shared" si="1"/>
        <v>41</v>
      </c>
      <c r="L9" s="8">
        <f t="shared" si="2"/>
        <v>21976</v>
      </c>
      <c r="M9" s="8">
        <f t="shared" si="3"/>
        <v>21.975999999999999</v>
      </c>
    </row>
    <row r="10" spans="1:13" x14ac:dyDescent="0.2">
      <c r="A10" s="103">
        <v>6</v>
      </c>
      <c r="B10" s="62">
        <f t="shared" si="4"/>
        <v>43891850</v>
      </c>
      <c r="C10" s="62">
        <v>43900420</v>
      </c>
      <c r="D10" s="309">
        <f t="shared" si="5"/>
        <v>8570</v>
      </c>
      <c r="F10" s="98">
        <f t="shared" si="6"/>
        <v>362860</v>
      </c>
      <c r="G10" s="304">
        <v>363310</v>
      </c>
      <c r="H10" s="304">
        <f t="shared" si="0"/>
        <v>450</v>
      </c>
      <c r="J10" s="101">
        <f t="shared" si="1"/>
        <v>42.85</v>
      </c>
      <c r="L10" s="8">
        <f t="shared" si="2"/>
        <v>22967.600000000002</v>
      </c>
      <c r="M10" s="8">
        <f t="shared" si="3"/>
        <v>22.967600000000001</v>
      </c>
    </row>
    <row r="11" spans="1:13" x14ac:dyDescent="0.2">
      <c r="A11" s="103">
        <v>7</v>
      </c>
      <c r="B11" s="62">
        <f t="shared" si="4"/>
        <v>43900420</v>
      </c>
      <c r="C11" s="62">
        <v>43908800</v>
      </c>
      <c r="D11" s="309">
        <f t="shared" si="5"/>
        <v>8380</v>
      </c>
      <c r="F11" s="98">
        <f t="shared" si="6"/>
        <v>363310</v>
      </c>
      <c r="G11" s="304">
        <v>363740</v>
      </c>
      <c r="H11" s="304">
        <f t="shared" si="0"/>
        <v>430</v>
      </c>
      <c r="J11" s="101">
        <f t="shared" si="1"/>
        <v>41.9</v>
      </c>
      <c r="L11" s="8">
        <f t="shared" si="2"/>
        <v>22458.400000000001</v>
      </c>
      <c r="M11" s="8">
        <f t="shared" si="3"/>
        <v>22.458400000000001</v>
      </c>
    </row>
    <row r="12" spans="1:13" x14ac:dyDescent="0.2">
      <c r="A12" s="103">
        <v>8</v>
      </c>
      <c r="B12" s="62">
        <f t="shared" si="4"/>
        <v>43908800</v>
      </c>
      <c r="C12" s="62">
        <v>43917450</v>
      </c>
      <c r="D12" s="309">
        <f t="shared" si="5"/>
        <v>8650</v>
      </c>
      <c r="F12" s="98">
        <f t="shared" si="6"/>
        <v>363740</v>
      </c>
      <c r="G12" s="304">
        <v>364230</v>
      </c>
      <c r="H12" s="304">
        <f t="shared" si="0"/>
        <v>490</v>
      </c>
      <c r="J12" s="101">
        <f t="shared" si="1"/>
        <v>43.25</v>
      </c>
      <c r="L12" s="8">
        <f t="shared" si="2"/>
        <v>23182</v>
      </c>
      <c r="M12" s="8">
        <f t="shared" si="3"/>
        <v>23.181999999999999</v>
      </c>
    </row>
    <row r="13" spans="1:13" x14ac:dyDescent="0.2">
      <c r="A13" s="103">
        <v>9</v>
      </c>
      <c r="B13" s="62">
        <f t="shared" si="4"/>
        <v>43917450</v>
      </c>
      <c r="C13" s="62">
        <v>43925800</v>
      </c>
      <c r="D13" s="309">
        <f t="shared" si="5"/>
        <v>8350</v>
      </c>
      <c r="F13" s="98">
        <f t="shared" si="6"/>
        <v>364230</v>
      </c>
      <c r="G13" s="304">
        <v>364630</v>
      </c>
      <c r="H13" s="304">
        <f t="shared" si="0"/>
        <v>400</v>
      </c>
      <c r="J13" s="101">
        <f t="shared" si="1"/>
        <v>41.75</v>
      </c>
      <c r="L13" s="8">
        <f t="shared" si="2"/>
        <v>22378</v>
      </c>
      <c r="M13" s="8">
        <f t="shared" si="3"/>
        <v>22.378</v>
      </c>
    </row>
    <row r="14" spans="1:13" x14ac:dyDescent="0.2">
      <c r="A14" s="103">
        <v>10</v>
      </c>
      <c r="B14" s="62">
        <f t="shared" si="4"/>
        <v>43925800</v>
      </c>
      <c r="C14" s="62">
        <v>43934260</v>
      </c>
      <c r="D14" s="309">
        <f t="shared" si="5"/>
        <v>8460</v>
      </c>
      <c r="F14" s="98">
        <f t="shared" si="6"/>
        <v>364630</v>
      </c>
      <c r="G14" s="304">
        <v>365130</v>
      </c>
      <c r="H14" s="304">
        <f t="shared" si="0"/>
        <v>500</v>
      </c>
      <c r="J14" s="101">
        <f t="shared" si="1"/>
        <v>42.3</v>
      </c>
      <c r="L14" s="8">
        <f t="shared" si="2"/>
        <v>22672.800000000003</v>
      </c>
      <c r="M14" s="8">
        <f t="shared" si="3"/>
        <v>22.672800000000002</v>
      </c>
    </row>
    <row r="15" spans="1:13" x14ac:dyDescent="0.2">
      <c r="A15" s="103">
        <v>11</v>
      </c>
      <c r="B15" s="62">
        <f t="shared" si="4"/>
        <v>43934260</v>
      </c>
      <c r="C15" s="62">
        <v>43942400</v>
      </c>
      <c r="D15" s="309">
        <f t="shared" si="5"/>
        <v>8140</v>
      </c>
      <c r="F15" s="98">
        <f t="shared" si="6"/>
        <v>365130</v>
      </c>
      <c r="G15" s="304">
        <v>365620</v>
      </c>
      <c r="H15" s="304">
        <f t="shared" si="0"/>
        <v>490</v>
      </c>
      <c r="J15" s="101">
        <f t="shared" si="1"/>
        <v>40.700000000000003</v>
      </c>
      <c r="L15" s="8">
        <f t="shared" si="2"/>
        <v>21815.200000000001</v>
      </c>
      <c r="M15" s="8">
        <f t="shared" si="3"/>
        <v>21.815200000000001</v>
      </c>
    </row>
    <row r="16" spans="1:13" x14ac:dyDescent="0.2">
      <c r="A16" s="103">
        <v>12</v>
      </c>
      <c r="B16" s="62">
        <f t="shared" si="4"/>
        <v>43942400</v>
      </c>
      <c r="C16" s="62">
        <v>43950470</v>
      </c>
      <c r="D16" s="309">
        <f t="shared" si="5"/>
        <v>8070</v>
      </c>
      <c r="F16" s="98">
        <f t="shared" si="6"/>
        <v>365620</v>
      </c>
      <c r="G16" s="304">
        <v>366050</v>
      </c>
      <c r="H16" s="304">
        <f t="shared" si="0"/>
        <v>430</v>
      </c>
      <c r="J16" s="101">
        <f t="shared" si="1"/>
        <v>40.35</v>
      </c>
      <c r="L16" s="8">
        <f t="shared" si="2"/>
        <v>21627.600000000002</v>
      </c>
      <c r="M16" s="8">
        <f t="shared" si="3"/>
        <v>21.627600000000001</v>
      </c>
    </row>
    <row r="17" spans="1:13" x14ac:dyDescent="0.2">
      <c r="A17" s="103">
        <v>13</v>
      </c>
      <c r="B17" s="62">
        <f t="shared" si="4"/>
        <v>43950470</v>
      </c>
      <c r="C17" s="62">
        <v>43958430</v>
      </c>
      <c r="D17" s="309">
        <f t="shared" si="5"/>
        <v>7960</v>
      </c>
      <c r="F17" s="98">
        <f t="shared" si="6"/>
        <v>366050</v>
      </c>
      <c r="G17" s="304">
        <v>366530</v>
      </c>
      <c r="H17" s="304">
        <f t="shared" si="0"/>
        <v>480</v>
      </c>
      <c r="J17" s="101">
        <f t="shared" si="1"/>
        <v>39.799999999999997</v>
      </c>
      <c r="L17" s="8">
        <f t="shared" si="2"/>
        <v>21332.800000000003</v>
      </c>
      <c r="M17" s="8">
        <f t="shared" si="3"/>
        <v>21.332800000000002</v>
      </c>
    </row>
    <row r="18" spans="1:13" x14ac:dyDescent="0.2">
      <c r="A18" s="103">
        <v>14</v>
      </c>
      <c r="B18" s="62">
        <f t="shared" si="4"/>
        <v>43958430</v>
      </c>
      <c r="C18" s="62">
        <v>43966410</v>
      </c>
      <c r="D18" s="309">
        <f t="shared" si="5"/>
        <v>7980</v>
      </c>
      <c r="F18" s="98">
        <f t="shared" si="6"/>
        <v>366530</v>
      </c>
      <c r="G18" s="304">
        <v>367030</v>
      </c>
      <c r="H18" s="304">
        <f t="shared" si="0"/>
        <v>500</v>
      </c>
      <c r="J18" s="101">
        <f t="shared" si="1"/>
        <v>39.9</v>
      </c>
      <c r="L18" s="8">
        <f t="shared" si="2"/>
        <v>21386.400000000001</v>
      </c>
      <c r="M18" s="8">
        <f t="shared" si="3"/>
        <v>21.386400000000002</v>
      </c>
    </row>
    <row r="19" spans="1:13" x14ac:dyDescent="0.2">
      <c r="A19" s="103">
        <v>15</v>
      </c>
      <c r="B19" s="62">
        <f t="shared" si="4"/>
        <v>43966410</v>
      </c>
      <c r="C19" s="62">
        <v>43974670</v>
      </c>
      <c r="D19" s="309">
        <f t="shared" si="5"/>
        <v>8260</v>
      </c>
      <c r="F19" s="98">
        <f t="shared" si="6"/>
        <v>367030</v>
      </c>
      <c r="G19" s="304">
        <v>367450</v>
      </c>
      <c r="H19" s="304">
        <f t="shared" si="0"/>
        <v>420</v>
      </c>
      <c r="J19" s="101">
        <f t="shared" si="1"/>
        <v>41.3</v>
      </c>
      <c r="L19" s="8">
        <f t="shared" si="2"/>
        <v>22136.800000000003</v>
      </c>
      <c r="M19" s="8">
        <f t="shared" si="3"/>
        <v>22.136800000000004</v>
      </c>
    </row>
    <row r="20" spans="1:13" x14ac:dyDescent="0.2">
      <c r="A20" s="103">
        <v>16</v>
      </c>
      <c r="B20" s="62">
        <f t="shared" si="4"/>
        <v>43974670</v>
      </c>
      <c r="C20" s="62">
        <v>43983660</v>
      </c>
      <c r="D20" s="309">
        <f t="shared" si="5"/>
        <v>8990</v>
      </c>
      <c r="F20" s="98">
        <f t="shared" si="6"/>
        <v>367450</v>
      </c>
      <c r="G20" s="304">
        <v>367820</v>
      </c>
      <c r="H20" s="304">
        <f t="shared" si="0"/>
        <v>370</v>
      </c>
      <c r="J20" s="101">
        <f t="shared" si="1"/>
        <v>44.95</v>
      </c>
      <c r="L20" s="8">
        <f t="shared" si="2"/>
        <v>24093.200000000001</v>
      </c>
      <c r="M20" s="8">
        <f t="shared" si="3"/>
        <v>24.0932</v>
      </c>
    </row>
    <row r="21" spans="1:13" x14ac:dyDescent="0.2">
      <c r="A21" s="103">
        <v>17</v>
      </c>
      <c r="B21" s="62">
        <f t="shared" si="4"/>
        <v>43983660</v>
      </c>
      <c r="C21" s="62">
        <v>43992360</v>
      </c>
      <c r="D21" s="309">
        <f t="shared" si="5"/>
        <v>8700</v>
      </c>
      <c r="F21" s="98">
        <f t="shared" si="6"/>
        <v>367820</v>
      </c>
      <c r="G21" s="304">
        <v>368200</v>
      </c>
      <c r="H21" s="304">
        <f t="shared" si="0"/>
        <v>380</v>
      </c>
      <c r="J21" s="101">
        <f t="shared" si="1"/>
        <v>43.5</v>
      </c>
      <c r="L21" s="8">
        <f t="shared" si="2"/>
        <v>23316</v>
      </c>
      <c r="M21" s="8">
        <f t="shared" si="3"/>
        <v>23.315999999999999</v>
      </c>
    </row>
    <row r="22" spans="1:13" x14ac:dyDescent="0.2">
      <c r="A22" s="103">
        <v>18</v>
      </c>
      <c r="B22" s="62">
        <f t="shared" si="4"/>
        <v>43992360</v>
      </c>
      <c r="C22" s="62">
        <v>44000860</v>
      </c>
      <c r="D22" s="309">
        <f t="shared" si="5"/>
        <v>8500</v>
      </c>
      <c r="F22" s="98">
        <f t="shared" si="6"/>
        <v>368200</v>
      </c>
      <c r="G22" s="304">
        <v>368580</v>
      </c>
      <c r="H22" s="304">
        <f t="shared" si="0"/>
        <v>380</v>
      </c>
      <c r="J22" s="101">
        <f t="shared" si="1"/>
        <v>42.5</v>
      </c>
      <c r="L22" s="8">
        <f t="shared" si="2"/>
        <v>22780</v>
      </c>
      <c r="M22" s="8">
        <f t="shared" si="3"/>
        <v>22.78</v>
      </c>
    </row>
    <row r="23" spans="1:13" x14ac:dyDescent="0.2">
      <c r="A23" s="103">
        <v>19</v>
      </c>
      <c r="B23" s="62">
        <f t="shared" si="4"/>
        <v>44000860</v>
      </c>
      <c r="C23" s="62">
        <v>44009420</v>
      </c>
      <c r="D23" s="309">
        <f t="shared" si="5"/>
        <v>8560</v>
      </c>
      <c r="F23" s="98">
        <f t="shared" si="6"/>
        <v>368580</v>
      </c>
      <c r="G23" s="304">
        <v>368950</v>
      </c>
      <c r="H23" s="304">
        <f t="shared" si="0"/>
        <v>370</v>
      </c>
      <c r="J23" s="101">
        <f t="shared" si="1"/>
        <v>42.8</v>
      </c>
      <c r="L23" s="8">
        <f t="shared" si="2"/>
        <v>22940.800000000003</v>
      </c>
      <c r="M23" s="8">
        <f t="shared" si="3"/>
        <v>22.940800000000003</v>
      </c>
    </row>
    <row r="24" spans="1:13" x14ac:dyDescent="0.2">
      <c r="A24" s="103">
        <v>20</v>
      </c>
      <c r="B24" s="62">
        <f t="shared" si="4"/>
        <v>44009420</v>
      </c>
      <c r="C24" s="62">
        <v>44017890</v>
      </c>
      <c r="D24" s="309">
        <f t="shared" si="5"/>
        <v>8470</v>
      </c>
      <c r="F24" s="98">
        <f t="shared" si="6"/>
        <v>368950</v>
      </c>
      <c r="G24" s="304">
        <v>369380</v>
      </c>
      <c r="H24" s="304">
        <f t="shared" si="0"/>
        <v>430</v>
      </c>
      <c r="J24" s="101">
        <f t="shared" si="1"/>
        <v>42.35</v>
      </c>
      <c r="L24" s="8">
        <f t="shared" si="2"/>
        <v>22699.600000000002</v>
      </c>
      <c r="M24" s="8">
        <f t="shared" si="3"/>
        <v>22.699600000000004</v>
      </c>
    </row>
    <row r="25" spans="1:13" x14ac:dyDescent="0.2">
      <c r="A25" s="103">
        <v>21</v>
      </c>
      <c r="B25" s="62">
        <f t="shared" si="4"/>
        <v>44017890</v>
      </c>
      <c r="C25" s="62"/>
      <c r="D25" s="309">
        <f t="shared" si="5"/>
        <v>-44017890</v>
      </c>
      <c r="F25" s="98">
        <f t="shared" si="6"/>
        <v>369380</v>
      </c>
      <c r="G25" s="304"/>
      <c r="H25" s="304">
        <f t="shared" si="0"/>
        <v>-369380</v>
      </c>
      <c r="J25" s="101">
        <f t="shared" si="1"/>
        <v>-220089.45</v>
      </c>
      <c r="L25" s="8">
        <f t="shared" si="2"/>
        <v>-117967945.2</v>
      </c>
      <c r="M25" s="8">
        <f t="shared" si="3"/>
        <v>-117967.9452</v>
      </c>
    </row>
    <row r="26" spans="1:13" x14ac:dyDescent="0.2">
      <c r="A26" s="103">
        <v>22</v>
      </c>
      <c r="B26" s="62">
        <f t="shared" si="4"/>
        <v>0</v>
      </c>
      <c r="C26" s="62"/>
      <c r="D26" s="309">
        <f t="shared" si="5"/>
        <v>0</v>
      </c>
      <c r="F26" s="98">
        <f t="shared" si="6"/>
        <v>0</v>
      </c>
      <c r="G26" s="304"/>
      <c r="H26" s="304">
        <f t="shared" si="0"/>
        <v>0</v>
      </c>
      <c r="J26" s="101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3">
        <v>23</v>
      </c>
      <c r="B27" s="62">
        <f t="shared" si="4"/>
        <v>0</v>
      </c>
      <c r="C27" s="62"/>
      <c r="D27" s="309">
        <f t="shared" si="5"/>
        <v>0</v>
      </c>
      <c r="F27" s="98">
        <f t="shared" si="6"/>
        <v>0</v>
      </c>
      <c r="G27" s="304"/>
      <c r="H27" s="304">
        <f t="shared" si="0"/>
        <v>0</v>
      </c>
      <c r="J27" s="101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3">
        <v>24</v>
      </c>
      <c r="B28" s="62">
        <f t="shared" si="4"/>
        <v>0</v>
      </c>
      <c r="C28" s="62"/>
      <c r="D28" s="309">
        <f t="shared" si="5"/>
        <v>0</v>
      </c>
      <c r="F28" s="98">
        <f t="shared" si="6"/>
        <v>0</v>
      </c>
      <c r="G28" s="304"/>
      <c r="H28" s="304">
        <f t="shared" si="0"/>
        <v>0</v>
      </c>
      <c r="J28" s="101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3">
        <v>25</v>
      </c>
      <c r="B29" s="62">
        <f t="shared" si="4"/>
        <v>0</v>
      </c>
      <c r="C29" s="62"/>
      <c r="D29" s="310">
        <f t="shared" si="5"/>
        <v>0</v>
      </c>
      <c r="E29" s="90"/>
      <c r="F29" s="98">
        <f t="shared" si="6"/>
        <v>0</v>
      </c>
      <c r="G29" s="304"/>
      <c r="H29" s="304">
        <f t="shared" si="0"/>
        <v>0</v>
      </c>
      <c r="J29" s="101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3">
        <v>26</v>
      </c>
      <c r="B30" s="62">
        <f t="shared" si="4"/>
        <v>0</v>
      </c>
      <c r="C30" s="62"/>
      <c r="D30" s="309">
        <f t="shared" si="5"/>
        <v>0</v>
      </c>
      <c r="F30" s="98">
        <f t="shared" si="6"/>
        <v>0</v>
      </c>
      <c r="G30" s="304"/>
      <c r="H30" s="304">
        <f t="shared" si="0"/>
        <v>0</v>
      </c>
      <c r="J30" s="101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3">
        <v>27</v>
      </c>
      <c r="B31" s="62">
        <f t="shared" si="4"/>
        <v>0</v>
      </c>
      <c r="C31" s="62"/>
      <c r="D31" s="309">
        <f t="shared" si="5"/>
        <v>0</v>
      </c>
      <c r="F31" s="98">
        <f t="shared" si="6"/>
        <v>0</v>
      </c>
      <c r="G31" s="304"/>
      <c r="H31" s="304">
        <f t="shared" si="0"/>
        <v>0</v>
      </c>
      <c r="J31" s="101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3">
        <v>28</v>
      </c>
      <c r="B32" s="62">
        <f t="shared" si="4"/>
        <v>0</v>
      </c>
      <c r="C32" s="62"/>
      <c r="D32" s="309">
        <f>C32-B32</f>
        <v>0</v>
      </c>
      <c r="F32" s="98">
        <f t="shared" si="6"/>
        <v>0</v>
      </c>
      <c r="G32" s="304"/>
      <c r="H32" s="304">
        <f t="shared" si="0"/>
        <v>0</v>
      </c>
      <c r="J32" s="101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3">
        <v>29</v>
      </c>
      <c r="B33" s="62">
        <f t="shared" si="4"/>
        <v>0</v>
      </c>
      <c r="C33" s="62"/>
      <c r="D33" s="309">
        <f t="shared" ref="D33:D34" si="7">C33-B33</f>
        <v>0</v>
      </c>
      <c r="F33" s="98">
        <f t="shared" si="6"/>
        <v>0</v>
      </c>
      <c r="G33" s="304"/>
      <c r="H33" s="304">
        <f t="shared" si="0"/>
        <v>0</v>
      </c>
      <c r="J33" s="101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3">
        <v>30</v>
      </c>
      <c r="B34" s="62">
        <f t="shared" si="4"/>
        <v>0</v>
      </c>
      <c r="C34" s="62"/>
      <c r="D34" s="309">
        <f t="shared" si="7"/>
        <v>0</v>
      </c>
      <c r="F34" s="98">
        <f t="shared" si="6"/>
        <v>0</v>
      </c>
      <c r="G34" s="304"/>
      <c r="H34" s="304">
        <f t="shared" si="0"/>
        <v>0</v>
      </c>
      <c r="J34" s="101">
        <f t="shared" si="1"/>
        <v>0</v>
      </c>
      <c r="L34" s="8">
        <f t="shared" si="2"/>
        <v>0</v>
      </c>
      <c r="M34" s="8">
        <f t="shared" si="3"/>
        <v>0</v>
      </c>
    </row>
    <row r="35" spans="1:13" ht="13.5" thickBot="1" x14ac:dyDescent="0.25">
      <c r="D35" s="311">
        <f>SUM(D5:D34)</f>
        <v>-43850220</v>
      </c>
      <c r="F35" s="99"/>
      <c r="G35" s="388"/>
      <c r="H35" s="304"/>
      <c r="J35" s="101">
        <f>SUM(J5:J34)</f>
        <v>-219251.1</v>
      </c>
      <c r="L35" s="8">
        <f t="shared" si="2"/>
        <v>-117518589.60000001</v>
      </c>
      <c r="M35" s="8">
        <f t="shared" si="3"/>
        <v>-117518.58960000001</v>
      </c>
    </row>
    <row r="36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0"/>
  <sheetViews>
    <sheetView showWhiteSpace="0" topLeftCell="A6" zoomScaleNormal="100" workbookViewId="0">
      <selection activeCell="E29" sqref="E29"/>
    </sheetView>
  </sheetViews>
  <sheetFormatPr defaultRowHeight="12.75" x14ac:dyDescent="0.2"/>
  <cols>
    <col min="1" max="1" width="5.28515625" style="135" customWidth="1"/>
    <col min="2" max="2" width="12.7109375" customWidth="1"/>
    <col min="3" max="3" width="9.85546875" customWidth="1"/>
    <col min="4" max="4" width="16.140625" style="2" customWidth="1"/>
    <col min="5" max="5" width="16.28515625" style="236" customWidth="1"/>
    <col min="10" max="10" width="12" bestFit="1" customWidth="1"/>
  </cols>
  <sheetData>
    <row r="1" spans="1:11" ht="6.75" customHeight="1" x14ac:dyDescent="0.2">
      <c r="B1" s="18"/>
      <c r="C1" s="336"/>
      <c r="D1" s="336"/>
    </row>
    <row r="2" spans="1:11" hidden="1" x14ac:dyDescent="0.2">
      <c r="B2" s="18"/>
      <c r="C2" s="336"/>
      <c r="D2" s="336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4"/>
      <c r="B5" s="74">
        <v>44317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23"/>
      <c r="B7" s="356" t="s">
        <v>44</v>
      </c>
      <c r="C7" s="356"/>
      <c r="D7" s="356"/>
      <c r="E7" s="356"/>
    </row>
    <row r="8" spans="1:11" ht="38.25" x14ac:dyDescent="0.2">
      <c r="A8" s="323" t="s">
        <v>5</v>
      </c>
      <c r="B8" s="324" t="s">
        <v>19</v>
      </c>
      <c r="C8" s="325" t="s">
        <v>20</v>
      </c>
      <c r="D8" s="326" t="s">
        <v>29</v>
      </c>
      <c r="E8" s="324" t="s">
        <v>137</v>
      </c>
    </row>
    <row r="9" spans="1:11" x14ac:dyDescent="0.2">
      <c r="A9" s="322">
        <v>1</v>
      </c>
      <c r="B9" s="33">
        <v>2596702</v>
      </c>
      <c r="C9" s="33">
        <v>2599882</v>
      </c>
      <c r="D9" s="68">
        <f t="shared" ref="D9:D38" si="0">C9-B9</f>
        <v>3180</v>
      </c>
      <c r="E9" s="309" t="s">
        <v>139</v>
      </c>
    </row>
    <row r="10" spans="1:11" x14ac:dyDescent="0.2">
      <c r="A10" s="70">
        <v>2</v>
      </c>
      <c r="B10" s="33">
        <f>C9</f>
        <v>2599882</v>
      </c>
      <c r="C10" s="33">
        <v>2603096</v>
      </c>
      <c r="D10" s="68">
        <f t="shared" si="0"/>
        <v>3214</v>
      </c>
      <c r="E10" s="62" t="s">
        <v>139</v>
      </c>
    </row>
    <row r="11" spans="1:11" x14ac:dyDescent="0.2">
      <c r="A11" s="135">
        <v>3</v>
      </c>
      <c r="B11" s="33">
        <f t="shared" ref="B11:B38" si="1">C10</f>
        <v>2603096</v>
      </c>
      <c r="C11" s="33">
        <v>2605432</v>
      </c>
      <c r="D11" s="68">
        <f t="shared" si="0"/>
        <v>2336</v>
      </c>
      <c r="E11" s="62" t="s">
        <v>168</v>
      </c>
    </row>
    <row r="12" spans="1:11" x14ac:dyDescent="0.2">
      <c r="A12" s="70">
        <v>4</v>
      </c>
      <c r="B12" s="33">
        <f t="shared" si="1"/>
        <v>2605432</v>
      </c>
      <c r="C12" s="33">
        <v>2608508</v>
      </c>
      <c r="D12" s="68">
        <f t="shared" si="0"/>
        <v>3076</v>
      </c>
      <c r="E12" s="62" t="s">
        <v>139</v>
      </c>
    </row>
    <row r="13" spans="1:11" x14ac:dyDescent="0.2">
      <c r="A13" s="135">
        <v>5</v>
      </c>
      <c r="B13" s="33">
        <f t="shared" si="1"/>
        <v>2608508</v>
      </c>
      <c r="C13" s="33">
        <v>2611686</v>
      </c>
      <c r="D13" s="68">
        <f t="shared" si="0"/>
        <v>3178</v>
      </c>
      <c r="E13" s="62" t="s">
        <v>139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2611686</v>
      </c>
      <c r="C14" s="33">
        <v>2614660</v>
      </c>
      <c r="D14" s="68">
        <f t="shared" si="0"/>
        <v>2974</v>
      </c>
      <c r="E14" s="75" t="s">
        <v>169</v>
      </c>
      <c r="J14" s="100" t="s">
        <v>67</v>
      </c>
      <c r="K14" t="s">
        <v>68</v>
      </c>
    </row>
    <row r="15" spans="1:11" x14ac:dyDescent="0.2">
      <c r="A15" s="135">
        <v>7</v>
      </c>
      <c r="B15" s="33">
        <f t="shared" si="1"/>
        <v>2614660</v>
      </c>
      <c r="C15" s="33">
        <v>2617514</v>
      </c>
      <c r="D15" s="68">
        <f t="shared" si="0"/>
        <v>2854</v>
      </c>
      <c r="E15" s="71" t="s">
        <v>168</v>
      </c>
    </row>
    <row r="16" spans="1:11" x14ac:dyDescent="0.2">
      <c r="A16" s="70">
        <v>8</v>
      </c>
      <c r="B16" s="33">
        <f t="shared" si="1"/>
        <v>2617514</v>
      </c>
      <c r="C16" s="33">
        <v>2620188</v>
      </c>
      <c r="D16" s="68">
        <f t="shared" si="0"/>
        <v>2674</v>
      </c>
      <c r="E16" s="71" t="s">
        <v>168</v>
      </c>
    </row>
    <row r="17" spans="1:5" x14ac:dyDescent="0.2">
      <c r="A17" s="135">
        <v>9</v>
      </c>
      <c r="B17" s="33">
        <f t="shared" si="1"/>
        <v>2620188</v>
      </c>
      <c r="C17" s="33">
        <v>2623300</v>
      </c>
      <c r="D17" s="68">
        <f t="shared" si="0"/>
        <v>3112</v>
      </c>
      <c r="E17" s="71" t="s">
        <v>172</v>
      </c>
    </row>
    <row r="18" spans="1:5" x14ac:dyDescent="0.2">
      <c r="A18" s="70">
        <v>10</v>
      </c>
      <c r="B18" s="33">
        <f t="shared" si="1"/>
        <v>2623300</v>
      </c>
      <c r="C18" s="33">
        <v>2625730</v>
      </c>
      <c r="D18" s="68">
        <f t="shared" si="0"/>
        <v>2430</v>
      </c>
      <c r="E18" s="71" t="s">
        <v>173</v>
      </c>
    </row>
    <row r="19" spans="1:5" x14ac:dyDescent="0.2">
      <c r="A19" s="135">
        <v>11</v>
      </c>
      <c r="B19" s="33">
        <f t="shared" si="1"/>
        <v>2625730</v>
      </c>
      <c r="C19" s="33">
        <v>2627531</v>
      </c>
      <c r="D19" s="68">
        <f t="shared" si="0"/>
        <v>1801</v>
      </c>
      <c r="E19" s="71" t="s">
        <v>174</v>
      </c>
    </row>
    <row r="20" spans="1:5" x14ac:dyDescent="0.2">
      <c r="A20" s="70">
        <v>12</v>
      </c>
      <c r="B20" s="33">
        <f t="shared" si="1"/>
        <v>2627531</v>
      </c>
      <c r="C20" s="33">
        <v>2629512</v>
      </c>
      <c r="D20" s="68">
        <f t="shared" si="0"/>
        <v>1981</v>
      </c>
      <c r="E20" s="237" t="s">
        <v>174</v>
      </c>
    </row>
    <row r="21" spans="1:5" x14ac:dyDescent="0.2">
      <c r="A21" s="135">
        <v>13</v>
      </c>
      <c r="B21" s="33">
        <f t="shared" si="1"/>
        <v>2629512</v>
      </c>
      <c r="C21" s="33">
        <v>2630510</v>
      </c>
      <c r="D21" s="68">
        <f t="shared" si="0"/>
        <v>998</v>
      </c>
      <c r="E21" s="237" t="s">
        <v>175</v>
      </c>
    </row>
    <row r="22" spans="1:5" x14ac:dyDescent="0.2">
      <c r="A22" s="70">
        <v>14</v>
      </c>
      <c r="B22" s="33">
        <f t="shared" si="1"/>
        <v>2630510</v>
      </c>
      <c r="C22" s="33">
        <v>2631046</v>
      </c>
      <c r="D22" s="68">
        <f t="shared" si="0"/>
        <v>536</v>
      </c>
      <c r="E22" s="71" t="s">
        <v>175</v>
      </c>
    </row>
    <row r="23" spans="1:5" x14ac:dyDescent="0.2">
      <c r="A23" s="135">
        <v>15</v>
      </c>
      <c r="B23" s="33">
        <f t="shared" si="1"/>
        <v>2631046</v>
      </c>
      <c r="C23" s="33">
        <v>2632696</v>
      </c>
      <c r="D23" s="68">
        <f t="shared" si="0"/>
        <v>1650</v>
      </c>
      <c r="E23" s="71" t="s">
        <v>174</v>
      </c>
    </row>
    <row r="24" spans="1:5" x14ac:dyDescent="0.2">
      <c r="A24" s="70">
        <v>16</v>
      </c>
      <c r="B24" s="33">
        <f t="shared" si="1"/>
        <v>2632696</v>
      </c>
      <c r="C24" s="33">
        <v>2635837</v>
      </c>
      <c r="D24" s="68">
        <f t="shared" si="0"/>
        <v>3141</v>
      </c>
      <c r="E24" s="75" t="s">
        <v>139</v>
      </c>
    </row>
    <row r="25" spans="1:5" x14ac:dyDescent="0.2">
      <c r="A25" s="135">
        <v>17</v>
      </c>
      <c r="B25" s="33">
        <f t="shared" si="1"/>
        <v>2635837</v>
      </c>
      <c r="C25" s="33">
        <v>2639105</v>
      </c>
      <c r="D25" s="68">
        <f t="shared" si="0"/>
        <v>3268</v>
      </c>
      <c r="E25" s="75" t="s">
        <v>172</v>
      </c>
    </row>
    <row r="26" spans="1:5" x14ac:dyDescent="0.2">
      <c r="A26" s="70">
        <v>18</v>
      </c>
      <c r="B26" s="33">
        <f t="shared" si="1"/>
        <v>2639105</v>
      </c>
      <c r="C26" s="33">
        <v>2642373</v>
      </c>
      <c r="D26" s="68">
        <f t="shared" si="0"/>
        <v>3268</v>
      </c>
      <c r="E26" s="62" t="s">
        <v>172</v>
      </c>
    </row>
    <row r="27" spans="1:5" x14ac:dyDescent="0.2">
      <c r="A27" s="135">
        <v>19</v>
      </c>
      <c r="B27" s="33">
        <f t="shared" si="1"/>
        <v>2642373</v>
      </c>
      <c r="C27" s="33">
        <v>2645683</v>
      </c>
      <c r="D27" s="68">
        <f t="shared" si="0"/>
        <v>3310</v>
      </c>
      <c r="E27" s="62" t="s">
        <v>172</v>
      </c>
    </row>
    <row r="28" spans="1:5" x14ac:dyDescent="0.2">
      <c r="A28" s="70">
        <v>20</v>
      </c>
      <c r="B28" s="33">
        <f t="shared" si="1"/>
        <v>2645683</v>
      </c>
      <c r="C28" s="33">
        <v>2648567</v>
      </c>
      <c r="D28" s="68">
        <f t="shared" si="0"/>
        <v>2884</v>
      </c>
      <c r="E28" s="237" t="s">
        <v>173</v>
      </c>
    </row>
    <row r="29" spans="1:5" x14ac:dyDescent="0.2">
      <c r="A29" s="135">
        <v>21</v>
      </c>
      <c r="B29" s="33">
        <f t="shared" si="1"/>
        <v>2648567</v>
      </c>
      <c r="C29" s="33"/>
      <c r="D29" s="68">
        <f t="shared" si="0"/>
        <v>-2648567</v>
      </c>
      <c r="E29" s="62"/>
    </row>
    <row r="30" spans="1:5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62"/>
    </row>
    <row r="31" spans="1:5" x14ac:dyDescent="0.2">
      <c r="A31" s="135">
        <v>23</v>
      </c>
      <c r="B31" s="33">
        <f t="shared" si="1"/>
        <v>0</v>
      </c>
      <c r="C31" s="33"/>
      <c r="D31" s="68">
        <f t="shared" si="0"/>
        <v>0</v>
      </c>
      <c r="E31" s="62"/>
    </row>
    <row r="32" spans="1:5" x14ac:dyDescent="0.2">
      <c r="A32" s="70">
        <v>24</v>
      </c>
      <c r="B32" s="33">
        <f t="shared" si="1"/>
        <v>0</v>
      </c>
      <c r="C32" s="97"/>
      <c r="D32" s="68">
        <f t="shared" si="0"/>
        <v>0</v>
      </c>
      <c r="E32" s="71"/>
    </row>
    <row r="33" spans="1:5" x14ac:dyDescent="0.2">
      <c r="A33" s="135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5">
        <v>27</v>
      </c>
      <c r="B35" s="33">
        <f t="shared" si="1"/>
        <v>0</v>
      </c>
      <c r="C35" s="33"/>
      <c r="D35" s="68">
        <f t="shared" si="0"/>
        <v>0</v>
      </c>
      <c r="E35" s="237"/>
    </row>
    <row r="36" spans="1:5" x14ac:dyDescent="0.2">
      <c r="A36" s="70">
        <v>28</v>
      </c>
      <c r="B36" s="33">
        <f t="shared" si="1"/>
        <v>0</v>
      </c>
      <c r="C36" s="238"/>
      <c r="D36" s="68">
        <f t="shared" si="0"/>
        <v>0</v>
      </c>
      <c r="E36" s="237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7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7"/>
    </row>
    <row r="39" spans="1:5" ht="13.5" thickBot="1" x14ac:dyDescent="0.25">
      <c r="A39" s="135" t="s">
        <v>7</v>
      </c>
      <c r="B39" s="18"/>
      <c r="C39" s="18"/>
      <c r="D39" s="69">
        <f>SUM(D9:D38)</f>
        <v>-2596702</v>
      </c>
    </row>
    <row r="40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S36"/>
  <sheetViews>
    <sheetView zoomScale="85" zoomScaleNormal="85" workbookViewId="0">
      <pane xSplit="3" ySplit="4" topLeftCell="CE5" activePane="bottomRight" state="frozen"/>
      <selection pane="topRight" activeCell="D1" sqref="D1"/>
      <selection pane="bottomLeft" activeCell="A9" sqref="A9"/>
      <selection pane="bottomRight" activeCell="CJ18" sqref="CJ18"/>
    </sheetView>
  </sheetViews>
  <sheetFormatPr defaultRowHeight="12.75" x14ac:dyDescent="0.2"/>
  <cols>
    <col min="1" max="1" width="5" customWidth="1"/>
    <col min="2" max="3" width="11.7109375" style="18" customWidth="1"/>
    <col min="4" max="5" width="14.28515625" style="18" customWidth="1"/>
    <col min="6" max="6" width="9.28515625" style="18" customWidth="1"/>
    <col min="7" max="8" width="11.7109375" style="18" customWidth="1"/>
    <col min="9" max="9" width="12.28515625" style="18" bestFit="1" customWidth="1"/>
    <col min="10" max="10" width="12.28515625" style="18" customWidth="1"/>
    <col min="11" max="11" width="8.7109375" style="18" customWidth="1"/>
    <col min="12" max="12" width="11.7109375" style="18" customWidth="1"/>
    <col min="13" max="13" width="11.7109375" customWidth="1"/>
    <col min="14" max="14" width="12.5703125" customWidth="1"/>
    <col min="15" max="15" width="12.28515625" customWidth="1"/>
    <col min="16" max="16" width="7.85546875" customWidth="1"/>
    <col min="17" max="17" width="10.28515625" style="18" bestFit="1" customWidth="1"/>
    <col min="18" max="18" width="11.28515625" customWidth="1"/>
    <col min="19" max="19" width="11.28515625" bestFit="1" customWidth="1"/>
    <col min="20" max="20" width="12.28515625" customWidth="1"/>
    <col min="21" max="21" width="7.85546875" customWidth="1"/>
    <col min="22" max="22" width="10.28515625" style="18" customWidth="1"/>
    <col min="23" max="23" width="11.42578125" customWidth="1"/>
    <col min="24" max="24" width="11.28515625" bestFit="1" customWidth="1"/>
    <col min="25" max="25" width="12.28515625" customWidth="1"/>
    <col min="26" max="26" width="7.85546875" customWidth="1"/>
    <col min="27" max="27" width="10.28515625" style="18" bestFit="1" customWidth="1"/>
    <col min="28" max="28" width="11.140625" bestFit="1" customWidth="1"/>
    <col min="29" max="29" width="11.7109375" bestFit="1" customWidth="1"/>
    <col min="30" max="30" width="12.28515625" customWidth="1"/>
    <col min="31" max="31" width="7.85546875" customWidth="1"/>
    <col min="32" max="32" width="9" style="18" customWidth="1"/>
    <col min="33" max="33" width="9" customWidth="1"/>
    <col min="34" max="34" width="10.7109375" bestFit="1" customWidth="1"/>
    <col min="35" max="35" width="12.28515625" customWidth="1"/>
    <col min="36" max="36" width="7.85546875" customWidth="1"/>
    <col min="37" max="37" width="9" style="18" customWidth="1"/>
    <col min="38" max="38" width="9" customWidth="1"/>
    <col min="39" max="39" width="11.85546875" bestFit="1" customWidth="1"/>
    <col min="40" max="40" width="12.28515625" customWidth="1"/>
    <col min="41" max="41" width="7.85546875" customWidth="1"/>
    <col min="42" max="42" width="10.28515625" style="18" customWidth="1"/>
    <col min="43" max="43" width="9" customWidth="1"/>
    <col min="44" max="44" width="11.28515625" bestFit="1" customWidth="1"/>
    <col min="45" max="45" width="12.28515625" customWidth="1"/>
    <col min="46" max="46" width="7.85546875" customWidth="1"/>
    <col min="47" max="47" width="9" style="18" customWidth="1"/>
    <col min="48" max="48" width="9" customWidth="1"/>
    <col min="49" max="49" width="10.28515625" customWidth="1"/>
    <col min="50" max="50" width="12.28515625" customWidth="1"/>
    <col min="51" max="51" width="7.85546875" customWidth="1"/>
    <col min="52" max="52" width="9" style="18" customWidth="1"/>
    <col min="53" max="53" width="9" customWidth="1"/>
    <col min="54" max="54" width="10.7109375" bestFit="1" customWidth="1"/>
    <col min="55" max="55" width="12.28515625" customWidth="1"/>
    <col min="56" max="56" width="7.85546875" customWidth="1"/>
    <col min="57" max="57" width="9.85546875" style="18" bestFit="1" customWidth="1"/>
    <col min="58" max="58" width="9" customWidth="1"/>
    <col min="59" max="59" width="10.7109375" bestFit="1" customWidth="1"/>
    <col min="60" max="60" width="12.28515625" customWidth="1"/>
    <col min="61" max="61" width="7.85546875" customWidth="1"/>
    <col min="62" max="62" width="9" style="18" customWidth="1"/>
    <col min="63" max="63" width="9" customWidth="1"/>
    <col min="64" max="64" width="10.7109375" bestFit="1" customWidth="1"/>
    <col min="65" max="65" width="12.28515625" customWidth="1"/>
    <col min="66" max="66" width="7.85546875" customWidth="1"/>
    <col min="67" max="67" width="9.85546875" style="18" bestFit="1" customWidth="1"/>
    <col min="68" max="68" width="9" customWidth="1"/>
    <col min="69" max="69" width="11.85546875" bestFit="1" customWidth="1"/>
    <col min="70" max="70" width="12.28515625" customWidth="1"/>
    <col min="71" max="71" width="7.85546875" customWidth="1"/>
    <col min="72" max="72" width="9.85546875" style="18" bestFit="1" customWidth="1"/>
    <col min="73" max="73" width="9" customWidth="1"/>
    <col min="74" max="74" width="11.85546875" bestFit="1" customWidth="1"/>
    <col min="75" max="75" width="12.28515625" customWidth="1"/>
    <col min="76" max="76" width="7.85546875" customWidth="1"/>
    <col min="77" max="77" width="9.85546875" style="18" bestFit="1" customWidth="1"/>
    <col min="78" max="78" width="9" customWidth="1"/>
    <col min="79" max="79" width="11.85546875" bestFit="1" customWidth="1"/>
    <col min="80" max="80" width="12.28515625" customWidth="1"/>
    <col min="81" max="81" width="7.85546875" customWidth="1"/>
    <col min="82" max="82" width="9.85546875" style="18" bestFit="1" customWidth="1"/>
    <col min="83" max="83" width="9" customWidth="1"/>
    <col min="84" max="84" width="11.85546875" bestFit="1" customWidth="1"/>
    <col min="85" max="85" width="12.28515625" customWidth="1"/>
    <col min="86" max="86" width="7.85546875" customWidth="1"/>
    <col min="87" max="89" width="11.85546875" customWidth="1"/>
    <col min="90" max="90" width="12.28515625" customWidth="1"/>
    <col min="91" max="91" width="7.85546875" customWidth="1"/>
    <col min="94" max="94" width="11.85546875" bestFit="1" customWidth="1"/>
    <col min="95" max="95" width="12.28515625" customWidth="1"/>
    <col min="96" max="96" width="7.85546875" customWidth="1"/>
    <col min="99" max="99" width="10.7109375" bestFit="1" customWidth="1"/>
    <col min="100" max="100" width="12.28515625" customWidth="1"/>
    <col min="101" max="101" width="7.85546875" customWidth="1"/>
    <col min="104" max="104" width="10.7109375" bestFit="1" customWidth="1"/>
    <col min="105" max="105" width="12.28515625" customWidth="1"/>
    <col min="106" max="106" width="7.85546875" customWidth="1"/>
    <col min="109" max="109" width="10.7109375" bestFit="1" customWidth="1"/>
    <col min="110" max="110" width="12.28515625" customWidth="1"/>
    <col min="111" max="111" width="7.85546875" customWidth="1"/>
    <col min="114" max="114" width="10.7109375" bestFit="1" customWidth="1"/>
    <col min="115" max="115" width="12.28515625" customWidth="1"/>
    <col min="116" max="116" width="7.85546875" customWidth="1"/>
    <col min="119" max="119" width="10.7109375" bestFit="1" customWidth="1"/>
    <col min="120" max="120" width="12.28515625" customWidth="1"/>
    <col min="121" max="121" width="7.85546875" customWidth="1"/>
    <col min="124" max="124" width="10.7109375" bestFit="1" customWidth="1"/>
    <col min="125" max="125" width="12.28515625" customWidth="1"/>
    <col min="126" max="126" width="7.85546875" customWidth="1"/>
    <col min="129" max="129" width="10.7109375" bestFit="1" customWidth="1"/>
    <col min="130" max="130" width="12.28515625" customWidth="1"/>
    <col min="131" max="131" width="7.85546875" customWidth="1"/>
    <col min="134" max="134" width="10.7109375" bestFit="1" customWidth="1"/>
    <col min="135" max="135" width="12.28515625" customWidth="1"/>
    <col min="136" max="136" width="7.85546875" customWidth="1"/>
    <col min="139" max="139" width="10.7109375" bestFit="1" customWidth="1"/>
    <col min="140" max="140" width="12.28515625" customWidth="1"/>
    <col min="141" max="141" width="7.85546875" customWidth="1"/>
    <col min="144" max="144" width="10.7109375" bestFit="1" customWidth="1"/>
    <col min="145" max="145" width="12.28515625" customWidth="1"/>
    <col min="146" max="146" width="7.85546875" customWidth="1"/>
    <col min="149" max="149" width="10.7109375" bestFit="1" customWidth="1"/>
    <col min="150" max="150" width="12.28515625" customWidth="1"/>
    <col min="151" max="151" width="7.85546875" customWidth="1"/>
  </cols>
  <sheetData>
    <row r="1" spans="1:151" s="1" customFormat="1" ht="23.25" customHeight="1" x14ac:dyDescent="0.2">
      <c r="A1" s="361">
        <v>44317</v>
      </c>
      <c r="B1" s="361"/>
      <c r="C1" s="366"/>
      <c r="D1" s="366"/>
      <c r="E1" s="366"/>
      <c r="F1" s="366"/>
      <c r="G1" s="366"/>
      <c r="H1" s="366"/>
      <c r="I1" s="24"/>
      <c r="J1" s="256"/>
      <c r="K1" s="256"/>
      <c r="L1" s="24"/>
      <c r="Q1" s="24"/>
      <c r="V1" s="24"/>
      <c r="AA1" s="24"/>
      <c r="AF1" s="24"/>
      <c r="AK1" s="24"/>
      <c r="AP1" s="24"/>
      <c r="AU1" s="24"/>
      <c r="AZ1" s="24"/>
      <c r="BE1" s="24"/>
      <c r="BJ1" s="24"/>
      <c r="BO1" s="105"/>
      <c r="BT1" s="105"/>
      <c r="BY1" s="105"/>
      <c r="CD1" s="102"/>
    </row>
    <row r="2" spans="1:151" ht="23.25" customHeight="1" thickBot="1" x14ac:dyDescent="0.25">
      <c r="A2" s="278" t="s">
        <v>45</v>
      </c>
    </row>
    <row r="3" spans="1:151" s="83" customFormat="1" ht="15.75" customHeight="1" thickBot="1" x14ac:dyDescent="0.25">
      <c r="A3" s="84"/>
      <c r="B3" s="362" t="s">
        <v>46</v>
      </c>
      <c r="C3" s="363"/>
      <c r="D3" s="363"/>
      <c r="E3" s="363"/>
      <c r="F3" s="363"/>
      <c r="G3" s="364" t="s">
        <v>47</v>
      </c>
      <c r="H3" s="363"/>
      <c r="I3" s="363"/>
      <c r="J3" s="363"/>
      <c r="K3" s="365"/>
      <c r="L3" s="357" t="s">
        <v>48</v>
      </c>
      <c r="M3" s="357"/>
      <c r="N3" s="357"/>
      <c r="O3" s="357"/>
      <c r="P3" s="357"/>
      <c r="Q3" s="357" t="s">
        <v>49</v>
      </c>
      <c r="R3" s="357"/>
      <c r="S3" s="357"/>
      <c r="T3" s="357"/>
      <c r="U3" s="357"/>
      <c r="V3" s="357" t="s">
        <v>50</v>
      </c>
      <c r="W3" s="357"/>
      <c r="X3" s="357"/>
      <c r="Y3" s="357"/>
      <c r="Z3" s="357"/>
      <c r="AA3" s="357" t="s">
        <v>51</v>
      </c>
      <c r="AB3" s="357"/>
      <c r="AC3" s="357"/>
      <c r="AD3" s="357"/>
      <c r="AE3" s="357"/>
      <c r="AF3" s="357" t="s">
        <v>52</v>
      </c>
      <c r="AG3" s="357"/>
      <c r="AH3" s="357"/>
      <c r="AI3" s="357"/>
      <c r="AJ3" s="357"/>
      <c r="AK3" s="357" t="s">
        <v>89</v>
      </c>
      <c r="AL3" s="357"/>
      <c r="AM3" s="357"/>
      <c r="AN3" s="357"/>
      <c r="AO3" s="357"/>
      <c r="AP3" s="357" t="s">
        <v>53</v>
      </c>
      <c r="AQ3" s="357"/>
      <c r="AR3" s="357"/>
      <c r="AS3" s="357"/>
      <c r="AT3" s="357"/>
      <c r="AU3" s="357" t="s">
        <v>78</v>
      </c>
      <c r="AV3" s="357"/>
      <c r="AW3" s="357"/>
      <c r="AX3" s="357"/>
      <c r="AY3" s="357"/>
      <c r="AZ3" s="357" t="s">
        <v>76</v>
      </c>
      <c r="BA3" s="357"/>
      <c r="BB3" s="357"/>
      <c r="BC3" s="357"/>
      <c r="BD3" s="357"/>
      <c r="BE3" s="357" t="s">
        <v>77</v>
      </c>
      <c r="BF3" s="357"/>
      <c r="BG3" s="357"/>
      <c r="BH3" s="357"/>
      <c r="BI3" s="357"/>
      <c r="BJ3" s="357" t="s">
        <v>59</v>
      </c>
      <c r="BK3" s="357"/>
      <c r="BL3" s="357"/>
      <c r="BM3" s="357"/>
      <c r="BN3" s="357"/>
      <c r="BO3" s="357" t="s">
        <v>79</v>
      </c>
      <c r="BP3" s="357"/>
      <c r="BQ3" s="357"/>
      <c r="BR3" s="357"/>
      <c r="BS3" s="357"/>
      <c r="BT3" s="357" t="s">
        <v>80</v>
      </c>
      <c r="BU3" s="357"/>
      <c r="BV3" s="357"/>
      <c r="BW3" s="357"/>
      <c r="BX3" s="357"/>
      <c r="BY3" s="357" t="s">
        <v>81</v>
      </c>
      <c r="BZ3" s="357"/>
      <c r="CA3" s="357"/>
      <c r="CB3" s="357"/>
      <c r="CC3" s="357"/>
      <c r="CD3" s="357" t="s">
        <v>71</v>
      </c>
      <c r="CE3" s="357"/>
      <c r="CF3" s="357"/>
      <c r="CG3" s="357"/>
      <c r="CH3" s="357"/>
      <c r="CI3" s="358" t="s">
        <v>72</v>
      </c>
      <c r="CJ3" s="359"/>
      <c r="CK3" s="359"/>
      <c r="CL3" s="359"/>
      <c r="CM3" s="360"/>
      <c r="CN3" s="358" t="s">
        <v>60</v>
      </c>
      <c r="CO3" s="359"/>
      <c r="CP3" s="359"/>
      <c r="CQ3" s="359"/>
      <c r="CR3" s="360"/>
      <c r="CS3" s="358" t="s">
        <v>61</v>
      </c>
      <c r="CT3" s="359"/>
      <c r="CU3" s="359"/>
      <c r="CV3" s="359"/>
      <c r="CW3" s="360"/>
      <c r="CX3" s="358" t="s">
        <v>62</v>
      </c>
      <c r="CY3" s="359"/>
      <c r="CZ3" s="359"/>
      <c r="DA3" s="359"/>
      <c r="DB3" s="360"/>
      <c r="DC3" s="358" t="s">
        <v>63</v>
      </c>
      <c r="DD3" s="359"/>
      <c r="DE3" s="359"/>
      <c r="DF3" s="359"/>
      <c r="DG3" s="360"/>
      <c r="DH3" s="358" t="s">
        <v>74</v>
      </c>
      <c r="DI3" s="359"/>
      <c r="DJ3" s="359"/>
      <c r="DK3" s="359"/>
      <c r="DL3" s="360"/>
      <c r="DM3" s="358" t="s">
        <v>90</v>
      </c>
      <c r="DN3" s="359"/>
      <c r="DO3" s="359"/>
      <c r="DP3" s="359"/>
      <c r="DQ3" s="360"/>
      <c r="DR3" s="358" t="s">
        <v>91</v>
      </c>
      <c r="DS3" s="359"/>
      <c r="DT3" s="359"/>
      <c r="DU3" s="359"/>
      <c r="DV3" s="360"/>
      <c r="DW3" s="358" t="s">
        <v>92</v>
      </c>
      <c r="DX3" s="359"/>
      <c r="DY3" s="359"/>
      <c r="DZ3" s="359"/>
      <c r="EA3" s="360"/>
      <c r="EB3" s="358" t="s">
        <v>93</v>
      </c>
      <c r="EC3" s="359"/>
      <c r="ED3" s="359"/>
      <c r="EE3" s="359"/>
      <c r="EF3" s="360"/>
      <c r="EG3" s="358" t="s">
        <v>94</v>
      </c>
      <c r="EH3" s="359"/>
      <c r="EI3" s="359"/>
      <c r="EJ3" s="359"/>
      <c r="EK3" s="360"/>
      <c r="EL3" s="358" t="s">
        <v>95</v>
      </c>
      <c r="EM3" s="359"/>
      <c r="EN3" s="359"/>
      <c r="EO3" s="359"/>
      <c r="EP3" s="360"/>
      <c r="EQ3" s="358" t="s">
        <v>96</v>
      </c>
      <c r="ER3" s="359"/>
      <c r="ES3" s="359"/>
      <c r="ET3" s="359"/>
      <c r="EU3" s="360"/>
    </row>
    <row r="4" spans="1:151" s="83" customFormat="1" ht="26.25" customHeight="1" thickBot="1" x14ac:dyDescent="0.25">
      <c r="A4" s="80" t="s">
        <v>5</v>
      </c>
      <c r="B4" s="81" t="s">
        <v>54</v>
      </c>
      <c r="C4" s="81" t="s">
        <v>55</v>
      </c>
      <c r="D4" s="82" t="s">
        <v>56</v>
      </c>
      <c r="E4" s="82" t="s">
        <v>164</v>
      </c>
      <c r="F4" s="274" t="s">
        <v>165</v>
      </c>
      <c r="G4" s="288" t="s">
        <v>54</v>
      </c>
      <c r="H4" s="81" t="s">
        <v>55</v>
      </c>
      <c r="I4" s="82" t="s">
        <v>56</v>
      </c>
      <c r="J4" s="82" t="s">
        <v>170</v>
      </c>
      <c r="K4" s="289" t="s">
        <v>165</v>
      </c>
      <c r="L4" s="301" t="s">
        <v>54</v>
      </c>
      <c r="M4" s="301" t="s">
        <v>55</v>
      </c>
      <c r="N4" s="302" t="s">
        <v>56</v>
      </c>
      <c r="O4" s="302" t="s">
        <v>171</v>
      </c>
      <c r="P4" s="302" t="s">
        <v>165</v>
      </c>
      <c r="Q4" s="301" t="s">
        <v>54</v>
      </c>
      <c r="R4" s="301" t="s">
        <v>55</v>
      </c>
      <c r="S4" s="302" t="s">
        <v>56</v>
      </c>
      <c r="T4" s="302" t="s">
        <v>170</v>
      </c>
      <c r="U4" s="302" t="s">
        <v>165</v>
      </c>
      <c r="V4" s="301" t="s">
        <v>54</v>
      </c>
      <c r="W4" s="301" t="s">
        <v>55</v>
      </c>
      <c r="X4" s="302" t="s">
        <v>56</v>
      </c>
      <c r="Y4" s="302" t="s">
        <v>170</v>
      </c>
      <c r="Z4" s="302" t="s">
        <v>165</v>
      </c>
      <c r="AA4" s="301" t="s">
        <v>54</v>
      </c>
      <c r="AB4" s="301" t="s">
        <v>55</v>
      </c>
      <c r="AC4" s="302" t="s">
        <v>56</v>
      </c>
      <c r="AD4" s="302" t="s">
        <v>170</v>
      </c>
      <c r="AE4" s="302" t="s">
        <v>165</v>
      </c>
      <c r="AF4" s="301" t="s">
        <v>54</v>
      </c>
      <c r="AG4" s="301" t="s">
        <v>55</v>
      </c>
      <c r="AH4" s="302" t="s">
        <v>56</v>
      </c>
      <c r="AI4" s="302" t="s">
        <v>170</v>
      </c>
      <c r="AJ4" s="302" t="s">
        <v>165</v>
      </c>
      <c r="AK4" s="301" t="s">
        <v>54</v>
      </c>
      <c r="AL4" s="301" t="s">
        <v>55</v>
      </c>
      <c r="AM4" s="302" t="s">
        <v>56</v>
      </c>
      <c r="AN4" s="302" t="s">
        <v>170</v>
      </c>
      <c r="AO4" s="302" t="s">
        <v>165</v>
      </c>
      <c r="AP4" s="301" t="s">
        <v>54</v>
      </c>
      <c r="AQ4" s="301" t="s">
        <v>55</v>
      </c>
      <c r="AR4" s="302" t="s">
        <v>56</v>
      </c>
      <c r="AS4" s="302" t="s">
        <v>170</v>
      </c>
      <c r="AT4" s="302" t="s">
        <v>165</v>
      </c>
      <c r="AU4" s="301" t="s">
        <v>54</v>
      </c>
      <c r="AV4" s="301" t="s">
        <v>55</v>
      </c>
      <c r="AW4" s="302" t="s">
        <v>56</v>
      </c>
      <c r="AX4" s="302" t="s">
        <v>170</v>
      </c>
      <c r="AY4" s="302" t="s">
        <v>165</v>
      </c>
      <c r="AZ4" s="301" t="s">
        <v>54</v>
      </c>
      <c r="BA4" s="301" t="s">
        <v>55</v>
      </c>
      <c r="BB4" s="302" t="s">
        <v>56</v>
      </c>
      <c r="BC4" s="302" t="s">
        <v>170</v>
      </c>
      <c r="BD4" s="302" t="s">
        <v>165</v>
      </c>
      <c r="BE4" s="301" t="s">
        <v>54</v>
      </c>
      <c r="BF4" s="301" t="s">
        <v>55</v>
      </c>
      <c r="BG4" s="302" t="s">
        <v>56</v>
      </c>
      <c r="BH4" s="302" t="s">
        <v>170</v>
      </c>
      <c r="BI4" s="302" t="s">
        <v>165</v>
      </c>
      <c r="BJ4" s="301" t="s">
        <v>54</v>
      </c>
      <c r="BK4" s="301" t="s">
        <v>55</v>
      </c>
      <c r="BL4" s="302" t="s">
        <v>56</v>
      </c>
      <c r="BM4" s="302" t="s">
        <v>170</v>
      </c>
      <c r="BN4" s="302" t="s">
        <v>165</v>
      </c>
      <c r="BO4" s="301" t="s">
        <v>54</v>
      </c>
      <c r="BP4" s="301" t="s">
        <v>55</v>
      </c>
      <c r="BQ4" s="302" t="s">
        <v>56</v>
      </c>
      <c r="BR4" s="302" t="s">
        <v>170</v>
      </c>
      <c r="BS4" s="302" t="s">
        <v>165</v>
      </c>
      <c r="BT4" s="301" t="s">
        <v>54</v>
      </c>
      <c r="BU4" s="301" t="s">
        <v>55</v>
      </c>
      <c r="BV4" s="302" t="s">
        <v>56</v>
      </c>
      <c r="BW4" s="302" t="s">
        <v>170</v>
      </c>
      <c r="BX4" s="302" t="s">
        <v>165</v>
      </c>
      <c r="BY4" s="301" t="s">
        <v>54</v>
      </c>
      <c r="BZ4" s="301" t="s">
        <v>55</v>
      </c>
      <c r="CA4" s="302" t="s">
        <v>56</v>
      </c>
      <c r="CB4" s="302" t="s">
        <v>170</v>
      </c>
      <c r="CC4" s="302" t="s">
        <v>165</v>
      </c>
      <c r="CD4" s="301" t="s">
        <v>54</v>
      </c>
      <c r="CE4" s="301" t="s">
        <v>55</v>
      </c>
      <c r="CF4" s="302" t="s">
        <v>56</v>
      </c>
      <c r="CG4" s="302" t="s">
        <v>170</v>
      </c>
      <c r="CH4" s="302" t="s">
        <v>165</v>
      </c>
      <c r="CI4" s="94" t="s">
        <v>54</v>
      </c>
      <c r="CJ4" s="94" t="s">
        <v>55</v>
      </c>
      <c r="CK4" s="303" t="s">
        <v>73</v>
      </c>
      <c r="CL4" s="303" t="s">
        <v>170</v>
      </c>
      <c r="CM4" s="303" t="s">
        <v>165</v>
      </c>
      <c r="CN4" s="94" t="s">
        <v>54</v>
      </c>
      <c r="CO4" s="94" t="s">
        <v>55</v>
      </c>
      <c r="CP4" s="303" t="s">
        <v>56</v>
      </c>
      <c r="CQ4" s="303" t="s">
        <v>170</v>
      </c>
      <c r="CR4" s="303" t="s">
        <v>165</v>
      </c>
      <c r="CS4" s="94" t="s">
        <v>54</v>
      </c>
      <c r="CT4" s="94" t="s">
        <v>55</v>
      </c>
      <c r="CU4" s="303" t="s">
        <v>56</v>
      </c>
      <c r="CV4" s="303" t="s">
        <v>170</v>
      </c>
      <c r="CW4" s="303" t="s">
        <v>165</v>
      </c>
      <c r="CX4" s="94" t="s">
        <v>54</v>
      </c>
      <c r="CY4" s="94" t="s">
        <v>55</v>
      </c>
      <c r="CZ4" s="303" t="s">
        <v>56</v>
      </c>
      <c r="DA4" s="303" t="s">
        <v>170</v>
      </c>
      <c r="DB4" s="303" t="s">
        <v>165</v>
      </c>
      <c r="DC4" s="94" t="s">
        <v>54</v>
      </c>
      <c r="DD4" s="94" t="s">
        <v>55</v>
      </c>
      <c r="DE4" s="303" t="s">
        <v>56</v>
      </c>
      <c r="DF4" s="303" t="s">
        <v>170</v>
      </c>
      <c r="DG4" s="303" t="s">
        <v>165</v>
      </c>
      <c r="DH4" s="94" t="s">
        <v>54</v>
      </c>
      <c r="DI4" s="94" t="s">
        <v>55</v>
      </c>
      <c r="DJ4" s="303" t="s">
        <v>56</v>
      </c>
      <c r="DK4" s="303" t="s">
        <v>170</v>
      </c>
      <c r="DL4" s="303" t="s">
        <v>165</v>
      </c>
      <c r="DM4" s="94" t="s">
        <v>54</v>
      </c>
      <c r="DN4" s="94" t="s">
        <v>55</v>
      </c>
      <c r="DO4" s="303" t="s">
        <v>56</v>
      </c>
      <c r="DP4" s="303" t="s">
        <v>170</v>
      </c>
      <c r="DQ4" s="303" t="s">
        <v>165</v>
      </c>
      <c r="DR4" s="94" t="s">
        <v>54</v>
      </c>
      <c r="DS4" s="94" t="s">
        <v>55</v>
      </c>
      <c r="DT4" s="303" t="s">
        <v>56</v>
      </c>
      <c r="DU4" s="303" t="s">
        <v>170</v>
      </c>
      <c r="DV4" s="303" t="s">
        <v>165</v>
      </c>
      <c r="DW4" s="94" t="s">
        <v>54</v>
      </c>
      <c r="DX4" s="94" t="s">
        <v>55</v>
      </c>
      <c r="DY4" s="303" t="s">
        <v>56</v>
      </c>
      <c r="DZ4" s="303" t="s">
        <v>170</v>
      </c>
      <c r="EA4" s="303" t="s">
        <v>165</v>
      </c>
      <c r="EB4" s="94" t="s">
        <v>54</v>
      </c>
      <c r="EC4" s="94" t="s">
        <v>55</v>
      </c>
      <c r="ED4" s="303" t="s">
        <v>56</v>
      </c>
      <c r="EE4" s="303" t="s">
        <v>170</v>
      </c>
      <c r="EF4" s="303" t="s">
        <v>165</v>
      </c>
      <c r="EG4" s="94" t="s">
        <v>54</v>
      </c>
      <c r="EH4" s="94" t="s">
        <v>55</v>
      </c>
      <c r="EI4" s="303" t="s">
        <v>56</v>
      </c>
      <c r="EJ4" s="303" t="s">
        <v>170</v>
      </c>
      <c r="EK4" s="303" t="s">
        <v>165</v>
      </c>
      <c r="EL4" s="94" t="s">
        <v>54</v>
      </c>
      <c r="EM4" s="94" t="s">
        <v>55</v>
      </c>
      <c r="EN4" s="303" t="s">
        <v>56</v>
      </c>
      <c r="EO4" s="303" t="s">
        <v>170</v>
      </c>
      <c r="EP4" s="303" t="s">
        <v>165</v>
      </c>
      <c r="EQ4" s="94" t="s">
        <v>54</v>
      </c>
      <c r="ER4" s="94" t="s">
        <v>55</v>
      </c>
      <c r="ES4" s="303" t="s">
        <v>56</v>
      </c>
      <c r="ET4" s="303" t="s">
        <v>170</v>
      </c>
      <c r="EU4" s="303" t="s">
        <v>165</v>
      </c>
    </row>
    <row r="5" spans="1:151" s="3" customFormat="1" x14ac:dyDescent="0.2">
      <c r="A5" s="257">
        <v>1</v>
      </c>
      <c r="B5" s="261">
        <v>25532712</v>
      </c>
      <c r="C5" s="261">
        <v>25536808</v>
      </c>
      <c r="D5" s="262">
        <f t="shared" ref="D5:D34" si="0">C5-B5</f>
        <v>4096</v>
      </c>
      <c r="E5" s="279"/>
      <c r="F5" s="280"/>
      <c r="G5" s="290">
        <v>22576918</v>
      </c>
      <c r="H5" s="291">
        <v>22582098</v>
      </c>
      <c r="I5" s="261">
        <f>H5-G5</f>
        <v>5180</v>
      </c>
      <c r="J5" s="292"/>
      <c r="K5" s="293"/>
      <c r="L5" s="298">
        <v>85421095</v>
      </c>
      <c r="M5" s="265">
        <v>85436113</v>
      </c>
      <c r="N5" s="287">
        <f t="shared" ref="N5:N34" si="1">M5-L5</f>
        <v>15018</v>
      </c>
      <c r="O5" s="299"/>
      <c r="P5" s="300"/>
      <c r="Q5" s="275">
        <v>1966900</v>
      </c>
      <c r="R5" s="265">
        <v>1968900</v>
      </c>
      <c r="S5" s="264">
        <f t="shared" ref="S5:S31" si="2">R5-Q5</f>
        <v>2000</v>
      </c>
      <c r="T5" s="283"/>
      <c r="U5" s="284"/>
      <c r="V5" s="263">
        <v>2662097</v>
      </c>
      <c r="W5" s="263">
        <v>2664993</v>
      </c>
      <c r="X5" s="264">
        <f t="shared" ref="X5:X31" si="3">W5-V5</f>
        <v>2896</v>
      </c>
      <c r="Y5" s="283"/>
      <c r="Z5" s="284"/>
      <c r="AA5" s="264">
        <v>1618900</v>
      </c>
      <c r="AB5" s="265">
        <v>1620600</v>
      </c>
      <c r="AC5" s="264">
        <f t="shared" ref="AC5:AC31" si="4">AB5-AA5</f>
        <v>1700</v>
      </c>
      <c r="AD5" s="283"/>
      <c r="AE5" s="284"/>
      <c r="AF5" s="263">
        <v>734522</v>
      </c>
      <c r="AG5" s="265">
        <v>735223</v>
      </c>
      <c r="AH5" s="264">
        <f t="shared" ref="AH5:AH31" si="5">AG5-AF5</f>
        <v>701</v>
      </c>
      <c r="AI5" s="283"/>
      <c r="AJ5" s="284"/>
      <c r="AK5" s="263">
        <v>7600100</v>
      </c>
      <c r="AL5" s="265">
        <v>7607100</v>
      </c>
      <c r="AM5" s="264">
        <f t="shared" ref="AM5:AM31" si="6">AL5-AK5</f>
        <v>7000</v>
      </c>
      <c r="AN5" s="283"/>
      <c r="AO5" s="284"/>
      <c r="AP5" s="263">
        <v>1732600</v>
      </c>
      <c r="AQ5" s="265">
        <v>1733800</v>
      </c>
      <c r="AR5" s="264">
        <f>AQ5-AP5</f>
        <v>1200</v>
      </c>
      <c r="AS5" s="283"/>
      <c r="AT5" s="284"/>
      <c r="AU5" s="263">
        <v>494210</v>
      </c>
      <c r="AV5" s="265">
        <v>494652</v>
      </c>
      <c r="AW5" s="264">
        <f>AV5-AU5</f>
        <v>442</v>
      </c>
      <c r="AX5" s="283"/>
      <c r="AY5" s="284"/>
      <c r="AZ5" s="263">
        <v>628570</v>
      </c>
      <c r="BA5" s="265">
        <v>629570</v>
      </c>
      <c r="BB5" s="264">
        <f>BA5-AZ5</f>
        <v>1000</v>
      </c>
      <c r="BC5" s="283"/>
      <c r="BD5" s="284"/>
      <c r="BE5" s="263">
        <v>725910</v>
      </c>
      <c r="BF5" s="265">
        <v>727000</v>
      </c>
      <c r="BG5" s="264">
        <f>BF5-BE5</f>
        <v>1090</v>
      </c>
      <c r="BH5" s="283"/>
      <c r="BI5" s="284"/>
      <c r="BJ5" s="263">
        <v>1136100</v>
      </c>
      <c r="BK5" s="265">
        <v>1137600</v>
      </c>
      <c r="BL5" s="264">
        <f>BK5-BJ5</f>
        <v>1500</v>
      </c>
      <c r="BM5" s="283"/>
      <c r="BN5" s="284"/>
      <c r="BO5" s="263">
        <v>596350</v>
      </c>
      <c r="BP5" s="265">
        <v>598180</v>
      </c>
      <c r="BQ5" s="264">
        <f>BP5-BO5</f>
        <v>1830</v>
      </c>
      <c r="BR5" s="283"/>
      <c r="BS5" s="284"/>
      <c r="BT5" s="265">
        <v>457080</v>
      </c>
      <c r="BU5" s="265">
        <v>458360</v>
      </c>
      <c r="BV5" s="264">
        <f>BU5-BT5</f>
        <v>1280</v>
      </c>
      <c r="BW5" s="283"/>
      <c r="BX5" s="284"/>
      <c r="BY5" s="263">
        <v>1326100</v>
      </c>
      <c r="BZ5" s="265">
        <v>1331000</v>
      </c>
      <c r="CA5" s="264">
        <f>BZ5-BY5</f>
        <v>4900</v>
      </c>
      <c r="CB5" s="283"/>
      <c r="CC5" s="284"/>
      <c r="CD5" s="263">
        <v>626490</v>
      </c>
      <c r="CE5" s="265">
        <v>626890</v>
      </c>
      <c r="CF5" s="264">
        <f>CE5-CD5</f>
        <v>400</v>
      </c>
      <c r="CG5" s="283"/>
      <c r="CH5" s="284"/>
      <c r="CI5" s="264">
        <v>29873</v>
      </c>
      <c r="CJ5" s="264">
        <v>30083</v>
      </c>
      <c r="CK5" s="264">
        <f>CJ5-CI5</f>
        <v>210</v>
      </c>
      <c r="CL5" s="283"/>
      <c r="CM5" s="284"/>
      <c r="CN5" s="263">
        <v>23966</v>
      </c>
      <c r="CO5" s="265">
        <v>24227</v>
      </c>
      <c r="CP5" s="266">
        <f>CO5-CN5</f>
        <v>261</v>
      </c>
      <c r="CQ5" s="283"/>
      <c r="CR5" s="284"/>
      <c r="CS5" s="265">
        <v>21609</v>
      </c>
      <c r="CT5" s="265">
        <v>21760</v>
      </c>
      <c r="CU5" s="264">
        <f>CT5-CS5</f>
        <v>151</v>
      </c>
      <c r="CV5" s="283"/>
      <c r="CW5" s="284"/>
      <c r="CX5" s="263">
        <v>33989</v>
      </c>
      <c r="CY5" s="265">
        <v>34228</v>
      </c>
      <c r="CZ5" s="264">
        <f>CY5-CX5</f>
        <v>239</v>
      </c>
      <c r="DA5" s="283"/>
      <c r="DB5" s="284"/>
      <c r="DC5" s="263">
        <v>25598</v>
      </c>
      <c r="DD5" s="265">
        <v>25857</v>
      </c>
      <c r="DE5" s="264">
        <f>DD5-DC5</f>
        <v>259</v>
      </c>
      <c r="DF5" s="283"/>
      <c r="DG5" s="284"/>
      <c r="DH5" s="263">
        <v>24150</v>
      </c>
      <c r="DI5" s="265">
        <v>24309</v>
      </c>
      <c r="DJ5" s="264">
        <f>DI5-DH5</f>
        <v>159</v>
      </c>
      <c r="DK5" s="283"/>
      <c r="DL5" s="284"/>
      <c r="DM5" s="263">
        <v>16546</v>
      </c>
      <c r="DN5" s="265">
        <v>16640</v>
      </c>
      <c r="DO5" s="264">
        <f>DN5-DM5</f>
        <v>94</v>
      </c>
      <c r="DP5" s="283"/>
      <c r="DQ5" s="284"/>
      <c r="DR5" s="263">
        <v>44409</v>
      </c>
      <c r="DS5" s="265">
        <v>44672</v>
      </c>
      <c r="DT5" s="264">
        <f>DS5-DR5</f>
        <v>263</v>
      </c>
      <c r="DU5" s="283"/>
      <c r="DV5" s="284"/>
      <c r="DW5" s="263">
        <v>32323</v>
      </c>
      <c r="DX5" s="265">
        <v>32462</v>
      </c>
      <c r="DY5" s="264">
        <f>DX5-DW5</f>
        <v>139</v>
      </c>
      <c r="DZ5" s="283"/>
      <c r="EA5" s="284"/>
      <c r="EB5" s="263">
        <v>97564</v>
      </c>
      <c r="EC5" s="265">
        <v>98073</v>
      </c>
      <c r="ED5" s="264">
        <f>EC5-EB5</f>
        <v>509</v>
      </c>
      <c r="EE5" s="283"/>
      <c r="EF5" s="284"/>
      <c r="EG5" s="263">
        <v>77254</v>
      </c>
      <c r="EH5" s="265">
        <v>78016</v>
      </c>
      <c r="EI5" s="264">
        <f>EH5-EG5</f>
        <v>762</v>
      </c>
      <c r="EJ5" s="283"/>
      <c r="EK5" s="284"/>
      <c r="EL5" s="263">
        <v>16706</v>
      </c>
      <c r="EM5" s="265">
        <v>16803</v>
      </c>
      <c r="EN5" s="264">
        <f>EM5-EL5</f>
        <v>97</v>
      </c>
      <c r="EO5" s="283"/>
      <c r="EP5" s="284"/>
      <c r="EQ5" s="263">
        <v>202860</v>
      </c>
      <c r="ER5" s="265">
        <v>210970</v>
      </c>
      <c r="ES5" s="264">
        <f>ER5-EQ5</f>
        <v>8110</v>
      </c>
      <c r="ET5" s="283"/>
      <c r="EU5" s="284"/>
    </row>
    <row r="6" spans="1:151" s="3" customFormat="1" ht="13.5" customHeight="1" x14ac:dyDescent="0.2">
      <c r="A6" s="258">
        <v>2</v>
      </c>
      <c r="B6" s="267">
        <f>C5</f>
        <v>25536808</v>
      </c>
      <c r="C6" s="267">
        <v>25540997</v>
      </c>
      <c r="D6" s="268">
        <f t="shared" si="0"/>
        <v>4189</v>
      </c>
      <c r="E6" s="281">
        <f>D6-D5</f>
        <v>93</v>
      </c>
      <c r="F6" s="282">
        <f>(D6/'Finance Only'!B9)*100</f>
        <v>13.342039048316717</v>
      </c>
      <c r="G6" s="294">
        <f>H5</f>
        <v>22582098</v>
      </c>
      <c r="H6" s="267">
        <v>22587381</v>
      </c>
      <c r="I6" s="267">
        <f>H6-G6</f>
        <v>5283</v>
      </c>
      <c r="J6" s="295">
        <f>I6-I5</f>
        <v>103</v>
      </c>
      <c r="K6" s="296">
        <f>(I6/'Finance Only'!B9)*100</f>
        <v>16.826448386788549</v>
      </c>
      <c r="L6" s="277">
        <f>M5</f>
        <v>85436113</v>
      </c>
      <c r="M6" s="269">
        <v>85452122</v>
      </c>
      <c r="N6" s="270">
        <f t="shared" si="1"/>
        <v>16009</v>
      </c>
      <c r="O6" s="285">
        <f>N6-N5</f>
        <v>991</v>
      </c>
      <c r="P6" s="286">
        <f>(N6/'Finance Only'!B9)*100</f>
        <v>50.988947988661337</v>
      </c>
      <c r="Q6" s="276">
        <f>R5</f>
        <v>1968900</v>
      </c>
      <c r="R6" s="269">
        <v>1971000</v>
      </c>
      <c r="S6" s="270">
        <f t="shared" si="2"/>
        <v>2100</v>
      </c>
      <c r="T6" s="285">
        <f>S6-S5</f>
        <v>100</v>
      </c>
      <c r="U6" s="286">
        <f>(S6/'Finance Only'!B9)*100</f>
        <v>6.6885371213810236</v>
      </c>
      <c r="V6" s="269">
        <f>W5</f>
        <v>2664993</v>
      </c>
      <c r="W6" s="269">
        <v>2667886</v>
      </c>
      <c r="X6" s="270">
        <f t="shared" si="3"/>
        <v>2893</v>
      </c>
      <c r="Y6" s="285">
        <f>X6-X5</f>
        <v>-3</v>
      </c>
      <c r="Z6" s="286">
        <f>(X6/'Finance Only'!B9)*100</f>
        <v>9.2142561391215718</v>
      </c>
      <c r="AA6" s="269">
        <f>AB5</f>
        <v>1620600</v>
      </c>
      <c r="AB6" s="269">
        <v>1622400</v>
      </c>
      <c r="AC6" s="270">
        <f t="shared" si="4"/>
        <v>1800</v>
      </c>
      <c r="AD6" s="285">
        <f>AC6-AC5</f>
        <v>100</v>
      </c>
      <c r="AE6" s="286">
        <f>(AC6/'Finance Only'!B9)*100</f>
        <v>5.7330318183265918</v>
      </c>
      <c r="AF6" s="269">
        <f>AG5</f>
        <v>735223</v>
      </c>
      <c r="AG6" s="269">
        <v>736018</v>
      </c>
      <c r="AH6" s="270">
        <f t="shared" si="5"/>
        <v>795</v>
      </c>
      <c r="AI6" s="285">
        <f>AH6-AH5</f>
        <v>94</v>
      </c>
      <c r="AJ6" s="286">
        <f>(AH6/'Finance Only'!B9)*100</f>
        <v>2.532089053094245</v>
      </c>
      <c r="AK6" s="269">
        <f>AL5</f>
        <v>7607100</v>
      </c>
      <c r="AL6" s="269">
        <v>7614500</v>
      </c>
      <c r="AM6" s="270">
        <f t="shared" si="6"/>
        <v>7400</v>
      </c>
      <c r="AN6" s="285">
        <f>AM6-AM5</f>
        <v>400</v>
      </c>
      <c r="AO6" s="286">
        <f>(AM6/'Finance Only'!B9)*100</f>
        <v>23.56913080867599</v>
      </c>
      <c r="AP6" s="269">
        <f>AQ5</f>
        <v>1733800</v>
      </c>
      <c r="AQ6" s="269">
        <v>1735100</v>
      </c>
      <c r="AR6" s="270">
        <f t="shared" ref="AR6:AR31" si="7">AQ6-AP6</f>
        <v>1300</v>
      </c>
      <c r="AS6" s="285">
        <f>AR6-AR5</f>
        <v>100</v>
      </c>
      <c r="AT6" s="286">
        <f>(AR6/'Finance Only'!B9)*100</f>
        <v>4.1405229799025385</v>
      </c>
      <c r="AU6" s="269">
        <f t="shared" ref="AU6:AU34" si="8">AV5</f>
        <v>494652</v>
      </c>
      <c r="AV6" s="269">
        <v>495105</v>
      </c>
      <c r="AW6" s="270">
        <f t="shared" ref="AW6:AW34" si="9">AV6-AU6</f>
        <v>453</v>
      </c>
      <c r="AX6" s="285">
        <f>AW6-AW5</f>
        <v>11</v>
      </c>
      <c r="AY6" s="286">
        <f>(AW6/'Finance Only'!B9)*100</f>
        <v>1.4428130076121921</v>
      </c>
      <c r="AZ6" s="269">
        <f t="shared" ref="AZ6:AZ34" si="10">BA5</f>
        <v>629570</v>
      </c>
      <c r="BA6" s="269">
        <v>630630</v>
      </c>
      <c r="BB6" s="270">
        <f t="shared" ref="BB6:BB34" si="11">BA6-AZ6</f>
        <v>1060</v>
      </c>
      <c r="BC6" s="285">
        <f>BB6-BB5</f>
        <v>60</v>
      </c>
      <c r="BD6" s="286">
        <f>(BB6/'Finance Only'!B9)*100</f>
        <v>3.3761187374589925</v>
      </c>
      <c r="BE6" s="269">
        <f>BF5</f>
        <v>727000</v>
      </c>
      <c r="BF6" s="269">
        <v>728130</v>
      </c>
      <c r="BG6" s="270">
        <f t="shared" ref="BG6:BG34" si="12">BF6-BE6</f>
        <v>1130</v>
      </c>
      <c r="BH6" s="285">
        <f>BG6-BG5</f>
        <v>40</v>
      </c>
      <c r="BI6" s="286">
        <f>(BG6/'Finance Only'!B9)*100</f>
        <v>3.5990699748383608</v>
      </c>
      <c r="BJ6" s="269">
        <f>BK5</f>
        <v>1137600</v>
      </c>
      <c r="BK6" s="269">
        <v>1139200</v>
      </c>
      <c r="BL6" s="270">
        <f t="shared" ref="BL6:BL34" si="13">BK6-BJ6</f>
        <v>1600</v>
      </c>
      <c r="BM6" s="285">
        <f>BL6-BL5</f>
        <v>100</v>
      </c>
      <c r="BN6" s="286">
        <f>(BL6/'Finance Only'!B9)*100</f>
        <v>5.0960282829569703</v>
      </c>
      <c r="BO6" s="269">
        <f>BP5</f>
        <v>598180</v>
      </c>
      <c r="BP6" s="269">
        <v>599950</v>
      </c>
      <c r="BQ6" s="270">
        <f t="shared" ref="BQ6:BQ34" si="14">BP6-BO6</f>
        <v>1770</v>
      </c>
      <c r="BR6" s="285">
        <f>BQ6-BQ5</f>
        <v>-60</v>
      </c>
      <c r="BS6" s="286">
        <f>(BQ6/'Finance Only'!B9)*100</f>
        <v>5.6374812880211485</v>
      </c>
      <c r="BT6" s="269">
        <f>BU5</f>
        <v>458360</v>
      </c>
      <c r="BU6" s="269">
        <v>459700</v>
      </c>
      <c r="BV6" s="270">
        <f t="shared" ref="BV6:BV34" si="15">BU6-BT6</f>
        <v>1340</v>
      </c>
      <c r="BW6" s="285">
        <f>BV6-BV5</f>
        <v>60</v>
      </c>
      <c r="BX6" s="286">
        <f>(BV6/'Finance Only'!B9)*100</f>
        <v>4.2679236869764621</v>
      </c>
      <c r="BY6" s="269">
        <f>BZ5</f>
        <v>1331000</v>
      </c>
      <c r="BZ6" s="269">
        <v>1336100</v>
      </c>
      <c r="CA6" s="270">
        <f t="shared" ref="CA6:CA34" si="16">BZ6-BY6</f>
        <v>5100</v>
      </c>
      <c r="CB6" s="285">
        <f>CA6-CA5</f>
        <v>200</v>
      </c>
      <c r="CC6" s="286">
        <f>(CA6/'Finance Only'!B9)*100</f>
        <v>16.243590151925343</v>
      </c>
      <c r="CD6" s="269">
        <f>CE5</f>
        <v>626890</v>
      </c>
      <c r="CE6" s="269">
        <v>627530</v>
      </c>
      <c r="CF6" s="270">
        <f t="shared" ref="CF6:CF34" si="17">CE6-CD6</f>
        <v>640</v>
      </c>
      <c r="CG6" s="285">
        <f>CF6-CF5</f>
        <v>240</v>
      </c>
      <c r="CH6" s="286">
        <f>(CF6/'Finance Only'!B9)*100</f>
        <v>2.0384113131827881</v>
      </c>
      <c r="CI6" s="270">
        <f>CJ5</f>
        <v>30083</v>
      </c>
      <c r="CJ6" s="270">
        <v>30182</v>
      </c>
      <c r="CK6" s="270">
        <f>CJ6-CI6</f>
        <v>99</v>
      </c>
      <c r="CL6" s="285">
        <f>CK6-CK5</f>
        <v>-111</v>
      </c>
      <c r="CM6" s="286">
        <f>(CK6/'Finance Only'!B9)*100</f>
        <v>0.31531675000796255</v>
      </c>
      <c r="CN6" s="269">
        <f>CO5</f>
        <v>24227</v>
      </c>
      <c r="CO6" s="269">
        <v>24304</v>
      </c>
      <c r="CP6" s="271">
        <f t="shared" ref="CP6:CP34" si="18">CO6-CN6</f>
        <v>77</v>
      </c>
      <c r="CQ6" s="285">
        <f>CP6-CP5</f>
        <v>-184</v>
      </c>
      <c r="CR6" s="286">
        <f>(CP6/'Finance Only'!B9)*100</f>
        <v>0.24524636111730422</v>
      </c>
      <c r="CS6" s="269">
        <f>CT5</f>
        <v>21760</v>
      </c>
      <c r="CT6" s="269">
        <v>21822</v>
      </c>
      <c r="CU6" s="270">
        <f t="shared" ref="CU6:CU34" si="19">CT6-CS6</f>
        <v>62</v>
      </c>
      <c r="CV6" s="285">
        <f>CU6-CU5</f>
        <v>-89</v>
      </c>
      <c r="CW6" s="286">
        <f>(CU6/'Finance Only'!B9)*100</f>
        <v>0.19747109596458262</v>
      </c>
      <c r="CX6" s="269">
        <f>CY5</f>
        <v>34228</v>
      </c>
      <c r="CY6" s="269">
        <v>34346</v>
      </c>
      <c r="CZ6" s="270">
        <f t="shared" ref="CZ6:CZ34" si="20">CY6-CX6</f>
        <v>118</v>
      </c>
      <c r="DA6" s="285">
        <f>CZ6-CZ5</f>
        <v>-121</v>
      </c>
      <c r="DB6" s="286">
        <f>(CZ6/'Finance Only'!B9)*100</f>
        <v>0.37583208586807659</v>
      </c>
      <c r="DC6" s="269">
        <f>DD5</f>
        <v>25857</v>
      </c>
      <c r="DD6" s="269">
        <v>25979</v>
      </c>
      <c r="DE6" s="270">
        <f t="shared" ref="DE6:DE34" si="21">DD6-DC6</f>
        <v>122</v>
      </c>
      <c r="DF6" s="285">
        <f>DE6-DE5</f>
        <v>-137</v>
      </c>
      <c r="DG6" s="286">
        <f>(DE6/'Finance Only'!B9)*100</f>
        <v>0.38857215657546901</v>
      </c>
      <c r="DH6" s="269">
        <f>DI5</f>
        <v>24309</v>
      </c>
      <c r="DI6" s="269">
        <v>24384</v>
      </c>
      <c r="DJ6" s="270">
        <f t="shared" ref="DJ6:DJ34" si="22">DI6-DH6</f>
        <v>75</v>
      </c>
      <c r="DK6" s="285">
        <f>DJ6-DJ5</f>
        <v>-84</v>
      </c>
      <c r="DL6" s="286">
        <f>(DJ6/'Finance Only'!B9)*100</f>
        <v>0.23887632576360798</v>
      </c>
      <c r="DM6" s="269">
        <f>DN5</f>
        <v>16640</v>
      </c>
      <c r="DN6" s="269">
        <v>16686</v>
      </c>
      <c r="DO6" s="270">
        <f t="shared" ref="DO6:DO34" si="23">DN6-DM6</f>
        <v>46</v>
      </c>
      <c r="DP6" s="285">
        <f>DO6-DO5</f>
        <v>-48</v>
      </c>
      <c r="DQ6" s="286">
        <f>(DO6/'Finance Only'!B9)*100</f>
        <v>0.14651081313501291</v>
      </c>
      <c r="DR6" s="269">
        <f>DS5</f>
        <v>44672</v>
      </c>
      <c r="DS6" s="269">
        <v>44781</v>
      </c>
      <c r="DT6" s="270">
        <f t="shared" ref="DT6:DT34" si="24">DS6-DR6</f>
        <v>109</v>
      </c>
      <c r="DU6" s="285">
        <f>DT6-DT5</f>
        <v>-154</v>
      </c>
      <c r="DV6" s="286">
        <f>(DT6/'Finance Only'!B9)*100</f>
        <v>0.34716692677644362</v>
      </c>
      <c r="DW6" s="269">
        <f>DX5</f>
        <v>32462</v>
      </c>
      <c r="DX6" s="269">
        <v>32528</v>
      </c>
      <c r="DY6" s="270">
        <f t="shared" ref="DY6:DY34" si="25">DX6-DW6</f>
        <v>66</v>
      </c>
      <c r="DZ6" s="285">
        <f>DY6-DY5</f>
        <v>-73</v>
      </c>
      <c r="EA6" s="286">
        <f>(DY6/'Finance Only'!B9)*100</f>
        <v>0.21021116667197504</v>
      </c>
      <c r="EB6" s="269">
        <f>EC5</f>
        <v>98073</v>
      </c>
      <c r="EC6" s="269">
        <v>98334</v>
      </c>
      <c r="ED6" s="270">
        <f t="shared" ref="ED6:ED34" si="26">EC6-EB6</f>
        <v>261</v>
      </c>
      <c r="EE6" s="285">
        <f>ED6-ED5</f>
        <v>-248</v>
      </c>
      <c r="EF6" s="286">
        <f>(ED6/'Finance Only'!B9)*100</f>
        <v>0.83128961365735576</v>
      </c>
      <c r="EG6" s="269">
        <f>EH5</f>
        <v>78016</v>
      </c>
      <c r="EH6" s="269">
        <v>78413</v>
      </c>
      <c r="EI6" s="270">
        <f t="shared" ref="EI6:EI34" si="27">EH6-EG6</f>
        <v>397</v>
      </c>
      <c r="EJ6" s="285">
        <f>EI6-EI5</f>
        <v>-365</v>
      </c>
      <c r="EK6" s="286">
        <f>(EI6/'Finance Only'!B9)*100</f>
        <v>1.2644520177086984</v>
      </c>
      <c r="EL6" s="269">
        <f>EM5</f>
        <v>16803</v>
      </c>
      <c r="EM6" s="269">
        <v>16841</v>
      </c>
      <c r="EN6" s="270">
        <f t="shared" ref="EN6:EN34" si="28">EM6-EL6</f>
        <v>38</v>
      </c>
      <c r="EO6" s="285">
        <f>EN6-EN5</f>
        <v>-59</v>
      </c>
      <c r="EP6" s="286">
        <f>(EN6/'Finance Only'!B9)*100</f>
        <v>0.12103067172022804</v>
      </c>
      <c r="EQ6" s="269">
        <f>ER5</f>
        <v>210970</v>
      </c>
      <c r="ER6" s="269">
        <v>215130</v>
      </c>
      <c r="ES6" s="270">
        <f t="shared" ref="ES6:ES34" si="29">ER6-EQ6</f>
        <v>4160</v>
      </c>
      <c r="ET6" s="285">
        <f>ES6-ES5</f>
        <v>-3950</v>
      </c>
      <c r="EU6" s="286">
        <f>(ES6/'Finance Only'!B9)*100</f>
        <v>13.249673535688123</v>
      </c>
    </row>
    <row r="7" spans="1:151" s="3" customFormat="1" ht="13.5" customHeight="1" x14ac:dyDescent="0.2">
      <c r="A7" s="258">
        <v>3</v>
      </c>
      <c r="B7" s="267">
        <f t="shared" ref="B7:B34" si="30">C6</f>
        <v>25540997</v>
      </c>
      <c r="C7" s="267">
        <v>25544804</v>
      </c>
      <c r="D7" s="268">
        <f t="shared" si="0"/>
        <v>3807</v>
      </c>
      <c r="E7" s="281">
        <f t="shared" ref="E7:E34" si="31">D7-D6</f>
        <v>-382</v>
      </c>
      <c r="F7" s="282">
        <f>(D7/'Finance Only'!B10)*100</f>
        <v>12.628122201214051</v>
      </c>
      <c r="G7" s="294">
        <f>H6</f>
        <v>22587381</v>
      </c>
      <c r="H7" s="267">
        <v>22592255</v>
      </c>
      <c r="I7" s="267">
        <f t="shared" ref="I7:I31" si="32">H7-G7</f>
        <v>4874</v>
      </c>
      <c r="J7" s="295">
        <f t="shared" ref="J7:J34" si="33">I7-I6</f>
        <v>-409</v>
      </c>
      <c r="K7" s="296">
        <f>(I7/'Finance Only'!B10)*100</f>
        <v>16.16744618038279</v>
      </c>
      <c r="L7" s="277">
        <f t="shared" ref="L7:L34" si="34">M6</f>
        <v>85452122</v>
      </c>
      <c r="M7" s="269">
        <v>85467711</v>
      </c>
      <c r="N7" s="270">
        <f t="shared" si="1"/>
        <v>15589</v>
      </c>
      <c r="O7" s="285">
        <f t="shared" ref="O7:O34" si="35">N7-N6</f>
        <v>-420</v>
      </c>
      <c r="P7" s="286">
        <f>(N7/'Finance Only'!B10)*100</f>
        <v>51.709954556008888</v>
      </c>
      <c r="Q7" s="276">
        <f>R6</f>
        <v>1971000</v>
      </c>
      <c r="R7" s="269">
        <v>1973000</v>
      </c>
      <c r="S7" s="270">
        <f t="shared" si="2"/>
        <v>2000</v>
      </c>
      <c r="T7" s="285">
        <f t="shared" ref="T7:T34" si="36">S7-S6</f>
        <v>-100</v>
      </c>
      <c r="U7" s="286">
        <f>(S7/'Finance Only'!B10)*100</f>
        <v>6.6341592861644605</v>
      </c>
      <c r="V7" s="269">
        <f>W6</f>
        <v>2667886</v>
      </c>
      <c r="W7" s="269">
        <v>2670757</v>
      </c>
      <c r="X7" s="270">
        <f t="shared" si="3"/>
        <v>2871</v>
      </c>
      <c r="Y7" s="285">
        <f t="shared" ref="Y7:Y34" si="37">X7-X6</f>
        <v>-22</v>
      </c>
      <c r="Z7" s="286">
        <f>(X7/'Finance Only'!B10)*100</f>
        <v>9.5233356552890829</v>
      </c>
      <c r="AA7" s="269">
        <f t="shared" ref="AA7:AA34" si="38">AB6</f>
        <v>1622400</v>
      </c>
      <c r="AB7" s="269">
        <v>1624200</v>
      </c>
      <c r="AC7" s="270">
        <f t="shared" si="4"/>
        <v>1800</v>
      </c>
      <c r="AD7" s="285">
        <f t="shared" ref="AD7:AD34" si="39">AC7-AC6</f>
        <v>0</v>
      </c>
      <c r="AE7" s="286">
        <f>(AC7/'Finance Only'!B10)*100</f>
        <v>5.9707433575480149</v>
      </c>
      <c r="AF7" s="269">
        <f>AG6</f>
        <v>736018</v>
      </c>
      <c r="AG7" s="269">
        <v>736831</v>
      </c>
      <c r="AH7" s="270">
        <f t="shared" si="5"/>
        <v>813</v>
      </c>
      <c r="AI7" s="285">
        <f t="shared" ref="AI7:AI34" si="40">AH7-AH6</f>
        <v>18</v>
      </c>
      <c r="AJ7" s="286">
        <f>(AH7/'Finance Only'!B10)*100</f>
        <v>2.6967857498258532</v>
      </c>
      <c r="AK7" s="269">
        <f>AL6</f>
        <v>7614500</v>
      </c>
      <c r="AL7" s="269">
        <v>7621100</v>
      </c>
      <c r="AM7" s="270">
        <f t="shared" si="6"/>
        <v>6600</v>
      </c>
      <c r="AN7" s="285">
        <f t="shared" ref="AN7:AN34" si="41">AM7-AM6</f>
        <v>-800</v>
      </c>
      <c r="AO7" s="286">
        <f>(AM7/'Finance Only'!B10)*100</f>
        <v>21.892725644342718</v>
      </c>
      <c r="AP7" s="269">
        <f>AQ6</f>
        <v>1735100</v>
      </c>
      <c r="AQ7" s="269">
        <v>1736500</v>
      </c>
      <c r="AR7" s="270">
        <f t="shared" si="7"/>
        <v>1400</v>
      </c>
      <c r="AS7" s="285">
        <f t="shared" ref="AS7:AS34" si="42">AR7-AR6</f>
        <v>100</v>
      </c>
      <c r="AT7" s="286">
        <f>(AR7/'Finance Only'!B10)*100</f>
        <v>4.6439115003151228</v>
      </c>
      <c r="AU7" s="269">
        <f t="shared" si="8"/>
        <v>495105</v>
      </c>
      <c r="AV7" s="269">
        <v>495543</v>
      </c>
      <c r="AW7" s="270">
        <f t="shared" si="9"/>
        <v>438</v>
      </c>
      <c r="AX7" s="285">
        <f t="shared" ref="AX7:AX34" si="43">AW7-AW6</f>
        <v>-15</v>
      </c>
      <c r="AY7" s="286">
        <f>(AW7/'Finance Only'!B10)*100</f>
        <v>1.4528808836700169</v>
      </c>
      <c r="AZ7" s="269">
        <f t="shared" si="10"/>
        <v>630630</v>
      </c>
      <c r="BA7" s="269">
        <v>631730</v>
      </c>
      <c r="BB7" s="270">
        <f t="shared" si="11"/>
        <v>1100</v>
      </c>
      <c r="BC7" s="285">
        <f t="shared" ref="BC7:BC34" si="44">BB7-BB6</f>
        <v>40</v>
      </c>
      <c r="BD7" s="286">
        <f>(BB7/'Finance Only'!B10)*100</f>
        <v>3.6487876073904539</v>
      </c>
      <c r="BE7" s="269">
        <f t="shared" ref="BE7:BE34" si="45">BF6</f>
        <v>728130</v>
      </c>
      <c r="BF7" s="269">
        <v>729280</v>
      </c>
      <c r="BG7" s="270">
        <f t="shared" si="12"/>
        <v>1150</v>
      </c>
      <c r="BH7" s="285">
        <f t="shared" ref="BH7:BH34" si="46">BG7-BG6</f>
        <v>20</v>
      </c>
      <c r="BI7" s="286">
        <f>(BG7/'Finance Only'!B10)*100</f>
        <v>3.8146415895445651</v>
      </c>
      <c r="BJ7" s="269">
        <f t="shared" ref="BJ7:BJ34" si="47">BK6</f>
        <v>1139200</v>
      </c>
      <c r="BK7" s="269">
        <v>1140800</v>
      </c>
      <c r="BL7" s="270">
        <f t="shared" si="13"/>
        <v>1600</v>
      </c>
      <c r="BM7" s="285">
        <f t="shared" ref="BM7:BM34" si="48">BL7-BL6</f>
        <v>0</v>
      </c>
      <c r="BN7" s="286">
        <f>(BL7/'Finance Only'!B10)*100</f>
        <v>5.3073274289315684</v>
      </c>
      <c r="BO7" s="269">
        <f t="shared" ref="BO7:BO34" si="49">BP6</f>
        <v>599950</v>
      </c>
      <c r="BP7" s="269">
        <v>601740</v>
      </c>
      <c r="BQ7" s="270">
        <f t="shared" si="14"/>
        <v>1790</v>
      </c>
      <c r="BR7" s="285">
        <f t="shared" ref="BR7:BR34" si="50">BQ7-BQ6</f>
        <v>20</v>
      </c>
      <c r="BS7" s="286">
        <f>(BQ7/'Finance Only'!B10)*100</f>
        <v>5.9375725611171921</v>
      </c>
      <c r="BT7" s="269">
        <f t="shared" ref="BT7:BT34" si="51">BU6</f>
        <v>459700</v>
      </c>
      <c r="BU7" s="269">
        <v>460950</v>
      </c>
      <c r="BV7" s="270">
        <f t="shared" si="15"/>
        <v>1250</v>
      </c>
      <c r="BW7" s="285">
        <f t="shared" ref="BW7:BW34" si="52">BV7-BV6</f>
        <v>-90</v>
      </c>
      <c r="BX7" s="286">
        <f>(BV7/'Finance Only'!B10)*100</f>
        <v>4.1463495538527875</v>
      </c>
      <c r="BY7" s="269">
        <f t="shared" ref="BY7:BY34" si="53">BZ6</f>
        <v>1336100</v>
      </c>
      <c r="BZ7" s="269">
        <v>1340800</v>
      </c>
      <c r="CA7" s="270">
        <f t="shared" si="16"/>
        <v>4700</v>
      </c>
      <c r="CB7" s="285">
        <f t="shared" ref="CB7:CB34" si="54">CA7-CA6</f>
        <v>-400</v>
      </c>
      <c r="CC7" s="286">
        <f>(CA7/'Finance Only'!B10)*100</f>
        <v>15.590274322486483</v>
      </c>
      <c r="CD7" s="269">
        <f t="shared" ref="CD7:CD34" si="55">CE6</f>
        <v>627530</v>
      </c>
      <c r="CE7" s="269">
        <v>631240</v>
      </c>
      <c r="CF7" s="270">
        <f t="shared" si="17"/>
        <v>3710</v>
      </c>
      <c r="CG7" s="285">
        <f t="shared" ref="CG7:CG34" si="56">CF7-CF6</f>
        <v>3070</v>
      </c>
      <c r="CH7" s="286">
        <f>(CF7/'Finance Only'!B10)*100</f>
        <v>12.306365475835076</v>
      </c>
      <c r="CI7" s="270">
        <f t="shared" ref="CI7:CI34" si="57">CJ6</f>
        <v>30182</v>
      </c>
      <c r="CJ7" s="270">
        <v>30268</v>
      </c>
      <c r="CK7" s="270">
        <f t="shared" ref="CK7:CK34" si="58">CJ7-CI7</f>
        <v>86</v>
      </c>
      <c r="CL7" s="285">
        <f t="shared" ref="CL7:CL34" si="59">CK7-CK6</f>
        <v>-13</v>
      </c>
      <c r="CM7" s="286">
        <f>(CK7/'Finance Only'!B10)*100</f>
        <v>0.28526884930507185</v>
      </c>
      <c r="CN7" s="269">
        <f t="shared" ref="CN7:CN34" si="60">CO6</f>
        <v>24304</v>
      </c>
      <c r="CO7" s="269">
        <v>24381</v>
      </c>
      <c r="CP7" s="271">
        <f t="shared" si="18"/>
        <v>77</v>
      </c>
      <c r="CQ7" s="285">
        <f t="shared" ref="CQ7:CQ34" si="61">CP7-CP6</f>
        <v>0</v>
      </c>
      <c r="CR7" s="286">
        <f>(CP7/'Finance Only'!B10)*100</f>
        <v>0.25541513251733172</v>
      </c>
      <c r="CS7" s="269">
        <f t="shared" ref="CS7:CS34" si="62">CT6</f>
        <v>21822</v>
      </c>
      <c r="CT7" s="269">
        <v>21878</v>
      </c>
      <c r="CU7" s="270">
        <f t="shared" si="19"/>
        <v>56</v>
      </c>
      <c r="CV7" s="285">
        <f t="shared" ref="CV7:CV34" si="63">CU7-CU6</f>
        <v>-6</v>
      </c>
      <c r="CW7" s="286">
        <f>(CU7/'Finance Only'!B10)*100</f>
        <v>0.1857564600126049</v>
      </c>
      <c r="CX7" s="269">
        <f t="shared" ref="CX7:CX31" si="64">CY6</f>
        <v>34346</v>
      </c>
      <c r="CY7" s="269">
        <v>34463</v>
      </c>
      <c r="CZ7" s="270">
        <f t="shared" si="20"/>
        <v>117</v>
      </c>
      <c r="DA7" s="285">
        <f t="shared" ref="DA7:DA34" si="65">CZ7-CZ6</f>
        <v>-1</v>
      </c>
      <c r="DB7" s="286">
        <f>(CZ7/'Finance Only'!B10)*100</f>
        <v>0.38809831824062097</v>
      </c>
      <c r="DC7" s="269">
        <f t="shared" ref="DC7:DC34" si="66">DD6</f>
        <v>25979</v>
      </c>
      <c r="DD7" s="269">
        <v>26091</v>
      </c>
      <c r="DE7" s="270">
        <f t="shared" si="21"/>
        <v>112</v>
      </c>
      <c r="DF7" s="285">
        <f t="shared" ref="DF7:DF34" si="67">DE7-DE6</f>
        <v>-10</v>
      </c>
      <c r="DG7" s="286">
        <f>(DE7/'Finance Only'!B10)*100</f>
        <v>0.3715129200252098</v>
      </c>
      <c r="DH7" s="269">
        <f t="shared" ref="DH7:DH34" si="68">DI6</f>
        <v>24384</v>
      </c>
      <c r="DI7" s="269">
        <v>24465</v>
      </c>
      <c r="DJ7" s="270">
        <f t="shared" si="22"/>
        <v>81</v>
      </c>
      <c r="DK7" s="285">
        <f t="shared" ref="DK7:DK34" si="69">DJ7-DJ6</f>
        <v>6</v>
      </c>
      <c r="DL7" s="286">
        <f>(DJ7/'Finance Only'!B10)*100</f>
        <v>0.26868345108966069</v>
      </c>
      <c r="DM7" s="269">
        <f t="shared" ref="DM7:DM34" si="70">DN6</f>
        <v>16686</v>
      </c>
      <c r="DN7" s="269">
        <v>16732</v>
      </c>
      <c r="DO7" s="270">
        <f t="shared" si="23"/>
        <v>46</v>
      </c>
      <c r="DP7" s="285">
        <f t="shared" ref="DP7:DP34" si="71">DO7-DO6</f>
        <v>0</v>
      </c>
      <c r="DQ7" s="286">
        <f>(DO7/'Finance Only'!B10)*100</f>
        <v>0.1525856635817826</v>
      </c>
      <c r="DR7" s="269">
        <f t="shared" ref="DR7:DR34" si="72">DS6</f>
        <v>44781</v>
      </c>
      <c r="DS7" s="269">
        <v>44913</v>
      </c>
      <c r="DT7" s="270">
        <f t="shared" si="24"/>
        <v>132</v>
      </c>
      <c r="DU7" s="285">
        <f t="shared" ref="DU7:DU34" si="73">DT7-DT6</f>
        <v>23</v>
      </c>
      <c r="DV7" s="286">
        <f>(DT7/'Finance Only'!B10)*100</f>
        <v>0.43785451288685445</v>
      </c>
      <c r="DW7" s="269">
        <f t="shared" ref="DW7:DW34" si="74">DX6</f>
        <v>32528</v>
      </c>
      <c r="DX7" s="269">
        <v>32594</v>
      </c>
      <c r="DY7" s="270">
        <f t="shared" si="25"/>
        <v>66</v>
      </c>
      <c r="DZ7" s="285">
        <f t="shared" ref="DZ7:DZ34" si="75">DY7-DY6</f>
        <v>0</v>
      </c>
      <c r="EA7" s="286">
        <f>(DY7/'Finance Only'!B10)*100</f>
        <v>0.21892725644342723</v>
      </c>
      <c r="EB7" s="269">
        <f t="shared" ref="EB7:EB34" si="76">EC6</f>
        <v>98334</v>
      </c>
      <c r="EC7" s="269">
        <v>98598</v>
      </c>
      <c r="ED7" s="270">
        <f t="shared" si="26"/>
        <v>264</v>
      </c>
      <c r="EE7" s="285">
        <f t="shared" ref="EE7:EE34" si="77">ED7-ED6</f>
        <v>3</v>
      </c>
      <c r="EF7" s="286">
        <f>(ED7/'Finance Only'!B10)*100</f>
        <v>0.8757090257737089</v>
      </c>
      <c r="EG7" s="269">
        <f t="shared" ref="EG7:EG34" si="78">EH6</f>
        <v>78413</v>
      </c>
      <c r="EH7" s="269">
        <v>78841</v>
      </c>
      <c r="EI7" s="270">
        <f t="shared" si="27"/>
        <v>428</v>
      </c>
      <c r="EJ7" s="285">
        <f t="shared" ref="EJ7:EJ34" si="79">EI7-EI6</f>
        <v>31</v>
      </c>
      <c r="EK7" s="286">
        <f>(EI7/'Finance Only'!B10)*100</f>
        <v>1.4197100872391946</v>
      </c>
      <c r="EL7" s="269">
        <f t="shared" ref="EL7:EL34" si="80">EM6</f>
        <v>16841</v>
      </c>
      <c r="EM7" s="269">
        <v>16898</v>
      </c>
      <c r="EN7" s="270">
        <f t="shared" si="28"/>
        <v>57</v>
      </c>
      <c r="EO7" s="285">
        <f t="shared" ref="EO7:EO34" si="81">EN7-EN6</f>
        <v>19</v>
      </c>
      <c r="EP7" s="286">
        <f>(EN7/'Finance Only'!B10)*100</f>
        <v>0.18907353965568713</v>
      </c>
      <c r="EQ7" s="269">
        <f t="shared" ref="EQ7:EQ34" si="82">ER6</f>
        <v>215130</v>
      </c>
      <c r="ER7" s="269">
        <v>218430</v>
      </c>
      <c r="ES7" s="270">
        <f t="shared" si="29"/>
        <v>3300</v>
      </c>
      <c r="ET7" s="285">
        <f t="shared" ref="ET7:ET34" si="83">ES7-ES6</f>
        <v>-860</v>
      </c>
      <c r="EU7" s="286">
        <f>(ES7/'Finance Only'!B10)*100</f>
        <v>10.946362822171359</v>
      </c>
    </row>
    <row r="8" spans="1:151" s="3" customFormat="1" ht="13.5" customHeight="1" x14ac:dyDescent="0.2">
      <c r="A8" s="258">
        <v>4</v>
      </c>
      <c r="B8" s="267">
        <f t="shared" si="30"/>
        <v>25544804</v>
      </c>
      <c r="C8" s="267">
        <v>25548484</v>
      </c>
      <c r="D8" s="268">
        <f t="shared" si="0"/>
        <v>3680</v>
      </c>
      <c r="E8" s="281">
        <f t="shared" si="31"/>
        <v>-127</v>
      </c>
      <c r="F8" s="282">
        <f>(D8/'Finance Only'!B11)*100</f>
        <v>12.776003332870435</v>
      </c>
      <c r="G8" s="294">
        <f>H7</f>
        <v>22592255</v>
      </c>
      <c r="H8" s="267">
        <v>22596872</v>
      </c>
      <c r="I8" s="267">
        <f t="shared" si="32"/>
        <v>4617</v>
      </c>
      <c r="J8" s="295">
        <f t="shared" si="33"/>
        <v>-257</v>
      </c>
      <c r="K8" s="296">
        <f>(I8/'Finance Only'!B11)*100</f>
        <v>16.029023746701849</v>
      </c>
      <c r="L8" s="277">
        <f t="shared" si="34"/>
        <v>85467711</v>
      </c>
      <c r="M8" s="269">
        <v>85482286</v>
      </c>
      <c r="N8" s="270">
        <f t="shared" si="1"/>
        <v>14575</v>
      </c>
      <c r="O8" s="285">
        <f t="shared" si="35"/>
        <v>-1014</v>
      </c>
      <c r="P8" s="286">
        <f>(N8/'Finance Only'!B11)*100</f>
        <v>50.600611026246355</v>
      </c>
      <c r="Q8" s="276">
        <f>R7</f>
        <v>1973000</v>
      </c>
      <c r="R8" s="269">
        <v>1975100</v>
      </c>
      <c r="S8" s="270">
        <f t="shared" si="2"/>
        <v>2100</v>
      </c>
      <c r="T8" s="285">
        <f t="shared" si="36"/>
        <v>100</v>
      </c>
      <c r="U8" s="286">
        <f>(S8/'Finance Only'!B11)*100</f>
        <v>7.2906540758228031</v>
      </c>
      <c r="V8" s="269">
        <f>W7</f>
        <v>2670757</v>
      </c>
      <c r="W8" s="269">
        <v>2673580</v>
      </c>
      <c r="X8" s="270">
        <f t="shared" si="3"/>
        <v>2823</v>
      </c>
      <c r="Y8" s="285">
        <f t="shared" si="37"/>
        <v>-48</v>
      </c>
      <c r="Z8" s="286">
        <f>(X8/'Finance Only'!B11)*100</f>
        <v>9.8007221219275102</v>
      </c>
      <c r="AA8" s="269">
        <f t="shared" si="38"/>
        <v>1624200</v>
      </c>
      <c r="AB8" s="269">
        <v>1625700</v>
      </c>
      <c r="AC8" s="270">
        <f t="shared" si="4"/>
        <v>1500</v>
      </c>
      <c r="AD8" s="285">
        <f t="shared" si="39"/>
        <v>-300</v>
      </c>
      <c r="AE8" s="286">
        <f>(AC8/'Finance Only'!B11)*100</f>
        <v>5.2076100541591446</v>
      </c>
      <c r="AF8" s="269">
        <f>AG7</f>
        <v>736831</v>
      </c>
      <c r="AG8" s="269">
        <v>737577</v>
      </c>
      <c r="AH8" s="270">
        <f t="shared" si="5"/>
        <v>746</v>
      </c>
      <c r="AI8" s="285">
        <f t="shared" si="40"/>
        <v>-67</v>
      </c>
      <c r="AJ8" s="286">
        <f>(AH8/'Finance Only'!B11)*100</f>
        <v>2.5899180669351476</v>
      </c>
      <c r="AK8" s="269">
        <f>AL7</f>
        <v>7621100</v>
      </c>
      <c r="AL8" s="269">
        <v>7627400</v>
      </c>
      <c r="AM8" s="270">
        <f t="shared" si="6"/>
        <v>6300</v>
      </c>
      <c r="AN8" s="285">
        <f t="shared" si="41"/>
        <v>-300</v>
      </c>
      <c r="AO8" s="286">
        <f>(AM8/'Finance Only'!B11)*100</f>
        <v>21.871962227468408</v>
      </c>
      <c r="AP8" s="269">
        <f>AQ7</f>
        <v>1736500</v>
      </c>
      <c r="AQ8" s="269">
        <v>1738000</v>
      </c>
      <c r="AR8" s="270">
        <f t="shared" si="7"/>
        <v>1500</v>
      </c>
      <c r="AS8" s="285">
        <f t="shared" si="42"/>
        <v>100</v>
      </c>
      <c r="AT8" s="286">
        <f>(AR8/'Finance Only'!B11)*100</f>
        <v>5.2076100541591446</v>
      </c>
      <c r="AU8" s="269">
        <f t="shared" si="8"/>
        <v>495543</v>
      </c>
      <c r="AV8" s="269">
        <v>495952</v>
      </c>
      <c r="AW8" s="270">
        <f t="shared" si="9"/>
        <v>409</v>
      </c>
      <c r="AX8" s="285">
        <f t="shared" si="43"/>
        <v>-29</v>
      </c>
      <c r="AY8" s="286">
        <f>(AW8/'Finance Only'!B11)*100</f>
        <v>1.4199416747673934</v>
      </c>
      <c r="AZ8" s="269">
        <f t="shared" si="10"/>
        <v>631730</v>
      </c>
      <c r="BA8" s="269">
        <v>632650</v>
      </c>
      <c r="BB8" s="270">
        <f t="shared" si="11"/>
        <v>920</v>
      </c>
      <c r="BC8" s="285">
        <f t="shared" si="44"/>
        <v>-180</v>
      </c>
      <c r="BD8" s="286">
        <f>(BB8/'Finance Only'!B11)*100</f>
        <v>3.1940008332176086</v>
      </c>
      <c r="BE8" s="269">
        <f t="shared" si="45"/>
        <v>729280</v>
      </c>
      <c r="BF8" s="269">
        <v>730280</v>
      </c>
      <c r="BG8" s="270">
        <f t="shared" si="12"/>
        <v>1000</v>
      </c>
      <c r="BH8" s="285">
        <f t="shared" si="46"/>
        <v>-150</v>
      </c>
      <c r="BI8" s="286">
        <f>(BG8/'Finance Only'!B11)*100</f>
        <v>3.4717400361060959</v>
      </c>
      <c r="BJ8" s="269">
        <f t="shared" si="47"/>
        <v>1140800</v>
      </c>
      <c r="BK8" s="269">
        <v>1142200</v>
      </c>
      <c r="BL8" s="270">
        <f t="shared" si="13"/>
        <v>1400</v>
      </c>
      <c r="BM8" s="285">
        <f t="shared" si="48"/>
        <v>-200</v>
      </c>
      <c r="BN8" s="286">
        <f>(BL8/'Finance Only'!B11)*100</f>
        <v>4.8604360505485351</v>
      </c>
      <c r="BO8" s="269">
        <f t="shared" si="49"/>
        <v>601740</v>
      </c>
      <c r="BP8" s="269">
        <v>603270</v>
      </c>
      <c r="BQ8" s="270">
        <f t="shared" si="14"/>
        <v>1530</v>
      </c>
      <c r="BR8" s="285">
        <f t="shared" si="50"/>
        <v>-260</v>
      </c>
      <c r="BS8" s="286">
        <f>(BQ8/'Finance Only'!B11)*100</f>
        <v>5.3117622552423276</v>
      </c>
      <c r="BT8" s="269">
        <f t="shared" si="51"/>
        <v>460950</v>
      </c>
      <c r="BU8" s="269">
        <v>462230</v>
      </c>
      <c r="BV8" s="270">
        <f t="shared" si="15"/>
        <v>1280</v>
      </c>
      <c r="BW8" s="285">
        <f t="shared" si="52"/>
        <v>30</v>
      </c>
      <c r="BX8" s="286">
        <f>(BV8/'Finance Only'!B11)*100</f>
        <v>4.4438272462158039</v>
      </c>
      <c r="BY8" s="269">
        <f t="shared" si="53"/>
        <v>1340800</v>
      </c>
      <c r="BZ8" s="269">
        <v>1345100</v>
      </c>
      <c r="CA8" s="270">
        <f t="shared" si="16"/>
        <v>4300</v>
      </c>
      <c r="CB8" s="285">
        <f t="shared" si="54"/>
        <v>-400</v>
      </c>
      <c r="CC8" s="286">
        <f>(CA8/'Finance Only'!B11)*100</f>
        <v>14.928482155256214</v>
      </c>
      <c r="CD8" s="269">
        <f t="shared" si="55"/>
        <v>631240</v>
      </c>
      <c r="CE8" s="269">
        <v>631740</v>
      </c>
      <c r="CF8" s="270">
        <f t="shared" si="17"/>
        <v>500</v>
      </c>
      <c r="CG8" s="285">
        <f t="shared" si="56"/>
        <v>-3210</v>
      </c>
      <c r="CH8" s="286">
        <f>(CF8/'Finance Only'!B11)*100</f>
        <v>1.735870018053048</v>
      </c>
      <c r="CI8" s="270">
        <f t="shared" si="57"/>
        <v>30268</v>
      </c>
      <c r="CJ8" s="270">
        <v>30380</v>
      </c>
      <c r="CK8" s="270">
        <f t="shared" si="58"/>
        <v>112</v>
      </c>
      <c r="CL8" s="285">
        <f t="shared" si="59"/>
        <v>26</v>
      </c>
      <c r="CM8" s="286">
        <f>(CK8/'Finance Only'!B11)*100</f>
        <v>0.38883488404388283</v>
      </c>
      <c r="CN8" s="269">
        <f t="shared" si="60"/>
        <v>24381</v>
      </c>
      <c r="CO8" s="269">
        <v>24472</v>
      </c>
      <c r="CP8" s="271">
        <f t="shared" si="18"/>
        <v>91</v>
      </c>
      <c r="CQ8" s="285">
        <f t="shared" si="61"/>
        <v>14</v>
      </c>
      <c r="CR8" s="286">
        <f>(CP8/'Finance Only'!B11)*100</f>
        <v>0.31592834328565478</v>
      </c>
      <c r="CS8" s="269">
        <f t="shared" si="62"/>
        <v>21878</v>
      </c>
      <c r="CT8" s="269">
        <v>21948</v>
      </c>
      <c r="CU8" s="270">
        <f t="shared" si="19"/>
        <v>70</v>
      </c>
      <c r="CV8" s="285">
        <f t="shared" si="63"/>
        <v>14</v>
      </c>
      <c r="CW8" s="286">
        <f>(CU8/'Finance Only'!B11)*100</f>
        <v>0.24302180252742675</v>
      </c>
      <c r="CX8" s="269">
        <f t="shared" si="64"/>
        <v>34463</v>
      </c>
      <c r="CY8" s="269">
        <v>34578</v>
      </c>
      <c r="CZ8" s="270">
        <f t="shared" si="20"/>
        <v>115</v>
      </c>
      <c r="DA8" s="285">
        <f t="shared" si="65"/>
        <v>-2</v>
      </c>
      <c r="DB8" s="286">
        <f>(CZ8/'Finance Only'!B11)*100</f>
        <v>0.39925010415220108</v>
      </c>
      <c r="DC8" s="269">
        <f t="shared" si="66"/>
        <v>26091</v>
      </c>
      <c r="DD8" s="269">
        <v>26216</v>
      </c>
      <c r="DE8" s="270">
        <f t="shared" si="21"/>
        <v>125</v>
      </c>
      <c r="DF8" s="285">
        <f t="shared" si="67"/>
        <v>13</v>
      </c>
      <c r="DG8" s="286">
        <f>(DE8/'Finance Only'!B11)*100</f>
        <v>0.43396750451326199</v>
      </c>
      <c r="DH8" s="269">
        <f t="shared" si="68"/>
        <v>24465</v>
      </c>
      <c r="DI8" s="269">
        <v>24549</v>
      </c>
      <c r="DJ8" s="270">
        <f t="shared" si="22"/>
        <v>84</v>
      </c>
      <c r="DK8" s="285">
        <f t="shared" si="69"/>
        <v>3</v>
      </c>
      <c r="DL8" s="286">
        <f>(DJ8/'Finance Only'!B11)*100</f>
        <v>0.29162616303291206</v>
      </c>
      <c r="DM8" s="269">
        <f t="shared" si="70"/>
        <v>16732</v>
      </c>
      <c r="DN8" s="269">
        <v>16777</v>
      </c>
      <c r="DO8" s="270">
        <f t="shared" si="23"/>
        <v>45</v>
      </c>
      <c r="DP8" s="285">
        <f t="shared" si="71"/>
        <v>-1</v>
      </c>
      <c r="DQ8" s="286">
        <f>(DO8/'Finance Only'!B11)*100</f>
        <v>0.15622830162477433</v>
      </c>
      <c r="DR8" s="269">
        <f t="shared" si="72"/>
        <v>44913</v>
      </c>
      <c r="DS8" s="269">
        <v>45198</v>
      </c>
      <c r="DT8" s="270">
        <f t="shared" si="24"/>
        <v>285</v>
      </c>
      <c r="DU8" s="285">
        <f t="shared" si="73"/>
        <v>153</v>
      </c>
      <c r="DV8" s="286">
        <f>(DT8/'Finance Only'!B11)*100</f>
        <v>0.98944591029023754</v>
      </c>
      <c r="DW8" s="269">
        <f t="shared" si="74"/>
        <v>32594</v>
      </c>
      <c r="DX8" s="269">
        <v>32668</v>
      </c>
      <c r="DY8" s="270">
        <f t="shared" si="25"/>
        <v>74</v>
      </c>
      <c r="DZ8" s="285">
        <f t="shared" si="75"/>
        <v>8</v>
      </c>
      <c r="EA8" s="286">
        <f>(DY8/'Finance Only'!B11)*100</f>
        <v>0.25690876267185109</v>
      </c>
      <c r="EB8" s="269">
        <f t="shared" si="76"/>
        <v>98598</v>
      </c>
      <c r="EC8" s="269">
        <v>98881</v>
      </c>
      <c r="ED8" s="270">
        <f t="shared" si="26"/>
        <v>283</v>
      </c>
      <c r="EE8" s="285">
        <f t="shared" si="77"/>
        <v>19</v>
      </c>
      <c r="EF8" s="286">
        <f>(ED8/'Finance Only'!B11)*100</f>
        <v>0.9825024302180253</v>
      </c>
      <c r="EG8" s="269">
        <f t="shared" si="78"/>
        <v>78841</v>
      </c>
      <c r="EH8" s="269">
        <v>79248</v>
      </c>
      <c r="EI8" s="270">
        <f t="shared" si="27"/>
        <v>407</v>
      </c>
      <c r="EJ8" s="285">
        <f t="shared" si="79"/>
        <v>-21</v>
      </c>
      <c r="EK8" s="286">
        <f>(EI8/'Finance Only'!B11)*100</f>
        <v>1.4129981946951813</v>
      </c>
      <c r="EL8" s="269">
        <f t="shared" si="80"/>
        <v>16898</v>
      </c>
      <c r="EM8" s="269">
        <v>16949</v>
      </c>
      <c r="EN8" s="270">
        <f t="shared" si="28"/>
        <v>51</v>
      </c>
      <c r="EO8" s="285">
        <f t="shared" si="81"/>
        <v>-6</v>
      </c>
      <c r="EP8" s="286">
        <f>(EN8/'Finance Only'!B11)*100</f>
        <v>0.17705874184141093</v>
      </c>
      <c r="EQ8" s="269">
        <f t="shared" si="82"/>
        <v>218430</v>
      </c>
      <c r="ER8" s="269">
        <v>221950</v>
      </c>
      <c r="ES8" s="270">
        <f t="shared" si="29"/>
        <v>3520</v>
      </c>
      <c r="ET8" s="285">
        <f t="shared" si="83"/>
        <v>220</v>
      </c>
      <c r="EU8" s="286">
        <f>(ES8/'Finance Only'!B11)*100</f>
        <v>12.220524927093459</v>
      </c>
    </row>
    <row r="9" spans="1:151" s="3" customFormat="1" ht="13.5" customHeight="1" x14ac:dyDescent="0.2">
      <c r="A9" s="259">
        <v>5</v>
      </c>
      <c r="B9" s="267">
        <f t="shared" si="30"/>
        <v>25548484</v>
      </c>
      <c r="C9" s="267">
        <v>25552440</v>
      </c>
      <c r="D9" s="268">
        <f t="shared" si="0"/>
        <v>3956</v>
      </c>
      <c r="E9" s="281">
        <f t="shared" si="31"/>
        <v>276</v>
      </c>
      <c r="F9" s="282">
        <f>(D9/'Finance Only'!B12)*100</f>
        <v>13.028157418080028</v>
      </c>
      <c r="G9" s="294">
        <f t="shared" ref="G9:G32" si="84">H8</f>
        <v>22596872</v>
      </c>
      <c r="H9" s="267">
        <v>22601861</v>
      </c>
      <c r="I9" s="267">
        <f t="shared" si="32"/>
        <v>4989</v>
      </c>
      <c r="J9" s="295">
        <f t="shared" si="33"/>
        <v>372</v>
      </c>
      <c r="K9" s="296">
        <f>(I9/'Finance Only'!B12)*100</f>
        <v>16.430100444590813</v>
      </c>
      <c r="L9" s="277">
        <f t="shared" si="34"/>
        <v>85482286</v>
      </c>
      <c r="M9" s="269">
        <v>85497398</v>
      </c>
      <c r="N9" s="270">
        <f t="shared" si="1"/>
        <v>15112</v>
      </c>
      <c r="O9" s="285">
        <f t="shared" si="35"/>
        <v>537</v>
      </c>
      <c r="P9" s="286">
        <f>(N9/'Finance Only'!B12)*100</f>
        <v>49.767824798287499</v>
      </c>
      <c r="Q9" s="276">
        <f t="shared" ref="Q9:Q34" si="85">R8</f>
        <v>1975100</v>
      </c>
      <c r="R9" s="269">
        <v>1977100</v>
      </c>
      <c r="S9" s="270">
        <f t="shared" si="2"/>
        <v>2000</v>
      </c>
      <c r="T9" s="285">
        <f t="shared" si="36"/>
        <v>-100</v>
      </c>
      <c r="U9" s="286">
        <f>(S9/'Finance Only'!B12)*100</f>
        <v>6.5865305450354033</v>
      </c>
      <c r="V9" s="269">
        <f t="shared" ref="V9:V20" si="86">W8</f>
        <v>2673580</v>
      </c>
      <c r="W9" s="269">
        <v>2676481</v>
      </c>
      <c r="X9" s="270">
        <f t="shared" si="3"/>
        <v>2901</v>
      </c>
      <c r="Y9" s="285">
        <f t="shared" si="37"/>
        <v>78</v>
      </c>
      <c r="Z9" s="286">
        <f>(X9/'Finance Only'!B12)*100</f>
        <v>9.5537625555738508</v>
      </c>
      <c r="AA9" s="269">
        <f t="shared" si="38"/>
        <v>1625700</v>
      </c>
      <c r="AB9" s="269">
        <v>1627500</v>
      </c>
      <c r="AC9" s="270">
        <f t="shared" si="4"/>
        <v>1800</v>
      </c>
      <c r="AD9" s="285">
        <f t="shared" si="39"/>
        <v>300</v>
      </c>
      <c r="AE9" s="286">
        <f>(AC9/'Finance Only'!B12)*100</f>
        <v>5.9278774905318627</v>
      </c>
      <c r="AF9" s="269">
        <f t="shared" ref="AF9:AF20" si="87">AG8</f>
        <v>737577</v>
      </c>
      <c r="AG9" s="269">
        <v>738347</v>
      </c>
      <c r="AH9" s="270">
        <f t="shared" si="5"/>
        <v>770</v>
      </c>
      <c r="AI9" s="285">
        <f t="shared" si="40"/>
        <v>24</v>
      </c>
      <c r="AJ9" s="286">
        <f>(AH9/'Finance Only'!B12)*100</f>
        <v>2.53581425983863</v>
      </c>
      <c r="AK9" s="269">
        <f t="shared" ref="AK9:AK20" si="88">AL8</f>
        <v>7627400</v>
      </c>
      <c r="AL9" s="269">
        <v>7634400</v>
      </c>
      <c r="AM9" s="270">
        <f t="shared" si="6"/>
        <v>7000</v>
      </c>
      <c r="AN9" s="285">
        <f t="shared" si="41"/>
        <v>700</v>
      </c>
      <c r="AO9" s="286">
        <f>(AM9/'Finance Only'!B12)*100</f>
        <v>23.052856907623909</v>
      </c>
      <c r="AP9" s="269">
        <f t="shared" ref="AP9:AP20" si="89">AQ8</f>
        <v>1738000</v>
      </c>
      <c r="AQ9" s="269">
        <v>1739400</v>
      </c>
      <c r="AR9" s="270">
        <f t="shared" si="7"/>
        <v>1400</v>
      </c>
      <c r="AS9" s="285">
        <f t="shared" si="42"/>
        <v>-100</v>
      </c>
      <c r="AT9" s="286">
        <f>(AR9/'Finance Only'!B12)*100</f>
        <v>4.6105713815247817</v>
      </c>
      <c r="AU9" s="269">
        <f t="shared" si="8"/>
        <v>495952</v>
      </c>
      <c r="AV9" s="269">
        <v>496399</v>
      </c>
      <c r="AW9" s="270">
        <f t="shared" si="9"/>
        <v>447</v>
      </c>
      <c r="AX9" s="285">
        <f t="shared" si="43"/>
        <v>38</v>
      </c>
      <c r="AY9" s="286">
        <f>(AW9/'Finance Only'!B12)*100</f>
        <v>1.4720895768154125</v>
      </c>
      <c r="AZ9" s="269">
        <f t="shared" si="10"/>
        <v>632650</v>
      </c>
      <c r="BA9" s="269">
        <v>633580</v>
      </c>
      <c r="BB9" s="270">
        <f t="shared" si="11"/>
        <v>930</v>
      </c>
      <c r="BC9" s="285">
        <f t="shared" si="44"/>
        <v>10</v>
      </c>
      <c r="BD9" s="286">
        <f>(BB9/'Finance Only'!B12)*100</f>
        <v>3.0627367034414621</v>
      </c>
      <c r="BE9" s="269">
        <f t="shared" si="45"/>
        <v>730280</v>
      </c>
      <c r="BF9" s="269">
        <v>731310</v>
      </c>
      <c r="BG9" s="270">
        <f t="shared" si="12"/>
        <v>1030</v>
      </c>
      <c r="BH9" s="285">
        <f t="shared" si="46"/>
        <v>30</v>
      </c>
      <c r="BI9" s="286">
        <f>(BG9/'Finance Only'!B12)*100</f>
        <v>3.3920632306932328</v>
      </c>
      <c r="BJ9" s="269">
        <f t="shared" si="47"/>
        <v>1142200</v>
      </c>
      <c r="BK9" s="269">
        <v>1143700</v>
      </c>
      <c r="BL9" s="270">
        <f t="shared" si="13"/>
        <v>1500</v>
      </c>
      <c r="BM9" s="285">
        <f t="shared" si="48"/>
        <v>100</v>
      </c>
      <c r="BN9" s="286">
        <f>(BL9/'Finance Only'!B12)*100</f>
        <v>4.939897908776552</v>
      </c>
      <c r="BO9" s="269">
        <f t="shared" si="49"/>
        <v>603270</v>
      </c>
      <c r="BP9" s="269">
        <v>605040</v>
      </c>
      <c r="BQ9" s="270">
        <f t="shared" si="14"/>
        <v>1770</v>
      </c>
      <c r="BR9" s="285">
        <f t="shared" si="50"/>
        <v>240</v>
      </c>
      <c r="BS9" s="286">
        <f>(BQ9/'Finance Only'!B12)*100</f>
        <v>5.8290795323563316</v>
      </c>
      <c r="BT9" s="269">
        <f t="shared" si="51"/>
        <v>462230</v>
      </c>
      <c r="BU9" s="269">
        <v>463460</v>
      </c>
      <c r="BV9" s="270">
        <f t="shared" si="15"/>
        <v>1230</v>
      </c>
      <c r="BW9" s="285">
        <f t="shared" si="52"/>
        <v>-50</v>
      </c>
      <c r="BX9" s="286">
        <f>(BV9/'Finance Only'!B12)*100</f>
        <v>4.0507162851967724</v>
      </c>
      <c r="BY9" s="269">
        <f t="shared" si="53"/>
        <v>1345100</v>
      </c>
      <c r="BZ9" s="269">
        <v>1349400</v>
      </c>
      <c r="CA9" s="270">
        <f t="shared" si="16"/>
        <v>4300</v>
      </c>
      <c r="CB9" s="285">
        <f t="shared" si="54"/>
        <v>0</v>
      </c>
      <c r="CC9" s="286">
        <f>(CA9/'Finance Only'!B12)*100</f>
        <v>14.161040671826116</v>
      </c>
      <c r="CD9" s="269">
        <f t="shared" si="55"/>
        <v>631740</v>
      </c>
      <c r="CE9" s="269">
        <v>632940</v>
      </c>
      <c r="CF9" s="270">
        <f t="shared" si="17"/>
        <v>1200</v>
      </c>
      <c r="CG9" s="285">
        <f t="shared" si="56"/>
        <v>700</v>
      </c>
      <c r="CH9" s="286">
        <f>(CF9/'Finance Only'!B12)*100</f>
        <v>3.9519183270212412</v>
      </c>
      <c r="CI9" s="270">
        <f t="shared" si="57"/>
        <v>30380</v>
      </c>
      <c r="CJ9" s="270">
        <v>30401</v>
      </c>
      <c r="CK9" s="270">
        <f t="shared" si="58"/>
        <v>21</v>
      </c>
      <c r="CL9" s="285">
        <f t="shared" si="59"/>
        <v>-91</v>
      </c>
      <c r="CM9" s="286">
        <f>(CK9/'Finance Only'!B12)*100</f>
        <v>6.9158570722871737E-2</v>
      </c>
      <c r="CN9" s="269">
        <f t="shared" si="60"/>
        <v>24472</v>
      </c>
      <c r="CO9" s="269">
        <v>24511</v>
      </c>
      <c r="CP9" s="271">
        <f t="shared" si="18"/>
        <v>39</v>
      </c>
      <c r="CQ9" s="285">
        <f t="shared" si="61"/>
        <v>-52</v>
      </c>
      <c r="CR9" s="286">
        <f>(CP9/'Finance Only'!B12)*100</f>
        <v>0.12843734562819034</v>
      </c>
      <c r="CS9" s="269">
        <f t="shared" si="62"/>
        <v>21948</v>
      </c>
      <c r="CT9" s="269">
        <v>22001</v>
      </c>
      <c r="CU9" s="270">
        <f t="shared" si="19"/>
        <v>53</v>
      </c>
      <c r="CV9" s="285">
        <f t="shared" si="63"/>
        <v>-17</v>
      </c>
      <c r="CW9" s="286">
        <f>(CU9/'Finance Only'!B12)*100</f>
        <v>0.17454305944343818</v>
      </c>
      <c r="CX9" s="269">
        <f t="shared" si="64"/>
        <v>34578</v>
      </c>
      <c r="CY9" s="269">
        <v>34612</v>
      </c>
      <c r="CZ9" s="270">
        <f t="shared" si="20"/>
        <v>34</v>
      </c>
      <c r="DA9" s="285">
        <f t="shared" si="65"/>
        <v>-81</v>
      </c>
      <c r="DB9" s="286">
        <f>(CZ9/'Finance Only'!B12)*100</f>
        <v>0.11197101926560184</v>
      </c>
      <c r="DC9" s="269">
        <f t="shared" si="66"/>
        <v>26216</v>
      </c>
      <c r="DD9" s="269">
        <v>26291</v>
      </c>
      <c r="DE9" s="270">
        <f t="shared" si="21"/>
        <v>75</v>
      </c>
      <c r="DF9" s="285">
        <f t="shared" si="67"/>
        <v>-50</v>
      </c>
      <c r="DG9" s="286">
        <f>(DE9/'Finance Only'!B12)*100</f>
        <v>0.24699489543882758</v>
      </c>
      <c r="DH9" s="269">
        <f t="shared" si="68"/>
        <v>24549</v>
      </c>
      <c r="DI9" s="269">
        <v>24612</v>
      </c>
      <c r="DJ9" s="270">
        <f t="shared" si="22"/>
        <v>63</v>
      </c>
      <c r="DK9" s="285">
        <f t="shared" si="69"/>
        <v>-21</v>
      </c>
      <c r="DL9" s="286">
        <f>(DJ9/'Finance Only'!B12)*100</f>
        <v>0.20747571216861521</v>
      </c>
      <c r="DM9" s="269">
        <f t="shared" si="70"/>
        <v>16777</v>
      </c>
      <c r="DN9" s="269">
        <v>16801</v>
      </c>
      <c r="DO9" s="270">
        <f t="shared" si="23"/>
        <v>24</v>
      </c>
      <c r="DP9" s="285">
        <f t="shared" si="71"/>
        <v>-21</v>
      </c>
      <c r="DQ9" s="286">
        <f>(DO9/'Finance Only'!B12)*100</f>
        <v>7.9038366540424829E-2</v>
      </c>
      <c r="DR9" s="269">
        <f t="shared" si="72"/>
        <v>45198</v>
      </c>
      <c r="DS9" s="269">
        <f>45198+132</f>
        <v>45330</v>
      </c>
      <c r="DT9" s="270">
        <f t="shared" si="24"/>
        <v>132</v>
      </c>
      <c r="DU9" s="285">
        <f t="shared" si="73"/>
        <v>-153</v>
      </c>
      <c r="DV9" s="286">
        <f>(DT9/'Finance Only'!B12)*100</f>
        <v>0.43471101597233658</v>
      </c>
      <c r="DW9" s="269">
        <f t="shared" si="74"/>
        <v>32668</v>
      </c>
      <c r="DX9" s="269">
        <v>32600</v>
      </c>
      <c r="DY9" s="270">
        <f t="shared" si="25"/>
        <v>-68</v>
      </c>
      <c r="DZ9" s="285">
        <f t="shared" si="75"/>
        <v>-142</v>
      </c>
      <c r="EA9" s="286">
        <f>(DY9/'Finance Only'!B12)*100</f>
        <v>-0.22394203853120367</v>
      </c>
      <c r="EB9" s="269">
        <f t="shared" si="76"/>
        <v>98881</v>
      </c>
      <c r="EC9" s="269">
        <v>98991</v>
      </c>
      <c r="ED9" s="270">
        <f t="shared" si="26"/>
        <v>110</v>
      </c>
      <c r="EE9" s="285">
        <f t="shared" si="77"/>
        <v>-173</v>
      </c>
      <c r="EF9" s="286">
        <f>(ED9/'Finance Only'!B12)*100</f>
        <v>0.36225917997694712</v>
      </c>
      <c r="EG9" s="269">
        <f t="shared" si="78"/>
        <v>79248</v>
      </c>
      <c r="EH9" s="269">
        <v>79615</v>
      </c>
      <c r="EI9" s="270">
        <f t="shared" si="27"/>
        <v>367</v>
      </c>
      <c r="EJ9" s="285">
        <f t="shared" si="79"/>
        <v>-40</v>
      </c>
      <c r="EK9" s="286">
        <f>(EI9/'Finance Only'!B12)*100</f>
        <v>1.2086283550139965</v>
      </c>
      <c r="EL9" s="269">
        <f t="shared" si="80"/>
        <v>16949</v>
      </c>
      <c r="EM9" s="269">
        <v>16991</v>
      </c>
      <c r="EN9" s="270">
        <f t="shared" si="28"/>
        <v>42</v>
      </c>
      <c r="EO9" s="285">
        <f t="shared" si="81"/>
        <v>-9</v>
      </c>
      <c r="EP9" s="286">
        <f>(EN9/'Finance Only'!B12)*100</f>
        <v>0.13831714144574347</v>
      </c>
      <c r="EQ9" s="269">
        <f t="shared" si="82"/>
        <v>221950</v>
      </c>
      <c r="ER9" s="269">
        <v>224110</v>
      </c>
      <c r="ES9" s="270">
        <f t="shared" si="29"/>
        <v>2160</v>
      </c>
      <c r="ET9" s="285">
        <f t="shared" si="83"/>
        <v>-1360</v>
      </c>
      <c r="EU9" s="286">
        <f>(ES9/'Finance Only'!B12)*100</f>
        <v>7.1134529886382341</v>
      </c>
    </row>
    <row r="10" spans="1:151" s="3" customFormat="1" ht="13.5" customHeight="1" x14ac:dyDescent="0.2">
      <c r="A10" s="258">
        <v>6</v>
      </c>
      <c r="B10" s="267">
        <f t="shared" si="30"/>
        <v>25552440</v>
      </c>
      <c r="C10" s="267">
        <v>25556240</v>
      </c>
      <c r="D10" s="268">
        <f t="shared" si="0"/>
        <v>3800</v>
      </c>
      <c r="E10" s="281">
        <f t="shared" si="31"/>
        <v>-156</v>
      </c>
      <c r="F10" s="282">
        <f>(D10/'Finance Only'!B13)*100</f>
        <v>12.709030100334449</v>
      </c>
      <c r="G10" s="294">
        <f t="shared" si="84"/>
        <v>22601861</v>
      </c>
      <c r="H10" s="267">
        <v>22606998</v>
      </c>
      <c r="I10" s="267">
        <f t="shared" si="32"/>
        <v>5137</v>
      </c>
      <c r="J10" s="295">
        <f t="shared" si="33"/>
        <v>148</v>
      </c>
      <c r="K10" s="296">
        <f>(I10/'Finance Only'!B13)*100</f>
        <v>17.180602006688964</v>
      </c>
      <c r="L10" s="277">
        <f t="shared" si="34"/>
        <v>85497398</v>
      </c>
      <c r="M10" s="269">
        <v>85512707</v>
      </c>
      <c r="N10" s="270">
        <f t="shared" si="1"/>
        <v>15309</v>
      </c>
      <c r="O10" s="285">
        <f t="shared" si="35"/>
        <v>197</v>
      </c>
      <c r="P10" s="286">
        <f>(N10/'Finance Only'!B13)*100</f>
        <v>51.200668896321069</v>
      </c>
      <c r="Q10" s="276">
        <f t="shared" si="85"/>
        <v>1977100</v>
      </c>
      <c r="R10" s="269">
        <v>1979200</v>
      </c>
      <c r="S10" s="270">
        <f t="shared" si="2"/>
        <v>2100</v>
      </c>
      <c r="T10" s="285">
        <f t="shared" si="36"/>
        <v>100</v>
      </c>
      <c r="U10" s="286">
        <f>(S10/'Finance Only'!B13)*100</f>
        <v>7.023411371237458</v>
      </c>
      <c r="V10" s="269">
        <f t="shared" si="86"/>
        <v>2676481</v>
      </c>
      <c r="W10" s="269">
        <v>2679281</v>
      </c>
      <c r="X10" s="270">
        <f t="shared" si="3"/>
        <v>2800</v>
      </c>
      <c r="Y10" s="285">
        <f t="shared" si="37"/>
        <v>-101</v>
      </c>
      <c r="Z10" s="286">
        <f>(X10/'Finance Only'!B13)*100</f>
        <v>9.3645484949832767</v>
      </c>
      <c r="AA10" s="269">
        <f t="shared" si="38"/>
        <v>1627500</v>
      </c>
      <c r="AB10" s="269">
        <v>1629400</v>
      </c>
      <c r="AC10" s="270">
        <f t="shared" si="4"/>
        <v>1900</v>
      </c>
      <c r="AD10" s="285">
        <f t="shared" si="39"/>
        <v>100</v>
      </c>
      <c r="AE10" s="286">
        <f>(AC10/'Finance Only'!B13)*100</f>
        <v>6.3545150501672243</v>
      </c>
      <c r="AF10" s="269">
        <f t="shared" si="87"/>
        <v>738347</v>
      </c>
      <c r="AG10" s="269">
        <v>739125</v>
      </c>
      <c r="AH10" s="270">
        <f t="shared" si="5"/>
        <v>778</v>
      </c>
      <c r="AI10" s="285">
        <f t="shared" si="40"/>
        <v>8</v>
      </c>
      <c r="AJ10" s="286">
        <f>(AH10/'Finance Only'!B13)*100</f>
        <v>2.6020066889632107</v>
      </c>
      <c r="AK10" s="269">
        <f t="shared" si="88"/>
        <v>7634400</v>
      </c>
      <c r="AL10" s="269">
        <v>7641300</v>
      </c>
      <c r="AM10" s="270">
        <f t="shared" si="6"/>
        <v>6900</v>
      </c>
      <c r="AN10" s="285">
        <f t="shared" si="41"/>
        <v>-100</v>
      </c>
      <c r="AO10" s="286">
        <f>(AM10/'Finance Only'!B13)*100</f>
        <v>23.076923076923077</v>
      </c>
      <c r="AP10" s="269">
        <f t="shared" si="89"/>
        <v>1739400</v>
      </c>
      <c r="AQ10" s="269">
        <v>1740800</v>
      </c>
      <c r="AR10" s="270">
        <f t="shared" si="7"/>
        <v>1400</v>
      </c>
      <c r="AS10" s="285">
        <f t="shared" si="42"/>
        <v>0</v>
      </c>
      <c r="AT10" s="286">
        <f>(AR10/'Finance Only'!B13)*100</f>
        <v>4.6822742474916383</v>
      </c>
      <c r="AU10" s="269">
        <f t="shared" si="8"/>
        <v>496399</v>
      </c>
      <c r="AV10" s="269">
        <v>496808</v>
      </c>
      <c r="AW10" s="270">
        <f t="shared" si="9"/>
        <v>409</v>
      </c>
      <c r="AX10" s="285">
        <f t="shared" si="43"/>
        <v>-38</v>
      </c>
      <c r="AY10" s="286">
        <f>(AW10/'Finance Only'!B13)*100</f>
        <v>1.3678929765886287</v>
      </c>
      <c r="AZ10" s="269">
        <f t="shared" si="10"/>
        <v>633580</v>
      </c>
      <c r="BA10" s="269">
        <v>634570</v>
      </c>
      <c r="BB10" s="270">
        <f t="shared" si="11"/>
        <v>990</v>
      </c>
      <c r="BC10" s="285">
        <f t="shared" si="44"/>
        <v>60</v>
      </c>
      <c r="BD10" s="286">
        <f>(BB10/'Finance Only'!B13)*100</f>
        <v>3.3110367892976589</v>
      </c>
      <c r="BE10" s="269">
        <f t="shared" si="45"/>
        <v>731310</v>
      </c>
      <c r="BF10" s="269">
        <v>732360</v>
      </c>
      <c r="BG10" s="270">
        <f t="shared" si="12"/>
        <v>1050</v>
      </c>
      <c r="BH10" s="285">
        <f t="shared" si="46"/>
        <v>20</v>
      </c>
      <c r="BI10" s="286">
        <f>(BG10/'Finance Only'!B13)*100</f>
        <v>3.511705685618729</v>
      </c>
      <c r="BJ10" s="269">
        <f t="shared" si="47"/>
        <v>1143700</v>
      </c>
      <c r="BK10" s="269">
        <v>1145200</v>
      </c>
      <c r="BL10" s="270">
        <f t="shared" si="13"/>
        <v>1500</v>
      </c>
      <c r="BM10" s="285">
        <f t="shared" si="48"/>
        <v>0</v>
      </c>
      <c r="BN10" s="286">
        <f>(BL10/'Finance Only'!B13)*100</f>
        <v>5.0167224080267561</v>
      </c>
      <c r="BO10" s="269">
        <f t="shared" si="49"/>
        <v>605040</v>
      </c>
      <c r="BP10" s="269">
        <v>607010</v>
      </c>
      <c r="BQ10" s="270">
        <f t="shared" si="14"/>
        <v>1970</v>
      </c>
      <c r="BR10" s="285">
        <f t="shared" si="50"/>
        <v>200</v>
      </c>
      <c r="BS10" s="286">
        <f>(BQ10/'Finance Only'!B13)*100</f>
        <v>6.5886287625418065</v>
      </c>
      <c r="BT10" s="269">
        <f t="shared" si="51"/>
        <v>463460</v>
      </c>
      <c r="BU10" s="269">
        <v>464770</v>
      </c>
      <c r="BV10" s="270">
        <f t="shared" si="15"/>
        <v>1310</v>
      </c>
      <c r="BW10" s="285">
        <f t="shared" si="52"/>
        <v>80</v>
      </c>
      <c r="BX10" s="286">
        <f>(BV10/'Finance Only'!B13)*100</f>
        <v>4.3812709030100336</v>
      </c>
      <c r="BY10" s="269">
        <f t="shared" si="53"/>
        <v>1349400</v>
      </c>
      <c r="BZ10" s="269">
        <v>1354100</v>
      </c>
      <c r="CA10" s="270">
        <f t="shared" si="16"/>
        <v>4700</v>
      </c>
      <c r="CB10" s="285">
        <f t="shared" si="54"/>
        <v>400</v>
      </c>
      <c r="CC10" s="286">
        <f>(CA10/'Finance Only'!B13)*100</f>
        <v>15.719063545150503</v>
      </c>
      <c r="CD10" s="269">
        <f t="shared" si="55"/>
        <v>632940</v>
      </c>
      <c r="CE10" s="269">
        <v>634840</v>
      </c>
      <c r="CF10" s="270">
        <f t="shared" si="17"/>
        <v>1900</v>
      </c>
      <c r="CG10" s="285">
        <f t="shared" si="56"/>
        <v>700</v>
      </c>
      <c r="CH10" s="286">
        <f>(CF10/'Finance Only'!B13)*100</f>
        <v>6.3545150501672243</v>
      </c>
      <c r="CI10" s="270">
        <f t="shared" si="57"/>
        <v>30401</v>
      </c>
      <c r="CJ10" s="270">
        <v>30480</v>
      </c>
      <c r="CK10" s="270">
        <f t="shared" si="58"/>
        <v>79</v>
      </c>
      <c r="CL10" s="285">
        <f t="shared" si="59"/>
        <v>58</v>
      </c>
      <c r="CM10" s="286">
        <f>(CK10/'Finance Only'!B13)*100</f>
        <v>0.26421404682274247</v>
      </c>
      <c r="CN10" s="269">
        <f t="shared" si="60"/>
        <v>24511</v>
      </c>
      <c r="CO10" s="269">
        <v>24556</v>
      </c>
      <c r="CP10" s="271">
        <f t="shared" si="18"/>
        <v>45</v>
      </c>
      <c r="CQ10" s="285">
        <f t="shared" si="61"/>
        <v>6</v>
      </c>
      <c r="CR10" s="286">
        <f>(CP10/'Finance Only'!B13)*100</f>
        <v>0.15050167224080266</v>
      </c>
      <c r="CS10" s="269">
        <f t="shared" si="62"/>
        <v>22001</v>
      </c>
      <c r="CT10" s="269">
        <v>22043</v>
      </c>
      <c r="CU10" s="270">
        <f t="shared" si="19"/>
        <v>42</v>
      </c>
      <c r="CV10" s="285">
        <f t="shared" si="63"/>
        <v>-11</v>
      </c>
      <c r="CW10" s="286">
        <f>(CU10/'Finance Only'!B13)*100</f>
        <v>0.14046822742474915</v>
      </c>
      <c r="CX10" s="269">
        <f t="shared" si="64"/>
        <v>34612</v>
      </c>
      <c r="CY10" s="269">
        <v>34700</v>
      </c>
      <c r="CZ10" s="270">
        <f t="shared" si="20"/>
        <v>88</v>
      </c>
      <c r="DA10" s="285">
        <f t="shared" si="65"/>
        <v>54</v>
      </c>
      <c r="DB10" s="286">
        <f>(CZ10/'Finance Only'!B13)*100</f>
        <v>0.29431438127090298</v>
      </c>
      <c r="DC10" s="269">
        <f t="shared" si="66"/>
        <v>26291</v>
      </c>
      <c r="DD10" s="269">
        <v>26347</v>
      </c>
      <c r="DE10" s="270">
        <f t="shared" si="21"/>
        <v>56</v>
      </c>
      <c r="DF10" s="285">
        <f t="shared" si="67"/>
        <v>-19</v>
      </c>
      <c r="DG10" s="286">
        <f>(DE10/'Finance Only'!B13)*100</f>
        <v>0.18729096989966557</v>
      </c>
      <c r="DH10" s="269">
        <f t="shared" si="68"/>
        <v>24612</v>
      </c>
      <c r="DI10" s="269">
        <v>24643</v>
      </c>
      <c r="DJ10" s="270">
        <f t="shared" si="22"/>
        <v>31</v>
      </c>
      <c r="DK10" s="285">
        <f t="shared" si="69"/>
        <v>-32</v>
      </c>
      <c r="DL10" s="286">
        <f>(DJ10/'Finance Only'!B13)*100</f>
        <v>0.10367892976588629</v>
      </c>
      <c r="DM10" s="269">
        <f t="shared" si="70"/>
        <v>16801</v>
      </c>
      <c r="DN10" s="269">
        <v>16825</v>
      </c>
      <c r="DO10" s="270">
        <f t="shared" si="23"/>
        <v>24</v>
      </c>
      <c r="DP10" s="285">
        <f t="shared" si="71"/>
        <v>0</v>
      </c>
      <c r="DQ10" s="286">
        <f>(DO10/'Finance Only'!B13)*100</f>
        <v>8.0267558528428096E-2</v>
      </c>
      <c r="DR10" s="269">
        <f t="shared" si="72"/>
        <v>45330</v>
      </c>
      <c r="DS10" s="269">
        <f>45330+132</f>
        <v>45462</v>
      </c>
      <c r="DT10" s="270">
        <f t="shared" si="24"/>
        <v>132</v>
      </c>
      <c r="DU10" s="285">
        <f t="shared" si="73"/>
        <v>0</v>
      </c>
      <c r="DV10" s="286">
        <f>(DT10/'Finance Only'!B13)*100</f>
        <v>0.44147157190635455</v>
      </c>
      <c r="DW10" s="269">
        <f t="shared" si="74"/>
        <v>32600</v>
      </c>
      <c r="DX10" s="269">
        <v>32736</v>
      </c>
      <c r="DY10" s="270">
        <f t="shared" si="25"/>
        <v>136</v>
      </c>
      <c r="DZ10" s="285">
        <f t="shared" si="75"/>
        <v>204</v>
      </c>
      <c r="EA10" s="286">
        <f>(DY10/'Finance Only'!B13)*100</f>
        <v>0.45484949832775923</v>
      </c>
      <c r="EB10" s="269">
        <f t="shared" si="76"/>
        <v>98991</v>
      </c>
      <c r="EC10" s="269">
        <v>99138</v>
      </c>
      <c r="ED10" s="270">
        <f t="shared" si="26"/>
        <v>147</v>
      </c>
      <c r="EE10" s="285">
        <f t="shared" si="77"/>
        <v>37</v>
      </c>
      <c r="EF10" s="286">
        <f>(ED10/'Finance Only'!B13)*100</f>
        <v>0.49163879598662208</v>
      </c>
      <c r="EG10" s="269">
        <f t="shared" si="78"/>
        <v>79615</v>
      </c>
      <c r="EH10" s="269">
        <v>79611</v>
      </c>
      <c r="EI10" s="270">
        <f t="shared" si="27"/>
        <v>-4</v>
      </c>
      <c r="EJ10" s="285">
        <f t="shared" si="79"/>
        <v>-371</v>
      </c>
      <c r="EK10" s="286">
        <f>(EI10/'Finance Only'!B13)*100</f>
        <v>-1.3377926421404682E-2</v>
      </c>
      <c r="EL10" s="269">
        <f t="shared" si="80"/>
        <v>16991</v>
      </c>
      <c r="EM10" s="269">
        <v>16999</v>
      </c>
      <c r="EN10" s="270">
        <f t="shared" si="28"/>
        <v>8</v>
      </c>
      <c r="EO10" s="285">
        <f t="shared" si="81"/>
        <v>-34</v>
      </c>
      <c r="EP10" s="286">
        <f>(EN10/'Finance Only'!B13)*100</f>
        <v>2.6755852842809364E-2</v>
      </c>
      <c r="EQ10" s="269">
        <f t="shared" si="82"/>
        <v>224110</v>
      </c>
      <c r="ER10" s="269">
        <v>225370</v>
      </c>
      <c r="ES10" s="270">
        <f t="shared" si="29"/>
        <v>1260</v>
      </c>
      <c r="ET10" s="285">
        <f t="shared" si="83"/>
        <v>-900</v>
      </c>
      <c r="EU10" s="286">
        <f>(ES10/'Finance Only'!B13)*100</f>
        <v>4.2140468227424748</v>
      </c>
    </row>
    <row r="11" spans="1:151" s="3" customFormat="1" ht="13.5" customHeight="1" x14ac:dyDescent="0.2">
      <c r="A11" s="258">
        <v>7</v>
      </c>
      <c r="B11" s="267">
        <f t="shared" si="30"/>
        <v>25556240</v>
      </c>
      <c r="C11" s="267">
        <v>25560028</v>
      </c>
      <c r="D11" s="268">
        <f t="shared" si="0"/>
        <v>3788</v>
      </c>
      <c r="E11" s="281">
        <f t="shared" si="31"/>
        <v>-12</v>
      </c>
      <c r="F11" s="282">
        <f>(D11/'Finance Only'!B14)*100</f>
        <v>12.384346290907903</v>
      </c>
      <c r="G11" s="294">
        <f t="shared" si="84"/>
        <v>22606998</v>
      </c>
      <c r="H11" s="267">
        <v>22611897</v>
      </c>
      <c r="I11" s="267">
        <f t="shared" si="32"/>
        <v>4899</v>
      </c>
      <c r="J11" s="295">
        <f t="shared" si="33"/>
        <v>-238</v>
      </c>
      <c r="K11" s="296">
        <f>(I11/'Finance Only'!B14)*100</f>
        <v>16.016608363030045</v>
      </c>
      <c r="L11" s="277">
        <f t="shared" si="34"/>
        <v>85512707</v>
      </c>
      <c r="M11" s="269">
        <v>85528586</v>
      </c>
      <c r="N11" s="270">
        <f t="shared" si="1"/>
        <v>15879</v>
      </c>
      <c r="O11" s="285">
        <f t="shared" si="35"/>
        <v>570</v>
      </c>
      <c r="P11" s="286">
        <f>(N11/'Finance Only'!B14)*100</f>
        <v>51.914211920096776</v>
      </c>
      <c r="Q11" s="276">
        <f t="shared" si="85"/>
        <v>1979200</v>
      </c>
      <c r="R11" s="269">
        <v>1981300</v>
      </c>
      <c r="S11" s="270">
        <f t="shared" si="2"/>
        <v>2100</v>
      </c>
      <c r="T11" s="285">
        <f t="shared" si="36"/>
        <v>0</v>
      </c>
      <c r="U11" s="286">
        <f>(S11/'Finance Only'!B14)*100</f>
        <v>6.8656618824991007</v>
      </c>
      <c r="V11" s="269">
        <f t="shared" si="86"/>
        <v>2679281</v>
      </c>
      <c r="W11" s="269">
        <v>2682089</v>
      </c>
      <c r="X11" s="270">
        <f t="shared" si="3"/>
        <v>2808</v>
      </c>
      <c r="Y11" s="285">
        <f t="shared" si="37"/>
        <v>8</v>
      </c>
      <c r="Z11" s="286">
        <f>(X11/'Finance Only'!B14)*100</f>
        <v>9.180370745741655</v>
      </c>
      <c r="AA11" s="269">
        <f t="shared" si="38"/>
        <v>1629400</v>
      </c>
      <c r="AB11" s="269">
        <v>1631600</v>
      </c>
      <c r="AC11" s="270">
        <f t="shared" si="4"/>
        <v>2200</v>
      </c>
      <c r="AD11" s="285">
        <f t="shared" si="39"/>
        <v>300</v>
      </c>
      <c r="AE11" s="286">
        <f>(AC11/'Finance Only'!B14)*100</f>
        <v>7.192598162618105</v>
      </c>
      <c r="AF11" s="269">
        <f t="shared" si="87"/>
        <v>739125</v>
      </c>
      <c r="AG11" s="269">
        <v>739904</v>
      </c>
      <c r="AH11" s="270">
        <f t="shared" si="5"/>
        <v>779</v>
      </c>
      <c r="AI11" s="285">
        <f t="shared" si="40"/>
        <v>1</v>
      </c>
      <c r="AJ11" s="286">
        <f>(AH11/'Finance Only'!B14)*100</f>
        <v>2.5468336221270476</v>
      </c>
      <c r="AK11" s="269">
        <f t="shared" si="88"/>
        <v>7641300</v>
      </c>
      <c r="AL11" s="269">
        <v>7648000</v>
      </c>
      <c r="AM11" s="270">
        <f t="shared" si="6"/>
        <v>6700</v>
      </c>
      <c r="AN11" s="285">
        <f t="shared" si="41"/>
        <v>-200</v>
      </c>
      <c r="AO11" s="286">
        <f>(AM11/'Finance Only'!B14)*100</f>
        <v>21.904730767973319</v>
      </c>
      <c r="AP11" s="269">
        <f t="shared" si="89"/>
        <v>1740800</v>
      </c>
      <c r="AQ11" s="269">
        <v>1742300</v>
      </c>
      <c r="AR11" s="270">
        <f t="shared" si="7"/>
        <v>1500</v>
      </c>
      <c r="AS11" s="285">
        <f t="shared" si="42"/>
        <v>100</v>
      </c>
      <c r="AT11" s="286">
        <f>(AR11/'Finance Only'!B14)*100</f>
        <v>4.9040442017850721</v>
      </c>
      <c r="AU11" s="269">
        <f t="shared" si="8"/>
        <v>496808</v>
      </c>
      <c r="AV11" s="269">
        <v>497283</v>
      </c>
      <c r="AW11" s="270">
        <f t="shared" si="9"/>
        <v>475</v>
      </c>
      <c r="AX11" s="285">
        <f t="shared" si="43"/>
        <v>66</v>
      </c>
      <c r="AY11" s="286">
        <f>(AW11/'Finance Only'!B14)*100</f>
        <v>1.552947330565273</v>
      </c>
      <c r="AZ11" s="269">
        <f t="shared" si="10"/>
        <v>634570</v>
      </c>
      <c r="BA11" s="269">
        <v>635570</v>
      </c>
      <c r="BB11" s="270">
        <f t="shared" si="11"/>
        <v>1000</v>
      </c>
      <c r="BC11" s="285">
        <f t="shared" si="44"/>
        <v>10</v>
      </c>
      <c r="BD11" s="286">
        <f>(BB11/'Finance Only'!B14)*100</f>
        <v>3.2693628011900482</v>
      </c>
      <c r="BE11" s="269">
        <f t="shared" si="45"/>
        <v>732360</v>
      </c>
      <c r="BF11" s="269">
        <v>733460</v>
      </c>
      <c r="BG11" s="270">
        <f t="shared" si="12"/>
        <v>1100</v>
      </c>
      <c r="BH11" s="285">
        <f t="shared" si="46"/>
        <v>50</v>
      </c>
      <c r="BI11" s="286">
        <f>(BG11/'Finance Only'!B14)*100</f>
        <v>3.5962990813090525</v>
      </c>
      <c r="BJ11" s="269">
        <f t="shared" si="47"/>
        <v>1145200</v>
      </c>
      <c r="BK11" s="269">
        <v>1146800</v>
      </c>
      <c r="BL11" s="270">
        <f t="shared" si="13"/>
        <v>1600</v>
      </c>
      <c r="BM11" s="285">
        <f t="shared" si="48"/>
        <v>100</v>
      </c>
      <c r="BN11" s="286">
        <f>(BL11/'Finance Only'!B14)*100</f>
        <v>5.2309804819040764</v>
      </c>
      <c r="BO11" s="269">
        <f t="shared" si="49"/>
        <v>607010</v>
      </c>
      <c r="BP11" s="269">
        <v>608540</v>
      </c>
      <c r="BQ11" s="270">
        <f t="shared" si="14"/>
        <v>1530</v>
      </c>
      <c r="BR11" s="285">
        <f t="shared" si="50"/>
        <v>-440</v>
      </c>
      <c r="BS11" s="286">
        <f>(BQ11/'Finance Only'!B14)*100</f>
        <v>5.002125085820774</v>
      </c>
      <c r="BT11" s="269">
        <f t="shared" si="51"/>
        <v>464770</v>
      </c>
      <c r="BU11" s="269">
        <v>466050</v>
      </c>
      <c r="BV11" s="270">
        <f t="shared" si="15"/>
        <v>1280</v>
      </c>
      <c r="BW11" s="285">
        <f t="shared" si="52"/>
        <v>-30</v>
      </c>
      <c r="BX11" s="286">
        <f>(BV11/'Finance Only'!B14)*100</f>
        <v>4.1847843855232618</v>
      </c>
      <c r="BY11" s="269">
        <f t="shared" si="53"/>
        <v>1354100</v>
      </c>
      <c r="BZ11" s="269">
        <v>1359100</v>
      </c>
      <c r="CA11" s="270">
        <f t="shared" si="16"/>
        <v>5000</v>
      </c>
      <c r="CB11" s="285">
        <f t="shared" si="54"/>
        <v>300</v>
      </c>
      <c r="CC11" s="286">
        <f>(CA11/'Finance Only'!B14)*100</f>
        <v>16.346814005950243</v>
      </c>
      <c r="CD11" s="269">
        <f t="shared" si="55"/>
        <v>634840</v>
      </c>
      <c r="CE11" s="269">
        <v>635590</v>
      </c>
      <c r="CF11" s="270">
        <f t="shared" si="17"/>
        <v>750</v>
      </c>
      <c r="CG11" s="285">
        <f t="shared" si="56"/>
        <v>-1150</v>
      </c>
      <c r="CH11" s="286">
        <f>(CF11/'Finance Only'!B14)*100</f>
        <v>2.452022100892536</v>
      </c>
      <c r="CI11" s="270">
        <f t="shared" si="57"/>
        <v>30480</v>
      </c>
      <c r="CJ11" s="270">
        <v>30584</v>
      </c>
      <c r="CK11" s="270">
        <f t="shared" si="58"/>
        <v>104</v>
      </c>
      <c r="CL11" s="285">
        <f t="shared" si="59"/>
        <v>25</v>
      </c>
      <c r="CM11" s="286">
        <f>(CK11/'Finance Only'!B14)*100</f>
        <v>0.340013731323765</v>
      </c>
      <c r="CN11" s="269">
        <f t="shared" si="60"/>
        <v>24556</v>
      </c>
      <c r="CO11" s="269">
        <v>24641</v>
      </c>
      <c r="CP11" s="271">
        <f t="shared" si="18"/>
        <v>85</v>
      </c>
      <c r="CQ11" s="285">
        <f t="shared" si="61"/>
        <v>40</v>
      </c>
      <c r="CR11" s="286">
        <f>(CP11/'Finance Only'!B14)*100</f>
        <v>0.27789583810115409</v>
      </c>
      <c r="CS11" s="269">
        <f t="shared" si="62"/>
        <v>22043</v>
      </c>
      <c r="CT11" s="269">
        <v>22079</v>
      </c>
      <c r="CU11" s="270">
        <f t="shared" si="19"/>
        <v>36</v>
      </c>
      <c r="CV11" s="285">
        <f t="shared" si="63"/>
        <v>-6</v>
      </c>
      <c r="CW11" s="286">
        <f>(CU11/'Finance Only'!B14)*100</f>
        <v>0.11769706084284173</v>
      </c>
      <c r="CX11" s="269">
        <f t="shared" si="64"/>
        <v>34700</v>
      </c>
      <c r="CY11" s="269">
        <v>34817</v>
      </c>
      <c r="CZ11" s="270">
        <f t="shared" si="20"/>
        <v>117</v>
      </c>
      <c r="DA11" s="285">
        <f t="shared" si="65"/>
        <v>29</v>
      </c>
      <c r="DB11" s="286">
        <f>(CZ11/'Finance Only'!B14)*100</f>
        <v>0.38251544773923563</v>
      </c>
      <c r="DC11" s="269">
        <f t="shared" si="66"/>
        <v>26347</v>
      </c>
      <c r="DD11" s="269">
        <v>26459</v>
      </c>
      <c r="DE11" s="270">
        <f t="shared" si="21"/>
        <v>112</v>
      </c>
      <c r="DF11" s="285">
        <f t="shared" si="67"/>
        <v>56</v>
      </c>
      <c r="DG11" s="286">
        <f>(DE11/'Finance Only'!B14)*100</f>
        <v>0.3661686337332854</v>
      </c>
      <c r="DH11" s="269">
        <f t="shared" si="68"/>
        <v>24643</v>
      </c>
      <c r="DI11" s="269">
        <v>24689</v>
      </c>
      <c r="DJ11" s="270">
        <f t="shared" si="22"/>
        <v>46</v>
      </c>
      <c r="DK11" s="285">
        <f t="shared" si="69"/>
        <v>15</v>
      </c>
      <c r="DL11" s="286">
        <f>(DJ11/'Finance Only'!B14)*100</f>
        <v>0.15039068885474219</v>
      </c>
      <c r="DM11" s="269">
        <f t="shared" si="70"/>
        <v>16825</v>
      </c>
      <c r="DN11" s="269">
        <v>16870</v>
      </c>
      <c r="DO11" s="270">
        <f t="shared" si="23"/>
        <v>45</v>
      </c>
      <c r="DP11" s="285">
        <f t="shared" si="71"/>
        <v>21</v>
      </c>
      <c r="DQ11" s="286">
        <f>(DO11/'Finance Only'!B14)*100</f>
        <v>0.14712132605355216</v>
      </c>
      <c r="DR11" s="269">
        <f t="shared" si="72"/>
        <v>45462</v>
      </c>
      <c r="DS11" s="269">
        <f>45462+139</f>
        <v>45601</v>
      </c>
      <c r="DT11" s="270">
        <f t="shared" si="24"/>
        <v>139</v>
      </c>
      <c r="DU11" s="285">
        <f t="shared" si="73"/>
        <v>7</v>
      </c>
      <c r="DV11" s="286">
        <f>(DT11/'Finance Only'!B14)*100</f>
        <v>0.4544414293654167</v>
      </c>
      <c r="DW11" s="269">
        <f t="shared" si="74"/>
        <v>32736</v>
      </c>
      <c r="DX11" s="269">
        <v>32805</v>
      </c>
      <c r="DY11" s="270">
        <f t="shared" si="25"/>
        <v>69</v>
      </c>
      <c r="DZ11" s="285">
        <f t="shared" si="75"/>
        <v>-67</v>
      </c>
      <c r="EA11" s="286">
        <f>(DY11/'Finance Only'!B14)*100</f>
        <v>0.22558603328211332</v>
      </c>
      <c r="EB11" s="269">
        <f t="shared" si="76"/>
        <v>99138</v>
      </c>
      <c r="EC11" s="269">
        <v>99394</v>
      </c>
      <c r="ED11" s="270">
        <f t="shared" si="26"/>
        <v>256</v>
      </c>
      <c r="EE11" s="285">
        <f t="shared" si="77"/>
        <v>109</v>
      </c>
      <c r="EF11" s="286">
        <f>(ED11/'Finance Only'!B14)*100</f>
        <v>0.83695687710465227</v>
      </c>
      <c r="EG11" s="269">
        <f t="shared" si="78"/>
        <v>79611</v>
      </c>
      <c r="EH11" s="269">
        <v>79955</v>
      </c>
      <c r="EI11" s="270">
        <f t="shared" si="27"/>
        <v>344</v>
      </c>
      <c r="EJ11" s="285">
        <f t="shared" si="79"/>
        <v>348</v>
      </c>
      <c r="EK11" s="286">
        <f>(EI11/'Finance Only'!B14)*100</f>
        <v>1.1246608036093766</v>
      </c>
      <c r="EL11" s="269">
        <f t="shared" si="80"/>
        <v>16999</v>
      </c>
      <c r="EM11" s="269">
        <v>17043</v>
      </c>
      <c r="EN11" s="270">
        <f t="shared" si="28"/>
        <v>44</v>
      </c>
      <c r="EO11" s="285">
        <f t="shared" si="81"/>
        <v>36</v>
      </c>
      <c r="EP11" s="286">
        <f>(EN11/'Finance Only'!B14)*100</f>
        <v>0.14385196325236213</v>
      </c>
      <c r="EQ11" s="269">
        <f t="shared" si="82"/>
        <v>225370</v>
      </c>
      <c r="ER11" s="269">
        <v>228700</v>
      </c>
      <c r="ES11" s="270">
        <f t="shared" si="29"/>
        <v>3330</v>
      </c>
      <c r="ET11" s="285">
        <f t="shared" si="83"/>
        <v>2070</v>
      </c>
      <c r="EU11" s="286">
        <f>(ES11/'Finance Only'!B14)*100</f>
        <v>10.886978127962859</v>
      </c>
    </row>
    <row r="12" spans="1:151" s="3" customFormat="1" ht="13.5" customHeight="1" x14ac:dyDescent="0.2">
      <c r="A12" s="258">
        <v>8</v>
      </c>
      <c r="B12" s="267">
        <f t="shared" si="30"/>
        <v>25560028</v>
      </c>
      <c r="C12" s="267">
        <v>25563757</v>
      </c>
      <c r="D12" s="268">
        <f t="shared" si="0"/>
        <v>3729</v>
      </c>
      <c r="E12" s="281">
        <f t="shared" si="31"/>
        <v>-59</v>
      </c>
      <c r="F12" s="282">
        <f>(D12/'Finance Only'!B15)*100</f>
        <v>12.339918594261889</v>
      </c>
      <c r="G12" s="294">
        <f t="shared" si="84"/>
        <v>22611897</v>
      </c>
      <c r="H12" s="267">
        <v>22616873</v>
      </c>
      <c r="I12" s="267">
        <f t="shared" si="32"/>
        <v>4976</v>
      </c>
      <c r="J12" s="295">
        <f t="shared" si="33"/>
        <v>77</v>
      </c>
      <c r="K12" s="296">
        <f>(I12/'Finance Only'!B15)*100</f>
        <v>16.466461497733214</v>
      </c>
      <c r="L12" s="277">
        <f t="shared" si="34"/>
        <v>85528586</v>
      </c>
      <c r="M12" s="269">
        <v>85544114</v>
      </c>
      <c r="N12" s="270">
        <f t="shared" si="1"/>
        <v>15528</v>
      </c>
      <c r="O12" s="285">
        <f t="shared" si="35"/>
        <v>-351</v>
      </c>
      <c r="P12" s="286">
        <f>(N12/'Finance Only'!B15)*100</f>
        <v>51.38489030080413</v>
      </c>
      <c r="Q12" s="276">
        <f t="shared" si="85"/>
        <v>1981300</v>
      </c>
      <c r="R12" s="269">
        <v>1983400</v>
      </c>
      <c r="S12" s="270">
        <f t="shared" si="2"/>
        <v>2100</v>
      </c>
      <c r="T12" s="285">
        <f t="shared" si="36"/>
        <v>0</v>
      </c>
      <c r="U12" s="286">
        <f>(S12/'Finance Only'!B15)*100</f>
        <v>6.9492703266157054</v>
      </c>
      <c r="V12" s="269">
        <f t="shared" si="86"/>
        <v>2682089</v>
      </c>
      <c r="W12" s="269">
        <v>2685051</v>
      </c>
      <c r="X12" s="270">
        <f t="shared" si="3"/>
        <v>2962</v>
      </c>
      <c r="Y12" s="285">
        <f t="shared" si="37"/>
        <v>154</v>
      </c>
      <c r="Z12" s="286">
        <f>(X12/'Finance Only'!B15)*100</f>
        <v>9.8017803368741525</v>
      </c>
      <c r="AA12" s="269">
        <f t="shared" si="38"/>
        <v>1631600</v>
      </c>
      <c r="AB12" s="269">
        <v>1633500</v>
      </c>
      <c r="AC12" s="270">
        <f t="shared" si="4"/>
        <v>1900</v>
      </c>
      <c r="AD12" s="285">
        <f t="shared" si="39"/>
        <v>-300</v>
      </c>
      <c r="AE12" s="286">
        <f>(AC12/'Finance Only'!B15)*100</f>
        <v>6.2874350574142088</v>
      </c>
      <c r="AF12" s="269">
        <f t="shared" si="87"/>
        <v>739904</v>
      </c>
      <c r="AG12" s="269">
        <v>740654</v>
      </c>
      <c r="AH12" s="270">
        <f t="shared" si="5"/>
        <v>750</v>
      </c>
      <c r="AI12" s="285">
        <f t="shared" si="40"/>
        <v>-29</v>
      </c>
      <c r="AJ12" s="286">
        <f>(AH12/'Finance Only'!B15)*100</f>
        <v>2.4818822595056091</v>
      </c>
      <c r="AK12" s="269">
        <f t="shared" si="88"/>
        <v>7648000</v>
      </c>
      <c r="AL12" s="269">
        <v>7654700</v>
      </c>
      <c r="AM12" s="270">
        <f t="shared" si="6"/>
        <v>6700</v>
      </c>
      <c r="AN12" s="285">
        <f t="shared" si="41"/>
        <v>0</v>
      </c>
      <c r="AO12" s="286">
        <f>(AM12/'Finance Only'!B15)*100</f>
        <v>22.171481518250108</v>
      </c>
      <c r="AP12" s="269">
        <f t="shared" si="89"/>
        <v>1742300</v>
      </c>
      <c r="AQ12" s="269">
        <v>1743900</v>
      </c>
      <c r="AR12" s="270">
        <f t="shared" si="7"/>
        <v>1600</v>
      </c>
      <c r="AS12" s="285">
        <f t="shared" si="42"/>
        <v>100</v>
      </c>
      <c r="AT12" s="286">
        <f>(AR12/'Finance Only'!B15)*100</f>
        <v>5.2946821536119657</v>
      </c>
      <c r="AU12" s="269">
        <f t="shared" si="8"/>
        <v>497283</v>
      </c>
      <c r="AV12" s="269">
        <v>497705</v>
      </c>
      <c r="AW12" s="270">
        <f t="shared" si="9"/>
        <v>422</v>
      </c>
      <c r="AX12" s="285">
        <f t="shared" si="43"/>
        <v>-53</v>
      </c>
      <c r="AY12" s="286">
        <f>(AW12/'Finance Only'!B15)*100</f>
        <v>1.396472418015156</v>
      </c>
      <c r="AZ12" s="269">
        <f t="shared" si="10"/>
        <v>635570</v>
      </c>
      <c r="BA12" s="269">
        <v>636630</v>
      </c>
      <c r="BB12" s="270">
        <f t="shared" si="11"/>
        <v>1060</v>
      </c>
      <c r="BC12" s="285">
        <f t="shared" si="44"/>
        <v>60</v>
      </c>
      <c r="BD12" s="286">
        <f>(BB12/'Finance Only'!B15)*100</f>
        <v>3.5077269267679276</v>
      </c>
      <c r="BE12" s="269">
        <f t="shared" si="45"/>
        <v>733460</v>
      </c>
      <c r="BF12" s="269">
        <v>734590</v>
      </c>
      <c r="BG12" s="270">
        <f t="shared" si="12"/>
        <v>1130</v>
      </c>
      <c r="BH12" s="285">
        <f t="shared" si="46"/>
        <v>30</v>
      </c>
      <c r="BI12" s="286">
        <f>(BG12/'Finance Only'!B15)*100</f>
        <v>3.7393692709884512</v>
      </c>
      <c r="BJ12" s="269">
        <f t="shared" si="47"/>
        <v>1146800</v>
      </c>
      <c r="BK12" s="269">
        <v>1148400</v>
      </c>
      <c r="BL12" s="270">
        <f t="shared" si="13"/>
        <v>1600</v>
      </c>
      <c r="BM12" s="285">
        <f t="shared" si="48"/>
        <v>0</v>
      </c>
      <c r="BN12" s="286">
        <f>(BL12/'Finance Only'!B15)*100</f>
        <v>5.2946821536119657</v>
      </c>
      <c r="BO12" s="269">
        <f t="shared" si="49"/>
        <v>608540</v>
      </c>
      <c r="BP12" s="269">
        <v>610310</v>
      </c>
      <c r="BQ12" s="270">
        <f t="shared" si="14"/>
        <v>1770</v>
      </c>
      <c r="BR12" s="285">
        <f t="shared" si="50"/>
        <v>240</v>
      </c>
      <c r="BS12" s="286">
        <f>(BQ12/'Finance Only'!B15)*100</f>
        <v>5.8572421324332371</v>
      </c>
      <c r="BT12" s="269">
        <f t="shared" si="51"/>
        <v>466050</v>
      </c>
      <c r="BU12" s="269">
        <v>467350</v>
      </c>
      <c r="BV12" s="270">
        <f t="shared" si="15"/>
        <v>1300</v>
      </c>
      <c r="BW12" s="285">
        <f t="shared" si="52"/>
        <v>20</v>
      </c>
      <c r="BX12" s="286">
        <f>(BV12/'Finance Only'!B15)*100</f>
        <v>4.3019292498097226</v>
      </c>
      <c r="BY12" s="269">
        <f t="shared" si="53"/>
        <v>1359100</v>
      </c>
      <c r="BZ12" s="269">
        <v>1363500</v>
      </c>
      <c r="CA12" s="270">
        <f t="shared" si="16"/>
        <v>4400</v>
      </c>
      <c r="CB12" s="285">
        <f t="shared" si="54"/>
        <v>-600</v>
      </c>
      <c r="CC12" s="286">
        <f>(CA12/'Finance Only'!B15)*100</f>
        <v>14.560375922432906</v>
      </c>
      <c r="CD12" s="269">
        <f t="shared" si="55"/>
        <v>635590</v>
      </c>
      <c r="CE12" s="269">
        <v>637400</v>
      </c>
      <c r="CF12" s="270">
        <f t="shared" si="17"/>
        <v>1810</v>
      </c>
      <c r="CG12" s="285">
        <f t="shared" si="56"/>
        <v>1060</v>
      </c>
      <c r="CH12" s="286">
        <f>(CF12/'Finance Only'!B15)*100</f>
        <v>5.9896091862735368</v>
      </c>
      <c r="CI12" s="270">
        <f t="shared" si="57"/>
        <v>30584</v>
      </c>
      <c r="CJ12" s="270">
        <v>30683</v>
      </c>
      <c r="CK12" s="270">
        <f t="shared" si="58"/>
        <v>99</v>
      </c>
      <c r="CL12" s="285">
        <f t="shared" si="59"/>
        <v>-5</v>
      </c>
      <c r="CM12" s="286">
        <f>(CK12/'Finance Only'!B15)*100</f>
        <v>0.32760845825474039</v>
      </c>
      <c r="CN12" s="269">
        <f t="shared" si="60"/>
        <v>24641</v>
      </c>
      <c r="CO12" s="269">
        <v>24725</v>
      </c>
      <c r="CP12" s="271">
        <f t="shared" si="18"/>
        <v>84</v>
      </c>
      <c r="CQ12" s="285">
        <f t="shared" si="61"/>
        <v>-1</v>
      </c>
      <c r="CR12" s="286">
        <f>(CP12/'Finance Only'!B15)*100</f>
        <v>0.27797081306462823</v>
      </c>
      <c r="CS12" s="269">
        <f t="shared" si="62"/>
        <v>22079</v>
      </c>
      <c r="CT12" s="269">
        <v>22158</v>
      </c>
      <c r="CU12" s="270">
        <f t="shared" si="19"/>
        <v>79</v>
      </c>
      <c r="CV12" s="285">
        <f t="shared" si="63"/>
        <v>43</v>
      </c>
      <c r="CW12" s="286">
        <f>(CU12/'Finance Only'!B15)*100</f>
        <v>0.26142493133459083</v>
      </c>
      <c r="CX12" s="269">
        <f t="shared" si="64"/>
        <v>34817</v>
      </c>
      <c r="CY12" s="269">
        <v>34933</v>
      </c>
      <c r="CZ12" s="270">
        <f t="shared" si="20"/>
        <v>116</v>
      </c>
      <c r="DA12" s="285">
        <f t="shared" si="65"/>
        <v>-1</v>
      </c>
      <c r="DB12" s="286">
        <f>(CZ12/'Finance Only'!B15)*100</f>
        <v>0.38386445613686754</v>
      </c>
      <c r="DC12" s="269">
        <f t="shared" si="66"/>
        <v>26459</v>
      </c>
      <c r="DD12" s="269">
        <v>26571</v>
      </c>
      <c r="DE12" s="270">
        <f t="shared" si="21"/>
        <v>112</v>
      </c>
      <c r="DF12" s="285">
        <f t="shared" si="67"/>
        <v>0</v>
      </c>
      <c r="DG12" s="286">
        <f>(DE12/'Finance Only'!B15)*100</f>
        <v>0.3706277507528376</v>
      </c>
      <c r="DH12" s="269">
        <f t="shared" si="68"/>
        <v>24689</v>
      </c>
      <c r="DI12" s="269">
        <v>24761</v>
      </c>
      <c r="DJ12" s="270">
        <f t="shared" si="22"/>
        <v>72</v>
      </c>
      <c r="DK12" s="285">
        <f t="shared" si="69"/>
        <v>26</v>
      </c>
      <c r="DL12" s="286">
        <f>(DJ12/'Finance Only'!B15)*100</f>
        <v>0.23826069691253848</v>
      </c>
      <c r="DM12" s="269">
        <f t="shared" si="70"/>
        <v>16870</v>
      </c>
      <c r="DN12" s="269">
        <v>16915</v>
      </c>
      <c r="DO12" s="270">
        <f t="shared" si="23"/>
        <v>45</v>
      </c>
      <c r="DP12" s="285">
        <f t="shared" si="71"/>
        <v>0</v>
      </c>
      <c r="DQ12" s="286">
        <f>(DO12/'Finance Only'!B15)*100</f>
        <v>0.14891293557033655</v>
      </c>
      <c r="DR12" s="269">
        <f t="shared" si="72"/>
        <v>45601</v>
      </c>
      <c r="DS12" s="269">
        <v>45495</v>
      </c>
      <c r="DT12" s="270">
        <f t="shared" si="24"/>
        <v>-106</v>
      </c>
      <c r="DU12" s="285">
        <f t="shared" si="73"/>
        <v>-245</v>
      </c>
      <c r="DV12" s="286">
        <f>(DT12/'Finance Only'!B15)*100</f>
        <v>-0.35077269267679279</v>
      </c>
      <c r="DW12" s="269">
        <f t="shared" si="74"/>
        <v>32805</v>
      </c>
      <c r="DX12" s="269">
        <v>32873</v>
      </c>
      <c r="DY12" s="270">
        <f t="shared" si="25"/>
        <v>68</v>
      </c>
      <c r="DZ12" s="285">
        <f t="shared" si="75"/>
        <v>-1</v>
      </c>
      <c r="EA12" s="286">
        <f>(DY12/'Finance Only'!B15)*100</f>
        <v>0.22502399152850855</v>
      </c>
      <c r="EB12" s="269">
        <f t="shared" si="76"/>
        <v>99394</v>
      </c>
      <c r="EC12" s="269">
        <v>99661</v>
      </c>
      <c r="ED12" s="270">
        <f t="shared" si="26"/>
        <v>267</v>
      </c>
      <c r="EE12" s="285">
        <f t="shared" si="77"/>
        <v>11</v>
      </c>
      <c r="EF12" s="286">
        <f>(ED12/'Finance Only'!B15)*100</f>
        <v>0.88355008438399685</v>
      </c>
      <c r="EG12" s="269">
        <f t="shared" si="78"/>
        <v>79955</v>
      </c>
      <c r="EH12" s="269">
        <v>80327</v>
      </c>
      <c r="EI12" s="270">
        <f t="shared" si="27"/>
        <v>372</v>
      </c>
      <c r="EJ12" s="285">
        <f t="shared" si="79"/>
        <v>28</v>
      </c>
      <c r="EK12" s="286">
        <f>(EI12/'Finance Only'!B15)*100</f>
        <v>1.2310136007147821</v>
      </c>
      <c r="EL12" s="269">
        <f t="shared" si="80"/>
        <v>17043</v>
      </c>
      <c r="EM12" s="269">
        <v>17090</v>
      </c>
      <c r="EN12" s="270">
        <f t="shared" si="28"/>
        <v>47</v>
      </c>
      <c r="EO12" s="285">
        <f t="shared" si="81"/>
        <v>3</v>
      </c>
      <c r="EP12" s="286">
        <f>(EN12/'Finance Only'!B15)*100</f>
        <v>0.15553128826235149</v>
      </c>
      <c r="EQ12" s="269">
        <f t="shared" si="82"/>
        <v>228700</v>
      </c>
      <c r="ER12" s="269">
        <v>232090</v>
      </c>
      <c r="ES12" s="270">
        <f t="shared" si="29"/>
        <v>3390</v>
      </c>
      <c r="ET12" s="285">
        <f t="shared" si="83"/>
        <v>60</v>
      </c>
      <c r="EU12" s="286">
        <f>(ES12/'Finance Only'!B15)*100</f>
        <v>11.218107812965354</v>
      </c>
    </row>
    <row r="13" spans="1:151" s="3" customFormat="1" ht="13.5" customHeight="1" x14ac:dyDescent="0.2">
      <c r="A13" s="258">
        <v>9</v>
      </c>
      <c r="B13" s="267">
        <f t="shared" si="30"/>
        <v>25563757</v>
      </c>
      <c r="C13" s="267">
        <v>25567592</v>
      </c>
      <c r="D13" s="268">
        <f t="shared" si="0"/>
        <v>3835</v>
      </c>
      <c r="E13" s="281">
        <f t="shared" si="31"/>
        <v>106</v>
      </c>
      <c r="F13" s="282">
        <f>(D13/'Finance Only'!B16)*100</f>
        <v>12.702881748923483</v>
      </c>
      <c r="G13" s="294">
        <f t="shared" si="84"/>
        <v>22616873</v>
      </c>
      <c r="H13" s="267">
        <v>22622044</v>
      </c>
      <c r="I13" s="267">
        <f t="shared" si="32"/>
        <v>5171</v>
      </c>
      <c r="J13" s="295">
        <f t="shared" si="33"/>
        <v>195</v>
      </c>
      <c r="K13" s="296">
        <f>(I13/'Finance Only'!B16)*100</f>
        <v>17.128188141768796</v>
      </c>
      <c r="L13" s="277">
        <f t="shared" si="34"/>
        <v>85544114</v>
      </c>
      <c r="M13" s="269">
        <v>85559380</v>
      </c>
      <c r="N13" s="270">
        <f t="shared" si="1"/>
        <v>15266</v>
      </c>
      <c r="O13" s="285">
        <f t="shared" si="35"/>
        <v>-262</v>
      </c>
      <c r="P13" s="286">
        <f>(N13/'Finance Only'!B16)*100</f>
        <v>50.56641271944352</v>
      </c>
      <c r="Q13" s="276">
        <f t="shared" si="85"/>
        <v>1983400</v>
      </c>
      <c r="R13" s="269">
        <v>1985300</v>
      </c>
      <c r="S13" s="270">
        <f t="shared" si="2"/>
        <v>1900</v>
      </c>
      <c r="T13" s="285">
        <f t="shared" si="36"/>
        <v>-200</v>
      </c>
      <c r="U13" s="286">
        <f>(S13/'Finance Only'!B16)*100</f>
        <v>6.2934746604836045</v>
      </c>
      <c r="V13" s="269">
        <f t="shared" si="86"/>
        <v>2685051</v>
      </c>
      <c r="W13" s="269">
        <v>2687885</v>
      </c>
      <c r="X13" s="270">
        <f t="shared" si="3"/>
        <v>2834</v>
      </c>
      <c r="Y13" s="285">
        <f t="shared" si="37"/>
        <v>-128</v>
      </c>
      <c r="Z13" s="286">
        <f>(X13/'Finance Only'!B16)*100</f>
        <v>9.3872143093739648</v>
      </c>
      <c r="AA13" s="269">
        <f t="shared" si="38"/>
        <v>1633500</v>
      </c>
      <c r="AB13" s="269">
        <v>1635500</v>
      </c>
      <c r="AC13" s="270">
        <f t="shared" si="4"/>
        <v>2000</v>
      </c>
      <c r="AD13" s="285">
        <f t="shared" si="39"/>
        <v>100</v>
      </c>
      <c r="AE13" s="286">
        <f>(AC13/'Finance Only'!B16)*100</f>
        <v>6.6247101689301093</v>
      </c>
      <c r="AF13" s="269">
        <f t="shared" si="87"/>
        <v>740654</v>
      </c>
      <c r="AG13" s="269">
        <v>741424</v>
      </c>
      <c r="AH13" s="270">
        <f t="shared" si="5"/>
        <v>770</v>
      </c>
      <c r="AI13" s="285">
        <f t="shared" si="40"/>
        <v>20</v>
      </c>
      <c r="AJ13" s="286">
        <f>(AH13/'Finance Only'!B16)*100</f>
        <v>2.5505134150380924</v>
      </c>
      <c r="AK13" s="269">
        <f t="shared" si="88"/>
        <v>7654700</v>
      </c>
      <c r="AL13" s="269">
        <v>7661400</v>
      </c>
      <c r="AM13" s="270">
        <f t="shared" si="6"/>
        <v>6700</v>
      </c>
      <c r="AN13" s="285">
        <f t="shared" si="41"/>
        <v>0</v>
      </c>
      <c r="AO13" s="286">
        <f>(AM13/'Finance Only'!B16)*100</f>
        <v>22.192779065915865</v>
      </c>
      <c r="AP13" s="269">
        <f t="shared" si="89"/>
        <v>1743900</v>
      </c>
      <c r="AQ13" s="269">
        <v>1745600</v>
      </c>
      <c r="AR13" s="270">
        <f t="shared" si="7"/>
        <v>1700</v>
      </c>
      <c r="AS13" s="285">
        <f t="shared" si="42"/>
        <v>100</v>
      </c>
      <c r="AT13" s="286">
        <f>(AR13/'Finance Only'!B16)*100</f>
        <v>5.631003643590593</v>
      </c>
      <c r="AU13" s="269">
        <f t="shared" si="8"/>
        <v>497705</v>
      </c>
      <c r="AV13" s="269">
        <f>497705+422</f>
        <v>498127</v>
      </c>
      <c r="AW13" s="270">
        <f t="shared" si="9"/>
        <v>422</v>
      </c>
      <c r="AX13" s="285">
        <f t="shared" si="43"/>
        <v>0</v>
      </c>
      <c r="AY13" s="286">
        <f>(AW13/'Finance Only'!B16)*100</f>
        <v>1.397813845644253</v>
      </c>
      <c r="AZ13" s="269">
        <f t="shared" si="10"/>
        <v>636630</v>
      </c>
      <c r="BA13" s="269">
        <v>637630</v>
      </c>
      <c r="BB13" s="270">
        <f t="shared" si="11"/>
        <v>1000</v>
      </c>
      <c r="BC13" s="285">
        <f t="shared" si="44"/>
        <v>-60</v>
      </c>
      <c r="BD13" s="286">
        <f>(BB13/'Finance Only'!B16)*100</f>
        <v>3.3123550844650547</v>
      </c>
      <c r="BE13" s="269">
        <f t="shared" si="45"/>
        <v>734590</v>
      </c>
      <c r="BF13" s="269">
        <v>735640</v>
      </c>
      <c r="BG13" s="270">
        <f t="shared" si="12"/>
        <v>1050</v>
      </c>
      <c r="BH13" s="285">
        <f t="shared" si="46"/>
        <v>-80</v>
      </c>
      <c r="BI13" s="286">
        <f>(BG13/'Finance Only'!B16)*100</f>
        <v>3.4779728386883075</v>
      </c>
      <c r="BJ13" s="269">
        <f t="shared" si="47"/>
        <v>1148400</v>
      </c>
      <c r="BK13" s="269">
        <v>1150000</v>
      </c>
      <c r="BL13" s="270">
        <f t="shared" si="13"/>
        <v>1600</v>
      </c>
      <c r="BM13" s="285">
        <f t="shared" si="48"/>
        <v>0</v>
      </c>
      <c r="BN13" s="286">
        <f>(BL13/'Finance Only'!B16)*100</f>
        <v>5.2997681351440873</v>
      </c>
      <c r="BO13" s="269">
        <f t="shared" si="49"/>
        <v>610310</v>
      </c>
      <c r="BP13" s="269">
        <v>612100</v>
      </c>
      <c r="BQ13" s="270">
        <f t="shared" si="14"/>
        <v>1790</v>
      </c>
      <c r="BR13" s="285">
        <f t="shared" si="50"/>
        <v>20</v>
      </c>
      <c r="BS13" s="286">
        <f>(BQ13/'Finance Only'!B16)*100</f>
        <v>5.9291156011924482</v>
      </c>
      <c r="BT13" s="269">
        <f t="shared" si="51"/>
        <v>467350</v>
      </c>
      <c r="BU13" s="269">
        <v>468620</v>
      </c>
      <c r="BV13" s="270">
        <f t="shared" si="15"/>
        <v>1270</v>
      </c>
      <c r="BW13" s="285">
        <f t="shared" si="52"/>
        <v>-30</v>
      </c>
      <c r="BX13" s="286">
        <f>(BV13/'Finance Only'!B16)*100</f>
        <v>4.2066909572706193</v>
      </c>
      <c r="BY13" s="269">
        <f t="shared" si="53"/>
        <v>1363500</v>
      </c>
      <c r="BZ13" s="269">
        <v>1367900</v>
      </c>
      <c r="CA13" s="270">
        <f t="shared" si="16"/>
        <v>4400</v>
      </c>
      <c r="CB13" s="285">
        <f t="shared" si="54"/>
        <v>0</v>
      </c>
      <c r="CC13" s="286">
        <f>(CA13/'Finance Only'!B16)*100</f>
        <v>14.57436237164624</v>
      </c>
      <c r="CD13" s="269">
        <f t="shared" si="55"/>
        <v>637400</v>
      </c>
      <c r="CE13" s="269">
        <v>638350</v>
      </c>
      <c r="CF13" s="270">
        <f t="shared" si="17"/>
        <v>950</v>
      </c>
      <c r="CG13" s="285">
        <f t="shared" si="56"/>
        <v>-860</v>
      </c>
      <c r="CH13" s="286">
        <f>(CF13/'Finance Only'!B16)*100</f>
        <v>3.1467373302418022</v>
      </c>
      <c r="CI13" s="270">
        <f t="shared" si="57"/>
        <v>30683</v>
      </c>
      <c r="CJ13" s="270">
        <v>30775</v>
      </c>
      <c r="CK13" s="270">
        <f t="shared" si="58"/>
        <v>92</v>
      </c>
      <c r="CL13" s="285">
        <f t="shared" si="59"/>
        <v>-7</v>
      </c>
      <c r="CM13" s="286">
        <f>(CK13/'Finance Only'!B16)*100</f>
        <v>0.30473666777078506</v>
      </c>
      <c r="CN13" s="269">
        <f t="shared" si="60"/>
        <v>24725</v>
      </c>
      <c r="CO13" s="269">
        <v>24809</v>
      </c>
      <c r="CP13" s="271">
        <f t="shared" si="18"/>
        <v>84</v>
      </c>
      <c r="CQ13" s="285">
        <f t="shared" si="61"/>
        <v>0</v>
      </c>
      <c r="CR13" s="286">
        <f>(CP13/'Finance Only'!B16)*100</f>
        <v>0.27823782709506462</v>
      </c>
      <c r="CS13" s="269">
        <f t="shared" si="62"/>
        <v>22158</v>
      </c>
      <c r="CT13" s="269">
        <v>22241</v>
      </c>
      <c r="CU13" s="270">
        <f t="shared" si="19"/>
        <v>83</v>
      </c>
      <c r="CV13" s="285">
        <f t="shared" si="63"/>
        <v>4</v>
      </c>
      <c r="CW13" s="286">
        <f>(CU13/'Finance Only'!B16)*100</f>
        <v>0.27492547201059953</v>
      </c>
      <c r="CX13" s="269">
        <f t="shared" si="64"/>
        <v>34933</v>
      </c>
      <c r="CY13" s="269">
        <v>35053</v>
      </c>
      <c r="CZ13" s="270">
        <f t="shared" si="20"/>
        <v>120</v>
      </c>
      <c r="DA13" s="285">
        <f t="shared" si="65"/>
        <v>4</v>
      </c>
      <c r="DB13" s="286">
        <f>(CZ13/'Finance Only'!B16)*100</f>
        <v>0.3974826101358066</v>
      </c>
      <c r="DC13" s="269">
        <f t="shared" si="66"/>
        <v>26571</v>
      </c>
      <c r="DD13" s="269">
        <v>26685</v>
      </c>
      <c r="DE13" s="270">
        <f t="shared" si="21"/>
        <v>114</v>
      </c>
      <c r="DF13" s="285">
        <f t="shared" si="67"/>
        <v>2</v>
      </c>
      <c r="DG13" s="286">
        <f>(DE13/'Finance Only'!B16)*100</f>
        <v>0.37760847962901622</v>
      </c>
      <c r="DH13" s="269">
        <f t="shared" si="68"/>
        <v>24761</v>
      </c>
      <c r="DI13" s="269">
        <v>24841</v>
      </c>
      <c r="DJ13" s="270">
        <f t="shared" si="22"/>
        <v>80</v>
      </c>
      <c r="DK13" s="285">
        <f t="shared" si="69"/>
        <v>8</v>
      </c>
      <c r="DL13" s="286">
        <f>(DJ13/'Finance Only'!B16)*100</f>
        <v>0.26498840675720436</v>
      </c>
      <c r="DM13" s="269">
        <f t="shared" si="70"/>
        <v>16915</v>
      </c>
      <c r="DN13" s="269">
        <v>16961</v>
      </c>
      <c r="DO13" s="270">
        <f t="shared" si="23"/>
        <v>46</v>
      </c>
      <c r="DP13" s="285">
        <f t="shared" si="71"/>
        <v>1</v>
      </c>
      <c r="DQ13" s="286">
        <f>(DO13/'Finance Only'!B16)*100</f>
        <v>0.15236833388539253</v>
      </c>
      <c r="DR13" s="269">
        <f t="shared" si="72"/>
        <v>45495</v>
      </c>
      <c r="DS13" s="269">
        <v>45657</v>
      </c>
      <c r="DT13" s="270">
        <f t="shared" si="24"/>
        <v>162</v>
      </c>
      <c r="DU13" s="285">
        <f t="shared" si="73"/>
        <v>268</v>
      </c>
      <c r="DV13" s="286">
        <f>(DT13/'Finance Only'!B16)*100</f>
        <v>0.53660152368333891</v>
      </c>
      <c r="DW13" s="269">
        <f t="shared" si="74"/>
        <v>32873</v>
      </c>
      <c r="DX13" s="269">
        <v>32939</v>
      </c>
      <c r="DY13" s="270">
        <f t="shared" si="25"/>
        <v>66</v>
      </c>
      <c r="DZ13" s="285">
        <f t="shared" si="75"/>
        <v>-2</v>
      </c>
      <c r="EA13" s="286">
        <f>(DY13/'Finance Only'!B16)*100</f>
        <v>0.2186154355746936</v>
      </c>
      <c r="EB13" s="269">
        <f t="shared" si="76"/>
        <v>99661</v>
      </c>
      <c r="EC13" s="269">
        <v>99923</v>
      </c>
      <c r="ED13" s="270">
        <f t="shared" si="26"/>
        <v>262</v>
      </c>
      <c r="EE13" s="285">
        <f t="shared" si="77"/>
        <v>-5</v>
      </c>
      <c r="EF13" s="286">
        <f>(ED13/'Finance Only'!B16)*100</f>
        <v>0.86783703212984442</v>
      </c>
      <c r="EG13" s="269">
        <f t="shared" si="78"/>
        <v>80327</v>
      </c>
      <c r="EH13" s="269">
        <v>81100</v>
      </c>
      <c r="EI13" s="270">
        <f t="shared" si="27"/>
        <v>773</v>
      </c>
      <c r="EJ13" s="285">
        <f t="shared" si="79"/>
        <v>401</v>
      </c>
      <c r="EK13" s="286">
        <f>(EI13/'Finance Only'!B16)*100</f>
        <v>2.5604504802914874</v>
      </c>
      <c r="EL13" s="269">
        <f t="shared" si="80"/>
        <v>17090</v>
      </c>
      <c r="EM13" s="269">
        <v>17137</v>
      </c>
      <c r="EN13" s="270">
        <f t="shared" si="28"/>
        <v>47</v>
      </c>
      <c r="EO13" s="285">
        <f t="shared" si="81"/>
        <v>0</v>
      </c>
      <c r="EP13" s="286">
        <f>(EN13/'Finance Only'!B16)*100</f>
        <v>0.15568068896985757</v>
      </c>
      <c r="EQ13" s="269">
        <f t="shared" si="82"/>
        <v>232090</v>
      </c>
      <c r="ER13" s="269">
        <v>235570</v>
      </c>
      <c r="ES13" s="270">
        <f t="shared" si="29"/>
        <v>3480</v>
      </c>
      <c r="ET13" s="285">
        <f t="shared" si="83"/>
        <v>90</v>
      </c>
      <c r="EU13" s="286">
        <f>(ES13/'Finance Only'!B16)*100</f>
        <v>11.526995693938389</v>
      </c>
    </row>
    <row r="14" spans="1:151" s="3" customFormat="1" ht="13.5" customHeight="1" x14ac:dyDescent="0.2">
      <c r="A14" s="260">
        <v>10</v>
      </c>
      <c r="B14" s="267">
        <f t="shared" si="30"/>
        <v>25567592</v>
      </c>
      <c r="C14" s="267">
        <v>25571360</v>
      </c>
      <c r="D14" s="268">
        <f t="shared" si="0"/>
        <v>3768</v>
      </c>
      <c r="E14" s="281">
        <f t="shared" si="31"/>
        <v>-67</v>
      </c>
      <c r="F14" s="282">
        <f>(D14/'Finance Only'!B17)*100</f>
        <v>12.557070016996033</v>
      </c>
      <c r="G14" s="294">
        <f t="shared" si="84"/>
        <v>22622044</v>
      </c>
      <c r="H14" s="267">
        <v>22626957</v>
      </c>
      <c r="I14" s="267">
        <f t="shared" si="32"/>
        <v>4913</v>
      </c>
      <c r="J14" s="295">
        <f t="shared" si="33"/>
        <v>-258</v>
      </c>
      <c r="K14" s="296">
        <f>(I14/'Finance Only'!B17)*100</f>
        <v>16.37284633585497</v>
      </c>
      <c r="L14" s="277">
        <f t="shared" si="34"/>
        <v>85559380</v>
      </c>
      <c r="M14" s="269">
        <v>85574984</v>
      </c>
      <c r="N14" s="270">
        <f t="shared" si="1"/>
        <v>15604</v>
      </c>
      <c r="O14" s="285">
        <f t="shared" si="35"/>
        <v>338</v>
      </c>
      <c r="P14" s="286">
        <f>(N14/'Finance Only'!B17)*100</f>
        <v>52.001199720065316</v>
      </c>
      <c r="Q14" s="276">
        <f t="shared" si="85"/>
        <v>1985300</v>
      </c>
      <c r="R14" s="269">
        <v>1987500</v>
      </c>
      <c r="S14" s="270">
        <f t="shared" si="2"/>
        <v>2200</v>
      </c>
      <c r="T14" s="285">
        <f t="shared" si="36"/>
        <v>300</v>
      </c>
      <c r="U14" s="286">
        <f>(S14/'Finance Only'!B17)*100</f>
        <v>7.331622621388342</v>
      </c>
      <c r="V14" s="269">
        <f t="shared" si="86"/>
        <v>2687885</v>
      </c>
      <c r="W14" s="269">
        <v>2690574</v>
      </c>
      <c r="X14" s="270">
        <f t="shared" si="3"/>
        <v>2689</v>
      </c>
      <c r="Y14" s="285">
        <f t="shared" si="37"/>
        <v>-145</v>
      </c>
      <c r="Z14" s="286">
        <f>(X14/'Finance Only'!B17)*100</f>
        <v>8.9612423767787508</v>
      </c>
      <c r="AA14" s="269">
        <f t="shared" si="38"/>
        <v>1635500</v>
      </c>
      <c r="AB14" s="269">
        <v>1637200</v>
      </c>
      <c r="AC14" s="270">
        <f t="shared" si="4"/>
        <v>1700</v>
      </c>
      <c r="AD14" s="285">
        <f t="shared" si="39"/>
        <v>-300</v>
      </c>
      <c r="AE14" s="286">
        <f>(AC14/'Finance Only'!B17)*100</f>
        <v>5.6653447528909915</v>
      </c>
      <c r="AF14" s="269">
        <f t="shared" si="87"/>
        <v>741424</v>
      </c>
      <c r="AG14" s="269">
        <v>742252</v>
      </c>
      <c r="AH14" s="270">
        <f t="shared" si="5"/>
        <v>828</v>
      </c>
      <c r="AI14" s="285">
        <f t="shared" si="40"/>
        <v>58</v>
      </c>
      <c r="AJ14" s="286">
        <f>(AH14/'Finance Only'!B17)*100</f>
        <v>2.7593561502316124</v>
      </c>
      <c r="AK14" s="269">
        <f t="shared" si="88"/>
        <v>7661400</v>
      </c>
      <c r="AL14" s="269">
        <v>7667700</v>
      </c>
      <c r="AM14" s="270">
        <f t="shared" si="6"/>
        <v>6300</v>
      </c>
      <c r="AN14" s="285">
        <f t="shared" si="41"/>
        <v>-400</v>
      </c>
      <c r="AO14" s="286">
        <f>(AM14/'Finance Only'!B17)*100</f>
        <v>20.99510114306662</v>
      </c>
      <c r="AP14" s="269">
        <f t="shared" si="89"/>
        <v>1745600</v>
      </c>
      <c r="AQ14" s="269">
        <v>1747100</v>
      </c>
      <c r="AR14" s="270">
        <f t="shared" si="7"/>
        <v>1500</v>
      </c>
      <c r="AS14" s="285">
        <f t="shared" si="42"/>
        <v>-200</v>
      </c>
      <c r="AT14" s="286">
        <f>(AR14/'Finance Only'!B17)*100</f>
        <v>4.9988336054920524</v>
      </c>
      <c r="AU14" s="269">
        <f t="shared" si="8"/>
        <v>498127</v>
      </c>
      <c r="AV14" s="269">
        <v>498575</v>
      </c>
      <c r="AW14" s="270">
        <f t="shared" si="9"/>
        <v>448</v>
      </c>
      <c r="AX14" s="285">
        <f t="shared" si="43"/>
        <v>26</v>
      </c>
      <c r="AY14" s="286">
        <f>(AW14/'Finance Only'!B17)*100</f>
        <v>1.4929849701736262</v>
      </c>
      <c r="AZ14" s="269">
        <f t="shared" si="10"/>
        <v>637630</v>
      </c>
      <c r="BA14" s="269">
        <v>638750</v>
      </c>
      <c r="BB14" s="270">
        <f t="shared" si="11"/>
        <v>1120</v>
      </c>
      <c r="BC14" s="285">
        <f t="shared" si="44"/>
        <v>120</v>
      </c>
      <c r="BD14" s="286">
        <f>(BB14/'Finance Only'!B17)*100</f>
        <v>3.7324624254340653</v>
      </c>
      <c r="BE14" s="269">
        <f t="shared" si="45"/>
        <v>735640</v>
      </c>
      <c r="BF14" s="269">
        <v>736800</v>
      </c>
      <c r="BG14" s="270">
        <f t="shared" si="12"/>
        <v>1160</v>
      </c>
      <c r="BH14" s="285">
        <f t="shared" si="46"/>
        <v>110</v>
      </c>
      <c r="BI14" s="286">
        <f>(BG14/'Finance Only'!B17)*100</f>
        <v>3.8657646549138538</v>
      </c>
      <c r="BJ14" s="269">
        <f t="shared" si="47"/>
        <v>1150000</v>
      </c>
      <c r="BK14" s="269">
        <v>1151700</v>
      </c>
      <c r="BL14" s="270">
        <f t="shared" si="13"/>
        <v>1700</v>
      </c>
      <c r="BM14" s="285">
        <f t="shared" si="48"/>
        <v>100</v>
      </c>
      <c r="BN14" s="286">
        <f>(BL14/'Finance Only'!B17)*100</f>
        <v>5.6653447528909915</v>
      </c>
      <c r="BO14" s="269">
        <f t="shared" si="49"/>
        <v>612100</v>
      </c>
      <c r="BP14" s="269">
        <v>613900</v>
      </c>
      <c r="BQ14" s="270">
        <f t="shared" si="14"/>
        <v>1800</v>
      </c>
      <c r="BR14" s="285">
        <f t="shared" si="50"/>
        <v>10</v>
      </c>
      <c r="BS14" s="286">
        <f>(BQ14/'Finance Only'!B17)*100</f>
        <v>5.9986003265904619</v>
      </c>
      <c r="BT14" s="269">
        <f t="shared" si="51"/>
        <v>468620</v>
      </c>
      <c r="BU14" s="269">
        <v>469920</v>
      </c>
      <c r="BV14" s="270">
        <f t="shared" si="15"/>
        <v>1300</v>
      </c>
      <c r="BW14" s="285">
        <f t="shared" si="52"/>
        <v>30</v>
      </c>
      <c r="BX14" s="286">
        <f>(BV14/'Finance Only'!B17)*100</f>
        <v>4.3323224580931115</v>
      </c>
      <c r="BY14" s="269">
        <f t="shared" si="53"/>
        <v>1367900</v>
      </c>
      <c r="BZ14" s="269">
        <v>1372600</v>
      </c>
      <c r="CA14" s="270">
        <f t="shared" si="16"/>
        <v>4700</v>
      </c>
      <c r="CB14" s="285">
        <f t="shared" si="54"/>
        <v>300</v>
      </c>
      <c r="CC14" s="286">
        <f>(CA14/'Finance Only'!B17)*100</f>
        <v>15.663011963875096</v>
      </c>
      <c r="CD14" s="269">
        <f t="shared" si="55"/>
        <v>638350</v>
      </c>
      <c r="CE14" s="269">
        <v>639300</v>
      </c>
      <c r="CF14" s="270">
        <f t="shared" si="17"/>
        <v>950</v>
      </c>
      <c r="CG14" s="285">
        <f t="shared" si="56"/>
        <v>0</v>
      </c>
      <c r="CH14" s="286">
        <f>(CF14/'Finance Only'!B17)*100</f>
        <v>3.1659279501449666</v>
      </c>
      <c r="CI14" s="270">
        <f t="shared" si="57"/>
        <v>30775</v>
      </c>
      <c r="CJ14" s="270">
        <v>30864</v>
      </c>
      <c r="CK14" s="270">
        <f t="shared" si="58"/>
        <v>89</v>
      </c>
      <c r="CL14" s="285">
        <f t="shared" si="59"/>
        <v>-3</v>
      </c>
      <c r="CM14" s="286">
        <f>(CK14/'Finance Only'!B17)*100</f>
        <v>0.29659746059252839</v>
      </c>
      <c r="CN14" s="269">
        <f t="shared" si="60"/>
        <v>24809</v>
      </c>
      <c r="CO14" s="269">
        <v>24888</v>
      </c>
      <c r="CP14" s="271">
        <f t="shared" si="18"/>
        <v>79</v>
      </c>
      <c r="CQ14" s="285">
        <f t="shared" si="61"/>
        <v>-5</v>
      </c>
      <c r="CR14" s="286">
        <f>(CP14/'Finance Only'!B17)*100</f>
        <v>0.26327190322258137</v>
      </c>
      <c r="CS14" s="269">
        <f t="shared" si="62"/>
        <v>22241</v>
      </c>
      <c r="CT14" s="269">
        <v>22316</v>
      </c>
      <c r="CU14" s="270">
        <f t="shared" si="19"/>
        <v>75</v>
      </c>
      <c r="CV14" s="285">
        <f t="shared" si="63"/>
        <v>-8</v>
      </c>
      <c r="CW14" s="286">
        <f>(CU14/'Finance Only'!B17)*100</f>
        <v>0.24994168027460259</v>
      </c>
      <c r="CX14" s="269">
        <f t="shared" si="64"/>
        <v>35053</v>
      </c>
      <c r="CY14" s="269">
        <v>35174</v>
      </c>
      <c r="CZ14" s="270">
        <f t="shared" si="20"/>
        <v>121</v>
      </c>
      <c r="DA14" s="285">
        <f t="shared" si="65"/>
        <v>1</v>
      </c>
      <c r="DB14" s="286">
        <f>(CZ14/'Finance Only'!B17)*100</f>
        <v>0.40323924417635887</v>
      </c>
      <c r="DC14" s="269">
        <f t="shared" si="66"/>
        <v>26685</v>
      </c>
      <c r="DD14" s="269">
        <v>26801</v>
      </c>
      <c r="DE14" s="270">
        <f t="shared" si="21"/>
        <v>116</v>
      </c>
      <c r="DF14" s="285">
        <f t="shared" si="67"/>
        <v>2</v>
      </c>
      <c r="DG14" s="286">
        <f>(DE14/'Finance Only'!B17)*100</f>
        <v>0.38657646549138536</v>
      </c>
      <c r="DH14" s="269">
        <f t="shared" si="68"/>
        <v>24841</v>
      </c>
      <c r="DI14" s="269">
        <v>24915</v>
      </c>
      <c r="DJ14" s="270">
        <f t="shared" si="22"/>
        <v>74</v>
      </c>
      <c r="DK14" s="285">
        <f t="shared" si="69"/>
        <v>-6</v>
      </c>
      <c r="DL14" s="286">
        <f>(DJ14/'Finance Only'!B17)*100</f>
        <v>0.24660912453760789</v>
      </c>
      <c r="DM14" s="269">
        <f t="shared" si="70"/>
        <v>16961</v>
      </c>
      <c r="DN14" s="269">
        <v>17005</v>
      </c>
      <c r="DO14" s="270">
        <f t="shared" si="23"/>
        <v>44</v>
      </c>
      <c r="DP14" s="285">
        <f t="shared" si="71"/>
        <v>-2</v>
      </c>
      <c r="DQ14" s="286">
        <f>(DO14/'Finance Only'!B17)*100</f>
        <v>0.14663245242776685</v>
      </c>
      <c r="DR14" s="269">
        <f t="shared" si="72"/>
        <v>45657</v>
      </c>
      <c r="DS14" s="269">
        <v>45795</v>
      </c>
      <c r="DT14" s="270">
        <f t="shared" si="24"/>
        <v>138</v>
      </c>
      <c r="DU14" s="285">
        <f t="shared" si="73"/>
        <v>-24</v>
      </c>
      <c r="DV14" s="286">
        <f>(DT14/'Finance Only'!B17)*100</f>
        <v>0.45989269170526881</v>
      </c>
      <c r="DW14" s="269">
        <f t="shared" si="74"/>
        <v>32939</v>
      </c>
      <c r="DX14" s="269">
        <v>33013</v>
      </c>
      <c r="DY14" s="270">
        <f t="shared" si="25"/>
        <v>74</v>
      </c>
      <c r="DZ14" s="285">
        <f t="shared" si="75"/>
        <v>8</v>
      </c>
      <c r="EA14" s="286">
        <f>(DY14/'Finance Only'!B17)*100</f>
        <v>0.24660912453760789</v>
      </c>
      <c r="EB14" s="269">
        <f t="shared" si="76"/>
        <v>99923</v>
      </c>
      <c r="EC14" s="269">
        <v>100190</v>
      </c>
      <c r="ED14" s="270">
        <f t="shared" si="26"/>
        <v>267</v>
      </c>
      <c r="EE14" s="285">
        <f t="shared" si="77"/>
        <v>5</v>
      </c>
      <c r="EF14" s="286">
        <f>(ED14/'Finance Only'!B17)*100</f>
        <v>0.88979238177758524</v>
      </c>
      <c r="EG14" s="269">
        <f t="shared" si="78"/>
        <v>81100</v>
      </c>
      <c r="EH14" s="269">
        <v>81459</v>
      </c>
      <c r="EI14" s="270">
        <f t="shared" si="27"/>
        <v>359</v>
      </c>
      <c r="EJ14" s="285">
        <f t="shared" si="79"/>
        <v>-414</v>
      </c>
      <c r="EK14" s="286">
        <f>(EI14/'Finance Only'!B17)*100</f>
        <v>1.1963875095810979</v>
      </c>
      <c r="EL14" s="269">
        <f t="shared" si="80"/>
        <v>17137</v>
      </c>
      <c r="EM14" s="269">
        <v>17185</v>
      </c>
      <c r="EN14" s="270">
        <f t="shared" si="28"/>
        <v>48</v>
      </c>
      <c r="EO14" s="285">
        <f t="shared" si="81"/>
        <v>1</v>
      </c>
      <c r="EP14" s="286">
        <f>(EN14/'Finance Only'!B17)*100</f>
        <v>0.15996267537574566</v>
      </c>
      <c r="EQ14" s="269">
        <f t="shared" si="82"/>
        <v>235570</v>
      </c>
      <c r="ER14" s="269">
        <v>238660</v>
      </c>
      <c r="ES14" s="270">
        <f t="shared" si="29"/>
        <v>3090</v>
      </c>
      <c r="ET14" s="285">
        <f t="shared" si="83"/>
        <v>-390</v>
      </c>
      <c r="EU14" s="286">
        <f>(ES14/'Finance Only'!B17)*100</f>
        <v>10.297597227313627</v>
      </c>
    </row>
    <row r="15" spans="1:151" s="3" customFormat="1" ht="13.5" customHeight="1" x14ac:dyDescent="0.2">
      <c r="A15" s="260">
        <v>11</v>
      </c>
      <c r="B15" s="267">
        <f t="shared" si="30"/>
        <v>25571360</v>
      </c>
      <c r="C15" s="267">
        <v>25574765</v>
      </c>
      <c r="D15" s="268">
        <f t="shared" si="0"/>
        <v>3405</v>
      </c>
      <c r="E15" s="281">
        <f t="shared" si="31"/>
        <v>-363</v>
      </c>
      <c r="F15" s="282">
        <f>(D15/'Finance Only'!B18)*100</f>
        <v>11.591883979029074</v>
      </c>
      <c r="G15" s="294">
        <f t="shared" si="84"/>
        <v>22626957</v>
      </c>
      <c r="H15" s="267">
        <v>22632110</v>
      </c>
      <c r="I15" s="267">
        <f t="shared" si="32"/>
        <v>5153</v>
      </c>
      <c r="J15" s="295">
        <f t="shared" si="33"/>
        <v>240</v>
      </c>
      <c r="K15" s="296">
        <f>(I15/'Finance Only'!B18)*100</f>
        <v>17.542724858718593</v>
      </c>
      <c r="L15" s="277">
        <f t="shared" si="34"/>
        <v>85574984</v>
      </c>
      <c r="M15" s="269">
        <v>85589831</v>
      </c>
      <c r="N15" s="270">
        <f t="shared" si="1"/>
        <v>14847</v>
      </c>
      <c r="O15" s="285">
        <f t="shared" si="35"/>
        <v>-757</v>
      </c>
      <c r="P15" s="286">
        <f>(N15/'Finance Only'!B18)*100</f>
        <v>50.544699394021919</v>
      </c>
      <c r="Q15" s="276">
        <f t="shared" si="85"/>
        <v>1987500</v>
      </c>
      <c r="R15" s="269">
        <v>1989500</v>
      </c>
      <c r="S15" s="270">
        <f t="shared" si="2"/>
        <v>2000</v>
      </c>
      <c r="T15" s="285">
        <f t="shared" si="36"/>
        <v>-200</v>
      </c>
      <c r="U15" s="286">
        <f>(S15/'Finance Only'!B18)*100</f>
        <v>6.808742425274052</v>
      </c>
      <c r="V15" s="269">
        <f t="shared" si="86"/>
        <v>2690574</v>
      </c>
      <c r="W15" s="269">
        <v>2693298</v>
      </c>
      <c r="X15" s="270">
        <f t="shared" si="3"/>
        <v>2724</v>
      </c>
      <c r="Y15" s="285">
        <f t="shared" si="37"/>
        <v>35</v>
      </c>
      <c r="Z15" s="286">
        <f>(X15/'Finance Only'!B18)*100</f>
        <v>9.2735071832232592</v>
      </c>
      <c r="AA15" s="269">
        <f t="shared" si="38"/>
        <v>1637200</v>
      </c>
      <c r="AB15" s="269">
        <v>1638900</v>
      </c>
      <c r="AC15" s="270">
        <f t="shared" si="4"/>
        <v>1700</v>
      </c>
      <c r="AD15" s="285">
        <f t="shared" si="39"/>
        <v>0</v>
      </c>
      <c r="AE15" s="286">
        <f>(AC15/'Finance Only'!B18)*100</f>
        <v>5.7874310614829438</v>
      </c>
      <c r="AF15" s="269">
        <f t="shared" si="87"/>
        <v>742252</v>
      </c>
      <c r="AG15" s="269">
        <v>742969</v>
      </c>
      <c r="AH15" s="270">
        <f t="shared" si="5"/>
        <v>717</v>
      </c>
      <c r="AI15" s="285">
        <f t="shared" si="40"/>
        <v>-111</v>
      </c>
      <c r="AJ15" s="286">
        <f>(AH15/'Finance Only'!B18)*100</f>
        <v>2.4409341594607477</v>
      </c>
      <c r="AK15" s="269">
        <f t="shared" si="88"/>
        <v>7667700</v>
      </c>
      <c r="AL15" s="269">
        <v>7673500</v>
      </c>
      <c r="AM15" s="270">
        <f t="shared" si="6"/>
        <v>5800</v>
      </c>
      <c r="AN15" s="285">
        <f t="shared" si="41"/>
        <v>-500</v>
      </c>
      <c r="AO15" s="286">
        <f>(AM15/'Finance Only'!B18)*100</f>
        <v>19.745353033294748</v>
      </c>
      <c r="AP15" s="269">
        <f t="shared" si="89"/>
        <v>1747100</v>
      </c>
      <c r="AQ15" s="269">
        <v>1748700</v>
      </c>
      <c r="AR15" s="270">
        <f t="shared" si="7"/>
        <v>1600</v>
      </c>
      <c r="AS15" s="285">
        <f t="shared" si="42"/>
        <v>100</v>
      </c>
      <c r="AT15" s="286">
        <f>(AR15/'Finance Only'!B18)*100</f>
        <v>5.4469939402192411</v>
      </c>
      <c r="AU15" s="269">
        <f t="shared" si="8"/>
        <v>498575</v>
      </c>
      <c r="AV15" s="269">
        <v>499002</v>
      </c>
      <c r="AW15" s="270">
        <f t="shared" si="9"/>
        <v>427</v>
      </c>
      <c r="AX15" s="285">
        <f t="shared" si="43"/>
        <v>-21</v>
      </c>
      <c r="AY15" s="286">
        <f>(AW15/'Finance Only'!B18)*100</f>
        <v>1.45366650779601</v>
      </c>
      <c r="AZ15" s="269">
        <f t="shared" si="10"/>
        <v>638750</v>
      </c>
      <c r="BA15" s="269">
        <v>639780</v>
      </c>
      <c r="BB15" s="270">
        <f t="shared" si="11"/>
        <v>1030</v>
      </c>
      <c r="BC15" s="285">
        <f t="shared" si="44"/>
        <v>-90</v>
      </c>
      <c r="BD15" s="286">
        <f>(BB15/'Finance Only'!B18)*100</f>
        <v>3.5065023490161371</v>
      </c>
      <c r="BE15" s="269">
        <f t="shared" si="45"/>
        <v>736800</v>
      </c>
      <c r="BF15" s="269">
        <v>737840</v>
      </c>
      <c r="BG15" s="270">
        <f t="shared" si="12"/>
        <v>1040</v>
      </c>
      <c r="BH15" s="285">
        <f t="shared" si="46"/>
        <v>-120</v>
      </c>
      <c r="BI15" s="286">
        <f>(BG15/'Finance Only'!B18)*100</f>
        <v>3.540546061142507</v>
      </c>
      <c r="BJ15" s="269">
        <f t="shared" si="47"/>
        <v>1151700</v>
      </c>
      <c r="BK15" s="269">
        <v>1153200</v>
      </c>
      <c r="BL15" s="270">
        <f t="shared" si="13"/>
        <v>1500</v>
      </c>
      <c r="BM15" s="285">
        <f t="shared" si="48"/>
        <v>-200</v>
      </c>
      <c r="BN15" s="286">
        <f>(BL15/'Finance Only'!B18)*100</f>
        <v>5.1065568189555393</v>
      </c>
      <c r="BO15" s="269">
        <f t="shared" si="49"/>
        <v>613900</v>
      </c>
      <c r="BP15" s="269">
        <v>615360</v>
      </c>
      <c r="BQ15" s="270">
        <f t="shared" si="14"/>
        <v>1460</v>
      </c>
      <c r="BR15" s="285">
        <f t="shared" si="50"/>
        <v>-340</v>
      </c>
      <c r="BS15" s="286">
        <f>(BQ15/'Finance Only'!B18)*100</f>
        <v>4.9703819704500578</v>
      </c>
      <c r="BT15" s="269">
        <f t="shared" si="51"/>
        <v>469920</v>
      </c>
      <c r="BU15" s="269">
        <v>471170</v>
      </c>
      <c r="BV15" s="270">
        <f t="shared" si="15"/>
        <v>1250</v>
      </c>
      <c r="BW15" s="285">
        <f t="shared" si="52"/>
        <v>-50</v>
      </c>
      <c r="BX15" s="286">
        <f>(BV15/'Finance Only'!B18)*100</f>
        <v>4.2554640157962824</v>
      </c>
      <c r="BY15" s="269">
        <f t="shared" si="53"/>
        <v>1372600</v>
      </c>
      <c r="BZ15" s="269">
        <v>1376600</v>
      </c>
      <c r="CA15" s="270">
        <f t="shared" si="16"/>
        <v>4000</v>
      </c>
      <c r="CB15" s="285">
        <f t="shared" si="54"/>
        <v>-700</v>
      </c>
      <c r="CC15" s="286">
        <f>(CA15/'Finance Only'!B18)*100</f>
        <v>13.617484850548104</v>
      </c>
      <c r="CD15" s="269">
        <f t="shared" si="55"/>
        <v>639300</v>
      </c>
      <c r="CE15" s="269">
        <v>640000</v>
      </c>
      <c r="CF15" s="270">
        <f t="shared" si="17"/>
        <v>700</v>
      </c>
      <c r="CG15" s="285">
        <f t="shared" si="56"/>
        <v>-250</v>
      </c>
      <c r="CH15" s="286">
        <f>(CF15/'Finance Only'!B18)*100</f>
        <v>2.3830598488459183</v>
      </c>
      <c r="CI15" s="270">
        <f t="shared" si="57"/>
        <v>30864</v>
      </c>
      <c r="CJ15" s="270">
        <v>30959</v>
      </c>
      <c r="CK15" s="270">
        <f t="shared" si="58"/>
        <v>95</v>
      </c>
      <c r="CL15" s="285">
        <f t="shared" si="59"/>
        <v>6</v>
      </c>
      <c r="CM15" s="286">
        <f>(CK15/'Finance Only'!B18)*100</f>
        <v>0.3234152652005175</v>
      </c>
      <c r="CN15" s="269">
        <f t="shared" si="60"/>
        <v>24888</v>
      </c>
      <c r="CO15" s="269">
        <v>24958</v>
      </c>
      <c r="CP15" s="271">
        <f t="shared" si="18"/>
        <v>70</v>
      </c>
      <c r="CQ15" s="285">
        <f t="shared" si="61"/>
        <v>-9</v>
      </c>
      <c r="CR15" s="286">
        <f>(CP15/'Finance Only'!B18)*100</f>
        <v>0.23830598488459184</v>
      </c>
      <c r="CS15" s="269">
        <f t="shared" si="62"/>
        <v>22316</v>
      </c>
      <c r="CT15" s="269">
        <v>22384</v>
      </c>
      <c r="CU15" s="270">
        <f t="shared" si="19"/>
        <v>68</v>
      </c>
      <c r="CV15" s="285">
        <f t="shared" si="63"/>
        <v>-7</v>
      </c>
      <c r="CW15" s="286">
        <f>(CU15/'Finance Only'!B18)*100</f>
        <v>0.23149724245931777</v>
      </c>
      <c r="CX15" s="269">
        <f t="shared" si="64"/>
        <v>35174</v>
      </c>
      <c r="CY15" s="269">
        <v>35339</v>
      </c>
      <c r="CZ15" s="270">
        <f t="shared" si="20"/>
        <v>165</v>
      </c>
      <c r="DA15" s="285">
        <f t="shared" si="65"/>
        <v>44</v>
      </c>
      <c r="DB15" s="286">
        <f>(CZ15/'Finance Only'!B18)*100</f>
        <v>0.56172125008510931</v>
      </c>
      <c r="DC15" s="269">
        <f t="shared" si="66"/>
        <v>26801</v>
      </c>
      <c r="DD15" s="269">
        <v>26923</v>
      </c>
      <c r="DE15" s="270">
        <f t="shared" si="21"/>
        <v>122</v>
      </c>
      <c r="DF15" s="285">
        <f t="shared" si="67"/>
        <v>6</v>
      </c>
      <c r="DG15" s="286">
        <f>(DE15/'Finance Only'!B18)*100</f>
        <v>0.4153332879417172</v>
      </c>
      <c r="DH15" s="269">
        <f t="shared" si="68"/>
        <v>24915</v>
      </c>
      <c r="DI15" s="269">
        <v>24994</v>
      </c>
      <c r="DJ15" s="270">
        <f t="shared" si="22"/>
        <v>79</v>
      </c>
      <c r="DK15" s="285">
        <f t="shared" si="69"/>
        <v>5</v>
      </c>
      <c r="DL15" s="286">
        <f>(DJ15/'Finance Only'!B18)*100</f>
        <v>0.26894532579832503</v>
      </c>
      <c r="DM15" s="269">
        <f t="shared" si="70"/>
        <v>17005</v>
      </c>
      <c r="DN15" s="269">
        <v>17052</v>
      </c>
      <c r="DO15" s="270">
        <f t="shared" si="23"/>
        <v>47</v>
      </c>
      <c r="DP15" s="285">
        <f t="shared" si="71"/>
        <v>3</v>
      </c>
      <c r="DQ15" s="286">
        <f>(DO15/'Finance Only'!B18)*100</f>
        <v>0.1600054469939402</v>
      </c>
      <c r="DR15" s="269">
        <f t="shared" si="72"/>
        <v>45795</v>
      </c>
      <c r="DS15" s="269">
        <v>45939</v>
      </c>
      <c r="DT15" s="270">
        <f t="shared" si="24"/>
        <v>144</v>
      </c>
      <c r="DU15" s="285">
        <f t="shared" si="73"/>
        <v>6</v>
      </c>
      <c r="DV15" s="286">
        <f>(DT15/'Finance Only'!B18)*100</f>
        <v>0.49022945461973172</v>
      </c>
      <c r="DW15" s="269">
        <f t="shared" si="74"/>
        <v>33013</v>
      </c>
      <c r="DX15" s="269">
        <v>33083</v>
      </c>
      <c r="DY15" s="270">
        <f t="shared" si="25"/>
        <v>70</v>
      </c>
      <c r="DZ15" s="285">
        <f t="shared" si="75"/>
        <v>-4</v>
      </c>
      <c r="EA15" s="286">
        <f>(DY15/'Finance Only'!B18)*100</f>
        <v>0.23830598488459184</v>
      </c>
      <c r="EB15" s="269">
        <f t="shared" si="76"/>
        <v>100190</v>
      </c>
      <c r="EC15" s="269">
        <v>100440</v>
      </c>
      <c r="ED15" s="270">
        <f t="shared" si="26"/>
        <v>250</v>
      </c>
      <c r="EE15" s="285">
        <f t="shared" si="77"/>
        <v>-17</v>
      </c>
      <c r="EF15" s="286">
        <f>(ED15/'Finance Only'!B18)*100</f>
        <v>0.85109280315925651</v>
      </c>
      <c r="EG15" s="269">
        <f t="shared" si="78"/>
        <v>81459</v>
      </c>
      <c r="EH15" s="269">
        <v>81798</v>
      </c>
      <c r="EI15" s="270">
        <f t="shared" si="27"/>
        <v>339</v>
      </c>
      <c r="EJ15" s="285">
        <f t="shared" si="79"/>
        <v>-20</v>
      </c>
      <c r="EK15" s="286">
        <f>(EI15/'Finance Only'!B18)*100</f>
        <v>1.1540818410839517</v>
      </c>
      <c r="EL15" s="269">
        <f t="shared" si="80"/>
        <v>17185</v>
      </c>
      <c r="EM15" s="269">
        <v>17236</v>
      </c>
      <c r="EN15" s="270">
        <f t="shared" si="28"/>
        <v>51</v>
      </c>
      <c r="EO15" s="285">
        <f t="shared" si="81"/>
        <v>3</v>
      </c>
      <c r="EP15" s="286">
        <f>(EN15/'Finance Only'!B18)*100</f>
        <v>0.17362293184448832</v>
      </c>
      <c r="EQ15" s="269">
        <f t="shared" si="82"/>
        <v>238660</v>
      </c>
      <c r="ER15" s="269">
        <v>240940</v>
      </c>
      <c r="ES15" s="270">
        <f t="shared" si="29"/>
        <v>2280</v>
      </c>
      <c r="ET15" s="285">
        <f t="shared" si="83"/>
        <v>-810</v>
      </c>
      <c r="EU15" s="286">
        <f>(ES15/'Finance Only'!B18)*100</f>
        <v>7.7619663648124186</v>
      </c>
    </row>
    <row r="16" spans="1:151" s="3" customFormat="1" ht="13.5" customHeight="1" x14ac:dyDescent="0.2">
      <c r="A16" s="260">
        <v>12</v>
      </c>
      <c r="B16" s="267">
        <f t="shared" si="30"/>
        <v>25574765</v>
      </c>
      <c r="C16" s="267">
        <v>25578064</v>
      </c>
      <c r="D16" s="268">
        <f t="shared" si="0"/>
        <v>3299</v>
      </c>
      <c r="E16" s="281">
        <f t="shared" si="31"/>
        <v>-106</v>
      </c>
      <c r="F16" s="282">
        <f>(D16/'Finance Only'!B19)*100</f>
        <v>11.351593145688527</v>
      </c>
      <c r="G16" s="294">
        <f t="shared" si="84"/>
        <v>22632110</v>
      </c>
      <c r="H16" s="267">
        <v>22637491</v>
      </c>
      <c r="I16" s="267">
        <f t="shared" si="32"/>
        <v>5381</v>
      </c>
      <c r="J16" s="295">
        <f t="shared" si="33"/>
        <v>228</v>
      </c>
      <c r="K16" s="296">
        <f>(I16/'Finance Only'!B19)*100</f>
        <v>18.515587364943915</v>
      </c>
      <c r="L16" s="277">
        <f t="shared" si="34"/>
        <v>85589831</v>
      </c>
      <c r="M16" s="269">
        <v>85604394</v>
      </c>
      <c r="N16" s="270">
        <f t="shared" si="1"/>
        <v>14563</v>
      </c>
      <c r="O16" s="285">
        <f t="shared" si="35"/>
        <v>-284</v>
      </c>
      <c r="P16" s="286">
        <f>(N16/'Finance Only'!B19)*100</f>
        <v>50.110109421237361</v>
      </c>
      <c r="Q16" s="276">
        <f t="shared" si="85"/>
        <v>1989500</v>
      </c>
      <c r="R16" s="269">
        <v>1991400</v>
      </c>
      <c r="S16" s="270">
        <f t="shared" si="2"/>
        <v>1900</v>
      </c>
      <c r="T16" s="285">
        <f t="shared" si="36"/>
        <v>-100</v>
      </c>
      <c r="U16" s="286">
        <f>(S16/'Finance Only'!B19)*100</f>
        <v>6.5377468859679304</v>
      </c>
      <c r="V16" s="269">
        <f t="shared" si="86"/>
        <v>2693298</v>
      </c>
      <c r="W16" s="269">
        <v>2695946</v>
      </c>
      <c r="X16" s="270">
        <f t="shared" si="3"/>
        <v>2648</v>
      </c>
      <c r="Y16" s="285">
        <f t="shared" si="37"/>
        <v>-76</v>
      </c>
      <c r="Z16" s="286">
        <f>(X16/'Finance Only'!B19)*100</f>
        <v>9.1115546073910956</v>
      </c>
      <c r="AA16" s="269">
        <f t="shared" si="38"/>
        <v>1638900</v>
      </c>
      <c r="AB16" s="269">
        <v>1640800</v>
      </c>
      <c r="AC16" s="270">
        <f t="shared" si="4"/>
        <v>1900</v>
      </c>
      <c r="AD16" s="285">
        <f t="shared" si="39"/>
        <v>200</v>
      </c>
      <c r="AE16" s="286">
        <f>(AC16/'Finance Only'!B19)*100</f>
        <v>6.5377468859679304</v>
      </c>
      <c r="AF16" s="269">
        <f t="shared" si="87"/>
        <v>742969</v>
      </c>
      <c r="AG16" s="269">
        <v>743678</v>
      </c>
      <c r="AH16" s="270">
        <f t="shared" si="5"/>
        <v>709</v>
      </c>
      <c r="AI16" s="285">
        <f t="shared" si="40"/>
        <v>-8</v>
      </c>
      <c r="AJ16" s="286">
        <f>(AH16/'Finance Only'!B19)*100</f>
        <v>2.4396118642901383</v>
      </c>
      <c r="AK16" s="269">
        <f t="shared" si="88"/>
        <v>7673500</v>
      </c>
      <c r="AL16" s="269">
        <v>7679300</v>
      </c>
      <c r="AM16" s="270">
        <f t="shared" si="6"/>
        <v>5800</v>
      </c>
      <c r="AN16" s="285">
        <f t="shared" si="41"/>
        <v>0</v>
      </c>
      <c r="AO16" s="286">
        <f>(AM16/'Finance Only'!B19)*100</f>
        <v>19.957332599270526</v>
      </c>
      <c r="AP16" s="269">
        <f t="shared" si="89"/>
        <v>1748700</v>
      </c>
      <c r="AQ16" s="269">
        <v>1750300</v>
      </c>
      <c r="AR16" s="270">
        <f t="shared" si="7"/>
        <v>1600</v>
      </c>
      <c r="AS16" s="285">
        <f t="shared" si="42"/>
        <v>0</v>
      </c>
      <c r="AT16" s="286">
        <f>(AR16/'Finance Only'!B19)*100</f>
        <v>5.5054710618677314</v>
      </c>
      <c r="AU16" s="269">
        <f t="shared" si="8"/>
        <v>499002</v>
      </c>
      <c r="AV16" s="269">
        <v>499415</v>
      </c>
      <c r="AW16" s="270">
        <f t="shared" si="9"/>
        <v>413</v>
      </c>
      <c r="AX16" s="285">
        <f t="shared" si="43"/>
        <v>-14</v>
      </c>
      <c r="AY16" s="286">
        <f>(AW16/'Finance Only'!B19)*100</f>
        <v>1.4210997178446081</v>
      </c>
      <c r="AZ16" s="269">
        <f t="shared" si="10"/>
        <v>639780</v>
      </c>
      <c r="BA16" s="269">
        <v>640720</v>
      </c>
      <c r="BB16" s="270">
        <f t="shared" si="11"/>
        <v>940</v>
      </c>
      <c r="BC16" s="285">
        <f t="shared" si="44"/>
        <v>-90</v>
      </c>
      <c r="BD16" s="286">
        <f>(BB16/'Finance Only'!B19)*100</f>
        <v>3.2344642488472921</v>
      </c>
      <c r="BE16" s="269">
        <f t="shared" si="45"/>
        <v>737840</v>
      </c>
      <c r="BF16" s="269">
        <v>738840</v>
      </c>
      <c r="BG16" s="270">
        <f t="shared" si="12"/>
        <v>1000</v>
      </c>
      <c r="BH16" s="285">
        <f t="shared" si="46"/>
        <v>-40</v>
      </c>
      <c r="BI16" s="286">
        <f>(BG16/'Finance Only'!B19)*100</f>
        <v>3.4409194136673324</v>
      </c>
      <c r="BJ16" s="269">
        <f t="shared" si="47"/>
        <v>1153200</v>
      </c>
      <c r="BK16" s="269">
        <v>1154600</v>
      </c>
      <c r="BL16" s="270">
        <f t="shared" si="13"/>
        <v>1400</v>
      </c>
      <c r="BM16" s="285">
        <f t="shared" si="48"/>
        <v>-100</v>
      </c>
      <c r="BN16" s="286">
        <f>(BL16/'Finance Only'!B19)*100</f>
        <v>4.8172871791342651</v>
      </c>
      <c r="BO16" s="269">
        <f t="shared" si="49"/>
        <v>615360</v>
      </c>
      <c r="BP16" s="269">
        <v>617020</v>
      </c>
      <c r="BQ16" s="270">
        <f t="shared" si="14"/>
        <v>1660</v>
      </c>
      <c r="BR16" s="285">
        <f t="shared" si="50"/>
        <v>200</v>
      </c>
      <c r="BS16" s="286">
        <f>(BQ16/'Finance Only'!B19)*100</f>
        <v>5.7119262266877708</v>
      </c>
      <c r="BT16" s="269">
        <f t="shared" si="51"/>
        <v>471170</v>
      </c>
      <c r="BU16" s="269">
        <v>472420</v>
      </c>
      <c r="BV16" s="270">
        <f t="shared" si="15"/>
        <v>1250</v>
      </c>
      <c r="BW16" s="285">
        <f t="shared" si="52"/>
        <v>0</v>
      </c>
      <c r="BX16" s="286">
        <f>(BV16/'Finance Only'!B19)*100</f>
        <v>4.3011492670841651</v>
      </c>
      <c r="BY16" s="269">
        <f t="shared" si="53"/>
        <v>1376600</v>
      </c>
      <c r="BZ16" s="269">
        <v>1381000</v>
      </c>
      <c r="CA16" s="270">
        <f t="shared" si="16"/>
        <v>4400</v>
      </c>
      <c r="CB16" s="285">
        <f t="shared" si="54"/>
        <v>400</v>
      </c>
      <c r="CC16" s="286">
        <f>(CA16/'Finance Only'!B19)*100</f>
        <v>15.140045420136261</v>
      </c>
      <c r="CD16" s="269">
        <f t="shared" si="55"/>
        <v>640000</v>
      </c>
      <c r="CE16" s="269">
        <v>640090</v>
      </c>
      <c r="CF16" s="270">
        <f t="shared" si="17"/>
        <v>90</v>
      </c>
      <c r="CG16" s="285">
        <f t="shared" si="56"/>
        <v>-610</v>
      </c>
      <c r="CH16" s="286">
        <f>(CF16/'Finance Only'!B19)*100</f>
        <v>0.3096827472300599</v>
      </c>
      <c r="CI16" s="270">
        <f t="shared" si="57"/>
        <v>30959</v>
      </c>
      <c r="CJ16" s="270">
        <v>31069</v>
      </c>
      <c r="CK16" s="270">
        <f t="shared" si="58"/>
        <v>110</v>
      </c>
      <c r="CL16" s="285">
        <f t="shared" si="59"/>
        <v>15</v>
      </c>
      <c r="CM16" s="286">
        <f>(CK16/'Finance Only'!B19)*100</f>
        <v>0.37850113550340653</v>
      </c>
      <c r="CN16" s="269">
        <f t="shared" si="60"/>
        <v>24958</v>
      </c>
      <c r="CO16" s="269">
        <v>25029</v>
      </c>
      <c r="CP16" s="271">
        <f t="shared" si="18"/>
        <v>71</v>
      </c>
      <c r="CQ16" s="285">
        <f t="shared" si="61"/>
        <v>1</v>
      </c>
      <c r="CR16" s="286">
        <f>(CP16/'Finance Only'!B19)*100</f>
        <v>0.24430527837038057</v>
      </c>
      <c r="CS16" s="269">
        <f t="shared" si="62"/>
        <v>22384</v>
      </c>
      <c r="CT16" s="269">
        <v>22455</v>
      </c>
      <c r="CU16" s="270">
        <f t="shared" si="19"/>
        <v>71</v>
      </c>
      <c r="CV16" s="285">
        <f t="shared" si="63"/>
        <v>3</v>
      </c>
      <c r="CW16" s="286">
        <f>(CU16/'Finance Only'!B19)*100</f>
        <v>0.24430527837038057</v>
      </c>
      <c r="CX16" s="269">
        <f t="shared" si="64"/>
        <v>35339</v>
      </c>
      <c r="CY16" s="269">
        <v>35498</v>
      </c>
      <c r="CZ16" s="270">
        <f t="shared" si="20"/>
        <v>159</v>
      </c>
      <c r="DA16" s="285">
        <f t="shared" si="65"/>
        <v>-6</v>
      </c>
      <c r="DB16" s="286">
        <f>(CZ16/'Finance Only'!B19)*100</f>
        <v>0.54710618677310585</v>
      </c>
      <c r="DC16" s="269">
        <f t="shared" si="66"/>
        <v>26923</v>
      </c>
      <c r="DD16" s="269">
        <v>27019</v>
      </c>
      <c r="DE16" s="270">
        <f t="shared" si="21"/>
        <v>96</v>
      </c>
      <c r="DF16" s="285">
        <f t="shared" si="67"/>
        <v>-26</v>
      </c>
      <c r="DG16" s="286">
        <f>(DE16/'Finance Only'!B19)*100</f>
        <v>0.33032826371206386</v>
      </c>
      <c r="DH16" s="269">
        <f t="shared" si="68"/>
        <v>24994</v>
      </c>
      <c r="DI16" s="269">
        <v>25083</v>
      </c>
      <c r="DJ16" s="270">
        <f t="shared" si="22"/>
        <v>89</v>
      </c>
      <c r="DK16" s="285">
        <f t="shared" si="69"/>
        <v>10</v>
      </c>
      <c r="DL16" s="286">
        <f>(DJ16/'Finance Only'!B19)*100</f>
        <v>0.30624182781639253</v>
      </c>
      <c r="DM16" s="269">
        <f t="shared" si="70"/>
        <v>17052</v>
      </c>
      <c r="DN16" s="269">
        <v>17109</v>
      </c>
      <c r="DO16" s="270">
        <f t="shared" si="23"/>
        <v>57</v>
      </c>
      <c r="DP16" s="285">
        <f t="shared" si="71"/>
        <v>10</v>
      </c>
      <c r="DQ16" s="286">
        <f>(DO16/'Finance Only'!B19)*100</f>
        <v>0.19613240657903791</v>
      </c>
      <c r="DR16" s="269">
        <f t="shared" si="72"/>
        <v>45939</v>
      </c>
      <c r="DS16" s="269">
        <v>46090</v>
      </c>
      <c r="DT16" s="270">
        <f t="shared" si="24"/>
        <v>151</v>
      </c>
      <c r="DU16" s="285">
        <f t="shared" si="73"/>
        <v>7</v>
      </c>
      <c r="DV16" s="286">
        <f>(DT16/'Finance Only'!B19)*100</f>
        <v>0.51957883146376715</v>
      </c>
      <c r="DW16" s="269">
        <f t="shared" si="74"/>
        <v>33083</v>
      </c>
      <c r="DX16" s="269">
        <v>33149</v>
      </c>
      <c r="DY16" s="270">
        <f t="shared" si="25"/>
        <v>66</v>
      </c>
      <c r="DZ16" s="285">
        <f t="shared" si="75"/>
        <v>-4</v>
      </c>
      <c r="EA16" s="286">
        <f>(DY16/'Finance Only'!B19)*100</f>
        <v>0.22710068130204392</v>
      </c>
      <c r="EB16" s="269">
        <f t="shared" si="76"/>
        <v>100440</v>
      </c>
      <c r="EC16" s="269">
        <v>100750</v>
      </c>
      <c r="ED16" s="270">
        <f t="shared" si="26"/>
        <v>310</v>
      </c>
      <c r="EE16" s="285">
        <f t="shared" si="77"/>
        <v>60</v>
      </c>
      <c r="EF16" s="286">
        <f>(ED16/'Finance Only'!B19)*100</f>
        <v>1.066685018236873</v>
      </c>
      <c r="EG16" s="269">
        <f t="shared" si="78"/>
        <v>81798</v>
      </c>
      <c r="EH16" s="269">
        <v>82172</v>
      </c>
      <c r="EI16" s="270">
        <f t="shared" si="27"/>
        <v>374</v>
      </c>
      <c r="EJ16" s="285">
        <f t="shared" si="79"/>
        <v>35</v>
      </c>
      <c r="EK16" s="286">
        <f>(EI16/'Finance Only'!B19)*100</f>
        <v>1.2869038607115821</v>
      </c>
      <c r="EL16" s="269">
        <f t="shared" si="80"/>
        <v>17236</v>
      </c>
      <c r="EM16" s="269">
        <v>17283</v>
      </c>
      <c r="EN16" s="270">
        <f t="shared" si="28"/>
        <v>47</v>
      </c>
      <c r="EO16" s="285">
        <f t="shared" si="81"/>
        <v>-4</v>
      </c>
      <c r="EP16" s="286">
        <f>(EN16/'Finance Only'!B19)*100</f>
        <v>0.16172321244236459</v>
      </c>
      <c r="EQ16" s="269">
        <f t="shared" si="82"/>
        <v>240940</v>
      </c>
      <c r="ER16" s="269">
        <v>243170</v>
      </c>
      <c r="ES16" s="270">
        <f t="shared" si="29"/>
        <v>2230</v>
      </c>
      <c r="ET16" s="285">
        <f t="shared" si="83"/>
        <v>-50</v>
      </c>
      <c r="EU16" s="286">
        <f>(ES16/'Finance Only'!B19)*100</f>
        <v>7.6732502924781496</v>
      </c>
    </row>
    <row r="17" spans="1:1085" s="3" customFormat="1" ht="13.5" customHeight="1" x14ac:dyDescent="0.2">
      <c r="A17" s="260">
        <v>13</v>
      </c>
      <c r="B17" s="267">
        <f t="shared" si="30"/>
        <v>25578064</v>
      </c>
      <c r="C17" s="267">
        <v>25581172</v>
      </c>
      <c r="D17" s="268">
        <f t="shared" si="0"/>
        <v>3108</v>
      </c>
      <c r="E17" s="281">
        <f t="shared" si="31"/>
        <v>-191</v>
      </c>
      <c r="F17" s="282">
        <f>(D17/'Finance Only'!B20)*100</f>
        <v>11.030664395229984</v>
      </c>
      <c r="G17" s="294">
        <f t="shared" si="84"/>
        <v>22637491</v>
      </c>
      <c r="H17" s="267">
        <v>22642149</v>
      </c>
      <c r="I17" s="267">
        <f t="shared" si="32"/>
        <v>4658</v>
      </c>
      <c r="J17" s="295">
        <f t="shared" si="33"/>
        <v>-723</v>
      </c>
      <c r="K17" s="296">
        <f>(I17/'Finance Only'!B20)*100</f>
        <v>16.531800113571833</v>
      </c>
      <c r="L17" s="277">
        <f t="shared" si="34"/>
        <v>85604394</v>
      </c>
      <c r="M17" s="269">
        <v>85618908</v>
      </c>
      <c r="N17" s="270">
        <f t="shared" si="1"/>
        <v>14514</v>
      </c>
      <c r="O17" s="285">
        <f t="shared" si="35"/>
        <v>-49</v>
      </c>
      <c r="P17" s="286">
        <f>(N17/'Finance Only'!B20)*100</f>
        <v>51.511925042589432</v>
      </c>
      <c r="Q17" s="276">
        <f t="shared" si="85"/>
        <v>1991400</v>
      </c>
      <c r="R17" s="269">
        <v>1993400</v>
      </c>
      <c r="S17" s="270">
        <f t="shared" si="2"/>
        <v>2000</v>
      </c>
      <c r="T17" s="285">
        <f t="shared" si="36"/>
        <v>100</v>
      </c>
      <c r="U17" s="286">
        <f>(S17/'Finance Only'!B20)*100</f>
        <v>7.0982396365701304</v>
      </c>
      <c r="V17" s="269">
        <f t="shared" si="86"/>
        <v>2695946</v>
      </c>
      <c r="W17" s="269">
        <v>2698458</v>
      </c>
      <c r="X17" s="270">
        <f t="shared" si="3"/>
        <v>2512</v>
      </c>
      <c r="Y17" s="285">
        <f t="shared" si="37"/>
        <v>-136</v>
      </c>
      <c r="Z17" s="286">
        <f>(X17/'Finance Only'!B20)*100</f>
        <v>8.9153889835320843</v>
      </c>
      <c r="AA17" s="269">
        <f t="shared" si="38"/>
        <v>1640800</v>
      </c>
      <c r="AB17" s="269">
        <v>1642800</v>
      </c>
      <c r="AC17" s="270">
        <f t="shared" si="4"/>
        <v>2000</v>
      </c>
      <c r="AD17" s="285">
        <f t="shared" si="39"/>
        <v>100</v>
      </c>
      <c r="AE17" s="286">
        <f>(AC17/'Finance Only'!B20)*100</f>
        <v>7.0982396365701304</v>
      </c>
      <c r="AF17" s="269">
        <f t="shared" si="87"/>
        <v>743678</v>
      </c>
      <c r="AG17" s="269">
        <v>744373</v>
      </c>
      <c r="AH17" s="270">
        <f t="shared" si="5"/>
        <v>695</v>
      </c>
      <c r="AI17" s="285">
        <f t="shared" si="40"/>
        <v>-14</v>
      </c>
      <c r="AJ17" s="286">
        <f>(AH17/'Finance Only'!B20)*100</f>
        <v>2.4666382737081203</v>
      </c>
      <c r="AK17" s="269">
        <f t="shared" si="88"/>
        <v>7679300</v>
      </c>
      <c r="AL17" s="269">
        <v>7684500</v>
      </c>
      <c r="AM17" s="270">
        <f t="shared" si="6"/>
        <v>5200</v>
      </c>
      <c r="AN17" s="285">
        <f t="shared" si="41"/>
        <v>-600</v>
      </c>
      <c r="AO17" s="286">
        <f>(AM17/'Finance Only'!B20)*100</f>
        <v>18.455423055082338</v>
      </c>
      <c r="AP17" s="269">
        <f t="shared" si="89"/>
        <v>1750300</v>
      </c>
      <c r="AQ17" s="269">
        <v>1752200</v>
      </c>
      <c r="AR17" s="270">
        <f t="shared" si="7"/>
        <v>1900</v>
      </c>
      <c r="AS17" s="285">
        <f t="shared" si="42"/>
        <v>300</v>
      </c>
      <c r="AT17" s="286">
        <f>(AR17/'Finance Only'!B20)*100</f>
        <v>6.7433276547416234</v>
      </c>
      <c r="AU17" s="269">
        <f t="shared" si="8"/>
        <v>499415</v>
      </c>
      <c r="AV17" s="269">
        <v>499806</v>
      </c>
      <c r="AW17" s="270">
        <f t="shared" si="9"/>
        <v>391</v>
      </c>
      <c r="AX17" s="285">
        <f t="shared" si="43"/>
        <v>-22</v>
      </c>
      <c r="AY17" s="286">
        <f>(AW17/'Finance Only'!B20)*100</f>
        <v>1.3877058489494605</v>
      </c>
      <c r="AZ17" s="269">
        <f t="shared" si="10"/>
        <v>640720</v>
      </c>
      <c r="BA17" s="269">
        <v>641650</v>
      </c>
      <c r="BB17" s="270">
        <f t="shared" si="11"/>
        <v>930</v>
      </c>
      <c r="BC17" s="285">
        <f t="shared" si="44"/>
        <v>-10</v>
      </c>
      <c r="BD17" s="286">
        <f>(BB17/'Finance Only'!B20)*100</f>
        <v>3.3006814310051107</v>
      </c>
      <c r="BE17" s="269">
        <f t="shared" si="45"/>
        <v>738840</v>
      </c>
      <c r="BF17" s="269">
        <v>739810</v>
      </c>
      <c r="BG17" s="270">
        <f t="shared" si="12"/>
        <v>970</v>
      </c>
      <c r="BH17" s="285">
        <f t="shared" si="46"/>
        <v>-30</v>
      </c>
      <c r="BI17" s="286">
        <f>(BG17/'Finance Only'!B20)*100</f>
        <v>3.4426462237365132</v>
      </c>
      <c r="BJ17" s="269">
        <f t="shared" si="47"/>
        <v>1154600</v>
      </c>
      <c r="BK17" s="269">
        <v>1156000</v>
      </c>
      <c r="BL17" s="270">
        <f t="shared" si="13"/>
        <v>1400</v>
      </c>
      <c r="BM17" s="285">
        <f t="shared" si="48"/>
        <v>0</v>
      </c>
      <c r="BN17" s="286">
        <f>(BL17/'Finance Only'!B20)*100</f>
        <v>4.9687677455990915</v>
      </c>
      <c r="BO17" s="269">
        <f t="shared" si="49"/>
        <v>617020</v>
      </c>
      <c r="BP17" s="269">
        <v>618420</v>
      </c>
      <c r="BQ17" s="270">
        <f t="shared" si="14"/>
        <v>1400</v>
      </c>
      <c r="BR17" s="285">
        <f t="shared" si="50"/>
        <v>-260</v>
      </c>
      <c r="BS17" s="286">
        <f>(BQ17/'Finance Only'!B20)*100</f>
        <v>4.9687677455990915</v>
      </c>
      <c r="BT17" s="269">
        <f t="shared" si="51"/>
        <v>472420</v>
      </c>
      <c r="BU17" s="269">
        <v>473600</v>
      </c>
      <c r="BV17" s="270">
        <f t="shared" si="15"/>
        <v>1180</v>
      </c>
      <c r="BW17" s="285">
        <f t="shared" si="52"/>
        <v>-70</v>
      </c>
      <c r="BX17" s="286">
        <f>(BV17/'Finance Only'!B20)*100</f>
        <v>4.1879613855763766</v>
      </c>
      <c r="BY17" s="269">
        <f t="shared" si="53"/>
        <v>1381000</v>
      </c>
      <c r="BZ17" s="269">
        <v>1384500</v>
      </c>
      <c r="CA17" s="270">
        <f t="shared" si="16"/>
        <v>3500</v>
      </c>
      <c r="CB17" s="285">
        <f t="shared" si="54"/>
        <v>-900</v>
      </c>
      <c r="CC17" s="286">
        <f>(CA17/'Finance Only'!B20)*100</f>
        <v>12.421919363997729</v>
      </c>
      <c r="CD17" s="269">
        <f t="shared" si="55"/>
        <v>640090</v>
      </c>
      <c r="CE17" s="269">
        <v>642000</v>
      </c>
      <c r="CF17" s="270">
        <f t="shared" si="17"/>
        <v>1910</v>
      </c>
      <c r="CG17" s="285">
        <f t="shared" si="56"/>
        <v>1820</v>
      </c>
      <c r="CH17" s="286">
        <f>(CF17/'Finance Only'!B20)*100</f>
        <v>6.7788188529244744</v>
      </c>
      <c r="CI17" s="270">
        <f t="shared" si="57"/>
        <v>31069</v>
      </c>
      <c r="CJ17" s="270">
        <v>31170</v>
      </c>
      <c r="CK17" s="270">
        <f t="shared" si="58"/>
        <v>101</v>
      </c>
      <c r="CL17" s="285">
        <f t="shared" si="59"/>
        <v>-9</v>
      </c>
      <c r="CM17" s="286">
        <f>(CK17/'Finance Only'!B20)*100</f>
        <v>0.35846110164679162</v>
      </c>
      <c r="CN17" s="269">
        <f t="shared" si="60"/>
        <v>25029</v>
      </c>
      <c r="CO17" s="269">
        <v>25153</v>
      </c>
      <c r="CP17" s="271">
        <f t="shared" si="18"/>
        <v>124</v>
      </c>
      <c r="CQ17" s="285">
        <f t="shared" si="61"/>
        <v>53</v>
      </c>
      <c r="CR17" s="286">
        <f>(CP17/'Finance Only'!B20)*100</f>
        <v>0.44009085746734811</v>
      </c>
      <c r="CS17" s="269">
        <f t="shared" si="62"/>
        <v>22455</v>
      </c>
      <c r="CT17" s="269">
        <v>22507</v>
      </c>
      <c r="CU17" s="270">
        <f t="shared" si="19"/>
        <v>52</v>
      </c>
      <c r="CV17" s="285">
        <f t="shared" si="63"/>
        <v>-19</v>
      </c>
      <c r="CW17" s="286">
        <f>(CU17/'Finance Only'!B20)*100</f>
        <v>0.1845542305508234</v>
      </c>
      <c r="CX17" s="269">
        <f t="shared" si="64"/>
        <v>35498</v>
      </c>
      <c r="CY17" s="269">
        <v>35644</v>
      </c>
      <c r="CZ17" s="270">
        <f t="shared" si="20"/>
        <v>146</v>
      </c>
      <c r="DA17" s="285">
        <f t="shared" si="65"/>
        <v>-13</v>
      </c>
      <c r="DB17" s="286">
        <f>(CZ17/'Finance Only'!B20)*100</f>
        <v>0.51817149346961955</v>
      </c>
      <c r="DC17" s="269">
        <f t="shared" si="66"/>
        <v>27019</v>
      </c>
      <c r="DD17" s="269">
        <v>27106</v>
      </c>
      <c r="DE17" s="270">
        <f t="shared" si="21"/>
        <v>87</v>
      </c>
      <c r="DF17" s="285">
        <f t="shared" si="67"/>
        <v>-9</v>
      </c>
      <c r="DG17" s="286">
        <f>(DE17/'Finance Only'!B20)*100</f>
        <v>0.30877342419080067</v>
      </c>
      <c r="DH17" s="269">
        <f t="shared" si="68"/>
        <v>25083</v>
      </c>
      <c r="DI17" s="269">
        <v>25092</v>
      </c>
      <c r="DJ17" s="270">
        <f t="shared" si="22"/>
        <v>9</v>
      </c>
      <c r="DK17" s="285">
        <f t="shared" si="69"/>
        <v>-80</v>
      </c>
      <c r="DL17" s="286">
        <f>(DJ17/'Finance Only'!B20)*100</f>
        <v>3.1942078364565585E-2</v>
      </c>
      <c r="DM17" s="269">
        <f t="shared" si="70"/>
        <v>17109</v>
      </c>
      <c r="DN17" s="269">
        <v>17162</v>
      </c>
      <c r="DO17" s="270">
        <f t="shared" si="23"/>
        <v>53</v>
      </c>
      <c r="DP17" s="285">
        <f t="shared" si="71"/>
        <v>-4</v>
      </c>
      <c r="DQ17" s="286">
        <f>(DO17/'Finance Only'!B20)*100</f>
        <v>0.18810335036910847</v>
      </c>
      <c r="DR17" s="269">
        <f t="shared" si="72"/>
        <v>46090</v>
      </c>
      <c r="DS17" s="269">
        <v>46243</v>
      </c>
      <c r="DT17" s="270">
        <f t="shared" si="24"/>
        <v>153</v>
      </c>
      <c r="DU17" s="285">
        <f t="shared" si="73"/>
        <v>2</v>
      </c>
      <c r="DV17" s="286">
        <f>(DT17/'Finance Only'!B20)*100</f>
        <v>0.543015332197615</v>
      </c>
      <c r="DW17" s="269">
        <f t="shared" si="74"/>
        <v>33149</v>
      </c>
      <c r="DX17" s="269">
        <v>33215</v>
      </c>
      <c r="DY17" s="270">
        <f t="shared" si="25"/>
        <v>66</v>
      </c>
      <c r="DZ17" s="285">
        <f t="shared" si="75"/>
        <v>0</v>
      </c>
      <c r="EA17" s="286">
        <f>(DY17/'Finance Only'!B20)*100</f>
        <v>0.23424190800681433</v>
      </c>
      <c r="EB17" s="269">
        <f t="shared" si="76"/>
        <v>100750</v>
      </c>
      <c r="EC17" s="269">
        <v>100990</v>
      </c>
      <c r="ED17" s="270">
        <f t="shared" si="26"/>
        <v>240</v>
      </c>
      <c r="EE17" s="285">
        <f t="shared" si="77"/>
        <v>-70</v>
      </c>
      <c r="EF17" s="286">
        <f>(ED17/'Finance Only'!B20)*100</f>
        <v>0.85178875638841567</v>
      </c>
      <c r="EG17" s="269">
        <f t="shared" si="78"/>
        <v>82172</v>
      </c>
      <c r="EH17" s="269"/>
      <c r="EI17" s="270">
        <f t="shared" si="27"/>
        <v>-82172</v>
      </c>
      <c r="EJ17" s="285">
        <f t="shared" si="79"/>
        <v>-82546</v>
      </c>
      <c r="EK17" s="286">
        <f>(EI17/'Finance Only'!B20)*100</f>
        <v>-291.63827370812038</v>
      </c>
      <c r="EL17" s="269">
        <f t="shared" si="80"/>
        <v>17283</v>
      </c>
      <c r="EM17" s="269">
        <v>17334</v>
      </c>
      <c r="EN17" s="270">
        <f t="shared" si="28"/>
        <v>51</v>
      </c>
      <c r="EO17" s="285">
        <f t="shared" si="81"/>
        <v>4</v>
      </c>
      <c r="EP17" s="286">
        <f>(EN17/'Finance Only'!B20)*100</f>
        <v>0.18100511073253833</v>
      </c>
      <c r="EQ17" s="269">
        <f t="shared" si="82"/>
        <v>243170</v>
      </c>
      <c r="ER17" s="269">
        <v>244920</v>
      </c>
      <c r="ES17" s="270">
        <f t="shared" si="29"/>
        <v>1750</v>
      </c>
      <c r="ET17" s="285">
        <f t="shared" si="83"/>
        <v>-480</v>
      </c>
      <c r="EU17" s="286">
        <f>(ES17/'Finance Only'!B20)*100</f>
        <v>6.2109596819988644</v>
      </c>
    </row>
    <row r="18" spans="1:1085" s="3" customFormat="1" ht="13.5" customHeight="1" x14ac:dyDescent="0.2">
      <c r="A18" s="260">
        <v>14</v>
      </c>
      <c r="B18" s="267">
        <f t="shared" si="30"/>
        <v>25581172</v>
      </c>
      <c r="C18" s="267">
        <v>25584441</v>
      </c>
      <c r="D18" s="268">
        <f t="shared" si="0"/>
        <v>3269</v>
      </c>
      <c r="E18" s="281">
        <f t="shared" si="31"/>
        <v>161</v>
      </c>
      <c r="F18" s="282">
        <f>(D18/'Finance Only'!B21)*100</f>
        <v>11.486296556570625</v>
      </c>
      <c r="G18" s="294">
        <f t="shared" si="84"/>
        <v>22642149</v>
      </c>
      <c r="H18" s="267">
        <v>22647359</v>
      </c>
      <c r="I18" s="267">
        <f t="shared" si="32"/>
        <v>5210</v>
      </c>
      <c r="J18" s="295">
        <f t="shared" si="33"/>
        <v>552</v>
      </c>
      <c r="K18" s="296">
        <f>(I18/'Finance Only'!B21)*100</f>
        <v>18.306394940267044</v>
      </c>
      <c r="L18" s="277">
        <f t="shared" si="34"/>
        <v>85618908</v>
      </c>
      <c r="M18" s="269">
        <v>85633105</v>
      </c>
      <c r="N18" s="270">
        <f t="shared" si="1"/>
        <v>14197</v>
      </c>
      <c r="O18" s="285">
        <f t="shared" si="35"/>
        <v>-317</v>
      </c>
      <c r="P18" s="286">
        <f>(N18/'Finance Only'!B21)*100</f>
        <v>49.884047786366828</v>
      </c>
      <c r="Q18" s="276">
        <f t="shared" si="85"/>
        <v>1993400</v>
      </c>
      <c r="R18" s="269">
        <v>1995500</v>
      </c>
      <c r="S18" s="270">
        <f t="shared" si="2"/>
        <v>2100</v>
      </c>
      <c r="T18" s="285">
        <f t="shared" si="36"/>
        <v>100</v>
      </c>
      <c r="U18" s="286">
        <f>(S18/'Finance Only'!B21)*100</f>
        <v>7.3787772312016875</v>
      </c>
      <c r="V18" s="269">
        <f t="shared" si="86"/>
        <v>2698458</v>
      </c>
      <c r="W18" s="269">
        <v>2701016</v>
      </c>
      <c r="X18" s="270">
        <f t="shared" si="3"/>
        <v>2558</v>
      </c>
      <c r="Y18" s="285">
        <f t="shared" si="37"/>
        <v>46</v>
      </c>
      <c r="Z18" s="286">
        <f>(X18/'Finance Only'!B21)*100</f>
        <v>8.9880534082923411</v>
      </c>
      <c r="AA18" s="269">
        <f t="shared" si="38"/>
        <v>1642800</v>
      </c>
      <c r="AB18" s="269">
        <v>1644500</v>
      </c>
      <c r="AC18" s="270">
        <f t="shared" si="4"/>
        <v>1700</v>
      </c>
      <c r="AD18" s="285">
        <f t="shared" si="39"/>
        <v>-300</v>
      </c>
      <c r="AE18" s="286">
        <f>(AC18/'Finance Only'!B21)*100</f>
        <v>5.9732958538299368</v>
      </c>
      <c r="AF18" s="269">
        <f t="shared" si="87"/>
        <v>744373</v>
      </c>
      <c r="AG18" s="269">
        <v>745129</v>
      </c>
      <c r="AH18" s="270">
        <f t="shared" si="5"/>
        <v>756</v>
      </c>
      <c r="AI18" s="285">
        <f t="shared" si="40"/>
        <v>61</v>
      </c>
      <c r="AJ18" s="286">
        <f>(AH18/'Finance Only'!B21)*100</f>
        <v>2.6563598032326072</v>
      </c>
      <c r="AK18" s="269">
        <f t="shared" si="88"/>
        <v>7684500</v>
      </c>
      <c r="AL18" s="269">
        <v>7689500</v>
      </c>
      <c r="AM18" s="270">
        <f t="shared" si="6"/>
        <v>5000</v>
      </c>
      <c r="AN18" s="285">
        <f t="shared" si="41"/>
        <v>-200</v>
      </c>
      <c r="AO18" s="286">
        <f>(AM18/'Finance Only'!B21)*100</f>
        <v>17.568517217146873</v>
      </c>
      <c r="AP18" s="269">
        <f t="shared" si="89"/>
        <v>1752200</v>
      </c>
      <c r="AQ18" s="269">
        <v>1754000</v>
      </c>
      <c r="AR18" s="270">
        <f t="shared" si="7"/>
        <v>1800</v>
      </c>
      <c r="AS18" s="285">
        <f t="shared" si="42"/>
        <v>-100</v>
      </c>
      <c r="AT18" s="286">
        <f>(AR18/'Finance Only'!B21)*100</f>
        <v>6.3246661981728733</v>
      </c>
      <c r="AU18" s="269">
        <f t="shared" si="8"/>
        <v>499806</v>
      </c>
      <c r="AV18" s="269">
        <v>500201</v>
      </c>
      <c r="AW18" s="270">
        <f t="shared" si="9"/>
        <v>395</v>
      </c>
      <c r="AX18" s="285">
        <f t="shared" si="43"/>
        <v>4</v>
      </c>
      <c r="AY18" s="286">
        <f>(AW18/'Finance Only'!B21)*100</f>
        <v>1.3879128601546029</v>
      </c>
      <c r="AZ18" s="269">
        <f t="shared" si="10"/>
        <v>641650</v>
      </c>
      <c r="BA18" s="269">
        <v>642690</v>
      </c>
      <c r="BB18" s="270">
        <f t="shared" si="11"/>
        <v>1040</v>
      </c>
      <c r="BC18" s="285">
        <f t="shared" si="44"/>
        <v>110</v>
      </c>
      <c r="BD18" s="286">
        <f>(BB18/'Finance Only'!B21)*100</f>
        <v>3.6542515811665495</v>
      </c>
      <c r="BE18" s="269">
        <f t="shared" si="45"/>
        <v>739810</v>
      </c>
      <c r="BF18" s="269">
        <v>740910</v>
      </c>
      <c r="BG18" s="270">
        <f t="shared" si="12"/>
        <v>1100</v>
      </c>
      <c r="BH18" s="285">
        <f t="shared" si="46"/>
        <v>130</v>
      </c>
      <c r="BI18" s="286">
        <f>(BG18/'Finance Only'!B21)*100</f>
        <v>3.865073787772312</v>
      </c>
      <c r="BJ18" s="269">
        <f t="shared" si="47"/>
        <v>1156000</v>
      </c>
      <c r="BK18" s="269">
        <v>1157500</v>
      </c>
      <c r="BL18" s="270">
        <f t="shared" si="13"/>
        <v>1500</v>
      </c>
      <c r="BM18" s="285">
        <f t="shared" si="48"/>
        <v>100</v>
      </c>
      <c r="BN18" s="286">
        <f>(BL18/'Finance Only'!B21)*100</f>
        <v>5.2705551651440619</v>
      </c>
      <c r="BO18" s="269">
        <f t="shared" si="49"/>
        <v>618420</v>
      </c>
      <c r="BP18" s="269">
        <v>620140</v>
      </c>
      <c r="BQ18" s="270">
        <f t="shared" si="14"/>
        <v>1720</v>
      </c>
      <c r="BR18" s="285">
        <f t="shared" si="50"/>
        <v>320</v>
      </c>
      <c r="BS18" s="286">
        <f>(BQ18/'Finance Only'!B21)*100</f>
        <v>6.0435699226985244</v>
      </c>
      <c r="BT18" s="269">
        <f t="shared" si="51"/>
        <v>473600</v>
      </c>
      <c r="BU18" s="269">
        <v>474770</v>
      </c>
      <c r="BV18" s="270">
        <f t="shared" si="15"/>
        <v>1170</v>
      </c>
      <c r="BW18" s="285">
        <f t="shared" si="52"/>
        <v>-10</v>
      </c>
      <c r="BX18" s="286">
        <f>(BV18/'Finance Only'!B21)*100</f>
        <v>4.1110330288123684</v>
      </c>
      <c r="BY18" s="269">
        <f t="shared" si="53"/>
        <v>1384500</v>
      </c>
      <c r="BZ18" s="269">
        <v>1387800</v>
      </c>
      <c r="CA18" s="270">
        <f t="shared" si="16"/>
        <v>3300</v>
      </c>
      <c r="CB18" s="285">
        <f t="shared" si="54"/>
        <v>-200</v>
      </c>
      <c r="CC18" s="286">
        <f>(CA18/'Finance Only'!B21)*100</f>
        <v>11.595221363316936</v>
      </c>
      <c r="CD18" s="269">
        <f t="shared" si="55"/>
        <v>642000</v>
      </c>
      <c r="CE18" s="269">
        <v>642320</v>
      </c>
      <c r="CF18" s="270">
        <f t="shared" si="17"/>
        <v>320</v>
      </c>
      <c r="CG18" s="285">
        <f t="shared" si="56"/>
        <v>-1590</v>
      </c>
      <c r="CH18" s="286">
        <f>(CF18/'Finance Only'!B21)*100</f>
        <v>1.1243851018973998</v>
      </c>
      <c r="CI18" s="270">
        <f t="shared" si="57"/>
        <v>31170</v>
      </c>
      <c r="CJ18" s="270"/>
      <c r="CK18" s="270">
        <f t="shared" si="58"/>
        <v>-31170</v>
      </c>
      <c r="CL18" s="285">
        <f t="shared" si="59"/>
        <v>-31271</v>
      </c>
      <c r="CM18" s="286">
        <f>(CK18/'Finance Only'!B21)*100</f>
        <v>-109.52213633169362</v>
      </c>
      <c r="CN18" s="269">
        <f t="shared" si="60"/>
        <v>25153</v>
      </c>
      <c r="CO18" s="269"/>
      <c r="CP18" s="271">
        <f t="shared" si="18"/>
        <v>-25153</v>
      </c>
      <c r="CQ18" s="285">
        <f t="shared" si="61"/>
        <v>-25277</v>
      </c>
      <c r="CR18" s="286">
        <f>(CP18/'Finance Only'!B21)*100</f>
        <v>-88.380182712579057</v>
      </c>
      <c r="CS18" s="269">
        <f t="shared" si="62"/>
        <v>22507</v>
      </c>
      <c r="CT18" s="269"/>
      <c r="CU18" s="270">
        <f t="shared" si="19"/>
        <v>-22507</v>
      </c>
      <c r="CV18" s="285">
        <f t="shared" si="63"/>
        <v>-22559</v>
      </c>
      <c r="CW18" s="286">
        <f>(CU18/'Finance Only'!B21)*100</f>
        <v>-79.082923401264935</v>
      </c>
      <c r="CX18" s="269">
        <f t="shared" si="64"/>
        <v>35644</v>
      </c>
      <c r="CY18" s="269"/>
      <c r="CZ18" s="270">
        <f t="shared" si="20"/>
        <v>-35644</v>
      </c>
      <c r="DA18" s="285">
        <f t="shared" si="65"/>
        <v>-35790</v>
      </c>
      <c r="DB18" s="286">
        <f>(CZ18/'Finance Only'!B21)*100</f>
        <v>-125.24244553759662</v>
      </c>
      <c r="DC18" s="269">
        <f t="shared" si="66"/>
        <v>27106</v>
      </c>
      <c r="DD18" s="269"/>
      <c r="DE18" s="270">
        <f t="shared" si="21"/>
        <v>-27106</v>
      </c>
      <c r="DF18" s="285">
        <f t="shared" si="67"/>
        <v>-27193</v>
      </c>
      <c r="DG18" s="286">
        <f>(DE18/'Finance Only'!B21)*100</f>
        <v>-95.242445537596637</v>
      </c>
      <c r="DH18" s="269">
        <f t="shared" si="68"/>
        <v>25092</v>
      </c>
      <c r="DI18" s="269"/>
      <c r="DJ18" s="270">
        <f t="shared" si="22"/>
        <v>-25092</v>
      </c>
      <c r="DK18" s="285">
        <f t="shared" si="69"/>
        <v>-25101</v>
      </c>
      <c r="DL18" s="286">
        <f>(DJ18/'Finance Only'!B21)*100</f>
        <v>-88.16584680252987</v>
      </c>
      <c r="DM18" s="269">
        <f t="shared" si="70"/>
        <v>17162</v>
      </c>
      <c r="DN18" s="269"/>
      <c r="DO18" s="270">
        <f t="shared" si="23"/>
        <v>-17162</v>
      </c>
      <c r="DP18" s="285">
        <f t="shared" si="71"/>
        <v>-17215</v>
      </c>
      <c r="DQ18" s="286">
        <f>(DO18/'Finance Only'!B21)*100</f>
        <v>-60.302178496134928</v>
      </c>
      <c r="DR18" s="269">
        <f t="shared" si="72"/>
        <v>46243</v>
      </c>
      <c r="DS18" s="269"/>
      <c r="DT18" s="270">
        <f t="shared" si="24"/>
        <v>-46243</v>
      </c>
      <c r="DU18" s="285">
        <f t="shared" si="73"/>
        <v>-46396</v>
      </c>
      <c r="DV18" s="286">
        <f>(DT18/'Finance Only'!B21)*100</f>
        <v>-162.48418833450458</v>
      </c>
      <c r="DW18" s="269">
        <f t="shared" si="74"/>
        <v>33215</v>
      </c>
      <c r="DX18" s="269"/>
      <c r="DY18" s="270">
        <f t="shared" si="25"/>
        <v>-33215</v>
      </c>
      <c r="DZ18" s="285">
        <f t="shared" si="75"/>
        <v>-33281</v>
      </c>
      <c r="EA18" s="286">
        <f>(DY18/'Finance Only'!B21)*100</f>
        <v>-116.70765987350669</v>
      </c>
      <c r="EB18" s="269">
        <f t="shared" si="76"/>
        <v>100990</v>
      </c>
      <c r="EC18" s="269"/>
      <c r="ED18" s="270">
        <f t="shared" si="26"/>
        <v>-100990</v>
      </c>
      <c r="EE18" s="285">
        <f t="shared" si="77"/>
        <v>-101230</v>
      </c>
      <c r="EF18" s="286">
        <f>(ED18/'Finance Only'!B21)*100</f>
        <v>-354.84891075193252</v>
      </c>
      <c r="EG18" s="269">
        <f t="shared" si="78"/>
        <v>0</v>
      </c>
      <c r="EH18" s="269"/>
      <c r="EI18" s="270">
        <f t="shared" si="27"/>
        <v>0</v>
      </c>
      <c r="EJ18" s="285">
        <f t="shared" si="79"/>
        <v>82172</v>
      </c>
      <c r="EK18" s="286">
        <f>(EI18/'Finance Only'!B21)*100</f>
        <v>0</v>
      </c>
      <c r="EL18" s="269">
        <f t="shared" si="80"/>
        <v>17334</v>
      </c>
      <c r="EM18" s="269"/>
      <c r="EN18" s="270">
        <f t="shared" si="28"/>
        <v>-17334</v>
      </c>
      <c r="EO18" s="285">
        <f t="shared" si="81"/>
        <v>-17385</v>
      </c>
      <c r="EP18" s="286">
        <f>(EN18/'Finance Only'!B21)*100</f>
        <v>-60.906535488404778</v>
      </c>
      <c r="EQ18" s="269">
        <f t="shared" si="82"/>
        <v>244920</v>
      </c>
      <c r="ER18" s="269"/>
      <c r="ES18" s="270">
        <f t="shared" si="29"/>
        <v>-244920</v>
      </c>
      <c r="ET18" s="285">
        <f t="shared" si="83"/>
        <v>-246670</v>
      </c>
      <c r="EU18" s="286">
        <f>(ES18/'Finance Only'!B21)*100</f>
        <v>-860.57624736472246</v>
      </c>
    </row>
    <row r="19" spans="1:1085" s="3" customFormat="1" ht="13.5" customHeight="1" x14ac:dyDescent="0.2">
      <c r="A19" s="260">
        <v>15</v>
      </c>
      <c r="B19" s="267">
        <f t="shared" si="30"/>
        <v>25584441</v>
      </c>
      <c r="C19" s="267">
        <v>25587946</v>
      </c>
      <c r="D19" s="268">
        <f t="shared" si="0"/>
        <v>3505</v>
      </c>
      <c r="E19" s="281">
        <f t="shared" si="31"/>
        <v>236</v>
      </c>
      <c r="F19" s="282">
        <f>(D19/'Finance Only'!B22)*100</f>
        <v>11.789041740943796</v>
      </c>
      <c r="G19" s="294">
        <f t="shared" si="84"/>
        <v>22647359</v>
      </c>
      <c r="H19" s="267">
        <v>22653133</v>
      </c>
      <c r="I19" s="267">
        <f t="shared" si="32"/>
        <v>5774</v>
      </c>
      <c r="J19" s="295">
        <f t="shared" si="33"/>
        <v>564</v>
      </c>
      <c r="K19" s="296">
        <f>(I19/'Finance Only'!B22)*100</f>
        <v>19.420806565537653</v>
      </c>
      <c r="L19" s="277">
        <f t="shared" si="34"/>
        <v>85633105</v>
      </c>
      <c r="M19" s="269">
        <v>85647330</v>
      </c>
      <c r="N19" s="270">
        <f t="shared" si="1"/>
        <v>14225</v>
      </c>
      <c r="O19" s="285">
        <f t="shared" si="35"/>
        <v>28</v>
      </c>
      <c r="P19" s="286">
        <f>(N19/'Finance Only'!B22)*100</f>
        <v>47.845682957182738</v>
      </c>
      <c r="Q19" s="276">
        <f t="shared" si="85"/>
        <v>1995500</v>
      </c>
      <c r="R19" s="269">
        <v>1997400</v>
      </c>
      <c r="S19" s="270">
        <f t="shared" si="2"/>
        <v>1900</v>
      </c>
      <c r="T19" s="285">
        <f t="shared" si="36"/>
        <v>-200</v>
      </c>
      <c r="U19" s="286">
        <f>(S19/'Finance Only'!B22)*100</f>
        <v>6.3906360364602603</v>
      </c>
      <c r="V19" s="269">
        <f t="shared" si="86"/>
        <v>2701016</v>
      </c>
      <c r="W19" s="269">
        <v>2703650</v>
      </c>
      <c r="X19" s="270">
        <f t="shared" si="3"/>
        <v>2634</v>
      </c>
      <c r="Y19" s="285">
        <f t="shared" si="37"/>
        <v>76</v>
      </c>
      <c r="Z19" s="286">
        <f>(X19/'Finance Only'!B22)*100</f>
        <v>8.8594396421243822</v>
      </c>
      <c r="AA19" s="269">
        <f t="shared" si="38"/>
        <v>1644500</v>
      </c>
      <c r="AB19" s="269">
        <v>1646300</v>
      </c>
      <c r="AC19" s="270">
        <f t="shared" si="4"/>
        <v>1800</v>
      </c>
      <c r="AD19" s="285">
        <f t="shared" si="39"/>
        <v>100</v>
      </c>
      <c r="AE19" s="286">
        <f>(AC19/'Finance Only'!B22)*100</f>
        <v>6.0542867713834045</v>
      </c>
      <c r="AF19" s="269">
        <f t="shared" si="87"/>
        <v>745129</v>
      </c>
      <c r="AG19" s="269">
        <v>745822</v>
      </c>
      <c r="AH19" s="270">
        <f t="shared" si="5"/>
        <v>693</v>
      </c>
      <c r="AI19" s="285">
        <f t="shared" si="40"/>
        <v>-63</v>
      </c>
      <c r="AJ19" s="286">
        <f>(AH19/'Finance Only'!B22)*100</f>
        <v>2.3309004069826109</v>
      </c>
      <c r="AK19" s="269">
        <f t="shared" si="88"/>
        <v>7689500</v>
      </c>
      <c r="AL19" s="269">
        <v>7694700</v>
      </c>
      <c r="AM19" s="270">
        <f t="shared" si="6"/>
        <v>5200</v>
      </c>
      <c r="AN19" s="285">
        <f t="shared" si="41"/>
        <v>200</v>
      </c>
      <c r="AO19" s="286">
        <f>(AM19/'Finance Only'!B22)*100</f>
        <v>17.490161783996502</v>
      </c>
      <c r="AP19" s="269">
        <f t="shared" si="89"/>
        <v>1754000</v>
      </c>
      <c r="AQ19" s="269">
        <v>1756000</v>
      </c>
      <c r="AR19" s="270">
        <f t="shared" si="7"/>
        <v>2000</v>
      </c>
      <c r="AS19" s="285">
        <f t="shared" si="42"/>
        <v>200</v>
      </c>
      <c r="AT19" s="286">
        <f>(AR19/'Finance Only'!B22)*100</f>
        <v>6.726985301537117</v>
      </c>
      <c r="AU19" s="269">
        <f t="shared" si="8"/>
        <v>500201</v>
      </c>
      <c r="AV19" s="269">
        <v>501035</v>
      </c>
      <c r="AW19" s="270">
        <f t="shared" si="9"/>
        <v>834</v>
      </c>
      <c r="AX19" s="285">
        <f t="shared" si="43"/>
        <v>439</v>
      </c>
      <c r="AY19" s="286">
        <f>(AW19/'Finance Only'!B22)*100</f>
        <v>2.8051528707409776</v>
      </c>
      <c r="AZ19" s="269">
        <f t="shared" si="10"/>
        <v>642690</v>
      </c>
      <c r="BA19" s="269">
        <v>643680</v>
      </c>
      <c r="BB19" s="270">
        <f t="shared" si="11"/>
        <v>990</v>
      </c>
      <c r="BC19" s="285">
        <f t="shared" si="44"/>
        <v>-50</v>
      </c>
      <c r="BD19" s="286">
        <f>(BB19/'Finance Only'!B22)*100</f>
        <v>3.3298577242608727</v>
      </c>
      <c r="BE19" s="269">
        <f t="shared" si="45"/>
        <v>740910</v>
      </c>
      <c r="BF19" s="269">
        <v>741930</v>
      </c>
      <c r="BG19" s="270">
        <f t="shared" si="12"/>
        <v>1020</v>
      </c>
      <c r="BH19" s="285">
        <f t="shared" si="46"/>
        <v>-80</v>
      </c>
      <c r="BI19" s="286">
        <f>(BG19/'Finance Only'!B22)*100</f>
        <v>3.4307625037839298</v>
      </c>
      <c r="BJ19" s="269">
        <f t="shared" si="47"/>
        <v>1157500</v>
      </c>
      <c r="BK19" s="269">
        <v>1158800</v>
      </c>
      <c r="BL19" s="270">
        <f t="shared" si="13"/>
        <v>1300</v>
      </c>
      <c r="BM19" s="285">
        <f t="shared" si="48"/>
        <v>-200</v>
      </c>
      <c r="BN19" s="286">
        <f>(BL19/'Finance Only'!B22)*100</f>
        <v>4.3725404459991255</v>
      </c>
      <c r="BO19" s="269">
        <f t="shared" si="49"/>
        <v>620140</v>
      </c>
      <c r="BP19" s="269">
        <v>621660</v>
      </c>
      <c r="BQ19" s="270">
        <f t="shared" si="14"/>
        <v>1520</v>
      </c>
      <c r="BR19" s="285">
        <f t="shared" si="50"/>
        <v>-200</v>
      </c>
      <c r="BS19" s="286">
        <f>(BQ19/'Finance Only'!B22)*100</f>
        <v>5.1125088291682079</v>
      </c>
      <c r="BT19" s="269">
        <f t="shared" si="51"/>
        <v>474770</v>
      </c>
      <c r="BU19" s="269">
        <v>475930</v>
      </c>
      <c r="BV19" s="270">
        <f t="shared" si="15"/>
        <v>1160</v>
      </c>
      <c r="BW19" s="285">
        <f t="shared" si="52"/>
        <v>-10</v>
      </c>
      <c r="BX19" s="286">
        <f>(BV19/'Finance Only'!B22)*100</f>
        <v>3.9016514748915272</v>
      </c>
      <c r="BY19" s="269">
        <f t="shared" si="53"/>
        <v>1387800</v>
      </c>
      <c r="BZ19" s="269">
        <v>1391400</v>
      </c>
      <c r="CA19" s="270">
        <f t="shared" si="16"/>
        <v>3600</v>
      </c>
      <c r="CB19" s="285">
        <f t="shared" si="54"/>
        <v>300</v>
      </c>
      <c r="CC19" s="286">
        <f>(CA19/'Finance Only'!B22)*100</f>
        <v>12.108573542766809</v>
      </c>
      <c r="CD19" s="269">
        <f t="shared" si="55"/>
        <v>642320</v>
      </c>
      <c r="CE19" s="269">
        <v>642320</v>
      </c>
      <c r="CF19" s="270">
        <f t="shared" si="17"/>
        <v>0</v>
      </c>
      <c r="CG19" s="285">
        <f t="shared" si="56"/>
        <v>-320</v>
      </c>
      <c r="CH19" s="286">
        <f>(CF19/'Finance Only'!B22)*100</f>
        <v>0</v>
      </c>
      <c r="CI19" s="270">
        <f t="shared" si="57"/>
        <v>0</v>
      </c>
      <c r="CJ19" s="270"/>
      <c r="CK19" s="270">
        <f t="shared" si="58"/>
        <v>0</v>
      </c>
      <c r="CL19" s="285">
        <f t="shared" si="59"/>
        <v>31170</v>
      </c>
      <c r="CM19" s="286">
        <f>(CK19/'Finance Only'!B22)*100</f>
        <v>0</v>
      </c>
      <c r="CN19" s="269">
        <f t="shared" si="60"/>
        <v>0</v>
      </c>
      <c r="CO19" s="269"/>
      <c r="CP19" s="271">
        <f t="shared" si="18"/>
        <v>0</v>
      </c>
      <c r="CQ19" s="285">
        <f t="shared" si="61"/>
        <v>25153</v>
      </c>
      <c r="CR19" s="286">
        <f>(CP19/'Finance Only'!B22)*100</f>
        <v>0</v>
      </c>
      <c r="CS19" s="269">
        <f t="shared" si="62"/>
        <v>0</v>
      </c>
      <c r="CT19" s="269"/>
      <c r="CU19" s="270">
        <f t="shared" si="19"/>
        <v>0</v>
      </c>
      <c r="CV19" s="285">
        <f t="shared" si="63"/>
        <v>22507</v>
      </c>
      <c r="CW19" s="286">
        <f>(CU19/'Finance Only'!B22)*100</f>
        <v>0</v>
      </c>
      <c r="CX19" s="269">
        <f t="shared" si="64"/>
        <v>0</v>
      </c>
      <c r="CY19" s="269"/>
      <c r="CZ19" s="270">
        <f t="shared" si="20"/>
        <v>0</v>
      </c>
      <c r="DA19" s="285">
        <f t="shared" si="65"/>
        <v>35644</v>
      </c>
      <c r="DB19" s="286">
        <f>(CZ19/'Finance Only'!B22)*100</f>
        <v>0</v>
      </c>
      <c r="DC19" s="269">
        <f t="shared" si="66"/>
        <v>0</v>
      </c>
      <c r="DD19" s="269"/>
      <c r="DE19" s="270">
        <f t="shared" si="21"/>
        <v>0</v>
      </c>
      <c r="DF19" s="285">
        <f t="shared" si="67"/>
        <v>27106</v>
      </c>
      <c r="DG19" s="286">
        <f>(DE19/'Finance Only'!B22)*100</f>
        <v>0</v>
      </c>
      <c r="DH19" s="269">
        <f t="shared" si="68"/>
        <v>0</v>
      </c>
      <c r="DI19" s="269"/>
      <c r="DJ19" s="270">
        <f t="shared" si="22"/>
        <v>0</v>
      </c>
      <c r="DK19" s="285">
        <f t="shared" si="69"/>
        <v>25092</v>
      </c>
      <c r="DL19" s="286">
        <f>(DJ19/'Finance Only'!B22)*100</f>
        <v>0</v>
      </c>
      <c r="DM19" s="269">
        <f t="shared" si="70"/>
        <v>0</v>
      </c>
      <c r="DN19" s="269"/>
      <c r="DO19" s="270">
        <f t="shared" si="23"/>
        <v>0</v>
      </c>
      <c r="DP19" s="285">
        <f t="shared" si="71"/>
        <v>17162</v>
      </c>
      <c r="DQ19" s="286">
        <f>(DO19/'Finance Only'!B22)*100</f>
        <v>0</v>
      </c>
      <c r="DR19" s="269">
        <f t="shared" si="72"/>
        <v>0</v>
      </c>
      <c r="DS19" s="269"/>
      <c r="DT19" s="270">
        <f t="shared" si="24"/>
        <v>0</v>
      </c>
      <c r="DU19" s="285">
        <f t="shared" si="73"/>
        <v>46243</v>
      </c>
      <c r="DV19" s="286">
        <f>(DT19/'Finance Only'!B22)*100</f>
        <v>0</v>
      </c>
      <c r="DW19" s="269">
        <f t="shared" si="74"/>
        <v>0</v>
      </c>
      <c r="DX19" s="269"/>
      <c r="DY19" s="270">
        <f t="shared" si="25"/>
        <v>0</v>
      </c>
      <c r="DZ19" s="285">
        <f t="shared" si="75"/>
        <v>33215</v>
      </c>
      <c r="EA19" s="286">
        <f>(DY19/'Finance Only'!B22)*100</f>
        <v>0</v>
      </c>
      <c r="EB19" s="269">
        <f t="shared" si="76"/>
        <v>0</v>
      </c>
      <c r="EC19" s="269"/>
      <c r="ED19" s="270">
        <f t="shared" si="26"/>
        <v>0</v>
      </c>
      <c r="EE19" s="285">
        <f t="shared" si="77"/>
        <v>100990</v>
      </c>
      <c r="EF19" s="286">
        <f>(ED19/'Finance Only'!B22)*100</f>
        <v>0</v>
      </c>
      <c r="EG19" s="269">
        <f t="shared" si="78"/>
        <v>0</v>
      </c>
      <c r="EH19" s="269"/>
      <c r="EI19" s="270">
        <f t="shared" si="27"/>
        <v>0</v>
      </c>
      <c r="EJ19" s="285">
        <f t="shared" si="79"/>
        <v>0</v>
      </c>
      <c r="EK19" s="286">
        <f>(EI19/'Finance Only'!B22)*100</f>
        <v>0</v>
      </c>
      <c r="EL19" s="269">
        <f t="shared" si="80"/>
        <v>0</v>
      </c>
      <c r="EM19" s="269"/>
      <c r="EN19" s="270">
        <f t="shared" si="28"/>
        <v>0</v>
      </c>
      <c r="EO19" s="285">
        <f t="shared" si="81"/>
        <v>17334</v>
      </c>
      <c r="EP19" s="286">
        <f>(EN19/'Finance Only'!B22)*100</f>
        <v>0</v>
      </c>
      <c r="EQ19" s="269">
        <f t="shared" si="82"/>
        <v>0</v>
      </c>
      <c r="ER19" s="269"/>
      <c r="ES19" s="270">
        <f t="shared" si="29"/>
        <v>0</v>
      </c>
      <c r="ET19" s="285">
        <f t="shared" si="83"/>
        <v>244920</v>
      </c>
      <c r="EU19" s="286">
        <f>(ES19/'Finance Only'!B22)*100</f>
        <v>0</v>
      </c>
    </row>
    <row r="20" spans="1:1085" s="3" customFormat="1" ht="13.5" customHeight="1" x14ac:dyDescent="0.2">
      <c r="A20" s="260">
        <v>16</v>
      </c>
      <c r="B20" s="267">
        <f t="shared" si="30"/>
        <v>25587946</v>
      </c>
      <c r="C20" s="267">
        <v>25591624</v>
      </c>
      <c r="D20" s="268">
        <f t="shared" si="0"/>
        <v>3678</v>
      </c>
      <c r="E20" s="281">
        <f t="shared" si="31"/>
        <v>173</v>
      </c>
      <c r="F20" s="282">
        <f>(D20/'Finance Only'!B23)*100</f>
        <v>12.095898970631762</v>
      </c>
      <c r="G20" s="294">
        <f t="shared" si="84"/>
        <v>22653133</v>
      </c>
      <c r="H20" s="267">
        <v>22659290</v>
      </c>
      <c r="I20" s="267">
        <f t="shared" si="32"/>
        <v>6157</v>
      </c>
      <c r="J20" s="295">
        <f t="shared" si="33"/>
        <v>383</v>
      </c>
      <c r="K20" s="296">
        <f>(I20/'Finance Only'!B23)*100</f>
        <v>20.248626960897163</v>
      </c>
      <c r="L20" s="277">
        <f t="shared" si="34"/>
        <v>85647330</v>
      </c>
      <c r="M20" s="269">
        <v>85661653</v>
      </c>
      <c r="N20" s="270">
        <f t="shared" si="1"/>
        <v>14323</v>
      </c>
      <c r="O20" s="285">
        <f t="shared" si="35"/>
        <v>98</v>
      </c>
      <c r="P20" s="286">
        <f>(N20/'Finance Only'!B23)*100</f>
        <v>47.104285197487421</v>
      </c>
      <c r="Q20" s="276">
        <f t="shared" si="85"/>
        <v>1997400</v>
      </c>
      <c r="R20" s="269">
        <v>1999500</v>
      </c>
      <c r="S20" s="270">
        <f t="shared" si="2"/>
        <v>2100</v>
      </c>
      <c r="T20" s="285">
        <f t="shared" si="36"/>
        <v>200</v>
      </c>
      <c r="U20" s="286">
        <f>(S20/'Finance Only'!B23)*100</f>
        <v>6.9063044693656064</v>
      </c>
      <c r="V20" s="269">
        <f t="shared" si="86"/>
        <v>2703650</v>
      </c>
      <c r="W20" s="269">
        <v>2706414</v>
      </c>
      <c r="X20" s="270">
        <f t="shared" si="3"/>
        <v>2764</v>
      </c>
      <c r="Y20" s="285">
        <f t="shared" si="37"/>
        <v>130</v>
      </c>
      <c r="Z20" s="286">
        <f>(X20/'Finance Only'!B23)*100</f>
        <v>9.0900121682507322</v>
      </c>
      <c r="AA20" s="269">
        <f t="shared" si="38"/>
        <v>1646300</v>
      </c>
      <c r="AB20" s="269">
        <v>1648000</v>
      </c>
      <c r="AC20" s="270">
        <f t="shared" si="4"/>
        <v>1700</v>
      </c>
      <c r="AD20" s="285">
        <f t="shared" si="39"/>
        <v>-100</v>
      </c>
      <c r="AE20" s="286">
        <f>(AC20/'Finance Only'!B23)*100</f>
        <v>5.5908179037721579</v>
      </c>
      <c r="AF20" s="269">
        <f t="shared" si="87"/>
        <v>745822</v>
      </c>
      <c r="AG20" s="269">
        <v>746534</v>
      </c>
      <c r="AH20" s="270">
        <f t="shared" si="5"/>
        <v>712</v>
      </c>
      <c r="AI20" s="285">
        <f t="shared" si="40"/>
        <v>19</v>
      </c>
      <c r="AJ20" s="286">
        <f>(AH20/'Finance Only'!B23)*100</f>
        <v>2.3415660867563393</v>
      </c>
      <c r="AK20" s="269">
        <f t="shared" si="88"/>
        <v>7694700</v>
      </c>
      <c r="AL20" s="269">
        <v>7701200</v>
      </c>
      <c r="AM20" s="270">
        <f t="shared" si="6"/>
        <v>6500</v>
      </c>
      <c r="AN20" s="285">
        <f t="shared" si="41"/>
        <v>1300</v>
      </c>
      <c r="AO20" s="286">
        <f>(AM20/'Finance Only'!B23)*100</f>
        <v>21.376656690893544</v>
      </c>
      <c r="AP20" s="269">
        <f t="shared" si="89"/>
        <v>1756000</v>
      </c>
      <c r="AQ20" s="269">
        <v>1757900</v>
      </c>
      <c r="AR20" s="270">
        <f t="shared" si="7"/>
        <v>1900</v>
      </c>
      <c r="AS20" s="285">
        <f t="shared" si="42"/>
        <v>-100</v>
      </c>
      <c r="AT20" s="286">
        <f>(AR20/'Finance Only'!B23)*100</f>
        <v>6.2485611865688826</v>
      </c>
      <c r="AU20" s="269">
        <f t="shared" si="8"/>
        <v>501035</v>
      </c>
      <c r="AV20" s="269">
        <v>501456</v>
      </c>
      <c r="AW20" s="270">
        <f t="shared" si="9"/>
        <v>421</v>
      </c>
      <c r="AX20" s="285">
        <f t="shared" si="43"/>
        <v>-413</v>
      </c>
      <c r="AY20" s="286">
        <f>(AW20/'Finance Only'!B23)*100</f>
        <v>1.3845496102871049</v>
      </c>
      <c r="AZ20" s="269">
        <f t="shared" si="10"/>
        <v>643680</v>
      </c>
      <c r="BA20" s="269">
        <v>644570</v>
      </c>
      <c r="BB20" s="270">
        <f t="shared" si="11"/>
        <v>890</v>
      </c>
      <c r="BC20" s="285">
        <f t="shared" si="44"/>
        <v>-100</v>
      </c>
      <c r="BD20" s="286">
        <f>(BB20/'Finance Only'!B23)*100</f>
        <v>2.9269576084454236</v>
      </c>
      <c r="BE20" s="269">
        <f t="shared" si="45"/>
        <v>741930</v>
      </c>
      <c r="BF20" s="269">
        <v>742870</v>
      </c>
      <c r="BG20" s="270">
        <f t="shared" si="12"/>
        <v>940</v>
      </c>
      <c r="BH20" s="285">
        <f t="shared" si="46"/>
        <v>-80</v>
      </c>
      <c r="BI20" s="286">
        <f>(BG20/'Finance Only'!B23)*100</f>
        <v>3.0913934291446048</v>
      </c>
      <c r="BJ20" s="269">
        <f t="shared" si="47"/>
        <v>1158800</v>
      </c>
      <c r="BK20" s="269">
        <v>1160200</v>
      </c>
      <c r="BL20" s="270">
        <f t="shared" si="13"/>
        <v>1400</v>
      </c>
      <c r="BM20" s="285">
        <f t="shared" si="48"/>
        <v>100</v>
      </c>
      <c r="BN20" s="286">
        <f>(BL20/'Finance Only'!B23)*100</f>
        <v>4.6042029795770709</v>
      </c>
      <c r="BO20" s="269">
        <f t="shared" si="49"/>
        <v>621660</v>
      </c>
      <c r="BP20" s="269">
        <v>623380</v>
      </c>
      <c r="BQ20" s="270">
        <f t="shared" si="14"/>
        <v>1720</v>
      </c>
      <c r="BR20" s="285">
        <f t="shared" si="50"/>
        <v>200</v>
      </c>
      <c r="BS20" s="286">
        <f>(BQ20/'Finance Only'!B23)*100</f>
        <v>5.65659223205183</v>
      </c>
      <c r="BT20" s="269">
        <f t="shared" si="51"/>
        <v>475930</v>
      </c>
      <c r="BU20" s="269">
        <v>477130</v>
      </c>
      <c r="BV20" s="270">
        <f t="shared" si="15"/>
        <v>1200</v>
      </c>
      <c r="BW20" s="285">
        <f t="shared" si="52"/>
        <v>40</v>
      </c>
      <c r="BX20" s="286">
        <f>(BV20/'Finance Only'!B23)*100</f>
        <v>3.9464596967803467</v>
      </c>
      <c r="BY20" s="269">
        <f t="shared" si="53"/>
        <v>1391400</v>
      </c>
      <c r="BZ20" s="269">
        <v>1396300</v>
      </c>
      <c r="CA20" s="270">
        <f t="shared" si="16"/>
        <v>4900</v>
      </c>
      <c r="CB20" s="285">
        <f t="shared" si="54"/>
        <v>1300</v>
      </c>
      <c r="CC20" s="286">
        <f>(CA20/'Finance Only'!B23)*100</f>
        <v>16.11471042851975</v>
      </c>
      <c r="CD20" s="269">
        <f t="shared" si="55"/>
        <v>642320</v>
      </c>
      <c r="CE20" s="269">
        <v>642800</v>
      </c>
      <c r="CF20" s="270">
        <f t="shared" si="17"/>
        <v>480</v>
      </c>
      <c r="CG20" s="285">
        <f t="shared" si="56"/>
        <v>480</v>
      </c>
      <c r="CH20" s="286">
        <f>(CF20/'Finance Only'!B23)*100</f>
        <v>1.5785838787121385</v>
      </c>
      <c r="CI20" s="270">
        <f t="shared" si="57"/>
        <v>0</v>
      </c>
      <c r="CJ20" s="270"/>
      <c r="CK20" s="270">
        <f t="shared" si="58"/>
        <v>0</v>
      </c>
      <c r="CL20" s="285">
        <f t="shared" si="59"/>
        <v>0</v>
      </c>
      <c r="CM20" s="286">
        <f>(CK20/'Finance Only'!B23)*100</f>
        <v>0</v>
      </c>
      <c r="CN20" s="269">
        <f t="shared" si="60"/>
        <v>0</v>
      </c>
      <c r="CO20" s="269"/>
      <c r="CP20" s="271">
        <f t="shared" si="18"/>
        <v>0</v>
      </c>
      <c r="CQ20" s="285">
        <f t="shared" si="61"/>
        <v>0</v>
      </c>
      <c r="CR20" s="286">
        <f>(CP20/'Finance Only'!B23)*100</f>
        <v>0</v>
      </c>
      <c r="CS20" s="269">
        <f t="shared" si="62"/>
        <v>0</v>
      </c>
      <c r="CT20" s="269"/>
      <c r="CU20" s="270">
        <f t="shared" si="19"/>
        <v>0</v>
      </c>
      <c r="CV20" s="285">
        <f t="shared" si="63"/>
        <v>0</v>
      </c>
      <c r="CW20" s="286">
        <f>(CU20/'Finance Only'!B23)*100</f>
        <v>0</v>
      </c>
      <c r="CX20" s="269">
        <f t="shared" si="64"/>
        <v>0</v>
      </c>
      <c r="CY20" s="269"/>
      <c r="CZ20" s="270">
        <f t="shared" si="20"/>
        <v>0</v>
      </c>
      <c r="DA20" s="285">
        <f t="shared" si="65"/>
        <v>0</v>
      </c>
      <c r="DB20" s="286">
        <f>(CZ20/'Finance Only'!B23)*100</f>
        <v>0</v>
      </c>
      <c r="DC20" s="269">
        <f t="shared" si="66"/>
        <v>0</v>
      </c>
      <c r="DD20" s="269"/>
      <c r="DE20" s="270">
        <f t="shared" si="21"/>
        <v>0</v>
      </c>
      <c r="DF20" s="285">
        <f t="shared" si="67"/>
        <v>0</v>
      </c>
      <c r="DG20" s="286">
        <f>(DE20/'Finance Only'!B23)*100</f>
        <v>0</v>
      </c>
      <c r="DH20" s="269">
        <f t="shared" si="68"/>
        <v>0</v>
      </c>
      <c r="DI20" s="269"/>
      <c r="DJ20" s="270">
        <f t="shared" si="22"/>
        <v>0</v>
      </c>
      <c r="DK20" s="285">
        <f t="shared" si="69"/>
        <v>0</v>
      </c>
      <c r="DL20" s="286">
        <f>(DJ20/'Finance Only'!B23)*100</f>
        <v>0</v>
      </c>
      <c r="DM20" s="269">
        <f t="shared" si="70"/>
        <v>0</v>
      </c>
      <c r="DN20" s="269"/>
      <c r="DO20" s="270">
        <f t="shared" si="23"/>
        <v>0</v>
      </c>
      <c r="DP20" s="285">
        <f t="shared" si="71"/>
        <v>0</v>
      </c>
      <c r="DQ20" s="286">
        <f>(DO20/'Finance Only'!B23)*100</f>
        <v>0</v>
      </c>
      <c r="DR20" s="269">
        <f t="shared" si="72"/>
        <v>0</v>
      </c>
      <c r="DS20" s="269"/>
      <c r="DT20" s="270">
        <f t="shared" si="24"/>
        <v>0</v>
      </c>
      <c r="DU20" s="285">
        <f t="shared" si="73"/>
        <v>0</v>
      </c>
      <c r="DV20" s="286">
        <f>(DT20/'Finance Only'!B23)*100</f>
        <v>0</v>
      </c>
      <c r="DW20" s="269">
        <f t="shared" si="74"/>
        <v>0</v>
      </c>
      <c r="DX20" s="269"/>
      <c r="DY20" s="270">
        <f t="shared" si="25"/>
        <v>0</v>
      </c>
      <c r="DZ20" s="285">
        <f t="shared" si="75"/>
        <v>0</v>
      </c>
      <c r="EA20" s="286">
        <f>(DY20/'Finance Only'!B23)*100</f>
        <v>0</v>
      </c>
      <c r="EB20" s="269">
        <f t="shared" si="76"/>
        <v>0</v>
      </c>
      <c r="EC20" s="269"/>
      <c r="ED20" s="270">
        <f t="shared" si="26"/>
        <v>0</v>
      </c>
      <c r="EE20" s="285">
        <f t="shared" si="77"/>
        <v>0</v>
      </c>
      <c r="EF20" s="286">
        <f>(ED20/'Finance Only'!B23)*100</f>
        <v>0</v>
      </c>
      <c r="EG20" s="269">
        <f t="shared" si="78"/>
        <v>0</v>
      </c>
      <c r="EH20" s="269"/>
      <c r="EI20" s="270">
        <f t="shared" si="27"/>
        <v>0</v>
      </c>
      <c r="EJ20" s="285">
        <f t="shared" si="79"/>
        <v>0</v>
      </c>
      <c r="EK20" s="286">
        <f>(EI20/'Finance Only'!B23)*100</f>
        <v>0</v>
      </c>
      <c r="EL20" s="269">
        <f t="shared" si="80"/>
        <v>0</v>
      </c>
      <c r="EM20" s="269"/>
      <c r="EN20" s="270">
        <f t="shared" si="28"/>
        <v>0</v>
      </c>
      <c r="EO20" s="285">
        <f t="shared" si="81"/>
        <v>0</v>
      </c>
      <c r="EP20" s="286">
        <f>(EN20/'Finance Only'!B23)*100</f>
        <v>0</v>
      </c>
      <c r="EQ20" s="269">
        <f t="shared" si="82"/>
        <v>0</v>
      </c>
      <c r="ER20" s="269"/>
      <c r="ES20" s="270">
        <f t="shared" si="29"/>
        <v>0</v>
      </c>
      <c r="ET20" s="285">
        <f t="shared" si="83"/>
        <v>0</v>
      </c>
      <c r="EU20" s="286">
        <f>(ES20/'Finance Only'!B23)*100</f>
        <v>0</v>
      </c>
    </row>
    <row r="21" spans="1:1085" s="3" customFormat="1" ht="13.5" customHeight="1" x14ac:dyDescent="0.2">
      <c r="A21" s="260">
        <v>17</v>
      </c>
      <c r="B21" s="267">
        <f t="shared" si="30"/>
        <v>25591624</v>
      </c>
      <c r="C21" s="267">
        <v>25595279</v>
      </c>
      <c r="D21" s="268">
        <f t="shared" si="0"/>
        <v>3655</v>
      </c>
      <c r="E21" s="281">
        <f t="shared" si="31"/>
        <v>-23</v>
      </c>
      <c r="F21" s="282">
        <f>(D21/'Finance Only'!B24)*100</f>
        <v>11.815478114695804</v>
      </c>
      <c r="G21" s="294">
        <f t="shared" si="84"/>
        <v>22659290</v>
      </c>
      <c r="H21" s="267">
        <v>22665414</v>
      </c>
      <c r="I21" s="267">
        <f t="shared" si="32"/>
        <v>6124</v>
      </c>
      <c r="J21" s="295">
        <f t="shared" si="33"/>
        <v>-33</v>
      </c>
      <c r="K21" s="296">
        <f>(I21/'Finance Only'!B24)*100</f>
        <v>19.796987133897975</v>
      </c>
      <c r="L21" s="277">
        <f>M20</f>
        <v>85661653</v>
      </c>
      <c r="M21" s="269">
        <v>85675925</v>
      </c>
      <c r="N21" s="270">
        <f t="shared" si="1"/>
        <v>14272</v>
      </c>
      <c r="O21" s="285">
        <f t="shared" si="35"/>
        <v>-51</v>
      </c>
      <c r="P21" s="286">
        <f>(N21/'Finance Only'!B24)*100</f>
        <v>46.136936703950347</v>
      </c>
      <c r="Q21" s="276">
        <f t="shared" si="85"/>
        <v>1999500</v>
      </c>
      <c r="R21" s="269">
        <v>2001600</v>
      </c>
      <c r="S21" s="270">
        <f t="shared" si="2"/>
        <v>2100</v>
      </c>
      <c r="T21" s="285">
        <f t="shared" si="36"/>
        <v>0</v>
      </c>
      <c r="U21" s="286">
        <f>(S21/'Finance Only'!B24)*100</f>
        <v>6.7886467964052493</v>
      </c>
      <c r="V21" s="269">
        <f>W20</f>
        <v>2706414</v>
      </c>
      <c r="W21" s="269">
        <v>2709318</v>
      </c>
      <c r="X21" s="270">
        <f t="shared" si="3"/>
        <v>2904</v>
      </c>
      <c r="Y21" s="285">
        <f t="shared" si="37"/>
        <v>140</v>
      </c>
      <c r="Z21" s="286">
        <f>(X21/'Finance Only'!B24)*100</f>
        <v>9.3877287127432592</v>
      </c>
      <c r="AA21" s="269">
        <f t="shared" si="38"/>
        <v>1648000</v>
      </c>
      <c r="AB21" s="269">
        <v>1649400</v>
      </c>
      <c r="AC21" s="270">
        <f t="shared" si="4"/>
        <v>1400</v>
      </c>
      <c r="AD21" s="285">
        <f t="shared" si="39"/>
        <v>-300</v>
      </c>
      <c r="AE21" s="286">
        <f>(AC21/'Finance Only'!B24)*100</f>
        <v>4.5257645309368337</v>
      </c>
      <c r="AF21" s="269">
        <f>AG20</f>
        <v>746534</v>
      </c>
      <c r="AG21" s="269">
        <v>747157</v>
      </c>
      <c r="AH21" s="270">
        <f t="shared" si="5"/>
        <v>623</v>
      </c>
      <c r="AI21" s="285">
        <f t="shared" si="40"/>
        <v>-89</v>
      </c>
      <c r="AJ21" s="286">
        <f>(AH21/'Finance Only'!B24)*100</f>
        <v>2.0139652162668908</v>
      </c>
      <c r="AK21" s="269">
        <f>AL20</f>
        <v>7701200</v>
      </c>
      <c r="AL21" s="269">
        <v>7707600</v>
      </c>
      <c r="AM21" s="270">
        <f t="shared" si="6"/>
        <v>6400</v>
      </c>
      <c r="AN21" s="285">
        <f t="shared" si="41"/>
        <v>-100</v>
      </c>
      <c r="AO21" s="286">
        <f>(AM21/'Finance Only'!B24)*100</f>
        <v>20.689209284282668</v>
      </c>
      <c r="AP21" s="269">
        <f>AQ20</f>
        <v>1757900</v>
      </c>
      <c r="AQ21" s="269">
        <v>1759900</v>
      </c>
      <c r="AR21" s="270">
        <f t="shared" si="7"/>
        <v>2000</v>
      </c>
      <c r="AS21" s="285">
        <f t="shared" si="42"/>
        <v>100</v>
      </c>
      <c r="AT21" s="286">
        <f>(AR21/'Finance Only'!B24)*100</f>
        <v>6.465377901338333</v>
      </c>
      <c r="AU21" s="269">
        <f t="shared" si="8"/>
        <v>501456</v>
      </c>
      <c r="AV21" s="269">
        <v>501920</v>
      </c>
      <c r="AW21" s="270">
        <f t="shared" si="9"/>
        <v>464</v>
      </c>
      <c r="AX21" s="285">
        <f t="shared" si="43"/>
        <v>43</v>
      </c>
      <c r="AY21" s="286">
        <f>(AW21/'Finance Only'!B24)*100</f>
        <v>1.4999676731104934</v>
      </c>
      <c r="AZ21" s="269">
        <f t="shared" si="10"/>
        <v>644570</v>
      </c>
      <c r="BA21" s="269">
        <v>644570</v>
      </c>
      <c r="BB21" s="270">
        <f t="shared" si="11"/>
        <v>0</v>
      </c>
      <c r="BC21" s="285">
        <f t="shared" si="44"/>
        <v>-890</v>
      </c>
      <c r="BD21" s="286">
        <f>(BB21/'Finance Only'!B24)*100</f>
        <v>0</v>
      </c>
      <c r="BE21" s="269">
        <f t="shared" si="45"/>
        <v>742870</v>
      </c>
      <c r="BF21" s="269">
        <v>743830</v>
      </c>
      <c r="BG21" s="270">
        <f t="shared" si="12"/>
        <v>960</v>
      </c>
      <c r="BH21" s="285">
        <f t="shared" si="46"/>
        <v>20</v>
      </c>
      <c r="BI21" s="286">
        <f>(BG21/'Finance Only'!B24)*100</f>
        <v>3.1033813926424001</v>
      </c>
      <c r="BJ21" s="269">
        <f t="shared" si="47"/>
        <v>1160200</v>
      </c>
      <c r="BK21" s="269">
        <v>1161600</v>
      </c>
      <c r="BL21" s="270">
        <f t="shared" si="13"/>
        <v>1400</v>
      </c>
      <c r="BM21" s="285">
        <f t="shared" si="48"/>
        <v>0</v>
      </c>
      <c r="BN21" s="286">
        <f>(BL21/'Finance Only'!B24)*100</f>
        <v>4.5257645309368337</v>
      </c>
      <c r="BO21" s="269">
        <f t="shared" si="49"/>
        <v>623380</v>
      </c>
      <c r="BP21" s="269">
        <v>623380</v>
      </c>
      <c r="BQ21" s="270">
        <f t="shared" si="14"/>
        <v>0</v>
      </c>
      <c r="BR21" s="285">
        <f t="shared" si="50"/>
        <v>-1720</v>
      </c>
      <c r="BS21" s="286">
        <f>(BQ21/'Finance Only'!B24)*100</f>
        <v>0</v>
      </c>
      <c r="BT21" s="269">
        <f t="shared" si="51"/>
        <v>477130</v>
      </c>
      <c r="BU21" s="269">
        <v>478340</v>
      </c>
      <c r="BV21" s="270">
        <f t="shared" si="15"/>
        <v>1210</v>
      </c>
      <c r="BW21" s="285">
        <f t="shared" si="52"/>
        <v>10</v>
      </c>
      <c r="BX21" s="286">
        <f>(BV21/'Finance Only'!B24)*100</f>
        <v>3.9115536303096916</v>
      </c>
      <c r="BY21" s="269">
        <f t="shared" si="53"/>
        <v>1396300</v>
      </c>
      <c r="BZ21" s="269">
        <v>1400500</v>
      </c>
      <c r="CA21" s="270">
        <f t="shared" si="16"/>
        <v>4200</v>
      </c>
      <c r="CB21" s="285">
        <f t="shared" si="54"/>
        <v>-700</v>
      </c>
      <c r="CC21" s="286">
        <f>(CA21/'Finance Only'!B24)*100</f>
        <v>13.577293592810499</v>
      </c>
      <c r="CD21" s="269">
        <f t="shared" si="55"/>
        <v>642800</v>
      </c>
      <c r="CE21" s="269">
        <v>645290</v>
      </c>
      <c r="CF21" s="270">
        <f t="shared" si="17"/>
        <v>2490</v>
      </c>
      <c r="CG21" s="285">
        <f t="shared" si="56"/>
        <v>2010</v>
      </c>
      <c r="CH21" s="286">
        <f>(CF21/'Finance Only'!B24)*100</f>
        <v>8.0493954871662243</v>
      </c>
      <c r="CI21" s="270">
        <f t="shared" si="57"/>
        <v>0</v>
      </c>
      <c r="CJ21" s="270"/>
      <c r="CK21" s="270">
        <f t="shared" si="58"/>
        <v>0</v>
      </c>
      <c r="CL21" s="285">
        <f t="shared" si="59"/>
        <v>0</v>
      </c>
      <c r="CM21" s="286">
        <f>(CK21/'Finance Only'!B24)*100</f>
        <v>0</v>
      </c>
      <c r="CN21" s="269">
        <f t="shared" si="60"/>
        <v>0</v>
      </c>
      <c r="CO21" s="269"/>
      <c r="CP21" s="271">
        <f t="shared" si="18"/>
        <v>0</v>
      </c>
      <c r="CQ21" s="285">
        <f t="shared" si="61"/>
        <v>0</v>
      </c>
      <c r="CR21" s="286">
        <f>(CP21/'Finance Only'!B24)*100</f>
        <v>0</v>
      </c>
      <c r="CS21" s="269">
        <f t="shared" si="62"/>
        <v>0</v>
      </c>
      <c r="CT21" s="269"/>
      <c r="CU21" s="270">
        <f t="shared" si="19"/>
        <v>0</v>
      </c>
      <c r="CV21" s="285">
        <f t="shared" si="63"/>
        <v>0</v>
      </c>
      <c r="CW21" s="286">
        <f>(CU21/'Finance Only'!B24)*100</f>
        <v>0</v>
      </c>
      <c r="CX21" s="269">
        <f t="shared" si="64"/>
        <v>0</v>
      </c>
      <c r="CY21" s="269"/>
      <c r="CZ21" s="270">
        <f>CY21-CX21</f>
        <v>0</v>
      </c>
      <c r="DA21" s="285">
        <f t="shared" si="65"/>
        <v>0</v>
      </c>
      <c r="DB21" s="286">
        <f>(CZ21/'Finance Only'!B24)*100</f>
        <v>0</v>
      </c>
      <c r="DC21" s="269">
        <f t="shared" si="66"/>
        <v>0</v>
      </c>
      <c r="DD21" s="269"/>
      <c r="DE21" s="270">
        <f t="shared" si="21"/>
        <v>0</v>
      </c>
      <c r="DF21" s="285">
        <f t="shared" si="67"/>
        <v>0</v>
      </c>
      <c r="DG21" s="286">
        <f>(DE21/'Finance Only'!B24)*100</f>
        <v>0</v>
      </c>
      <c r="DH21" s="269">
        <f t="shared" si="68"/>
        <v>0</v>
      </c>
      <c r="DI21" s="269"/>
      <c r="DJ21" s="270">
        <f t="shared" si="22"/>
        <v>0</v>
      </c>
      <c r="DK21" s="285">
        <f t="shared" si="69"/>
        <v>0</v>
      </c>
      <c r="DL21" s="286">
        <f>(DJ21/'Finance Only'!B24)*100</f>
        <v>0</v>
      </c>
      <c r="DM21" s="269">
        <f t="shared" si="70"/>
        <v>0</v>
      </c>
      <c r="DN21" s="269"/>
      <c r="DO21" s="270">
        <f t="shared" si="23"/>
        <v>0</v>
      </c>
      <c r="DP21" s="285">
        <f t="shared" si="71"/>
        <v>0</v>
      </c>
      <c r="DQ21" s="286">
        <f>(DO21/'Finance Only'!B24)*100</f>
        <v>0</v>
      </c>
      <c r="DR21" s="269">
        <f t="shared" si="72"/>
        <v>0</v>
      </c>
      <c r="DS21" s="269"/>
      <c r="DT21" s="270">
        <f t="shared" si="24"/>
        <v>0</v>
      </c>
      <c r="DU21" s="285">
        <f t="shared" si="73"/>
        <v>0</v>
      </c>
      <c r="DV21" s="286">
        <f>(DT21/'Finance Only'!B24)*100</f>
        <v>0</v>
      </c>
      <c r="DW21" s="269">
        <f t="shared" si="74"/>
        <v>0</v>
      </c>
      <c r="DX21" s="269"/>
      <c r="DY21" s="270">
        <f t="shared" si="25"/>
        <v>0</v>
      </c>
      <c r="DZ21" s="285">
        <f t="shared" si="75"/>
        <v>0</v>
      </c>
      <c r="EA21" s="286">
        <f>(DY21/'Finance Only'!B24)*100</f>
        <v>0</v>
      </c>
      <c r="EB21" s="269">
        <f t="shared" si="76"/>
        <v>0</v>
      </c>
      <c r="EC21" s="269"/>
      <c r="ED21" s="270">
        <f t="shared" si="26"/>
        <v>0</v>
      </c>
      <c r="EE21" s="285">
        <f t="shared" si="77"/>
        <v>0</v>
      </c>
      <c r="EF21" s="286">
        <f>(ED21/'Finance Only'!B24)*100</f>
        <v>0</v>
      </c>
      <c r="EG21" s="269">
        <f t="shared" si="78"/>
        <v>0</v>
      </c>
      <c r="EH21" s="269"/>
      <c r="EI21" s="270">
        <f t="shared" si="27"/>
        <v>0</v>
      </c>
      <c r="EJ21" s="285">
        <f t="shared" si="79"/>
        <v>0</v>
      </c>
      <c r="EK21" s="286">
        <f>(EI21/'Finance Only'!B24)*100</f>
        <v>0</v>
      </c>
      <c r="EL21" s="269">
        <f t="shared" si="80"/>
        <v>0</v>
      </c>
      <c r="EM21" s="269"/>
      <c r="EN21" s="270">
        <f t="shared" si="28"/>
        <v>0</v>
      </c>
      <c r="EO21" s="285">
        <f t="shared" si="81"/>
        <v>0</v>
      </c>
      <c r="EP21" s="286">
        <f>(EN21/'Finance Only'!B24)*100</f>
        <v>0</v>
      </c>
      <c r="EQ21" s="269">
        <f t="shared" si="82"/>
        <v>0</v>
      </c>
      <c r="ER21" s="269"/>
      <c r="ES21" s="270">
        <f t="shared" si="29"/>
        <v>0</v>
      </c>
      <c r="ET21" s="285">
        <f t="shared" si="83"/>
        <v>0</v>
      </c>
      <c r="EU21" s="286">
        <f>(ES21/'Finance Only'!B24)*100</f>
        <v>0</v>
      </c>
    </row>
    <row r="22" spans="1:1085" s="3" customFormat="1" ht="13.5" customHeight="1" x14ac:dyDescent="0.2">
      <c r="A22" s="260">
        <v>18</v>
      </c>
      <c r="B22" s="267">
        <f t="shared" si="30"/>
        <v>25595279</v>
      </c>
      <c r="C22" s="267">
        <v>25599085</v>
      </c>
      <c r="D22" s="268">
        <f t="shared" si="0"/>
        <v>3806</v>
      </c>
      <c r="E22" s="281">
        <f t="shared" si="31"/>
        <v>151</v>
      </c>
      <c r="F22" s="282">
        <f>(D22/'Finance Only'!B25)*100</f>
        <v>12.452966004646141</v>
      </c>
      <c r="G22" s="294">
        <f t="shared" si="84"/>
        <v>22665414</v>
      </c>
      <c r="H22" s="267">
        <v>22671704</v>
      </c>
      <c r="I22" s="267">
        <f t="shared" si="32"/>
        <v>6290</v>
      </c>
      <c r="J22" s="295">
        <f t="shared" si="33"/>
        <v>166</v>
      </c>
      <c r="K22" s="296">
        <f>(I22/'Finance Only'!B25)*100</f>
        <v>20.58044040179302</v>
      </c>
      <c r="L22" s="277">
        <f>M21</f>
        <v>85675925</v>
      </c>
      <c r="M22" s="269">
        <v>85690840</v>
      </c>
      <c r="N22" s="270">
        <f t="shared" si="1"/>
        <v>14915</v>
      </c>
      <c r="O22" s="285">
        <f t="shared" si="35"/>
        <v>643</v>
      </c>
      <c r="P22" s="286">
        <f>(N22/'Finance Only'!B25)*100</f>
        <v>48.800837614108559</v>
      </c>
      <c r="Q22" s="276">
        <f t="shared" si="85"/>
        <v>2001600</v>
      </c>
      <c r="R22" s="269">
        <v>2003800</v>
      </c>
      <c r="S22" s="270">
        <f t="shared" si="2"/>
        <v>2200</v>
      </c>
      <c r="T22" s="285">
        <f t="shared" si="36"/>
        <v>100</v>
      </c>
      <c r="U22" s="286">
        <f>(S22/'Finance Only'!B25)*100</f>
        <v>7.1982462454601963</v>
      </c>
      <c r="V22" s="269">
        <f>W21</f>
        <v>2709318</v>
      </c>
      <c r="W22" s="269">
        <v>2712143</v>
      </c>
      <c r="X22" s="270">
        <f t="shared" si="3"/>
        <v>2825</v>
      </c>
      <c r="Y22" s="285">
        <f t="shared" si="37"/>
        <v>-79</v>
      </c>
      <c r="Z22" s="286">
        <f>(X22/'Finance Only'!B25)*100</f>
        <v>9.2432025651932079</v>
      </c>
      <c r="AA22" s="269">
        <f t="shared" si="38"/>
        <v>1649400</v>
      </c>
      <c r="AB22" s="269">
        <v>1651000</v>
      </c>
      <c r="AC22" s="270">
        <f t="shared" si="4"/>
        <v>1600</v>
      </c>
      <c r="AD22" s="285">
        <f t="shared" si="39"/>
        <v>200</v>
      </c>
      <c r="AE22" s="286">
        <f>(AC22/'Finance Only'!B25)*100</f>
        <v>5.2350881785165067</v>
      </c>
      <c r="AF22" s="269">
        <f>AG21</f>
        <v>747157</v>
      </c>
      <c r="AG22" s="269">
        <v>747827</v>
      </c>
      <c r="AH22" s="270">
        <f t="shared" si="5"/>
        <v>670</v>
      </c>
      <c r="AI22" s="285">
        <f t="shared" si="40"/>
        <v>47</v>
      </c>
      <c r="AJ22" s="286">
        <f>(AH22/'Finance Only'!B25)*100</f>
        <v>2.1921931747537875</v>
      </c>
      <c r="AK22" s="269">
        <f>AL21</f>
        <v>7707600</v>
      </c>
      <c r="AL22" s="269">
        <v>7714100</v>
      </c>
      <c r="AM22" s="270">
        <f t="shared" si="6"/>
        <v>6500</v>
      </c>
      <c r="AN22" s="285">
        <f t="shared" si="41"/>
        <v>100</v>
      </c>
      <c r="AO22" s="286">
        <f>(AM22/'Finance Only'!B25)*100</f>
        <v>21.267545725223307</v>
      </c>
      <c r="AP22" s="269">
        <f>AQ21</f>
        <v>1759900</v>
      </c>
      <c r="AQ22" s="269">
        <v>1761300</v>
      </c>
      <c r="AR22" s="270">
        <f t="shared" si="7"/>
        <v>1400</v>
      </c>
      <c r="AS22" s="285">
        <f t="shared" si="42"/>
        <v>-600</v>
      </c>
      <c r="AT22" s="286">
        <f>(AR22/'Finance Only'!B25)*100</f>
        <v>4.5807021562019434</v>
      </c>
      <c r="AU22" s="269">
        <f t="shared" si="8"/>
        <v>501920</v>
      </c>
      <c r="AV22" s="269">
        <v>502366</v>
      </c>
      <c r="AW22" s="270">
        <f t="shared" si="9"/>
        <v>446</v>
      </c>
      <c r="AX22" s="285">
        <f t="shared" si="43"/>
        <v>-18</v>
      </c>
      <c r="AY22" s="286">
        <f>(AW22/'Finance Only'!B25)*100</f>
        <v>1.4592808297614763</v>
      </c>
      <c r="AZ22" s="269">
        <f t="shared" si="10"/>
        <v>644570</v>
      </c>
      <c r="BA22" s="269">
        <v>645450</v>
      </c>
      <c r="BB22" s="270">
        <f t="shared" si="11"/>
        <v>880</v>
      </c>
      <c r="BC22" s="285">
        <f t="shared" si="44"/>
        <v>880</v>
      </c>
      <c r="BD22" s="286">
        <f>(BB22/'Finance Only'!B25)*100</f>
        <v>2.8792984981840788</v>
      </c>
      <c r="BE22" s="269">
        <f t="shared" si="45"/>
        <v>743830</v>
      </c>
      <c r="BF22" s="269">
        <v>744820</v>
      </c>
      <c r="BG22" s="270">
        <f t="shared" si="12"/>
        <v>990</v>
      </c>
      <c r="BH22" s="285">
        <f t="shared" si="46"/>
        <v>30</v>
      </c>
      <c r="BI22" s="286">
        <f>(BG22/'Finance Only'!B25)*100</f>
        <v>3.2392108104570889</v>
      </c>
      <c r="BJ22" s="269">
        <f t="shared" si="47"/>
        <v>1161600</v>
      </c>
      <c r="BK22" s="269">
        <v>1163100</v>
      </c>
      <c r="BL22" s="270">
        <f t="shared" si="13"/>
        <v>1500</v>
      </c>
      <c r="BM22" s="285">
        <f t="shared" si="48"/>
        <v>100</v>
      </c>
      <c r="BN22" s="286">
        <f>(BL22/'Finance Only'!B25)*100</f>
        <v>4.907895167359225</v>
      </c>
      <c r="BO22" s="269">
        <f t="shared" si="49"/>
        <v>623380</v>
      </c>
      <c r="BP22" s="269">
        <v>624900</v>
      </c>
      <c r="BQ22" s="270">
        <f t="shared" si="14"/>
        <v>1520</v>
      </c>
      <c r="BR22" s="285">
        <f t="shared" si="50"/>
        <v>1520</v>
      </c>
      <c r="BS22" s="286">
        <f>(BQ22/'Finance Only'!B25)*100</f>
        <v>4.9733337695906812</v>
      </c>
      <c r="BT22" s="269">
        <f t="shared" si="51"/>
        <v>478340</v>
      </c>
      <c r="BU22" s="269">
        <v>479590</v>
      </c>
      <c r="BV22" s="270">
        <f t="shared" si="15"/>
        <v>1250</v>
      </c>
      <c r="BW22" s="285">
        <f t="shared" si="52"/>
        <v>40</v>
      </c>
      <c r="BX22" s="286">
        <f>(BV22/'Finance Only'!B25)*100</f>
        <v>4.0899126394660206</v>
      </c>
      <c r="BY22" s="269">
        <f t="shared" si="53"/>
        <v>1400500</v>
      </c>
      <c r="BZ22" s="269">
        <v>1405500</v>
      </c>
      <c r="CA22" s="270">
        <f t="shared" si="16"/>
        <v>5000</v>
      </c>
      <c r="CB22" s="285">
        <f t="shared" si="54"/>
        <v>800</v>
      </c>
      <c r="CC22" s="286">
        <f>(CA22/'Finance Only'!B25)*100</f>
        <v>16.359650557864082</v>
      </c>
      <c r="CD22" s="269">
        <f t="shared" si="55"/>
        <v>645290</v>
      </c>
      <c r="CE22" s="269">
        <v>645790</v>
      </c>
      <c r="CF22" s="270">
        <f t="shared" si="17"/>
        <v>500</v>
      </c>
      <c r="CG22" s="285">
        <f t="shared" si="56"/>
        <v>-1990</v>
      </c>
      <c r="CH22" s="286">
        <f>(CF22/'Finance Only'!B25)*100</f>
        <v>1.6359650557864085</v>
      </c>
      <c r="CI22" s="270">
        <f t="shared" si="57"/>
        <v>0</v>
      </c>
      <c r="CJ22" s="270"/>
      <c r="CK22" s="270">
        <f t="shared" si="58"/>
        <v>0</v>
      </c>
      <c r="CL22" s="285">
        <f t="shared" si="59"/>
        <v>0</v>
      </c>
      <c r="CM22" s="286">
        <f>(CK22/'Finance Only'!B25)*100</f>
        <v>0</v>
      </c>
      <c r="CN22" s="269">
        <f t="shared" si="60"/>
        <v>0</v>
      </c>
      <c r="CO22" s="269"/>
      <c r="CP22" s="271">
        <f t="shared" si="18"/>
        <v>0</v>
      </c>
      <c r="CQ22" s="285">
        <f t="shared" si="61"/>
        <v>0</v>
      </c>
      <c r="CR22" s="286">
        <f>(CP22/'Finance Only'!B25)*100</f>
        <v>0</v>
      </c>
      <c r="CS22" s="269">
        <f t="shared" si="62"/>
        <v>0</v>
      </c>
      <c r="CT22" s="269"/>
      <c r="CU22" s="270">
        <f t="shared" si="19"/>
        <v>0</v>
      </c>
      <c r="CV22" s="285">
        <f t="shared" si="63"/>
        <v>0</v>
      </c>
      <c r="CW22" s="286">
        <f>(CU22/'Finance Only'!B25)*100</f>
        <v>0</v>
      </c>
      <c r="CX22" s="269">
        <f>CY21</f>
        <v>0</v>
      </c>
      <c r="CY22" s="269"/>
      <c r="CZ22" s="270">
        <f>CY22-CX22</f>
        <v>0</v>
      </c>
      <c r="DA22" s="285">
        <f t="shared" si="65"/>
        <v>0</v>
      </c>
      <c r="DB22" s="286">
        <f>(CZ22/'Finance Only'!B25)*100</f>
        <v>0</v>
      </c>
      <c r="DC22" s="269">
        <f t="shared" si="66"/>
        <v>0</v>
      </c>
      <c r="DD22" s="269"/>
      <c r="DE22" s="270">
        <f t="shared" si="21"/>
        <v>0</v>
      </c>
      <c r="DF22" s="285">
        <f t="shared" si="67"/>
        <v>0</v>
      </c>
      <c r="DG22" s="286">
        <f>(DE22/'Finance Only'!B25)*100</f>
        <v>0</v>
      </c>
      <c r="DH22" s="269">
        <f t="shared" si="68"/>
        <v>0</v>
      </c>
      <c r="DI22" s="269"/>
      <c r="DJ22" s="270">
        <f t="shared" si="22"/>
        <v>0</v>
      </c>
      <c r="DK22" s="285">
        <f t="shared" si="69"/>
        <v>0</v>
      </c>
      <c r="DL22" s="286">
        <f>(DJ22/'Finance Only'!B25)*100</f>
        <v>0</v>
      </c>
      <c r="DM22" s="269">
        <f t="shared" si="70"/>
        <v>0</v>
      </c>
      <c r="DN22" s="269"/>
      <c r="DO22" s="270">
        <f t="shared" si="23"/>
        <v>0</v>
      </c>
      <c r="DP22" s="285">
        <f t="shared" si="71"/>
        <v>0</v>
      </c>
      <c r="DQ22" s="286">
        <f>(DO22/'Finance Only'!B25)*100</f>
        <v>0</v>
      </c>
      <c r="DR22" s="269">
        <f t="shared" si="72"/>
        <v>0</v>
      </c>
      <c r="DS22" s="269"/>
      <c r="DT22" s="270">
        <f t="shared" si="24"/>
        <v>0</v>
      </c>
      <c r="DU22" s="285">
        <f t="shared" si="73"/>
        <v>0</v>
      </c>
      <c r="DV22" s="286">
        <f>(DT22/'Finance Only'!B25)*100</f>
        <v>0</v>
      </c>
      <c r="DW22" s="269">
        <f t="shared" si="74"/>
        <v>0</v>
      </c>
      <c r="DX22" s="269"/>
      <c r="DY22" s="270">
        <f t="shared" si="25"/>
        <v>0</v>
      </c>
      <c r="DZ22" s="285">
        <f t="shared" si="75"/>
        <v>0</v>
      </c>
      <c r="EA22" s="286">
        <f>(DY22/'Finance Only'!B25)*100</f>
        <v>0</v>
      </c>
      <c r="EB22" s="269">
        <f t="shared" si="76"/>
        <v>0</v>
      </c>
      <c r="EC22" s="269"/>
      <c r="ED22" s="270">
        <f t="shared" si="26"/>
        <v>0</v>
      </c>
      <c r="EE22" s="285">
        <f t="shared" si="77"/>
        <v>0</v>
      </c>
      <c r="EF22" s="286">
        <f>(ED22/'Finance Only'!B25)*100</f>
        <v>0</v>
      </c>
      <c r="EG22" s="269">
        <f t="shared" si="78"/>
        <v>0</v>
      </c>
      <c r="EH22" s="269"/>
      <c r="EI22" s="270">
        <f t="shared" si="27"/>
        <v>0</v>
      </c>
      <c r="EJ22" s="285">
        <f t="shared" si="79"/>
        <v>0</v>
      </c>
      <c r="EK22" s="286">
        <f>(EI22/'Finance Only'!B25)*100</f>
        <v>0</v>
      </c>
      <c r="EL22" s="269">
        <f t="shared" si="80"/>
        <v>0</v>
      </c>
      <c r="EM22" s="269"/>
      <c r="EN22" s="270">
        <f t="shared" si="28"/>
        <v>0</v>
      </c>
      <c r="EO22" s="285">
        <f t="shared" si="81"/>
        <v>0</v>
      </c>
      <c r="EP22" s="286">
        <f>(EN22/'Finance Only'!B25)*100</f>
        <v>0</v>
      </c>
      <c r="EQ22" s="269">
        <f t="shared" si="82"/>
        <v>0</v>
      </c>
      <c r="ER22" s="272"/>
      <c r="ES22" s="270">
        <f t="shared" si="29"/>
        <v>0</v>
      </c>
      <c r="ET22" s="285">
        <f t="shared" si="83"/>
        <v>0</v>
      </c>
      <c r="EU22" s="286">
        <f>(ES22/'Finance Only'!B25)*100</f>
        <v>0</v>
      </c>
    </row>
    <row r="23" spans="1:1085" s="3" customFormat="1" ht="13.5" customHeight="1" x14ac:dyDescent="0.2">
      <c r="A23" s="260">
        <v>19</v>
      </c>
      <c r="B23" s="267">
        <f t="shared" si="30"/>
        <v>25599085</v>
      </c>
      <c r="C23" s="267">
        <v>25602913</v>
      </c>
      <c r="D23" s="268">
        <f t="shared" si="0"/>
        <v>3828</v>
      </c>
      <c r="E23" s="281">
        <f t="shared" si="31"/>
        <v>22</v>
      </c>
      <c r="F23" s="282">
        <f>(D23/'Finance Only'!B26)*100</f>
        <v>12.60620430744912</v>
      </c>
      <c r="G23" s="294">
        <f t="shared" si="84"/>
        <v>22671704</v>
      </c>
      <c r="H23" s="267">
        <v>22677318</v>
      </c>
      <c r="I23" s="267">
        <f t="shared" si="32"/>
        <v>5614</v>
      </c>
      <c r="J23" s="295">
        <f t="shared" si="33"/>
        <v>-676</v>
      </c>
      <c r="K23" s="296">
        <f>(I23/'Finance Only'!B26)*100</f>
        <v>18.487782388197328</v>
      </c>
      <c r="L23" s="277">
        <f>M22</f>
        <v>85690840</v>
      </c>
      <c r="M23" s="269">
        <v>85705893</v>
      </c>
      <c r="N23" s="270">
        <f t="shared" si="1"/>
        <v>15053</v>
      </c>
      <c r="O23" s="285">
        <f t="shared" si="35"/>
        <v>138</v>
      </c>
      <c r="P23" s="286">
        <f>(N23/'Finance Only'!B26)*100</f>
        <v>49.571889613383391</v>
      </c>
      <c r="Q23" s="276">
        <f t="shared" si="85"/>
        <v>2003800</v>
      </c>
      <c r="R23" s="269">
        <v>2005800</v>
      </c>
      <c r="S23" s="270">
        <f t="shared" si="2"/>
        <v>2000</v>
      </c>
      <c r="T23" s="285">
        <f t="shared" si="36"/>
        <v>-200</v>
      </c>
      <c r="U23" s="286">
        <f>(S23/'Finance Only'!B26)*100</f>
        <v>6.5863136402555496</v>
      </c>
      <c r="V23" s="269">
        <f>W22</f>
        <v>2712143</v>
      </c>
      <c r="W23" s="269">
        <v>2714919</v>
      </c>
      <c r="X23" s="270">
        <f t="shared" si="3"/>
        <v>2776</v>
      </c>
      <c r="Y23" s="285">
        <f t="shared" si="37"/>
        <v>-49</v>
      </c>
      <c r="Z23" s="286">
        <f>(X23/'Finance Only'!B26)*100</f>
        <v>9.1418033326747015</v>
      </c>
      <c r="AA23" s="269">
        <f t="shared" si="38"/>
        <v>1651000</v>
      </c>
      <c r="AB23" s="269">
        <v>1653200</v>
      </c>
      <c r="AC23" s="270">
        <f t="shared" si="4"/>
        <v>2200</v>
      </c>
      <c r="AD23" s="285">
        <f t="shared" si="39"/>
        <v>600</v>
      </c>
      <c r="AE23" s="286">
        <f>(AC23/'Finance Only'!B26)*100</f>
        <v>7.2449450042811048</v>
      </c>
      <c r="AF23" s="269">
        <f>AG22</f>
        <v>747827</v>
      </c>
      <c r="AG23" s="269">
        <v>748540</v>
      </c>
      <c r="AH23" s="270">
        <f t="shared" si="5"/>
        <v>713</v>
      </c>
      <c r="AI23" s="285">
        <f t="shared" si="40"/>
        <v>43</v>
      </c>
      <c r="AJ23" s="286">
        <f>(AH23/'Finance Only'!B26)*100</f>
        <v>2.3480208127511033</v>
      </c>
      <c r="AK23" s="269">
        <f>AL22</f>
        <v>7714100</v>
      </c>
      <c r="AL23" s="269">
        <v>7720500</v>
      </c>
      <c r="AM23" s="270">
        <f t="shared" si="6"/>
        <v>6400</v>
      </c>
      <c r="AN23" s="285">
        <f t="shared" si="41"/>
        <v>-100</v>
      </c>
      <c r="AO23" s="286">
        <f>(AM23/'Finance Only'!B26)*100</f>
        <v>21.076203648817756</v>
      </c>
      <c r="AP23" s="269">
        <f>AQ22</f>
        <v>1761300</v>
      </c>
      <c r="AQ23" s="269">
        <v>1762700</v>
      </c>
      <c r="AR23" s="270">
        <f t="shared" si="7"/>
        <v>1400</v>
      </c>
      <c r="AS23" s="285">
        <f t="shared" si="42"/>
        <v>0</v>
      </c>
      <c r="AT23" s="286">
        <f>(AR23/'Finance Only'!B26)*100</f>
        <v>4.6104195481788848</v>
      </c>
      <c r="AU23" s="269">
        <f t="shared" si="8"/>
        <v>502366</v>
      </c>
      <c r="AV23" s="269">
        <v>502823</v>
      </c>
      <c r="AW23" s="270">
        <f t="shared" si="9"/>
        <v>457</v>
      </c>
      <c r="AX23" s="285">
        <f t="shared" si="43"/>
        <v>11</v>
      </c>
      <c r="AY23" s="286">
        <f>(AW23/'Finance Only'!B26)*100</f>
        <v>1.5049726667983929</v>
      </c>
      <c r="AZ23" s="269">
        <f t="shared" si="10"/>
        <v>645450</v>
      </c>
      <c r="BA23" s="269">
        <v>646420</v>
      </c>
      <c r="BB23" s="270">
        <f t="shared" si="11"/>
        <v>970</v>
      </c>
      <c r="BC23" s="285">
        <f t="shared" si="44"/>
        <v>90</v>
      </c>
      <c r="BD23" s="286">
        <f>(BB23/'Finance Only'!B26)*100</f>
        <v>3.194362115523941</v>
      </c>
      <c r="BE23" s="269">
        <f t="shared" si="45"/>
        <v>744820</v>
      </c>
      <c r="BF23" s="269">
        <v>745760</v>
      </c>
      <c r="BG23" s="270">
        <f t="shared" si="12"/>
        <v>940</v>
      </c>
      <c r="BH23" s="285">
        <f t="shared" si="46"/>
        <v>-50</v>
      </c>
      <c r="BI23" s="286">
        <f>(BG23/'Finance Only'!B26)*100</f>
        <v>3.0955674109201081</v>
      </c>
      <c r="BJ23" s="269">
        <f t="shared" si="47"/>
        <v>1163100</v>
      </c>
      <c r="BK23" s="269">
        <v>1164500</v>
      </c>
      <c r="BL23" s="270">
        <f t="shared" si="13"/>
        <v>1400</v>
      </c>
      <c r="BM23" s="285">
        <f t="shared" si="48"/>
        <v>-100</v>
      </c>
      <c r="BN23" s="286">
        <f>(BL23/'Finance Only'!B26)*100</f>
        <v>4.6104195481788848</v>
      </c>
      <c r="BO23" s="269">
        <f t="shared" si="49"/>
        <v>624900</v>
      </c>
      <c r="BP23" s="269">
        <v>626630</v>
      </c>
      <c r="BQ23" s="270">
        <f t="shared" si="14"/>
        <v>1730</v>
      </c>
      <c r="BR23" s="285">
        <f t="shared" si="50"/>
        <v>210</v>
      </c>
      <c r="BS23" s="286">
        <f>(BQ23/'Finance Only'!B26)*100</f>
        <v>5.69716129882105</v>
      </c>
      <c r="BT23" s="269">
        <f t="shared" si="51"/>
        <v>479590</v>
      </c>
      <c r="BU23" s="269">
        <v>480840</v>
      </c>
      <c r="BV23" s="270">
        <f t="shared" si="15"/>
        <v>1250</v>
      </c>
      <c r="BW23" s="285">
        <f t="shared" si="52"/>
        <v>0</v>
      </c>
      <c r="BX23" s="286">
        <f>(BV23/'Finance Only'!B26)*100</f>
        <v>4.1164460251597177</v>
      </c>
      <c r="BY23" s="269">
        <f t="shared" si="53"/>
        <v>1405500</v>
      </c>
      <c r="BZ23" s="269">
        <v>1409900</v>
      </c>
      <c r="CA23" s="270">
        <f t="shared" si="16"/>
        <v>4400</v>
      </c>
      <c r="CB23" s="285">
        <f t="shared" si="54"/>
        <v>-600</v>
      </c>
      <c r="CC23" s="286">
        <f>(CA23/'Finance Only'!B26)*100</f>
        <v>14.48989000856221</v>
      </c>
      <c r="CD23" s="269">
        <f t="shared" si="55"/>
        <v>645790</v>
      </c>
      <c r="CE23" s="269">
        <v>647690</v>
      </c>
      <c r="CF23" s="270">
        <f t="shared" si="17"/>
        <v>1900</v>
      </c>
      <c r="CG23" s="285">
        <f t="shared" si="56"/>
        <v>1400</v>
      </c>
      <c r="CH23" s="286">
        <f>(CF23/'Finance Only'!B26)*100</f>
        <v>6.2569979582427715</v>
      </c>
      <c r="CI23" s="270">
        <f t="shared" si="57"/>
        <v>0</v>
      </c>
      <c r="CJ23" s="270"/>
      <c r="CK23" s="270">
        <f t="shared" si="58"/>
        <v>0</v>
      </c>
      <c r="CL23" s="285">
        <f t="shared" si="59"/>
        <v>0</v>
      </c>
      <c r="CM23" s="286">
        <f>(CK23/'Finance Only'!B26)*100</f>
        <v>0</v>
      </c>
      <c r="CN23" s="269">
        <f t="shared" si="60"/>
        <v>0</v>
      </c>
      <c r="CO23" s="269"/>
      <c r="CP23" s="271">
        <f t="shared" si="18"/>
        <v>0</v>
      </c>
      <c r="CQ23" s="285">
        <f t="shared" si="61"/>
        <v>0</v>
      </c>
      <c r="CR23" s="286">
        <f>(CP23/'Finance Only'!B26)*100</f>
        <v>0</v>
      </c>
      <c r="CS23" s="269">
        <f t="shared" si="62"/>
        <v>0</v>
      </c>
      <c r="CT23" s="269"/>
      <c r="CU23" s="270">
        <f t="shared" si="19"/>
        <v>0</v>
      </c>
      <c r="CV23" s="285">
        <f t="shared" si="63"/>
        <v>0</v>
      </c>
      <c r="CW23" s="286">
        <f>(CU23/'Finance Only'!B26)*100</f>
        <v>0</v>
      </c>
      <c r="CX23" s="269">
        <f>CY22</f>
        <v>0</v>
      </c>
      <c r="CY23" s="269"/>
      <c r="CZ23" s="270">
        <f t="shared" si="20"/>
        <v>0</v>
      </c>
      <c r="DA23" s="285">
        <f t="shared" si="65"/>
        <v>0</v>
      </c>
      <c r="DB23" s="286">
        <f>(CZ23/'Finance Only'!B26)*100</f>
        <v>0</v>
      </c>
      <c r="DC23" s="269">
        <f t="shared" si="66"/>
        <v>0</v>
      </c>
      <c r="DD23" s="269"/>
      <c r="DE23" s="270">
        <f t="shared" si="21"/>
        <v>0</v>
      </c>
      <c r="DF23" s="285">
        <f t="shared" si="67"/>
        <v>0</v>
      </c>
      <c r="DG23" s="286">
        <f>(DE23/'Finance Only'!B26)*100</f>
        <v>0</v>
      </c>
      <c r="DH23" s="269">
        <f t="shared" si="68"/>
        <v>0</v>
      </c>
      <c r="DI23" s="269"/>
      <c r="DJ23" s="270">
        <f t="shared" si="22"/>
        <v>0</v>
      </c>
      <c r="DK23" s="285">
        <f t="shared" si="69"/>
        <v>0</v>
      </c>
      <c r="DL23" s="286">
        <f>(DJ23/'Finance Only'!B26)*100</f>
        <v>0</v>
      </c>
      <c r="DM23" s="269">
        <f t="shared" si="70"/>
        <v>0</v>
      </c>
      <c r="DN23" s="269"/>
      <c r="DO23" s="270">
        <f t="shared" si="23"/>
        <v>0</v>
      </c>
      <c r="DP23" s="285">
        <f t="shared" si="71"/>
        <v>0</v>
      </c>
      <c r="DQ23" s="286">
        <f>(DO23/'Finance Only'!B26)*100</f>
        <v>0</v>
      </c>
      <c r="DR23" s="269">
        <f t="shared" si="72"/>
        <v>0</v>
      </c>
      <c r="DS23" s="269"/>
      <c r="DT23" s="270">
        <f t="shared" si="24"/>
        <v>0</v>
      </c>
      <c r="DU23" s="285">
        <f t="shared" si="73"/>
        <v>0</v>
      </c>
      <c r="DV23" s="286">
        <f>(DT23/'Finance Only'!B26)*100</f>
        <v>0</v>
      </c>
      <c r="DW23" s="269">
        <f t="shared" si="74"/>
        <v>0</v>
      </c>
      <c r="DX23" s="269"/>
      <c r="DY23" s="270">
        <f t="shared" si="25"/>
        <v>0</v>
      </c>
      <c r="DZ23" s="285">
        <f t="shared" si="75"/>
        <v>0</v>
      </c>
      <c r="EA23" s="286">
        <f>(DY23/'Finance Only'!B26)*100</f>
        <v>0</v>
      </c>
      <c r="EB23" s="269">
        <f t="shared" si="76"/>
        <v>0</v>
      </c>
      <c r="EC23" s="269"/>
      <c r="ED23" s="270">
        <f t="shared" si="26"/>
        <v>0</v>
      </c>
      <c r="EE23" s="285">
        <f t="shared" si="77"/>
        <v>0</v>
      </c>
      <c r="EF23" s="286">
        <f>(ED23/'Finance Only'!B26)*100</f>
        <v>0</v>
      </c>
      <c r="EG23" s="269">
        <f t="shared" si="78"/>
        <v>0</v>
      </c>
      <c r="EH23" s="269"/>
      <c r="EI23" s="270">
        <f t="shared" si="27"/>
        <v>0</v>
      </c>
      <c r="EJ23" s="285">
        <f t="shared" si="79"/>
        <v>0</v>
      </c>
      <c r="EK23" s="286">
        <f>(EI23/'Finance Only'!B26)*100</f>
        <v>0</v>
      </c>
      <c r="EL23" s="269">
        <f t="shared" si="80"/>
        <v>0</v>
      </c>
      <c r="EM23" s="269"/>
      <c r="EN23" s="270">
        <f t="shared" si="28"/>
        <v>0</v>
      </c>
      <c r="EO23" s="285">
        <f t="shared" si="81"/>
        <v>0</v>
      </c>
      <c r="EP23" s="286">
        <f>(EN23/'Finance Only'!B26)*100</f>
        <v>0</v>
      </c>
      <c r="EQ23" s="269">
        <f t="shared" si="82"/>
        <v>0</v>
      </c>
      <c r="ER23" s="272"/>
      <c r="ES23" s="270">
        <f t="shared" si="29"/>
        <v>0</v>
      </c>
      <c r="ET23" s="285">
        <f t="shared" si="83"/>
        <v>0</v>
      </c>
      <c r="EU23" s="286">
        <f>(ES23/'Finance Only'!B26)*100</f>
        <v>0</v>
      </c>
    </row>
    <row r="24" spans="1:1085" s="3" customFormat="1" ht="13.5" customHeight="1" x14ac:dyDescent="0.2">
      <c r="A24" s="260">
        <v>20</v>
      </c>
      <c r="B24" s="267">
        <f t="shared" si="30"/>
        <v>25602913</v>
      </c>
      <c r="C24" s="267">
        <v>25606569</v>
      </c>
      <c r="D24" s="268">
        <f t="shared" si="0"/>
        <v>3656</v>
      </c>
      <c r="E24" s="281">
        <f t="shared" si="31"/>
        <v>-172</v>
      </c>
      <c r="F24" s="282">
        <f>(D24/'Finance Only'!B27)*100</f>
        <v>12.50341997264022</v>
      </c>
      <c r="G24" s="294">
        <f t="shared" si="84"/>
        <v>22677318</v>
      </c>
      <c r="H24" s="267">
        <v>22682734</v>
      </c>
      <c r="I24" s="267">
        <f t="shared" si="32"/>
        <v>5416</v>
      </c>
      <c r="J24" s="295">
        <f t="shared" si="33"/>
        <v>-198</v>
      </c>
      <c r="K24" s="296">
        <f>(I24/'Finance Only'!B27)*100</f>
        <v>18.522571819425444</v>
      </c>
      <c r="L24" s="277">
        <f t="shared" si="34"/>
        <v>85705893</v>
      </c>
      <c r="M24" s="269">
        <v>85720653</v>
      </c>
      <c r="N24" s="270">
        <f t="shared" si="1"/>
        <v>14760</v>
      </c>
      <c r="O24" s="285">
        <f t="shared" si="35"/>
        <v>-293</v>
      </c>
      <c r="P24" s="286">
        <f>(N24/'Finance Only'!B27)*100</f>
        <v>50.478796169630648</v>
      </c>
      <c r="Q24" s="276">
        <f t="shared" si="85"/>
        <v>2005800</v>
      </c>
      <c r="R24" s="269">
        <v>2007900</v>
      </c>
      <c r="S24" s="270">
        <f t="shared" si="2"/>
        <v>2100</v>
      </c>
      <c r="T24" s="285">
        <f t="shared" si="36"/>
        <v>100</v>
      </c>
      <c r="U24" s="286">
        <f>(S24/'Finance Only'!B27)*100</f>
        <v>7.1819425444596448</v>
      </c>
      <c r="V24" s="269">
        <f t="shared" ref="V24:V34" si="90">W23</f>
        <v>2714919</v>
      </c>
      <c r="W24" s="269">
        <v>2717592</v>
      </c>
      <c r="X24" s="270">
        <f t="shared" si="3"/>
        <v>2673</v>
      </c>
      <c r="Y24" s="285">
        <f t="shared" si="37"/>
        <v>-103</v>
      </c>
      <c r="Z24" s="286">
        <f>(X24/'Finance Only'!B27)*100</f>
        <v>9.1415868673050618</v>
      </c>
      <c r="AA24" s="269">
        <f t="shared" si="38"/>
        <v>1653200</v>
      </c>
      <c r="AB24" s="273">
        <v>1654900</v>
      </c>
      <c r="AC24" s="270">
        <f t="shared" si="4"/>
        <v>1700</v>
      </c>
      <c r="AD24" s="285">
        <f t="shared" si="39"/>
        <v>-500</v>
      </c>
      <c r="AE24" s="286">
        <f>(AC24/'Finance Only'!B27)*100</f>
        <v>5.8139534883720927</v>
      </c>
      <c r="AF24" s="269">
        <f t="shared" ref="AF24:AF34" si="91">AG23</f>
        <v>748540</v>
      </c>
      <c r="AG24" s="269">
        <v>749201</v>
      </c>
      <c r="AH24" s="270">
        <f t="shared" si="5"/>
        <v>661</v>
      </c>
      <c r="AI24" s="285">
        <f t="shared" si="40"/>
        <v>-52</v>
      </c>
      <c r="AJ24" s="286">
        <f>(AH24/'Finance Only'!B27)*100</f>
        <v>2.2606019151846786</v>
      </c>
      <c r="AK24" s="269">
        <f t="shared" ref="AK24:AK34" si="92">AL23</f>
        <v>7720500</v>
      </c>
      <c r="AL24" s="269">
        <v>7726700</v>
      </c>
      <c r="AM24" s="270">
        <f t="shared" si="6"/>
        <v>6200</v>
      </c>
      <c r="AN24" s="285">
        <f t="shared" si="41"/>
        <v>-200</v>
      </c>
      <c r="AO24" s="286">
        <f>(AM24/'Finance Only'!B27)*100</f>
        <v>21.203830369357046</v>
      </c>
      <c r="AP24" s="269">
        <f t="shared" ref="AP24:AP34" si="93">AQ23</f>
        <v>1762700</v>
      </c>
      <c r="AQ24" s="269">
        <v>1764500</v>
      </c>
      <c r="AR24" s="270">
        <f t="shared" si="7"/>
        <v>1800</v>
      </c>
      <c r="AS24" s="285">
        <f t="shared" si="42"/>
        <v>400</v>
      </c>
      <c r="AT24" s="286">
        <f>(AR24/'Finance Only'!B27)*100</f>
        <v>6.1559507523939807</v>
      </c>
      <c r="AU24" s="269">
        <f t="shared" si="8"/>
        <v>502823</v>
      </c>
      <c r="AV24" s="269"/>
      <c r="AW24" s="270">
        <f t="shared" si="9"/>
        <v>-502823</v>
      </c>
      <c r="AX24" s="285">
        <f t="shared" si="43"/>
        <v>-503280</v>
      </c>
      <c r="AY24" s="286">
        <f>(AW24/'Finance Only'!B27)*100</f>
        <v>-1719.6409028727771</v>
      </c>
      <c r="AZ24" s="269">
        <f t="shared" si="10"/>
        <v>646420</v>
      </c>
      <c r="BA24" s="269">
        <v>647340</v>
      </c>
      <c r="BB24" s="270">
        <f t="shared" si="11"/>
        <v>920</v>
      </c>
      <c r="BC24" s="285">
        <f t="shared" si="44"/>
        <v>-50</v>
      </c>
      <c r="BD24" s="286">
        <f>(BB24/'Finance Only'!B27)*100</f>
        <v>3.1463748290013678</v>
      </c>
      <c r="BE24" s="269">
        <f t="shared" si="45"/>
        <v>745760</v>
      </c>
      <c r="BF24" s="269">
        <v>746760</v>
      </c>
      <c r="BG24" s="270">
        <f t="shared" si="12"/>
        <v>1000</v>
      </c>
      <c r="BH24" s="285">
        <f t="shared" si="46"/>
        <v>60</v>
      </c>
      <c r="BI24" s="286">
        <f>(BG24/'Finance Only'!B27)*100</f>
        <v>3.4199726402188784</v>
      </c>
      <c r="BJ24" s="269">
        <f t="shared" si="47"/>
        <v>1164500</v>
      </c>
      <c r="BK24" s="269">
        <v>1166100</v>
      </c>
      <c r="BL24" s="270">
        <f t="shared" si="13"/>
        <v>1600</v>
      </c>
      <c r="BM24" s="285">
        <f t="shared" si="48"/>
        <v>200</v>
      </c>
      <c r="BN24" s="286">
        <f>(BL24/'Finance Only'!B27)*100</f>
        <v>5.4719562243502047</v>
      </c>
      <c r="BO24" s="269">
        <f t="shared" si="49"/>
        <v>626630</v>
      </c>
      <c r="BP24" s="269">
        <v>628150</v>
      </c>
      <c r="BQ24" s="270">
        <f t="shared" si="14"/>
        <v>1520</v>
      </c>
      <c r="BR24" s="285">
        <f t="shared" si="50"/>
        <v>-210</v>
      </c>
      <c r="BS24" s="286">
        <f>(BQ24/'Finance Only'!B27)*100</f>
        <v>5.198358413132695</v>
      </c>
      <c r="BT24" s="269">
        <f t="shared" si="51"/>
        <v>480840</v>
      </c>
      <c r="BU24" s="269">
        <v>482090</v>
      </c>
      <c r="BV24" s="270">
        <f t="shared" si="15"/>
        <v>1250</v>
      </c>
      <c r="BW24" s="285">
        <f t="shared" si="52"/>
        <v>0</v>
      </c>
      <c r="BX24" s="286">
        <f>(BV24/'Finance Only'!B27)*100</f>
        <v>4.2749658002735984</v>
      </c>
      <c r="BY24" s="269">
        <f t="shared" si="53"/>
        <v>1409900</v>
      </c>
      <c r="BZ24" s="269">
        <v>1414100</v>
      </c>
      <c r="CA24" s="270">
        <f t="shared" si="16"/>
        <v>4200</v>
      </c>
      <c r="CB24" s="285">
        <f t="shared" si="54"/>
        <v>-200</v>
      </c>
      <c r="CC24" s="286">
        <f>(CA24/'Finance Only'!B27)*100</f>
        <v>14.36388508891929</v>
      </c>
      <c r="CD24" s="269">
        <f t="shared" si="55"/>
        <v>647690</v>
      </c>
      <c r="CE24" s="269">
        <v>649650</v>
      </c>
      <c r="CF24" s="270">
        <f t="shared" si="17"/>
        <v>1960</v>
      </c>
      <c r="CG24" s="285">
        <f t="shared" si="56"/>
        <v>60</v>
      </c>
      <c r="CH24" s="286">
        <f>(CF24/'Finance Only'!B27)*100</f>
        <v>6.703146374829001</v>
      </c>
      <c r="CI24" s="270">
        <f t="shared" si="57"/>
        <v>0</v>
      </c>
      <c r="CJ24" s="270"/>
      <c r="CK24" s="270">
        <f t="shared" si="58"/>
        <v>0</v>
      </c>
      <c r="CL24" s="285">
        <f t="shared" si="59"/>
        <v>0</v>
      </c>
      <c r="CM24" s="286">
        <f>(CK24/'Finance Only'!B27)*100</f>
        <v>0</v>
      </c>
      <c r="CN24" s="269">
        <f t="shared" si="60"/>
        <v>0</v>
      </c>
      <c r="CO24" s="269"/>
      <c r="CP24" s="271">
        <f t="shared" si="18"/>
        <v>0</v>
      </c>
      <c r="CQ24" s="285">
        <f t="shared" si="61"/>
        <v>0</v>
      </c>
      <c r="CR24" s="286">
        <f>(CP24/'Finance Only'!B27)*100</f>
        <v>0</v>
      </c>
      <c r="CS24" s="269">
        <f t="shared" si="62"/>
        <v>0</v>
      </c>
      <c r="CT24" s="269"/>
      <c r="CU24" s="270">
        <f t="shared" si="19"/>
        <v>0</v>
      </c>
      <c r="CV24" s="285">
        <f t="shared" si="63"/>
        <v>0</v>
      </c>
      <c r="CW24" s="286">
        <f>(CU24/'Finance Only'!B27)*100</f>
        <v>0</v>
      </c>
      <c r="CX24" s="269">
        <f t="shared" si="64"/>
        <v>0</v>
      </c>
      <c r="CY24" s="269"/>
      <c r="CZ24" s="270">
        <f t="shared" si="20"/>
        <v>0</v>
      </c>
      <c r="DA24" s="285">
        <f t="shared" si="65"/>
        <v>0</v>
      </c>
      <c r="DB24" s="286">
        <f>(CZ24/'Finance Only'!B27)*100</f>
        <v>0</v>
      </c>
      <c r="DC24" s="269">
        <f t="shared" si="66"/>
        <v>0</v>
      </c>
      <c r="DD24" s="269"/>
      <c r="DE24" s="270">
        <f t="shared" si="21"/>
        <v>0</v>
      </c>
      <c r="DF24" s="285">
        <f t="shared" si="67"/>
        <v>0</v>
      </c>
      <c r="DG24" s="286">
        <f>(DE24/'Finance Only'!B27)*100</f>
        <v>0</v>
      </c>
      <c r="DH24" s="269">
        <f t="shared" si="68"/>
        <v>0</v>
      </c>
      <c r="DI24" s="269"/>
      <c r="DJ24" s="270">
        <f t="shared" si="22"/>
        <v>0</v>
      </c>
      <c r="DK24" s="285">
        <f t="shared" si="69"/>
        <v>0</v>
      </c>
      <c r="DL24" s="286">
        <f>(DJ24/'Finance Only'!B27)*100</f>
        <v>0</v>
      </c>
      <c r="DM24" s="269">
        <f t="shared" si="70"/>
        <v>0</v>
      </c>
      <c r="DN24" s="269"/>
      <c r="DO24" s="270">
        <f t="shared" si="23"/>
        <v>0</v>
      </c>
      <c r="DP24" s="285">
        <f t="shared" si="71"/>
        <v>0</v>
      </c>
      <c r="DQ24" s="286">
        <f>(DO24/'Finance Only'!B27)*100</f>
        <v>0</v>
      </c>
      <c r="DR24" s="269">
        <f t="shared" si="72"/>
        <v>0</v>
      </c>
      <c r="DS24" s="269"/>
      <c r="DT24" s="270">
        <f t="shared" si="24"/>
        <v>0</v>
      </c>
      <c r="DU24" s="285">
        <f t="shared" si="73"/>
        <v>0</v>
      </c>
      <c r="DV24" s="286">
        <f>(DT24/'Finance Only'!B27)*100</f>
        <v>0</v>
      </c>
      <c r="DW24" s="269">
        <f t="shared" si="74"/>
        <v>0</v>
      </c>
      <c r="DX24" s="269"/>
      <c r="DY24" s="270">
        <f t="shared" si="25"/>
        <v>0</v>
      </c>
      <c r="DZ24" s="285">
        <f t="shared" si="75"/>
        <v>0</v>
      </c>
      <c r="EA24" s="286">
        <f>(DY24/'Finance Only'!B27)*100</f>
        <v>0</v>
      </c>
      <c r="EB24" s="269">
        <f t="shared" si="76"/>
        <v>0</v>
      </c>
      <c r="EC24" s="269"/>
      <c r="ED24" s="270">
        <f t="shared" si="26"/>
        <v>0</v>
      </c>
      <c r="EE24" s="285">
        <f t="shared" si="77"/>
        <v>0</v>
      </c>
      <c r="EF24" s="286">
        <f>(ED24/'Finance Only'!B27)*100</f>
        <v>0</v>
      </c>
      <c r="EG24" s="269">
        <f t="shared" si="78"/>
        <v>0</v>
      </c>
      <c r="EH24" s="269"/>
      <c r="EI24" s="270">
        <f t="shared" si="27"/>
        <v>0</v>
      </c>
      <c r="EJ24" s="285">
        <f t="shared" si="79"/>
        <v>0</v>
      </c>
      <c r="EK24" s="286">
        <f>(EI24/'Finance Only'!B27)*100</f>
        <v>0</v>
      </c>
      <c r="EL24" s="269">
        <f t="shared" si="80"/>
        <v>0</v>
      </c>
      <c r="EM24" s="269"/>
      <c r="EN24" s="270">
        <f t="shared" si="28"/>
        <v>0</v>
      </c>
      <c r="EO24" s="285">
        <f t="shared" si="81"/>
        <v>0</v>
      </c>
      <c r="EP24" s="286">
        <f>(EN24/'Finance Only'!B27)*100</f>
        <v>0</v>
      </c>
      <c r="EQ24" s="269">
        <f t="shared" si="82"/>
        <v>0</v>
      </c>
      <c r="ER24" s="269"/>
      <c r="ES24" s="270">
        <f t="shared" si="29"/>
        <v>0</v>
      </c>
      <c r="ET24" s="285">
        <f t="shared" si="83"/>
        <v>0</v>
      </c>
      <c r="EU24" s="286">
        <f>(ES24/'Finance Only'!B27)*100</f>
        <v>0</v>
      </c>
    </row>
    <row r="25" spans="1:1085" s="3" customFormat="1" ht="13.5" customHeight="1" x14ac:dyDescent="0.2">
      <c r="A25" s="260">
        <v>21</v>
      </c>
      <c r="B25" s="267">
        <f t="shared" si="30"/>
        <v>25606569</v>
      </c>
      <c r="C25" s="267"/>
      <c r="D25" s="268">
        <f t="shared" si="0"/>
        <v>-25606569</v>
      </c>
      <c r="E25" s="281">
        <f t="shared" si="31"/>
        <v>-25610225</v>
      </c>
      <c r="F25" s="282">
        <f>(D25/'Finance Only'!B28)*100</f>
        <v>28.395026161577324</v>
      </c>
      <c r="G25" s="294">
        <f t="shared" si="84"/>
        <v>22682734</v>
      </c>
      <c r="H25" s="267"/>
      <c r="I25" s="267">
        <f t="shared" si="32"/>
        <v>-22682734</v>
      </c>
      <c r="J25" s="295">
        <f t="shared" si="33"/>
        <v>-22688150</v>
      </c>
      <c r="K25" s="296">
        <f>(I25/'Finance Only'!B28)*100</f>
        <v>25.152796743136481</v>
      </c>
      <c r="L25" s="277">
        <f t="shared" si="34"/>
        <v>85720653</v>
      </c>
      <c r="M25" s="269"/>
      <c r="N25" s="270">
        <f t="shared" si="1"/>
        <v>-85720653</v>
      </c>
      <c r="O25" s="285">
        <f t="shared" si="35"/>
        <v>-85735413</v>
      </c>
      <c r="P25" s="286">
        <f>(N25/'Finance Only'!B28)*100</f>
        <v>95.055303368541573</v>
      </c>
      <c r="Q25" s="276">
        <f t="shared" si="85"/>
        <v>2007900</v>
      </c>
      <c r="R25" s="269"/>
      <c r="S25" s="270">
        <f t="shared" si="2"/>
        <v>-2007900</v>
      </c>
      <c r="T25" s="285">
        <f t="shared" si="36"/>
        <v>-2010000</v>
      </c>
      <c r="U25" s="286">
        <f>(S25/'Finance Only'!B28)*100</f>
        <v>2.2265526095991661</v>
      </c>
      <c r="V25" s="269">
        <f t="shared" si="90"/>
        <v>2717592</v>
      </c>
      <c r="W25" s="269"/>
      <c r="X25" s="270">
        <f t="shared" si="3"/>
        <v>-2717592</v>
      </c>
      <c r="Y25" s="285">
        <f t="shared" si="37"/>
        <v>-2720265</v>
      </c>
      <c r="Z25" s="286">
        <f>(X25/'Finance Only'!B28)*100</f>
        <v>3.0135273466934698</v>
      </c>
      <c r="AA25" s="269">
        <f t="shared" si="38"/>
        <v>1654900</v>
      </c>
      <c r="AB25" s="269"/>
      <c r="AC25" s="270">
        <f t="shared" si="4"/>
        <v>-1654900</v>
      </c>
      <c r="AD25" s="285">
        <f t="shared" si="39"/>
        <v>-1656600</v>
      </c>
      <c r="AE25" s="286">
        <f>(AC25/'Finance Only'!B28)*100</f>
        <v>1.8351122633725088</v>
      </c>
      <c r="AF25" s="269">
        <f t="shared" si="91"/>
        <v>749201</v>
      </c>
      <c r="AG25" s="269"/>
      <c r="AH25" s="270">
        <f t="shared" si="5"/>
        <v>-749201</v>
      </c>
      <c r="AI25" s="285">
        <f t="shared" si="40"/>
        <v>-749862</v>
      </c>
      <c r="AJ25" s="286">
        <f>(AH25/'Finance Only'!B28)*100</f>
        <v>0.83078611567523541</v>
      </c>
      <c r="AK25" s="269">
        <f t="shared" si="92"/>
        <v>7726700</v>
      </c>
      <c r="AL25" s="269"/>
      <c r="AM25" s="270">
        <f t="shared" si="6"/>
        <v>-7726700</v>
      </c>
      <c r="AN25" s="285">
        <f t="shared" si="41"/>
        <v>-7732900</v>
      </c>
      <c r="AO25" s="286">
        <f>(AM25/'Finance Only'!B28)*100</f>
        <v>8.5681079977040078</v>
      </c>
      <c r="AP25" s="269">
        <f t="shared" si="93"/>
        <v>1764500</v>
      </c>
      <c r="AQ25" s="269"/>
      <c r="AR25" s="270">
        <f t="shared" si="7"/>
        <v>-1764500</v>
      </c>
      <c r="AS25" s="285">
        <f t="shared" si="42"/>
        <v>-1766300</v>
      </c>
      <c r="AT25" s="286">
        <f>(AR25/'Finance Only'!B28)*100</f>
        <v>1.9566472830508137</v>
      </c>
      <c r="AU25" s="269">
        <f t="shared" si="8"/>
        <v>0</v>
      </c>
      <c r="AV25" s="269"/>
      <c r="AW25" s="270">
        <f t="shared" si="9"/>
        <v>0</v>
      </c>
      <c r="AX25" s="285">
        <f t="shared" si="43"/>
        <v>502823</v>
      </c>
      <c r="AY25" s="286">
        <f>(AW25/'Finance Only'!B28)*100</f>
        <v>0</v>
      </c>
      <c r="AZ25" s="269">
        <f t="shared" si="10"/>
        <v>647340</v>
      </c>
      <c r="BA25" s="269">
        <v>648320</v>
      </c>
      <c r="BB25" s="270">
        <f t="shared" si="11"/>
        <v>980</v>
      </c>
      <c r="BC25" s="285">
        <f t="shared" si="44"/>
        <v>60</v>
      </c>
      <c r="BD25" s="286">
        <f>(BB25/'Finance Only'!B28)*100</f>
        <v>-1.0867182416490777E-3</v>
      </c>
      <c r="BE25" s="269">
        <f t="shared" si="45"/>
        <v>746760</v>
      </c>
      <c r="BF25" s="269"/>
      <c r="BG25" s="270">
        <f t="shared" si="12"/>
        <v>-746760</v>
      </c>
      <c r="BH25" s="285">
        <f t="shared" si="46"/>
        <v>-747760</v>
      </c>
      <c r="BI25" s="286">
        <f>(BG25/'Finance Only'!B28)*100</f>
        <v>0.82807930013659714</v>
      </c>
      <c r="BJ25" s="269">
        <f t="shared" si="47"/>
        <v>1166100</v>
      </c>
      <c r="BK25" s="269"/>
      <c r="BL25" s="270">
        <f t="shared" si="13"/>
        <v>-1166100</v>
      </c>
      <c r="BM25" s="285">
        <f t="shared" si="48"/>
        <v>-1167700</v>
      </c>
      <c r="BN25" s="286">
        <f>(BL25/'Finance Only'!B28)*100</f>
        <v>1.2930838179459077</v>
      </c>
      <c r="BO25" s="269">
        <f t="shared" si="49"/>
        <v>628150</v>
      </c>
      <c r="BP25" s="269">
        <v>629790</v>
      </c>
      <c r="BQ25" s="270">
        <f t="shared" si="14"/>
        <v>1640</v>
      </c>
      <c r="BR25" s="285">
        <f t="shared" si="50"/>
        <v>120</v>
      </c>
      <c r="BS25" s="286">
        <f>(BQ25/'Finance Only'!B28)*100</f>
        <v>-1.8185897105147831E-3</v>
      </c>
      <c r="BT25" s="269">
        <f t="shared" si="51"/>
        <v>482090</v>
      </c>
      <c r="BU25" s="269"/>
      <c r="BV25" s="270">
        <f t="shared" si="15"/>
        <v>-482090</v>
      </c>
      <c r="BW25" s="285">
        <f t="shared" si="52"/>
        <v>-483340</v>
      </c>
      <c r="BX25" s="286">
        <f>(BV25/'Finance Only'!B28)*100</f>
        <v>0.53458775215979981</v>
      </c>
      <c r="BY25" s="269">
        <f t="shared" si="53"/>
        <v>1414100</v>
      </c>
      <c r="BZ25" s="269"/>
      <c r="CA25" s="270">
        <f t="shared" si="16"/>
        <v>-1414100</v>
      </c>
      <c r="CB25" s="285">
        <f t="shared" si="54"/>
        <v>-1418300</v>
      </c>
      <c r="CC25" s="286">
        <f>(CA25/'Finance Only'!B28)*100</f>
        <v>1.5680900668530211</v>
      </c>
      <c r="CD25" s="269">
        <f t="shared" si="55"/>
        <v>649650</v>
      </c>
      <c r="CE25" s="269"/>
      <c r="CF25" s="270">
        <f t="shared" si="17"/>
        <v>-649650</v>
      </c>
      <c r="CG25" s="285">
        <f t="shared" si="56"/>
        <v>-651610</v>
      </c>
      <c r="CH25" s="286">
        <f>(CF25/'Finance Only'!B28)*100</f>
        <v>0.72039439355849311</v>
      </c>
      <c r="CI25" s="270">
        <f t="shared" si="57"/>
        <v>0</v>
      </c>
      <c r="CJ25" s="270"/>
      <c r="CK25" s="270">
        <f t="shared" si="58"/>
        <v>0</v>
      </c>
      <c r="CL25" s="285">
        <f t="shared" si="59"/>
        <v>0</v>
      </c>
      <c r="CM25" s="286">
        <f>(CK25/'Finance Only'!B28)*100</f>
        <v>0</v>
      </c>
      <c r="CN25" s="269">
        <f t="shared" si="60"/>
        <v>0</v>
      </c>
      <c r="CO25" s="269"/>
      <c r="CP25" s="271">
        <f t="shared" si="18"/>
        <v>0</v>
      </c>
      <c r="CQ25" s="285">
        <f t="shared" si="61"/>
        <v>0</v>
      </c>
      <c r="CR25" s="286">
        <f>(CP25/'Finance Only'!B28)*100</f>
        <v>0</v>
      </c>
      <c r="CS25" s="269">
        <f t="shared" si="62"/>
        <v>0</v>
      </c>
      <c r="CT25" s="269"/>
      <c r="CU25" s="270">
        <f t="shared" si="19"/>
        <v>0</v>
      </c>
      <c r="CV25" s="285">
        <f t="shared" si="63"/>
        <v>0</v>
      </c>
      <c r="CW25" s="286">
        <f>(CU25/'Finance Only'!B28)*100</f>
        <v>0</v>
      </c>
      <c r="CX25" s="269">
        <f t="shared" si="64"/>
        <v>0</v>
      </c>
      <c r="CY25" s="269"/>
      <c r="CZ25" s="270">
        <f t="shared" si="20"/>
        <v>0</v>
      </c>
      <c r="DA25" s="285">
        <f t="shared" si="65"/>
        <v>0</v>
      </c>
      <c r="DB25" s="286">
        <f>(CZ25/'Finance Only'!B28)*100</f>
        <v>0</v>
      </c>
      <c r="DC25" s="269">
        <f t="shared" si="66"/>
        <v>0</v>
      </c>
      <c r="DD25" s="269"/>
      <c r="DE25" s="270">
        <f t="shared" si="21"/>
        <v>0</v>
      </c>
      <c r="DF25" s="285">
        <f t="shared" si="67"/>
        <v>0</v>
      </c>
      <c r="DG25" s="286">
        <f>(DE25/'Finance Only'!B28)*100</f>
        <v>0</v>
      </c>
      <c r="DH25" s="269">
        <f t="shared" si="68"/>
        <v>0</v>
      </c>
      <c r="DI25" s="269"/>
      <c r="DJ25" s="270">
        <f t="shared" si="22"/>
        <v>0</v>
      </c>
      <c r="DK25" s="285">
        <f t="shared" si="69"/>
        <v>0</v>
      </c>
      <c r="DL25" s="286">
        <f>(DJ25/'Finance Only'!B28)*100</f>
        <v>0</v>
      </c>
      <c r="DM25" s="269">
        <f t="shared" si="70"/>
        <v>0</v>
      </c>
      <c r="DN25" s="269"/>
      <c r="DO25" s="270">
        <f t="shared" si="23"/>
        <v>0</v>
      </c>
      <c r="DP25" s="285">
        <f t="shared" si="71"/>
        <v>0</v>
      </c>
      <c r="DQ25" s="286">
        <f>(DO25/'Finance Only'!B28)*100</f>
        <v>0</v>
      </c>
      <c r="DR25" s="269">
        <f t="shared" si="72"/>
        <v>0</v>
      </c>
      <c r="DS25" s="269"/>
      <c r="DT25" s="270">
        <f t="shared" si="24"/>
        <v>0</v>
      </c>
      <c r="DU25" s="285">
        <f t="shared" si="73"/>
        <v>0</v>
      </c>
      <c r="DV25" s="286">
        <f>(DT25/'Finance Only'!B28)*100</f>
        <v>0</v>
      </c>
      <c r="DW25" s="269">
        <f t="shared" si="74"/>
        <v>0</v>
      </c>
      <c r="DX25" s="269"/>
      <c r="DY25" s="270">
        <f t="shared" si="25"/>
        <v>0</v>
      </c>
      <c r="DZ25" s="285">
        <f t="shared" si="75"/>
        <v>0</v>
      </c>
      <c r="EA25" s="286">
        <f>(DY25/'Finance Only'!B28)*100</f>
        <v>0</v>
      </c>
      <c r="EB25" s="269">
        <f t="shared" si="76"/>
        <v>0</v>
      </c>
      <c r="EC25" s="269"/>
      <c r="ED25" s="270">
        <f t="shared" si="26"/>
        <v>0</v>
      </c>
      <c r="EE25" s="285">
        <f t="shared" si="77"/>
        <v>0</v>
      </c>
      <c r="EF25" s="286">
        <f>(ED25/'Finance Only'!B28)*100</f>
        <v>0</v>
      </c>
      <c r="EG25" s="269">
        <f t="shared" si="78"/>
        <v>0</v>
      </c>
      <c r="EH25" s="269"/>
      <c r="EI25" s="270">
        <f t="shared" si="27"/>
        <v>0</v>
      </c>
      <c r="EJ25" s="285">
        <f t="shared" si="79"/>
        <v>0</v>
      </c>
      <c r="EK25" s="286">
        <f>(EI25/'Finance Only'!B28)*100</f>
        <v>0</v>
      </c>
      <c r="EL25" s="269">
        <f t="shared" si="80"/>
        <v>0</v>
      </c>
      <c r="EM25" s="269"/>
      <c r="EN25" s="270">
        <f t="shared" si="28"/>
        <v>0</v>
      </c>
      <c r="EO25" s="285">
        <f t="shared" si="81"/>
        <v>0</v>
      </c>
      <c r="EP25" s="286">
        <f>(EN25/'Finance Only'!B28)*100</f>
        <v>0</v>
      </c>
      <c r="EQ25" s="269">
        <f t="shared" si="82"/>
        <v>0</v>
      </c>
      <c r="ER25" s="269"/>
      <c r="ES25" s="270">
        <f t="shared" si="29"/>
        <v>0</v>
      </c>
      <c r="ET25" s="285">
        <f t="shared" si="83"/>
        <v>0</v>
      </c>
      <c r="EU25" s="286">
        <f>(ES25/'Finance Only'!B28)*100</f>
        <v>0</v>
      </c>
    </row>
    <row r="26" spans="1:1085" s="3" customFormat="1" ht="13.5" customHeight="1" x14ac:dyDescent="0.2">
      <c r="A26" s="260">
        <v>22</v>
      </c>
      <c r="B26" s="267">
        <f t="shared" si="30"/>
        <v>0</v>
      </c>
      <c r="C26" s="267"/>
      <c r="D26" s="268">
        <f t="shared" si="0"/>
        <v>0</v>
      </c>
      <c r="E26" s="281">
        <f t="shared" si="31"/>
        <v>25606569</v>
      </c>
      <c r="F26" s="282" t="e">
        <f>(D26/'Finance Only'!B29)*100</f>
        <v>#DIV/0!</v>
      </c>
      <c r="G26" s="294">
        <f t="shared" si="84"/>
        <v>0</v>
      </c>
      <c r="H26" s="267"/>
      <c r="I26" s="267">
        <f t="shared" si="32"/>
        <v>0</v>
      </c>
      <c r="J26" s="295">
        <f t="shared" si="33"/>
        <v>22682734</v>
      </c>
      <c r="K26" s="296" t="e">
        <f>(I26/'Finance Only'!B29)*100</f>
        <v>#DIV/0!</v>
      </c>
      <c r="L26" s="277">
        <f t="shared" si="34"/>
        <v>0</v>
      </c>
      <c r="M26" s="269"/>
      <c r="N26" s="270">
        <f t="shared" si="1"/>
        <v>0</v>
      </c>
      <c r="O26" s="285">
        <f t="shared" si="35"/>
        <v>85720653</v>
      </c>
      <c r="P26" s="286" t="e">
        <f>(N26/'Finance Only'!B29)*100</f>
        <v>#DIV/0!</v>
      </c>
      <c r="Q26" s="276">
        <f t="shared" si="85"/>
        <v>0</v>
      </c>
      <c r="R26" s="269"/>
      <c r="S26" s="270">
        <f t="shared" si="2"/>
        <v>0</v>
      </c>
      <c r="T26" s="285">
        <f t="shared" si="36"/>
        <v>2007900</v>
      </c>
      <c r="U26" s="286" t="e">
        <f>(S26/'Finance Only'!B29)*100</f>
        <v>#DIV/0!</v>
      </c>
      <c r="V26" s="269">
        <f t="shared" si="90"/>
        <v>0</v>
      </c>
      <c r="W26" s="269"/>
      <c r="X26" s="270">
        <f t="shared" si="3"/>
        <v>0</v>
      </c>
      <c r="Y26" s="285">
        <f t="shared" si="37"/>
        <v>2717592</v>
      </c>
      <c r="Z26" s="286" t="e">
        <f>(X26/'Finance Only'!B29)*100</f>
        <v>#DIV/0!</v>
      </c>
      <c r="AA26" s="269">
        <f t="shared" si="38"/>
        <v>0</v>
      </c>
      <c r="AB26" s="269"/>
      <c r="AC26" s="270">
        <f t="shared" si="4"/>
        <v>0</v>
      </c>
      <c r="AD26" s="285">
        <f t="shared" si="39"/>
        <v>1654900</v>
      </c>
      <c r="AE26" s="286" t="e">
        <f>(AC26/'Finance Only'!B29)*100</f>
        <v>#DIV/0!</v>
      </c>
      <c r="AF26" s="269">
        <f t="shared" si="91"/>
        <v>0</v>
      </c>
      <c r="AG26" s="269"/>
      <c r="AH26" s="270">
        <f t="shared" si="5"/>
        <v>0</v>
      </c>
      <c r="AI26" s="285">
        <f t="shared" si="40"/>
        <v>749201</v>
      </c>
      <c r="AJ26" s="286" t="e">
        <f>(AH26/'Finance Only'!B29)*100</f>
        <v>#DIV/0!</v>
      </c>
      <c r="AK26" s="269">
        <f t="shared" si="92"/>
        <v>0</v>
      </c>
      <c r="AL26" s="269"/>
      <c r="AM26" s="270">
        <f t="shared" si="6"/>
        <v>0</v>
      </c>
      <c r="AN26" s="285">
        <f t="shared" si="41"/>
        <v>7726700</v>
      </c>
      <c r="AO26" s="286" t="e">
        <f>(AM26/'Finance Only'!B29)*100</f>
        <v>#DIV/0!</v>
      </c>
      <c r="AP26" s="269">
        <f t="shared" si="93"/>
        <v>0</v>
      </c>
      <c r="AQ26" s="269"/>
      <c r="AR26" s="270">
        <f t="shared" si="7"/>
        <v>0</v>
      </c>
      <c r="AS26" s="285">
        <f t="shared" si="42"/>
        <v>1764500</v>
      </c>
      <c r="AT26" s="286" t="e">
        <f>(AR26/'Finance Only'!B29)*100</f>
        <v>#DIV/0!</v>
      </c>
      <c r="AU26" s="269">
        <f t="shared" si="8"/>
        <v>0</v>
      </c>
      <c r="AV26" s="269"/>
      <c r="AW26" s="270">
        <f t="shared" si="9"/>
        <v>0</v>
      </c>
      <c r="AX26" s="285">
        <f t="shared" si="43"/>
        <v>0</v>
      </c>
      <c r="AY26" s="286" t="e">
        <f>(AW26/'Finance Only'!B29)*100</f>
        <v>#DIV/0!</v>
      </c>
      <c r="AZ26" s="269">
        <f t="shared" si="10"/>
        <v>648320</v>
      </c>
      <c r="BA26" s="269"/>
      <c r="BB26" s="270">
        <f t="shared" si="11"/>
        <v>-648320</v>
      </c>
      <c r="BC26" s="285">
        <f t="shared" si="44"/>
        <v>-649300</v>
      </c>
      <c r="BD26" s="286" t="e">
        <f>(BB26/'Finance Only'!B29)*100</f>
        <v>#DIV/0!</v>
      </c>
      <c r="BE26" s="269">
        <f t="shared" si="45"/>
        <v>0</v>
      </c>
      <c r="BF26" s="269"/>
      <c r="BG26" s="270">
        <f t="shared" si="12"/>
        <v>0</v>
      </c>
      <c r="BH26" s="285">
        <f t="shared" si="46"/>
        <v>746760</v>
      </c>
      <c r="BI26" s="286" t="e">
        <f>(BG26/'Finance Only'!B29)*100</f>
        <v>#DIV/0!</v>
      </c>
      <c r="BJ26" s="269">
        <f t="shared" si="47"/>
        <v>0</v>
      </c>
      <c r="BK26" s="269"/>
      <c r="BL26" s="270">
        <f t="shared" si="13"/>
        <v>0</v>
      </c>
      <c r="BM26" s="285">
        <f t="shared" si="48"/>
        <v>1166100</v>
      </c>
      <c r="BN26" s="286" t="e">
        <f>(BL26/'Finance Only'!B29)*100</f>
        <v>#DIV/0!</v>
      </c>
      <c r="BO26" s="269">
        <f t="shared" si="49"/>
        <v>629790</v>
      </c>
      <c r="BP26" s="269"/>
      <c r="BQ26" s="270">
        <f t="shared" si="14"/>
        <v>-629790</v>
      </c>
      <c r="BR26" s="285">
        <f t="shared" si="50"/>
        <v>-631430</v>
      </c>
      <c r="BS26" s="286" t="e">
        <f>(BQ26/'Finance Only'!B29)*100</f>
        <v>#DIV/0!</v>
      </c>
      <c r="BT26" s="269">
        <f t="shared" si="51"/>
        <v>0</v>
      </c>
      <c r="BU26" s="269"/>
      <c r="BV26" s="270">
        <f t="shared" si="15"/>
        <v>0</v>
      </c>
      <c r="BW26" s="285">
        <f t="shared" si="52"/>
        <v>482090</v>
      </c>
      <c r="BX26" s="286" t="e">
        <f>(BV26/'Finance Only'!B29)*100</f>
        <v>#DIV/0!</v>
      </c>
      <c r="BY26" s="269">
        <f t="shared" si="53"/>
        <v>0</v>
      </c>
      <c r="BZ26" s="269"/>
      <c r="CA26" s="270">
        <f t="shared" si="16"/>
        <v>0</v>
      </c>
      <c r="CB26" s="285">
        <f t="shared" si="54"/>
        <v>1414100</v>
      </c>
      <c r="CC26" s="286" t="e">
        <f>(CA26/'Finance Only'!B29)*100</f>
        <v>#DIV/0!</v>
      </c>
      <c r="CD26" s="269">
        <f t="shared" si="55"/>
        <v>0</v>
      </c>
      <c r="CE26" s="269"/>
      <c r="CF26" s="270">
        <f t="shared" si="17"/>
        <v>0</v>
      </c>
      <c r="CG26" s="285">
        <f t="shared" si="56"/>
        <v>649650</v>
      </c>
      <c r="CH26" s="286" t="e">
        <f>(CF26/'Finance Only'!B29)*100</f>
        <v>#DIV/0!</v>
      </c>
      <c r="CI26" s="270">
        <f t="shared" si="57"/>
        <v>0</v>
      </c>
      <c r="CJ26" s="270"/>
      <c r="CK26" s="270">
        <f t="shared" si="58"/>
        <v>0</v>
      </c>
      <c r="CL26" s="285">
        <f t="shared" si="59"/>
        <v>0</v>
      </c>
      <c r="CM26" s="286" t="e">
        <f>(CK26/'Finance Only'!B29)*100</f>
        <v>#DIV/0!</v>
      </c>
      <c r="CN26" s="269">
        <f t="shared" si="60"/>
        <v>0</v>
      </c>
      <c r="CO26" s="269"/>
      <c r="CP26" s="271">
        <f t="shared" si="18"/>
        <v>0</v>
      </c>
      <c r="CQ26" s="285">
        <f t="shared" si="61"/>
        <v>0</v>
      </c>
      <c r="CR26" s="286" t="e">
        <f>(CP26/'Finance Only'!B29)*100</f>
        <v>#DIV/0!</v>
      </c>
      <c r="CS26" s="269">
        <f t="shared" si="62"/>
        <v>0</v>
      </c>
      <c r="CT26" s="269"/>
      <c r="CU26" s="270">
        <f t="shared" si="19"/>
        <v>0</v>
      </c>
      <c r="CV26" s="285">
        <f t="shared" si="63"/>
        <v>0</v>
      </c>
      <c r="CW26" s="286" t="e">
        <f>(CU26/'Finance Only'!B29)*100</f>
        <v>#DIV/0!</v>
      </c>
      <c r="CX26" s="269">
        <f t="shared" si="64"/>
        <v>0</v>
      </c>
      <c r="CY26" s="269"/>
      <c r="CZ26" s="270">
        <f t="shared" si="20"/>
        <v>0</v>
      </c>
      <c r="DA26" s="285">
        <f t="shared" si="65"/>
        <v>0</v>
      </c>
      <c r="DB26" s="286" t="e">
        <f>(CZ26/'Finance Only'!B29)*100</f>
        <v>#DIV/0!</v>
      </c>
      <c r="DC26" s="269">
        <f t="shared" si="66"/>
        <v>0</v>
      </c>
      <c r="DD26" s="269"/>
      <c r="DE26" s="270">
        <f t="shared" si="21"/>
        <v>0</v>
      </c>
      <c r="DF26" s="285">
        <f t="shared" si="67"/>
        <v>0</v>
      </c>
      <c r="DG26" s="286" t="e">
        <f>(DE26/'Finance Only'!B29)*100</f>
        <v>#DIV/0!</v>
      </c>
      <c r="DH26" s="269">
        <f t="shared" si="68"/>
        <v>0</v>
      </c>
      <c r="DI26" s="269"/>
      <c r="DJ26" s="270">
        <f t="shared" si="22"/>
        <v>0</v>
      </c>
      <c r="DK26" s="285">
        <f t="shared" si="69"/>
        <v>0</v>
      </c>
      <c r="DL26" s="286" t="e">
        <f>(DJ26/'Finance Only'!B29)*100</f>
        <v>#DIV/0!</v>
      </c>
      <c r="DM26" s="269">
        <f t="shared" si="70"/>
        <v>0</v>
      </c>
      <c r="DN26" s="269"/>
      <c r="DO26" s="270">
        <f t="shared" si="23"/>
        <v>0</v>
      </c>
      <c r="DP26" s="285">
        <f t="shared" si="71"/>
        <v>0</v>
      </c>
      <c r="DQ26" s="286" t="e">
        <f>(DO26/'Finance Only'!B29)*100</f>
        <v>#DIV/0!</v>
      </c>
      <c r="DR26" s="269">
        <f t="shared" si="72"/>
        <v>0</v>
      </c>
      <c r="DS26" s="269"/>
      <c r="DT26" s="270">
        <f t="shared" si="24"/>
        <v>0</v>
      </c>
      <c r="DU26" s="285">
        <f t="shared" si="73"/>
        <v>0</v>
      </c>
      <c r="DV26" s="286" t="e">
        <f>(DT26/'Finance Only'!B29)*100</f>
        <v>#DIV/0!</v>
      </c>
      <c r="DW26" s="269">
        <f t="shared" si="74"/>
        <v>0</v>
      </c>
      <c r="DX26" s="269"/>
      <c r="DY26" s="270">
        <f t="shared" si="25"/>
        <v>0</v>
      </c>
      <c r="DZ26" s="285">
        <f t="shared" si="75"/>
        <v>0</v>
      </c>
      <c r="EA26" s="286" t="e">
        <f>(DY26/'Finance Only'!B29)*100</f>
        <v>#DIV/0!</v>
      </c>
      <c r="EB26" s="269">
        <f t="shared" si="76"/>
        <v>0</v>
      </c>
      <c r="EC26" s="269"/>
      <c r="ED26" s="270">
        <f t="shared" si="26"/>
        <v>0</v>
      </c>
      <c r="EE26" s="285">
        <f t="shared" si="77"/>
        <v>0</v>
      </c>
      <c r="EF26" s="286" t="e">
        <f>(ED26/'Finance Only'!B29)*100</f>
        <v>#DIV/0!</v>
      </c>
      <c r="EG26" s="269">
        <f t="shared" si="78"/>
        <v>0</v>
      </c>
      <c r="EH26" s="269"/>
      <c r="EI26" s="270">
        <f t="shared" si="27"/>
        <v>0</v>
      </c>
      <c r="EJ26" s="285">
        <f t="shared" si="79"/>
        <v>0</v>
      </c>
      <c r="EK26" s="286" t="e">
        <f>(EI26/'Finance Only'!B29)*100</f>
        <v>#DIV/0!</v>
      </c>
      <c r="EL26" s="269">
        <f t="shared" si="80"/>
        <v>0</v>
      </c>
      <c r="EM26" s="269"/>
      <c r="EN26" s="270">
        <f t="shared" si="28"/>
        <v>0</v>
      </c>
      <c r="EO26" s="285">
        <f t="shared" si="81"/>
        <v>0</v>
      </c>
      <c r="EP26" s="286" t="e">
        <f>(EN26/'Finance Only'!B29)*100</f>
        <v>#DIV/0!</v>
      </c>
      <c r="EQ26" s="269">
        <f t="shared" si="82"/>
        <v>0</v>
      </c>
      <c r="ER26" s="269"/>
      <c r="ES26" s="270">
        <f t="shared" si="29"/>
        <v>0</v>
      </c>
      <c r="ET26" s="285">
        <f t="shared" si="83"/>
        <v>0</v>
      </c>
      <c r="EU26" s="286" t="e">
        <f>(ES26/'Finance Only'!B29)*100</f>
        <v>#DIV/0!</v>
      </c>
    </row>
    <row r="27" spans="1:1085" s="3" customFormat="1" ht="13.5" customHeight="1" x14ac:dyDescent="0.2">
      <c r="A27" s="260">
        <v>23</v>
      </c>
      <c r="B27" s="267">
        <f t="shared" si="30"/>
        <v>0</v>
      </c>
      <c r="C27" s="267"/>
      <c r="D27" s="268">
        <f t="shared" si="0"/>
        <v>0</v>
      </c>
      <c r="E27" s="281">
        <f t="shared" si="31"/>
        <v>0</v>
      </c>
      <c r="F27" s="282" t="e">
        <f>(D27/'Finance Only'!B30)*100</f>
        <v>#DIV/0!</v>
      </c>
      <c r="G27" s="294">
        <f t="shared" si="84"/>
        <v>0</v>
      </c>
      <c r="H27" s="267"/>
      <c r="I27" s="267">
        <f t="shared" si="32"/>
        <v>0</v>
      </c>
      <c r="J27" s="295">
        <f t="shared" si="33"/>
        <v>0</v>
      </c>
      <c r="K27" s="296" t="e">
        <f>(I27/'Finance Only'!B30)*100</f>
        <v>#DIV/0!</v>
      </c>
      <c r="L27" s="277">
        <f t="shared" si="34"/>
        <v>0</v>
      </c>
      <c r="M27" s="269"/>
      <c r="N27" s="270">
        <f t="shared" si="1"/>
        <v>0</v>
      </c>
      <c r="O27" s="285">
        <f t="shared" si="35"/>
        <v>0</v>
      </c>
      <c r="P27" s="286" t="e">
        <f>(N27/'Finance Only'!B30)*100</f>
        <v>#DIV/0!</v>
      </c>
      <c r="Q27" s="276">
        <f t="shared" si="85"/>
        <v>0</v>
      </c>
      <c r="R27" s="269"/>
      <c r="S27" s="270">
        <f t="shared" si="2"/>
        <v>0</v>
      </c>
      <c r="T27" s="285">
        <f t="shared" si="36"/>
        <v>0</v>
      </c>
      <c r="U27" s="286" t="e">
        <f>(S27/'Finance Only'!B30)*100</f>
        <v>#DIV/0!</v>
      </c>
      <c r="V27" s="269">
        <f t="shared" si="90"/>
        <v>0</v>
      </c>
      <c r="W27" s="269"/>
      <c r="X27" s="270">
        <f t="shared" si="3"/>
        <v>0</v>
      </c>
      <c r="Y27" s="285">
        <f t="shared" si="37"/>
        <v>0</v>
      </c>
      <c r="Z27" s="286" t="e">
        <f>(X27/'Finance Only'!B30)*100</f>
        <v>#DIV/0!</v>
      </c>
      <c r="AA27" s="269">
        <f t="shared" si="38"/>
        <v>0</v>
      </c>
      <c r="AB27" s="269"/>
      <c r="AC27" s="270">
        <f t="shared" si="4"/>
        <v>0</v>
      </c>
      <c r="AD27" s="285">
        <f t="shared" si="39"/>
        <v>0</v>
      </c>
      <c r="AE27" s="286" t="e">
        <f>(AC27/'Finance Only'!B30)*100</f>
        <v>#DIV/0!</v>
      </c>
      <c r="AF27" s="269">
        <f t="shared" si="91"/>
        <v>0</v>
      </c>
      <c r="AG27" s="269"/>
      <c r="AH27" s="270">
        <f t="shared" si="5"/>
        <v>0</v>
      </c>
      <c r="AI27" s="285">
        <f t="shared" si="40"/>
        <v>0</v>
      </c>
      <c r="AJ27" s="286" t="e">
        <f>(AH27/'Finance Only'!B30)*100</f>
        <v>#DIV/0!</v>
      </c>
      <c r="AK27" s="269">
        <f t="shared" si="92"/>
        <v>0</v>
      </c>
      <c r="AL27" s="269"/>
      <c r="AM27" s="270">
        <f t="shared" si="6"/>
        <v>0</v>
      </c>
      <c r="AN27" s="285">
        <f t="shared" si="41"/>
        <v>0</v>
      </c>
      <c r="AO27" s="286" t="e">
        <f>(AM27/'Finance Only'!B30)*100</f>
        <v>#DIV/0!</v>
      </c>
      <c r="AP27" s="269">
        <f t="shared" si="93"/>
        <v>0</v>
      </c>
      <c r="AQ27" s="269"/>
      <c r="AR27" s="270">
        <f t="shared" si="7"/>
        <v>0</v>
      </c>
      <c r="AS27" s="285">
        <f t="shared" si="42"/>
        <v>0</v>
      </c>
      <c r="AT27" s="286" t="e">
        <f>(AR27/'Finance Only'!B30)*100</f>
        <v>#DIV/0!</v>
      </c>
      <c r="AU27" s="269">
        <f t="shared" si="8"/>
        <v>0</v>
      </c>
      <c r="AV27" s="269"/>
      <c r="AW27" s="270">
        <f t="shared" si="9"/>
        <v>0</v>
      </c>
      <c r="AX27" s="285">
        <f t="shared" si="43"/>
        <v>0</v>
      </c>
      <c r="AY27" s="286" t="e">
        <f>(AW27/'Finance Only'!B30)*100</f>
        <v>#DIV/0!</v>
      </c>
      <c r="AZ27" s="269">
        <f t="shared" si="10"/>
        <v>0</v>
      </c>
      <c r="BA27" s="269"/>
      <c r="BB27" s="270">
        <f t="shared" si="11"/>
        <v>0</v>
      </c>
      <c r="BC27" s="285">
        <f t="shared" si="44"/>
        <v>648320</v>
      </c>
      <c r="BD27" s="286" t="e">
        <f>(BB27/'Finance Only'!B30)*100</f>
        <v>#DIV/0!</v>
      </c>
      <c r="BE27" s="269">
        <f t="shared" si="45"/>
        <v>0</v>
      </c>
      <c r="BF27" s="269"/>
      <c r="BG27" s="270">
        <f t="shared" si="12"/>
        <v>0</v>
      </c>
      <c r="BH27" s="285">
        <f t="shared" si="46"/>
        <v>0</v>
      </c>
      <c r="BI27" s="286" t="e">
        <f>(BG27/'Finance Only'!B30)*100</f>
        <v>#DIV/0!</v>
      </c>
      <c r="BJ27" s="269">
        <f t="shared" si="47"/>
        <v>0</v>
      </c>
      <c r="BK27" s="269"/>
      <c r="BL27" s="270">
        <f t="shared" si="13"/>
        <v>0</v>
      </c>
      <c r="BM27" s="285">
        <f t="shared" si="48"/>
        <v>0</v>
      </c>
      <c r="BN27" s="286" t="e">
        <f>(BL27/'Finance Only'!B30)*100</f>
        <v>#DIV/0!</v>
      </c>
      <c r="BO27" s="269">
        <f t="shared" si="49"/>
        <v>0</v>
      </c>
      <c r="BP27" s="269"/>
      <c r="BQ27" s="270">
        <f t="shared" si="14"/>
        <v>0</v>
      </c>
      <c r="BR27" s="285">
        <f t="shared" si="50"/>
        <v>629790</v>
      </c>
      <c r="BS27" s="286" t="e">
        <f>(BQ27/'Finance Only'!B30)*100</f>
        <v>#DIV/0!</v>
      </c>
      <c r="BT27" s="269">
        <f t="shared" si="51"/>
        <v>0</v>
      </c>
      <c r="BU27" s="269"/>
      <c r="BV27" s="270">
        <f t="shared" si="15"/>
        <v>0</v>
      </c>
      <c r="BW27" s="285">
        <f t="shared" si="52"/>
        <v>0</v>
      </c>
      <c r="BX27" s="286" t="e">
        <f>(BV27/'Finance Only'!B30)*100</f>
        <v>#DIV/0!</v>
      </c>
      <c r="BY27" s="269">
        <f t="shared" si="53"/>
        <v>0</v>
      </c>
      <c r="BZ27" s="269"/>
      <c r="CA27" s="270">
        <f t="shared" si="16"/>
        <v>0</v>
      </c>
      <c r="CB27" s="285">
        <f t="shared" si="54"/>
        <v>0</v>
      </c>
      <c r="CC27" s="286" t="e">
        <f>(CA27/'Finance Only'!B30)*100</f>
        <v>#DIV/0!</v>
      </c>
      <c r="CD27" s="269">
        <f t="shared" si="55"/>
        <v>0</v>
      </c>
      <c r="CE27" s="269"/>
      <c r="CF27" s="270">
        <f t="shared" si="17"/>
        <v>0</v>
      </c>
      <c r="CG27" s="285">
        <f t="shared" si="56"/>
        <v>0</v>
      </c>
      <c r="CH27" s="286" t="e">
        <f>(CF27/'Finance Only'!B30)*100</f>
        <v>#DIV/0!</v>
      </c>
      <c r="CI27" s="270">
        <f t="shared" si="57"/>
        <v>0</v>
      </c>
      <c r="CJ27" s="270"/>
      <c r="CK27" s="270">
        <f t="shared" si="58"/>
        <v>0</v>
      </c>
      <c r="CL27" s="285">
        <f t="shared" si="59"/>
        <v>0</v>
      </c>
      <c r="CM27" s="286" t="e">
        <f>(CK27/'Finance Only'!B30)*100</f>
        <v>#DIV/0!</v>
      </c>
      <c r="CN27" s="269">
        <f t="shared" si="60"/>
        <v>0</v>
      </c>
      <c r="CO27" s="269"/>
      <c r="CP27" s="271">
        <f t="shared" si="18"/>
        <v>0</v>
      </c>
      <c r="CQ27" s="285">
        <f t="shared" si="61"/>
        <v>0</v>
      </c>
      <c r="CR27" s="286" t="e">
        <f>(CP27/'Finance Only'!B30)*100</f>
        <v>#DIV/0!</v>
      </c>
      <c r="CS27" s="269">
        <f t="shared" si="62"/>
        <v>0</v>
      </c>
      <c r="CT27" s="269"/>
      <c r="CU27" s="270">
        <f t="shared" si="19"/>
        <v>0</v>
      </c>
      <c r="CV27" s="285">
        <f t="shared" si="63"/>
        <v>0</v>
      </c>
      <c r="CW27" s="286" t="e">
        <f>(CU27/'Finance Only'!B30)*100</f>
        <v>#DIV/0!</v>
      </c>
      <c r="CX27" s="269">
        <f t="shared" si="64"/>
        <v>0</v>
      </c>
      <c r="CY27" s="269"/>
      <c r="CZ27" s="270">
        <f t="shared" si="20"/>
        <v>0</v>
      </c>
      <c r="DA27" s="285">
        <f t="shared" si="65"/>
        <v>0</v>
      </c>
      <c r="DB27" s="286" t="e">
        <f>(CZ27/'Finance Only'!B30)*100</f>
        <v>#DIV/0!</v>
      </c>
      <c r="DC27" s="269">
        <f t="shared" si="66"/>
        <v>0</v>
      </c>
      <c r="DD27" s="269"/>
      <c r="DE27" s="270">
        <f t="shared" si="21"/>
        <v>0</v>
      </c>
      <c r="DF27" s="285">
        <f t="shared" si="67"/>
        <v>0</v>
      </c>
      <c r="DG27" s="286" t="e">
        <f>(DE27/'Finance Only'!B30)*100</f>
        <v>#DIV/0!</v>
      </c>
      <c r="DH27" s="269">
        <f t="shared" si="68"/>
        <v>0</v>
      </c>
      <c r="DI27" s="269"/>
      <c r="DJ27" s="270">
        <f t="shared" si="22"/>
        <v>0</v>
      </c>
      <c r="DK27" s="285">
        <f t="shared" si="69"/>
        <v>0</v>
      </c>
      <c r="DL27" s="286" t="e">
        <f>(DJ27/'Finance Only'!B30)*100</f>
        <v>#DIV/0!</v>
      </c>
      <c r="DM27" s="269">
        <f t="shared" si="70"/>
        <v>0</v>
      </c>
      <c r="DN27" s="269"/>
      <c r="DO27" s="270">
        <f t="shared" si="23"/>
        <v>0</v>
      </c>
      <c r="DP27" s="285">
        <f t="shared" si="71"/>
        <v>0</v>
      </c>
      <c r="DQ27" s="286" t="e">
        <f>(DO27/'Finance Only'!B30)*100</f>
        <v>#DIV/0!</v>
      </c>
      <c r="DR27" s="269">
        <f t="shared" si="72"/>
        <v>0</v>
      </c>
      <c r="DS27" s="269"/>
      <c r="DT27" s="270">
        <f t="shared" si="24"/>
        <v>0</v>
      </c>
      <c r="DU27" s="285">
        <f t="shared" si="73"/>
        <v>0</v>
      </c>
      <c r="DV27" s="286" t="e">
        <f>(DT27/'Finance Only'!B30)*100</f>
        <v>#DIV/0!</v>
      </c>
      <c r="DW27" s="269">
        <f t="shared" si="74"/>
        <v>0</v>
      </c>
      <c r="DX27" s="269"/>
      <c r="DY27" s="270">
        <f t="shared" si="25"/>
        <v>0</v>
      </c>
      <c r="DZ27" s="285">
        <f t="shared" si="75"/>
        <v>0</v>
      </c>
      <c r="EA27" s="286" t="e">
        <f>(DY27/'Finance Only'!B30)*100</f>
        <v>#DIV/0!</v>
      </c>
      <c r="EB27" s="269">
        <f t="shared" si="76"/>
        <v>0</v>
      </c>
      <c r="EC27" s="269"/>
      <c r="ED27" s="270">
        <f t="shared" si="26"/>
        <v>0</v>
      </c>
      <c r="EE27" s="285">
        <f t="shared" si="77"/>
        <v>0</v>
      </c>
      <c r="EF27" s="286" t="e">
        <f>(ED27/'Finance Only'!B30)*100</f>
        <v>#DIV/0!</v>
      </c>
      <c r="EG27" s="269">
        <f t="shared" si="78"/>
        <v>0</v>
      </c>
      <c r="EH27" s="269"/>
      <c r="EI27" s="270">
        <f t="shared" si="27"/>
        <v>0</v>
      </c>
      <c r="EJ27" s="285">
        <f t="shared" si="79"/>
        <v>0</v>
      </c>
      <c r="EK27" s="286" t="e">
        <f>(EI27/'Finance Only'!B30)*100</f>
        <v>#DIV/0!</v>
      </c>
      <c r="EL27" s="269">
        <f t="shared" si="80"/>
        <v>0</v>
      </c>
      <c r="EM27" s="269"/>
      <c r="EN27" s="270">
        <f t="shared" si="28"/>
        <v>0</v>
      </c>
      <c r="EO27" s="285">
        <f t="shared" si="81"/>
        <v>0</v>
      </c>
      <c r="EP27" s="286" t="e">
        <f>(EN27/'Finance Only'!B30)*100</f>
        <v>#DIV/0!</v>
      </c>
      <c r="EQ27" s="269">
        <f t="shared" si="82"/>
        <v>0</v>
      </c>
      <c r="ER27" s="269"/>
      <c r="ES27" s="270">
        <f t="shared" si="29"/>
        <v>0</v>
      </c>
      <c r="ET27" s="285">
        <f t="shared" si="83"/>
        <v>0</v>
      </c>
      <c r="EU27" s="286" t="e">
        <f>(ES27/'Finance Only'!B30)*100</f>
        <v>#DIV/0!</v>
      </c>
    </row>
    <row r="28" spans="1:1085" s="76" customFormat="1" ht="13.5" customHeight="1" x14ac:dyDescent="0.2">
      <c r="A28" s="260">
        <v>24</v>
      </c>
      <c r="B28" s="267">
        <f t="shared" si="30"/>
        <v>0</v>
      </c>
      <c r="C28" s="267"/>
      <c r="D28" s="268">
        <f t="shared" si="0"/>
        <v>0</v>
      </c>
      <c r="E28" s="281">
        <f t="shared" si="31"/>
        <v>0</v>
      </c>
      <c r="F28" s="282" t="e">
        <f>(D28/'Finance Only'!B31)*100</f>
        <v>#DIV/0!</v>
      </c>
      <c r="G28" s="294">
        <f t="shared" si="84"/>
        <v>0</v>
      </c>
      <c r="H28" s="267"/>
      <c r="I28" s="267">
        <f t="shared" si="32"/>
        <v>0</v>
      </c>
      <c r="J28" s="295">
        <f t="shared" si="33"/>
        <v>0</v>
      </c>
      <c r="K28" s="296" t="e">
        <f>(I28/'Finance Only'!B31)*100</f>
        <v>#DIV/0!</v>
      </c>
      <c r="L28" s="277">
        <f t="shared" si="34"/>
        <v>0</v>
      </c>
      <c r="M28" s="269"/>
      <c r="N28" s="270">
        <f t="shared" si="1"/>
        <v>0</v>
      </c>
      <c r="O28" s="285">
        <f t="shared" si="35"/>
        <v>0</v>
      </c>
      <c r="P28" s="286" t="e">
        <f>(N28/'Finance Only'!B31)*100</f>
        <v>#DIV/0!</v>
      </c>
      <c r="Q28" s="276">
        <f t="shared" si="85"/>
        <v>0</v>
      </c>
      <c r="R28" s="269"/>
      <c r="S28" s="270">
        <f t="shared" si="2"/>
        <v>0</v>
      </c>
      <c r="T28" s="285">
        <f t="shared" si="36"/>
        <v>0</v>
      </c>
      <c r="U28" s="286" t="e">
        <f>(S28/'Finance Only'!B31)*100</f>
        <v>#DIV/0!</v>
      </c>
      <c r="V28" s="269">
        <f t="shared" si="90"/>
        <v>0</v>
      </c>
      <c r="W28" s="269"/>
      <c r="X28" s="270">
        <f t="shared" si="3"/>
        <v>0</v>
      </c>
      <c r="Y28" s="285">
        <f t="shared" si="37"/>
        <v>0</v>
      </c>
      <c r="Z28" s="286" t="e">
        <f>(X28/'Finance Only'!B31)*100</f>
        <v>#DIV/0!</v>
      </c>
      <c r="AA28" s="269">
        <f t="shared" si="38"/>
        <v>0</v>
      </c>
      <c r="AB28" s="269"/>
      <c r="AC28" s="270">
        <f t="shared" si="4"/>
        <v>0</v>
      </c>
      <c r="AD28" s="285">
        <f t="shared" si="39"/>
        <v>0</v>
      </c>
      <c r="AE28" s="286" t="e">
        <f>(AC28/'Finance Only'!B31)*100</f>
        <v>#DIV/0!</v>
      </c>
      <c r="AF28" s="269">
        <f t="shared" si="91"/>
        <v>0</v>
      </c>
      <c r="AG28" s="269"/>
      <c r="AH28" s="270">
        <f t="shared" si="5"/>
        <v>0</v>
      </c>
      <c r="AI28" s="285">
        <f t="shared" si="40"/>
        <v>0</v>
      </c>
      <c r="AJ28" s="286" t="e">
        <f>(AH28/'Finance Only'!B31)*100</f>
        <v>#DIV/0!</v>
      </c>
      <c r="AK28" s="269">
        <f t="shared" si="92"/>
        <v>0</v>
      </c>
      <c r="AL28" s="269"/>
      <c r="AM28" s="270">
        <f t="shared" si="6"/>
        <v>0</v>
      </c>
      <c r="AN28" s="285">
        <f t="shared" si="41"/>
        <v>0</v>
      </c>
      <c r="AO28" s="286" t="e">
        <f>(AM28/'Finance Only'!B31)*100</f>
        <v>#DIV/0!</v>
      </c>
      <c r="AP28" s="269">
        <f t="shared" si="93"/>
        <v>0</v>
      </c>
      <c r="AQ28" s="269"/>
      <c r="AR28" s="270">
        <f t="shared" si="7"/>
        <v>0</v>
      </c>
      <c r="AS28" s="285">
        <f t="shared" si="42"/>
        <v>0</v>
      </c>
      <c r="AT28" s="286" t="e">
        <f>(AR28/'Finance Only'!B31)*100</f>
        <v>#DIV/0!</v>
      </c>
      <c r="AU28" s="269">
        <f t="shared" si="8"/>
        <v>0</v>
      </c>
      <c r="AV28" s="269"/>
      <c r="AW28" s="270">
        <f t="shared" si="9"/>
        <v>0</v>
      </c>
      <c r="AX28" s="285">
        <f t="shared" si="43"/>
        <v>0</v>
      </c>
      <c r="AY28" s="286" t="e">
        <f>(AW28/'Finance Only'!B31)*100</f>
        <v>#DIV/0!</v>
      </c>
      <c r="AZ28" s="269">
        <f t="shared" si="10"/>
        <v>0</v>
      </c>
      <c r="BA28" s="269"/>
      <c r="BB28" s="270">
        <f t="shared" si="11"/>
        <v>0</v>
      </c>
      <c r="BC28" s="285">
        <f t="shared" si="44"/>
        <v>0</v>
      </c>
      <c r="BD28" s="286" t="e">
        <f>(BB28/'Finance Only'!B31)*100</f>
        <v>#DIV/0!</v>
      </c>
      <c r="BE28" s="269">
        <f t="shared" si="45"/>
        <v>0</v>
      </c>
      <c r="BF28" s="269"/>
      <c r="BG28" s="270">
        <f t="shared" si="12"/>
        <v>0</v>
      </c>
      <c r="BH28" s="285">
        <f t="shared" si="46"/>
        <v>0</v>
      </c>
      <c r="BI28" s="286" t="e">
        <f>(BG28/'Finance Only'!B31)*100</f>
        <v>#DIV/0!</v>
      </c>
      <c r="BJ28" s="269">
        <f t="shared" si="47"/>
        <v>0</v>
      </c>
      <c r="BK28" s="269"/>
      <c r="BL28" s="270">
        <f t="shared" si="13"/>
        <v>0</v>
      </c>
      <c r="BM28" s="285">
        <f t="shared" si="48"/>
        <v>0</v>
      </c>
      <c r="BN28" s="286" t="e">
        <f>(BL28/'Finance Only'!B31)*100</f>
        <v>#DIV/0!</v>
      </c>
      <c r="BO28" s="269">
        <f t="shared" si="49"/>
        <v>0</v>
      </c>
      <c r="BP28" s="269"/>
      <c r="BQ28" s="270">
        <f t="shared" si="14"/>
        <v>0</v>
      </c>
      <c r="BR28" s="285">
        <f t="shared" si="50"/>
        <v>0</v>
      </c>
      <c r="BS28" s="286" t="e">
        <f>(BQ28/'Finance Only'!B31)*100</f>
        <v>#DIV/0!</v>
      </c>
      <c r="BT28" s="269">
        <f t="shared" si="51"/>
        <v>0</v>
      </c>
      <c r="BU28" s="269"/>
      <c r="BV28" s="270">
        <f t="shared" si="15"/>
        <v>0</v>
      </c>
      <c r="BW28" s="285">
        <f t="shared" si="52"/>
        <v>0</v>
      </c>
      <c r="BX28" s="286" t="e">
        <f>(BV28/'Finance Only'!B31)*100</f>
        <v>#DIV/0!</v>
      </c>
      <c r="BY28" s="269">
        <f t="shared" si="53"/>
        <v>0</v>
      </c>
      <c r="BZ28" s="269"/>
      <c r="CA28" s="270">
        <f t="shared" si="16"/>
        <v>0</v>
      </c>
      <c r="CB28" s="285">
        <f t="shared" si="54"/>
        <v>0</v>
      </c>
      <c r="CC28" s="286" t="e">
        <f>(CA28/'Finance Only'!B31)*100</f>
        <v>#DIV/0!</v>
      </c>
      <c r="CD28" s="269">
        <f t="shared" si="55"/>
        <v>0</v>
      </c>
      <c r="CE28" s="269"/>
      <c r="CF28" s="270">
        <f t="shared" si="17"/>
        <v>0</v>
      </c>
      <c r="CG28" s="285">
        <f t="shared" si="56"/>
        <v>0</v>
      </c>
      <c r="CH28" s="286" t="e">
        <f>(CF28/'Finance Only'!B31)*100</f>
        <v>#DIV/0!</v>
      </c>
      <c r="CI28" s="270">
        <f t="shared" si="57"/>
        <v>0</v>
      </c>
      <c r="CJ28" s="270"/>
      <c r="CK28" s="270">
        <f t="shared" si="58"/>
        <v>0</v>
      </c>
      <c r="CL28" s="285">
        <f t="shared" si="59"/>
        <v>0</v>
      </c>
      <c r="CM28" s="286" t="e">
        <f>(CK28/'Finance Only'!B31)*100</f>
        <v>#DIV/0!</v>
      </c>
      <c r="CN28" s="269">
        <f t="shared" si="60"/>
        <v>0</v>
      </c>
      <c r="CO28" s="269"/>
      <c r="CP28" s="271">
        <f t="shared" si="18"/>
        <v>0</v>
      </c>
      <c r="CQ28" s="285">
        <f t="shared" si="61"/>
        <v>0</v>
      </c>
      <c r="CR28" s="286" t="e">
        <f>(CP28/'Finance Only'!B31)*100</f>
        <v>#DIV/0!</v>
      </c>
      <c r="CS28" s="269">
        <f t="shared" si="62"/>
        <v>0</v>
      </c>
      <c r="CT28" s="269"/>
      <c r="CU28" s="270">
        <f t="shared" si="19"/>
        <v>0</v>
      </c>
      <c r="CV28" s="285">
        <f t="shared" si="63"/>
        <v>0</v>
      </c>
      <c r="CW28" s="286" t="e">
        <f>(CU28/'Finance Only'!B31)*100</f>
        <v>#DIV/0!</v>
      </c>
      <c r="CX28" s="269">
        <f t="shared" si="64"/>
        <v>0</v>
      </c>
      <c r="CY28" s="269"/>
      <c r="CZ28" s="270">
        <f t="shared" si="20"/>
        <v>0</v>
      </c>
      <c r="DA28" s="285">
        <f t="shared" si="65"/>
        <v>0</v>
      </c>
      <c r="DB28" s="286" t="e">
        <f>(CZ28/'Finance Only'!B31)*100</f>
        <v>#DIV/0!</v>
      </c>
      <c r="DC28" s="269">
        <f t="shared" si="66"/>
        <v>0</v>
      </c>
      <c r="DD28" s="269"/>
      <c r="DE28" s="270">
        <f t="shared" si="21"/>
        <v>0</v>
      </c>
      <c r="DF28" s="285">
        <f t="shared" si="67"/>
        <v>0</v>
      </c>
      <c r="DG28" s="286" t="e">
        <f>(DE28/'Finance Only'!B31)*100</f>
        <v>#DIV/0!</v>
      </c>
      <c r="DH28" s="269">
        <f t="shared" si="68"/>
        <v>0</v>
      </c>
      <c r="DI28" s="269"/>
      <c r="DJ28" s="270">
        <f t="shared" si="22"/>
        <v>0</v>
      </c>
      <c r="DK28" s="285">
        <f t="shared" si="69"/>
        <v>0</v>
      </c>
      <c r="DL28" s="286" t="e">
        <f>(DJ28/'Finance Only'!B31)*100</f>
        <v>#DIV/0!</v>
      </c>
      <c r="DM28" s="269">
        <f t="shared" si="70"/>
        <v>0</v>
      </c>
      <c r="DN28" s="269"/>
      <c r="DO28" s="270">
        <f t="shared" si="23"/>
        <v>0</v>
      </c>
      <c r="DP28" s="285">
        <f t="shared" si="71"/>
        <v>0</v>
      </c>
      <c r="DQ28" s="286" t="e">
        <f>(DO28/'Finance Only'!B31)*100</f>
        <v>#DIV/0!</v>
      </c>
      <c r="DR28" s="269">
        <f t="shared" si="72"/>
        <v>0</v>
      </c>
      <c r="DS28" s="269"/>
      <c r="DT28" s="270">
        <f t="shared" si="24"/>
        <v>0</v>
      </c>
      <c r="DU28" s="285">
        <f t="shared" si="73"/>
        <v>0</v>
      </c>
      <c r="DV28" s="286" t="e">
        <f>(DT28/'Finance Only'!B31)*100</f>
        <v>#DIV/0!</v>
      </c>
      <c r="DW28" s="269">
        <f t="shared" si="74"/>
        <v>0</v>
      </c>
      <c r="DX28" s="269"/>
      <c r="DY28" s="270">
        <f t="shared" si="25"/>
        <v>0</v>
      </c>
      <c r="DZ28" s="285">
        <f t="shared" si="75"/>
        <v>0</v>
      </c>
      <c r="EA28" s="286" t="e">
        <f>(DY28/'Finance Only'!B31)*100</f>
        <v>#DIV/0!</v>
      </c>
      <c r="EB28" s="269">
        <f t="shared" si="76"/>
        <v>0</v>
      </c>
      <c r="EC28" s="269"/>
      <c r="ED28" s="270">
        <f t="shared" si="26"/>
        <v>0</v>
      </c>
      <c r="EE28" s="285">
        <f t="shared" si="77"/>
        <v>0</v>
      </c>
      <c r="EF28" s="286" t="e">
        <f>(ED28/'Finance Only'!B31)*100</f>
        <v>#DIV/0!</v>
      </c>
      <c r="EG28" s="269">
        <f t="shared" si="78"/>
        <v>0</v>
      </c>
      <c r="EH28" s="269"/>
      <c r="EI28" s="270">
        <f t="shared" si="27"/>
        <v>0</v>
      </c>
      <c r="EJ28" s="285">
        <f t="shared" si="79"/>
        <v>0</v>
      </c>
      <c r="EK28" s="286" t="e">
        <f>(EI28/'Finance Only'!B31)*100</f>
        <v>#DIV/0!</v>
      </c>
      <c r="EL28" s="269">
        <f t="shared" si="80"/>
        <v>0</v>
      </c>
      <c r="EM28" s="269"/>
      <c r="EN28" s="270">
        <f t="shared" si="28"/>
        <v>0</v>
      </c>
      <c r="EO28" s="285">
        <f t="shared" si="81"/>
        <v>0</v>
      </c>
      <c r="EP28" s="286" t="e">
        <f>(EN28/'Finance Only'!B31)*100</f>
        <v>#DIV/0!</v>
      </c>
      <c r="EQ28" s="269">
        <f t="shared" si="82"/>
        <v>0</v>
      </c>
      <c r="ER28" s="269"/>
      <c r="ES28" s="270">
        <f t="shared" si="29"/>
        <v>0</v>
      </c>
      <c r="ET28" s="285">
        <f t="shared" si="83"/>
        <v>0</v>
      </c>
      <c r="EU28" s="286" t="e">
        <f>(ES28/'Finance Only'!B31)*100</f>
        <v>#DIV/0!</v>
      </c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</row>
    <row r="29" spans="1:1085" s="3" customFormat="1" ht="13.5" customHeight="1" x14ac:dyDescent="0.2">
      <c r="A29" s="260">
        <v>25</v>
      </c>
      <c r="B29" s="267">
        <f t="shared" si="30"/>
        <v>0</v>
      </c>
      <c r="C29" s="267"/>
      <c r="D29" s="268">
        <f t="shared" si="0"/>
        <v>0</v>
      </c>
      <c r="E29" s="281">
        <f t="shared" si="31"/>
        <v>0</v>
      </c>
      <c r="F29" s="282" t="e">
        <f>(D29/'Finance Only'!B32)*100</f>
        <v>#DIV/0!</v>
      </c>
      <c r="G29" s="294">
        <f t="shared" si="84"/>
        <v>0</v>
      </c>
      <c r="H29" s="267"/>
      <c r="I29" s="267">
        <f t="shared" si="32"/>
        <v>0</v>
      </c>
      <c r="J29" s="295">
        <f t="shared" si="33"/>
        <v>0</v>
      </c>
      <c r="K29" s="296" t="e">
        <f>(I29/'Finance Only'!B32)*100</f>
        <v>#DIV/0!</v>
      </c>
      <c r="L29" s="277">
        <f t="shared" si="34"/>
        <v>0</v>
      </c>
      <c r="M29" s="269"/>
      <c r="N29" s="270">
        <f t="shared" si="1"/>
        <v>0</v>
      </c>
      <c r="O29" s="285">
        <f t="shared" si="35"/>
        <v>0</v>
      </c>
      <c r="P29" s="286" t="e">
        <f>(N29/'Finance Only'!B32)*100</f>
        <v>#DIV/0!</v>
      </c>
      <c r="Q29" s="276">
        <f t="shared" si="85"/>
        <v>0</v>
      </c>
      <c r="R29" s="269"/>
      <c r="S29" s="270">
        <f t="shared" si="2"/>
        <v>0</v>
      </c>
      <c r="T29" s="285">
        <f t="shared" si="36"/>
        <v>0</v>
      </c>
      <c r="U29" s="286" t="e">
        <f>(S29/'Finance Only'!B32)*100</f>
        <v>#DIV/0!</v>
      </c>
      <c r="V29" s="269">
        <f t="shared" si="90"/>
        <v>0</v>
      </c>
      <c r="W29" s="269"/>
      <c r="X29" s="270">
        <f t="shared" si="3"/>
        <v>0</v>
      </c>
      <c r="Y29" s="285">
        <f t="shared" si="37"/>
        <v>0</v>
      </c>
      <c r="Z29" s="286" t="e">
        <f>(X29/'Finance Only'!B32)*100</f>
        <v>#DIV/0!</v>
      </c>
      <c r="AA29" s="269">
        <f t="shared" si="38"/>
        <v>0</v>
      </c>
      <c r="AB29" s="269"/>
      <c r="AC29" s="270">
        <f t="shared" si="4"/>
        <v>0</v>
      </c>
      <c r="AD29" s="285">
        <f t="shared" si="39"/>
        <v>0</v>
      </c>
      <c r="AE29" s="286" t="e">
        <f>(AC29/'Finance Only'!B32)*100</f>
        <v>#DIV/0!</v>
      </c>
      <c r="AF29" s="269">
        <f t="shared" si="91"/>
        <v>0</v>
      </c>
      <c r="AG29" s="269"/>
      <c r="AH29" s="270">
        <f t="shared" si="5"/>
        <v>0</v>
      </c>
      <c r="AI29" s="285">
        <f t="shared" si="40"/>
        <v>0</v>
      </c>
      <c r="AJ29" s="286" t="e">
        <f>(AH29/'Finance Only'!B32)*100</f>
        <v>#DIV/0!</v>
      </c>
      <c r="AK29" s="269">
        <f t="shared" si="92"/>
        <v>0</v>
      </c>
      <c r="AL29" s="269"/>
      <c r="AM29" s="270">
        <f t="shared" si="6"/>
        <v>0</v>
      </c>
      <c r="AN29" s="285">
        <f t="shared" si="41"/>
        <v>0</v>
      </c>
      <c r="AO29" s="286" t="e">
        <f>(AM29/'Finance Only'!B32)*100</f>
        <v>#DIV/0!</v>
      </c>
      <c r="AP29" s="269">
        <f t="shared" si="93"/>
        <v>0</v>
      </c>
      <c r="AQ29" s="269"/>
      <c r="AR29" s="270">
        <f t="shared" si="7"/>
        <v>0</v>
      </c>
      <c r="AS29" s="285">
        <f t="shared" si="42"/>
        <v>0</v>
      </c>
      <c r="AT29" s="286" t="e">
        <f>(AR29/'Finance Only'!B32)*100</f>
        <v>#DIV/0!</v>
      </c>
      <c r="AU29" s="269">
        <f t="shared" si="8"/>
        <v>0</v>
      </c>
      <c r="AV29" s="269"/>
      <c r="AW29" s="270">
        <f t="shared" si="9"/>
        <v>0</v>
      </c>
      <c r="AX29" s="285">
        <f t="shared" si="43"/>
        <v>0</v>
      </c>
      <c r="AY29" s="286" t="e">
        <f>(AW29/'Finance Only'!B32)*100</f>
        <v>#DIV/0!</v>
      </c>
      <c r="AZ29" s="269">
        <f t="shared" si="10"/>
        <v>0</v>
      </c>
      <c r="BA29" s="269"/>
      <c r="BB29" s="270">
        <f t="shared" si="11"/>
        <v>0</v>
      </c>
      <c r="BC29" s="285">
        <f t="shared" si="44"/>
        <v>0</v>
      </c>
      <c r="BD29" s="286" t="e">
        <f>(BB29/'Finance Only'!B32)*100</f>
        <v>#DIV/0!</v>
      </c>
      <c r="BE29" s="269">
        <f t="shared" si="45"/>
        <v>0</v>
      </c>
      <c r="BF29" s="269"/>
      <c r="BG29" s="270">
        <f t="shared" si="12"/>
        <v>0</v>
      </c>
      <c r="BH29" s="285">
        <f t="shared" si="46"/>
        <v>0</v>
      </c>
      <c r="BI29" s="286" t="e">
        <f>(BG29/'Finance Only'!B32)*100</f>
        <v>#DIV/0!</v>
      </c>
      <c r="BJ29" s="269">
        <f t="shared" si="47"/>
        <v>0</v>
      </c>
      <c r="BK29" s="269"/>
      <c r="BL29" s="270">
        <f t="shared" si="13"/>
        <v>0</v>
      </c>
      <c r="BM29" s="285">
        <f t="shared" si="48"/>
        <v>0</v>
      </c>
      <c r="BN29" s="286" t="e">
        <f>(BL29/'Finance Only'!B32)*100</f>
        <v>#DIV/0!</v>
      </c>
      <c r="BO29" s="269">
        <f t="shared" si="49"/>
        <v>0</v>
      </c>
      <c r="BP29" s="269"/>
      <c r="BQ29" s="270">
        <f t="shared" si="14"/>
        <v>0</v>
      </c>
      <c r="BR29" s="285">
        <f t="shared" si="50"/>
        <v>0</v>
      </c>
      <c r="BS29" s="286" t="e">
        <f>(BQ29/'Finance Only'!B32)*100</f>
        <v>#DIV/0!</v>
      </c>
      <c r="BT29" s="269">
        <f t="shared" si="51"/>
        <v>0</v>
      </c>
      <c r="BU29" s="269"/>
      <c r="BV29" s="270">
        <f t="shared" si="15"/>
        <v>0</v>
      </c>
      <c r="BW29" s="285">
        <f t="shared" si="52"/>
        <v>0</v>
      </c>
      <c r="BX29" s="286" t="e">
        <f>(BV29/'Finance Only'!B32)*100</f>
        <v>#DIV/0!</v>
      </c>
      <c r="BY29" s="269">
        <f t="shared" si="53"/>
        <v>0</v>
      </c>
      <c r="BZ29" s="269"/>
      <c r="CA29" s="270">
        <f t="shared" si="16"/>
        <v>0</v>
      </c>
      <c r="CB29" s="285">
        <f t="shared" si="54"/>
        <v>0</v>
      </c>
      <c r="CC29" s="286" t="e">
        <f>(CA29/'Finance Only'!B32)*100</f>
        <v>#DIV/0!</v>
      </c>
      <c r="CD29" s="269">
        <f t="shared" si="55"/>
        <v>0</v>
      </c>
      <c r="CE29" s="269"/>
      <c r="CF29" s="270">
        <f t="shared" si="17"/>
        <v>0</v>
      </c>
      <c r="CG29" s="285">
        <f t="shared" si="56"/>
        <v>0</v>
      </c>
      <c r="CH29" s="286" t="e">
        <f>(CF29/'Finance Only'!B32)*100</f>
        <v>#DIV/0!</v>
      </c>
      <c r="CI29" s="270">
        <f t="shared" si="57"/>
        <v>0</v>
      </c>
      <c r="CJ29" s="270"/>
      <c r="CK29" s="270">
        <f t="shared" si="58"/>
        <v>0</v>
      </c>
      <c r="CL29" s="285">
        <f t="shared" si="59"/>
        <v>0</v>
      </c>
      <c r="CM29" s="286" t="e">
        <f>(CK29/'Finance Only'!B32)*100</f>
        <v>#DIV/0!</v>
      </c>
      <c r="CN29" s="269">
        <f t="shared" si="60"/>
        <v>0</v>
      </c>
      <c r="CO29" s="269"/>
      <c r="CP29" s="271">
        <f t="shared" si="18"/>
        <v>0</v>
      </c>
      <c r="CQ29" s="285">
        <f t="shared" si="61"/>
        <v>0</v>
      </c>
      <c r="CR29" s="286" t="e">
        <f>(CP29/'Finance Only'!B32)*100</f>
        <v>#DIV/0!</v>
      </c>
      <c r="CS29" s="269">
        <f t="shared" si="62"/>
        <v>0</v>
      </c>
      <c r="CT29" s="269"/>
      <c r="CU29" s="270">
        <f t="shared" si="19"/>
        <v>0</v>
      </c>
      <c r="CV29" s="285">
        <f t="shared" si="63"/>
        <v>0</v>
      </c>
      <c r="CW29" s="286" t="e">
        <f>(CU29/'Finance Only'!B32)*100</f>
        <v>#DIV/0!</v>
      </c>
      <c r="CX29" s="269">
        <f t="shared" si="64"/>
        <v>0</v>
      </c>
      <c r="CY29" s="269"/>
      <c r="CZ29" s="270">
        <f t="shared" si="20"/>
        <v>0</v>
      </c>
      <c r="DA29" s="285">
        <f t="shared" si="65"/>
        <v>0</v>
      </c>
      <c r="DB29" s="286" t="e">
        <f>(CZ29/'Finance Only'!B32)*100</f>
        <v>#DIV/0!</v>
      </c>
      <c r="DC29" s="269">
        <f t="shared" si="66"/>
        <v>0</v>
      </c>
      <c r="DD29" s="269"/>
      <c r="DE29" s="270">
        <f t="shared" si="21"/>
        <v>0</v>
      </c>
      <c r="DF29" s="285">
        <f t="shared" si="67"/>
        <v>0</v>
      </c>
      <c r="DG29" s="286" t="e">
        <f>(DE29/'Finance Only'!B32)*100</f>
        <v>#DIV/0!</v>
      </c>
      <c r="DH29" s="269">
        <f t="shared" si="68"/>
        <v>0</v>
      </c>
      <c r="DI29" s="269"/>
      <c r="DJ29" s="270">
        <f t="shared" si="22"/>
        <v>0</v>
      </c>
      <c r="DK29" s="285">
        <f t="shared" si="69"/>
        <v>0</v>
      </c>
      <c r="DL29" s="286" t="e">
        <f>(DJ29/'Finance Only'!B32)*100</f>
        <v>#DIV/0!</v>
      </c>
      <c r="DM29" s="269">
        <f t="shared" si="70"/>
        <v>0</v>
      </c>
      <c r="DN29" s="269"/>
      <c r="DO29" s="270">
        <f t="shared" si="23"/>
        <v>0</v>
      </c>
      <c r="DP29" s="285">
        <f t="shared" si="71"/>
        <v>0</v>
      </c>
      <c r="DQ29" s="286" t="e">
        <f>(DO29/'Finance Only'!B32)*100</f>
        <v>#DIV/0!</v>
      </c>
      <c r="DR29" s="269">
        <f t="shared" si="72"/>
        <v>0</v>
      </c>
      <c r="DS29" s="269"/>
      <c r="DT29" s="270">
        <f t="shared" si="24"/>
        <v>0</v>
      </c>
      <c r="DU29" s="285">
        <f t="shared" si="73"/>
        <v>0</v>
      </c>
      <c r="DV29" s="286" t="e">
        <f>(DT29/'Finance Only'!B32)*100</f>
        <v>#DIV/0!</v>
      </c>
      <c r="DW29" s="269">
        <f t="shared" si="74"/>
        <v>0</v>
      </c>
      <c r="DX29" s="269"/>
      <c r="DY29" s="270">
        <f t="shared" si="25"/>
        <v>0</v>
      </c>
      <c r="DZ29" s="285">
        <f t="shared" si="75"/>
        <v>0</v>
      </c>
      <c r="EA29" s="286" t="e">
        <f>(DY29/'Finance Only'!B32)*100</f>
        <v>#DIV/0!</v>
      </c>
      <c r="EB29" s="269">
        <f t="shared" si="76"/>
        <v>0</v>
      </c>
      <c r="EC29" s="269"/>
      <c r="ED29" s="270">
        <f t="shared" si="26"/>
        <v>0</v>
      </c>
      <c r="EE29" s="285">
        <f t="shared" si="77"/>
        <v>0</v>
      </c>
      <c r="EF29" s="286" t="e">
        <f>(ED29/'Finance Only'!B32)*100</f>
        <v>#DIV/0!</v>
      </c>
      <c r="EG29" s="269">
        <f t="shared" si="78"/>
        <v>0</v>
      </c>
      <c r="EH29" s="269"/>
      <c r="EI29" s="270">
        <f t="shared" si="27"/>
        <v>0</v>
      </c>
      <c r="EJ29" s="285">
        <f t="shared" si="79"/>
        <v>0</v>
      </c>
      <c r="EK29" s="286" t="e">
        <f>(EI29/'Finance Only'!B32)*100</f>
        <v>#DIV/0!</v>
      </c>
      <c r="EL29" s="269">
        <f t="shared" si="80"/>
        <v>0</v>
      </c>
      <c r="EM29" s="269"/>
      <c r="EN29" s="270">
        <f t="shared" si="28"/>
        <v>0</v>
      </c>
      <c r="EO29" s="285">
        <f t="shared" si="81"/>
        <v>0</v>
      </c>
      <c r="EP29" s="286" t="e">
        <f>(EN29/'Finance Only'!B32)*100</f>
        <v>#DIV/0!</v>
      </c>
      <c r="EQ29" s="269">
        <f t="shared" si="82"/>
        <v>0</v>
      </c>
      <c r="ER29" s="269"/>
      <c r="ES29" s="270">
        <f t="shared" si="29"/>
        <v>0</v>
      </c>
      <c r="ET29" s="285">
        <f t="shared" si="83"/>
        <v>0</v>
      </c>
      <c r="EU29" s="286" t="e">
        <f>(ES29/'Finance Only'!B32)*100</f>
        <v>#DIV/0!</v>
      </c>
    </row>
    <row r="30" spans="1:1085" s="3" customFormat="1" ht="13.5" customHeight="1" x14ac:dyDescent="0.2">
      <c r="A30" s="260">
        <v>26</v>
      </c>
      <c r="B30" s="267">
        <f t="shared" si="30"/>
        <v>0</v>
      </c>
      <c r="C30" s="267"/>
      <c r="D30" s="268">
        <f t="shared" si="0"/>
        <v>0</v>
      </c>
      <c r="E30" s="281">
        <f t="shared" si="31"/>
        <v>0</v>
      </c>
      <c r="F30" s="282" t="e">
        <f>(D30/'Finance Only'!B33)*100</f>
        <v>#DIV/0!</v>
      </c>
      <c r="G30" s="294">
        <f t="shared" si="84"/>
        <v>0</v>
      </c>
      <c r="H30" s="267"/>
      <c r="I30" s="267">
        <f t="shared" si="32"/>
        <v>0</v>
      </c>
      <c r="J30" s="295">
        <f t="shared" si="33"/>
        <v>0</v>
      </c>
      <c r="K30" s="296" t="e">
        <f>(I30/'Finance Only'!B33)*100</f>
        <v>#DIV/0!</v>
      </c>
      <c r="L30" s="277">
        <f t="shared" si="34"/>
        <v>0</v>
      </c>
      <c r="M30" s="269"/>
      <c r="N30" s="270">
        <f t="shared" si="1"/>
        <v>0</v>
      </c>
      <c r="O30" s="285">
        <f t="shared" si="35"/>
        <v>0</v>
      </c>
      <c r="P30" s="286" t="e">
        <f>(N30/'Finance Only'!B33)*100</f>
        <v>#DIV/0!</v>
      </c>
      <c r="Q30" s="276">
        <f t="shared" si="85"/>
        <v>0</v>
      </c>
      <c r="R30" s="269"/>
      <c r="S30" s="270">
        <f t="shared" si="2"/>
        <v>0</v>
      </c>
      <c r="T30" s="285">
        <f t="shared" si="36"/>
        <v>0</v>
      </c>
      <c r="U30" s="286" t="e">
        <f>(S30/'Finance Only'!B33)*100</f>
        <v>#DIV/0!</v>
      </c>
      <c r="V30" s="269">
        <f t="shared" si="90"/>
        <v>0</v>
      </c>
      <c r="W30" s="269"/>
      <c r="X30" s="270">
        <f t="shared" si="3"/>
        <v>0</v>
      </c>
      <c r="Y30" s="285">
        <f t="shared" si="37"/>
        <v>0</v>
      </c>
      <c r="Z30" s="286" t="e">
        <f>(X30/'Finance Only'!B33)*100</f>
        <v>#DIV/0!</v>
      </c>
      <c r="AA30" s="269">
        <f t="shared" si="38"/>
        <v>0</v>
      </c>
      <c r="AB30" s="269"/>
      <c r="AC30" s="270">
        <f t="shared" si="4"/>
        <v>0</v>
      </c>
      <c r="AD30" s="285">
        <f t="shared" si="39"/>
        <v>0</v>
      </c>
      <c r="AE30" s="286" t="e">
        <f>(AC30/'Finance Only'!B33)*100</f>
        <v>#DIV/0!</v>
      </c>
      <c r="AF30" s="269">
        <f t="shared" si="91"/>
        <v>0</v>
      </c>
      <c r="AG30" s="269"/>
      <c r="AH30" s="270">
        <f t="shared" si="5"/>
        <v>0</v>
      </c>
      <c r="AI30" s="285">
        <f t="shared" si="40"/>
        <v>0</v>
      </c>
      <c r="AJ30" s="286" t="e">
        <f>(AH30/'Finance Only'!B33)*100</f>
        <v>#DIV/0!</v>
      </c>
      <c r="AK30" s="269">
        <f t="shared" si="92"/>
        <v>0</v>
      </c>
      <c r="AL30" s="269"/>
      <c r="AM30" s="270">
        <f t="shared" si="6"/>
        <v>0</v>
      </c>
      <c r="AN30" s="285">
        <f t="shared" si="41"/>
        <v>0</v>
      </c>
      <c r="AO30" s="286" t="e">
        <f>(AM30/'Finance Only'!B33)*100</f>
        <v>#DIV/0!</v>
      </c>
      <c r="AP30" s="269">
        <f t="shared" si="93"/>
        <v>0</v>
      </c>
      <c r="AQ30" s="269"/>
      <c r="AR30" s="270">
        <f t="shared" si="7"/>
        <v>0</v>
      </c>
      <c r="AS30" s="285">
        <f t="shared" si="42"/>
        <v>0</v>
      </c>
      <c r="AT30" s="286" t="e">
        <f>(AR30/'Finance Only'!B33)*100</f>
        <v>#DIV/0!</v>
      </c>
      <c r="AU30" s="269">
        <f t="shared" si="8"/>
        <v>0</v>
      </c>
      <c r="AV30" s="269"/>
      <c r="AW30" s="270">
        <f t="shared" si="9"/>
        <v>0</v>
      </c>
      <c r="AX30" s="285">
        <f t="shared" si="43"/>
        <v>0</v>
      </c>
      <c r="AY30" s="286" t="e">
        <f>(AW30/'Finance Only'!B33)*100</f>
        <v>#DIV/0!</v>
      </c>
      <c r="AZ30" s="269">
        <f t="shared" si="10"/>
        <v>0</v>
      </c>
      <c r="BA30" s="269"/>
      <c r="BB30" s="270">
        <f t="shared" si="11"/>
        <v>0</v>
      </c>
      <c r="BC30" s="285">
        <f t="shared" si="44"/>
        <v>0</v>
      </c>
      <c r="BD30" s="286" t="e">
        <f>(BB30/'Finance Only'!B33)*100</f>
        <v>#DIV/0!</v>
      </c>
      <c r="BE30" s="269">
        <f t="shared" si="45"/>
        <v>0</v>
      </c>
      <c r="BF30" s="269"/>
      <c r="BG30" s="270">
        <f t="shared" si="12"/>
        <v>0</v>
      </c>
      <c r="BH30" s="285">
        <f t="shared" si="46"/>
        <v>0</v>
      </c>
      <c r="BI30" s="286" t="e">
        <f>(BG30/'Finance Only'!B33)*100</f>
        <v>#DIV/0!</v>
      </c>
      <c r="BJ30" s="269">
        <f t="shared" si="47"/>
        <v>0</v>
      </c>
      <c r="BK30" s="269"/>
      <c r="BL30" s="270">
        <f t="shared" si="13"/>
        <v>0</v>
      </c>
      <c r="BM30" s="285">
        <f t="shared" si="48"/>
        <v>0</v>
      </c>
      <c r="BN30" s="286" t="e">
        <f>(BL30/'Finance Only'!B33)*100</f>
        <v>#DIV/0!</v>
      </c>
      <c r="BO30" s="269">
        <f t="shared" si="49"/>
        <v>0</v>
      </c>
      <c r="BP30" s="269"/>
      <c r="BQ30" s="270">
        <f t="shared" si="14"/>
        <v>0</v>
      </c>
      <c r="BR30" s="285">
        <f t="shared" si="50"/>
        <v>0</v>
      </c>
      <c r="BS30" s="286" t="e">
        <f>(BQ30/'Finance Only'!B33)*100</f>
        <v>#DIV/0!</v>
      </c>
      <c r="BT30" s="269">
        <f t="shared" si="51"/>
        <v>0</v>
      </c>
      <c r="BU30" s="269"/>
      <c r="BV30" s="270">
        <f t="shared" si="15"/>
        <v>0</v>
      </c>
      <c r="BW30" s="285">
        <f t="shared" si="52"/>
        <v>0</v>
      </c>
      <c r="BX30" s="286" t="e">
        <f>(BV30/'Finance Only'!B33)*100</f>
        <v>#DIV/0!</v>
      </c>
      <c r="BY30" s="269">
        <f t="shared" si="53"/>
        <v>0</v>
      </c>
      <c r="BZ30" s="269"/>
      <c r="CA30" s="270">
        <f t="shared" si="16"/>
        <v>0</v>
      </c>
      <c r="CB30" s="285">
        <f t="shared" si="54"/>
        <v>0</v>
      </c>
      <c r="CC30" s="286" t="e">
        <f>(CA30/'Finance Only'!B33)*100</f>
        <v>#DIV/0!</v>
      </c>
      <c r="CD30" s="269">
        <f t="shared" si="55"/>
        <v>0</v>
      </c>
      <c r="CE30" s="269"/>
      <c r="CF30" s="270">
        <f t="shared" si="17"/>
        <v>0</v>
      </c>
      <c r="CG30" s="285">
        <f t="shared" si="56"/>
        <v>0</v>
      </c>
      <c r="CH30" s="286" t="e">
        <f>(CF30/'Finance Only'!B33)*100</f>
        <v>#DIV/0!</v>
      </c>
      <c r="CI30" s="270">
        <f t="shared" si="57"/>
        <v>0</v>
      </c>
      <c r="CJ30" s="270"/>
      <c r="CK30" s="270">
        <f t="shared" si="58"/>
        <v>0</v>
      </c>
      <c r="CL30" s="285">
        <f t="shared" si="59"/>
        <v>0</v>
      </c>
      <c r="CM30" s="286" t="e">
        <f>(CK30/'Finance Only'!B33)*100</f>
        <v>#DIV/0!</v>
      </c>
      <c r="CN30" s="269">
        <f t="shared" si="60"/>
        <v>0</v>
      </c>
      <c r="CO30" s="269"/>
      <c r="CP30" s="271">
        <f t="shared" si="18"/>
        <v>0</v>
      </c>
      <c r="CQ30" s="285">
        <f t="shared" si="61"/>
        <v>0</v>
      </c>
      <c r="CR30" s="286" t="e">
        <f>(CP30/'Finance Only'!B33)*100</f>
        <v>#DIV/0!</v>
      </c>
      <c r="CS30" s="269">
        <f t="shared" si="62"/>
        <v>0</v>
      </c>
      <c r="CT30" s="269"/>
      <c r="CU30" s="270">
        <f t="shared" si="19"/>
        <v>0</v>
      </c>
      <c r="CV30" s="285">
        <f t="shared" si="63"/>
        <v>0</v>
      </c>
      <c r="CW30" s="286" t="e">
        <f>(CU30/'Finance Only'!B33)*100</f>
        <v>#DIV/0!</v>
      </c>
      <c r="CX30" s="269">
        <f t="shared" si="64"/>
        <v>0</v>
      </c>
      <c r="CY30" s="269"/>
      <c r="CZ30" s="270">
        <f t="shared" si="20"/>
        <v>0</v>
      </c>
      <c r="DA30" s="285">
        <f t="shared" si="65"/>
        <v>0</v>
      </c>
      <c r="DB30" s="286" t="e">
        <f>(CZ30/'Finance Only'!B33)*100</f>
        <v>#DIV/0!</v>
      </c>
      <c r="DC30" s="269">
        <f t="shared" si="66"/>
        <v>0</v>
      </c>
      <c r="DD30" s="269"/>
      <c r="DE30" s="270">
        <f t="shared" si="21"/>
        <v>0</v>
      </c>
      <c r="DF30" s="285">
        <f t="shared" si="67"/>
        <v>0</v>
      </c>
      <c r="DG30" s="286" t="e">
        <f>(DE30/'Finance Only'!B33)*100</f>
        <v>#DIV/0!</v>
      </c>
      <c r="DH30" s="269">
        <f t="shared" si="68"/>
        <v>0</v>
      </c>
      <c r="DI30" s="269"/>
      <c r="DJ30" s="270">
        <f t="shared" si="22"/>
        <v>0</v>
      </c>
      <c r="DK30" s="285">
        <f t="shared" si="69"/>
        <v>0</v>
      </c>
      <c r="DL30" s="286" t="e">
        <f>(DJ30/'Finance Only'!B33)*100</f>
        <v>#DIV/0!</v>
      </c>
      <c r="DM30" s="269">
        <f t="shared" si="70"/>
        <v>0</v>
      </c>
      <c r="DN30" s="269"/>
      <c r="DO30" s="270">
        <f t="shared" si="23"/>
        <v>0</v>
      </c>
      <c r="DP30" s="285">
        <f t="shared" si="71"/>
        <v>0</v>
      </c>
      <c r="DQ30" s="286" t="e">
        <f>(DO30/'Finance Only'!B33)*100</f>
        <v>#DIV/0!</v>
      </c>
      <c r="DR30" s="269">
        <f t="shared" si="72"/>
        <v>0</v>
      </c>
      <c r="DS30" s="269"/>
      <c r="DT30" s="270">
        <f t="shared" si="24"/>
        <v>0</v>
      </c>
      <c r="DU30" s="285">
        <f t="shared" si="73"/>
        <v>0</v>
      </c>
      <c r="DV30" s="286" t="e">
        <f>(DT30/'Finance Only'!B33)*100</f>
        <v>#DIV/0!</v>
      </c>
      <c r="DW30" s="269">
        <f t="shared" si="74"/>
        <v>0</v>
      </c>
      <c r="DX30" s="269"/>
      <c r="DY30" s="270">
        <f t="shared" si="25"/>
        <v>0</v>
      </c>
      <c r="DZ30" s="285">
        <f t="shared" si="75"/>
        <v>0</v>
      </c>
      <c r="EA30" s="286" t="e">
        <f>(DY30/'Finance Only'!B33)*100</f>
        <v>#DIV/0!</v>
      </c>
      <c r="EB30" s="269">
        <f t="shared" si="76"/>
        <v>0</v>
      </c>
      <c r="EC30" s="269"/>
      <c r="ED30" s="270">
        <f t="shared" si="26"/>
        <v>0</v>
      </c>
      <c r="EE30" s="285">
        <f t="shared" si="77"/>
        <v>0</v>
      </c>
      <c r="EF30" s="286" t="e">
        <f>(ED30/'Finance Only'!B33)*100</f>
        <v>#DIV/0!</v>
      </c>
      <c r="EG30" s="269">
        <f t="shared" si="78"/>
        <v>0</v>
      </c>
      <c r="EH30" s="269"/>
      <c r="EI30" s="270">
        <f t="shared" si="27"/>
        <v>0</v>
      </c>
      <c r="EJ30" s="285">
        <f t="shared" si="79"/>
        <v>0</v>
      </c>
      <c r="EK30" s="286" t="e">
        <f>(EI30/'Finance Only'!B33)*100</f>
        <v>#DIV/0!</v>
      </c>
      <c r="EL30" s="269">
        <f t="shared" si="80"/>
        <v>0</v>
      </c>
      <c r="EM30" s="269"/>
      <c r="EN30" s="270">
        <f t="shared" si="28"/>
        <v>0</v>
      </c>
      <c r="EO30" s="285">
        <f t="shared" si="81"/>
        <v>0</v>
      </c>
      <c r="EP30" s="286" t="e">
        <f>(EN30/'Finance Only'!B33)*100</f>
        <v>#DIV/0!</v>
      </c>
      <c r="EQ30" s="269">
        <f t="shared" si="82"/>
        <v>0</v>
      </c>
      <c r="ER30" s="269"/>
      <c r="ES30" s="270">
        <f t="shared" si="29"/>
        <v>0</v>
      </c>
      <c r="ET30" s="285">
        <f t="shared" si="83"/>
        <v>0</v>
      </c>
      <c r="EU30" s="286" t="e">
        <f>(ES30/'Finance Only'!B33)*100</f>
        <v>#DIV/0!</v>
      </c>
    </row>
    <row r="31" spans="1:1085" s="3" customFormat="1" ht="13.5" customHeight="1" x14ac:dyDescent="0.2">
      <c r="A31" s="260">
        <v>27</v>
      </c>
      <c r="B31" s="267">
        <f t="shared" si="30"/>
        <v>0</v>
      </c>
      <c r="C31" s="267"/>
      <c r="D31" s="268">
        <f t="shared" si="0"/>
        <v>0</v>
      </c>
      <c r="E31" s="281">
        <f t="shared" si="31"/>
        <v>0</v>
      </c>
      <c r="F31" s="282" t="e">
        <f>(D31/'Finance Only'!B34)*100</f>
        <v>#DIV/0!</v>
      </c>
      <c r="G31" s="294">
        <f t="shared" si="84"/>
        <v>0</v>
      </c>
      <c r="H31" s="267"/>
      <c r="I31" s="267">
        <f t="shared" si="32"/>
        <v>0</v>
      </c>
      <c r="J31" s="295">
        <f t="shared" si="33"/>
        <v>0</v>
      </c>
      <c r="K31" s="296" t="e">
        <f>(I31/'Finance Only'!B34)*100</f>
        <v>#DIV/0!</v>
      </c>
      <c r="L31" s="277">
        <f t="shared" si="34"/>
        <v>0</v>
      </c>
      <c r="M31" s="269"/>
      <c r="N31" s="270">
        <f t="shared" si="1"/>
        <v>0</v>
      </c>
      <c r="O31" s="285">
        <f t="shared" si="35"/>
        <v>0</v>
      </c>
      <c r="P31" s="286" t="e">
        <f>(N31/'Finance Only'!B34)*100</f>
        <v>#DIV/0!</v>
      </c>
      <c r="Q31" s="276">
        <f t="shared" si="85"/>
        <v>0</v>
      </c>
      <c r="R31" s="269"/>
      <c r="S31" s="270">
        <f t="shared" si="2"/>
        <v>0</v>
      </c>
      <c r="T31" s="285">
        <f t="shared" si="36"/>
        <v>0</v>
      </c>
      <c r="U31" s="286" t="e">
        <f>(S31/'Finance Only'!B34)*100</f>
        <v>#DIV/0!</v>
      </c>
      <c r="V31" s="269">
        <f t="shared" si="90"/>
        <v>0</v>
      </c>
      <c r="W31" s="269"/>
      <c r="X31" s="270">
        <f t="shared" si="3"/>
        <v>0</v>
      </c>
      <c r="Y31" s="285">
        <f t="shared" si="37"/>
        <v>0</v>
      </c>
      <c r="Z31" s="286" t="e">
        <f>(X31/'Finance Only'!B34)*100</f>
        <v>#DIV/0!</v>
      </c>
      <c r="AA31" s="269">
        <f t="shared" si="38"/>
        <v>0</v>
      </c>
      <c r="AB31" s="269"/>
      <c r="AC31" s="270">
        <f t="shared" si="4"/>
        <v>0</v>
      </c>
      <c r="AD31" s="285">
        <f t="shared" si="39"/>
        <v>0</v>
      </c>
      <c r="AE31" s="286" t="e">
        <f>(AC31/'Finance Only'!B34)*100</f>
        <v>#DIV/0!</v>
      </c>
      <c r="AF31" s="269">
        <f t="shared" si="91"/>
        <v>0</v>
      </c>
      <c r="AG31" s="269"/>
      <c r="AH31" s="270">
        <f t="shared" si="5"/>
        <v>0</v>
      </c>
      <c r="AI31" s="285">
        <f t="shared" si="40"/>
        <v>0</v>
      </c>
      <c r="AJ31" s="286" t="e">
        <f>(AH31/'Finance Only'!B34)*100</f>
        <v>#DIV/0!</v>
      </c>
      <c r="AK31" s="269">
        <f t="shared" si="92"/>
        <v>0</v>
      </c>
      <c r="AL31" s="269"/>
      <c r="AM31" s="270">
        <f t="shared" si="6"/>
        <v>0</v>
      </c>
      <c r="AN31" s="285">
        <f t="shared" si="41"/>
        <v>0</v>
      </c>
      <c r="AO31" s="286" t="e">
        <f>(AM31/'Finance Only'!B34)*100</f>
        <v>#DIV/0!</v>
      </c>
      <c r="AP31" s="269">
        <f t="shared" si="93"/>
        <v>0</v>
      </c>
      <c r="AQ31" s="269"/>
      <c r="AR31" s="270">
        <f t="shared" si="7"/>
        <v>0</v>
      </c>
      <c r="AS31" s="285">
        <f t="shared" si="42"/>
        <v>0</v>
      </c>
      <c r="AT31" s="286" t="e">
        <f>(AR31/'Finance Only'!B34)*100</f>
        <v>#DIV/0!</v>
      </c>
      <c r="AU31" s="269">
        <f t="shared" si="8"/>
        <v>0</v>
      </c>
      <c r="AV31" s="269"/>
      <c r="AW31" s="270">
        <f t="shared" si="9"/>
        <v>0</v>
      </c>
      <c r="AX31" s="285">
        <f t="shared" si="43"/>
        <v>0</v>
      </c>
      <c r="AY31" s="286" t="e">
        <f>(AW31/'Finance Only'!B34)*100</f>
        <v>#DIV/0!</v>
      </c>
      <c r="AZ31" s="269">
        <f t="shared" si="10"/>
        <v>0</v>
      </c>
      <c r="BA31" s="269"/>
      <c r="BB31" s="270">
        <f t="shared" si="11"/>
        <v>0</v>
      </c>
      <c r="BC31" s="285">
        <f t="shared" si="44"/>
        <v>0</v>
      </c>
      <c r="BD31" s="286" t="e">
        <f>(BB31/'Finance Only'!B34)*100</f>
        <v>#DIV/0!</v>
      </c>
      <c r="BE31" s="269">
        <f t="shared" si="45"/>
        <v>0</v>
      </c>
      <c r="BF31" s="269"/>
      <c r="BG31" s="270">
        <f t="shared" si="12"/>
        <v>0</v>
      </c>
      <c r="BH31" s="285">
        <f t="shared" si="46"/>
        <v>0</v>
      </c>
      <c r="BI31" s="286" t="e">
        <f>(BG31/'Finance Only'!B34)*100</f>
        <v>#DIV/0!</v>
      </c>
      <c r="BJ31" s="269">
        <f t="shared" si="47"/>
        <v>0</v>
      </c>
      <c r="BK31" s="269"/>
      <c r="BL31" s="270">
        <f t="shared" si="13"/>
        <v>0</v>
      </c>
      <c r="BM31" s="285">
        <f t="shared" si="48"/>
        <v>0</v>
      </c>
      <c r="BN31" s="286" t="e">
        <f>(BL31/'Finance Only'!B34)*100</f>
        <v>#DIV/0!</v>
      </c>
      <c r="BO31" s="269">
        <f t="shared" si="49"/>
        <v>0</v>
      </c>
      <c r="BP31" s="269"/>
      <c r="BQ31" s="270">
        <f t="shared" si="14"/>
        <v>0</v>
      </c>
      <c r="BR31" s="285">
        <f t="shared" si="50"/>
        <v>0</v>
      </c>
      <c r="BS31" s="286" t="e">
        <f>(BQ31/'Finance Only'!B34)*100</f>
        <v>#DIV/0!</v>
      </c>
      <c r="BT31" s="269">
        <f t="shared" si="51"/>
        <v>0</v>
      </c>
      <c r="BU31" s="269"/>
      <c r="BV31" s="270">
        <f t="shared" si="15"/>
        <v>0</v>
      </c>
      <c r="BW31" s="285">
        <f t="shared" si="52"/>
        <v>0</v>
      </c>
      <c r="BX31" s="286" t="e">
        <f>(BV31/'Finance Only'!B34)*100</f>
        <v>#DIV/0!</v>
      </c>
      <c r="BY31" s="269">
        <f t="shared" si="53"/>
        <v>0</v>
      </c>
      <c r="BZ31" s="269"/>
      <c r="CA31" s="270">
        <f t="shared" si="16"/>
        <v>0</v>
      </c>
      <c r="CB31" s="285">
        <f t="shared" si="54"/>
        <v>0</v>
      </c>
      <c r="CC31" s="286" t="e">
        <f>(CA31/'Finance Only'!B34)*100</f>
        <v>#DIV/0!</v>
      </c>
      <c r="CD31" s="269">
        <f t="shared" si="55"/>
        <v>0</v>
      </c>
      <c r="CE31" s="269"/>
      <c r="CF31" s="270">
        <f t="shared" si="17"/>
        <v>0</v>
      </c>
      <c r="CG31" s="285">
        <f t="shared" si="56"/>
        <v>0</v>
      </c>
      <c r="CH31" s="286" t="e">
        <f>(CF31/'Finance Only'!B34)*100</f>
        <v>#DIV/0!</v>
      </c>
      <c r="CI31" s="270">
        <f t="shared" si="57"/>
        <v>0</v>
      </c>
      <c r="CJ31" s="270"/>
      <c r="CK31" s="270">
        <f t="shared" si="58"/>
        <v>0</v>
      </c>
      <c r="CL31" s="285">
        <f t="shared" si="59"/>
        <v>0</v>
      </c>
      <c r="CM31" s="286" t="e">
        <f>(CK31/'Finance Only'!B34)*100</f>
        <v>#DIV/0!</v>
      </c>
      <c r="CN31" s="269">
        <f t="shared" si="60"/>
        <v>0</v>
      </c>
      <c r="CO31" s="269"/>
      <c r="CP31" s="271">
        <f t="shared" si="18"/>
        <v>0</v>
      </c>
      <c r="CQ31" s="285">
        <f t="shared" si="61"/>
        <v>0</v>
      </c>
      <c r="CR31" s="286" t="e">
        <f>(CP31/'Finance Only'!B34)*100</f>
        <v>#DIV/0!</v>
      </c>
      <c r="CS31" s="269">
        <f t="shared" si="62"/>
        <v>0</v>
      </c>
      <c r="CT31" s="269"/>
      <c r="CU31" s="270">
        <f t="shared" si="19"/>
        <v>0</v>
      </c>
      <c r="CV31" s="285">
        <f t="shared" si="63"/>
        <v>0</v>
      </c>
      <c r="CW31" s="286" t="e">
        <f>(CU31/'Finance Only'!B34)*100</f>
        <v>#DIV/0!</v>
      </c>
      <c r="CX31" s="269">
        <f t="shared" si="64"/>
        <v>0</v>
      </c>
      <c r="CY31" s="269"/>
      <c r="CZ31" s="270">
        <f t="shared" si="20"/>
        <v>0</v>
      </c>
      <c r="DA31" s="285">
        <f t="shared" si="65"/>
        <v>0</v>
      </c>
      <c r="DB31" s="286" t="e">
        <f>(CZ31/'Finance Only'!B34)*100</f>
        <v>#DIV/0!</v>
      </c>
      <c r="DC31" s="269">
        <f t="shared" si="66"/>
        <v>0</v>
      </c>
      <c r="DD31" s="269"/>
      <c r="DE31" s="270">
        <f t="shared" si="21"/>
        <v>0</v>
      </c>
      <c r="DF31" s="285">
        <f t="shared" si="67"/>
        <v>0</v>
      </c>
      <c r="DG31" s="286" t="e">
        <f>(DE31/'Finance Only'!B34)*100</f>
        <v>#DIV/0!</v>
      </c>
      <c r="DH31" s="269">
        <f t="shared" si="68"/>
        <v>0</v>
      </c>
      <c r="DI31" s="269"/>
      <c r="DJ31" s="270">
        <f t="shared" si="22"/>
        <v>0</v>
      </c>
      <c r="DK31" s="285">
        <f t="shared" si="69"/>
        <v>0</v>
      </c>
      <c r="DL31" s="286" t="e">
        <f>(DJ31/'Finance Only'!B34)*100</f>
        <v>#DIV/0!</v>
      </c>
      <c r="DM31" s="269">
        <f t="shared" si="70"/>
        <v>0</v>
      </c>
      <c r="DN31" s="269"/>
      <c r="DO31" s="270">
        <f t="shared" si="23"/>
        <v>0</v>
      </c>
      <c r="DP31" s="285">
        <f t="shared" si="71"/>
        <v>0</v>
      </c>
      <c r="DQ31" s="286" t="e">
        <f>(DO31/'Finance Only'!B34)*100</f>
        <v>#DIV/0!</v>
      </c>
      <c r="DR31" s="269">
        <f t="shared" si="72"/>
        <v>0</v>
      </c>
      <c r="DS31" s="269"/>
      <c r="DT31" s="270">
        <f t="shared" si="24"/>
        <v>0</v>
      </c>
      <c r="DU31" s="285">
        <f t="shared" si="73"/>
        <v>0</v>
      </c>
      <c r="DV31" s="286" t="e">
        <f>(DT31/'Finance Only'!B34)*100</f>
        <v>#DIV/0!</v>
      </c>
      <c r="DW31" s="269">
        <f t="shared" si="74"/>
        <v>0</v>
      </c>
      <c r="DX31" s="269"/>
      <c r="DY31" s="270">
        <f t="shared" si="25"/>
        <v>0</v>
      </c>
      <c r="DZ31" s="285">
        <f t="shared" si="75"/>
        <v>0</v>
      </c>
      <c r="EA31" s="286" t="e">
        <f>(DY31/'Finance Only'!B34)*100</f>
        <v>#DIV/0!</v>
      </c>
      <c r="EB31" s="269">
        <f t="shared" si="76"/>
        <v>0</v>
      </c>
      <c r="EC31" s="269"/>
      <c r="ED31" s="270">
        <f t="shared" si="26"/>
        <v>0</v>
      </c>
      <c r="EE31" s="285">
        <f t="shared" si="77"/>
        <v>0</v>
      </c>
      <c r="EF31" s="286" t="e">
        <f>(ED31/'Finance Only'!B34)*100</f>
        <v>#DIV/0!</v>
      </c>
      <c r="EG31" s="269">
        <f t="shared" si="78"/>
        <v>0</v>
      </c>
      <c r="EH31" s="269"/>
      <c r="EI31" s="270">
        <f t="shared" si="27"/>
        <v>0</v>
      </c>
      <c r="EJ31" s="285">
        <f t="shared" si="79"/>
        <v>0</v>
      </c>
      <c r="EK31" s="286" t="e">
        <f>(EI31/'Finance Only'!B34)*100</f>
        <v>#DIV/0!</v>
      </c>
      <c r="EL31" s="269">
        <f t="shared" si="80"/>
        <v>0</v>
      </c>
      <c r="EM31" s="269"/>
      <c r="EN31" s="270">
        <f t="shared" si="28"/>
        <v>0</v>
      </c>
      <c r="EO31" s="285">
        <f t="shared" si="81"/>
        <v>0</v>
      </c>
      <c r="EP31" s="286" t="e">
        <f>(EN31/'Finance Only'!B34)*100</f>
        <v>#DIV/0!</v>
      </c>
      <c r="EQ31" s="269">
        <f t="shared" si="82"/>
        <v>0</v>
      </c>
      <c r="ER31" s="269"/>
      <c r="ES31" s="270">
        <f t="shared" si="29"/>
        <v>0</v>
      </c>
      <c r="ET31" s="285">
        <f t="shared" si="83"/>
        <v>0</v>
      </c>
      <c r="EU31" s="286" t="e">
        <f>(ES31/'Finance Only'!B34)*100</f>
        <v>#DIV/0!</v>
      </c>
    </row>
    <row r="32" spans="1:1085" s="3" customFormat="1" ht="13.5" customHeight="1" x14ac:dyDescent="0.2">
      <c r="A32" s="260">
        <v>28</v>
      </c>
      <c r="B32" s="267">
        <f t="shared" si="30"/>
        <v>0</v>
      </c>
      <c r="C32" s="267"/>
      <c r="D32" s="268">
        <f t="shared" si="0"/>
        <v>0</v>
      </c>
      <c r="E32" s="281">
        <f t="shared" si="31"/>
        <v>0</v>
      </c>
      <c r="F32" s="282" t="e">
        <f>(D32/'Finance Only'!B35)*100</f>
        <v>#DIV/0!</v>
      </c>
      <c r="G32" s="294">
        <f t="shared" si="84"/>
        <v>0</v>
      </c>
      <c r="H32" s="267"/>
      <c r="I32" s="267">
        <f>H32-G32</f>
        <v>0</v>
      </c>
      <c r="J32" s="295">
        <f t="shared" si="33"/>
        <v>0</v>
      </c>
      <c r="K32" s="296" t="e">
        <f>(I32/'Finance Only'!B35)*100</f>
        <v>#DIV/0!</v>
      </c>
      <c r="L32" s="277">
        <f t="shared" si="34"/>
        <v>0</v>
      </c>
      <c r="M32" s="269"/>
      <c r="N32" s="270">
        <f>M32-L32</f>
        <v>0</v>
      </c>
      <c r="O32" s="285">
        <f t="shared" si="35"/>
        <v>0</v>
      </c>
      <c r="P32" s="286" t="e">
        <f>(N32/'Finance Only'!B35)*100</f>
        <v>#DIV/0!</v>
      </c>
      <c r="Q32" s="276">
        <f t="shared" si="85"/>
        <v>0</v>
      </c>
      <c r="R32" s="269"/>
      <c r="S32" s="270">
        <f>R32-Q32</f>
        <v>0</v>
      </c>
      <c r="T32" s="285">
        <f t="shared" si="36"/>
        <v>0</v>
      </c>
      <c r="U32" s="286" t="e">
        <f>(S32/'Finance Only'!B35)*100</f>
        <v>#DIV/0!</v>
      </c>
      <c r="V32" s="269">
        <f t="shared" si="90"/>
        <v>0</v>
      </c>
      <c r="W32" s="269"/>
      <c r="X32" s="270">
        <f>W32-V32</f>
        <v>0</v>
      </c>
      <c r="Y32" s="285">
        <f t="shared" si="37"/>
        <v>0</v>
      </c>
      <c r="Z32" s="286" t="e">
        <f>(X32/'Finance Only'!B35)*100</f>
        <v>#DIV/0!</v>
      </c>
      <c r="AA32" s="269">
        <f t="shared" si="38"/>
        <v>0</v>
      </c>
      <c r="AB32" s="269"/>
      <c r="AC32" s="270">
        <f>AB32-AA32</f>
        <v>0</v>
      </c>
      <c r="AD32" s="285">
        <f t="shared" si="39"/>
        <v>0</v>
      </c>
      <c r="AE32" s="286" t="e">
        <f>(AC32/'Finance Only'!B35)*100</f>
        <v>#DIV/0!</v>
      </c>
      <c r="AF32" s="269">
        <f t="shared" si="91"/>
        <v>0</v>
      </c>
      <c r="AG32" s="269"/>
      <c r="AH32" s="270">
        <f>AG32-AF32</f>
        <v>0</v>
      </c>
      <c r="AI32" s="285">
        <f t="shared" si="40"/>
        <v>0</v>
      </c>
      <c r="AJ32" s="286" t="e">
        <f>(AH32/'Finance Only'!B35)*100</f>
        <v>#DIV/0!</v>
      </c>
      <c r="AK32" s="269">
        <f t="shared" si="92"/>
        <v>0</v>
      </c>
      <c r="AL32" s="269"/>
      <c r="AM32" s="270">
        <f>AL32-AK32</f>
        <v>0</v>
      </c>
      <c r="AN32" s="285">
        <f t="shared" si="41"/>
        <v>0</v>
      </c>
      <c r="AO32" s="286" t="e">
        <f>(AM32/'Finance Only'!B35)*100</f>
        <v>#DIV/0!</v>
      </c>
      <c r="AP32" s="269">
        <f t="shared" si="93"/>
        <v>0</v>
      </c>
      <c r="AQ32" s="269"/>
      <c r="AR32" s="270">
        <f>AQ32-AP32</f>
        <v>0</v>
      </c>
      <c r="AS32" s="285">
        <f t="shared" si="42"/>
        <v>0</v>
      </c>
      <c r="AT32" s="286" t="e">
        <f>(AR32/'Finance Only'!B35)*100</f>
        <v>#DIV/0!</v>
      </c>
      <c r="AU32" s="269">
        <f t="shared" si="8"/>
        <v>0</v>
      </c>
      <c r="AV32" s="269"/>
      <c r="AW32" s="270">
        <f t="shared" si="9"/>
        <v>0</v>
      </c>
      <c r="AX32" s="285">
        <f t="shared" si="43"/>
        <v>0</v>
      </c>
      <c r="AY32" s="286" t="e">
        <f>(AW32/'Finance Only'!B35)*100</f>
        <v>#DIV/0!</v>
      </c>
      <c r="AZ32" s="269">
        <f t="shared" si="10"/>
        <v>0</v>
      </c>
      <c r="BA32" s="269"/>
      <c r="BB32" s="270">
        <f t="shared" si="11"/>
        <v>0</v>
      </c>
      <c r="BC32" s="285">
        <f t="shared" si="44"/>
        <v>0</v>
      </c>
      <c r="BD32" s="286" t="e">
        <f>(BB32/'Finance Only'!B35)*100</f>
        <v>#DIV/0!</v>
      </c>
      <c r="BE32" s="269">
        <f t="shared" si="45"/>
        <v>0</v>
      </c>
      <c r="BF32" s="269"/>
      <c r="BG32" s="270">
        <f t="shared" si="12"/>
        <v>0</v>
      </c>
      <c r="BH32" s="285">
        <f t="shared" si="46"/>
        <v>0</v>
      </c>
      <c r="BI32" s="286" t="e">
        <f>(BG32/'Finance Only'!B35)*100</f>
        <v>#DIV/0!</v>
      </c>
      <c r="BJ32" s="269">
        <f t="shared" si="47"/>
        <v>0</v>
      </c>
      <c r="BK32" s="269"/>
      <c r="BL32" s="270">
        <f t="shared" si="13"/>
        <v>0</v>
      </c>
      <c r="BM32" s="285">
        <f t="shared" si="48"/>
        <v>0</v>
      </c>
      <c r="BN32" s="286" t="e">
        <f>(BL32/'Finance Only'!B35)*100</f>
        <v>#DIV/0!</v>
      </c>
      <c r="BO32" s="269">
        <f t="shared" si="49"/>
        <v>0</v>
      </c>
      <c r="BP32" s="269"/>
      <c r="BQ32" s="270">
        <f t="shared" si="14"/>
        <v>0</v>
      </c>
      <c r="BR32" s="285">
        <f t="shared" si="50"/>
        <v>0</v>
      </c>
      <c r="BS32" s="286" t="e">
        <f>(BQ32/'Finance Only'!B35)*100</f>
        <v>#DIV/0!</v>
      </c>
      <c r="BT32" s="269">
        <f t="shared" si="51"/>
        <v>0</v>
      </c>
      <c r="BU32" s="269"/>
      <c r="BV32" s="270">
        <f t="shared" si="15"/>
        <v>0</v>
      </c>
      <c r="BW32" s="285">
        <f t="shared" si="52"/>
        <v>0</v>
      </c>
      <c r="BX32" s="286" t="e">
        <f>(BV32/'Finance Only'!B35)*100</f>
        <v>#DIV/0!</v>
      </c>
      <c r="BY32" s="269">
        <f t="shared" si="53"/>
        <v>0</v>
      </c>
      <c r="BZ32" s="269"/>
      <c r="CA32" s="270">
        <f t="shared" si="16"/>
        <v>0</v>
      </c>
      <c r="CB32" s="285">
        <f t="shared" si="54"/>
        <v>0</v>
      </c>
      <c r="CC32" s="286" t="e">
        <f>(CA32/'Finance Only'!B35)*100</f>
        <v>#DIV/0!</v>
      </c>
      <c r="CD32" s="269">
        <f t="shared" si="55"/>
        <v>0</v>
      </c>
      <c r="CE32" s="269"/>
      <c r="CF32" s="270">
        <f t="shared" si="17"/>
        <v>0</v>
      </c>
      <c r="CG32" s="285">
        <f t="shared" si="56"/>
        <v>0</v>
      </c>
      <c r="CH32" s="286" t="e">
        <f>(CF32/'Finance Only'!B35)*100</f>
        <v>#DIV/0!</v>
      </c>
      <c r="CI32" s="270">
        <f t="shared" si="57"/>
        <v>0</v>
      </c>
      <c r="CJ32" s="270"/>
      <c r="CK32" s="270">
        <f t="shared" si="58"/>
        <v>0</v>
      </c>
      <c r="CL32" s="285">
        <f t="shared" si="59"/>
        <v>0</v>
      </c>
      <c r="CM32" s="286" t="e">
        <f>(CK32/'Finance Only'!B35)*100</f>
        <v>#DIV/0!</v>
      </c>
      <c r="CN32" s="269">
        <f t="shared" si="60"/>
        <v>0</v>
      </c>
      <c r="CO32" s="269"/>
      <c r="CP32" s="271">
        <f t="shared" si="18"/>
        <v>0</v>
      </c>
      <c r="CQ32" s="285">
        <f t="shared" si="61"/>
        <v>0</v>
      </c>
      <c r="CR32" s="286" t="e">
        <f>(CP32/'Finance Only'!B35)*100</f>
        <v>#DIV/0!</v>
      </c>
      <c r="CS32" s="269">
        <f t="shared" si="62"/>
        <v>0</v>
      </c>
      <c r="CT32" s="269"/>
      <c r="CU32" s="270">
        <f t="shared" si="19"/>
        <v>0</v>
      </c>
      <c r="CV32" s="285">
        <f t="shared" si="63"/>
        <v>0</v>
      </c>
      <c r="CW32" s="286" t="e">
        <f>(CU32/'Finance Only'!B35)*100</f>
        <v>#DIV/0!</v>
      </c>
      <c r="CX32" s="269">
        <f>CY31</f>
        <v>0</v>
      </c>
      <c r="CY32" s="269"/>
      <c r="CZ32" s="270">
        <f t="shared" si="20"/>
        <v>0</v>
      </c>
      <c r="DA32" s="285">
        <f t="shared" si="65"/>
        <v>0</v>
      </c>
      <c r="DB32" s="286" t="e">
        <f>(CZ32/'Finance Only'!B35)*100</f>
        <v>#DIV/0!</v>
      </c>
      <c r="DC32" s="269">
        <f t="shared" si="66"/>
        <v>0</v>
      </c>
      <c r="DD32" s="269"/>
      <c r="DE32" s="270">
        <f t="shared" si="21"/>
        <v>0</v>
      </c>
      <c r="DF32" s="285">
        <f t="shared" si="67"/>
        <v>0</v>
      </c>
      <c r="DG32" s="286" t="e">
        <f>(DE32/'Finance Only'!B35)*100</f>
        <v>#DIV/0!</v>
      </c>
      <c r="DH32" s="269">
        <f t="shared" si="68"/>
        <v>0</v>
      </c>
      <c r="DI32" s="269"/>
      <c r="DJ32" s="270">
        <f t="shared" si="22"/>
        <v>0</v>
      </c>
      <c r="DK32" s="285">
        <f t="shared" si="69"/>
        <v>0</v>
      </c>
      <c r="DL32" s="286" t="e">
        <f>(DJ32/'Finance Only'!B35)*100</f>
        <v>#DIV/0!</v>
      </c>
      <c r="DM32" s="269">
        <f t="shared" si="70"/>
        <v>0</v>
      </c>
      <c r="DN32" s="269"/>
      <c r="DO32" s="270">
        <f t="shared" si="23"/>
        <v>0</v>
      </c>
      <c r="DP32" s="285">
        <f t="shared" si="71"/>
        <v>0</v>
      </c>
      <c r="DQ32" s="286" t="e">
        <f>(DO32/'Finance Only'!B35)*100</f>
        <v>#DIV/0!</v>
      </c>
      <c r="DR32" s="269">
        <f t="shared" si="72"/>
        <v>0</v>
      </c>
      <c r="DS32" s="269"/>
      <c r="DT32" s="270">
        <f t="shared" si="24"/>
        <v>0</v>
      </c>
      <c r="DU32" s="285">
        <f t="shared" si="73"/>
        <v>0</v>
      </c>
      <c r="DV32" s="286" t="e">
        <f>(DT32/'Finance Only'!B35)*100</f>
        <v>#DIV/0!</v>
      </c>
      <c r="DW32" s="269">
        <f t="shared" si="74"/>
        <v>0</v>
      </c>
      <c r="DX32" s="269"/>
      <c r="DY32" s="270">
        <f t="shared" si="25"/>
        <v>0</v>
      </c>
      <c r="DZ32" s="285">
        <f t="shared" si="75"/>
        <v>0</v>
      </c>
      <c r="EA32" s="286" t="e">
        <f>(DY32/'Finance Only'!B35)*100</f>
        <v>#DIV/0!</v>
      </c>
      <c r="EB32" s="269">
        <f t="shared" si="76"/>
        <v>0</v>
      </c>
      <c r="EC32" s="269"/>
      <c r="ED32" s="270">
        <f t="shared" si="26"/>
        <v>0</v>
      </c>
      <c r="EE32" s="285">
        <f t="shared" si="77"/>
        <v>0</v>
      </c>
      <c r="EF32" s="286" t="e">
        <f>(ED32/'Finance Only'!B35)*100</f>
        <v>#DIV/0!</v>
      </c>
      <c r="EG32" s="269">
        <f t="shared" si="78"/>
        <v>0</v>
      </c>
      <c r="EH32" s="269"/>
      <c r="EI32" s="270">
        <f t="shared" si="27"/>
        <v>0</v>
      </c>
      <c r="EJ32" s="285">
        <f t="shared" si="79"/>
        <v>0</v>
      </c>
      <c r="EK32" s="286" t="e">
        <f>(EI32/'Finance Only'!B35)*100</f>
        <v>#DIV/0!</v>
      </c>
      <c r="EL32" s="269">
        <f t="shared" si="80"/>
        <v>0</v>
      </c>
      <c r="EM32" s="269"/>
      <c r="EN32" s="270">
        <f t="shared" si="28"/>
        <v>0</v>
      </c>
      <c r="EO32" s="285">
        <f t="shared" si="81"/>
        <v>0</v>
      </c>
      <c r="EP32" s="286" t="e">
        <f>(EN32/'Finance Only'!B35)*100</f>
        <v>#DIV/0!</v>
      </c>
      <c r="EQ32" s="269">
        <f t="shared" si="82"/>
        <v>0</v>
      </c>
      <c r="ER32" s="269"/>
      <c r="ES32" s="270">
        <f t="shared" si="29"/>
        <v>0</v>
      </c>
      <c r="ET32" s="285">
        <f t="shared" si="83"/>
        <v>0</v>
      </c>
      <c r="EU32" s="286" t="e">
        <f>(ES32/'Finance Only'!B35)*100</f>
        <v>#DIV/0!</v>
      </c>
    </row>
    <row r="33" spans="1:151" s="3" customFormat="1" ht="13.5" customHeight="1" x14ac:dyDescent="0.2">
      <c r="A33" s="260">
        <v>29</v>
      </c>
      <c r="B33" s="267">
        <f t="shared" si="30"/>
        <v>0</v>
      </c>
      <c r="C33" s="267"/>
      <c r="D33" s="268">
        <f t="shared" si="0"/>
        <v>0</v>
      </c>
      <c r="E33" s="281">
        <f t="shared" si="31"/>
        <v>0</v>
      </c>
      <c r="F33" s="282" t="e">
        <f>(D33/'Finance Only'!B36)*100</f>
        <v>#DIV/0!</v>
      </c>
      <c r="G33" s="294">
        <f>H32</f>
        <v>0</v>
      </c>
      <c r="H33" s="267"/>
      <c r="I33" s="267">
        <f>H33-G33</f>
        <v>0</v>
      </c>
      <c r="J33" s="295">
        <f t="shared" si="33"/>
        <v>0</v>
      </c>
      <c r="K33" s="296" t="e">
        <f>(I33/'Finance Only'!B36)*100</f>
        <v>#DIV/0!</v>
      </c>
      <c r="L33" s="277">
        <f t="shared" si="34"/>
        <v>0</v>
      </c>
      <c r="M33" s="269"/>
      <c r="N33" s="270">
        <f t="shared" si="1"/>
        <v>0</v>
      </c>
      <c r="O33" s="285">
        <f t="shared" si="35"/>
        <v>0</v>
      </c>
      <c r="P33" s="286" t="e">
        <f>(N33/'Finance Only'!B36)*100</f>
        <v>#DIV/0!</v>
      </c>
      <c r="Q33" s="276">
        <f t="shared" si="85"/>
        <v>0</v>
      </c>
      <c r="R33" s="269"/>
      <c r="S33" s="270">
        <f t="shared" ref="S33:S34" si="94">R33-Q33</f>
        <v>0</v>
      </c>
      <c r="T33" s="285">
        <f t="shared" si="36"/>
        <v>0</v>
      </c>
      <c r="U33" s="286" t="e">
        <f>(S33/'Finance Only'!B36)*100</f>
        <v>#DIV/0!</v>
      </c>
      <c r="V33" s="269">
        <f t="shared" si="90"/>
        <v>0</v>
      </c>
      <c r="W33" s="269"/>
      <c r="X33" s="270">
        <f t="shared" ref="X33:X34" si="95">W33-V33</f>
        <v>0</v>
      </c>
      <c r="Y33" s="285">
        <f t="shared" si="37"/>
        <v>0</v>
      </c>
      <c r="Z33" s="286" t="e">
        <f>(X33/'Finance Only'!B36)*100</f>
        <v>#DIV/0!</v>
      </c>
      <c r="AA33" s="269">
        <f t="shared" si="38"/>
        <v>0</v>
      </c>
      <c r="AB33" s="270"/>
      <c r="AC33" s="270">
        <f t="shared" ref="AC33:AC34" si="96">AB33-AA33</f>
        <v>0</v>
      </c>
      <c r="AD33" s="285">
        <f t="shared" si="39"/>
        <v>0</v>
      </c>
      <c r="AE33" s="286" t="e">
        <f>(AC33/'Finance Only'!B36)*100</f>
        <v>#DIV/0!</v>
      </c>
      <c r="AF33" s="269">
        <f t="shared" si="91"/>
        <v>0</v>
      </c>
      <c r="AG33" s="269"/>
      <c r="AH33" s="270">
        <f t="shared" ref="AH33:AH34" si="97">AG33-AF33</f>
        <v>0</v>
      </c>
      <c r="AI33" s="285">
        <f t="shared" si="40"/>
        <v>0</v>
      </c>
      <c r="AJ33" s="286" t="e">
        <f>(AH33/'Finance Only'!B36)*100</f>
        <v>#DIV/0!</v>
      </c>
      <c r="AK33" s="269">
        <f t="shared" si="92"/>
        <v>0</v>
      </c>
      <c r="AL33" s="269"/>
      <c r="AM33" s="270">
        <f t="shared" ref="AM33:AM34" si="98">AL33-AK33</f>
        <v>0</v>
      </c>
      <c r="AN33" s="285">
        <f t="shared" si="41"/>
        <v>0</v>
      </c>
      <c r="AO33" s="286" t="e">
        <f>(AM33/'Finance Only'!B36)*100</f>
        <v>#DIV/0!</v>
      </c>
      <c r="AP33" s="269">
        <f t="shared" si="93"/>
        <v>0</v>
      </c>
      <c r="AQ33" s="269"/>
      <c r="AR33" s="270">
        <f t="shared" ref="AR33:AR34" si="99">AQ33-AP33</f>
        <v>0</v>
      </c>
      <c r="AS33" s="285">
        <f t="shared" si="42"/>
        <v>0</v>
      </c>
      <c r="AT33" s="286" t="e">
        <f>(AR33/'Finance Only'!B36)*100</f>
        <v>#DIV/0!</v>
      </c>
      <c r="AU33" s="269">
        <f t="shared" si="8"/>
        <v>0</v>
      </c>
      <c r="AV33" s="269"/>
      <c r="AW33" s="270">
        <f t="shared" si="9"/>
        <v>0</v>
      </c>
      <c r="AX33" s="285">
        <f t="shared" si="43"/>
        <v>0</v>
      </c>
      <c r="AY33" s="286" t="e">
        <f>(AW33/'Finance Only'!B36)*100</f>
        <v>#DIV/0!</v>
      </c>
      <c r="AZ33" s="269">
        <f t="shared" si="10"/>
        <v>0</v>
      </c>
      <c r="BA33" s="269"/>
      <c r="BB33" s="270">
        <f t="shared" si="11"/>
        <v>0</v>
      </c>
      <c r="BC33" s="285">
        <f t="shared" si="44"/>
        <v>0</v>
      </c>
      <c r="BD33" s="286" t="e">
        <f>(BB33/'Finance Only'!B36)*100</f>
        <v>#DIV/0!</v>
      </c>
      <c r="BE33" s="269">
        <f t="shared" si="45"/>
        <v>0</v>
      </c>
      <c r="BF33" s="269"/>
      <c r="BG33" s="270">
        <f t="shared" si="12"/>
        <v>0</v>
      </c>
      <c r="BH33" s="285">
        <f t="shared" si="46"/>
        <v>0</v>
      </c>
      <c r="BI33" s="286" t="e">
        <f>(BG33/'Finance Only'!B36)*100</f>
        <v>#DIV/0!</v>
      </c>
      <c r="BJ33" s="269">
        <f t="shared" si="47"/>
        <v>0</v>
      </c>
      <c r="BK33" s="269"/>
      <c r="BL33" s="270">
        <f t="shared" si="13"/>
        <v>0</v>
      </c>
      <c r="BM33" s="285">
        <f t="shared" si="48"/>
        <v>0</v>
      </c>
      <c r="BN33" s="286" t="e">
        <f>(BL33/'Finance Only'!B36)*100</f>
        <v>#DIV/0!</v>
      </c>
      <c r="BO33" s="269">
        <f t="shared" si="49"/>
        <v>0</v>
      </c>
      <c r="BP33" s="269"/>
      <c r="BQ33" s="270">
        <f t="shared" si="14"/>
        <v>0</v>
      </c>
      <c r="BR33" s="285">
        <f t="shared" si="50"/>
        <v>0</v>
      </c>
      <c r="BS33" s="286" t="e">
        <f>(BQ33/'Finance Only'!B36)*100</f>
        <v>#DIV/0!</v>
      </c>
      <c r="BT33" s="269">
        <f t="shared" si="51"/>
        <v>0</v>
      </c>
      <c r="BU33" s="269"/>
      <c r="BV33" s="270">
        <f t="shared" si="15"/>
        <v>0</v>
      </c>
      <c r="BW33" s="285">
        <f t="shared" si="52"/>
        <v>0</v>
      </c>
      <c r="BX33" s="286" t="e">
        <f>(BV33/'Finance Only'!B36)*100</f>
        <v>#DIV/0!</v>
      </c>
      <c r="BY33" s="269">
        <f t="shared" si="53"/>
        <v>0</v>
      </c>
      <c r="BZ33" s="269"/>
      <c r="CA33" s="270">
        <f t="shared" si="16"/>
        <v>0</v>
      </c>
      <c r="CB33" s="285">
        <f t="shared" si="54"/>
        <v>0</v>
      </c>
      <c r="CC33" s="286" t="e">
        <f>(CA33/'Finance Only'!B36)*100</f>
        <v>#DIV/0!</v>
      </c>
      <c r="CD33" s="269">
        <f t="shared" si="55"/>
        <v>0</v>
      </c>
      <c r="CE33" s="269"/>
      <c r="CF33" s="270">
        <f t="shared" si="17"/>
        <v>0</v>
      </c>
      <c r="CG33" s="285">
        <f t="shared" si="56"/>
        <v>0</v>
      </c>
      <c r="CH33" s="286" t="e">
        <f>(CF33/'Finance Only'!B36)*100</f>
        <v>#DIV/0!</v>
      </c>
      <c r="CI33" s="270">
        <f t="shared" si="57"/>
        <v>0</v>
      </c>
      <c r="CJ33" s="270"/>
      <c r="CK33" s="270">
        <f t="shared" si="58"/>
        <v>0</v>
      </c>
      <c r="CL33" s="285">
        <f t="shared" si="59"/>
        <v>0</v>
      </c>
      <c r="CM33" s="286" t="e">
        <f>(CK33/'Finance Only'!B36)*100</f>
        <v>#DIV/0!</v>
      </c>
      <c r="CN33" s="269">
        <f t="shared" si="60"/>
        <v>0</v>
      </c>
      <c r="CO33" s="269"/>
      <c r="CP33" s="271">
        <f t="shared" si="18"/>
        <v>0</v>
      </c>
      <c r="CQ33" s="285">
        <f t="shared" si="61"/>
        <v>0</v>
      </c>
      <c r="CR33" s="286" t="e">
        <f>(CP33/'Finance Only'!B36)*100</f>
        <v>#DIV/0!</v>
      </c>
      <c r="CS33" s="269">
        <f t="shared" si="62"/>
        <v>0</v>
      </c>
      <c r="CT33" s="269"/>
      <c r="CU33" s="270">
        <f t="shared" si="19"/>
        <v>0</v>
      </c>
      <c r="CV33" s="285">
        <f t="shared" si="63"/>
        <v>0</v>
      </c>
      <c r="CW33" s="286" t="e">
        <f>(CU33/'Finance Only'!B36)*100</f>
        <v>#DIV/0!</v>
      </c>
      <c r="CX33" s="269">
        <f t="shared" ref="CX33:CX34" si="100">CY32</f>
        <v>0</v>
      </c>
      <c r="CY33" s="269"/>
      <c r="CZ33" s="270">
        <f t="shared" si="20"/>
        <v>0</v>
      </c>
      <c r="DA33" s="285">
        <f t="shared" si="65"/>
        <v>0</v>
      </c>
      <c r="DB33" s="286" t="e">
        <f>(CZ33/'Finance Only'!B36)*100</f>
        <v>#DIV/0!</v>
      </c>
      <c r="DC33" s="269">
        <f t="shared" si="66"/>
        <v>0</v>
      </c>
      <c r="DD33" s="269"/>
      <c r="DE33" s="270">
        <f t="shared" si="21"/>
        <v>0</v>
      </c>
      <c r="DF33" s="285">
        <f t="shared" si="67"/>
        <v>0</v>
      </c>
      <c r="DG33" s="286" t="e">
        <f>(DE33/'Finance Only'!B36)*100</f>
        <v>#DIV/0!</v>
      </c>
      <c r="DH33" s="269">
        <f t="shared" si="68"/>
        <v>0</v>
      </c>
      <c r="DI33" s="269"/>
      <c r="DJ33" s="270">
        <f t="shared" si="22"/>
        <v>0</v>
      </c>
      <c r="DK33" s="285">
        <f t="shared" si="69"/>
        <v>0</v>
      </c>
      <c r="DL33" s="286" t="e">
        <f>(DJ33/'Finance Only'!B36)*100</f>
        <v>#DIV/0!</v>
      </c>
      <c r="DM33" s="269">
        <f t="shared" si="70"/>
        <v>0</v>
      </c>
      <c r="DN33" s="269"/>
      <c r="DO33" s="270">
        <f t="shared" si="23"/>
        <v>0</v>
      </c>
      <c r="DP33" s="285">
        <f t="shared" si="71"/>
        <v>0</v>
      </c>
      <c r="DQ33" s="286" t="e">
        <f>(DO33/'Finance Only'!B36)*100</f>
        <v>#DIV/0!</v>
      </c>
      <c r="DR33" s="269">
        <f t="shared" si="72"/>
        <v>0</v>
      </c>
      <c r="DS33" s="269"/>
      <c r="DT33" s="270">
        <f t="shared" si="24"/>
        <v>0</v>
      </c>
      <c r="DU33" s="285">
        <f t="shared" si="73"/>
        <v>0</v>
      </c>
      <c r="DV33" s="286" t="e">
        <f>(DT33/'Finance Only'!B36)*100</f>
        <v>#DIV/0!</v>
      </c>
      <c r="DW33" s="269">
        <f t="shared" si="74"/>
        <v>0</v>
      </c>
      <c r="DX33" s="269"/>
      <c r="DY33" s="270">
        <f t="shared" si="25"/>
        <v>0</v>
      </c>
      <c r="DZ33" s="285">
        <f t="shared" si="75"/>
        <v>0</v>
      </c>
      <c r="EA33" s="286" t="e">
        <f>(DY33/'Finance Only'!B36)*100</f>
        <v>#DIV/0!</v>
      </c>
      <c r="EB33" s="269">
        <f t="shared" si="76"/>
        <v>0</v>
      </c>
      <c r="EC33" s="269"/>
      <c r="ED33" s="270">
        <f t="shared" si="26"/>
        <v>0</v>
      </c>
      <c r="EE33" s="285">
        <f t="shared" si="77"/>
        <v>0</v>
      </c>
      <c r="EF33" s="286" t="e">
        <f>(ED33/'Finance Only'!B36)*100</f>
        <v>#DIV/0!</v>
      </c>
      <c r="EG33" s="269">
        <f t="shared" si="78"/>
        <v>0</v>
      </c>
      <c r="EH33" s="269"/>
      <c r="EI33" s="270">
        <f t="shared" si="27"/>
        <v>0</v>
      </c>
      <c r="EJ33" s="285">
        <f t="shared" si="79"/>
        <v>0</v>
      </c>
      <c r="EK33" s="286" t="e">
        <f>(EI33/'Finance Only'!B36)*100</f>
        <v>#DIV/0!</v>
      </c>
      <c r="EL33" s="269">
        <f t="shared" si="80"/>
        <v>0</v>
      </c>
      <c r="EM33" s="269"/>
      <c r="EN33" s="270">
        <f t="shared" si="28"/>
        <v>0</v>
      </c>
      <c r="EO33" s="285">
        <f t="shared" si="81"/>
        <v>0</v>
      </c>
      <c r="EP33" s="286" t="e">
        <f>(EN33/'Finance Only'!B36)*100</f>
        <v>#DIV/0!</v>
      </c>
      <c r="EQ33" s="269">
        <f t="shared" si="82"/>
        <v>0</v>
      </c>
      <c r="ER33" s="269"/>
      <c r="ES33" s="270">
        <f t="shared" si="29"/>
        <v>0</v>
      </c>
      <c r="ET33" s="285">
        <f t="shared" si="83"/>
        <v>0</v>
      </c>
      <c r="EU33" s="286" t="e">
        <f>(ES33/'Finance Only'!B36)*100</f>
        <v>#DIV/0!</v>
      </c>
    </row>
    <row r="34" spans="1:151" s="3" customFormat="1" ht="13.5" customHeight="1" x14ac:dyDescent="0.2">
      <c r="A34" s="260">
        <v>30</v>
      </c>
      <c r="B34" s="267">
        <f t="shared" si="30"/>
        <v>0</v>
      </c>
      <c r="C34" s="267"/>
      <c r="D34" s="268">
        <f t="shared" si="0"/>
        <v>0</v>
      </c>
      <c r="E34" s="281">
        <f t="shared" si="31"/>
        <v>0</v>
      </c>
      <c r="F34" s="282" t="e">
        <f>(D34/'Finance Only'!B37)*100</f>
        <v>#DIV/0!</v>
      </c>
      <c r="G34" s="294">
        <f t="shared" ref="G34" si="101">H33</f>
        <v>0</v>
      </c>
      <c r="H34" s="297"/>
      <c r="I34" s="267">
        <f t="shared" ref="I34" si="102">H34-G34</f>
        <v>0</v>
      </c>
      <c r="J34" s="295">
        <f t="shared" si="33"/>
        <v>0</v>
      </c>
      <c r="K34" s="296" t="e">
        <f>(I34/'Finance Only'!B37)*100</f>
        <v>#DIV/0!</v>
      </c>
      <c r="L34" s="277">
        <f t="shared" si="34"/>
        <v>0</v>
      </c>
      <c r="M34" s="269"/>
      <c r="N34" s="270">
        <f t="shared" si="1"/>
        <v>0</v>
      </c>
      <c r="O34" s="285">
        <f t="shared" si="35"/>
        <v>0</v>
      </c>
      <c r="P34" s="286" t="e">
        <f>(N34/'Finance Only'!B37)*100</f>
        <v>#DIV/0!</v>
      </c>
      <c r="Q34" s="276">
        <f t="shared" si="85"/>
        <v>0</v>
      </c>
      <c r="R34" s="269"/>
      <c r="S34" s="270">
        <f t="shared" si="94"/>
        <v>0</v>
      </c>
      <c r="T34" s="285">
        <f t="shared" si="36"/>
        <v>0</v>
      </c>
      <c r="U34" s="286" t="e">
        <f>(S34/'Finance Only'!B37)*100</f>
        <v>#DIV/0!</v>
      </c>
      <c r="V34" s="269">
        <f t="shared" si="90"/>
        <v>0</v>
      </c>
      <c r="W34" s="269"/>
      <c r="X34" s="270">
        <f t="shared" si="95"/>
        <v>0</v>
      </c>
      <c r="Y34" s="285">
        <f t="shared" si="37"/>
        <v>0</v>
      </c>
      <c r="Z34" s="286" t="e">
        <f>(X34/'Finance Only'!B37)*100</f>
        <v>#DIV/0!</v>
      </c>
      <c r="AA34" s="269">
        <f t="shared" si="38"/>
        <v>0</v>
      </c>
      <c r="AB34" s="270"/>
      <c r="AC34" s="270">
        <f t="shared" si="96"/>
        <v>0</v>
      </c>
      <c r="AD34" s="285">
        <f t="shared" si="39"/>
        <v>0</v>
      </c>
      <c r="AE34" s="286" t="e">
        <f>(AC34/'Finance Only'!B37)*100</f>
        <v>#DIV/0!</v>
      </c>
      <c r="AF34" s="269">
        <f t="shared" si="91"/>
        <v>0</v>
      </c>
      <c r="AG34" s="269"/>
      <c r="AH34" s="270">
        <f t="shared" si="97"/>
        <v>0</v>
      </c>
      <c r="AI34" s="285">
        <f t="shared" si="40"/>
        <v>0</v>
      </c>
      <c r="AJ34" s="286" t="e">
        <f>(AH34/'Finance Only'!B37)*100</f>
        <v>#DIV/0!</v>
      </c>
      <c r="AK34" s="269">
        <f t="shared" si="92"/>
        <v>0</v>
      </c>
      <c r="AL34" s="269"/>
      <c r="AM34" s="270">
        <f t="shared" si="98"/>
        <v>0</v>
      </c>
      <c r="AN34" s="285">
        <f t="shared" si="41"/>
        <v>0</v>
      </c>
      <c r="AO34" s="286" t="e">
        <f>(AM34/'Finance Only'!B37)*100</f>
        <v>#DIV/0!</v>
      </c>
      <c r="AP34" s="269">
        <f t="shared" si="93"/>
        <v>0</v>
      </c>
      <c r="AQ34" s="269"/>
      <c r="AR34" s="270">
        <f t="shared" si="99"/>
        <v>0</v>
      </c>
      <c r="AS34" s="285">
        <f t="shared" si="42"/>
        <v>0</v>
      </c>
      <c r="AT34" s="286" t="e">
        <f>(AR34/'Finance Only'!B37)*100</f>
        <v>#DIV/0!</v>
      </c>
      <c r="AU34" s="269">
        <f t="shared" si="8"/>
        <v>0</v>
      </c>
      <c r="AV34" s="269"/>
      <c r="AW34" s="270">
        <f t="shared" si="9"/>
        <v>0</v>
      </c>
      <c r="AX34" s="285">
        <f t="shared" si="43"/>
        <v>0</v>
      </c>
      <c r="AY34" s="286" t="e">
        <f>(AW34/'Finance Only'!B37)*100</f>
        <v>#DIV/0!</v>
      </c>
      <c r="AZ34" s="269">
        <f t="shared" si="10"/>
        <v>0</v>
      </c>
      <c r="BA34" s="269"/>
      <c r="BB34" s="270">
        <f t="shared" si="11"/>
        <v>0</v>
      </c>
      <c r="BC34" s="285">
        <f t="shared" si="44"/>
        <v>0</v>
      </c>
      <c r="BD34" s="286" t="e">
        <f>(BB34/'Finance Only'!B37)*100</f>
        <v>#DIV/0!</v>
      </c>
      <c r="BE34" s="269">
        <f t="shared" si="45"/>
        <v>0</v>
      </c>
      <c r="BF34" s="269"/>
      <c r="BG34" s="270">
        <f t="shared" si="12"/>
        <v>0</v>
      </c>
      <c r="BH34" s="285">
        <f t="shared" si="46"/>
        <v>0</v>
      </c>
      <c r="BI34" s="286" t="e">
        <f>(BG34/'Finance Only'!B37)*100</f>
        <v>#DIV/0!</v>
      </c>
      <c r="BJ34" s="269">
        <f t="shared" si="47"/>
        <v>0</v>
      </c>
      <c r="BK34" s="269"/>
      <c r="BL34" s="270">
        <f t="shared" si="13"/>
        <v>0</v>
      </c>
      <c r="BM34" s="285">
        <f t="shared" si="48"/>
        <v>0</v>
      </c>
      <c r="BN34" s="286" t="e">
        <f>(BL34/'Finance Only'!B37)*100</f>
        <v>#DIV/0!</v>
      </c>
      <c r="BO34" s="269">
        <f t="shared" si="49"/>
        <v>0</v>
      </c>
      <c r="BP34" s="269"/>
      <c r="BQ34" s="270">
        <f t="shared" si="14"/>
        <v>0</v>
      </c>
      <c r="BR34" s="285">
        <f t="shared" si="50"/>
        <v>0</v>
      </c>
      <c r="BS34" s="286" t="e">
        <f>(BQ34/'Finance Only'!B37)*100</f>
        <v>#DIV/0!</v>
      </c>
      <c r="BT34" s="269">
        <f t="shared" si="51"/>
        <v>0</v>
      </c>
      <c r="BU34" s="269"/>
      <c r="BV34" s="270">
        <f t="shared" si="15"/>
        <v>0</v>
      </c>
      <c r="BW34" s="285">
        <f t="shared" si="52"/>
        <v>0</v>
      </c>
      <c r="BX34" s="286" t="e">
        <f>(BV34/'Finance Only'!B37)*100</f>
        <v>#DIV/0!</v>
      </c>
      <c r="BY34" s="269">
        <f t="shared" si="53"/>
        <v>0</v>
      </c>
      <c r="BZ34" s="269"/>
      <c r="CA34" s="270">
        <f t="shared" si="16"/>
        <v>0</v>
      </c>
      <c r="CB34" s="285">
        <f t="shared" si="54"/>
        <v>0</v>
      </c>
      <c r="CC34" s="286" t="e">
        <f>(CA34/'Finance Only'!B37)*100</f>
        <v>#DIV/0!</v>
      </c>
      <c r="CD34" s="269">
        <f t="shared" si="55"/>
        <v>0</v>
      </c>
      <c r="CE34" s="269"/>
      <c r="CF34" s="270">
        <f t="shared" si="17"/>
        <v>0</v>
      </c>
      <c r="CG34" s="285">
        <f t="shared" si="56"/>
        <v>0</v>
      </c>
      <c r="CH34" s="286" t="e">
        <f>(CF34/'Finance Only'!B37)*100</f>
        <v>#DIV/0!</v>
      </c>
      <c r="CI34" s="270">
        <f t="shared" si="57"/>
        <v>0</v>
      </c>
      <c r="CJ34" s="270"/>
      <c r="CK34" s="270">
        <f t="shared" si="58"/>
        <v>0</v>
      </c>
      <c r="CL34" s="285">
        <f t="shared" si="59"/>
        <v>0</v>
      </c>
      <c r="CM34" s="286" t="e">
        <f>(CK34/'Finance Only'!B37)*100</f>
        <v>#DIV/0!</v>
      </c>
      <c r="CN34" s="269">
        <f t="shared" si="60"/>
        <v>0</v>
      </c>
      <c r="CO34" s="269"/>
      <c r="CP34" s="271">
        <f t="shared" si="18"/>
        <v>0</v>
      </c>
      <c r="CQ34" s="285">
        <f t="shared" si="61"/>
        <v>0</v>
      </c>
      <c r="CR34" s="286" t="e">
        <f>(CP34/'Finance Only'!B37)*100</f>
        <v>#DIV/0!</v>
      </c>
      <c r="CS34" s="269">
        <f t="shared" si="62"/>
        <v>0</v>
      </c>
      <c r="CT34" s="269"/>
      <c r="CU34" s="270">
        <f t="shared" si="19"/>
        <v>0</v>
      </c>
      <c r="CV34" s="285">
        <f t="shared" si="63"/>
        <v>0</v>
      </c>
      <c r="CW34" s="286" t="e">
        <f>(CU34/'Finance Only'!B37)*100</f>
        <v>#DIV/0!</v>
      </c>
      <c r="CX34" s="269">
        <f t="shared" si="100"/>
        <v>0</v>
      </c>
      <c r="CY34" s="269"/>
      <c r="CZ34" s="270">
        <f t="shared" si="20"/>
        <v>0</v>
      </c>
      <c r="DA34" s="285">
        <f t="shared" si="65"/>
        <v>0</v>
      </c>
      <c r="DB34" s="286" t="e">
        <f>(CZ34/'Finance Only'!B37)*100</f>
        <v>#DIV/0!</v>
      </c>
      <c r="DC34" s="269">
        <f t="shared" si="66"/>
        <v>0</v>
      </c>
      <c r="DD34" s="269"/>
      <c r="DE34" s="270">
        <f t="shared" si="21"/>
        <v>0</v>
      </c>
      <c r="DF34" s="285">
        <f t="shared" si="67"/>
        <v>0</v>
      </c>
      <c r="DG34" s="286" t="e">
        <f>(DE34/'Finance Only'!B37)*100</f>
        <v>#DIV/0!</v>
      </c>
      <c r="DH34" s="269">
        <f t="shared" si="68"/>
        <v>0</v>
      </c>
      <c r="DI34" s="269"/>
      <c r="DJ34" s="270">
        <f t="shared" si="22"/>
        <v>0</v>
      </c>
      <c r="DK34" s="285">
        <f t="shared" si="69"/>
        <v>0</v>
      </c>
      <c r="DL34" s="286" t="e">
        <f>(DJ34/'Finance Only'!B37)*100</f>
        <v>#DIV/0!</v>
      </c>
      <c r="DM34" s="269">
        <f t="shared" si="70"/>
        <v>0</v>
      </c>
      <c r="DN34" s="269"/>
      <c r="DO34" s="270">
        <f t="shared" si="23"/>
        <v>0</v>
      </c>
      <c r="DP34" s="285">
        <f t="shared" si="71"/>
        <v>0</v>
      </c>
      <c r="DQ34" s="286" t="e">
        <f>(DO34/'Finance Only'!B37)*100</f>
        <v>#DIV/0!</v>
      </c>
      <c r="DR34" s="269">
        <f t="shared" si="72"/>
        <v>0</v>
      </c>
      <c r="DS34" s="269"/>
      <c r="DT34" s="270">
        <f t="shared" si="24"/>
        <v>0</v>
      </c>
      <c r="DU34" s="285">
        <f t="shared" si="73"/>
        <v>0</v>
      </c>
      <c r="DV34" s="286" t="e">
        <f>(DT34/'Finance Only'!B37)*100</f>
        <v>#DIV/0!</v>
      </c>
      <c r="DW34" s="269">
        <f t="shared" si="74"/>
        <v>0</v>
      </c>
      <c r="DX34" s="269"/>
      <c r="DY34" s="270">
        <f t="shared" si="25"/>
        <v>0</v>
      </c>
      <c r="DZ34" s="285">
        <f t="shared" si="75"/>
        <v>0</v>
      </c>
      <c r="EA34" s="286" t="e">
        <f>(DY34/'Finance Only'!B37)*100</f>
        <v>#DIV/0!</v>
      </c>
      <c r="EB34" s="269">
        <f t="shared" si="76"/>
        <v>0</v>
      </c>
      <c r="EC34" s="269"/>
      <c r="ED34" s="270">
        <f t="shared" si="26"/>
        <v>0</v>
      </c>
      <c r="EE34" s="285">
        <f t="shared" si="77"/>
        <v>0</v>
      </c>
      <c r="EF34" s="286" t="e">
        <f>(ED34/'Finance Only'!B37)*100</f>
        <v>#DIV/0!</v>
      </c>
      <c r="EG34" s="269">
        <f t="shared" si="78"/>
        <v>0</v>
      </c>
      <c r="EH34" s="269"/>
      <c r="EI34" s="270">
        <f t="shared" si="27"/>
        <v>0</v>
      </c>
      <c r="EJ34" s="285">
        <f t="shared" si="79"/>
        <v>0</v>
      </c>
      <c r="EK34" s="286" t="e">
        <f>(EI34/'Finance Only'!B37)*100</f>
        <v>#DIV/0!</v>
      </c>
      <c r="EL34" s="269">
        <f t="shared" si="80"/>
        <v>0</v>
      </c>
      <c r="EM34" s="269"/>
      <c r="EN34" s="270">
        <f t="shared" si="28"/>
        <v>0</v>
      </c>
      <c r="EO34" s="285">
        <f t="shared" si="81"/>
        <v>0</v>
      </c>
      <c r="EP34" s="286" t="e">
        <f>(EN34/'Finance Only'!B37)*100</f>
        <v>#DIV/0!</v>
      </c>
      <c r="EQ34" s="269">
        <f t="shared" si="82"/>
        <v>0</v>
      </c>
      <c r="ER34" s="269"/>
      <c r="ES34" s="270">
        <f t="shared" si="29"/>
        <v>0</v>
      </c>
      <c r="ET34" s="285">
        <f t="shared" si="83"/>
        <v>0</v>
      </c>
      <c r="EU34" s="286" t="e">
        <f>(ES34/'Finance Only'!B37)*100</f>
        <v>#DIV/0!</v>
      </c>
    </row>
    <row r="35" spans="1:151" s="3" customFormat="1" ht="13.5" thickBot="1" x14ac:dyDescent="0.25">
      <c r="A35" s="3" t="s">
        <v>7</v>
      </c>
      <c r="B35" s="77"/>
      <c r="C35" s="77"/>
      <c r="D35" s="78">
        <f>SUM(D5:D34)</f>
        <v>-25532712</v>
      </c>
      <c r="E35" s="78"/>
      <c r="F35" s="78"/>
      <c r="G35" s="78"/>
      <c r="H35" s="78"/>
      <c r="I35" s="78">
        <f>SUM(I5:I34)</f>
        <v>-22576918</v>
      </c>
      <c r="J35" s="78"/>
      <c r="K35" s="78"/>
      <c r="L35" s="78"/>
      <c r="M35" s="78"/>
      <c r="N35" s="78">
        <f>SUM(N5:N34)</f>
        <v>-85421095</v>
      </c>
      <c r="O35" s="78"/>
      <c r="P35" s="78"/>
      <c r="Q35" s="78"/>
      <c r="R35" s="78"/>
      <c r="S35" s="78">
        <f>SUM(S5:S34)</f>
        <v>-1966900</v>
      </c>
      <c r="T35" s="78"/>
      <c r="U35" s="78"/>
      <c r="V35" s="78"/>
      <c r="W35" s="78"/>
      <c r="X35" s="78">
        <f>SUM(X5:X34)</f>
        <v>-2662097</v>
      </c>
      <c r="Y35" s="78"/>
      <c r="Z35" s="78"/>
      <c r="AA35" s="78"/>
      <c r="AB35" s="78"/>
      <c r="AC35" s="78">
        <f>SUM(AC5:AC34)</f>
        <v>-1618900</v>
      </c>
      <c r="AD35" s="78"/>
      <c r="AE35" s="78"/>
      <c r="AF35" s="78"/>
      <c r="AG35" s="78"/>
      <c r="AH35" s="78">
        <f>SUM(AH5:AH34)</f>
        <v>-734522</v>
      </c>
      <c r="AI35" s="78"/>
      <c r="AJ35" s="78"/>
      <c r="AK35" s="78"/>
      <c r="AL35" s="78"/>
      <c r="AM35" s="78">
        <f>SUM(AM5:AM34)</f>
        <v>-7600100</v>
      </c>
      <c r="AN35" s="78"/>
      <c r="AO35" s="78"/>
      <c r="AP35" s="78"/>
      <c r="AQ35" s="78"/>
      <c r="AR35" s="78">
        <f>SUM(AR5:AR34)</f>
        <v>-1732600</v>
      </c>
      <c r="AS35" s="78"/>
      <c r="AT35" s="78"/>
      <c r="AU35" s="78"/>
      <c r="AV35" s="78"/>
      <c r="AW35" s="78">
        <f>SUM(AW5:AW34)</f>
        <v>-494210</v>
      </c>
      <c r="AX35" s="78"/>
      <c r="AY35" s="78"/>
      <c r="AZ35" s="78"/>
      <c r="BA35" s="78"/>
      <c r="BB35" s="78">
        <f>SUM(BB5:BB34)</f>
        <v>-628570</v>
      </c>
      <c r="BC35" s="78"/>
      <c r="BD35" s="78"/>
      <c r="BE35" s="78"/>
      <c r="BF35" s="78"/>
      <c r="BG35" s="78">
        <f>SUM(BG5:BG34)</f>
        <v>-725910</v>
      </c>
      <c r="BH35" s="78"/>
      <c r="BI35" s="78"/>
      <c r="BJ35" s="78"/>
      <c r="BK35" s="78"/>
      <c r="BL35" s="78">
        <f>SUM(BL5:BL34)</f>
        <v>-1136100</v>
      </c>
      <c r="BM35" s="78"/>
      <c r="BN35" s="78"/>
      <c r="BO35" s="78"/>
      <c r="BP35" s="78"/>
      <c r="BQ35" s="78">
        <f>SUM(BQ5:BQ34)</f>
        <v>-596350</v>
      </c>
      <c r="BR35" s="78"/>
      <c r="BS35" s="78"/>
      <c r="BT35" s="78"/>
      <c r="BU35" s="78"/>
      <c r="BV35" s="78">
        <f>SUM(BV5:BV34)</f>
        <v>-457080</v>
      </c>
      <c r="BW35" s="78"/>
      <c r="BX35" s="78"/>
      <c r="BY35" s="78"/>
      <c r="BZ35" s="78"/>
      <c r="CA35" s="78">
        <f>SUM(CA5:CA34)</f>
        <v>-1326100</v>
      </c>
      <c r="CB35" s="78"/>
      <c r="CC35" s="78"/>
      <c r="CD35" s="78"/>
      <c r="CE35" s="78"/>
      <c r="CF35" s="78">
        <f>SUM(CF5:CF34)</f>
        <v>-626490</v>
      </c>
      <c r="CG35" s="78"/>
      <c r="CH35" s="78"/>
      <c r="CI35" s="78"/>
      <c r="CJ35" s="78"/>
      <c r="CK35" s="78">
        <f>SUM(CK5:CK34)</f>
        <v>-29873</v>
      </c>
      <c r="CL35" s="78"/>
      <c r="CM35" s="78"/>
      <c r="CN35" s="78"/>
      <c r="CO35" s="78"/>
      <c r="CP35" s="139">
        <f>SUM(CP5:CP34)</f>
        <v>-23966</v>
      </c>
      <c r="CQ35" s="78"/>
      <c r="CR35" s="78"/>
      <c r="CS35" s="78"/>
      <c r="CT35" s="78"/>
      <c r="CU35" s="95">
        <f>SUM(CU5:CU34)</f>
        <v>-21609</v>
      </c>
      <c r="CV35" s="78"/>
      <c r="CW35" s="78"/>
      <c r="CX35" s="78"/>
      <c r="CY35" s="78"/>
      <c r="CZ35" s="95">
        <f>SUM(CZ5:CZ34)</f>
        <v>-33989</v>
      </c>
      <c r="DA35" s="78"/>
      <c r="DB35" s="78"/>
      <c r="DC35" s="78"/>
      <c r="DD35" s="78"/>
      <c r="DE35" s="95">
        <f>SUM(DE5:DE34)</f>
        <v>-25598</v>
      </c>
      <c r="DF35" s="78"/>
      <c r="DG35" s="78"/>
      <c r="DH35" s="78"/>
      <c r="DI35" s="78"/>
      <c r="DJ35" s="95">
        <f>SUM(DJ5:DJ34)</f>
        <v>-24150</v>
      </c>
      <c r="DK35" s="78"/>
      <c r="DL35" s="78"/>
      <c r="DM35" s="78"/>
      <c r="DN35" s="78"/>
      <c r="DO35" s="95">
        <f>SUM(DO5:DO34)</f>
        <v>-16546</v>
      </c>
      <c r="DP35" s="78"/>
      <c r="DQ35" s="78"/>
      <c r="DR35" s="78"/>
      <c r="DS35" s="78"/>
      <c r="DT35" s="95">
        <f>SUM(DT5:DT34)</f>
        <v>-44409</v>
      </c>
      <c r="DU35" s="78"/>
      <c r="DV35" s="78"/>
      <c r="DW35" s="78"/>
      <c r="DX35" s="78"/>
      <c r="DY35" s="95">
        <f>SUM(DY5:DY34)</f>
        <v>-32323</v>
      </c>
      <c r="DZ35" s="78"/>
      <c r="EA35" s="78"/>
      <c r="EB35" s="78"/>
      <c r="EC35" s="78"/>
      <c r="ED35" s="95">
        <f>SUM(ED5:ED34)</f>
        <v>-97564</v>
      </c>
      <c r="EE35" s="78"/>
      <c r="EF35" s="78"/>
      <c r="EG35" s="78"/>
      <c r="EH35" s="78"/>
      <c r="EI35" s="95">
        <f>SUM(EI5:EI34)</f>
        <v>-77254</v>
      </c>
      <c r="EJ35" s="78"/>
      <c r="EK35" s="78"/>
      <c r="EL35" s="78"/>
      <c r="EM35" s="78"/>
      <c r="EN35" s="95">
        <f>SUM(EN5:EN34)</f>
        <v>-16706</v>
      </c>
      <c r="EO35" s="78"/>
      <c r="EP35" s="78"/>
      <c r="EQ35" s="78"/>
      <c r="ER35" s="78"/>
      <c r="ES35" s="95">
        <f>SUM(ES5:ES34)</f>
        <v>-202860</v>
      </c>
      <c r="ET35" s="78"/>
      <c r="EU35" s="78"/>
    </row>
    <row r="36" spans="1:151" ht="13.5" thickTop="1" x14ac:dyDescent="0.2"/>
  </sheetData>
  <mergeCells count="32">
    <mergeCell ref="AP3:AT3"/>
    <mergeCell ref="AU3:AY3"/>
    <mergeCell ref="A1:B1"/>
    <mergeCell ref="B3:F3"/>
    <mergeCell ref="G3:K3"/>
    <mergeCell ref="L3:P3"/>
    <mergeCell ref="Q3:U3"/>
    <mergeCell ref="V3:Z3"/>
    <mergeCell ref="AA3:AE3"/>
    <mergeCell ref="AF3:AJ3"/>
    <mergeCell ref="AK3:AO3"/>
    <mergeCell ref="C1:H1"/>
    <mergeCell ref="AZ3:BD3"/>
    <mergeCell ref="BJ3:BN3"/>
    <mergeCell ref="BE3:BI3"/>
    <mergeCell ref="EB3:EF3"/>
    <mergeCell ref="EG3:EK3"/>
    <mergeCell ref="EL3:EP3"/>
    <mergeCell ref="EQ3:EU3"/>
    <mergeCell ref="BT3:BX3"/>
    <mergeCell ref="BY3:CC3"/>
    <mergeCell ref="CI3:CM3"/>
    <mergeCell ref="CN3:CR3"/>
    <mergeCell ref="CS3:CW3"/>
    <mergeCell ref="CX3:DB3"/>
    <mergeCell ref="CD3:CH3"/>
    <mergeCell ref="DW3:EA3"/>
    <mergeCell ref="BO3:BS3"/>
    <mergeCell ref="DC3:DG3"/>
    <mergeCell ref="DH3:DL3"/>
    <mergeCell ref="DM3:DQ3"/>
    <mergeCell ref="DR3:DV3"/>
  </mergeCells>
  <pageMargins left="0.7" right="0.7" top="0.75" bottom="0.75" header="0.3" footer="0.3"/>
  <pageSetup scale="74" orientation="landscape" r:id="rId1"/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N1" zoomScale="80" zoomScaleNormal="80" workbookViewId="0">
      <pane ySplit="5" topLeftCell="A9" activePane="bottomLeft" state="frozen"/>
      <selection activeCell="C1" sqref="C1"/>
      <selection pane="bottomLeft" activeCell="AB26" sqref="AB26"/>
    </sheetView>
  </sheetViews>
  <sheetFormatPr defaultColWidth="9.140625" defaultRowHeight="12.75" x14ac:dyDescent="0.2"/>
  <cols>
    <col min="1" max="1" width="4.7109375" style="174" customWidth="1"/>
    <col min="2" max="2" width="13.5703125" style="174" customWidth="1"/>
    <col min="3" max="3" width="8.85546875" style="174" customWidth="1"/>
    <col min="4" max="4" width="10.5703125" style="174" customWidth="1"/>
    <col min="5" max="5" width="2" style="178" customWidth="1"/>
    <col min="6" max="6" width="5.140625" style="174" customWidth="1"/>
    <col min="7" max="7" width="13.5703125" style="174" customWidth="1"/>
    <col min="8" max="8" width="10" style="174" customWidth="1"/>
    <col min="9" max="9" width="14" style="174" customWidth="1"/>
    <col min="10" max="10" width="2.85546875" style="178" customWidth="1"/>
    <col min="11" max="11" width="5.42578125" style="174" customWidth="1"/>
    <col min="12" max="13" width="13.5703125" style="174" customWidth="1"/>
    <col min="14" max="14" width="12.140625" style="174" customWidth="1"/>
    <col min="15" max="15" width="2.85546875" style="178" customWidth="1"/>
    <col min="16" max="16" width="5.85546875" style="174" customWidth="1"/>
    <col min="17" max="17" width="13.5703125" style="174" customWidth="1"/>
    <col min="18" max="18" width="8.85546875" style="174" customWidth="1"/>
    <col min="19" max="19" width="11.140625" style="174" customWidth="1"/>
    <col min="20" max="20" width="2.42578125" style="178" customWidth="1"/>
    <col min="21" max="21" width="6.42578125" style="149" customWidth="1"/>
    <col min="22" max="22" width="10.85546875" style="174" customWidth="1"/>
    <col min="23" max="23" width="13" style="177" bestFit="1" customWidth="1"/>
    <col min="24" max="24" width="11.85546875" style="149" customWidth="1"/>
    <col min="25" max="25" width="9.140625" style="149"/>
    <col min="26" max="26" width="7.7109375" style="149" customWidth="1"/>
    <col min="27" max="27" width="11.140625" style="198" customWidth="1"/>
    <col min="28" max="28" width="9.140625" style="198"/>
    <col min="29" max="29" width="11.42578125" style="198" customWidth="1"/>
    <col min="30" max="30" width="10.85546875" style="198" bestFit="1" customWidth="1"/>
    <col min="31" max="88" width="9.140625" style="198"/>
    <col min="89" max="16384" width="9.140625" style="149"/>
  </cols>
  <sheetData>
    <row r="1" spans="1:89" ht="12.75" customHeight="1" x14ac:dyDescent="0.2">
      <c r="A1" s="367" t="s">
        <v>123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Z1" s="379" t="s">
        <v>162</v>
      </c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79"/>
      <c r="AU1" s="379"/>
      <c r="AV1" s="379"/>
      <c r="AW1" s="379"/>
      <c r="AX1" s="379"/>
      <c r="AY1" s="379"/>
      <c r="AZ1" s="379"/>
      <c r="BA1" s="379"/>
      <c r="BB1" s="379"/>
      <c r="BC1" s="379"/>
      <c r="BD1" s="379"/>
      <c r="BE1" s="379"/>
      <c r="BF1" s="379"/>
      <c r="BG1" s="379"/>
      <c r="BH1" s="379"/>
      <c r="BI1" s="379"/>
      <c r="BJ1" s="379"/>
      <c r="BK1" s="379"/>
      <c r="BL1" s="379"/>
      <c r="BM1" s="379"/>
      <c r="BN1" s="379"/>
      <c r="BO1" s="379"/>
      <c r="BP1" s="379"/>
      <c r="BQ1" s="379"/>
      <c r="BR1" s="379"/>
      <c r="BS1" s="379"/>
      <c r="BT1" s="379"/>
      <c r="BU1" s="379"/>
      <c r="BV1" s="379"/>
      <c r="BW1" s="379"/>
      <c r="BX1" s="379"/>
      <c r="BY1" s="379"/>
      <c r="BZ1" s="379"/>
      <c r="CA1" s="379"/>
      <c r="CB1" s="379"/>
      <c r="CC1" s="379"/>
      <c r="CD1" s="379"/>
      <c r="CE1" s="379"/>
      <c r="CF1" s="379"/>
      <c r="CG1" s="379"/>
      <c r="CH1" s="379"/>
      <c r="CI1" s="379"/>
      <c r="CJ1" s="379"/>
      <c r="CK1" s="379"/>
    </row>
    <row r="2" spans="1:89" s="150" customFormat="1" ht="24" customHeight="1" x14ac:dyDescent="0.2">
      <c r="A2" s="367"/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Z2" s="379"/>
      <c r="AA2" s="379"/>
      <c r="AB2" s="379"/>
      <c r="AC2" s="379"/>
      <c r="AD2" s="379"/>
      <c r="AE2" s="379"/>
      <c r="AF2" s="379"/>
      <c r="AG2" s="379"/>
      <c r="AH2" s="379"/>
      <c r="AI2" s="379"/>
      <c r="AJ2" s="379"/>
      <c r="AK2" s="379"/>
      <c r="AL2" s="379"/>
      <c r="AM2" s="379"/>
      <c r="AN2" s="379"/>
      <c r="AO2" s="379"/>
      <c r="AP2" s="379"/>
      <c r="AQ2" s="379"/>
      <c r="AR2" s="379"/>
      <c r="AS2" s="379"/>
      <c r="AT2" s="379"/>
      <c r="AU2" s="379"/>
      <c r="AV2" s="379"/>
      <c r="AW2" s="379"/>
      <c r="AX2" s="379"/>
      <c r="AY2" s="379"/>
      <c r="AZ2" s="379"/>
      <c r="BA2" s="379"/>
      <c r="BB2" s="379"/>
      <c r="BC2" s="379"/>
      <c r="BD2" s="379"/>
      <c r="BE2" s="379"/>
      <c r="BF2" s="379"/>
      <c r="BG2" s="379"/>
      <c r="BH2" s="379"/>
      <c r="BI2" s="379"/>
      <c r="BJ2" s="379"/>
      <c r="BK2" s="379"/>
      <c r="BL2" s="379"/>
      <c r="BM2" s="379"/>
      <c r="BN2" s="379"/>
      <c r="BO2" s="379"/>
      <c r="BP2" s="379"/>
      <c r="BQ2" s="379"/>
      <c r="BR2" s="379"/>
      <c r="BS2" s="379"/>
      <c r="BT2" s="379"/>
      <c r="BU2" s="379"/>
      <c r="BV2" s="379"/>
      <c r="BW2" s="379"/>
      <c r="BX2" s="379"/>
      <c r="BY2" s="379"/>
      <c r="BZ2" s="379"/>
      <c r="CA2" s="379"/>
      <c r="CB2" s="379"/>
      <c r="CC2" s="379"/>
      <c r="CD2" s="379"/>
      <c r="CE2" s="379"/>
      <c r="CF2" s="379"/>
      <c r="CG2" s="379"/>
      <c r="CH2" s="379"/>
      <c r="CI2" s="379"/>
      <c r="CJ2" s="379"/>
      <c r="CK2" s="379"/>
    </row>
    <row r="3" spans="1:89" s="174" customFormat="1" ht="24.75" customHeight="1" thickBot="1" x14ac:dyDescent="0.25">
      <c r="A3" s="368" t="s">
        <v>3</v>
      </c>
      <c r="B3" s="368"/>
      <c r="C3" s="247">
        <v>44317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Z3" s="378" t="s">
        <v>163</v>
      </c>
      <c r="AA3" s="378"/>
      <c r="AB3" s="378"/>
      <c r="AC3" s="378"/>
      <c r="AD3" s="248">
        <v>44299</v>
      </c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</row>
    <row r="4" spans="1:89" ht="15" customHeight="1" x14ac:dyDescent="0.2">
      <c r="A4" s="369" t="s">
        <v>124</v>
      </c>
      <c r="B4" s="370"/>
      <c r="C4" s="370"/>
      <c r="D4" s="371"/>
      <c r="E4" s="152"/>
      <c r="F4" s="369" t="s">
        <v>125</v>
      </c>
      <c r="G4" s="370"/>
      <c r="H4" s="370"/>
      <c r="I4" s="371"/>
      <c r="J4" s="152"/>
      <c r="K4" s="369" t="s">
        <v>126</v>
      </c>
      <c r="L4" s="370"/>
      <c r="M4" s="370"/>
      <c r="N4" s="371"/>
      <c r="O4" s="152"/>
      <c r="P4" s="369" t="s">
        <v>127</v>
      </c>
      <c r="Q4" s="370"/>
      <c r="R4" s="370"/>
      <c r="S4" s="371"/>
      <c r="T4" s="152"/>
      <c r="U4" s="372" t="s">
        <v>128</v>
      </c>
      <c r="V4" s="373"/>
      <c r="W4" s="373"/>
      <c r="X4" s="374"/>
      <c r="Z4" s="375" t="s">
        <v>140</v>
      </c>
      <c r="AA4" s="376"/>
      <c r="AB4" s="376"/>
      <c r="AC4" s="377"/>
      <c r="AD4" s="375" t="s">
        <v>142</v>
      </c>
      <c r="AE4" s="376"/>
      <c r="AF4" s="377"/>
      <c r="AG4" s="375" t="s">
        <v>143</v>
      </c>
      <c r="AH4" s="376"/>
      <c r="AI4" s="377"/>
      <c r="AJ4" s="375" t="s">
        <v>144</v>
      </c>
      <c r="AK4" s="376"/>
      <c r="AL4" s="377"/>
      <c r="AM4" s="375" t="s">
        <v>145</v>
      </c>
      <c r="AN4" s="376"/>
      <c r="AO4" s="377"/>
      <c r="AP4" s="375" t="s">
        <v>146</v>
      </c>
      <c r="AQ4" s="376"/>
      <c r="AR4" s="377"/>
      <c r="AS4" s="375" t="s">
        <v>147</v>
      </c>
      <c r="AT4" s="376"/>
      <c r="AU4" s="377"/>
      <c r="AV4" s="375" t="s">
        <v>148</v>
      </c>
      <c r="AW4" s="376"/>
      <c r="AX4" s="377"/>
      <c r="AY4" s="375" t="s">
        <v>149</v>
      </c>
      <c r="AZ4" s="376"/>
      <c r="BA4" s="377"/>
      <c r="BB4" s="375" t="s">
        <v>150</v>
      </c>
      <c r="BC4" s="376"/>
      <c r="BD4" s="377"/>
      <c r="BE4" s="375" t="s">
        <v>151</v>
      </c>
      <c r="BF4" s="376"/>
      <c r="BG4" s="377"/>
      <c r="BH4" s="375" t="s">
        <v>152</v>
      </c>
      <c r="BI4" s="376"/>
      <c r="BJ4" s="377"/>
      <c r="BK4" s="375" t="s">
        <v>153</v>
      </c>
      <c r="BL4" s="376"/>
      <c r="BM4" s="377"/>
      <c r="BN4" s="375" t="s">
        <v>154</v>
      </c>
      <c r="BO4" s="376"/>
      <c r="BP4" s="377"/>
      <c r="BQ4" s="375" t="s">
        <v>155</v>
      </c>
      <c r="BR4" s="376"/>
      <c r="BS4" s="377"/>
      <c r="BT4" s="375" t="s">
        <v>156</v>
      </c>
      <c r="BU4" s="376"/>
      <c r="BV4" s="377"/>
      <c r="BW4" s="375" t="s">
        <v>157</v>
      </c>
      <c r="BX4" s="376"/>
      <c r="BY4" s="377"/>
      <c r="BZ4" s="375" t="s">
        <v>158</v>
      </c>
      <c r="CA4" s="376"/>
      <c r="CB4" s="377"/>
      <c r="CC4" s="375" t="s">
        <v>159</v>
      </c>
      <c r="CD4" s="376"/>
      <c r="CE4" s="377"/>
      <c r="CF4" s="375" t="s">
        <v>160</v>
      </c>
      <c r="CG4" s="376"/>
      <c r="CH4" s="377"/>
      <c r="CI4" s="375" t="s">
        <v>161</v>
      </c>
      <c r="CJ4" s="376"/>
      <c r="CK4" s="377"/>
    </row>
    <row r="5" spans="1:89" ht="36" customHeight="1" x14ac:dyDescent="0.2">
      <c r="A5" s="153" t="s">
        <v>5</v>
      </c>
      <c r="B5" s="153" t="s">
        <v>19</v>
      </c>
      <c r="C5" s="153" t="s">
        <v>20</v>
      </c>
      <c r="D5" s="154" t="s">
        <v>129</v>
      </c>
      <c r="E5" s="154"/>
      <c r="F5" s="153" t="s">
        <v>5</v>
      </c>
      <c r="G5" s="153" t="s">
        <v>19</v>
      </c>
      <c r="H5" s="153" t="s">
        <v>20</v>
      </c>
      <c r="I5" s="154" t="s">
        <v>129</v>
      </c>
      <c r="J5" s="154"/>
      <c r="K5" s="153" t="s">
        <v>5</v>
      </c>
      <c r="L5" s="153" t="s">
        <v>19</v>
      </c>
      <c r="M5" s="153" t="s">
        <v>20</v>
      </c>
      <c r="N5" s="154" t="s">
        <v>129</v>
      </c>
      <c r="O5" s="154"/>
      <c r="P5" s="153" t="s">
        <v>5</v>
      </c>
      <c r="Q5" s="153" t="s">
        <v>19</v>
      </c>
      <c r="R5" s="153" t="s">
        <v>20</v>
      </c>
      <c r="S5" s="154" t="s">
        <v>129</v>
      </c>
      <c r="T5" s="154"/>
      <c r="U5" s="155" t="s">
        <v>42</v>
      </c>
      <c r="V5" s="156" t="s">
        <v>13</v>
      </c>
      <c r="W5" s="157" t="s">
        <v>130</v>
      </c>
      <c r="X5" s="155" t="s">
        <v>75</v>
      </c>
      <c r="Z5" s="241" t="s">
        <v>5</v>
      </c>
      <c r="AA5" s="240" t="s">
        <v>54</v>
      </c>
      <c r="AB5" s="240" t="s">
        <v>55</v>
      </c>
      <c r="AC5" s="242" t="s">
        <v>141</v>
      </c>
      <c r="AD5" s="241" t="s">
        <v>54</v>
      </c>
      <c r="AE5" s="240" t="s">
        <v>55</v>
      </c>
      <c r="AF5" s="242" t="s">
        <v>141</v>
      </c>
      <c r="AG5" s="241" t="s">
        <v>54</v>
      </c>
      <c r="AH5" s="240" t="s">
        <v>55</v>
      </c>
      <c r="AI5" s="242" t="s">
        <v>141</v>
      </c>
      <c r="AJ5" s="241" t="s">
        <v>54</v>
      </c>
      <c r="AK5" s="240" t="s">
        <v>55</v>
      </c>
      <c r="AL5" s="242" t="s">
        <v>141</v>
      </c>
      <c r="AM5" s="241" t="s">
        <v>54</v>
      </c>
      <c r="AN5" s="240" t="s">
        <v>55</v>
      </c>
      <c r="AO5" s="242" t="s">
        <v>141</v>
      </c>
      <c r="AP5" s="241" t="s">
        <v>54</v>
      </c>
      <c r="AQ5" s="240" t="s">
        <v>55</v>
      </c>
      <c r="AR5" s="242" t="s">
        <v>141</v>
      </c>
      <c r="AS5" s="241" t="s">
        <v>54</v>
      </c>
      <c r="AT5" s="240" t="s">
        <v>55</v>
      </c>
      <c r="AU5" s="242" t="s">
        <v>141</v>
      </c>
      <c r="AV5" s="241" t="s">
        <v>54</v>
      </c>
      <c r="AW5" s="240" t="s">
        <v>55</v>
      </c>
      <c r="AX5" s="242" t="s">
        <v>141</v>
      </c>
      <c r="AY5" s="241" t="s">
        <v>54</v>
      </c>
      <c r="AZ5" s="240" t="s">
        <v>55</v>
      </c>
      <c r="BA5" s="242" t="s">
        <v>141</v>
      </c>
      <c r="BB5" s="241" t="s">
        <v>54</v>
      </c>
      <c r="BC5" s="240" t="s">
        <v>55</v>
      </c>
      <c r="BD5" s="242" t="s">
        <v>141</v>
      </c>
      <c r="BE5" s="241" t="s">
        <v>54</v>
      </c>
      <c r="BF5" s="240" t="s">
        <v>55</v>
      </c>
      <c r="BG5" s="242" t="s">
        <v>141</v>
      </c>
      <c r="BH5" s="241" t="s">
        <v>54</v>
      </c>
      <c r="BI5" s="240" t="s">
        <v>55</v>
      </c>
      <c r="BJ5" s="242" t="s">
        <v>141</v>
      </c>
      <c r="BK5" s="241" t="s">
        <v>54</v>
      </c>
      <c r="BL5" s="240" t="s">
        <v>55</v>
      </c>
      <c r="BM5" s="242" t="s">
        <v>141</v>
      </c>
      <c r="BN5" s="241" t="s">
        <v>54</v>
      </c>
      <c r="BO5" s="240" t="s">
        <v>55</v>
      </c>
      <c r="BP5" s="242" t="s">
        <v>141</v>
      </c>
      <c r="BQ5" s="241" t="s">
        <v>54</v>
      </c>
      <c r="BR5" s="240" t="s">
        <v>55</v>
      </c>
      <c r="BS5" s="242" t="s">
        <v>141</v>
      </c>
      <c r="BT5" s="241" t="s">
        <v>54</v>
      </c>
      <c r="BU5" s="240" t="s">
        <v>55</v>
      </c>
      <c r="BV5" s="242" t="s">
        <v>141</v>
      </c>
      <c r="BW5" s="241" t="s">
        <v>54</v>
      </c>
      <c r="BX5" s="240" t="s">
        <v>55</v>
      </c>
      <c r="BY5" s="242" t="s">
        <v>141</v>
      </c>
      <c r="BZ5" s="241" t="s">
        <v>54</v>
      </c>
      <c r="CA5" s="240" t="s">
        <v>55</v>
      </c>
      <c r="CB5" s="242" t="s">
        <v>141</v>
      </c>
      <c r="CC5" s="241" t="s">
        <v>54</v>
      </c>
      <c r="CD5" s="240" t="s">
        <v>55</v>
      </c>
      <c r="CE5" s="242" t="s">
        <v>141</v>
      </c>
      <c r="CF5" s="241" t="s">
        <v>54</v>
      </c>
      <c r="CG5" s="240" t="s">
        <v>55</v>
      </c>
      <c r="CH5" s="242" t="s">
        <v>141</v>
      </c>
      <c r="CI5" s="241" t="s">
        <v>54</v>
      </c>
      <c r="CJ5" s="240" t="s">
        <v>55</v>
      </c>
      <c r="CK5" s="242" t="s">
        <v>141</v>
      </c>
    </row>
    <row r="6" spans="1:89" ht="15" customHeight="1" x14ac:dyDescent="0.2">
      <c r="A6" s="169">
        <v>1</v>
      </c>
      <c r="B6" s="158">
        <v>6146</v>
      </c>
      <c r="C6" s="158">
        <v>6264</v>
      </c>
      <c r="D6" s="159">
        <v>34</v>
      </c>
      <c r="E6" s="225"/>
      <c r="F6" s="169">
        <v>1</v>
      </c>
      <c r="G6" s="161">
        <v>3418</v>
      </c>
      <c r="H6" s="158">
        <v>3418</v>
      </c>
      <c r="I6" s="159">
        <f>H6-G6</f>
        <v>0</v>
      </c>
      <c r="J6" s="225"/>
      <c r="K6" s="169">
        <v>1</v>
      </c>
      <c r="L6" s="158">
        <v>735063</v>
      </c>
      <c r="M6" s="158">
        <v>735257</v>
      </c>
      <c r="N6" s="159">
        <f>M6-L6</f>
        <v>194</v>
      </c>
      <c r="O6" s="162"/>
      <c r="P6" s="169">
        <v>1</v>
      </c>
      <c r="Q6" s="158">
        <v>201811</v>
      </c>
      <c r="R6" s="158">
        <v>201874</v>
      </c>
      <c r="S6" s="159">
        <f>R6-Q6</f>
        <v>63</v>
      </c>
      <c r="T6" s="160"/>
      <c r="U6" s="163">
        <v>1</v>
      </c>
      <c r="V6" s="252">
        <f>SUM(S6+N6+I6+D6)</f>
        <v>291</v>
      </c>
      <c r="W6" s="164">
        <f>'Maldives at LG Daily'!I5</f>
        <v>45</v>
      </c>
      <c r="X6" s="165"/>
      <c r="Z6" s="245">
        <v>1</v>
      </c>
      <c r="AA6" s="168">
        <v>35804</v>
      </c>
      <c r="AB6" s="168">
        <v>35824</v>
      </c>
      <c r="AC6" s="243">
        <f>AB6-AA6</f>
        <v>20</v>
      </c>
      <c r="AD6" s="251">
        <v>7532</v>
      </c>
      <c r="AE6" s="168">
        <v>7544</v>
      </c>
      <c r="AF6" s="243">
        <f>AE6-AD6</f>
        <v>12</v>
      </c>
      <c r="AG6" s="251">
        <v>5202</v>
      </c>
      <c r="AH6" s="168">
        <v>5202</v>
      </c>
      <c r="AI6" s="243">
        <f>AH6-AG6</f>
        <v>0</v>
      </c>
      <c r="AJ6" s="251">
        <v>13166</v>
      </c>
      <c r="AK6" s="168">
        <v>13179</v>
      </c>
      <c r="AL6" s="243">
        <f t="shared" ref="AL6:AL36" si="0">AK6-AJ6</f>
        <v>13</v>
      </c>
      <c r="AM6" s="251">
        <v>31413</v>
      </c>
      <c r="AN6" s="168">
        <v>31421</v>
      </c>
      <c r="AO6" s="243">
        <f t="shared" ref="AO6:AO36" si="1">AN6-AM6</f>
        <v>8</v>
      </c>
      <c r="AP6" s="251">
        <v>5604</v>
      </c>
      <c r="AQ6" s="168">
        <v>5610</v>
      </c>
      <c r="AR6" s="243">
        <f t="shared" ref="AR6:AR36" si="2">AQ6-AP6</f>
        <v>6</v>
      </c>
      <c r="AS6" s="251">
        <v>21244</v>
      </c>
      <c r="AT6" s="168">
        <v>21256</v>
      </c>
      <c r="AU6" s="243">
        <f t="shared" ref="AU6:AU36" si="3">AT6-AS6</f>
        <v>12</v>
      </c>
      <c r="AV6" s="251">
        <v>5509</v>
      </c>
      <c r="AW6" s="168">
        <v>5516</v>
      </c>
      <c r="AX6" s="243">
        <f t="shared" ref="AX6:AX36" si="4">AW6-AV6</f>
        <v>7</v>
      </c>
      <c r="AY6" s="251">
        <v>3242</v>
      </c>
      <c r="AZ6" s="168">
        <v>3243</v>
      </c>
      <c r="BA6" s="243">
        <f t="shared" ref="BA6:BA36" si="5">AZ6-AY6</f>
        <v>1</v>
      </c>
      <c r="BB6" s="251">
        <v>1505</v>
      </c>
      <c r="BC6" s="168">
        <v>1506</v>
      </c>
      <c r="BD6" s="243">
        <f t="shared" ref="BD6:BD36" si="6">BC6-BB6</f>
        <v>1</v>
      </c>
      <c r="BE6" s="251">
        <v>26451</v>
      </c>
      <c r="BF6" s="168">
        <v>26451</v>
      </c>
      <c r="BG6" s="243">
        <f t="shared" ref="BG6:BG36" si="7">BF6-BE6</f>
        <v>0</v>
      </c>
      <c r="BH6" s="251">
        <v>2261</v>
      </c>
      <c r="BI6" s="168">
        <v>2261</v>
      </c>
      <c r="BJ6" s="243">
        <f t="shared" ref="BJ6:BJ36" si="8">BI6-BH6</f>
        <v>0</v>
      </c>
      <c r="BK6" s="251">
        <v>69860</v>
      </c>
      <c r="BL6" s="168">
        <v>69881</v>
      </c>
      <c r="BM6" s="243">
        <f t="shared" ref="BM6:BM36" si="9">BL6-BK6</f>
        <v>21</v>
      </c>
      <c r="BN6" s="251">
        <v>22964</v>
      </c>
      <c r="BO6" s="168">
        <v>22967</v>
      </c>
      <c r="BP6" s="243">
        <f t="shared" ref="BP6:BP36" si="10">BO6-BN6</f>
        <v>3</v>
      </c>
      <c r="BQ6" s="251">
        <v>12323</v>
      </c>
      <c r="BR6" s="168">
        <v>12323</v>
      </c>
      <c r="BS6" s="243">
        <f t="shared" ref="BS6:BS36" si="11">BR6-BQ6</f>
        <v>0</v>
      </c>
      <c r="BT6" s="251">
        <v>16700</v>
      </c>
      <c r="BU6" s="168">
        <v>16708</v>
      </c>
      <c r="BV6" s="243">
        <f t="shared" ref="BV6:BV36" si="12">BU6-BT6</f>
        <v>8</v>
      </c>
      <c r="BW6" s="251">
        <v>19209</v>
      </c>
      <c r="BX6" s="168">
        <v>19211</v>
      </c>
      <c r="BY6" s="243">
        <f t="shared" ref="BY6:BY36" si="13">BX6-BW6</f>
        <v>2</v>
      </c>
      <c r="BZ6" s="251">
        <v>8202</v>
      </c>
      <c r="CA6" s="168">
        <v>8205</v>
      </c>
      <c r="CB6" s="243">
        <f t="shared" ref="CB6:CB36" si="14">CA6-BZ6</f>
        <v>3</v>
      </c>
      <c r="CC6" s="251">
        <v>16920</v>
      </c>
      <c r="CD6" s="168">
        <v>16935</v>
      </c>
      <c r="CE6" s="243">
        <f t="shared" ref="CE6:CE36" si="15">CD6-CC6</f>
        <v>15</v>
      </c>
      <c r="CF6" s="251">
        <v>1666</v>
      </c>
      <c r="CG6" s="168">
        <v>1667</v>
      </c>
      <c r="CH6" s="243">
        <f t="shared" ref="CH6:CH36" si="16">CG6-CF6</f>
        <v>1</v>
      </c>
      <c r="CI6" s="251">
        <v>9286</v>
      </c>
      <c r="CJ6" s="168">
        <v>9292</v>
      </c>
      <c r="CK6" s="243">
        <f t="shared" ref="CK6:CK36" si="17">CJ6-CI6</f>
        <v>6</v>
      </c>
    </row>
    <row r="7" spans="1:89" ht="15" customHeight="1" x14ac:dyDescent="0.2">
      <c r="A7" s="169">
        <v>2</v>
      </c>
      <c r="B7" s="166">
        <f t="shared" ref="B7:B34" si="18">C6</f>
        <v>6264</v>
      </c>
      <c r="C7" s="167">
        <v>6386</v>
      </c>
      <c r="D7" s="159">
        <f>C7-B7</f>
        <v>122</v>
      </c>
      <c r="E7" s="225"/>
      <c r="F7" s="169">
        <v>2</v>
      </c>
      <c r="G7" s="166">
        <f t="shared" ref="G7:G34" si="19">H6</f>
        <v>3418</v>
      </c>
      <c r="H7" s="158">
        <v>3418</v>
      </c>
      <c r="I7" s="168">
        <f t="shared" ref="I7:I10" si="20">H7-G7</f>
        <v>0</v>
      </c>
      <c r="J7" s="225"/>
      <c r="K7" s="169">
        <v>2</v>
      </c>
      <c r="L7" s="166">
        <f t="shared" ref="L7:L34" si="21">M6</f>
        <v>735257</v>
      </c>
      <c r="M7" s="167">
        <v>735453</v>
      </c>
      <c r="N7" s="168">
        <f t="shared" ref="N7:N10" si="22">M7-L7</f>
        <v>196</v>
      </c>
      <c r="O7" s="162"/>
      <c r="P7" s="169">
        <v>2</v>
      </c>
      <c r="Q7" s="166">
        <f t="shared" ref="Q7:Q34" si="23">R6</f>
        <v>201874</v>
      </c>
      <c r="R7" s="167">
        <v>201917</v>
      </c>
      <c r="S7" s="168">
        <f t="shared" ref="S7:S10" si="24">R7-Q7</f>
        <v>43</v>
      </c>
      <c r="T7" s="160"/>
      <c r="U7" s="169">
        <v>2</v>
      </c>
      <c r="V7" s="253">
        <f t="shared" ref="V7:V36" si="25">SUM(S7+N7+I7+D7)</f>
        <v>361</v>
      </c>
      <c r="W7" s="164">
        <f>'Maldives at LG Daily'!I6</f>
        <v>48</v>
      </c>
      <c r="X7" s="170"/>
      <c r="Z7" s="245">
        <v>2</v>
      </c>
      <c r="AA7" s="168">
        <f>AB6</f>
        <v>35824</v>
      </c>
      <c r="AB7" s="168">
        <v>35843</v>
      </c>
      <c r="AC7" s="243">
        <f t="shared" ref="AC7:AC36" si="26">AB7-AA7</f>
        <v>19</v>
      </c>
      <c r="AD7" s="251">
        <f>AE6</f>
        <v>7544</v>
      </c>
      <c r="AE7" s="168">
        <v>7550</v>
      </c>
      <c r="AF7" s="243">
        <f t="shared" ref="AF7:AF36" si="27">AE7-AD7</f>
        <v>6</v>
      </c>
      <c r="AG7" s="251">
        <f>AH6</f>
        <v>5202</v>
      </c>
      <c r="AH7" s="168">
        <v>5202</v>
      </c>
      <c r="AI7" s="243">
        <f t="shared" ref="AI7:AI36" si="28">AH7-AG7</f>
        <v>0</v>
      </c>
      <c r="AJ7" s="251">
        <f>AK6</f>
        <v>13179</v>
      </c>
      <c r="AK7" s="168">
        <v>13193</v>
      </c>
      <c r="AL7" s="243">
        <f t="shared" si="0"/>
        <v>14</v>
      </c>
      <c r="AM7" s="251">
        <f>AN6</f>
        <v>31421</v>
      </c>
      <c r="AN7" s="168">
        <v>31429</v>
      </c>
      <c r="AO7" s="243">
        <f t="shared" si="1"/>
        <v>8</v>
      </c>
      <c r="AP7" s="251">
        <f>AQ6</f>
        <v>5610</v>
      </c>
      <c r="AQ7" s="168">
        <v>5617</v>
      </c>
      <c r="AR7" s="243">
        <f t="shared" si="2"/>
        <v>7</v>
      </c>
      <c r="AS7" s="251">
        <f>AT6</f>
        <v>21256</v>
      </c>
      <c r="AT7" s="168">
        <v>21268</v>
      </c>
      <c r="AU7" s="243">
        <f t="shared" si="3"/>
        <v>12</v>
      </c>
      <c r="AV7" s="251">
        <f>AW6</f>
        <v>5516</v>
      </c>
      <c r="AW7" s="168">
        <v>5523</v>
      </c>
      <c r="AX7" s="243">
        <f t="shared" si="4"/>
        <v>7</v>
      </c>
      <c r="AY7" s="251">
        <f>AZ6</f>
        <v>3243</v>
      </c>
      <c r="AZ7" s="168">
        <v>3244</v>
      </c>
      <c r="BA7" s="243">
        <f t="shared" si="5"/>
        <v>1</v>
      </c>
      <c r="BB7" s="251">
        <f>BC6</f>
        <v>1506</v>
      </c>
      <c r="BC7" s="168">
        <v>1507</v>
      </c>
      <c r="BD7" s="243">
        <f t="shared" si="6"/>
        <v>1</v>
      </c>
      <c r="BE7" s="251">
        <f>BF6</f>
        <v>26451</v>
      </c>
      <c r="BF7" s="168">
        <v>26452</v>
      </c>
      <c r="BG7" s="243">
        <f t="shared" si="7"/>
        <v>1</v>
      </c>
      <c r="BH7" s="251">
        <f>BI6</f>
        <v>2261</v>
      </c>
      <c r="BI7" s="168">
        <v>2263</v>
      </c>
      <c r="BJ7" s="243">
        <f t="shared" si="8"/>
        <v>2</v>
      </c>
      <c r="BK7" s="251">
        <f>BL6</f>
        <v>69881</v>
      </c>
      <c r="BL7" s="168">
        <v>69904</v>
      </c>
      <c r="BM7" s="243">
        <f t="shared" si="9"/>
        <v>23</v>
      </c>
      <c r="BN7" s="251">
        <f>BO6</f>
        <v>22967</v>
      </c>
      <c r="BO7" s="168">
        <v>22970</v>
      </c>
      <c r="BP7" s="243">
        <f t="shared" si="10"/>
        <v>3</v>
      </c>
      <c r="BQ7" s="251">
        <f>BR6</f>
        <v>12323</v>
      </c>
      <c r="BR7" s="168">
        <v>12324</v>
      </c>
      <c r="BS7" s="243">
        <f t="shared" si="11"/>
        <v>1</v>
      </c>
      <c r="BT7" s="251">
        <f>BU6</f>
        <v>16708</v>
      </c>
      <c r="BU7" s="168">
        <v>16714</v>
      </c>
      <c r="BV7" s="243">
        <f t="shared" si="12"/>
        <v>6</v>
      </c>
      <c r="BW7" s="251">
        <f>BX6</f>
        <v>19211</v>
      </c>
      <c r="BX7" s="168">
        <v>19214</v>
      </c>
      <c r="BY7" s="243">
        <f t="shared" si="13"/>
        <v>3</v>
      </c>
      <c r="BZ7" s="251">
        <f>CA6</f>
        <v>8205</v>
      </c>
      <c r="CA7" s="168">
        <v>8207</v>
      </c>
      <c r="CB7" s="243">
        <f t="shared" si="14"/>
        <v>2</v>
      </c>
      <c r="CC7" s="251">
        <f>CD6</f>
        <v>16935</v>
      </c>
      <c r="CD7" s="168">
        <v>16951</v>
      </c>
      <c r="CE7" s="243">
        <f t="shared" si="15"/>
        <v>16</v>
      </c>
      <c r="CF7" s="251">
        <f>CG6</f>
        <v>1667</v>
      </c>
      <c r="CG7" s="168">
        <v>1669</v>
      </c>
      <c r="CH7" s="243">
        <f t="shared" si="16"/>
        <v>2</v>
      </c>
      <c r="CI7" s="251">
        <f>CJ6</f>
        <v>9292</v>
      </c>
      <c r="CJ7" s="168">
        <v>9297</v>
      </c>
      <c r="CK7" s="243">
        <f t="shared" si="17"/>
        <v>5</v>
      </c>
    </row>
    <row r="8" spans="1:89" ht="15" customHeight="1" x14ac:dyDescent="0.2">
      <c r="A8" s="169">
        <v>3</v>
      </c>
      <c r="B8" s="163">
        <f t="shared" si="18"/>
        <v>6386</v>
      </c>
      <c r="C8" s="167">
        <v>6499</v>
      </c>
      <c r="D8" s="168">
        <f t="shared" ref="D8:D33" si="29">C8-B8</f>
        <v>113</v>
      </c>
      <c r="E8" s="225"/>
      <c r="F8" s="169">
        <v>3</v>
      </c>
      <c r="G8" s="163">
        <f t="shared" si="19"/>
        <v>3418</v>
      </c>
      <c r="H8" s="158">
        <v>3418</v>
      </c>
      <c r="I8" s="168">
        <f t="shared" si="20"/>
        <v>0</v>
      </c>
      <c r="J8" s="225"/>
      <c r="K8" s="169">
        <v>3</v>
      </c>
      <c r="L8" s="163">
        <f t="shared" si="21"/>
        <v>735453</v>
      </c>
      <c r="M8" s="167">
        <v>735645</v>
      </c>
      <c r="N8" s="168">
        <f t="shared" si="22"/>
        <v>192</v>
      </c>
      <c r="O8" s="162"/>
      <c r="P8" s="169">
        <v>3</v>
      </c>
      <c r="Q8" s="163">
        <f t="shared" si="23"/>
        <v>201917</v>
      </c>
      <c r="R8" s="167">
        <v>201997</v>
      </c>
      <c r="S8" s="168">
        <f t="shared" si="24"/>
        <v>80</v>
      </c>
      <c r="T8" s="160"/>
      <c r="U8" s="163">
        <v>3</v>
      </c>
      <c r="V8" s="253">
        <f t="shared" si="25"/>
        <v>385</v>
      </c>
      <c r="W8" s="164">
        <f>'Maldives at LG Daily'!I7</f>
        <v>34</v>
      </c>
      <c r="X8" s="170"/>
      <c r="Z8" s="245">
        <v>3</v>
      </c>
      <c r="AA8" s="168">
        <f t="shared" ref="AA8:AA36" si="30">AB7</f>
        <v>35843</v>
      </c>
      <c r="AB8" s="168">
        <v>35864</v>
      </c>
      <c r="AC8" s="243">
        <f t="shared" si="26"/>
        <v>21</v>
      </c>
      <c r="AD8" s="251">
        <f t="shared" ref="AD8:AD36" si="31">AE7</f>
        <v>7550</v>
      </c>
      <c r="AE8" s="168">
        <v>7558</v>
      </c>
      <c r="AF8" s="243">
        <f t="shared" si="27"/>
        <v>8</v>
      </c>
      <c r="AG8" s="251">
        <f t="shared" ref="AG8:AG36" si="32">AH7</f>
        <v>5202</v>
      </c>
      <c r="AH8" s="168">
        <v>5211</v>
      </c>
      <c r="AI8" s="243">
        <f t="shared" si="28"/>
        <v>9</v>
      </c>
      <c r="AJ8" s="251">
        <f t="shared" ref="AJ8:AJ36" si="33">AK7</f>
        <v>13193</v>
      </c>
      <c r="AK8" s="168">
        <v>13207</v>
      </c>
      <c r="AL8" s="243">
        <f t="shared" si="0"/>
        <v>14</v>
      </c>
      <c r="AM8" s="251">
        <f t="shared" ref="AM8:AM36" si="34">AN7</f>
        <v>31429</v>
      </c>
      <c r="AN8" s="168">
        <v>31437</v>
      </c>
      <c r="AO8" s="243">
        <f t="shared" si="1"/>
        <v>8</v>
      </c>
      <c r="AP8" s="251">
        <f t="shared" ref="AP8:AP36" si="35">AQ7</f>
        <v>5617</v>
      </c>
      <c r="AQ8" s="168">
        <v>5625</v>
      </c>
      <c r="AR8" s="243">
        <f t="shared" si="2"/>
        <v>8</v>
      </c>
      <c r="AS8" s="251">
        <f t="shared" ref="AS8:AS36" si="36">AT7</f>
        <v>21268</v>
      </c>
      <c r="AT8" s="168">
        <v>21280</v>
      </c>
      <c r="AU8" s="243">
        <f t="shared" si="3"/>
        <v>12</v>
      </c>
      <c r="AV8" s="251">
        <f t="shared" ref="AV8:AV36" si="37">AW7</f>
        <v>5523</v>
      </c>
      <c r="AW8" s="168">
        <v>5531</v>
      </c>
      <c r="AX8" s="243">
        <f t="shared" si="4"/>
        <v>8</v>
      </c>
      <c r="AY8" s="251">
        <f t="shared" ref="AY8:AY36" si="38">AZ7</f>
        <v>3244</v>
      </c>
      <c r="AZ8" s="168">
        <v>3246</v>
      </c>
      <c r="BA8" s="243">
        <f t="shared" si="5"/>
        <v>2</v>
      </c>
      <c r="BB8" s="251">
        <f t="shared" ref="BB8:BB36" si="39">BC7</f>
        <v>1507</v>
      </c>
      <c r="BC8" s="168">
        <v>1508</v>
      </c>
      <c r="BD8" s="243">
        <f t="shared" si="6"/>
        <v>1</v>
      </c>
      <c r="BE8" s="251">
        <f t="shared" ref="BE8:BE36" si="40">BF7</f>
        <v>26452</v>
      </c>
      <c r="BF8" s="168">
        <v>26453</v>
      </c>
      <c r="BG8" s="243">
        <f t="shared" si="7"/>
        <v>1</v>
      </c>
      <c r="BH8" s="251">
        <f t="shared" ref="BH8:BH36" si="41">BI7</f>
        <v>2263</v>
      </c>
      <c r="BI8" s="168">
        <v>2263</v>
      </c>
      <c r="BJ8" s="243">
        <f t="shared" si="8"/>
        <v>0</v>
      </c>
      <c r="BK8" s="251">
        <f t="shared" ref="BK8:BK36" si="42">BL7</f>
        <v>69904</v>
      </c>
      <c r="BL8" s="168">
        <v>69926</v>
      </c>
      <c r="BM8" s="243">
        <f t="shared" si="9"/>
        <v>22</v>
      </c>
      <c r="BN8" s="251">
        <f t="shared" ref="BN8:BN36" si="43">BO7</f>
        <v>22970</v>
      </c>
      <c r="BO8" s="168">
        <v>22972</v>
      </c>
      <c r="BP8" s="243">
        <f t="shared" si="10"/>
        <v>2</v>
      </c>
      <c r="BQ8" s="251">
        <f t="shared" ref="BQ8:BQ36" si="44">BR7</f>
        <v>12324</v>
      </c>
      <c r="BR8" s="168">
        <v>12325</v>
      </c>
      <c r="BS8" s="243">
        <f t="shared" si="11"/>
        <v>1</v>
      </c>
      <c r="BT8" s="251">
        <f t="shared" ref="BT8:BT36" si="45">BU7</f>
        <v>16714</v>
      </c>
      <c r="BU8" s="168">
        <v>16721</v>
      </c>
      <c r="BV8" s="243">
        <f t="shared" si="12"/>
        <v>7</v>
      </c>
      <c r="BW8" s="251">
        <f t="shared" ref="BW8:BW36" si="46">BX7</f>
        <v>19214</v>
      </c>
      <c r="BX8" s="168">
        <v>19217</v>
      </c>
      <c r="BY8" s="243">
        <f t="shared" si="13"/>
        <v>3</v>
      </c>
      <c r="BZ8" s="251">
        <f t="shared" ref="BZ8:BZ36" si="47">CA7</f>
        <v>8207</v>
      </c>
      <c r="CA8" s="168">
        <v>8212</v>
      </c>
      <c r="CB8" s="243">
        <f t="shared" si="14"/>
        <v>5</v>
      </c>
      <c r="CC8" s="251">
        <f t="shared" ref="CC8:CC36" si="48">CD7</f>
        <v>16951</v>
      </c>
      <c r="CD8" s="168">
        <v>16967</v>
      </c>
      <c r="CE8" s="243">
        <f t="shared" si="15"/>
        <v>16</v>
      </c>
      <c r="CF8" s="251">
        <f t="shared" ref="CF8:CF36" si="49">CG7</f>
        <v>1669</v>
      </c>
      <c r="CG8" s="168">
        <v>1670</v>
      </c>
      <c r="CH8" s="243">
        <f t="shared" si="16"/>
        <v>1</v>
      </c>
      <c r="CI8" s="251">
        <f t="shared" ref="CI8:CI36" si="50">CJ7</f>
        <v>9297</v>
      </c>
      <c r="CJ8" s="168">
        <v>9304</v>
      </c>
      <c r="CK8" s="243">
        <f t="shared" si="17"/>
        <v>7</v>
      </c>
    </row>
    <row r="9" spans="1:89" ht="15" customHeight="1" x14ac:dyDescent="0.2">
      <c r="A9" s="169">
        <v>4</v>
      </c>
      <c r="B9" s="163">
        <f t="shared" si="18"/>
        <v>6499</v>
      </c>
      <c r="C9" s="167">
        <v>6555</v>
      </c>
      <c r="D9" s="168">
        <f t="shared" si="29"/>
        <v>56</v>
      </c>
      <c r="E9" s="225"/>
      <c r="F9" s="169">
        <v>4</v>
      </c>
      <c r="G9" s="163">
        <f t="shared" si="19"/>
        <v>3418</v>
      </c>
      <c r="H9" s="158">
        <v>3418</v>
      </c>
      <c r="I9" s="168">
        <f t="shared" si="20"/>
        <v>0</v>
      </c>
      <c r="J9" s="225"/>
      <c r="K9" s="169">
        <v>4</v>
      </c>
      <c r="L9" s="163">
        <f t="shared" si="21"/>
        <v>735645</v>
      </c>
      <c r="M9" s="167">
        <v>735857</v>
      </c>
      <c r="N9" s="168">
        <f t="shared" si="22"/>
        <v>212</v>
      </c>
      <c r="O9" s="162"/>
      <c r="P9" s="169">
        <v>4</v>
      </c>
      <c r="Q9" s="163">
        <f t="shared" si="23"/>
        <v>201997</v>
      </c>
      <c r="R9" s="167">
        <v>202097</v>
      </c>
      <c r="S9" s="168">
        <f t="shared" si="24"/>
        <v>100</v>
      </c>
      <c r="T9" s="160"/>
      <c r="U9" s="163">
        <v>4</v>
      </c>
      <c r="V9" s="253">
        <f t="shared" si="25"/>
        <v>368</v>
      </c>
      <c r="W9" s="164">
        <f>'Maldives at LG Daily'!I8</f>
        <v>54</v>
      </c>
      <c r="X9" s="170"/>
      <c r="Z9" s="245">
        <v>4</v>
      </c>
      <c r="AA9" s="168">
        <f t="shared" si="30"/>
        <v>35864</v>
      </c>
      <c r="AB9" s="168">
        <v>35884</v>
      </c>
      <c r="AC9" s="243">
        <f t="shared" si="26"/>
        <v>20</v>
      </c>
      <c r="AD9" s="251">
        <f t="shared" si="31"/>
        <v>7558</v>
      </c>
      <c r="AE9" s="168">
        <v>7565</v>
      </c>
      <c r="AF9" s="243">
        <f t="shared" si="27"/>
        <v>7</v>
      </c>
      <c r="AG9" s="251">
        <f t="shared" si="32"/>
        <v>5211</v>
      </c>
      <c r="AH9" s="168">
        <v>5220</v>
      </c>
      <c r="AI9" s="243">
        <f t="shared" si="28"/>
        <v>9</v>
      </c>
      <c r="AJ9" s="251">
        <f t="shared" si="33"/>
        <v>13207</v>
      </c>
      <c r="AK9" s="168">
        <v>13221</v>
      </c>
      <c r="AL9" s="243">
        <f t="shared" si="0"/>
        <v>14</v>
      </c>
      <c r="AM9" s="251">
        <f t="shared" si="34"/>
        <v>31437</v>
      </c>
      <c r="AN9" s="168">
        <v>31444</v>
      </c>
      <c r="AO9" s="243">
        <f t="shared" si="1"/>
        <v>7</v>
      </c>
      <c r="AP9" s="251">
        <f t="shared" si="35"/>
        <v>5625</v>
      </c>
      <c r="AQ9" s="168">
        <v>5631</v>
      </c>
      <c r="AR9" s="243">
        <f t="shared" si="2"/>
        <v>6</v>
      </c>
      <c r="AS9" s="251">
        <f t="shared" si="36"/>
        <v>21280</v>
      </c>
      <c r="AT9" s="168">
        <v>21292</v>
      </c>
      <c r="AU9" s="243">
        <f t="shared" si="3"/>
        <v>12</v>
      </c>
      <c r="AV9" s="251">
        <f t="shared" si="37"/>
        <v>5531</v>
      </c>
      <c r="AW9" s="168">
        <v>5538</v>
      </c>
      <c r="AX9" s="243">
        <f t="shared" si="4"/>
        <v>7</v>
      </c>
      <c r="AY9" s="251">
        <f t="shared" si="38"/>
        <v>3246</v>
      </c>
      <c r="AZ9" s="168">
        <v>3247</v>
      </c>
      <c r="BA9" s="243">
        <f t="shared" si="5"/>
        <v>1</v>
      </c>
      <c r="BB9" s="251">
        <f t="shared" si="39"/>
        <v>1508</v>
      </c>
      <c r="BC9" s="168">
        <v>1509</v>
      </c>
      <c r="BD9" s="243">
        <f t="shared" si="6"/>
        <v>1</v>
      </c>
      <c r="BE9" s="251">
        <f t="shared" si="40"/>
        <v>26453</v>
      </c>
      <c r="BF9" s="168">
        <v>26456</v>
      </c>
      <c r="BG9" s="243">
        <f t="shared" si="7"/>
        <v>3</v>
      </c>
      <c r="BH9" s="251">
        <f t="shared" si="41"/>
        <v>2263</v>
      </c>
      <c r="BI9" s="168">
        <v>2268</v>
      </c>
      <c r="BJ9" s="243">
        <f t="shared" si="8"/>
        <v>5</v>
      </c>
      <c r="BK9" s="251">
        <f t="shared" si="42"/>
        <v>69926</v>
      </c>
      <c r="BL9" s="168">
        <v>69951</v>
      </c>
      <c r="BM9" s="243">
        <f t="shared" si="9"/>
        <v>25</v>
      </c>
      <c r="BN9" s="251">
        <f t="shared" si="43"/>
        <v>22972</v>
      </c>
      <c r="BO9" s="168">
        <v>22974</v>
      </c>
      <c r="BP9" s="243">
        <f t="shared" si="10"/>
        <v>2</v>
      </c>
      <c r="BQ9" s="251">
        <f t="shared" si="44"/>
        <v>12325</v>
      </c>
      <c r="BR9" s="168">
        <v>12326</v>
      </c>
      <c r="BS9" s="243">
        <f t="shared" si="11"/>
        <v>1</v>
      </c>
      <c r="BT9" s="251">
        <f t="shared" si="45"/>
        <v>16721</v>
      </c>
      <c r="BU9" s="168">
        <v>16726</v>
      </c>
      <c r="BV9" s="243">
        <f t="shared" si="12"/>
        <v>5</v>
      </c>
      <c r="BW9" s="251">
        <f t="shared" si="46"/>
        <v>19217</v>
      </c>
      <c r="BX9" s="168">
        <v>19219</v>
      </c>
      <c r="BY9" s="243">
        <f t="shared" si="13"/>
        <v>2</v>
      </c>
      <c r="BZ9" s="251">
        <f t="shared" si="47"/>
        <v>8212</v>
      </c>
      <c r="CA9" s="168">
        <v>8215</v>
      </c>
      <c r="CB9" s="243">
        <f t="shared" si="14"/>
        <v>3</v>
      </c>
      <c r="CC9" s="251">
        <f t="shared" si="48"/>
        <v>16967</v>
      </c>
      <c r="CD9" s="168">
        <v>16982</v>
      </c>
      <c r="CE9" s="243">
        <f t="shared" si="15"/>
        <v>15</v>
      </c>
      <c r="CF9" s="251">
        <f t="shared" si="49"/>
        <v>1670</v>
      </c>
      <c r="CG9" s="168">
        <v>1672</v>
      </c>
      <c r="CH9" s="243">
        <f t="shared" si="16"/>
        <v>2</v>
      </c>
      <c r="CI9" s="251">
        <f t="shared" si="50"/>
        <v>9304</v>
      </c>
      <c r="CJ9" s="168">
        <v>9311</v>
      </c>
      <c r="CK9" s="243">
        <f t="shared" si="17"/>
        <v>7</v>
      </c>
    </row>
    <row r="10" spans="1:89" ht="15" customHeight="1" x14ac:dyDescent="0.2">
      <c r="A10" s="169">
        <v>5</v>
      </c>
      <c r="B10" s="163">
        <f t="shared" si="18"/>
        <v>6555</v>
      </c>
      <c r="C10" s="167">
        <v>6681</v>
      </c>
      <c r="D10" s="168">
        <f t="shared" si="29"/>
        <v>126</v>
      </c>
      <c r="E10" s="225"/>
      <c r="F10" s="169">
        <v>5</v>
      </c>
      <c r="G10" s="163">
        <f t="shared" si="19"/>
        <v>3418</v>
      </c>
      <c r="H10" s="158">
        <v>3418</v>
      </c>
      <c r="I10" s="168">
        <f t="shared" si="20"/>
        <v>0</v>
      </c>
      <c r="J10" s="225"/>
      <c r="K10" s="169">
        <v>5</v>
      </c>
      <c r="L10" s="163">
        <f t="shared" si="21"/>
        <v>735857</v>
      </c>
      <c r="M10" s="167">
        <v>736049</v>
      </c>
      <c r="N10" s="168">
        <f t="shared" si="22"/>
        <v>192</v>
      </c>
      <c r="O10" s="162"/>
      <c r="P10" s="169">
        <v>5</v>
      </c>
      <c r="Q10" s="163">
        <f t="shared" si="23"/>
        <v>202097</v>
      </c>
      <c r="R10" s="167">
        <v>202135</v>
      </c>
      <c r="S10" s="168">
        <f t="shared" si="24"/>
        <v>38</v>
      </c>
      <c r="T10" s="160"/>
      <c r="U10" s="169">
        <v>5</v>
      </c>
      <c r="V10" s="253">
        <f t="shared" si="25"/>
        <v>356</v>
      </c>
      <c r="W10" s="164">
        <f>'Maldives at LG Daily'!I9</f>
        <v>53</v>
      </c>
      <c r="X10" s="170"/>
      <c r="Z10" s="245">
        <v>5</v>
      </c>
      <c r="AA10" s="168">
        <f t="shared" si="30"/>
        <v>35884</v>
      </c>
      <c r="AB10" s="168">
        <v>35904</v>
      </c>
      <c r="AC10" s="243">
        <f t="shared" si="26"/>
        <v>20</v>
      </c>
      <c r="AD10" s="251">
        <f t="shared" si="31"/>
        <v>7565</v>
      </c>
      <c r="AE10" s="168">
        <v>7572</v>
      </c>
      <c r="AF10" s="243">
        <f t="shared" si="27"/>
        <v>7</v>
      </c>
      <c r="AG10" s="251">
        <f t="shared" si="32"/>
        <v>5220</v>
      </c>
      <c r="AH10" s="168">
        <v>5228</v>
      </c>
      <c r="AI10" s="243">
        <f t="shared" si="28"/>
        <v>8</v>
      </c>
      <c r="AJ10" s="251">
        <f t="shared" si="33"/>
        <v>13221</v>
      </c>
      <c r="AK10" s="168">
        <v>13233</v>
      </c>
      <c r="AL10" s="243">
        <f t="shared" si="0"/>
        <v>12</v>
      </c>
      <c r="AM10" s="251">
        <f t="shared" si="34"/>
        <v>31444</v>
      </c>
      <c r="AN10" s="168">
        <v>31452</v>
      </c>
      <c r="AO10" s="243">
        <f t="shared" si="1"/>
        <v>8</v>
      </c>
      <c r="AP10" s="251">
        <f t="shared" si="35"/>
        <v>5631</v>
      </c>
      <c r="AQ10" s="168">
        <v>5638</v>
      </c>
      <c r="AR10" s="243">
        <f t="shared" si="2"/>
        <v>7</v>
      </c>
      <c r="AS10" s="251">
        <f t="shared" si="36"/>
        <v>21292</v>
      </c>
      <c r="AT10" s="168">
        <v>21305</v>
      </c>
      <c r="AU10" s="243">
        <f t="shared" si="3"/>
        <v>13</v>
      </c>
      <c r="AV10" s="251">
        <f t="shared" si="37"/>
        <v>5538</v>
      </c>
      <c r="AW10" s="168">
        <v>5546</v>
      </c>
      <c r="AX10" s="243">
        <f t="shared" si="4"/>
        <v>8</v>
      </c>
      <c r="AY10" s="251">
        <f t="shared" si="38"/>
        <v>3247</v>
      </c>
      <c r="AZ10" s="168">
        <v>3248</v>
      </c>
      <c r="BA10" s="243">
        <f t="shared" si="5"/>
        <v>1</v>
      </c>
      <c r="BB10" s="251">
        <f t="shared" si="39"/>
        <v>1509</v>
      </c>
      <c r="BC10" s="168">
        <v>1509</v>
      </c>
      <c r="BD10" s="243">
        <f t="shared" si="6"/>
        <v>0</v>
      </c>
      <c r="BE10" s="251">
        <f t="shared" si="40"/>
        <v>26456</v>
      </c>
      <c r="BF10" s="168">
        <v>26456</v>
      </c>
      <c r="BG10" s="243">
        <f t="shared" si="7"/>
        <v>0</v>
      </c>
      <c r="BH10" s="251">
        <f t="shared" si="41"/>
        <v>2268</v>
      </c>
      <c r="BI10" s="168">
        <v>2268</v>
      </c>
      <c r="BJ10" s="243">
        <f t="shared" si="8"/>
        <v>0</v>
      </c>
      <c r="BK10" s="251">
        <f t="shared" si="42"/>
        <v>69951</v>
      </c>
      <c r="BL10" s="168">
        <v>69976</v>
      </c>
      <c r="BM10" s="243">
        <f t="shared" si="9"/>
        <v>25</v>
      </c>
      <c r="BN10" s="251">
        <f t="shared" si="43"/>
        <v>22974</v>
      </c>
      <c r="BO10" s="168">
        <v>22977</v>
      </c>
      <c r="BP10" s="243">
        <f t="shared" si="10"/>
        <v>3</v>
      </c>
      <c r="BQ10" s="251">
        <f t="shared" si="44"/>
        <v>12326</v>
      </c>
      <c r="BR10" s="168">
        <v>12326</v>
      </c>
      <c r="BS10" s="243">
        <f t="shared" si="11"/>
        <v>0</v>
      </c>
      <c r="BT10" s="251">
        <f t="shared" si="45"/>
        <v>16726</v>
      </c>
      <c r="BU10" s="168">
        <v>16727</v>
      </c>
      <c r="BV10" s="243">
        <f t="shared" si="12"/>
        <v>1</v>
      </c>
      <c r="BW10" s="251">
        <f t="shared" si="46"/>
        <v>19219</v>
      </c>
      <c r="BX10" s="168">
        <v>19222</v>
      </c>
      <c r="BY10" s="243">
        <f t="shared" si="13"/>
        <v>3</v>
      </c>
      <c r="BZ10" s="251">
        <f t="shared" si="47"/>
        <v>8215</v>
      </c>
      <c r="CA10" s="168">
        <v>8217</v>
      </c>
      <c r="CB10" s="243">
        <f t="shared" si="14"/>
        <v>2</v>
      </c>
      <c r="CC10" s="251">
        <f t="shared" si="48"/>
        <v>16982</v>
      </c>
      <c r="CD10" s="168">
        <v>17000</v>
      </c>
      <c r="CE10" s="243">
        <f t="shared" si="15"/>
        <v>18</v>
      </c>
      <c r="CF10" s="251">
        <f t="shared" si="49"/>
        <v>1672</v>
      </c>
      <c r="CG10" s="168">
        <v>1673</v>
      </c>
      <c r="CH10" s="243">
        <f t="shared" si="16"/>
        <v>1</v>
      </c>
      <c r="CI10" s="251">
        <f t="shared" si="50"/>
        <v>9311</v>
      </c>
      <c r="CJ10" s="168">
        <v>9317</v>
      </c>
      <c r="CK10" s="243">
        <f t="shared" si="17"/>
        <v>6</v>
      </c>
    </row>
    <row r="11" spans="1:89" ht="15" customHeight="1" x14ac:dyDescent="0.2">
      <c r="A11" s="169">
        <v>6</v>
      </c>
      <c r="B11" s="163">
        <f t="shared" si="18"/>
        <v>6681</v>
      </c>
      <c r="C11" s="167">
        <v>6783</v>
      </c>
      <c r="D11" s="168">
        <f>C11-B11</f>
        <v>102</v>
      </c>
      <c r="E11" s="225"/>
      <c r="F11" s="169">
        <v>6</v>
      </c>
      <c r="G11" s="163">
        <f t="shared" si="19"/>
        <v>3418</v>
      </c>
      <c r="H11" s="158">
        <v>3418</v>
      </c>
      <c r="I11" s="168">
        <f>H11-G11</f>
        <v>0</v>
      </c>
      <c r="J11" s="225"/>
      <c r="K11" s="169">
        <v>6</v>
      </c>
      <c r="L11" s="163">
        <f t="shared" si="21"/>
        <v>736049</v>
      </c>
      <c r="M11" s="167">
        <v>736237</v>
      </c>
      <c r="N11" s="168">
        <f>M11-L11</f>
        <v>188</v>
      </c>
      <c r="O11" s="162"/>
      <c r="P11" s="169">
        <v>6</v>
      </c>
      <c r="Q11" s="163">
        <f t="shared" si="23"/>
        <v>202135</v>
      </c>
      <c r="R11" s="167">
        <v>202224</v>
      </c>
      <c r="S11" s="168">
        <f>R11-Q11</f>
        <v>89</v>
      </c>
      <c r="T11" s="160"/>
      <c r="U11" s="163">
        <v>6</v>
      </c>
      <c r="V11" s="253">
        <f t="shared" si="25"/>
        <v>379</v>
      </c>
      <c r="W11" s="164">
        <f>'Maldives at LG Daily'!I10</f>
        <v>45</v>
      </c>
      <c r="X11" s="170"/>
      <c r="Z11" s="245">
        <v>6</v>
      </c>
      <c r="AA11" s="168">
        <f t="shared" si="30"/>
        <v>35904</v>
      </c>
      <c r="AB11" s="168">
        <v>35924</v>
      </c>
      <c r="AC11" s="243">
        <f t="shared" si="26"/>
        <v>20</v>
      </c>
      <c r="AD11" s="251">
        <f t="shared" si="31"/>
        <v>7572</v>
      </c>
      <c r="AE11" s="168">
        <v>7578</v>
      </c>
      <c r="AF11" s="243">
        <f t="shared" si="27"/>
        <v>6</v>
      </c>
      <c r="AG11" s="251">
        <f t="shared" si="32"/>
        <v>5228</v>
      </c>
      <c r="AH11" s="168">
        <v>5238</v>
      </c>
      <c r="AI11" s="243">
        <f t="shared" si="28"/>
        <v>10</v>
      </c>
      <c r="AJ11" s="251">
        <f t="shared" si="33"/>
        <v>13233</v>
      </c>
      <c r="AK11" s="168">
        <v>13244</v>
      </c>
      <c r="AL11" s="243">
        <f t="shared" si="0"/>
        <v>11</v>
      </c>
      <c r="AM11" s="251">
        <f t="shared" si="34"/>
        <v>31452</v>
      </c>
      <c r="AN11" s="168">
        <v>31459</v>
      </c>
      <c r="AO11" s="243">
        <f t="shared" si="1"/>
        <v>7</v>
      </c>
      <c r="AP11" s="251">
        <f t="shared" si="35"/>
        <v>5638</v>
      </c>
      <c r="AQ11" s="168">
        <v>5645</v>
      </c>
      <c r="AR11" s="243">
        <f t="shared" si="2"/>
        <v>7</v>
      </c>
      <c r="AS11" s="251">
        <f t="shared" si="36"/>
        <v>21305</v>
      </c>
      <c r="AT11" s="168">
        <v>21317</v>
      </c>
      <c r="AU11" s="243">
        <f t="shared" si="3"/>
        <v>12</v>
      </c>
      <c r="AV11" s="251">
        <f t="shared" si="37"/>
        <v>5546</v>
      </c>
      <c r="AW11" s="168">
        <v>5553</v>
      </c>
      <c r="AX11" s="243">
        <f t="shared" si="4"/>
        <v>7</v>
      </c>
      <c r="AY11" s="251">
        <f t="shared" si="38"/>
        <v>3248</v>
      </c>
      <c r="AZ11" s="168">
        <v>3249</v>
      </c>
      <c r="BA11" s="243">
        <f t="shared" si="5"/>
        <v>1</v>
      </c>
      <c r="BB11" s="251">
        <f t="shared" si="39"/>
        <v>1509</v>
      </c>
      <c r="BC11" s="168">
        <v>1509</v>
      </c>
      <c r="BD11" s="243">
        <f t="shared" si="6"/>
        <v>0</v>
      </c>
      <c r="BE11" s="251">
        <f t="shared" si="40"/>
        <v>26456</v>
      </c>
      <c r="BF11" s="168">
        <v>26458</v>
      </c>
      <c r="BG11" s="243">
        <f t="shared" si="7"/>
        <v>2</v>
      </c>
      <c r="BH11" s="251">
        <f t="shared" si="41"/>
        <v>2268</v>
      </c>
      <c r="BI11" s="168">
        <v>2271</v>
      </c>
      <c r="BJ11" s="243">
        <f t="shared" si="8"/>
        <v>3</v>
      </c>
      <c r="BK11" s="251">
        <f t="shared" si="42"/>
        <v>69976</v>
      </c>
      <c r="BL11" s="168">
        <v>70000</v>
      </c>
      <c r="BM11" s="243">
        <f t="shared" si="9"/>
        <v>24</v>
      </c>
      <c r="BN11" s="251">
        <f t="shared" si="43"/>
        <v>22977</v>
      </c>
      <c r="BO11" s="168">
        <v>22979</v>
      </c>
      <c r="BP11" s="243">
        <f t="shared" si="10"/>
        <v>2</v>
      </c>
      <c r="BQ11" s="251">
        <f t="shared" si="44"/>
        <v>12326</v>
      </c>
      <c r="BR11" s="168">
        <v>12326</v>
      </c>
      <c r="BS11" s="243">
        <f t="shared" si="11"/>
        <v>0</v>
      </c>
      <c r="BT11" s="251">
        <f t="shared" si="45"/>
        <v>16727</v>
      </c>
      <c r="BU11" s="168">
        <v>16751</v>
      </c>
      <c r="BV11" s="243">
        <f t="shared" si="12"/>
        <v>24</v>
      </c>
      <c r="BW11" s="251">
        <f t="shared" si="46"/>
        <v>19222</v>
      </c>
      <c r="BX11" s="168">
        <v>19225</v>
      </c>
      <c r="BY11" s="243">
        <f t="shared" si="13"/>
        <v>3</v>
      </c>
      <c r="BZ11" s="251">
        <f t="shared" si="47"/>
        <v>8217</v>
      </c>
      <c r="CA11" s="168">
        <v>8220</v>
      </c>
      <c r="CB11" s="243">
        <f t="shared" si="14"/>
        <v>3</v>
      </c>
      <c r="CC11" s="251">
        <f t="shared" si="48"/>
        <v>17000</v>
      </c>
      <c r="CD11" s="168">
        <v>17020</v>
      </c>
      <c r="CE11" s="243">
        <f t="shared" si="15"/>
        <v>20</v>
      </c>
      <c r="CF11" s="251">
        <f t="shared" si="49"/>
        <v>1673</v>
      </c>
      <c r="CG11" s="168">
        <v>1678</v>
      </c>
      <c r="CH11" s="243">
        <f t="shared" si="16"/>
        <v>5</v>
      </c>
      <c r="CI11" s="251">
        <f t="shared" si="50"/>
        <v>9317</v>
      </c>
      <c r="CJ11" s="168">
        <v>9325</v>
      </c>
      <c r="CK11" s="243">
        <f t="shared" si="17"/>
        <v>8</v>
      </c>
    </row>
    <row r="12" spans="1:89" ht="15" customHeight="1" x14ac:dyDescent="0.2">
      <c r="A12" s="169">
        <v>7</v>
      </c>
      <c r="B12" s="163">
        <f t="shared" si="18"/>
        <v>6783</v>
      </c>
      <c r="C12" s="167">
        <v>6907</v>
      </c>
      <c r="D12" s="168">
        <f t="shared" si="29"/>
        <v>124</v>
      </c>
      <c r="E12" s="225"/>
      <c r="F12" s="169">
        <v>7</v>
      </c>
      <c r="G12" s="163">
        <f t="shared" si="19"/>
        <v>3418</v>
      </c>
      <c r="H12" s="158">
        <v>3418</v>
      </c>
      <c r="I12" s="168">
        <f t="shared" ref="I12:I24" si="51">H12-G12</f>
        <v>0</v>
      </c>
      <c r="J12" s="225"/>
      <c r="K12" s="169">
        <v>7</v>
      </c>
      <c r="L12" s="163">
        <f t="shared" si="21"/>
        <v>736237</v>
      </c>
      <c r="M12" s="167">
        <v>736435</v>
      </c>
      <c r="N12" s="168">
        <f t="shared" ref="N12:N24" si="52">M12-L12</f>
        <v>198</v>
      </c>
      <c r="O12" s="162"/>
      <c r="P12" s="169">
        <v>7</v>
      </c>
      <c r="Q12" s="163">
        <f t="shared" si="23"/>
        <v>202224</v>
      </c>
      <c r="R12" s="167">
        <v>202319</v>
      </c>
      <c r="S12" s="168">
        <f t="shared" ref="S12:S24" si="53">R12-Q12</f>
        <v>95</v>
      </c>
      <c r="T12" s="160"/>
      <c r="U12" s="163">
        <v>7</v>
      </c>
      <c r="V12" s="253">
        <f t="shared" si="25"/>
        <v>417</v>
      </c>
      <c r="W12" s="164">
        <f>'Maldives at LG Daily'!I11</f>
        <v>48</v>
      </c>
      <c r="X12" s="170"/>
      <c r="Z12" s="245">
        <v>7</v>
      </c>
      <c r="AA12" s="168">
        <f t="shared" si="30"/>
        <v>35924</v>
      </c>
      <c r="AB12" s="168">
        <v>35948</v>
      </c>
      <c r="AC12" s="243">
        <f t="shared" si="26"/>
        <v>24</v>
      </c>
      <c r="AD12" s="251">
        <f t="shared" si="31"/>
        <v>7578</v>
      </c>
      <c r="AE12" s="168">
        <v>7584</v>
      </c>
      <c r="AF12" s="243">
        <f t="shared" si="27"/>
        <v>6</v>
      </c>
      <c r="AG12" s="251">
        <f t="shared" si="32"/>
        <v>5238</v>
      </c>
      <c r="AH12" s="168">
        <v>5247</v>
      </c>
      <c r="AI12" s="243">
        <f t="shared" si="28"/>
        <v>9</v>
      </c>
      <c r="AJ12" s="251">
        <f t="shared" si="33"/>
        <v>13244</v>
      </c>
      <c r="AK12" s="168">
        <v>13257</v>
      </c>
      <c r="AL12" s="243">
        <f t="shared" si="0"/>
        <v>13</v>
      </c>
      <c r="AM12" s="251">
        <f t="shared" si="34"/>
        <v>31459</v>
      </c>
      <c r="AN12" s="168">
        <v>31466</v>
      </c>
      <c r="AO12" s="243">
        <f t="shared" si="1"/>
        <v>7</v>
      </c>
      <c r="AP12" s="251">
        <f t="shared" si="35"/>
        <v>5645</v>
      </c>
      <c r="AQ12" s="168">
        <v>5652</v>
      </c>
      <c r="AR12" s="243">
        <f t="shared" si="2"/>
        <v>7</v>
      </c>
      <c r="AS12" s="251">
        <f t="shared" si="36"/>
        <v>21317</v>
      </c>
      <c r="AT12" s="168">
        <v>21329</v>
      </c>
      <c r="AU12" s="243">
        <f t="shared" si="3"/>
        <v>12</v>
      </c>
      <c r="AV12" s="251">
        <f t="shared" si="37"/>
        <v>5553</v>
      </c>
      <c r="AW12" s="168">
        <v>5560</v>
      </c>
      <c r="AX12" s="243">
        <f t="shared" si="4"/>
        <v>7</v>
      </c>
      <c r="AY12" s="251">
        <f t="shared" si="38"/>
        <v>3249</v>
      </c>
      <c r="AZ12" s="168">
        <v>3250</v>
      </c>
      <c r="BA12" s="243">
        <f t="shared" si="5"/>
        <v>1</v>
      </c>
      <c r="BB12" s="251">
        <f t="shared" si="39"/>
        <v>1509</v>
      </c>
      <c r="BC12" s="168">
        <v>1509</v>
      </c>
      <c r="BD12" s="243">
        <f t="shared" si="6"/>
        <v>0</v>
      </c>
      <c r="BE12" s="251">
        <f t="shared" si="40"/>
        <v>26458</v>
      </c>
      <c r="BF12" s="168">
        <v>26460</v>
      </c>
      <c r="BG12" s="243">
        <f t="shared" si="7"/>
        <v>2</v>
      </c>
      <c r="BH12" s="251">
        <f t="shared" si="41"/>
        <v>2271</v>
      </c>
      <c r="BI12" s="168">
        <v>2275</v>
      </c>
      <c r="BJ12" s="243">
        <f t="shared" si="8"/>
        <v>4</v>
      </c>
      <c r="BK12" s="251">
        <f t="shared" si="42"/>
        <v>70000</v>
      </c>
      <c r="BL12" s="168">
        <v>70025</v>
      </c>
      <c r="BM12" s="243">
        <f t="shared" si="9"/>
        <v>25</v>
      </c>
      <c r="BN12" s="251">
        <f t="shared" si="43"/>
        <v>22979</v>
      </c>
      <c r="BO12" s="168">
        <v>22981</v>
      </c>
      <c r="BP12" s="243">
        <f t="shared" si="10"/>
        <v>2</v>
      </c>
      <c r="BQ12" s="251">
        <f t="shared" si="44"/>
        <v>12326</v>
      </c>
      <c r="BR12" s="168">
        <v>12327</v>
      </c>
      <c r="BS12" s="243">
        <f t="shared" si="11"/>
        <v>1</v>
      </c>
      <c r="BT12" s="251">
        <f t="shared" si="45"/>
        <v>16751</v>
      </c>
      <c r="BU12" s="168">
        <v>16764</v>
      </c>
      <c r="BV12" s="243">
        <f t="shared" si="12"/>
        <v>13</v>
      </c>
      <c r="BW12" s="251">
        <f t="shared" si="46"/>
        <v>19225</v>
      </c>
      <c r="BX12" s="168">
        <v>19228</v>
      </c>
      <c r="BY12" s="243">
        <f t="shared" si="13"/>
        <v>3</v>
      </c>
      <c r="BZ12" s="251">
        <f t="shared" si="47"/>
        <v>8220</v>
      </c>
      <c r="CA12" s="168">
        <v>8223</v>
      </c>
      <c r="CB12" s="243">
        <f t="shared" si="14"/>
        <v>3</v>
      </c>
      <c r="CC12" s="251">
        <f t="shared" si="48"/>
        <v>17020</v>
      </c>
      <c r="CD12" s="168">
        <v>17044</v>
      </c>
      <c r="CE12" s="243">
        <f t="shared" si="15"/>
        <v>24</v>
      </c>
      <c r="CF12" s="251">
        <f t="shared" si="49"/>
        <v>1678</v>
      </c>
      <c r="CG12" s="168">
        <v>1680</v>
      </c>
      <c r="CH12" s="243">
        <f t="shared" si="16"/>
        <v>2</v>
      </c>
      <c r="CI12" s="251">
        <f t="shared" si="50"/>
        <v>9325</v>
      </c>
      <c r="CJ12" s="168">
        <v>9335</v>
      </c>
      <c r="CK12" s="243">
        <f t="shared" si="17"/>
        <v>10</v>
      </c>
    </row>
    <row r="13" spans="1:89" ht="15" customHeight="1" x14ac:dyDescent="0.2">
      <c r="A13" s="169">
        <v>8</v>
      </c>
      <c r="B13" s="163">
        <f t="shared" si="18"/>
        <v>6907</v>
      </c>
      <c r="C13" s="167">
        <v>7001</v>
      </c>
      <c r="D13" s="168">
        <f t="shared" si="29"/>
        <v>94</v>
      </c>
      <c r="E13" s="225"/>
      <c r="F13" s="169">
        <v>8</v>
      </c>
      <c r="G13" s="163">
        <f t="shared" si="19"/>
        <v>3418</v>
      </c>
      <c r="H13" s="158">
        <v>3418</v>
      </c>
      <c r="I13" s="168">
        <f t="shared" si="51"/>
        <v>0</v>
      </c>
      <c r="J13" s="225"/>
      <c r="K13" s="169">
        <v>8</v>
      </c>
      <c r="L13" s="163">
        <f t="shared" si="21"/>
        <v>736435</v>
      </c>
      <c r="M13" s="167">
        <v>736627</v>
      </c>
      <c r="N13" s="168">
        <f t="shared" si="52"/>
        <v>192</v>
      </c>
      <c r="O13" s="162"/>
      <c r="P13" s="169">
        <v>8</v>
      </c>
      <c r="Q13" s="163">
        <f t="shared" si="23"/>
        <v>202319</v>
      </c>
      <c r="R13" s="167">
        <v>202423</v>
      </c>
      <c r="S13" s="168">
        <f t="shared" si="53"/>
        <v>104</v>
      </c>
      <c r="T13" s="160"/>
      <c r="U13" s="169">
        <v>8</v>
      </c>
      <c r="V13" s="253">
        <f t="shared" si="25"/>
        <v>390</v>
      </c>
      <c r="W13" s="164">
        <f>'Maldives at LG Daily'!I12</f>
        <v>47</v>
      </c>
      <c r="X13" s="170"/>
      <c r="Z13" s="245">
        <v>8</v>
      </c>
      <c r="AA13" s="168">
        <f t="shared" si="30"/>
        <v>35948</v>
      </c>
      <c r="AB13" s="168">
        <v>35969</v>
      </c>
      <c r="AC13" s="243">
        <f>AB13-AA13</f>
        <v>21</v>
      </c>
      <c r="AD13" s="251">
        <f t="shared" si="31"/>
        <v>7584</v>
      </c>
      <c r="AE13" s="168">
        <v>7590</v>
      </c>
      <c r="AF13" s="243">
        <f>AE13-AD13</f>
        <v>6</v>
      </c>
      <c r="AG13" s="251">
        <f t="shared" si="32"/>
        <v>5247</v>
      </c>
      <c r="AH13" s="168">
        <v>5255</v>
      </c>
      <c r="AI13" s="243">
        <f t="shared" si="28"/>
        <v>8</v>
      </c>
      <c r="AJ13" s="251">
        <f t="shared" si="33"/>
        <v>13257</v>
      </c>
      <c r="AK13" s="168">
        <v>13270</v>
      </c>
      <c r="AL13" s="243">
        <f t="shared" si="0"/>
        <v>13</v>
      </c>
      <c r="AM13" s="251">
        <f t="shared" si="34"/>
        <v>31466</v>
      </c>
      <c r="AN13" s="168">
        <v>31474</v>
      </c>
      <c r="AO13" s="243">
        <f t="shared" si="1"/>
        <v>8</v>
      </c>
      <c r="AP13" s="251">
        <f t="shared" si="35"/>
        <v>5652</v>
      </c>
      <c r="AQ13" s="168">
        <v>5658</v>
      </c>
      <c r="AR13" s="243">
        <f t="shared" si="2"/>
        <v>6</v>
      </c>
      <c r="AS13" s="251">
        <f t="shared" si="36"/>
        <v>21329</v>
      </c>
      <c r="AT13" s="168">
        <v>21340</v>
      </c>
      <c r="AU13" s="243">
        <f t="shared" si="3"/>
        <v>11</v>
      </c>
      <c r="AV13" s="251">
        <f t="shared" si="37"/>
        <v>5560</v>
      </c>
      <c r="AW13" s="168">
        <v>5568</v>
      </c>
      <c r="AX13" s="243">
        <f t="shared" si="4"/>
        <v>8</v>
      </c>
      <c r="AY13" s="251">
        <f t="shared" si="38"/>
        <v>3250</v>
      </c>
      <c r="AZ13" s="168">
        <v>3251</v>
      </c>
      <c r="BA13" s="243">
        <f t="shared" si="5"/>
        <v>1</v>
      </c>
      <c r="BB13" s="251">
        <f t="shared" si="39"/>
        <v>1509</v>
      </c>
      <c r="BC13" s="168">
        <v>1510</v>
      </c>
      <c r="BD13" s="243">
        <f t="shared" si="6"/>
        <v>1</v>
      </c>
      <c r="BE13" s="251">
        <f t="shared" si="40"/>
        <v>26460</v>
      </c>
      <c r="BF13" s="168">
        <v>26460</v>
      </c>
      <c r="BG13" s="243">
        <f t="shared" si="7"/>
        <v>0</v>
      </c>
      <c r="BH13" s="251">
        <f t="shared" si="41"/>
        <v>2275</v>
      </c>
      <c r="BI13" s="168">
        <v>2276</v>
      </c>
      <c r="BJ13" s="243">
        <f t="shared" si="8"/>
        <v>1</v>
      </c>
      <c r="BK13" s="251">
        <f t="shared" si="42"/>
        <v>70025</v>
      </c>
      <c r="BL13" s="168">
        <v>70048</v>
      </c>
      <c r="BM13" s="243">
        <f t="shared" si="9"/>
        <v>23</v>
      </c>
      <c r="BN13" s="251">
        <f t="shared" si="43"/>
        <v>22981</v>
      </c>
      <c r="BO13" s="168">
        <v>22984</v>
      </c>
      <c r="BP13" s="243">
        <f t="shared" si="10"/>
        <v>3</v>
      </c>
      <c r="BQ13" s="251">
        <f t="shared" si="44"/>
        <v>12327</v>
      </c>
      <c r="BR13" s="168">
        <v>12328</v>
      </c>
      <c r="BS13" s="243">
        <f t="shared" si="11"/>
        <v>1</v>
      </c>
      <c r="BT13" s="251">
        <f t="shared" si="45"/>
        <v>16764</v>
      </c>
      <c r="BU13" s="168">
        <v>16775</v>
      </c>
      <c r="BV13" s="243">
        <f t="shared" si="12"/>
        <v>11</v>
      </c>
      <c r="BW13" s="251">
        <f t="shared" si="46"/>
        <v>19228</v>
      </c>
      <c r="BX13" s="168">
        <v>19230</v>
      </c>
      <c r="BY13" s="243">
        <f t="shared" si="13"/>
        <v>2</v>
      </c>
      <c r="BZ13" s="251">
        <f t="shared" si="47"/>
        <v>8223</v>
      </c>
      <c r="CA13" s="168">
        <v>8226</v>
      </c>
      <c r="CB13" s="243">
        <f t="shared" si="14"/>
        <v>3</v>
      </c>
      <c r="CC13" s="251">
        <f t="shared" si="48"/>
        <v>17044</v>
      </c>
      <c r="CD13" s="168">
        <v>17061</v>
      </c>
      <c r="CE13" s="243">
        <f t="shared" si="15"/>
        <v>17</v>
      </c>
      <c r="CF13" s="251">
        <f t="shared" si="49"/>
        <v>1680</v>
      </c>
      <c r="CG13" s="168">
        <v>1682</v>
      </c>
      <c r="CH13" s="243">
        <f t="shared" si="16"/>
        <v>2</v>
      </c>
      <c r="CI13" s="251">
        <f t="shared" si="50"/>
        <v>9335</v>
      </c>
      <c r="CJ13" s="168">
        <v>9343</v>
      </c>
      <c r="CK13" s="243">
        <f t="shared" si="17"/>
        <v>8</v>
      </c>
    </row>
    <row r="14" spans="1:89" ht="15" customHeight="1" x14ac:dyDescent="0.2">
      <c r="A14" s="169">
        <v>9</v>
      </c>
      <c r="B14" s="163">
        <f t="shared" si="18"/>
        <v>7001</v>
      </c>
      <c r="C14" s="167">
        <v>7109</v>
      </c>
      <c r="D14" s="168">
        <f t="shared" si="29"/>
        <v>108</v>
      </c>
      <c r="E14" s="225"/>
      <c r="F14" s="169">
        <v>9</v>
      </c>
      <c r="G14" s="163">
        <f t="shared" si="19"/>
        <v>3418</v>
      </c>
      <c r="H14" s="158">
        <v>3418</v>
      </c>
      <c r="I14" s="168">
        <f t="shared" si="51"/>
        <v>0</v>
      </c>
      <c r="J14" s="225"/>
      <c r="K14" s="169">
        <v>9</v>
      </c>
      <c r="L14" s="163">
        <f t="shared" si="21"/>
        <v>736627</v>
      </c>
      <c r="M14" s="167">
        <v>736822</v>
      </c>
      <c r="N14" s="168">
        <f t="shared" si="52"/>
        <v>195</v>
      </c>
      <c r="O14" s="162"/>
      <c r="P14" s="169">
        <v>9</v>
      </c>
      <c r="Q14" s="163">
        <f t="shared" si="23"/>
        <v>202423</v>
      </c>
      <c r="R14" s="167">
        <v>202501</v>
      </c>
      <c r="S14" s="168">
        <f t="shared" si="53"/>
        <v>78</v>
      </c>
      <c r="T14" s="160"/>
      <c r="U14" s="163">
        <v>9</v>
      </c>
      <c r="V14" s="253">
        <f t="shared" si="25"/>
        <v>381</v>
      </c>
      <c r="W14" s="164">
        <f>'Maldives at LG Daily'!I13</f>
        <v>47</v>
      </c>
      <c r="X14" s="170"/>
      <c r="Z14" s="245">
        <v>9</v>
      </c>
      <c r="AA14" s="168">
        <f t="shared" si="30"/>
        <v>35969</v>
      </c>
      <c r="AB14" s="168">
        <v>35994</v>
      </c>
      <c r="AC14" s="243">
        <f t="shared" si="26"/>
        <v>25</v>
      </c>
      <c r="AD14" s="251">
        <f t="shared" si="31"/>
        <v>7590</v>
      </c>
      <c r="AE14" s="168">
        <v>7595</v>
      </c>
      <c r="AF14" s="243">
        <f t="shared" si="27"/>
        <v>5</v>
      </c>
      <c r="AG14" s="251">
        <f t="shared" si="32"/>
        <v>5255</v>
      </c>
      <c r="AH14" s="168">
        <v>5264</v>
      </c>
      <c r="AI14" s="243">
        <f t="shared" si="28"/>
        <v>9</v>
      </c>
      <c r="AJ14" s="251">
        <f t="shared" si="33"/>
        <v>13270</v>
      </c>
      <c r="AK14" s="168">
        <v>13283</v>
      </c>
      <c r="AL14" s="243">
        <f t="shared" si="0"/>
        <v>13</v>
      </c>
      <c r="AM14" s="251">
        <f t="shared" si="34"/>
        <v>31474</v>
      </c>
      <c r="AN14" s="168">
        <v>31481</v>
      </c>
      <c r="AO14" s="243">
        <f t="shared" si="1"/>
        <v>7</v>
      </c>
      <c r="AP14" s="251">
        <f t="shared" si="35"/>
        <v>5658</v>
      </c>
      <c r="AQ14" s="168">
        <v>5665</v>
      </c>
      <c r="AR14" s="243">
        <f t="shared" si="2"/>
        <v>7</v>
      </c>
      <c r="AS14" s="251">
        <f t="shared" si="36"/>
        <v>21340</v>
      </c>
      <c r="AT14" s="168">
        <v>21351</v>
      </c>
      <c r="AU14" s="243">
        <f t="shared" si="3"/>
        <v>11</v>
      </c>
      <c r="AV14" s="251">
        <f t="shared" si="37"/>
        <v>5568</v>
      </c>
      <c r="AW14" s="168">
        <v>5575</v>
      </c>
      <c r="AX14" s="243">
        <f t="shared" si="4"/>
        <v>7</v>
      </c>
      <c r="AY14" s="251">
        <f t="shared" si="38"/>
        <v>3251</v>
      </c>
      <c r="AZ14" s="251">
        <v>3252</v>
      </c>
      <c r="BA14" s="243">
        <f t="shared" si="5"/>
        <v>1</v>
      </c>
      <c r="BB14" s="251">
        <f t="shared" si="39"/>
        <v>1510</v>
      </c>
      <c r="BC14" s="168">
        <v>1510</v>
      </c>
      <c r="BD14" s="243">
        <f t="shared" si="6"/>
        <v>0</v>
      </c>
      <c r="BE14" s="251">
        <f t="shared" si="40"/>
        <v>26460</v>
      </c>
      <c r="BF14" s="168">
        <v>26461</v>
      </c>
      <c r="BG14" s="243">
        <f t="shared" si="7"/>
        <v>1</v>
      </c>
      <c r="BH14" s="251">
        <f t="shared" si="41"/>
        <v>2276</v>
      </c>
      <c r="BI14" s="168">
        <v>2276</v>
      </c>
      <c r="BJ14" s="243">
        <f t="shared" si="8"/>
        <v>0</v>
      </c>
      <c r="BK14" s="251">
        <f t="shared" si="42"/>
        <v>70048</v>
      </c>
      <c r="BL14" s="168">
        <v>70074</v>
      </c>
      <c r="BM14" s="243">
        <f t="shared" si="9"/>
        <v>26</v>
      </c>
      <c r="BN14" s="251">
        <f t="shared" si="43"/>
        <v>22984</v>
      </c>
      <c r="BO14" s="168">
        <v>22986</v>
      </c>
      <c r="BP14" s="243">
        <f t="shared" si="10"/>
        <v>2</v>
      </c>
      <c r="BQ14" s="251">
        <f t="shared" si="44"/>
        <v>12328</v>
      </c>
      <c r="BR14" s="168">
        <v>12328</v>
      </c>
      <c r="BS14" s="243">
        <f t="shared" si="11"/>
        <v>0</v>
      </c>
      <c r="BT14" s="251">
        <f t="shared" si="45"/>
        <v>16775</v>
      </c>
      <c r="BU14" s="168">
        <v>16781</v>
      </c>
      <c r="BV14" s="243">
        <f t="shared" si="12"/>
        <v>6</v>
      </c>
      <c r="BW14" s="251">
        <f t="shared" si="46"/>
        <v>19230</v>
      </c>
      <c r="BX14" s="168">
        <v>19232</v>
      </c>
      <c r="BY14" s="243">
        <f t="shared" si="13"/>
        <v>2</v>
      </c>
      <c r="BZ14" s="251">
        <f t="shared" si="47"/>
        <v>8226</v>
      </c>
      <c r="CA14" s="168">
        <v>8229</v>
      </c>
      <c r="CB14" s="243">
        <f t="shared" si="14"/>
        <v>3</v>
      </c>
      <c r="CC14" s="251">
        <f t="shared" si="48"/>
        <v>17061</v>
      </c>
      <c r="CD14" s="168">
        <v>17076</v>
      </c>
      <c r="CE14" s="243">
        <f t="shared" si="15"/>
        <v>15</v>
      </c>
      <c r="CF14" s="251">
        <f t="shared" si="49"/>
        <v>1682</v>
      </c>
      <c r="CG14" s="168">
        <v>1685</v>
      </c>
      <c r="CH14" s="243">
        <f t="shared" si="16"/>
        <v>3</v>
      </c>
      <c r="CI14" s="251">
        <f t="shared" si="50"/>
        <v>9343</v>
      </c>
      <c r="CJ14" s="168">
        <v>9354</v>
      </c>
      <c r="CK14" s="243">
        <f t="shared" si="17"/>
        <v>11</v>
      </c>
    </row>
    <row r="15" spans="1:89" ht="15" customHeight="1" x14ac:dyDescent="0.2">
      <c r="A15" s="169">
        <v>10</v>
      </c>
      <c r="B15" s="163">
        <f t="shared" si="18"/>
        <v>7109</v>
      </c>
      <c r="C15" s="167">
        <v>7195</v>
      </c>
      <c r="D15" s="168">
        <f t="shared" si="29"/>
        <v>86</v>
      </c>
      <c r="E15" s="225"/>
      <c r="F15" s="169">
        <v>10</v>
      </c>
      <c r="G15" s="163">
        <f t="shared" si="19"/>
        <v>3418</v>
      </c>
      <c r="H15" s="158">
        <v>3418</v>
      </c>
      <c r="I15" s="168">
        <f t="shared" si="51"/>
        <v>0</v>
      </c>
      <c r="J15" s="225"/>
      <c r="K15" s="169">
        <v>10</v>
      </c>
      <c r="L15" s="163">
        <f t="shared" si="21"/>
        <v>736822</v>
      </c>
      <c r="M15" s="167">
        <v>737006</v>
      </c>
      <c r="N15" s="168">
        <f t="shared" si="52"/>
        <v>184</v>
      </c>
      <c r="O15" s="162"/>
      <c r="P15" s="169">
        <v>10</v>
      </c>
      <c r="Q15" s="163">
        <f t="shared" si="23"/>
        <v>202501</v>
      </c>
      <c r="R15" s="167">
        <v>202584</v>
      </c>
      <c r="S15" s="168">
        <f t="shared" si="53"/>
        <v>83</v>
      </c>
      <c r="T15" s="160"/>
      <c r="U15" s="163">
        <v>10</v>
      </c>
      <c r="V15" s="253">
        <f t="shared" si="25"/>
        <v>353</v>
      </c>
      <c r="W15" s="164">
        <f>'Maldives at LG Daily'!I14</f>
        <v>46</v>
      </c>
      <c r="X15" s="170"/>
      <c r="Z15" s="245">
        <v>10</v>
      </c>
      <c r="AA15" s="168">
        <f t="shared" si="30"/>
        <v>35994</v>
      </c>
      <c r="AB15" s="168">
        <v>36017</v>
      </c>
      <c r="AC15" s="243">
        <f t="shared" si="26"/>
        <v>23</v>
      </c>
      <c r="AD15" s="251">
        <f t="shared" si="31"/>
        <v>7595</v>
      </c>
      <c r="AE15" s="168">
        <v>7602</v>
      </c>
      <c r="AF15" s="243">
        <f t="shared" si="27"/>
        <v>7</v>
      </c>
      <c r="AG15" s="251">
        <f t="shared" si="32"/>
        <v>5264</v>
      </c>
      <c r="AH15" s="168">
        <v>5272</v>
      </c>
      <c r="AI15" s="243">
        <f t="shared" si="28"/>
        <v>8</v>
      </c>
      <c r="AJ15" s="251">
        <f t="shared" si="33"/>
        <v>13283</v>
      </c>
      <c r="AK15" s="168">
        <v>13296</v>
      </c>
      <c r="AL15" s="243">
        <f t="shared" si="0"/>
        <v>13</v>
      </c>
      <c r="AM15" s="251">
        <f t="shared" si="34"/>
        <v>31481</v>
      </c>
      <c r="AN15" s="168">
        <v>31489</v>
      </c>
      <c r="AO15" s="243">
        <f t="shared" si="1"/>
        <v>8</v>
      </c>
      <c r="AP15" s="251">
        <f t="shared" si="35"/>
        <v>5665</v>
      </c>
      <c r="AQ15" s="168">
        <v>5673</v>
      </c>
      <c r="AR15" s="243">
        <f t="shared" si="2"/>
        <v>8</v>
      </c>
      <c r="AS15" s="251">
        <f t="shared" si="36"/>
        <v>21351</v>
      </c>
      <c r="AT15" s="168">
        <v>21363</v>
      </c>
      <c r="AU15" s="243">
        <f t="shared" si="3"/>
        <v>12</v>
      </c>
      <c r="AV15" s="251">
        <f t="shared" si="37"/>
        <v>5575</v>
      </c>
      <c r="AW15" s="168">
        <v>5582</v>
      </c>
      <c r="AX15" s="243">
        <f t="shared" si="4"/>
        <v>7</v>
      </c>
      <c r="AY15" s="251">
        <f t="shared" si="38"/>
        <v>3252</v>
      </c>
      <c r="AZ15" s="168">
        <v>3253</v>
      </c>
      <c r="BA15" s="243">
        <f t="shared" si="5"/>
        <v>1</v>
      </c>
      <c r="BB15" s="251">
        <f t="shared" si="39"/>
        <v>1510</v>
      </c>
      <c r="BC15" s="168">
        <v>1510</v>
      </c>
      <c r="BD15" s="243">
        <f t="shared" si="6"/>
        <v>0</v>
      </c>
      <c r="BE15" s="251">
        <f t="shared" si="40"/>
        <v>26461</v>
      </c>
      <c r="BF15" s="168">
        <v>26462</v>
      </c>
      <c r="BG15" s="243">
        <f t="shared" si="7"/>
        <v>1</v>
      </c>
      <c r="BH15" s="251">
        <f t="shared" si="41"/>
        <v>2276</v>
      </c>
      <c r="BI15" s="168">
        <v>2278</v>
      </c>
      <c r="BJ15" s="243">
        <f t="shared" si="8"/>
        <v>2</v>
      </c>
      <c r="BK15" s="251">
        <f t="shared" si="42"/>
        <v>70074</v>
      </c>
      <c r="BL15" s="168">
        <v>70098</v>
      </c>
      <c r="BM15" s="243">
        <f t="shared" si="9"/>
        <v>24</v>
      </c>
      <c r="BN15" s="251">
        <f t="shared" si="43"/>
        <v>22986</v>
      </c>
      <c r="BO15" s="168">
        <v>22989</v>
      </c>
      <c r="BP15" s="243">
        <f t="shared" si="10"/>
        <v>3</v>
      </c>
      <c r="BQ15" s="251">
        <f t="shared" si="44"/>
        <v>12328</v>
      </c>
      <c r="BR15" s="168">
        <v>12329</v>
      </c>
      <c r="BS15" s="243">
        <f t="shared" si="11"/>
        <v>1</v>
      </c>
      <c r="BT15" s="251">
        <f t="shared" si="45"/>
        <v>16781</v>
      </c>
      <c r="BU15" s="168">
        <v>16791</v>
      </c>
      <c r="BV15" s="243">
        <f t="shared" si="12"/>
        <v>10</v>
      </c>
      <c r="BW15" s="251">
        <f t="shared" si="46"/>
        <v>19232</v>
      </c>
      <c r="BX15" s="168">
        <v>19234</v>
      </c>
      <c r="BY15" s="243">
        <f t="shared" si="13"/>
        <v>2</v>
      </c>
      <c r="BZ15" s="251">
        <f t="shared" si="47"/>
        <v>8229</v>
      </c>
      <c r="CA15" s="168">
        <v>8231</v>
      </c>
      <c r="CB15" s="243">
        <f t="shared" si="14"/>
        <v>2</v>
      </c>
      <c r="CC15" s="251">
        <f t="shared" si="48"/>
        <v>17076</v>
      </c>
      <c r="CD15" s="168">
        <v>17093</v>
      </c>
      <c r="CE15" s="243">
        <f t="shared" si="15"/>
        <v>17</v>
      </c>
      <c r="CF15" s="251">
        <f t="shared" si="49"/>
        <v>1685</v>
      </c>
      <c r="CG15" s="168">
        <v>1686</v>
      </c>
      <c r="CH15" s="243">
        <f t="shared" si="16"/>
        <v>1</v>
      </c>
      <c r="CI15" s="251">
        <f t="shared" si="50"/>
        <v>9354</v>
      </c>
      <c r="CJ15" s="168">
        <v>9362</v>
      </c>
      <c r="CK15" s="243">
        <f t="shared" si="17"/>
        <v>8</v>
      </c>
    </row>
    <row r="16" spans="1:89" ht="15" customHeight="1" x14ac:dyDescent="0.2">
      <c r="A16" s="169">
        <v>11</v>
      </c>
      <c r="B16" s="163">
        <f t="shared" si="18"/>
        <v>7195</v>
      </c>
      <c r="C16" s="167">
        <v>7295</v>
      </c>
      <c r="D16" s="168">
        <f t="shared" si="29"/>
        <v>100</v>
      </c>
      <c r="E16" s="225"/>
      <c r="F16" s="169">
        <v>11</v>
      </c>
      <c r="G16" s="163">
        <f t="shared" si="19"/>
        <v>3418</v>
      </c>
      <c r="H16" s="158">
        <v>3418</v>
      </c>
      <c r="I16" s="168">
        <f t="shared" si="51"/>
        <v>0</v>
      </c>
      <c r="J16" s="225"/>
      <c r="K16" s="169">
        <v>11</v>
      </c>
      <c r="L16" s="163">
        <f t="shared" si="21"/>
        <v>737006</v>
      </c>
      <c r="M16" s="167">
        <v>737209</v>
      </c>
      <c r="N16" s="168">
        <f t="shared" si="52"/>
        <v>203</v>
      </c>
      <c r="O16" s="162"/>
      <c r="P16" s="169">
        <v>11</v>
      </c>
      <c r="Q16" s="163">
        <f t="shared" si="23"/>
        <v>202584</v>
      </c>
      <c r="R16" s="167">
        <v>202668</v>
      </c>
      <c r="S16" s="168">
        <f t="shared" si="53"/>
        <v>84</v>
      </c>
      <c r="T16" s="160"/>
      <c r="U16" s="169">
        <v>11</v>
      </c>
      <c r="V16" s="253">
        <f t="shared" si="25"/>
        <v>387</v>
      </c>
      <c r="W16" s="164">
        <f>'Maldives at LG Daily'!I15</f>
        <v>46</v>
      </c>
      <c r="X16" s="170"/>
      <c r="Z16" s="245">
        <v>11</v>
      </c>
      <c r="AA16" s="168">
        <f t="shared" si="30"/>
        <v>36017</v>
      </c>
      <c r="AB16" s="168">
        <v>36037</v>
      </c>
      <c r="AC16" s="243">
        <f t="shared" si="26"/>
        <v>20</v>
      </c>
      <c r="AD16" s="251">
        <f t="shared" si="31"/>
        <v>7602</v>
      </c>
      <c r="AE16" s="168">
        <v>7608</v>
      </c>
      <c r="AF16" s="243">
        <f t="shared" si="27"/>
        <v>6</v>
      </c>
      <c r="AG16" s="251">
        <f t="shared" si="32"/>
        <v>5272</v>
      </c>
      <c r="AH16" s="168">
        <v>5281</v>
      </c>
      <c r="AI16" s="243">
        <f t="shared" si="28"/>
        <v>9</v>
      </c>
      <c r="AJ16" s="251">
        <f t="shared" si="33"/>
        <v>13296</v>
      </c>
      <c r="AK16" s="168">
        <v>13309</v>
      </c>
      <c r="AL16" s="243">
        <f t="shared" si="0"/>
        <v>13</v>
      </c>
      <c r="AM16" s="251">
        <f t="shared" si="34"/>
        <v>31489</v>
      </c>
      <c r="AN16" s="168">
        <v>31497</v>
      </c>
      <c r="AO16" s="243">
        <f t="shared" si="1"/>
        <v>8</v>
      </c>
      <c r="AP16" s="251">
        <f t="shared" si="35"/>
        <v>5673</v>
      </c>
      <c r="AQ16" s="168">
        <v>5680</v>
      </c>
      <c r="AR16" s="243">
        <f t="shared" si="2"/>
        <v>7</v>
      </c>
      <c r="AS16" s="251">
        <f t="shared" si="36"/>
        <v>21363</v>
      </c>
      <c r="AT16" s="168">
        <v>21373</v>
      </c>
      <c r="AU16" s="243">
        <f t="shared" si="3"/>
        <v>10</v>
      </c>
      <c r="AV16" s="251">
        <f t="shared" si="37"/>
        <v>5582</v>
      </c>
      <c r="AW16" s="168">
        <v>5590</v>
      </c>
      <c r="AX16" s="243">
        <f t="shared" si="4"/>
        <v>8</v>
      </c>
      <c r="AY16" s="251">
        <f t="shared" si="38"/>
        <v>3253</v>
      </c>
      <c r="AZ16" s="168">
        <v>3254</v>
      </c>
      <c r="BA16" s="243">
        <f t="shared" si="5"/>
        <v>1</v>
      </c>
      <c r="BB16" s="251">
        <f t="shared" si="39"/>
        <v>1510</v>
      </c>
      <c r="BC16" s="168">
        <v>1510</v>
      </c>
      <c r="BD16" s="243">
        <f t="shared" si="6"/>
        <v>0</v>
      </c>
      <c r="BE16" s="251">
        <f t="shared" si="40"/>
        <v>26462</v>
      </c>
      <c r="BF16" s="168">
        <v>26464</v>
      </c>
      <c r="BG16" s="243">
        <f t="shared" si="7"/>
        <v>2</v>
      </c>
      <c r="BH16" s="251">
        <f t="shared" si="41"/>
        <v>2278</v>
      </c>
      <c r="BI16" s="168">
        <v>2281</v>
      </c>
      <c r="BJ16" s="243">
        <f t="shared" si="8"/>
        <v>3</v>
      </c>
      <c r="BK16" s="251">
        <f t="shared" si="42"/>
        <v>70098</v>
      </c>
      <c r="BL16" s="168">
        <v>70120</v>
      </c>
      <c r="BM16" s="243">
        <f t="shared" si="9"/>
        <v>22</v>
      </c>
      <c r="BN16" s="251">
        <f t="shared" si="43"/>
        <v>22989</v>
      </c>
      <c r="BO16" s="168">
        <v>22991</v>
      </c>
      <c r="BP16" s="243">
        <f t="shared" si="10"/>
        <v>2</v>
      </c>
      <c r="BQ16" s="251">
        <f t="shared" si="44"/>
        <v>12329</v>
      </c>
      <c r="BR16" s="168">
        <v>12330</v>
      </c>
      <c r="BS16" s="243">
        <f t="shared" si="11"/>
        <v>1</v>
      </c>
      <c r="BT16" s="251">
        <f t="shared" si="45"/>
        <v>16791</v>
      </c>
      <c r="BU16" s="168">
        <v>16798</v>
      </c>
      <c r="BV16" s="243">
        <f t="shared" si="12"/>
        <v>7</v>
      </c>
      <c r="BW16" s="251">
        <f t="shared" si="46"/>
        <v>19234</v>
      </c>
      <c r="BX16" s="168">
        <v>19237</v>
      </c>
      <c r="BY16" s="243">
        <f t="shared" si="13"/>
        <v>3</v>
      </c>
      <c r="BZ16" s="251">
        <f t="shared" si="47"/>
        <v>8231</v>
      </c>
      <c r="CA16" s="168">
        <v>8234</v>
      </c>
      <c r="CB16" s="243">
        <f t="shared" si="14"/>
        <v>3</v>
      </c>
      <c r="CC16" s="251">
        <f t="shared" si="48"/>
        <v>17093</v>
      </c>
      <c r="CD16" s="168">
        <v>17107</v>
      </c>
      <c r="CE16" s="243">
        <f t="shared" si="15"/>
        <v>14</v>
      </c>
      <c r="CF16" s="251">
        <f t="shared" si="49"/>
        <v>1686</v>
      </c>
      <c r="CG16" s="168">
        <v>1689</v>
      </c>
      <c r="CH16" s="243">
        <f t="shared" si="16"/>
        <v>3</v>
      </c>
      <c r="CI16" s="251">
        <f t="shared" si="50"/>
        <v>9362</v>
      </c>
      <c r="CJ16" s="168">
        <v>9375</v>
      </c>
      <c r="CK16" s="243">
        <f t="shared" si="17"/>
        <v>13</v>
      </c>
    </row>
    <row r="17" spans="1:89" ht="15" customHeight="1" x14ac:dyDescent="0.2">
      <c r="A17" s="169">
        <v>12</v>
      </c>
      <c r="B17" s="163">
        <f t="shared" si="18"/>
        <v>7295</v>
      </c>
      <c r="C17" s="167">
        <v>7366</v>
      </c>
      <c r="D17" s="168">
        <f t="shared" si="29"/>
        <v>71</v>
      </c>
      <c r="E17" s="225"/>
      <c r="F17" s="169">
        <v>12</v>
      </c>
      <c r="G17" s="163">
        <f t="shared" si="19"/>
        <v>3418</v>
      </c>
      <c r="H17" s="167">
        <v>3418</v>
      </c>
      <c r="I17" s="168">
        <f t="shared" si="51"/>
        <v>0</v>
      </c>
      <c r="J17" s="225"/>
      <c r="K17" s="169">
        <v>12</v>
      </c>
      <c r="L17" s="163">
        <f t="shared" si="21"/>
        <v>737209</v>
      </c>
      <c r="M17" s="167">
        <v>737404</v>
      </c>
      <c r="N17" s="168">
        <f t="shared" si="52"/>
        <v>195</v>
      </c>
      <c r="O17" s="162"/>
      <c r="P17" s="169">
        <v>12</v>
      </c>
      <c r="Q17" s="163">
        <f t="shared" si="23"/>
        <v>202668</v>
      </c>
      <c r="R17" s="167">
        <v>202730</v>
      </c>
      <c r="S17" s="168">
        <f t="shared" si="53"/>
        <v>62</v>
      </c>
      <c r="T17" s="160"/>
      <c r="U17" s="163">
        <v>12</v>
      </c>
      <c r="V17" s="253">
        <f t="shared" si="25"/>
        <v>328</v>
      </c>
      <c r="W17" s="164">
        <f>'Maldives at LG Daily'!I16</f>
        <v>45</v>
      </c>
      <c r="X17" s="170"/>
      <c r="Z17" s="245">
        <v>12</v>
      </c>
      <c r="AA17" s="168">
        <f t="shared" si="30"/>
        <v>36037</v>
      </c>
      <c r="AB17" s="168">
        <v>36062</v>
      </c>
      <c r="AC17" s="243">
        <f t="shared" si="26"/>
        <v>25</v>
      </c>
      <c r="AD17" s="251">
        <f t="shared" si="31"/>
        <v>7608</v>
      </c>
      <c r="AE17" s="168">
        <v>7616</v>
      </c>
      <c r="AF17" s="243">
        <f t="shared" si="27"/>
        <v>8</v>
      </c>
      <c r="AG17" s="251">
        <f t="shared" si="32"/>
        <v>5281</v>
      </c>
      <c r="AH17" s="168">
        <v>5290</v>
      </c>
      <c r="AI17" s="243">
        <f t="shared" si="28"/>
        <v>9</v>
      </c>
      <c r="AJ17" s="251">
        <f t="shared" si="33"/>
        <v>13309</v>
      </c>
      <c r="AK17" s="168">
        <v>13323</v>
      </c>
      <c r="AL17" s="243">
        <f t="shared" si="0"/>
        <v>14</v>
      </c>
      <c r="AM17" s="251">
        <f t="shared" si="34"/>
        <v>31497</v>
      </c>
      <c r="AN17" s="168">
        <f>31497+8</f>
        <v>31505</v>
      </c>
      <c r="AO17" s="243">
        <f t="shared" si="1"/>
        <v>8</v>
      </c>
      <c r="AP17" s="251">
        <f t="shared" si="35"/>
        <v>5680</v>
      </c>
      <c r="AQ17" s="168">
        <v>5687</v>
      </c>
      <c r="AR17" s="243">
        <f t="shared" si="2"/>
        <v>7</v>
      </c>
      <c r="AS17" s="251">
        <f t="shared" si="36"/>
        <v>21373</v>
      </c>
      <c r="AT17" s="255">
        <v>21385</v>
      </c>
      <c r="AU17" s="243">
        <f t="shared" si="3"/>
        <v>12</v>
      </c>
      <c r="AV17" s="251">
        <f t="shared" si="37"/>
        <v>5590</v>
      </c>
      <c r="AW17" s="168">
        <v>5599</v>
      </c>
      <c r="AX17" s="243">
        <f t="shared" si="4"/>
        <v>9</v>
      </c>
      <c r="AY17" s="251">
        <f t="shared" si="38"/>
        <v>3254</v>
      </c>
      <c r="AZ17" s="168">
        <v>3254</v>
      </c>
      <c r="BA17" s="243">
        <f t="shared" si="5"/>
        <v>0</v>
      </c>
      <c r="BB17" s="251">
        <f t="shared" si="39"/>
        <v>1510</v>
      </c>
      <c r="BC17" s="168">
        <v>1510</v>
      </c>
      <c r="BD17" s="243">
        <f t="shared" si="6"/>
        <v>0</v>
      </c>
      <c r="BE17" s="251">
        <f t="shared" si="40"/>
        <v>26464</v>
      </c>
      <c r="BF17" s="168">
        <v>26465</v>
      </c>
      <c r="BG17" s="243">
        <f t="shared" si="7"/>
        <v>1</v>
      </c>
      <c r="BH17" s="251">
        <f t="shared" si="41"/>
        <v>2281</v>
      </c>
      <c r="BI17" s="168">
        <v>2283</v>
      </c>
      <c r="BJ17" s="243">
        <f t="shared" si="8"/>
        <v>2</v>
      </c>
      <c r="BK17" s="251">
        <f t="shared" si="42"/>
        <v>70120</v>
      </c>
      <c r="BL17" s="168">
        <v>70144</v>
      </c>
      <c r="BM17" s="243">
        <f t="shared" si="9"/>
        <v>24</v>
      </c>
      <c r="BN17" s="251">
        <f t="shared" si="43"/>
        <v>22991</v>
      </c>
      <c r="BO17" s="168">
        <v>22994</v>
      </c>
      <c r="BP17" s="243">
        <f t="shared" si="10"/>
        <v>3</v>
      </c>
      <c r="BQ17" s="251">
        <f t="shared" si="44"/>
        <v>12330</v>
      </c>
      <c r="BR17" s="168">
        <v>12331</v>
      </c>
      <c r="BS17" s="243">
        <f t="shared" si="11"/>
        <v>1</v>
      </c>
      <c r="BT17" s="251">
        <f t="shared" si="45"/>
        <v>16798</v>
      </c>
      <c r="BU17" s="168">
        <v>16798</v>
      </c>
      <c r="BV17" s="243">
        <f t="shared" si="12"/>
        <v>0</v>
      </c>
      <c r="BW17" s="251">
        <f t="shared" si="46"/>
        <v>19237</v>
      </c>
      <c r="BX17" s="168">
        <v>19240</v>
      </c>
      <c r="BY17" s="243">
        <f t="shared" si="13"/>
        <v>3</v>
      </c>
      <c r="BZ17" s="251">
        <f t="shared" si="47"/>
        <v>8234</v>
      </c>
      <c r="CA17" s="168">
        <v>8237</v>
      </c>
      <c r="CB17" s="243">
        <f t="shared" si="14"/>
        <v>3</v>
      </c>
      <c r="CC17" s="251">
        <f t="shared" si="48"/>
        <v>17107</v>
      </c>
      <c r="CD17" s="168">
        <v>17115</v>
      </c>
      <c r="CE17" s="243">
        <f t="shared" si="15"/>
        <v>8</v>
      </c>
      <c r="CF17" s="251">
        <f t="shared" si="49"/>
        <v>1689</v>
      </c>
      <c r="CG17" s="168">
        <v>1691</v>
      </c>
      <c r="CH17" s="243">
        <f t="shared" si="16"/>
        <v>2</v>
      </c>
      <c r="CI17" s="251">
        <f t="shared" si="50"/>
        <v>9375</v>
      </c>
      <c r="CJ17" s="168">
        <v>9385</v>
      </c>
      <c r="CK17" s="243">
        <f t="shared" si="17"/>
        <v>10</v>
      </c>
    </row>
    <row r="18" spans="1:89" ht="15" customHeight="1" x14ac:dyDescent="0.2">
      <c r="A18" s="169">
        <v>13</v>
      </c>
      <c r="B18" s="163">
        <f t="shared" si="18"/>
        <v>7366</v>
      </c>
      <c r="C18" s="167">
        <v>7476</v>
      </c>
      <c r="D18" s="168">
        <f t="shared" si="29"/>
        <v>110</v>
      </c>
      <c r="E18" s="225"/>
      <c r="F18" s="169">
        <v>13</v>
      </c>
      <c r="G18" s="163">
        <f t="shared" si="19"/>
        <v>3418</v>
      </c>
      <c r="H18" s="167">
        <v>3418</v>
      </c>
      <c r="I18" s="168">
        <f t="shared" si="51"/>
        <v>0</v>
      </c>
      <c r="J18" s="225"/>
      <c r="K18" s="169">
        <v>13</v>
      </c>
      <c r="L18" s="163">
        <f t="shared" si="21"/>
        <v>737404</v>
      </c>
      <c r="M18" s="167">
        <v>737609</v>
      </c>
      <c r="N18" s="168">
        <f t="shared" si="52"/>
        <v>205</v>
      </c>
      <c r="O18" s="162"/>
      <c r="P18" s="169">
        <v>13</v>
      </c>
      <c r="Q18" s="163">
        <f t="shared" si="23"/>
        <v>202730</v>
      </c>
      <c r="R18" s="167">
        <v>202823</v>
      </c>
      <c r="S18" s="168">
        <f t="shared" si="53"/>
        <v>93</v>
      </c>
      <c r="T18" s="160"/>
      <c r="U18" s="163">
        <v>13</v>
      </c>
      <c r="V18" s="253">
        <f t="shared" si="25"/>
        <v>408</v>
      </c>
      <c r="W18" s="164">
        <f>'Maldives at LG Daily'!I17</f>
        <v>48</v>
      </c>
      <c r="X18" s="170"/>
      <c r="Z18" s="245">
        <v>13</v>
      </c>
      <c r="AA18" s="168">
        <f t="shared" si="30"/>
        <v>36062</v>
      </c>
      <c r="AB18" s="168">
        <v>36084</v>
      </c>
      <c r="AC18" s="243">
        <f t="shared" si="26"/>
        <v>22</v>
      </c>
      <c r="AD18" s="251">
        <f t="shared" si="31"/>
        <v>7616</v>
      </c>
      <c r="AE18" s="168">
        <v>7624</v>
      </c>
      <c r="AF18" s="243">
        <f t="shared" si="27"/>
        <v>8</v>
      </c>
      <c r="AG18" s="251">
        <f t="shared" si="32"/>
        <v>5290</v>
      </c>
      <c r="AH18" s="168">
        <v>5300</v>
      </c>
      <c r="AI18" s="243">
        <f t="shared" si="28"/>
        <v>10</v>
      </c>
      <c r="AJ18" s="251">
        <f t="shared" si="33"/>
        <v>13323</v>
      </c>
      <c r="AK18" s="168">
        <v>13336</v>
      </c>
      <c r="AL18" s="243">
        <f t="shared" si="0"/>
        <v>13</v>
      </c>
      <c r="AM18" s="251">
        <f t="shared" si="34"/>
        <v>31505</v>
      </c>
      <c r="AN18" s="168">
        <f>31505+8</f>
        <v>31513</v>
      </c>
      <c r="AO18" s="243">
        <f t="shared" si="1"/>
        <v>8</v>
      </c>
      <c r="AP18" s="251">
        <f t="shared" si="35"/>
        <v>5687</v>
      </c>
      <c r="AQ18" s="168">
        <v>5692</v>
      </c>
      <c r="AR18" s="243">
        <f t="shared" si="2"/>
        <v>5</v>
      </c>
      <c r="AS18" s="251">
        <f t="shared" si="36"/>
        <v>21385</v>
      </c>
      <c r="AT18" s="168">
        <v>21397</v>
      </c>
      <c r="AU18" s="243">
        <f t="shared" si="3"/>
        <v>12</v>
      </c>
      <c r="AV18" s="251">
        <f t="shared" si="37"/>
        <v>5599</v>
      </c>
      <c r="AW18" s="168">
        <v>5608</v>
      </c>
      <c r="AX18" s="243">
        <f t="shared" si="4"/>
        <v>9</v>
      </c>
      <c r="AY18" s="251">
        <f t="shared" si="38"/>
        <v>3254</v>
      </c>
      <c r="AZ18" s="168">
        <v>3255</v>
      </c>
      <c r="BA18" s="243">
        <f t="shared" si="5"/>
        <v>1</v>
      </c>
      <c r="BB18" s="251">
        <f t="shared" si="39"/>
        <v>1510</v>
      </c>
      <c r="BC18" s="168">
        <v>1511</v>
      </c>
      <c r="BD18" s="243">
        <f t="shared" si="6"/>
        <v>1</v>
      </c>
      <c r="BE18" s="251">
        <f t="shared" si="40"/>
        <v>26465</v>
      </c>
      <c r="BF18" s="168">
        <v>26467</v>
      </c>
      <c r="BG18" s="243">
        <f t="shared" si="7"/>
        <v>2</v>
      </c>
      <c r="BH18" s="251">
        <f t="shared" si="41"/>
        <v>2283</v>
      </c>
      <c r="BI18" s="168">
        <v>2284</v>
      </c>
      <c r="BJ18" s="243">
        <f t="shared" si="8"/>
        <v>1</v>
      </c>
      <c r="BK18" s="251">
        <f t="shared" si="42"/>
        <v>70144</v>
      </c>
      <c r="BL18" s="168">
        <v>70168</v>
      </c>
      <c r="BM18" s="243">
        <f t="shared" si="9"/>
        <v>24</v>
      </c>
      <c r="BN18" s="251">
        <f t="shared" si="43"/>
        <v>22994</v>
      </c>
      <c r="BO18" s="168">
        <v>22997</v>
      </c>
      <c r="BP18" s="243">
        <f t="shared" si="10"/>
        <v>3</v>
      </c>
      <c r="BQ18" s="251">
        <f t="shared" si="44"/>
        <v>12331</v>
      </c>
      <c r="BR18" s="168">
        <v>12332</v>
      </c>
      <c r="BS18" s="243">
        <f t="shared" si="11"/>
        <v>1</v>
      </c>
      <c r="BT18" s="251">
        <f t="shared" si="45"/>
        <v>16798</v>
      </c>
      <c r="BU18" s="168">
        <v>16803</v>
      </c>
      <c r="BV18" s="243">
        <f t="shared" si="12"/>
        <v>5</v>
      </c>
      <c r="BW18" s="251">
        <f t="shared" si="46"/>
        <v>19240</v>
      </c>
      <c r="BX18" s="168">
        <v>19243</v>
      </c>
      <c r="BY18" s="243">
        <f t="shared" si="13"/>
        <v>3</v>
      </c>
      <c r="BZ18" s="251">
        <f t="shared" si="47"/>
        <v>8237</v>
      </c>
      <c r="CA18" s="168">
        <v>8241</v>
      </c>
      <c r="CB18" s="243">
        <f t="shared" si="14"/>
        <v>4</v>
      </c>
      <c r="CC18" s="251">
        <f t="shared" si="48"/>
        <v>17115</v>
      </c>
      <c r="CD18" s="168">
        <v>17159</v>
      </c>
      <c r="CE18" s="243">
        <f t="shared" si="15"/>
        <v>44</v>
      </c>
      <c r="CF18" s="251">
        <f t="shared" si="49"/>
        <v>1691</v>
      </c>
      <c r="CG18" s="168">
        <v>1691</v>
      </c>
      <c r="CH18" s="243">
        <f t="shared" si="16"/>
        <v>0</v>
      </c>
      <c r="CI18" s="251">
        <f t="shared" si="50"/>
        <v>9385</v>
      </c>
      <c r="CJ18" s="168">
        <v>9390</v>
      </c>
      <c r="CK18" s="243">
        <f t="shared" si="17"/>
        <v>5</v>
      </c>
    </row>
    <row r="19" spans="1:89" ht="15" customHeight="1" x14ac:dyDescent="0.2">
      <c r="A19" s="169">
        <v>14</v>
      </c>
      <c r="B19" s="163">
        <f t="shared" si="18"/>
        <v>7476</v>
      </c>
      <c r="C19" s="167">
        <v>7570</v>
      </c>
      <c r="D19" s="168">
        <f t="shared" si="29"/>
        <v>94</v>
      </c>
      <c r="E19" s="225"/>
      <c r="F19" s="169">
        <v>14</v>
      </c>
      <c r="G19" s="163">
        <f t="shared" si="19"/>
        <v>3418</v>
      </c>
      <c r="H19" s="167">
        <v>3418</v>
      </c>
      <c r="I19" s="168">
        <f t="shared" si="51"/>
        <v>0</v>
      </c>
      <c r="J19" s="225"/>
      <c r="K19" s="169">
        <v>14</v>
      </c>
      <c r="L19" s="163">
        <f t="shared" si="21"/>
        <v>737609</v>
      </c>
      <c r="M19" s="167">
        <v>737795</v>
      </c>
      <c r="N19" s="168">
        <f t="shared" si="52"/>
        <v>186</v>
      </c>
      <c r="O19" s="162"/>
      <c r="P19" s="169">
        <v>14</v>
      </c>
      <c r="Q19" s="163">
        <f t="shared" si="23"/>
        <v>202823</v>
      </c>
      <c r="R19" s="167">
        <v>202907</v>
      </c>
      <c r="S19" s="168">
        <f t="shared" si="53"/>
        <v>84</v>
      </c>
      <c r="T19" s="160"/>
      <c r="U19" s="169">
        <v>14</v>
      </c>
      <c r="V19" s="253">
        <f t="shared" si="25"/>
        <v>364</v>
      </c>
      <c r="W19" s="164">
        <f>'Maldives at LG Daily'!I18</f>
        <v>46</v>
      </c>
      <c r="X19" s="170"/>
      <c r="Z19" s="245">
        <v>14</v>
      </c>
      <c r="AA19" s="168">
        <f t="shared" si="30"/>
        <v>36084</v>
      </c>
      <c r="AB19" s="168">
        <v>36109</v>
      </c>
      <c r="AC19" s="243">
        <f t="shared" si="26"/>
        <v>25</v>
      </c>
      <c r="AD19" s="251">
        <f t="shared" si="31"/>
        <v>7624</v>
      </c>
      <c r="AE19" s="168">
        <v>7637</v>
      </c>
      <c r="AF19" s="243">
        <f t="shared" si="27"/>
        <v>13</v>
      </c>
      <c r="AG19" s="251">
        <f t="shared" si="32"/>
        <v>5300</v>
      </c>
      <c r="AH19" s="168">
        <v>5308</v>
      </c>
      <c r="AI19" s="243">
        <f t="shared" si="28"/>
        <v>8</v>
      </c>
      <c r="AJ19" s="251">
        <f t="shared" si="33"/>
        <v>13336</v>
      </c>
      <c r="AK19" s="168">
        <v>13349</v>
      </c>
      <c r="AL19" s="243">
        <f t="shared" si="0"/>
        <v>13</v>
      </c>
      <c r="AM19" s="251">
        <f t="shared" si="34"/>
        <v>31513</v>
      </c>
      <c r="AN19" s="168">
        <v>31519</v>
      </c>
      <c r="AO19" s="243">
        <f t="shared" si="1"/>
        <v>6</v>
      </c>
      <c r="AP19" s="251">
        <f t="shared" si="35"/>
        <v>5692</v>
      </c>
      <c r="AQ19" s="168">
        <v>5700</v>
      </c>
      <c r="AR19" s="243">
        <f t="shared" si="2"/>
        <v>8</v>
      </c>
      <c r="AS19" s="251">
        <f t="shared" si="36"/>
        <v>21397</v>
      </c>
      <c r="AT19" s="168">
        <v>21409</v>
      </c>
      <c r="AU19" s="243">
        <f t="shared" si="3"/>
        <v>12</v>
      </c>
      <c r="AV19" s="251">
        <f t="shared" si="37"/>
        <v>5608</v>
      </c>
      <c r="AW19" s="168">
        <v>5616</v>
      </c>
      <c r="AX19" s="243">
        <f t="shared" si="4"/>
        <v>8</v>
      </c>
      <c r="AY19" s="251">
        <f t="shared" si="38"/>
        <v>3255</v>
      </c>
      <c r="AZ19" s="168">
        <v>3257</v>
      </c>
      <c r="BA19" s="243">
        <f t="shared" si="5"/>
        <v>2</v>
      </c>
      <c r="BB19" s="251">
        <f t="shared" si="39"/>
        <v>1511</v>
      </c>
      <c r="BC19" s="168">
        <v>1511</v>
      </c>
      <c r="BD19" s="243">
        <f t="shared" si="6"/>
        <v>0</v>
      </c>
      <c r="BE19" s="251">
        <f t="shared" si="40"/>
        <v>26467</v>
      </c>
      <c r="BF19" s="168">
        <v>26470</v>
      </c>
      <c r="BG19" s="243">
        <f t="shared" si="7"/>
        <v>3</v>
      </c>
      <c r="BH19" s="251">
        <f t="shared" si="41"/>
        <v>2284</v>
      </c>
      <c r="BI19" s="168">
        <v>2286</v>
      </c>
      <c r="BJ19" s="243">
        <f t="shared" si="8"/>
        <v>2</v>
      </c>
      <c r="BK19" s="251">
        <f t="shared" si="42"/>
        <v>70168</v>
      </c>
      <c r="BL19" s="168">
        <v>70191</v>
      </c>
      <c r="BM19" s="243">
        <f t="shared" si="9"/>
        <v>23</v>
      </c>
      <c r="BN19" s="251">
        <f t="shared" si="43"/>
        <v>22997</v>
      </c>
      <c r="BO19" s="168">
        <v>23000</v>
      </c>
      <c r="BP19" s="243">
        <f t="shared" si="10"/>
        <v>3</v>
      </c>
      <c r="BQ19" s="251">
        <f t="shared" si="44"/>
        <v>12332</v>
      </c>
      <c r="BR19" s="168">
        <v>12333</v>
      </c>
      <c r="BS19" s="243">
        <f t="shared" si="11"/>
        <v>1</v>
      </c>
      <c r="BT19" s="251">
        <f t="shared" si="45"/>
        <v>16803</v>
      </c>
      <c r="BU19" s="168">
        <v>16803</v>
      </c>
      <c r="BV19" s="243">
        <f t="shared" si="12"/>
        <v>0</v>
      </c>
      <c r="BW19" s="251">
        <f t="shared" si="46"/>
        <v>19243</v>
      </c>
      <c r="BX19" s="168">
        <v>19246</v>
      </c>
      <c r="BY19" s="243">
        <f t="shared" si="13"/>
        <v>3</v>
      </c>
      <c r="BZ19" s="251">
        <f t="shared" si="47"/>
        <v>8241</v>
      </c>
      <c r="CA19" s="168">
        <v>8244</v>
      </c>
      <c r="CB19" s="243">
        <f t="shared" si="14"/>
        <v>3</v>
      </c>
      <c r="CC19" s="251">
        <f t="shared" si="48"/>
        <v>17159</v>
      </c>
      <c r="CD19" s="168">
        <v>17190</v>
      </c>
      <c r="CE19" s="243">
        <f t="shared" si="15"/>
        <v>31</v>
      </c>
      <c r="CF19" s="251">
        <f t="shared" si="49"/>
        <v>1691</v>
      </c>
      <c r="CG19" s="168">
        <v>1693</v>
      </c>
      <c r="CH19" s="243">
        <f t="shared" si="16"/>
        <v>2</v>
      </c>
      <c r="CI19" s="251">
        <f t="shared" si="50"/>
        <v>9390</v>
      </c>
      <c r="CJ19" s="168">
        <v>9394</v>
      </c>
      <c r="CK19" s="243">
        <f t="shared" si="17"/>
        <v>4</v>
      </c>
    </row>
    <row r="20" spans="1:89" ht="15" customHeight="1" x14ac:dyDescent="0.2">
      <c r="A20" s="169">
        <v>15</v>
      </c>
      <c r="B20" s="163">
        <f t="shared" si="18"/>
        <v>7570</v>
      </c>
      <c r="C20" s="167">
        <v>7605</v>
      </c>
      <c r="D20" s="168">
        <f t="shared" si="29"/>
        <v>35</v>
      </c>
      <c r="E20" s="225"/>
      <c r="F20" s="169">
        <v>15</v>
      </c>
      <c r="G20" s="163">
        <f t="shared" si="19"/>
        <v>3418</v>
      </c>
      <c r="H20" s="167">
        <v>3418</v>
      </c>
      <c r="I20" s="168">
        <f t="shared" si="51"/>
        <v>0</v>
      </c>
      <c r="J20" s="225"/>
      <c r="K20" s="169">
        <v>15</v>
      </c>
      <c r="L20" s="163">
        <f t="shared" si="21"/>
        <v>737795</v>
      </c>
      <c r="M20" s="167">
        <v>737998</v>
      </c>
      <c r="N20" s="168">
        <f t="shared" si="52"/>
        <v>203</v>
      </c>
      <c r="O20" s="162"/>
      <c r="P20" s="169">
        <v>15</v>
      </c>
      <c r="Q20" s="163">
        <f t="shared" si="23"/>
        <v>202907</v>
      </c>
      <c r="R20" s="167">
        <v>203000</v>
      </c>
      <c r="S20" s="168">
        <f t="shared" si="53"/>
        <v>93</v>
      </c>
      <c r="T20" s="160"/>
      <c r="U20" s="163">
        <v>15</v>
      </c>
      <c r="V20" s="253">
        <f t="shared" si="25"/>
        <v>331</v>
      </c>
      <c r="W20" s="164">
        <f>'Maldives at LG Daily'!I19</f>
        <v>41</v>
      </c>
      <c r="X20" s="170"/>
      <c r="Z20" s="245">
        <v>15</v>
      </c>
      <c r="AA20" s="168">
        <f t="shared" si="30"/>
        <v>36109</v>
      </c>
      <c r="AB20" s="168">
        <v>36155</v>
      </c>
      <c r="AC20" s="243">
        <f t="shared" si="26"/>
        <v>46</v>
      </c>
      <c r="AD20" s="251">
        <f t="shared" si="31"/>
        <v>7637</v>
      </c>
      <c r="AE20" s="168">
        <v>7637</v>
      </c>
      <c r="AF20" s="243">
        <f t="shared" si="27"/>
        <v>0</v>
      </c>
      <c r="AG20" s="251">
        <f t="shared" si="32"/>
        <v>5308</v>
      </c>
      <c r="AH20" s="168">
        <v>5311</v>
      </c>
      <c r="AI20" s="243">
        <f t="shared" si="28"/>
        <v>3</v>
      </c>
      <c r="AJ20" s="251">
        <f t="shared" si="33"/>
        <v>13349</v>
      </c>
      <c r="AK20" s="168">
        <v>13349</v>
      </c>
      <c r="AL20" s="243">
        <f t="shared" si="0"/>
        <v>0</v>
      </c>
      <c r="AM20" s="251">
        <f t="shared" si="34"/>
        <v>31519</v>
      </c>
      <c r="AN20" s="168">
        <v>31528</v>
      </c>
      <c r="AO20" s="243">
        <f t="shared" si="1"/>
        <v>9</v>
      </c>
      <c r="AP20" s="251">
        <f t="shared" si="35"/>
        <v>5700</v>
      </c>
      <c r="AQ20" s="168">
        <f>5700+8</f>
        <v>5708</v>
      </c>
      <c r="AR20" s="243">
        <f t="shared" si="2"/>
        <v>8</v>
      </c>
      <c r="AS20" s="251">
        <f t="shared" si="36"/>
        <v>21409</v>
      </c>
      <c r="AT20" s="168">
        <f>21409+10</f>
        <v>21419</v>
      </c>
      <c r="AU20" s="243">
        <f t="shared" si="3"/>
        <v>10</v>
      </c>
      <c r="AV20" s="251">
        <f t="shared" si="37"/>
        <v>5616</v>
      </c>
      <c r="AW20" s="168">
        <v>5618</v>
      </c>
      <c r="AX20" s="243">
        <f t="shared" si="4"/>
        <v>2</v>
      </c>
      <c r="AY20" s="251">
        <f t="shared" si="38"/>
        <v>3257</v>
      </c>
      <c r="AZ20" s="168">
        <v>3258</v>
      </c>
      <c r="BA20" s="243">
        <f t="shared" si="5"/>
        <v>1</v>
      </c>
      <c r="BB20" s="251">
        <f t="shared" si="39"/>
        <v>1511</v>
      </c>
      <c r="BC20" s="168">
        <v>1512</v>
      </c>
      <c r="BD20" s="243">
        <f t="shared" si="6"/>
        <v>1</v>
      </c>
      <c r="BE20" s="251">
        <f t="shared" si="40"/>
        <v>26470</v>
      </c>
      <c r="BF20" s="168">
        <v>26472</v>
      </c>
      <c r="BG20" s="243">
        <f t="shared" si="7"/>
        <v>2</v>
      </c>
      <c r="BH20" s="251">
        <f t="shared" si="41"/>
        <v>2286</v>
      </c>
      <c r="BI20" s="168">
        <v>2287</v>
      </c>
      <c r="BJ20" s="243">
        <f t="shared" si="8"/>
        <v>1</v>
      </c>
      <c r="BK20" s="251">
        <f t="shared" si="42"/>
        <v>70191</v>
      </c>
      <c r="BL20" s="168">
        <v>70213</v>
      </c>
      <c r="BM20" s="243">
        <f t="shared" si="9"/>
        <v>22</v>
      </c>
      <c r="BN20" s="251">
        <f t="shared" si="43"/>
        <v>23000</v>
      </c>
      <c r="BO20" s="168">
        <f>23000+3</f>
        <v>23003</v>
      </c>
      <c r="BP20" s="243">
        <f t="shared" si="10"/>
        <v>3</v>
      </c>
      <c r="BQ20" s="251">
        <f t="shared" si="44"/>
        <v>12333</v>
      </c>
      <c r="BR20" s="168">
        <v>12333</v>
      </c>
      <c r="BS20" s="243">
        <f t="shared" si="11"/>
        <v>0</v>
      </c>
      <c r="BT20" s="251">
        <f t="shared" si="45"/>
        <v>16803</v>
      </c>
      <c r="BU20" s="168">
        <v>16804</v>
      </c>
      <c r="BV20" s="243">
        <f t="shared" si="12"/>
        <v>1</v>
      </c>
      <c r="BW20" s="251">
        <f t="shared" si="46"/>
        <v>19246</v>
      </c>
      <c r="BX20" s="168">
        <v>19248</v>
      </c>
      <c r="BY20" s="243">
        <f t="shared" si="13"/>
        <v>2</v>
      </c>
      <c r="BZ20" s="251">
        <f t="shared" si="47"/>
        <v>8244</v>
      </c>
      <c r="CA20" s="168">
        <v>8244</v>
      </c>
      <c r="CB20" s="243">
        <f t="shared" si="14"/>
        <v>0</v>
      </c>
      <c r="CC20" s="251">
        <f t="shared" si="48"/>
        <v>17190</v>
      </c>
      <c r="CD20" s="168">
        <v>17214</v>
      </c>
      <c r="CE20" s="243">
        <f t="shared" si="15"/>
        <v>24</v>
      </c>
      <c r="CF20" s="251">
        <f t="shared" si="49"/>
        <v>1693</v>
      </c>
      <c r="CG20" s="168">
        <v>1694</v>
      </c>
      <c r="CH20" s="243">
        <f t="shared" si="16"/>
        <v>1</v>
      </c>
      <c r="CI20" s="251">
        <f t="shared" si="50"/>
        <v>9394</v>
      </c>
      <c r="CJ20" s="168">
        <v>9395</v>
      </c>
      <c r="CK20" s="243">
        <f t="shared" si="17"/>
        <v>1</v>
      </c>
    </row>
    <row r="21" spans="1:89" ht="15" customHeight="1" x14ac:dyDescent="0.2">
      <c r="A21" s="169">
        <v>16</v>
      </c>
      <c r="B21" s="163">
        <f t="shared" si="18"/>
        <v>7605</v>
      </c>
      <c r="C21" s="167">
        <v>7681</v>
      </c>
      <c r="D21" s="168">
        <f t="shared" si="29"/>
        <v>76</v>
      </c>
      <c r="E21" s="225"/>
      <c r="F21" s="169">
        <v>16</v>
      </c>
      <c r="G21" s="163">
        <f t="shared" si="19"/>
        <v>3418</v>
      </c>
      <c r="H21" s="167">
        <v>3422</v>
      </c>
      <c r="I21" s="168">
        <f t="shared" si="51"/>
        <v>4</v>
      </c>
      <c r="J21" s="225"/>
      <c r="K21" s="169">
        <v>16</v>
      </c>
      <c r="L21" s="163">
        <f t="shared" si="21"/>
        <v>737998</v>
      </c>
      <c r="M21" s="167">
        <v>738166</v>
      </c>
      <c r="N21" s="168">
        <f t="shared" si="52"/>
        <v>168</v>
      </c>
      <c r="O21" s="162"/>
      <c r="P21" s="169">
        <v>16</v>
      </c>
      <c r="Q21" s="163">
        <f t="shared" si="23"/>
        <v>203000</v>
      </c>
      <c r="R21" s="167">
        <v>203077</v>
      </c>
      <c r="S21" s="168">
        <f t="shared" si="53"/>
        <v>77</v>
      </c>
      <c r="T21" s="160"/>
      <c r="U21" s="163">
        <v>16</v>
      </c>
      <c r="V21" s="253">
        <f t="shared" si="25"/>
        <v>325</v>
      </c>
      <c r="W21" s="164">
        <f>'Maldives at LG Daily'!I20</f>
        <v>34</v>
      </c>
      <c r="X21" s="171"/>
      <c r="Z21" s="245">
        <v>16</v>
      </c>
      <c r="AA21" s="168">
        <f t="shared" si="30"/>
        <v>36155</v>
      </c>
      <c r="AB21" s="168">
        <v>36159</v>
      </c>
      <c r="AC21" s="243">
        <f t="shared" si="26"/>
        <v>4</v>
      </c>
      <c r="AD21" s="251">
        <f t="shared" si="31"/>
        <v>7637</v>
      </c>
      <c r="AE21" s="168">
        <v>7634</v>
      </c>
      <c r="AF21" s="243">
        <f t="shared" si="27"/>
        <v>-3</v>
      </c>
      <c r="AG21" s="251">
        <f t="shared" si="32"/>
        <v>5311</v>
      </c>
      <c r="AH21" s="168">
        <v>5318</v>
      </c>
      <c r="AI21" s="243">
        <f t="shared" si="28"/>
        <v>7</v>
      </c>
      <c r="AJ21" s="251">
        <f t="shared" si="33"/>
        <v>13349</v>
      </c>
      <c r="AK21" s="168">
        <v>13369</v>
      </c>
      <c r="AL21" s="243">
        <f t="shared" si="0"/>
        <v>20</v>
      </c>
      <c r="AM21" s="251">
        <f t="shared" si="34"/>
        <v>31528</v>
      </c>
      <c r="AN21" s="168">
        <v>31535</v>
      </c>
      <c r="AO21" s="243">
        <f t="shared" si="1"/>
        <v>7</v>
      </c>
      <c r="AP21" s="251">
        <f t="shared" si="35"/>
        <v>5708</v>
      </c>
      <c r="AQ21" s="168">
        <v>5708</v>
      </c>
      <c r="AR21" s="243">
        <f t="shared" si="2"/>
        <v>0</v>
      </c>
      <c r="AS21" s="251">
        <f t="shared" si="36"/>
        <v>21419</v>
      </c>
      <c r="AT21" s="168">
        <v>21419</v>
      </c>
      <c r="AU21" s="243">
        <f t="shared" si="3"/>
        <v>0</v>
      </c>
      <c r="AV21" s="251">
        <f t="shared" si="37"/>
        <v>5618</v>
      </c>
      <c r="AW21" s="168">
        <v>5620</v>
      </c>
      <c r="AX21" s="243">
        <f t="shared" si="4"/>
        <v>2</v>
      </c>
      <c r="AY21" s="251">
        <f t="shared" si="38"/>
        <v>3258</v>
      </c>
      <c r="AZ21" s="168">
        <v>3258</v>
      </c>
      <c r="BA21" s="243">
        <f t="shared" si="5"/>
        <v>0</v>
      </c>
      <c r="BB21" s="251">
        <f t="shared" si="39"/>
        <v>1512</v>
      </c>
      <c r="BC21" s="168">
        <v>1512</v>
      </c>
      <c r="BD21" s="243">
        <f t="shared" si="6"/>
        <v>0</v>
      </c>
      <c r="BE21" s="251">
        <f t="shared" si="40"/>
        <v>26472</v>
      </c>
      <c r="BF21" s="168">
        <v>26473</v>
      </c>
      <c r="BG21" s="243">
        <f t="shared" si="7"/>
        <v>1</v>
      </c>
      <c r="BH21" s="251">
        <f t="shared" si="41"/>
        <v>2287</v>
      </c>
      <c r="BI21" s="168">
        <v>2288</v>
      </c>
      <c r="BJ21" s="243">
        <f t="shared" si="8"/>
        <v>1</v>
      </c>
      <c r="BK21" s="251">
        <f t="shared" si="42"/>
        <v>70213</v>
      </c>
      <c r="BL21" s="168">
        <v>70213</v>
      </c>
      <c r="BM21" s="243">
        <f t="shared" si="9"/>
        <v>0</v>
      </c>
      <c r="BN21" s="251">
        <f t="shared" si="43"/>
        <v>23003</v>
      </c>
      <c r="BO21" s="168">
        <v>23003</v>
      </c>
      <c r="BP21" s="243">
        <f t="shared" si="10"/>
        <v>0</v>
      </c>
      <c r="BQ21" s="251">
        <f t="shared" si="44"/>
        <v>12333</v>
      </c>
      <c r="BR21" s="168">
        <v>12334</v>
      </c>
      <c r="BS21" s="243">
        <f t="shared" si="11"/>
        <v>1</v>
      </c>
      <c r="BT21" s="251">
        <f t="shared" si="45"/>
        <v>16804</v>
      </c>
      <c r="BU21" s="168">
        <v>16805</v>
      </c>
      <c r="BV21" s="243">
        <f t="shared" si="12"/>
        <v>1</v>
      </c>
      <c r="BW21" s="251">
        <f t="shared" si="46"/>
        <v>19248</v>
      </c>
      <c r="BX21" s="168">
        <v>19248</v>
      </c>
      <c r="BY21" s="243">
        <f t="shared" si="13"/>
        <v>0</v>
      </c>
      <c r="BZ21" s="251">
        <f t="shared" si="47"/>
        <v>8244</v>
      </c>
      <c r="CA21" s="168">
        <v>8248</v>
      </c>
      <c r="CB21" s="243">
        <f t="shared" si="14"/>
        <v>4</v>
      </c>
      <c r="CC21" s="251">
        <f t="shared" si="48"/>
        <v>17214</v>
      </c>
      <c r="CD21" s="168">
        <v>17239</v>
      </c>
      <c r="CE21" s="243">
        <f t="shared" si="15"/>
        <v>25</v>
      </c>
      <c r="CF21" s="251">
        <f t="shared" si="49"/>
        <v>1694</v>
      </c>
      <c r="CG21" s="168">
        <v>1717</v>
      </c>
      <c r="CH21" s="243">
        <f t="shared" si="16"/>
        <v>23</v>
      </c>
      <c r="CI21" s="251">
        <f t="shared" si="50"/>
        <v>9395</v>
      </c>
      <c r="CJ21" s="168">
        <v>9395</v>
      </c>
      <c r="CK21" s="243">
        <f t="shared" si="17"/>
        <v>0</v>
      </c>
    </row>
    <row r="22" spans="1:89" ht="15" customHeight="1" x14ac:dyDescent="0.2">
      <c r="A22" s="169">
        <v>17</v>
      </c>
      <c r="B22" s="163">
        <f t="shared" si="18"/>
        <v>7681</v>
      </c>
      <c r="C22" s="167">
        <v>7774</v>
      </c>
      <c r="D22" s="168">
        <f t="shared" si="29"/>
        <v>93</v>
      </c>
      <c r="E22" s="225"/>
      <c r="F22" s="169">
        <v>17</v>
      </c>
      <c r="G22" s="163">
        <f t="shared" si="19"/>
        <v>3422</v>
      </c>
      <c r="H22" s="167">
        <v>3422</v>
      </c>
      <c r="I22" s="168">
        <f t="shared" si="51"/>
        <v>0</v>
      </c>
      <c r="J22" s="225"/>
      <c r="K22" s="169">
        <v>17</v>
      </c>
      <c r="L22" s="163">
        <f t="shared" si="21"/>
        <v>738166</v>
      </c>
      <c r="M22" s="167">
        <v>738369</v>
      </c>
      <c r="N22" s="168">
        <f t="shared" si="52"/>
        <v>203</v>
      </c>
      <c r="O22" s="162"/>
      <c r="P22" s="169">
        <v>17</v>
      </c>
      <c r="Q22" s="163">
        <f t="shared" si="23"/>
        <v>203077</v>
      </c>
      <c r="R22" s="167">
        <v>203168</v>
      </c>
      <c r="S22" s="168">
        <f t="shared" si="53"/>
        <v>91</v>
      </c>
      <c r="T22" s="160"/>
      <c r="U22" s="169">
        <v>17</v>
      </c>
      <c r="V22" s="253">
        <f t="shared" si="25"/>
        <v>387</v>
      </c>
      <c r="W22" s="164">
        <f>'Maldives at LG Daily'!I21</f>
        <v>31</v>
      </c>
      <c r="X22" s="171"/>
      <c r="Z22" s="245">
        <v>17</v>
      </c>
      <c r="AA22" s="168">
        <f t="shared" si="30"/>
        <v>36159</v>
      </c>
      <c r="AB22" s="168">
        <v>36170</v>
      </c>
      <c r="AC22" s="243">
        <f t="shared" si="26"/>
        <v>11</v>
      </c>
      <c r="AD22" s="251">
        <f t="shared" si="31"/>
        <v>7634</v>
      </c>
      <c r="AE22" s="168">
        <v>7639</v>
      </c>
      <c r="AF22" s="243">
        <f t="shared" si="27"/>
        <v>5</v>
      </c>
      <c r="AG22" s="251">
        <f t="shared" si="32"/>
        <v>5318</v>
      </c>
      <c r="AH22" s="168">
        <v>5325</v>
      </c>
      <c r="AI22" s="243">
        <f t="shared" si="28"/>
        <v>7</v>
      </c>
      <c r="AJ22" s="251">
        <f t="shared" si="33"/>
        <v>13369</v>
      </c>
      <c r="AK22" s="168">
        <v>13379</v>
      </c>
      <c r="AL22" s="243">
        <f t="shared" si="0"/>
        <v>10</v>
      </c>
      <c r="AM22" s="251">
        <f t="shared" si="34"/>
        <v>31535</v>
      </c>
      <c r="AN22" s="168">
        <v>31542</v>
      </c>
      <c r="AO22" s="243">
        <f t="shared" si="1"/>
        <v>7</v>
      </c>
      <c r="AP22" s="251">
        <f t="shared" si="35"/>
        <v>5708</v>
      </c>
      <c r="AQ22" s="168">
        <v>5719</v>
      </c>
      <c r="AR22" s="243">
        <f t="shared" si="2"/>
        <v>11</v>
      </c>
      <c r="AS22" s="251">
        <f t="shared" si="36"/>
        <v>21419</v>
      </c>
      <c r="AT22" s="168">
        <v>21419</v>
      </c>
      <c r="AU22" s="243">
        <f t="shared" si="3"/>
        <v>0</v>
      </c>
      <c r="AV22" s="251">
        <f t="shared" si="37"/>
        <v>5620</v>
      </c>
      <c r="AW22" s="168">
        <v>5626</v>
      </c>
      <c r="AX22" s="243">
        <f t="shared" si="4"/>
        <v>6</v>
      </c>
      <c r="AY22" s="251">
        <f t="shared" si="38"/>
        <v>3258</v>
      </c>
      <c r="AZ22" s="168">
        <v>3261</v>
      </c>
      <c r="BA22" s="243">
        <f t="shared" si="5"/>
        <v>3</v>
      </c>
      <c r="BB22" s="251">
        <f t="shared" si="39"/>
        <v>1512</v>
      </c>
      <c r="BC22" s="168">
        <v>1512</v>
      </c>
      <c r="BD22" s="243">
        <f t="shared" si="6"/>
        <v>0</v>
      </c>
      <c r="BE22" s="251">
        <f t="shared" si="40"/>
        <v>26473</v>
      </c>
      <c r="BF22" s="168">
        <v>26474</v>
      </c>
      <c r="BG22" s="243">
        <f t="shared" si="7"/>
        <v>1</v>
      </c>
      <c r="BH22" s="251">
        <f t="shared" si="41"/>
        <v>2288</v>
      </c>
      <c r="BI22" s="168">
        <v>2290</v>
      </c>
      <c r="BJ22" s="243">
        <f t="shared" si="8"/>
        <v>2</v>
      </c>
      <c r="BK22" s="251">
        <f t="shared" si="42"/>
        <v>70213</v>
      </c>
      <c r="BL22" s="168">
        <v>70258</v>
      </c>
      <c r="BM22" s="243">
        <f t="shared" si="9"/>
        <v>45</v>
      </c>
      <c r="BN22" s="251">
        <f t="shared" si="43"/>
        <v>23003</v>
      </c>
      <c r="BO22" s="168">
        <v>23005</v>
      </c>
      <c r="BP22" s="243">
        <f t="shared" si="10"/>
        <v>2</v>
      </c>
      <c r="BQ22" s="251">
        <f t="shared" si="44"/>
        <v>12334</v>
      </c>
      <c r="BR22" s="168">
        <v>12334</v>
      </c>
      <c r="BS22" s="243">
        <f t="shared" si="11"/>
        <v>0</v>
      </c>
      <c r="BT22" s="251">
        <f t="shared" si="45"/>
        <v>16805</v>
      </c>
      <c r="BU22" s="168">
        <v>16805</v>
      </c>
      <c r="BV22" s="243">
        <f t="shared" si="12"/>
        <v>0</v>
      </c>
      <c r="BW22" s="251">
        <f t="shared" si="46"/>
        <v>19248</v>
      </c>
      <c r="BX22" s="168">
        <v>19248</v>
      </c>
      <c r="BY22" s="243">
        <f t="shared" si="13"/>
        <v>0</v>
      </c>
      <c r="BZ22" s="251">
        <f t="shared" si="47"/>
        <v>8248</v>
      </c>
      <c r="CA22" s="168">
        <v>8252</v>
      </c>
      <c r="CB22" s="243">
        <f t="shared" si="14"/>
        <v>4</v>
      </c>
      <c r="CC22" s="251">
        <f t="shared" si="48"/>
        <v>17239</v>
      </c>
      <c r="CD22" s="168">
        <v>17239</v>
      </c>
      <c r="CE22" s="243">
        <f t="shared" si="15"/>
        <v>0</v>
      </c>
      <c r="CF22" s="251">
        <f t="shared" si="49"/>
        <v>1717</v>
      </c>
      <c r="CG22" s="168">
        <v>1719</v>
      </c>
      <c r="CH22" s="243">
        <f t="shared" si="16"/>
        <v>2</v>
      </c>
      <c r="CI22" s="251">
        <f t="shared" si="50"/>
        <v>9395</v>
      </c>
      <c r="CJ22" s="168">
        <v>9399</v>
      </c>
      <c r="CK22" s="243">
        <f t="shared" si="17"/>
        <v>4</v>
      </c>
    </row>
    <row r="23" spans="1:89" ht="15" customHeight="1" x14ac:dyDescent="0.2">
      <c r="A23" s="169">
        <v>18</v>
      </c>
      <c r="B23" s="163">
        <f t="shared" si="18"/>
        <v>7774</v>
      </c>
      <c r="C23" s="167">
        <v>7817</v>
      </c>
      <c r="D23" s="168">
        <f t="shared" si="29"/>
        <v>43</v>
      </c>
      <c r="E23" s="225"/>
      <c r="F23" s="169">
        <v>18</v>
      </c>
      <c r="G23" s="163">
        <f t="shared" si="19"/>
        <v>3422</v>
      </c>
      <c r="H23" s="167">
        <v>3422</v>
      </c>
      <c r="I23" s="168">
        <f t="shared" si="51"/>
        <v>0</v>
      </c>
      <c r="J23" s="225"/>
      <c r="K23" s="169">
        <v>18</v>
      </c>
      <c r="L23" s="163">
        <f t="shared" si="21"/>
        <v>738369</v>
      </c>
      <c r="M23" s="167">
        <v>738594</v>
      </c>
      <c r="N23" s="168">
        <f t="shared" si="52"/>
        <v>225</v>
      </c>
      <c r="O23" s="162"/>
      <c r="P23" s="169">
        <v>18</v>
      </c>
      <c r="Q23" s="163">
        <f t="shared" si="23"/>
        <v>203168</v>
      </c>
      <c r="R23" s="167">
        <v>203258</v>
      </c>
      <c r="S23" s="168">
        <f t="shared" si="53"/>
        <v>90</v>
      </c>
      <c r="T23" s="160"/>
      <c r="U23" s="163">
        <v>18</v>
      </c>
      <c r="V23" s="253">
        <f t="shared" si="25"/>
        <v>358</v>
      </c>
      <c r="W23" s="164">
        <f>'Maldives at LG Daily'!I22</f>
        <v>40</v>
      </c>
      <c r="X23" s="171"/>
      <c r="Z23" s="245">
        <v>18</v>
      </c>
      <c r="AA23" s="168">
        <f t="shared" si="30"/>
        <v>36170</v>
      </c>
      <c r="AB23" s="168">
        <v>36194</v>
      </c>
      <c r="AC23" s="243">
        <f t="shared" si="26"/>
        <v>24</v>
      </c>
      <c r="AD23" s="251">
        <f t="shared" si="31"/>
        <v>7639</v>
      </c>
      <c r="AE23" s="168">
        <v>7645</v>
      </c>
      <c r="AF23" s="243">
        <f t="shared" si="27"/>
        <v>6</v>
      </c>
      <c r="AG23" s="251">
        <f t="shared" si="32"/>
        <v>5325</v>
      </c>
      <c r="AH23" s="168">
        <v>5332</v>
      </c>
      <c r="AI23" s="243">
        <f t="shared" si="28"/>
        <v>7</v>
      </c>
      <c r="AJ23" s="251">
        <f t="shared" si="33"/>
        <v>13379</v>
      </c>
      <c r="AK23" s="168">
        <v>13391</v>
      </c>
      <c r="AL23" s="243">
        <f t="shared" si="0"/>
        <v>12</v>
      </c>
      <c r="AM23" s="251">
        <f t="shared" si="34"/>
        <v>31542</v>
      </c>
      <c r="AN23" s="168">
        <v>31549</v>
      </c>
      <c r="AO23" s="243">
        <f t="shared" si="1"/>
        <v>7</v>
      </c>
      <c r="AP23" s="251">
        <f t="shared" si="35"/>
        <v>5719</v>
      </c>
      <c r="AQ23" s="168">
        <v>5726</v>
      </c>
      <c r="AR23" s="243">
        <f t="shared" si="2"/>
        <v>7</v>
      </c>
      <c r="AS23" s="251">
        <f t="shared" si="36"/>
        <v>21419</v>
      </c>
      <c r="AT23" s="168">
        <v>21419</v>
      </c>
      <c r="AU23" s="243">
        <f t="shared" si="3"/>
        <v>0</v>
      </c>
      <c r="AV23" s="251">
        <f t="shared" si="37"/>
        <v>5626</v>
      </c>
      <c r="AW23" s="168">
        <v>5632</v>
      </c>
      <c r="AX23" s="243">
        <f t="shared" si="4"/>
        <v>6</v>
      </c>
      <c r="AY23" s="251">
        <f t="shared" si="38"/>
        <v>3261</v>
      </c>
      <c r="AZ23" s="168">
        <v>3262</v>
      </c>
      <c r="BA23" s="243">
        <f t="shared" si="5"/>
        <v>1</v>
      </c>
      <c r="BB23" s="251">
        <f t="shared" si="39"/>
        <v>1512</v>
      </c>
      <c r="BC23" s="168">
        <v>1512</v>
      </c>
      <c r="BD23" s="243">
        <f t="shared" si="6"/>
        <v>0</v>
      </c>
      <c r="BE23" s="251">
        <f t="shared" si="40"/>
        <v>26474</v>
      </c>
      <c r="BF23" s="168">
        <v>26478</v>
      </c>
      <c r="BG23" s="243">
        <f t="shared" si="7"/>
        <v>4</v>
      </c>
      <c r="BH23" s="251">
        <f t="shared" si="41"/>
        <v>2290</v>
      </c>
      <c r="BI23" s="168">
        <v>2296</v>
      </c>
      <c r="BJ23" s="243">
        <f t="shared" si="8"/>
        <v>6</v>
      </c>
      <c r="BK23" s="251">
        <f t="shared" si="42"/>
        <v>70258</v>
      </c>
      <c r="BL23" s="168">
        <v>70281</v>
      </c>
      <c r="BM23" s="243">
        <f t="shared" si="9"/>
        <v>23</v>
      </c>
      <c r="BN23" s="251">
        <f t="shared" si="43"/>
        <v>23005</v>
      </c>
      <c r="BO23" s="168">
        <v>23008</v>
      </c>
      <c r="BP23" s="243">
        <f t="shared" si="10"/>
        <v>3</v>
      </c>
      <c r="BQ23" s="251">
        <f t="shared" si="44"/>
        <v>12334</v>
      </c>
      <c r="BR23" s="168">
        <v>12334</v>
      </c>
      <c r="BS23" s="243">
        <f t="shared" si="11"/>
        <v>0</v>
      </c>
      <c r="BT23" s="251">
        <f t="shared" si="45"/>
        <v>16805</v>
      </c>
      <c r="BU23" s="168">
        <v>16806</v>
      </c>
      <c r="BV23" s="243">
        <f t="shared" si="12"/>
        <v>1</v>
      </c>
      <c r="BW23" s="251">
        <f t="shared" si="46"/>
        <v>19248</v>
      </c>
      <c r="BX23" s="168">
        <v>19250</v>
      </c>
      <c r="BY23" s="243">
        <f t="shared" si="13"/>
        <v>2</v>
      </c>
      <c r="BZ23" s="251">
        <f t="shared" si="47"/>
        <v>8252</v>
      </c>
      <c r="CA23" s="168">
        <v>8255</v>
      </c>
      <c r="CB23" s="243">
        <f t="shared" si="14"/>
        <v>3</v>
      </c>
      <c r="CC23" s="251">
        <f t="shared" si="48"/>
        <v>17239</v>
      </c>
      <c r="CD23" s="168">
        <v>17239</v>
      </c>
      <c r="CE23" s="243">
        <f t="shared" si="15"/>
        <v>0</v>
      </c>
      <c r="CF23" s="251">
        <f t="shared" si="49"/>
        <v>1719</v>
      </c>
      <c r="CG23" s="168">
        <v>1720</v>
      </c>
      <c r="CH23" s="243">
        <f t="shared" si="16"/>
        <v>1</v>
      </c>
      <c r="CI23" s="251">
        <f t="shared" si="50"/>
        <v>9399</v>
      </c>
      <c r="CJ23" s="168">
        <v>9399</v>
      </c>
      <c r="CK23" s="243">
        <f t="shared" si="17"/>
        <v>0</v>
      </c>
    </row>
    <row r="24" spans="1:89" ht="15" customHeight="1" x14ac:dyDescent="0.2">
      <c r="A24" s="169">
        <v>19</v>
      </c>
      <c r="B24" s="163">
        <f t="shared" si="18"/>
        <v>7817</v>
      </c>
      <c r="C24" s="167">
        <v>7852</v>
      </c>
      <c r="D24" s="168">
        <f t="shared" si="29"/>
        <v>35</v>
      </c>
      <c r="E24" s="225"/>
      <c r="F24" s="169">
        <v>19</v>
      </c>
      <c r="G24" s="163">
        <f t="shared" si="19"/>
        <v>3422</v>
      </c>
      <c r="H24" s="167">
        <v>3438</v>
      </c>
      <c r="I24" s="168">
        <f t="shared" si="51"/>
        <v>16</v>
      </c>
      <c r="J24" s="225"/>
      <c r="K24" s="169">
        <v>19</v>
      </c>
      <c r="L24" s="163">
        <f t="shared" si="21"/>
        <v>738594</v>
      </c>
      <c r="M24" s="167">
        <v>738798</v>
      </c>
      <c r="N24" s="168">
        <f t="shared" si="52"/>
        <v>204</v>
      </c>
      <c r="O24" s="162"/>
      <c r="P24" s="169">
        <v>19</v>
      </c>
      <c r="Q24" s="163">
        <f t="shared" si="23"/>
        <v>203258</v>
      </c>
      <c r="R24" s="167">
        <v>203370</v>
      </c>
      <c r="S24" s="168">
        <f t="shared" si="53"/>
        <v>112</v>
      </c>
      <c r="T24" s="160"/>
      <c r="U24" s="163">
        <v>19</v>
      </c>
      <c r="V24" s="253">
        <f t="shared" si="25"/>
        <v>367</v>
      </c>
      <c r="W24" s="164">
        <f>'Maldives at LG Daily'!I23</f>
        <v>36</v>
      </c>
      <c r="X24" s="171"/>
      <c r="Z24" s="245">
        <v>19</v>
      </c>
      <c r="AA24" s="168">
        <f t="shared" si="30"/>
        <v>36194</v>
      </c>
      <c r="AB24" s="168">
        <v>36213</v>
      </c>
      <c r="AC24" s="243">
        <f t="shared" si="26"/>
        <v>19</v>
      </c>
      <c r="AD24" s="251">
        <f t="shared" si="31"/>
        <v>7645</v>
      </c>
      <c r="AE24" s="168">
        <v>7650</v>
      </c>
      <c r="AF24" s="243">
        <f t="shared" si="27"/>
        <v>5</v>
      </c>
      <c r="AG24" s="251">
        <f t="shared" si="32"/>
        <v>5332</v>
      </c>
      <c r="AH24" s="168">
        <v>5339</v>
      </c>
      <c r="AI24" s="243">
        <f t="shared" si="28"/>
        <v>7</v>
      </c>
      <c r="AJ24" s="251">
        <f t="shared" si="33"/>
        <v>13391</v>
      </c>
      <c r="AK24" s="168">
        <v>13402</v>
      </c>
      <c r="AL24" s="243">
        <f t="shared" si="0"/>
        <v>11</v>
      </c>
      <c r="AM24" s="251">
        <f t="shared" si="34"/>
        <v>31549</v>
      </c>
      <c r="AN24" s="168">
        <v>31557</v>
      </c>
      <c r="AO24" s="243">
        <f t="shared" si="1"/>
        <v>8</v>
      </c>
      <c r="AP24" s="251">
        <f t="shared" si="35"/>
        <v>5726</v>
      </c>
      <c r="AQ24" s="168">
        <v>5732</v>
      </c>
      <c r="AR24" s="243">
        <f t="shared" si="2"/>
        <v>6</v>
      </c>
      <c r="AS24" s="251">
        <f t="shared" si="36"/>
        <v>21419</v>
      </c>
      <c r="AT24" s="168">
        <v>21419</v>
      </c>
      <c r="AU24" s="243">
        <f t="shared" si="3"/>
        <v>0</v>
      </c>
      <c r="AV24" s="251">
        <f t="shared" si="37"/>
        <v>5632</v>
      </c>
      <c r="AW24" s="168">
        <v>5640</v>
      </c>
      <c r="AX24" s="243">
        <f t="shared" si="4"/>
        <v>8</v>
      </c>
      <c r="AY24" s="251">
        <f t="shared" si="38"/>
        <v>3262</v>
      </c>
      <c r="AZ24" s="168">
        <v>3263</v>
      </c>
      <c r="BA24" s="243">
        <f t="shared" si="5"/>
        <v>1</v>
      </c>
      <c r="BB24" s="251">
        <f t="shared" si="39"/>
        <v>1512</v>
      </c>
      <c r="BC24" s="168">
        <v>1513</v>
      </c>
      <c r="BD24" s="243">
        <f t="shared" si="6"/>
        <v>1</v>
      </c>
      <c r="BE24" s="251">
        <f t="shared" si="40"/>
        <v>26478</v>
      </c>
      <c r="BF24" s="168">
        <v>26480</v>
      </c>
      <c r="BG24" s="243">
        <f t="shared" si="7"/>
        <v>2</v>
      </c>
      <c r="BH24" s="251">
        <f t="shared" si="41"/>
        <v>2296</v>
      </c>
      <c r="BI24" s="168">
        <v>2296</v>
      </c>
      <c r="BJ24" s="243">
        <f t="shared" si="8"/>
        <v>0</v>
      </c>
      <c r="BK24" s="251">
        <f t="shared" si="42"/>
        <v>70281</v>
      </c>
      <c r="BL24" s="168">
        <v>70303</v>
      </c>
      <c r="BM24" s="243">
        <f t="shared" si="9"/>
        <v>22</v>
      </c>
      <c r="BN24" s="251">
        <f t="shared" si="43"/>
        <v>23008</v>
      </c>
      <c r="BO24" s="168">
        <v>23011</v>
      </c>
      <c r="BP24" s="243">
        <f t="shared" si="10"/>
        <v>3</v>
      </c>
      <c r="BQ24" s="251">
        <f t="shared" si="44"/>
        <v>12334</v>
      </c>
      <c r="BR24" s="168">
        <v>12335</v>
      </c>
      <c r="BS24" s="243">
        <f t="shared" si="11"/>
        <v>1</v>
      </c>
      <c r="BT24" s="251">
        <f t="shared" si="45"/>
        <v>16806</v>
      </c>
      <c r="BU24" s="168">
        <v>16806</v>
      </c>
      <c r="BV24" s="243">
        <f t="shared" si="12"/>
        <v>0</v>
      </c>
      <c r="BW24" s="251">
        <f t="shared" si="46"/>
        <v>19250</v>
      </c>
      <c r="BX24" s="168">
        <v>19252</v>
      </c>
      <c r="BY24" s="243">
        <f t="shared" si="13"/>
        <v>2</v>
      </c>
      <c r="BZ24" s="251">
        <f t="shared" si="47"/>
        <v>8255</v>
      </c>
      <c r="CA24" s="168">
        <v>8259</v>
      </c>
      <c r="CB24" s="243">
        <f t="shared" si="14"/>
        <v>4</v>
      </c>
      <c r="CC24" s="251">
        <f t="shared" si="48"/>
        <v>17239</v>
      </c>
      <c r="CD24" s="168">
        <v>17288</v>
      </c>
      <c r="CE24" s="243">
        <f t="shared" si="15"/>
        <v>49</v>
      </c>
      <c r="CF24" s="251">
        <f t="shared" si="49"/>
        <v>1720</v>
      </c>
      <c r="CG24" s="168">
        <v>1722</v>
      </c>
      <c r="CH24" s="243">
        <f t="shared" si="16"/>
        <v>2</v>
      </c>
      <c r="CI24" s="251">
        <f t="shared" si="50"/>
        <v>9399</v>
      </c>
      <c r="CJ24" s="168">
        <v>9403</v>
      </c>
      <c r="CK24" s="243">
        <f t="shared" si="17"/>
        <v>4</v>
      </c>
    </row>
    <row r="25" spans="1:89" ht="15" customHeight="1" x14ac:dyDescent="0.2">
      <c r="A25" s="169">
        <v>20</v>
      </c>
      <c r="B25" s="163">
        <f t="shared" si="18"/>
        <v>7852</v>
      </c>
      <c r="C25" s="167">
        <f>7852+88</f>
        <v>7940</v>
      </c>
      <c r="D25" s="168">
        <f>C25-B25</f>
        <v>88</v>
      </c>
      <c r="E25" s="225"/>
      <c r="F25" s="169">
        <v>20</v>
      </c>
      <c r="G25" s="163">
        <f t="shared" si="19"/>
        <v>3438</v>
      </c>
      <c r="H25" s="167">
        <v>3448</v>
      </c>
      <c r="I25" s="168">
        <f>H25-G25</f>
        <v>10</v>
      </c>
      <c r="J25" s="225"/>
      <c r="K25" s="169">
        <v>20</v>
      </c>
      <c r="L25" s="163">
        <f t="shared" si="21"/>
        <v>738798</v>
      </c>
      <c r="M25" s="167">
        <v>738963</v>
      </c>
      <c r="N25" s="168">
        <f>M25-L25</f>
        <v>165</v>
      </c>
      <c r="O25" s="162"/>
      <c r="P25" s="169">
        <v>20</v>
      </c>
      <c r="Q25" s="163">
        <f t="shared" si="23"/>
        <v>203370</v>
      </c>
      <c r="R25" s="167">
        <v>203463</v>
      </c>
      <c r="S25" s="168">
        <f>R25-Q25</f>
        <v>93</v>
      </c>
      <c r="T25" s="160"/>
      <c r="U25" s="169">
        <v>20</v>
      </c>
      <c r="V25" s="253">
        <f t="shared" si="25"/>
        <v>356</v>
      </c>
      <c r="W25" s="164">
        <f>'Maldives at LG Daily'!I24</f>
        <v>0</v>
      </c>
      <c r="X25" s="171"/>
      <c r="Z25" s="245">
        <v>20</v>
      </c>
      <c r="AA25" s="168">
        <f t="shared" si="30"/>
        <v>36213</v>
      </c>
      <c r="AB25" s="168">
        <v>36233</v>
      </c>
      <c r="AC25" s="243">
        <f t="shared" si="26"/>
        <v>20</v>
      </c>
      <c r="AD25" s="251">
        <f t="shared" si="31"/>
        <v>7650</v>
      </c>
      <c r="AE25" s="168">
        <v>7656</v>
      </c>
      <c r="AF25" s="243">
        <f t="shared" si="27"/>
        <v>6</v>
      </c>
      <c r="AG25" s="251">
        <f t="shared" si="32"/>
        <v>5339</v>
      </c>
      <c r="AH25" s="168">
        <v>5346</v>
      </c>
      <c r="AI25" s="243">
        <f t="shared" si="28"/>
        <v>7</v>
      </c>
      <c r="AJ25" s="251">
        <f t="shared" si="33"/>
        <v>13402</v>
      </c>
      <c r="AK25" s="168">
        <v>13413</v>
      </c>
      <c r="AL25" s="243">
        <f t="shared" si="0"/>
        <v>11</v>
      </c>
      <c r="AM25" s="251">
        <f t="shared" si="34"/>
        <v>31557</v>
      </c>
      <c r="AN25" s="168">
        <v>31563</v>
      </c>
      <c r="AO25" s="243">
        <f t="shared" si="1"/>
        <v>6</v>
      </c>
      <c r="AP25" s="251">
        <f t="shared" si="35"/>
        <v>5732</v>
      </c>
      <c r="AQ25" s="168">
        <v>5738</v>
      </c>
      <c r="AR25" s="243">
        <f t="shared" si="2"/>
        <v>6</v>
      </c>
      <c r="AS25" s="251">
        <f t="shared" si="36"/>
        <v>21419</v>
      </c>
      <c r="AT25" s="168">
        <v>21419</v>
      </c>
      <c r="AU25" s="243">
        <f t="shared" si="3"/>
        <v>0</v>
      </c>
      <c r="AV25" s="251">
        <f t="shared" si="37"/>
        <v>5640</v>
      </c>
      <c r="AW25" s="168">
        <v>5648</v>
      </c>
      <c r="AX25" s="243">
        <f t="shared" si="4"/>
        <v>8</v>
      </c>
      <c r="AY25" s="251">
        <f t="shared" si="38"/>
        <v>3263</v>
      </c>
      <c r="AZ25" s="168">
        <v>3264</v>
      </c>
      <c r="BA25" s="243">
        <f t="shared" si="5"/>
        <v>1</v>
      </c>
      <c r="BB25" s="251">
        <f t="shared" si="39"/>
        <v>1513</v>
      </c>
      <c r="BC25" s="168">
        <v>1513</v>
      </c>
      <c r="BD25" s="243">
        <f t="shared" si="6"/>
        <v>0</v>
      </c>
      <c r="BE25" s="251">
        <f t="shared" si="40"/>
        <v>26480</v>
      </c>
      <c r="BF25" s="168">
        <v>26481</v>
      </c>
      <c r="BG25" s="243">
        <f t="shared" si="7"/>
        <v>1</v>
      </c>
      <c r="BH25" s="251">
        <f t="shared" si="41"/>
        <v>2296</v>
      </c>
      <c r="BI25" s="168">
        <v>2301</v>
      </c>
      <c r="BJ25" s="243">
        <f t="shared" si="8"/>
        <v>5</v>
      </c>
      <c r="BK25" s="251">
        <f t="shared" si="42"/>
        <v>70303</v>
      </c>
      <c r="BL25" s="168">
        <v>70324</v>
      </c>
      <c r="BM25" s="243">
        <f t="shared" si="9"/>
        <v>21</v>
      </c>
      <c r="BN25" s="251">
        <f t="shared" si="43"/>
        <v>23011</v>
      </c>
      <c r="BO25" s="168">
        <v>23015</v>
      </c>
      <c r="BP25" s="243">
        <f t="shared" si="10"/>
        <v>4</v>
      </c>
      <c r="BQ25" s="251">
        <f t="shared" si="44"/>
        <v>12335</v>
      </c>
      <c r="BR25" s="168">
        <v>12336</v>
      </c>
      <c r="BS25" s="243">
        <f t="shared" si="11"/>
        <v>1</v>
      </c>
      <c r="BT25" s="251">
        <f t="shared" si="45"/>
        <v>16806</v>
      </c>
      <c r="BU25" s="168">
        <v>16807</v>
      </c>
      <c r="BV25" s="243">
        <f t="shared" si="12"/>
        <v>1</v>
      </c>
      <c r="BW25" s="251">
        <f t="shared" si="46"/>
        <v>19252</v>
      </c>
      <c r="BX25" s="168">
        <v>19254</v>
      </c>
      <c r="BY25" s="243">
        <f t="shared" si="13"/>
        <v>2</v>
      </c>
      <c r="BZ25" s="251">
        <f t="shared" si="47"/>
        <v>8259</v>
      </c>
      <c r="CA25" s="168">
        <v>8262</v>
      </c>
      <c r="CB25" s="243">
        <f t="shared" si="14"/>
        <v>3</v>
      </c>
      <c r="CC25" s="251">
        <f t="shared" si="48"/>
        <v>17288</v>
      </c>
      <c r="CD25" s="168">
        <v>17308</v>
      </c>
      <c r="CE25" s="243">
        <f t="shared" si="15"/>
        <v>20</v>
      </c>
      <c r="CF25" s="251">
        <f t="shared" si="49"/>
        <v>1722</v>
      </c>
      <c r="CG25" s="168">
        <v>1723</v>
      </c>
      <c r="CH25" s="243">
        <f t="shared" si="16"/>
        <v>1</v>
      </c>
      <c r="CI25" s="251">
        <f t="shared" si="50"/>
        <v>9403</v>
      </c>
      <c r="CJ25" s="168">
        <v>9405</v>
      </c>
      <c r="CK25" s="243">
        <f t="shared" si="17"/>
        <v>2</v>
      </c>
    </row>
    <row r="26" spans="1:89" ht="15" customHeight="1" x14ac:dyDescent="0.2">
      <c r="A26" s="169">
        <v>21</v>
      </c>
      <c r="B26" s="163">
        <f t="shared" si="18"/>
        <v>7940</v>
      </c>
      <c r="C26" s="167">
        <v>8020</v>
      </c>
      <c r="D26" s="168">
        <f t="shared" si="29"/>
        <v>80</v>
      </c>
      <c r="E26" s="225"/>
      <c r="F26" s="169">
        <v>21</v>
      </c>
      <c r="G26" s="163">
        <f t="shared" si="19"/>
        <v>3448</v>
      </c>
      <c r="H26" s="167">
        <v>3457</v>
      </c>
      <c r="I26" s="168">
        <f t="shared" ref="I26:I29" si="54">H26-G26</f>
        <v>9</v>
      </c>
      <c r="J26" s="225"/>
      <c r="K26" s="169">
        <v>21</v>
      </c>
      <c r="L26" s="163">
        <f t="shared" si="21"/>
        <v>738963</v>
      </c>
      <c r="M26" s="167">
        <v>739120</v>
      </c>
      <c r="N26" s="168">
        <f t="shared" ref="N26:N29" si="55">M26-L26</f>
        <v>157</v>
      </c>
      <c r="O26" s="162"/>
      <c r="P26" s="169">
        <v>21</v>
      </c>
      <c r="Q26" s="163">
        <f t="shared" si="23"/>
        <v>203463</v>
      </c>
      <c r="R26" s="167">
        <v>203537</v>
      </c>
      <c r="S26" s="168">
        <f t="shared" ref="S26:S29" si="56">R26-Q26</f>
        <v>74</v>
      </c>
      <c r="T26" s="160"/>
      <c r="U26" s="163">
        <v>21</v>
      </c>
      <c r="V26" s="253">
        <f t="shared" si="25"/>
        <v>320</v>
      </c>
      <c r="W26" s="164">
        <f>'Maldives at LG Daily'!I25</f>
        <v>0</v>
      </c>
      <c r="X26" s="171"/>
      <c r="Z26" s="245">
        <v>21</v>
      </c>
      <c r="AA26" s="168">
        <f t="shared" si="30"/>
        <v>36233</v>
      </c>
      <c r="AB26" s="168"/>
      <c r="AC26" s="243">
        <f t="shared" si="26"/>
        <v>-36233</v>
      </c>
      <c r="AD26" s="251">
        <f t="shared" si="31"/>
        <v>7656</v>
      </c>
      <c r="AE26" s="168"/>
      <c r="AF26" s="243">
        <f t="shared" si="27"/>
        <v>-7656</v>
      </c>
      <c r="AG26" s="251">
        <f t="shared" si="32"/>
        <v>5346</v>
      </c>
      <c r="AH26" s="168"/>
      <c r="AI26" s="243">
        <f t="shared" si="28"/>
        <v>-5346</v>
      </c>
      <c r="AJ26" s="251">
        <f t="shared" si="33"/>
        <v>13413</v>
      </c>
      <c r="AK26" s="168"/>
      <c r="AL26" s="243">
        <f t="shared" si="0"/>
        <v>-13413</v>
      </c>
      <c r="AM26" s="251">
        <f t="shared" si="34"/>
        <v>31563</v>
      </c>
      <c r="AN26" s="168"/>
      <c r="AO26" s="243">
        <f t="shared" si="1"/>
        <v>-31563</v>
      </c>
      <c r="AP26" s="251">
        <f t="shared" si="35"/>
        <v>5738</v>
      </c>
      <c r="AQ26" s="168"/>
      <c r="AR26" s="243">
        <f t="shared" si="2"/>
        <v>-5738</v>
      </c>
      <c r="AS26" s="251">
        <f t="shared" si="36"/>
        <v>21419</v>
      </c>
      <c r="AT26" s="168"/>
      <c r="AU26" s="243">
        <f t="shared" si="3"/>
        <v>-21419</v>
      </c>
      <c r="AV26" s="251">
        <f t="shared" si="37"/>
        <v>5648</v>
      </c>
      <c r="AW26" s="168"/>
      <c r="AX26" s="243">
        <f t="shared" si="4"/>
        <v>-5648</v>
      </c>
      <c r="AY26" s="251">
        <f t="shared" si="38"/>
        <v>3264</v>
      </c>
      <c r="AZ26" s="168"/>
      <c r="BA26" s="243">
        <f t="shared" si="5"/>
        <v>-3264</v>
      </c>
      <c r="BB26" s="251">
        <f t="shared" si="39"/>
        <v>1513</v>
      </c>
      <c r="BC26" s="168"/>
      <c r="BD26" s="243">
        <f t="shared" si="6"/>
        <v>-1513</v>
      </c>
      <c r="BE26" s="251">
        <f t="shared" si="40"/>
        <v>26481</v>
      </c>
      <c r="BF26" s="168"/>
      <c r="BG26" s="243">
        <f t="shared" si="7"/>
        <v>-26481</v>
      </c>
      <c r="BH26" s="251">
        <f t="shared" si="41"/>
        <v>2301</v>
      </c>
      <c r="BI26" s="168"/>
      <c r="BJ26" s="243">
        <f t="shared" si="8"/>
        <v>-2301</v>
      </c>
      <c r="BK26" s="251">
        <f t="shared" si="42"/>
        <v>70324</v>
      </c>
      <c r="BL26" s="168"/>
      <c r="BM26" s="243">
        <f t="shared" si="9"/>
        <v>-70324</v>
      </c>
      <c r="BN26" s="251">
        <f t="shared" si="43"/>
        <v>23015</v>
      </c>
      <c r="BO26" s="168"/>
      <c r="BP26" s="243">
        <f t="shared" si="10"/>
        <v>-23015</v>
      </c>
      <c r="BQ26" s="251">
        <f t="shared" si="44"/>
        <v>12336</v>
      </c>
      <c r="BR26" s="168"/>
      <c r="BS26" s="243">
        <f t="shared" si="11"/>
        <v>-12336</v>
      </c>
      <c r="BT26" s="251">
        <f t="shared" si="45"/>
        <v>16807</v>
      </c>
      <c r="BU26" s="168"/>
      <c r="BV26" s="243">
        <f t="shared" si="12"/>
        <v>-16807</v>
      </c>
      <c r="BW26" s="251">
        <f t="shared" si="46"/>
        <v>19254</v>
      </c>
      <c r="BX26" s="168"/>
      <c r="BY26" s="243">
        <f t="shared" si="13"/>
        <v>-19254</v>
      </c>
      <c r="BZ26" s="251">
        <f t="shared" si="47"/>
        <v>8262</v>
      </c>
      <c r="CA26" s="168"/>
      <c r="CB26" s="243">
        <f t="shared" si="14"/>
        <v>-8262</v>
      </c>
      <c r="CC26" s="251">
        <f t="shared" si="48"/>
        <v>17308</v>
      </c>
      <c r="CD26" s="168"/>
      <c r="CE26" s="243">
        <f t="shared" si="15"/>
        <v>-17308</v>
      </c>
      <c r="CF26" s="251">
        <f t="shared" si="49"/>
        <v>1723</v>
      </c>
      <c r="CG26" s="168"/>
      <c r="CH26" s="243">
        <f t="shared" si="16"/>
        <v>-1723</v>
      </c>
      <c r="CI26" s="251">
        <f t="shared" si="50"/>
        <v>9405</v>
      </c>
      <c r="CJ26" s="168"/>
      <c r="CK26" s="243">
        <f t="shared" si="17"/>
        <v>-9405</v>
      </c>
    </row>
    <row r="27" spans="1:89" ht="15" customHeight="1" x14ac:dyDescent="0.2">
      <c r="A27" s="169">
        <v>22</v>
      </c>
      <c r="B27" s="163">
        <f t="shared" si="18"/>
        <v>8020</v>
      </c>
      <c r="C27" s="167"/>
      <c r="D27" s="168">
        <f>C27-B27</f>
        <v>-8020</v>
      </c>
      <c r="E27" s="225"/>
      <c r="F27" s="169">
        <v>22</v>
      </c>
      <c r="G27" s="163">
        <f t="shared" si="19"/>
        <v>3457</v>
      </c>
      <c r="H27" s="167"/>
      <c r="I27" s="168">
        <f t="shared" si="54"/>
        <v>-3457</v>
      </c>
      <c r="J27" s="225"/>
      <c r="K27" s="169">
        <v>22</v>
      </c>
      <c r="L27" s="163">
        <f t="shared" si="21"/>
        <v>739120</v>
      </c>
      <c r="M27" s="167"/>
      <c r="N27" s="168">
        <f t="shared" si="55"/>
        <v>-739120</v>
      </c>
      <c r="O27" s="162"/>
      <c r="P27" s="169">
        <v>22</v>
      </c>
      <c r="Q27" s="163">
        <f t="shared" si="23"/>
        <v>203537</v>
      </c>
      <c r="R27" s="167"/>
      <c r="S27" s="168">
        <f t="shared" si="56"/>
        <v>-203537</v>
      </c>
      <c r="T27" s="160"/>
      <c r="U27" s="163">
        <v>22</v>
      </c>
      <c r="V27" s="253">
        <f t="shared" si="25"/>
        <v>-954134</v>
      </c>
      <c r="W27" s="164">
        <f>'Maldives at LG Daily'!I26</f>
        <v>0</v>
      </c>
      <c r="X27" s="171"/>
      <c r="Z27" s="245">
        <v>22</v>
      </c>
      <c r="AA27" s="168">
        <f t="shared" si="30"/>
        <v>0</v>
      </c>
      <c r="AB27" s="168"/>
      <c r="AC27" s="243">
        <f t="shared" si="26"/>
        <v>0</v>
      </c>
      <c r="AD27" s="251">
        <f t="shared" si="31"/>
        <v>0</v>
      </c>
      <c r="AE27" s="168"/>
      <c r="AF27" s="243">
        <f t="shared" si="27"/>
        <v>0</v>
      </c>
      <c r="AG27" s="251">
        <f t="shared" si="32"/>
        <v>0</v>
      </c>
      <c r="AH27" s="168"/>
      <c r="AI27" s="243">
        <f t="shared" si="28"/>
        <v>0</v>
      </c>
      <c r="AJ27" s="251">
        <f t="shared" si="33"/>
        <v>0</v>
      </c>
      <c r="AK27" s="168"/>
      <c r="AL27" s="243">
        <f t="shared" si="0"/>
        <v>0</v>
      </c>
      <c r="AM27" s="251">
        <f t="shared" si="34"/>
        <v>0</v>
      </c>
      <c r="AN27" s="168"/>
      <c r="AO27" s="243">
        <f t="shared" si="1"/>
        <v>0</v>
      </c>
      <c r="AP27" s="251">
        <f t="shared" si="35"/>
        <v>0</v>
      </c>
      <c r="AQ27" s="168"/>
      <c r="AR27" s="243">
        <f t="shared" si="2"/>
        <v>0</v>
      </c>
      <c r="AS27" s="251">
        <f t="shared" si="36"/>
        <v>0</v>
      </c>
      <c r="AT27" s="168"/>
      <c r="AU27" s="243">
        <f t="shared" si="3"/>
        <v>0</v>
      </c>
      <c r="AV27" s="251">
        <f t="shared" si="37"/>
        <v>0</v>
      </c>
      <c r="AW27" s="168"/>
      <c r="AX27" s="243">
        <f t="shared" si="4"/>
        <v>0</v>
      </c>
      <c r="AY27" s="251">
        <f t="shared" si="38"/>
        <v>0</v>
      </c>
      <c r="AZ27" s="168"/>
      <c r="BA27" s="243">
        <f t="shared" si="5"/>
        <v>0</v>
      </c>
      <c r="BB27" s="251">
        <f t="shared" si="39"/>
        <v>0</v>
      </c>
      <c r="BC27" s="168"/>
      <c r="BD27" s="243">
        <f t="shared" si="6"/>
        <v>0</v>
      </c>
      <c r="BE27" s="251">
        <f t="shared" si="40"/>
        <v>0</v>
      </c>
      <c r="BF27" s="168"/>
      <c r="BG27" s="243">
        <f t="shared" si="7"/>
        <v>0</v>
      </c>
      <c r="BH27" s="251">
        <f t="shared" si="41"/>
        <v>0</v>
      </c>
      <c r="BI27" s="168"/>
      <c r="BJ27" s="243">
        <f t="shared" si="8"/>
        <v>0</v>
      </c>
      <c r="BK27" s="251">
        <f t="shared" si="42"/>
        <v>0</v>
      </c>
      <c r="BL27" s="168"/>
      <c r="BM27" s="243">
        <f t="shared" si="9"/>
        <v>0</v>
      </c>
      <c r="BN27" s="251">
        <f t="shared" si="43"/>
        <v>0</v>
      </c>
      <c r="BO27" s="168"/>
      <c r="BP27" s="243">
        <f t="shared" si="10"/>
        <v>0</v>
      </c>
      <c r="BQ27" s="251">
        <f t="shared" si="44"/>
        <v>0</v>
      </c>
      <c r="BR27" s="168"/>
      <c r="BS27" s="243">
        <f t="shared" si="11"/>
        <v>0</v>
      </c>
      <c r="BT27" s="251">
        <f t="shared" si="45"/>
        <v>0</v>
      </c>
      <c r="BU27" s="168"/>
      <c r="BV27" s="243">
        <f t="shared" si="12"/>
        <v>0</v>
      </c>
      <c r="BW27" s="251">
        <f t="shared" si="46"/>
        <v>0</v>
      </c>
      <c r="BX27" s="168"/>
      <c r="BY27" s="243">
        <f t="shared" si="13"/>
        <v>0</v>
      </c>
      <c r="BZ27" s="251">
        <f t="shared" si="47"/>
        <v>0</v>
      </c>
      <c r="CA27" s="168"/>
      <c r="CB27" s="243">
        <f t="shared" si="14"/>
        <v>0</v>
      </c>
      <c r="CC27" s="251">
        <f t="shared" si="48"/>
        <v>0</v>
      </c>
      <c r="CD27" s="168"/>
      <c r="CE27" s="243">
        <f t="shared" si="15"/>
        <v>0</v>
      </c>
      <c r="CF27" s="251">
        <f t="shared" si="49"/>
        <v>0</v>
      </c>
      <c r="CG27" s="168"/>
      <c r="CH27" s="243">
        <f t="shared" si="16"/>
        <v>0</v>
      </c>
      <c r="CI27" s="251">
        <f t="shared" si="50"/>
        <v>0</v>
      </c>
      <c r="CJ27" s="168"/>
      <c r="CK27" s="243">
        <f t="shared" si="17"/>
        <v>0</v>
      </c>
    </row>
    <row r="28" spans="1:89" ht="15" customHeight="1" x14ac:dyDescent="0.2">
      <c r="A28" s="169">
        <v>23</v>
      </c>
      <c r="B28" s="163">
        <f t="shared" si="18"/>
        <v>0</v>
      </c>
      <c r="C28" s="167"/>
      <c r="D28" s="168">
        <f t="shared" si="29"/>
        <v>0</v>
      </c>
      <c r="E28" s="225"/>
      <c r="F28" s="169">
        <v>23</v>
      </c>
      <c r="G28" s="163">
        <f t="shared" si="19"/>
        <v>0</v>
      </c>
      <c r="H28" s="167"/>
      <c r="I28" s="168">
        <f t="shared" si="54"/>
        <v>0</v>
      </c>
      <c r="J28" s="225"/>
      <c r="K28" s="169">
        <v>23</v>
      </c>
      <c r="L28" s="163">
        <f t="shared" si="21"/>
        <v>0</v>
      </c>
      <c r="M28" s="167"/>
      <c r="N28" s="168">
        <f t="shared" si="55"/>
        <v>0</v>
      </c>
      <c r="O28" s="162"/>
      <c r="P28" s="169">
        <v>23</v>
      </c>
      <c r="Q28" s="163">
        <f t="shared" si="23"/>
        <v>0</v>
      </c>
      <c r="R28" s="167"/>
      <c r="S28" s="168">
        <f t="shared" si="56"/>
        <v>0</v>
      </c>
      <c r="T28" s="160"/>
      <c r="U28" s="169">
        <v>23</v>
      </c>
      <c r="V28" s="253">
        <f t="shared" si="25"/>
        <v>0</v>
      </c>
      <c r="W28" s="164">
        <f>'Maldives at LG Daily'!I27</f>
        <v>0</v>
      </c>
      <c r="X28" s="171"/>
      <c r="Z28" s="245">
        <v>23</v>
      </c>
      <c r="AA28" s="168">
        <f t="shared" si="30"/>
        <v>0</v>
      </c>
      <c r="AB28" s="168"/>
      <c r="AC28" s="243">
        <f t="shared" si="26"/>
        <v>0</v>
      </c>
      <c r="AD28" s="251">
        <f t="shared" si="31"/>
        <v>0</v>
      </c>
      <c r="AE28" s="168"/>
      <c r="AF28" s="243">
        <f t="shared" si="27"/>
        <v>0</v>
      </c>
      <c r="AG28" s="251">
        <f t="shared" si="32"/>
        <v>0</v>
      </c>
      <c r="AH28" s="168"/>
      <c r="AI28" s="243">
        <f t="shared" si="28"/>
        <v>0</v>
      </c>
      <c r="AJ28" s="251">
        <f t="shared" si="33"/>
        <v>0</v>
      </c>
      <c r="AK28" s="168"/>
      <c r="AL28" s="243">
        <f t="shared" si="0"/>
        <v>0</v>
      </c>
      <c r="AM28" s="251">
        <f t="shared" si="34"/>
        <v>0</v>
      </c>
      <c r="AN28" s="168"/>
      <c r="AO28" s="243">
        <f t="shared" si="1"/>
        <v>0</v>
      </c>
      <c r="AP28" s="251">
        <f t="shared" si="35"/>
        <v>0</v>
      </c>
      <c r="AQ28" s="168"/>
      <c r="AR28" s="243">
        <f t="shared" si="2"/>
        <v>0</v>
      </c>
      <c r="AS28" s="251">
        <f t="shared" si="36"/>
        <v>0</v>
      </c>
      <c r="AT28" s="168"/>
      <c r="AU28" s="243">
        <f t="shared" si="3"/>
        <v>0</v>
      </c>
      <c r="AV28" s="251">
        <f t="shared" si="37"/>
        <v>0</v>
      </c>
      <c r="AW28" s="168"/>
      <c r="AX28" s="243">
        <f t="shared" si="4"/>
        <v>0</v>
      </c>
      <c r="AY28" s="251">
        <f t="shared" si="38"/>
        <v>0</v>
      </c>
      <c r="AZ28" s="168"/>
      <c r="BA28" s="243">
        <f t="shared" si="5"/>
        <v>0</v>
      </c>
      <c r="BB28" s="251">
        <f t="shared" si="39"/>
        <v>0</v>
      </c>
      <c r="BC28" s="168"/>
      <c r="BD28" s="243">
        <f t="shared" si="6"/>
        <v>0</v>
      </c>
      <c r="BE28" s="251">
        <f t="shared" si="40"/>
        <v>0</v>
      </c>
      <c r="BF28" s="168"/>
      <c r="BG28" s="243">
        <f t="shared" si="7"/>
        <v>0</v>
      </c>
      <c r="BH28" s="251">
        <f t="shared" si="41"/>
        <v>0</v>
      </c>
      <c r="BI28" s="168"/>
      <c r="BJ28" s="243">
        <f t="shared" si="8"/>
        <v>0</v>
      </c>
      <c r="BK28" s="251">
        <f t="shared" si="42"/>
        <v>0</v>
      </c>
      <c r="BL28" s="168"/>
      <c r="BM28" s="243">
        <f t="shared" si="9"/>
        <v>0</v>
      </c>
      <c r="BN28" s="251">
        <f t="shared" si="43"/>
        <v>0</v>
      </c>
      <c r="BO28" s="168"/>
      <c r="BP28" s="243">
        <f t="shared" si="10"/>
        <v>0</v>
      </c>
      <c r="BQ28" s="251">
        <f t="shared" si="44"/>
        <v>0</v>
      </c>
      <c r="BR28" s="168"/>
      <c r="BS28" s="243">
        <f t="shared" si="11"/>
        <v>0</v>
      </c>
      <c r="BT28" s="251">
        <f t="shared" si="45"/>
        <v>0</v>
      </c>
      <c r="BU28" s="168"/>
      <c r="BV28" s="243">
        <f t="shared" si="12"/>
        <v>0</v>
      </c>
      <c r="BW28" s="251">
        <f t="shared" si="46"/>
        <v>0</v>
      </c>
      <c r="BX28" s="168"/>
      <c r="BY28" s="243">
        <f t="shared" si="13"/>
        <v>0</v>
      </c>
      <c r="BZ28" s="251">
        <f t="shared" si="47"/>
        <v>0</v>
      </c>
      <c r="CA28" s="168"/>
      <c r="CB28" s="243">
        <f t="shared" si="14"/>
        <v>0</v>
      </c>
      <c r="CC28" s="251">
        <f t="shared" si="48"/>
        <v>0</v>
      </c>
      <c r="CD28" s="168"/>
      <c r="CE28" s="243">
        <f t="shared" si="15"/>
        <v>0</v>
      </c>
      <c r="CF28" s="251">
        <f t="shared" si="49"/>
        <v>0</v>
      </c>
      <c r="CG28" s="168"/>
      <c r="CH28" s="243">
        <f t="shared" si="16"/>
        <v>0</v>
      </c>
      <c r="CI28" s="251">
        <f t="shared" si="50"/>
        <v>0</v>
      </c>
      <c r="CJ28" s="168"/>
      <c r="CK28" s="243">
        <f t="shared" si="17"/>
        <v>0</v>
      </c>
    </row>
    <row r="29" spans="1:89" ht="15" customHeight="1" x14ac:dyDescent="0.2">
      <c r="A29" s="169">
        <v>24</v>
      </c>
      <c r="B29" s="163">
        <f t="shared" si="18"/>
        <v>0</v>
      </c>
      <c r="C29" s="167"/>
      <c r="D29" s="168">
        <f t="shared" si="29"/>
        <v>0</v>
      </c>
      <c r="E29" s="225"/>
      <c r="F29" s="169">
        <v>24</v>
      </c>
      <c r="G29" s="163">
        <f t="shared" si="19"/>
        <v>0</v>
      </c>
      <c r="H29" s="167"/>
      <c r="I29" s="168">
        <f t="shared" si="54"/>
        <v>0</v>
      </c>
      <c r="J29" s="225"/>
      <c r="K29" s="169">
        <v>24</v>
      </c>
      <c r="L29" s="163">
        <f t="shared" si="21"/>
        <v>0</v>
      </c>
      <c r="M29" s="167"/>
      <c r="N29" s="168">
        <f t="shared" si="55"/>
        <v>0</v>
      </c>
      <c r="O29" s="162"/>
      <c r="P29" s="169">
        <v>24</v>
      </c>
      <c r="Q29" s="163">
        <f t="shared" si="23"/>
        <v>0</v>
      </c>
      <c r="R29" s="167"/>
      <c r="S29" s="168">
        <f t="shared" si="56"/>
        <v>0</v>
      </c>
      <c r="T29" s="160"/>
      <c r="U29" s="163">
        <v>24</v>
      </c>
      <c r="V29" s="253">
        <f t="shared" si="25"/>
        <v>0</v>
      </c>
      <c r="W29" s="164">
        <f>'Maldives at LG Daily'!I28</f>
        <v>0</v>
      </c>
      <c r="X29" s="171"/>
      <c r="Z29" s="245">
        <v>24</v>
      </c>
      <c r="AA29" s="168">
        <f t="shared" si="30"/>
        <v>0</v>
      </c>
      <c r="AB29" s="168"/>
      <c r="AC29" s="243">
        <f t="shared" si="26"/>
        <v>0</v>
      </c>
      <c r="AD29" s="251">
        <f t="shared" si="31"/>
        <v>0</v>
      </c>
      <c r="AE29" s="168"/>
      <c r="AF29" s="243">
        <f t="shared" si="27"/>
        <v>0</v>
      </c>
      <c r="AG29" s="251">
        <f t="shared" si="32"/>
        <v>0</v>
      </c>
      <c r="AH29" s="168"/>
      <c r="AI29" s="243">
        <f t="shared" si="28"/>
        <v>0</v>
      </c>
      <c r="AJ29" s="251">
        <f t="shared" si="33"/>
        <v>0</v>
      </c>
      <c r="AK29" s="168"/>
      <c r="AL29" s="243">
        <f t="shared" si="0"/>
        <v>0</v>
      </c>
      <c r="AM29" s="251">
        <f t="shared" si="34"/>
        <v>0</v>
      </c>
      <c r="AN29" s="168"/>
      <c r="AO29" s="243">
        <f t="shared" si="1"/>
        <v>0</v>
      </c>
      <c r="AP29" s="251">
        <f t="shared" si="35"/>
        <v>0</v>
      </c>
      <c r="AQ29" s="168"/>
      <c r="AR29" s="243">
        <f t="shared" si="2"/>
        <v>0</v>
      </c>
      <c r="AS29" s="251">
        <f t="shared" si="36"/>
        <v>0</v>
      </c>
      <c r="AT29" s="168"/>
      <c r="AU29" s="243">
        <f t="shared" si="3"/>
        <v>0</v>
      </c>
      <c r="AV29" s="251">
        <f t="shared" si="37"/>
        <v>0</v>
      </c>
      <c r="AW29" s="168"/>
      <c r="AX29" s="243">
        <f t="shared" si="4"/>
        <v>0</v>
      </c>
      <c r="AY29" s="251">
        <f t="shared" si="38"/>
        <v>0</v>
      </c>
      <c r="AZ29" s="168"/>
      <c r="BA29" s="243">
        <f t="shared" si="5"/>
        <v>0</v>
      </c>
      <c r="BB29" s="251">
        <f t="shared" si="39"/>
        <v>0</v>
      </c>
      <c r="BC29" s="168"/>
      <c r="BD29" s="243">
        <f t="shared" si="6"/>
        <v>0</v>
      </c>
      <c r="BE29" s="251">
        <f t="shared" si="40"/>
        <v>0</v>
      </c>
      <c r="BF29" s="168"/>
      <c r="BG29" s="243">
        <f t="shared" si="7"/>
        <v>0</v>
      </c>
      <c r="BH29" s="251">
        <f t="shared" si="41"/>
        <v>0</v>
      </c>
      <c r="BI29" s="168"/>
      <c r="BJ29" s="243">
        <f t="shared" si="8"/>
        <v>0</v>
      </c>
      <c r="BK29" s="251">
        <f t="shared" si="42"/>
        <v>0</v>
      </c>
      <c r="BL29" s="168"/>
      <c r="BM29" s="243">
        <f t="shared" si="9"/>
        <v>0</v>
      </c>
      <c r="BN29" s="251">
        <f t="shared" si="43"/>
        <v>0</v>
      </c>
      <c r="BO29" s="168"/>
      <c r="BP29" s="243">
        <f t="shared" si="10"/>
        <v>0</v>
      </c>
      <c r="BQ29" s="251">
        <f t="shared" si="44"/>
        <v>0</v>
      </c>
      <c r="BR29" s="168"/>
      <c r="BS29" s="243">
        <f t="shared" si="11"/>
        <v>0</v>
      </c>
      <c r="BT29" s="251">
        <f t="shared" si="45"/>
        <v>0</v>
      </c>
      <c r="BU29" s="168"/>
      <c r="BV29" s="243">
        <f t="shared" si="12"/>
        <v>0</v>
      </c>
      <c r="BW29" s="251">
        <f t="shared" si="46"/>
        <v>0</v>
      </c>
      <c r="BX29" s="168"/>
      <c r="BY29" s="243">
        <f t="shared" si="13"/>
        <v>0</v>
      </c>
      <c r="BZ29" s="251">
        <f t="shared" si="47"/>
        <v>0</v>
      </c>
      <c r="CA29" s="168"/>
      <c r="CB29" s="243">
        <f t="shared" si="14"/>
        <v>0</v>
      </c>
      <c r="CC29" s="251">
        <f t="shared" si="48"/>
        <v>0</v>
      </c>
      <c r="CD29" s="168"/>
      <c r="CE29" s="243">
        <f t="shared" si="15"/>
        <v>0</v>
      </c>
      <c r="CF29" s="251">
        <f t="shared" si="49"/>
        <v>0</v>
      </c>
      <c r="CG29" s="168"/>
      <c r="CH29" s="243">
        <f t="shared" si="16"/>
        <v>0</v>
      </c>
      <c r="CI29" s="251">
        <f t="shared" si="50"/>
        <v>0</v>
      </c>
      <c r="CJ29" s="168"/>
      <c r="CK29" s="243">
        <f t="shared" si="17"/>
        <v>0</v>
      </c>
    </row>
    <row r="30" spans="1:89" ht="15" customHeight="1" x14ac:dyDescent="0.2">
      <c r="A30" s="169">
        <v>25</v>
      </c>
      <c r="B30" s="163">
        <f t="shared" si="18"/>
        <v>0</v>
      </c>
      <c r="C30" s="172"/>
      <c r="D30" s="168">
        <f>C30-B30</f>
        <v>0</v>
      </c>
      <c r="E30" s="225"/>
      <c r="F30" s="169">
        <v>25</v>
      </c>
      <c r="G30" s="163">
        <f t="shared" si="19"/>
        <v>0</v>
      </c>
      <c r="H30" s="172"/>
      <c r="I30" s="168">
        <f>H30-G30</f>
        <v>0</v>
      </c>
      <c r="J30" s="225"/>
      <c r="K30" s="169">
        <v>25</v>
      </c>
      <c r="L30" s="163">
        <f t="shared" si="21"/>
        <v>0</v>
      </c>
      <c r="M30" s="172"/>
      <c r="N30" s="168">
        <f>M30-L30</f>
        <v>0</v>
      </c>
      <c r="O30" s="162"/>
      <c r="P30" s="169">
        <v>25</v>
      </c>
      <c r="Q30" s="163">
        <f t="shared" si="23"/>
        <v>0</v>
      </c>
      <c r="R30" s="172"/>
      <c r="S30" s="168">
        <f>R30-Q30</f>
        <v>0</v>
      </c>
      <c r="T30" s="160"/>
      <c r="U30" s="163">
        <v>25</v>
      </c>
      <c r="V30" s="253">
        <f t="shared" si="25"/>
        <v>0</v>
      </c>
      <c r="W30" s="164">
        <f>'Maldives at LG Daily'!I29</f>
        <v>0</v>
      </c>
      <c r="X30" s="171"/>
      <c r="Z30" s="245">
        <v>25</v>
      </c>
      <c r="AA30" s="168">
        <f t="shared" si="30"/>
        <v>0</v>
      </c>
      <c r="AB30" s="168"/>
      <c r="AC30" s="243">
        <f t="shared" si="26"/>
        <v>0</v>
      </c>
      <c r="AD30" s="251">
        <f t="shared" si="31"/>
        <v>0</v>
      </c>
      <c r="AE30" s="168"/>
      <c r="AF30" s="243">
        <f t="shared" si="27"/>
        <v>0</v>
      </c>
      <c r="AG30" s="251">
        <f t="shared" si="32"/>
        <v>0</v>
      </c>
      <c r="AH30" s="168"/>
      <c r="AI30" s="243">
        <f t="shared" si="28"/>
        <v>0</v>
      </c>
      <c r="AJ30" s="251">
        <f t="shared" si="33"/>
        <v>0</v>
      </c>
      <c r="AK30" s="168"/>
      <c r="AL30" s="243">
        <f t="shared" si="0"/>
        <v>0</v>
      </c>
      <c r="AM30" s="251">
        <f t="shared" si="34"/>
        <v>0</v>
      </c>
      <c r="AN30" s="168"/>
      <c r="AO30" s="243">
        <f t="shared" si="1"/>
        <v>0</v>
      </c>
      <c r="AP30" s="251">
        <f t="shared" si="35"/>
        <v>0</v>
      </c>
      <c r="AQ30" s="168"/>
      <c r="AR30" s="243">
        <f t="shared" si="2"/>
        <v>0</v>
      </c>
      <c r="AS30" s="251">
        <f t="shared" si="36"/>
        <v>0</v>
      </c>
      <c r="AT30" s="168"/>
      <c r="AU30" s="243">
        <f t="shared" si="3"/>
        <v>0</v>
      </c>
      <c r="AV30" s="251">
        <f t="shared" si="37"/>
        <v>0</v>
      </c>
      <c r="AW30" s="168"/>
      <c r="AX30" s="243">
        <f t="shared" si="4"/>
        <v>0</v>
      </c>
      <c r="AY30" s="251">
        <f t="shared" si="38"/>
        <v>0</v>
      </c>
      <c r="AZ30" s="168"/>
      <c r="BA30" s="243">
        <f t="shared" si="5"/>
        <v>0</v>
      </c>
      <c r="BB30" s="251">
        <f t="shared" si="39"/>
        <v>0</v>
      </c>
      <c r="BC30" s="168"/>
      <c r="BD30" s="243">
        <f t="shared" si="6"/>
        <v>0</v>
      </c>
      <c r="BE30" s="251">
        <f t="shared" si="40"/>
        <v>0</v>
      </c>
      <c r="BF30" s="168"/>
      <c r="BG30" s="243">
        <f t="shared" si="7"/>
        <v>0</v>
      </c>
      <c r="BH30" s="251">
        <f t="shared" si="41"/>
        <v>0</v>
      </c>
      <c r="BI30" s="168"/>
      <c r="BJ30" s="243">
        <f t="shared" si="8"/>
        <v>0</v>
      </c>
      <c r="BK30" s="251">
        <f t="shared" si="42"/>
        <v>0</v>
      </c>
      <c r="BL30" s="168"/>
      <c r="BM30" s="243">
        <f t="shared" si="9"/>
        <v>0</v>
      </c>
      <c r="BN30" s="251">
        <f t="shared" si="43"/>
        <v>0</v>
      </c>
      <c r="BO30" s="168"/>
      <c r="BP30" s="243">
        <f t="shared" si="10"/>
        <v>0</v>
      </c>
      <c r="BQ30" s="251">
        <f t="shared" si="44"/>
        <v>0</v>
      </c>
      <c r="BR30" s="168"/>
      <c r="BS30" s="243">
        <f t="shared" si="11"/>
        <v>0</v>
      </c>
      <c r="BT30" s="251">
        <f t="shared" si="45"/>
        <v>0</v>
      </c>
      <c r="BU30" s="168"/>
      <c r="BV30" s="243">
        <f t="shared" si="12"/>
        <v>0</v>
      </c>
      <c r="BW30" s="251">
        <f t="shared" si="46"/>
        <v>0</v>
      </c>
      <c r="BX30" s="168"/>
      <c r="BY30" s="243">
        <f t="shared" si="13"/>
        <v>0</v>
      </c>
      <c r="BZ30" s="251">
        <f t="shared" si="47"/>
        <v>0</v>
      </c>
      <c r="CA30" s="168"/>
      <c r="CB30" s="243">
        <f t="shared" si="14"/>
        <v>0</v>
      </c>
      <c r="CC30" s="251">
        <f t="shared" si="48"/>
        <v>0</v>
      </c>
      <c r="CD30" s="168"/>
      <c r="CE30" s="243">
        <f t="shared" si="15"/>
        <v>0</v>
      </c>
      <c r="CF30" s="251">
        <f t="shared" si="49"/>
        <v>0</v>
      </c>
      <c r="CG30" s="168"/>
      <c r="CH30" s="243">
        <f t="shared" si="16"/>
        <v>0</v>
      </c>
      <c r="CI30" s="251">
        <f t="shared" si="50"/>
        <v>0</v>
      </c>
      <c r="CJ30" s="168"/>
      <c r="CK30" s="243">
        <f t="shared" si="17"/>
        <v>0</v>
      </c>
    </row>
    <row r="31" spans="1:89" s="177" customFormat="1" ht="15" customHeight="1" x14ac:dyDescent="0.2">
      <c r="A31" s="169">
        <v>26</v>
      </c>
      <c r="B31" s="227">
        <f t="shared" si="18"/>
        <v>0</v>
      </c>
      <c r="C31" s="167"/>
      <c r="D31" s="228">
        <f t="shared" si="29"/>
        <v>0</v>
      </c>
      <c r="E31" s="229"/>
      <c r="F31" s="169">
        <v>26</v>
      </c>
      <c r="G31" s="227">
        <f t="shared" si="19"/>
        <v>0</v>
      </c>
      <c r="H31" s="167"/>
      <c r="I31" s="228">
        <f t="shared" ref="I31:I33" si="57">H31-G31</f>
        <v>0</v>
      </c>
      <c r="J31" s="229"/>
      <c r="K31" s="169">
        <v>26</v>
      </c>
      <c r="L31" s="227">
        <f t="shared" si="21"/>
        <v>0</v>
      </c>
      <c r="M31" s="167"/>
      <c r="N31" s="228">
        <f t="shared" ref="N31:N33" si="58">M31-L31</f>
        <v>0</v>
      </c>
      <c r="O31" s="230"/>
      <c r="P31" s="169">
        <v>26</v>
      </c>
      <c r="Q31" s="227">
        <f t="shared" si="23"/>
        <v>0</v>
      </c>
      <c r="R31" s="167"/>
      <c r="S31" s="228">
        <f t="shared" ref="S31:S33" si="59">R31-Q31</f>
        <v>0</v>
      </c>
      <c r="T31" s="231"/>
      <c r="U31" s="169">
        <v>26</v>
      </c>
      <c r="V31" s="254">
        <f t="shared" si="25"/>
        <v>0</v>
      </c>
      <c r="W31" s="164">
        <f>'Maldives at LG Daily'!I30</f>
        <v>0</v>
      </c>
      <c r="X31" s="232"/>
      <c r="Z31" s="245">
        <v>26</v>
      </c>
      <c r="AA31" s="168">
        <f t="shared" si="30"/>
        <v>0</v>
      </c>
      <c r="AB31" s="228"/>
      <c r="AC31" s="243">
        <f t="shared" si="26"/>
        <v>0</v>
      </c>
      <c r="AD31" s="251">
        <f t="shared" si="31"/>
        <v>0</v>
      </c>
      <c r="AE31" s="228"/>
      <c r="AF31" s="243">
        <f t="shared" si="27"/>
        <v>0</v>
      </c>
      <c r="AG31" s="251">
        <f t="shared" si="32"/>
        <v>0</v>
      </c>
      <c r="AH31" s="228"/>
      <c r="AI31" s="243">
        <f t="shared" si="28"/>
        <v>0</v>
      </c>
      <c r="AJ31" s="251">
        <f t="shared" si="33"/>
        <v>0</v>
      </c>
      <c r="AK31" s="228"/>
      <c r="AL31" s="243">
        <f t="shared" si="0"/>
        <v>0</v>
      </c>
      <c r="AM31" s="251">
        <f t="shared" si="34"/>
        <v>0</v>
      </c>
      <c r="AN31" s="228"/>
      <c r="AO31" s="243">
        <f t="shared" si="1"/>
        <v>0</v>
      </c>
      <c r="AP31" s="251">
        <f t="shared" si="35"/>
        <v>0</v>
      </c>
      <c r="AQ31" s="228"/>
      <c r="AR31" s="243">
        <f t="shared" si="2"/>
        <v>0</v>
      </c>
      <c r="AS31" s="251">
        <f t="shared" si="36"/>
        <v>0</v>
      </c>
      <c r="AT31" s="228"/>
      <c r="AU31" s="243">
        <f t="shared" si="3"/>
        <v>0</v>
      </c>
      <c r="AV31" s="251">
        <f t="shared" si="37"/>
        <v>0</v>
      </c>
      <c r="AW31" s="228"/>
      <c r="AX31" s="243">
        <f t="shared" si="4"/>
        <v>0</v>
      </c>
      <c r="AY31" s="251">
        <f t="shared" si="38"/>
        <v>0</v>
      </c>
      <c r="AZ31" s="228"/>
      <c r="BA31" s="243">
        <f t="shared" si="5"/>
        <v>0</v>
      </c>
      <c r="BB31" s="251">
        <f t="shared" si="39"/>
        <v>0</v>
      </c>
      <c r="BC31" s="228"/>
      <c r="BD31" s="243">
        <f t="shared" si="6"/>
        <v>0</v>
      </c>
      <c r="BE31" s="251">
        <f t="shared" si="40"/>
        <v>0</v>
      </c>
      <c r="BF31" s="228"/>
      <c r="BG31" s="243">
        <f t="shared" si="7"/>
        <v>0</v>
      </c>
      <c r="BH31" s="251">
        <f t="shared" si="41"/>
        <v>0</v>
      </c>
      <c r="BI31" s="228"/>
      <c r="BJ31" s="243">
        <f t="shared" si="8"/>
        <v>0</v>
      </c>
      <c r="BK31" s="251">
        <f t="shared" si="42"/>
        <v>0</v>
      </c>
      <c r="BL31" s="228"/>
      <c r="BM31" s="243">
        <f t="shared" si="9"/>
        <v>0</v>
      </c>
      <c r="BN31" s="251">
        <f t="shared" si="43"/>
        <v>0</v>
      </c>
      <c r="BO31" s="228"/>
      <c r="BP31" s="243">
        <f t="shared" si="10"/>
        <v>0</v>
      </c>
      <c r="BQ31" s="251">
        <f t="shared" si="44"/>
        <v>0</v>
      </c>
      <c r="BR31" s="228"/>
      <c r="BS31" s="243">
        <f t="shared" si="11"/>
        <v>0</v>
      </c>
      <c r="BT31" s="251">
        <f t="shared" si="45"/>
        <v>0</v>
      </c>
      <c r="BU31" s="228"/>
      <c r="BV31" s="243">
        <f t="shared" si="12"/>
        <v>0</v>
      </c>
      <c r="BW31" s="251">
        <f t="shared" si="46"/>
        <v>0</v>
      </c>
      <c r="BX31" s="228"/>
      <c r="BY31" s="243">
        <f t="shared" si="13"/>
        <v>0</v>
      </c>
      <c r="BZ31" s="251">
        <f t="shared" si="47"/>
        <v>0</v>
      </c>
      <c r="CA31" s="228"/>
      <c r="CB31" s="243">
        <f t="shared" si="14"/>
        <v>0</v>
      </c>
      <c r="CC31" s="251">
        <f t="shared" si="48"/>
        <v>0</v>
      </c>
      <c r="CD31" s="228"/>
      <c r="CE31" s="243">
        <f t="shared" si="15"/>
        <v>0</v>
      </c>
      <c r="CF31" s="251">
        <f t="shared" si="49"/>
        <v>0</v>
      </c>
      <c r="CG31" s="228"/>
      <c r="CH31" s="243">
        <f t="shared" si="16"/>
        <v>0</v>
      </c>
      <c r="CI31" s="251">
        <f t="shared" si="50"/>
        <v>0</v>
      </c>
      <c r="CJ31" s="228"/>
      <c r="CK31" s="243">
        <f t="shared" si="17"/>
        <v>0</v>
      </c>
    </row>
    <row r="32" spans="1:89" ht="15" customHeight="1" x14ac:dyDescent="0.2">
      <c r="A32" s="169">
        <v>27</v>
      </c>
      <c r="B32" s="163">
        <f t="shared" si="18"/>
        <v>0</v>
      </c>
      <c r="C32" s="167"/>
      <c r="D32" s="168">
        <f t="shared" si="29"/>
        <v>0</v>
      </c>
      <c r="E32" s="225"/>
      <c r="F32" s="169">
        <v>27</v>
      </c>
      <c r="G32" s="163">
        <f t="shared" si="19"/>
        <v>0</v>
      </c>
      <c r="H32" s="167"/>
      <c r="I32" s="168">
        <f t="shared" si="57"/>
        <v>0</v>
      </c>
      <c r="J32" s="225"/>
      <c r="K32" s="169">
        <v>27</v>
      </c>
      <c r="L32" s="163">
        <f t="shared" si="21"/>
        <v>0</v>
      </c>
      <c r="M32" s="167"/>
      <c r="N32" s="168">
        <f t="shared" si="58"/>
        <v>0</v>
      </c>
      <c r="O32" s="162"/>
      <c r="P32" s="169">
        <v>27</v>
      </c>
      <c r="Q32" s="163">
        <f t="shared" si="23"/>
        <v>0</v>
      </c>
      <c r="R32" s="167"/>
      <c r="S32" s="168">
        <f t="shared" si="59"/>
        <v>0</v>
      </c>
      <c r="T32" s="160"/>
      <c r="U32" s="163">
        <v>27</v>
      </c>
      <c r="V32" s="253">
        <f t="shared" si="25"/>
        <v>0</v>
      </c>
      <c r="W32" s="164">
        <f>'Maldives at LG Daily'!I31</f>
        <v>0</v>
      </c>
      <c r="X32" s="171"/>
      <c r="Z32" s="245">
        <v>27</v>
      </c>
      <c r="AA32" s="168">
        <f t="shared" si="30"/>
        <v>0</v>
      </c>
      <c r="AB32" s="168"/>
      <c r="AC32" s="243">
        <f t="shared" si="26"/>
        <v>0</v>
      </c>
      <c r="AD32" s="251">
        <f t="shared" si="31"/>
        <v>0</v>
      </c>
      <c r="AE32" s="168"/>
      <c r="AF32" s="243">
        <f t="shared" si="27"/>
        <v>0</v>
      </c>
      <c r="AG32" s="251">
        <f t="shared" si="32"/>
        <v>0</v>
      </c>
      <c r="AH32" s="168"/>
      <c r="AI32" s="243">
        <f t="shared" si="28"/>
        <v>0</v>
      </c>
      <c r="AJ32" s="251">
        <f t="shared" si="33"/>
        <v>0</v>
      </c>
      <c r="AK32" s="168"/>
      <c r="AL32" s="243">
        <f t="shared" si="0"/>
        <v>0</v>
      </c>
      <c r="AM32" s="251">
        <f t="shared" si="34"/>
        <v>0</v>
      </c>
      <c r="AN32" s="168"/>
      <c r="AO32" s="243">
        <f t="shared" si="1"/>
        <v>0</v>
      </c>
      <c r="AP32" s="251">
        <f t="shared" si="35"/>
        <v>0</v>
      </c>
      <c r="AQ32" s="168"/>
      <c r="AR32" s="243">
        <f t="shared" si="2"/>
        <v>0</v>
      </c>
      <c r="AS32" s="251">
        <f t="shared" si="36"/>
        <v>0</v>
      </c>
      <c r="AT32" s="168"/>
      <c r="AU32" s="243">
        <f t="shared" si="3"/>
        <v>0</v>
      </c>
      <c r="AV32" s="251">
        <f t="shared" si="37"/>
        <v>0</v>
      </c>
      <c r="AW32" s="168"/>
      <c r="AX32" s="243">
        <f t="shared" si="4"/>
        <v>0</v>
      </c>
      <c r="AY32" s="251">
        <f t="shared" si="38"/>
        <v>0</v>
      </c>
      <c r="AZ32" s="168"/>
      <c r="BA32" s="243">
        <f t="shared" si="5"/>
        <v>0</v>
      </c>
      <c r="BB32" s="251">
        <f t="shared" si="39"/>
        <v>0</v>
      </c>
      <c r="BC32" s="168"/>
      <c r="BD32" s="243">
        <f t="shared" si="6"/>
        <v>0</v>
      </c>
      <c r="BE32" s="251">
        <f t="shared" si="40"/>
        <v>0</v>
      </c>
      <c r="BF32" s="168"/>
      <c r="BG32" s="243">
        <f t="shared" si="7"/>
        <v>0</v>
      </c>
      <c r="BH32" s="251">
        <f t="shared" si="41"/>
        <v>0</v>
      </c>
      <c r="BI32" s="168"/>
      <c r="BJ32" s="243">
        <f t="shared" si="8"/>
        <v>0</v>
      </c>
      <c r="BK32" s="251">
        <f t="shared" si="42"/>
        <v>0</v>
      </c>
      <c r="BL32" s="168"/>
      <c r="BM32" s="243">
        <f t="shared" si="9"/>
        <v>0</v>
      </c>
      <c r="BN32" s="251">
        <f t="shared" si="43"/>
        <v>0</v>
      </c>
      <c r="BO32" s="168"/>
      <c r="BP32" s="243">
        <f t="shared" si="10"/>
        <v>0</v>
      </c>
      <c r="BQ32" s="251">
        <f t="shared" si="44"/>
        <v>0</v>
      </c>
      <c r="BR32" s="168"/>
      <c r="BS32" s="243">
        <f t="shared" si="11"/>
        <v>0</v>
      </c>
      <c r="BT32" s="251">
        <f t="shared" si="45"/>
        <v>0</v>
      </c>
      <c r="BU32" s="168"/>
      <c r="BV32" s="243">
        <f t="shared" si="12"/>
        <v>0</v>
      </c>
      <c r="BW32" s="251">
        <f t="shared" si="46"/>
        <v>0</v>
      </c>
      <c r="BX32" s="168"/>
      <c r="BY32" s="243">
        <f t="shared" si="13"/>
        <v>0</v>
      </c>
      <c r="BZ32" s="251">
        <f t="shared" si="47"/>
        <v>0</v>
      </c>
      <c r="CA32" s="168"/>
      <c r="CB32" s="243">
        <f t="shared" si="14"/>
        <v>0</v>
      </c>
      <c r="CC32" s="251">
        <f t="shared" si="48"/>
        <v>0</v>
      </c>
      <c r="CD32" s="168"/>
      <c r="CE32" s="243">
        <f t="shared" si="15"/>
        <v>0</v>
      </c>
      <c r="CF32" s="251">
        <f t="shared" si="49"/>
        <v>0</v>
      </c>
      <c r="CG32" s="168"/>
      <c r="CH32" s="243">
        <f t="shared" si="16"/>
        <v>0</v>
      </c>
      <c r="CI32" s="251">
        <f t="shared" si="50"/>
        <v>0</v>
      </c>
      <c r="CJ32" s="168"/>
      <c r="CK32" s="243">
        <f t="shared" si="17"/>
        <v>0</v>
      </c>
    </row>
    <row r="33" spans="1:89" ht="15" customHeight="1" x14ac:dyDescent="0.2">
      <c r="A33" s="169">
        <v>28</v>
      </c>
      <c r="B33" s="163">
        <f t="shared" si="18"/>
        <v>0</v>
      </c>
      <c r="C33" s="167"/>
      <c r="D33" s="168">
        <f t="shared" si="29"/>
        <v>0</v>
      </c>
      <c r="E33" s="225"/>
      <c r="F33" s="169">
        <v>28</v>
      </c>
      <c r="G33" s="163">
        <f t="shared" si="19"/>
        <v>0</v>
      </c>
      <c r="H33" s="167"/>
      <c r="I33" s="168">
        <f t="shared" si="57"/>
        <v>0</v>
      </c>
      <c r="J33" s="225"/>
      <c r="K33" s="169">
        <v>28</v>
      </c>
      <c r="L33" s="163">
        <f t="shared" si="21"/>
        <v>0</v>
      </c>
      <c r="M33" s="167"/>
      <c r="N33" s="168">
        <f t="shared" si="58"/>
        <v>0</v>
      </c>
      <c r="O33" s="162"/>
      <c r="P33" s="169">
        <v>28</v>
      </c>
      <c r="Q33" s="163">
        <f t="shared" si="23"/>
        <v>0</v>
      </c>
      <c r="R33" s="167"/>
      <c r="S33" s="168">
        <f t="shared" si="59"/>
        <v>0</v>
      </c>
      <c r="T33" s="160"/>
      <c r="U33" s="163">
        <v>28</v>
      </c>
      <c r="V33" s="253">
        <f t="shared" si="25"/>
        <v>0</v>
      </c>
      <c r="W33" s="164">
        <f>'Maldives at LG Daily'!I32</f>
        <v>0</v>
      </c>
      <c r="X33" s="171"/>
      <c r="Z33" s="245">
        <v>28</v>
      </c>
      <c r="AA33" s="168">
        <f t="shared" si="30"/>
        <v>0</v>
      </c>
      <c r="AB33" s="168"/>
      <c r="AC33" s="243">
        <f t="shared" si="26"/>
        <v>0</v>
      </c>
      <c r="AD33" s="251">
        <f t="shared" si="31"/>
        <v>0</v>
      </c>
      <c r="AE33" s="168"/>
      <c r="AF33" s="243">
        <f t="shared" si="27"/>
        <v>0</v>
      </c>
      <c r="AG33" s="251">
        <f t="shared" si="32"/>
        <v>0</v>
      </c>
      <c r="AH33" s="168"/>
      <c r="AI33" s="243">
        <f t="shared" si="28"/>
        <v>0</v>
      </c>
      <c r="AJ33" s="251">
        <f t="shared" si="33"/>
        <v>0</v>
      </c>
      <c r="AK33" s="168"/>
      <c r="AL33" s="243">
        <f t="shared" si="0"/>
        <v>0</v>
      </c>
      <c r="AM33" s="251">
        <f t="shared" si="34"/>
        <v>0</v>
      </c>
      <c r="AN33" s="168"/>
      <c r="AO33" s="243">
        <f t="shared" si="1"/>
        <v>0</v>
      </c>
      <c r="AP33" s="251">
        <f t="shared" si="35"/>
        <v>0</v>
      </c>
      <c r="AQ33" s="168"/>
      <c r="AR33" s="243">
        <f t="shared" si="2"/>
        <v>0</v>
      </c>
      <c r="AS33" s="251">
        <f t="shared" si="36"/>
        <v>0</v>
      </c>
      <c r="AT33" s="168"/>
      <c r="AU33" s="243">
        <f t="shared" si="3"/>
        <v>0</v>
      </c>
      <c r="AV33" s="251">
        <f t="shared" si="37"/>
        <v>0</v>
      </c>
      <c r="AW33" s="168"/>
      <c r="AX33" s="243">
        <f t="shared" si="4"/>
        <v>0</v>
      </c>
      <c r="AY33" s="251">
        <f t="shared" si="38"/>
        <v>0</v>
      </c>
      <c r="AZ33" s="168"/>
      <c r="BA33" s="243">
        <f t="shared" si="5"/>
        <v>0</v>
      </c>
      <c r="BB33" s="251">
        <f t="shared" si="39"/>
        <v>0</v>
      </c>
      <c r="BC33" s="168"/>
      <c r="BD33" s="243">
        <f t="shared" si="6"/>
        <v>0</v>
      </c>
      <c r="BE33" s="251">
        <f t="shared" si="40"/>
        <v>0</v>
      </c>
      <c r="BF33" s="168"/>
      <c r="BG33" s="243">
        <f t="shared" si="7"/>
        <v>0</v>
      </c>
      <c r="BH33" s="251">
        <f t="shared" si="41"/>
        <v>0</v>
      </c>
      <c r="BI33" s="168"/>
      <c r="BJ33" s="243">
        <f t="shared" si="8"/>
        <v>0</v>
      </c>
      <c r="BK33" s="251">
        <f t="shared" si="42"/>
        <v>0</v>
      </c>
      <c r="BL33" s="168"/>
      <c r="BM33" s="243">
        <f t="shared" si="9"/>
        <v>0</v>
      </c>
      <c r="BN33" s="251">
        <f t="shared" si="43"/>
        <v>0</v>
      </c>
      <c r="BO33" s="168"/>
      <c r="BP33" s="243">
        <f t="shared" si="10"/>
        <v>0</v>
      </c>
      <c r="BQ33" s="251">
        <f t="shared" si="44"/>
        <v>0</v>
      </c>
      <c r="BR33" s="168"/>
      <c r="BS33" s="243">
        <f t="shared" si="11"/>
        <v>0</v>
      </c>
      <c r="BT33" s="251">
        <f t="shared" si="45"/>
        <v>0</v>
      </c>
      <c r="BU33" s="168"/>
      <c r="BV33" s="243">
        <f t="shared" si="12"/>
        <v>0</v>
      </c>
      <c r="BW33" s="251">
        <f t="shared" si="46"/>
        <v>0</v>
      </c>
      <c r="BX33" s="168"/>
      <c r="BY33" s="243">
        <f t="shared" si="13"/>
        <v>0</v>
      </c>
      <c r="BZ33" s="251">
        <f t="shared" si="47"/>
        <v>0</v>
      </c>
      <c r="CA33" s="168"/>
      <c r="CB33" s="243">
        <f t="shared" si="14"/>
        <v>0</v>
      </c>
      <c r="CC33" s="251">
        <f t="shared" si="48"/>
        <v>0</v>
      </c>
      <c r="CD33" s="168"/>
      <c r="CE33" s="243">
        <f t="shared" si="15"/>
        <v>0</v>
      </c>
      <c r="CF33" s="251">
        <f t="shared" si="49"/>
        <v>0</v>
      </c>
      <c r="CG33" s="168"/>
      <c r="CH33" s="243">
        <f t="shared" si="16"/>
        <v>0</v>
      </c>
      <c r="CI33" s="251">
        <f t="shared" si="50"/>
        <v>0</v>
      </c>
      <c r="CJ33" s="168"/>
      <c r="CK33" s="243">
        <f t="shared" si="17"/>
        <v>0</v>
      </c>
    </row>
    <row r="34" spans="1:89" x14ac:dyDescent="0.2">
      <c r="A34" s="169">
        <v>29</v>
      </c>
      <c r="B34" s="163">
        <f t="shared" si="18"/>
        <v>0</v>
      </c>
      <c r="C34" s="167"/>
      <c r="D34" s="168">
        <f>C34-B34</f>
        <v>0</v>
      </c>
      <c r="E34" s="162"/>
      <c r="F34" s="169">
        <v>29</v>
      </c>
      <c r="G34" s="163">
        <f t="shared" si="19"/>
        <v>0</v>
      </c>
      <c r="H34" s="167"/>
      <c r="I34" s="168">
        <f>H34-G34</f>
        <v>0</v>
      </c>
      <c r="J34" s="162"/>
      <c r="K34" s="169">
        <v>29</v>
      </c>
      <c r="L34" s="163">
        <f t="shared" si="21"/>
        <v>0</v>
      </c>
      <c r="M34" s="167"/>
      <c r="N34" s="168">
        <f>M34-L34</f>
        <v>0</v>
      </c>
      <c r="O34" s="162"/>
      <c r="P34" s="169">
        <v>29</v>
      </c>
      <c r="Q34" s="163">
        <f t="shared" si="23"/>
        <v>0</v>
      </c>
      <c r="R34" s="167"/>
      <c r="S34" s="168">
        <f>R34-Q34</f>
        <v>0</v>
      </c>
      <c r="T34" s="160"/>
      <c r="U34" s="169">
        <v>29</v>
      </c>
      <c r="V34" s="253">
        <f t="shared" si="25"/>
        <v>0</v>
      </c>
      <c r="W34" s="164">
        <f>'Maldives at LG Daily'!I33</f>
        <v>0</v>
      </c>
      <c r="X34" s="171"/>
      <c r="Z34" s="245">
        <v>29</v>
      </c>
      <c r="AA34" s="168">
        <f t="shared" si="30"/>
        <v>0</v>
      </c>
      <c r="AB34" s="168"/>
      <c r="AC34" s="243">
        <f t="shared" si="26"/>
        <v>0</v>
      </c>
      <c r="AD34" s="251">
        <f t="shared" si="31"/>
        <v>0</v>
      </c>
      <c r="AE34" s="168"/>
      <c r="AF34" s="243">
        <f t="shared" si="27"/>
        <v>0</v>
      </c>
      <c r="AG34" s="251">
        <f t="shared" si="32"/>
        <v>0</v>
      </c>
      <c r="AH34" s="168"/>
      <c r="AI34" s="243">
        <f t="shared" si="28"/>
        <v>0</v>
      </c>
      <c r="AJ34" s="251">
        <f t="shared" si="33"/>
        <v>0</v>
      </c>
      <c r="AK34" s="168"/>
      <c r="AL34" s="243">
        <f t="shared" si="0"/>
        <v>0</v>
      </c>
      <c r="AM34" s="251">
        <f t="shared" si="34"/>
        <v>0</v>
      </c>
      <c r="AN34" s="168"/>
      <c r="AO34" s="243">
        <f t="shared" si="1"/>
        <v>0</v>
      </c>
      <c r="AP34" s="251">
        <f t="shared" si="35"/>
        <v>0</v>
      </c>
      <c r="AQ34" s="168"/>
      <c r="AR34" s="243">
        <f t="shared" si="2"/>
        <v>0</v>
      </c>
      <c r="AS34" s="251">
        <f t="shared" si="36"/>
        <v>0</v>
      </c>
      <c r="AT34" s="168"/>
      <c r="AU34" s="243">
        <f t="shared" si="3"/>
        <v>0</v>
      </c>
      <c r="AV34" s="251">
        <f t="shared" si="37"/>
        <v>0</v>
      </c>
      <c r="AW34" s="168"/>
      <c r="AX34" s="243">
        <f t="shared" si="4"/>
        <v>0</v>
      </c>
      <c r="AY34" s="251">
        <f t="shared" si="38"/>
        <v>0</v>
      </c>
      <c r="AZ34" s="168"/>
      <c r="BA34" s="243">
        <f t="shared" si="5"/>
        <v>0</v>
      </c>
      <c r="BB34" s="251">
        <f t="shared" si="39"/>
        <v>0</v>
      </c>
      <c r="BC34" s="168"/>
      <c r="BD34" s="243">
        <f t="shared" si="6"/>
        <v>0</v>
      </c>
      <c r="BE34" s="251">
        <f t="shared" si="40"/>
        <v>0</v>
      </c>
      <c r="BF34" s="168"/>
      <c r="BG34" s="243">
        <f t="shared" si="7"/>
        <v>0</v>
      </c>
      <c r="BH34" s="251">
        <f t="shared" si="41"/>
        <v>0</v>
      </c>
      <c r="BI34" s="168"/>
      <c r="BJ34" s="243">
        <f t="shared" si="8"/>
        <v>0</v>
      </c>
      <c r="BK34" s="251">
        <f t="shared" si="42"/>
        <v>0</v>
      </c>
      <c r="BL34" s="168"/>
      <c r="BM34" s="243">
        <f t="shared" si="9"/>
        <v>0</v>
      </c>
      <c r="BN34" s="251">
        <f t="shared" si="43"/>
        <v>0</v>
      </c>
      <c r="BO34" s="168"/>
      <c r="BP34" s="243">
        <f t="shared" si="10"/>
        <v>0</v>
      </c>
      <c r="BQ34" s="251">
        <f t="shared" si="44"/>
        <v>0</v>
      </c>
      <c r="BR34" s="168"/>
      <c r="BS34" s="243">
        <f t="shared" si="11"/>
        <v>0</v>
      </c>
      <c r="BT34" s="251">
        <f t="shared" si="45"/>
        <v>0</v>
      </c>
      <c r="BU34" s="168"/>
      <c r="BV34" s="243">
        <f t="shared" si="12"/>
        <v>0</v>
      </c>
      <c r="BW34" s="251">
        <f t="shared" si="46"/>
        <v>0</v>
      </c>
      <c r="BX34" s="168"/>
      <c r="BY34" s="243">
        <f t="shared" si="13"/>
        <v>0</v>
      </c>
      <c r="BZ34" s="251">
        <f t="shared" si="47"/>
        <v>0</v>
      </c>
      <c r="CA34" s="168"/>
      <c r="CB34" s="243">
        <f t="shared" si="14"/>
        <v>0</v>
      </c>
      <c r="CC34" s="251">
        <f t="shared" si="48"/>
        <v>0</v>
      </c>
      <c r="CD34" s="168"/>
      <c r="CE34" s="243">
        <f t="shared" si="15"/>
        <v>0</v>
      </c>
      <c r="CF34" s="251">
        <f t="shared" si="49"/>
        <v>0</v>
      </c>
      <c r="CG34" s="168"/>
      <c r="CH34" s="243">
        <f t="shared" si="16"/>
        <v>0</v>
      </c>
      <c r="CI34" s="251">
        <f t="shared" si="50"/>
        <v>0</v>
      </c>
      <c r="CJ34" s="168"/>
      <c r="CK34" s="243">
        <f t="shared" si="17"/>
        <v>0</v>
      </c>
    </row>
    <row r="35" spans="1:89" x14ac:dyDescent="0.2">
      <c r="A35" s="169">
        <v>30</v>
      </c>
      <c r="B35" s="163">
        <f>C34</f>
        <v>0</v>
      </c>
      <c r="C35" s="167"/>
      <c r="D35" s="168">
        <f>C35-B35</f>
        <v>0</v>
      </c>
      <c r="E35" s="162"/>
      <c r="F35" s="169">
        <v>30</v>
      </c>
      <c r="G35" s="163">
        <f>H34</f>
        <v>0</v>
      </c>
      <c r="H35" s="167"/>
      <c r="I35" s="168">
        <f>H35-G35</f>
        <v>0</v>
      </c>
      <c r="J35" s="162"/>
      <c r="K35" s="169">
        <v>30</v>
      </c>
      <c r="L35" s="163">
        <f>M34</f>
        <v>0</v>
      </c>
      <c r="M35" s="167"/>
      <c r="N35" s="168">
        <f>M35-L35</f>
        <v>0</v>
      </c>
      <c r="O35" s="162"/>
      <c r="P35" s="169">
        <v>30</v>
      </c>
      <c r="Q35" s="163">
        <f>R34</f>
        <v>0</v>
      </c>
      <c r="R35" s="167"/>
      <c r="S35" s="168">
        <f>R35-Q35</f>
        <v>0</v>
      </c>
      <c r="T35" s="160"/>
      <c r="U35" s="163">
        <v>30</v>
      </c>
      <c r="V35" s="253">
        <f t="shared" si="25"/>
        <v>0</v>
      </c>
      <c r="W35" s="164">
        <f>'Maldives at LG Daily'!I34</f>
        <v>0</v>
      </c>
      <c r="X35" s="171"/>
      <c r="Z35" s="245">
        <v>30</v>
      </c>
      <c r="AA35" s="168">
        <f t="shared" si="30"/>
        <v>0</v>
      </c>
      <c r="AB35" s="168"/>
      <c r="AC35" s="243"/>
      <c r="AD35" s="251">
        <f t="shared" si="31"/>
        <v>0</v>
      </c>
      <c r="AE35" s="168"/>
      <c r="AF35" s="243"/>
      <c r="AG35" s="251">
        <f t="shared" si="32"/>
        <v>0</v>
      </c>
      <c r="AH35" s="168"/>
      <c r="AI35" s="243"/>
      <c r="AJ35" s="251">
        <f t="shared" si="33"/>
        <v>0</v>
      </c>
      <c r="AK35" s="168"/>
      <c r="AL35" s="243"/>
      <c r="AM35" s="251">
        <f t="shared" si="34"/>
        <v>0</v>
      </c>
      <c r="AN35" s="168"/>
      <c r="AO35" s="243"/>
      <c r="AP35" s="251">
        <f t="shared" si="35"/>
        <v>0</v>
      </c>
      <c r="AQ35" s="168"/>
      <c r="AR35" s="243"/>
      <c r="AS35" s="251">
        <f t="shared" si="36"/>
        <v>0</v>
      </c>
      <c r="AT35" s="168"/>
      <c r="AU35" s="243"/>
      <c r="AV35" s="251">
        <f t="shared" si="37"/>
        <v>0</v>
      </c>
      <c r="AW35" s="168"/>
      <c r="AX35" s="243"/>
      <c r="AY35" s="251">
        <f t="shared" si="38"/>
        <v>0</v>
      </c>
      <c r="AZ35" s="168"/>
      <c r="BA35" s="243"/>
      <c r="BB35" s="251">
        <f t="shared" si="39"/>
        <v>0</v>
      </c>
      <c r="BC35" s="168"/>
      <c r="BD35" s="243"/>
      <c r="BE35" s="251">
        <f t="shared" si="40"/>
        <v>0</v>
      </c>
      <c r="BF35" s="168"/>
      <c r="BG35" s="243"/>
      <c r="BH35" s="251">
        <f t="shared" si="41"/>
        <v>0</v>
      </c>
      <c r="BI35" s="168"/>
      <c r="BJ35" s="243"/>
      <c r="BK35" s="251">
        <f t="shared" si="42"/>
        <v>0</v>
      </c>
      <c r="BL35" s="168"/>
      <c r="BM35" s="243"/>
      <c r="BN35" s="251">
        <f t="shared" si="43"/>
        <v>0</v>
      </c>
      <c r="BO35" s="168"/>
      <c r="BP35" s="243"/>
      <c r="BQ35" s="251">
        <f t="shared" si="44"/>
        <v>0</v>
      </c>
      <c r="BR35" s="168"/>
      <c r="BS35" s="243"/>
      <c r="BT35" s="251"/>
      <c r="BU35" s="168"/>
      <c r="BV35" s="243">
        <f t="shared" si="12"/>
        <v>0</v>
      </c>
      <c r="BW35" s="251">
        <f t="shared" si="46"/>
        <v>0</v>
      </c>
      <c r="BX35" s="168"/>
      <c r="BY35" s="243"/>
      <c r="BZ35" s="251">
        <f t="shared" si="47"/>
        <v>0</v>
      </c>
      <c r="CA35" s="168"/>
      <c r="CB35" s="243"/>
      <c r="CC35" s="251">
        <f t="shared" si="48"/>
        <v>0</v>
      </c>
      <c r="CD35" s="168"/>
      <c r="CE35" s="243"/>
      <c r="CF35" s="251">
        <f t="shared" si="49"/>
        <v>0</v>
      </c>
      <c r="CG35" s="168"/>
      <c r="CH35" s="243"/>
      <c r="CI35" s="251">
        <f t="shared" si="50"/>
        <v>0</v>
      </c>
      <c r="CJ35" s="168"/>
      <c r="CK35" s="243"/>
    </row>
    <row r="36" spans="1:89" ht="13.5" thickBot="1" x14ac:dyDescent="0.25">
      <c r="A36" s="169">
        <v>31</v>
      </c>
      <c r="B36" s="163">
        <f>C35</f>
        <v>0</v>
      </c>
      <c r="C36" s="167"/>
      <c r="D36" s="168"/>
      <c r="E36" s="162"/>
      <c r="F36" s="169">
        <v>31</v>
      </c>
      <c r="G36" s="163">
        <f>H35</f>
        <v>0</v>
      </c>
      <c r="H36" s="167"/>
      <c r="I36" s="168"/>
      <c r="J36" s="162"/>
      <c r="K36" s="169">
        <v>31</v>
      </c>
      <c r="L36" s="163">
        <f>M35</f>
        <v>0</v>
      </c>
      <c r="M36" s="167"/>
      <c r="N36" s="168"/>
      <c r="O36" s="162"/>
      <c r="P36" s="169">
        <v>31</v>
      </c>
      <c r="Q36" s="163">
        <f>R35</f>
        <v>0</v>
      </c>
      <c r="R36" s="167"/>
      <c r="S36" s="168"/>
      <c r="T36" s="173"/>
      <c r="U36" s="163">
        <v>31</v>
      </c>
      <c r="V36" s="253">
        <f t="shared" si="25"/>
        <v>0</v>
      </c>
      <c r="W36" s="164">
        <f>'Maldives at LG Daily'!I35</f>
        <v>0</v>
      </c>
      <c r="X36" s="171"/>
      <c r="Z36" s="246">
        <v>31</v>
      </c>
      <c r="AA36" s="168">
        <f t="shared" si="30"/>
        <v>0</v>
      </c>
      <c r="AB36" s="250"/>
      <c r="AC36" s="244">
        <f t="shared" si="26"/>
        <v>0</v>
      </c>
      <c r="AD36" s="251">
        <f t="shared" si="31"/>
        <v>0</v>
      </c>
      <c r="AE36" s="250"/>
      <c r="AF36" s="244">
        <f t="shared" si="27"/>
        <v>0</v>
      </c>
      <c r="AG36" s="251">
        <f t="shared" si="32"/>
        <v>0</v>
      </c>
      <c r="AH36" s="250"/>
      <c r="AI36" s="244">
        <f t="shared" si="28"/>
        <v>0</v>
      </c>
      <c r="AJ36" s="251">
        <f t="shared" si="33"/>
        <v>0</v>
      </c>
      <c r="AK36" s="250"/>
      <c r="AL36" s="244">
        <f t="shared" si="0"/>
        <v>0</v>
      </c>
      <c r="AM36" s="251">
        <f t="shared" si="34"/>
        <v>0</v>
      </c>
      <c r="AN36" s="250"/>
      <c r="AO36" s="244">
        <f t="shared" si="1"/>
        <v>0</v>
      </c>
      <c r="AP36" s="251">
        <f t="shared" si="35"/>
        <v>0</v>
      </c>
      <c r="AQ36" s="250"/>
      <c r="AR36" s="244">
        <f t="shared" si="2"/>
        <v>0</v>
      </c>
      <c r="AS36" s="251">
        <f t="shared" si="36"/>
        <v>0</v>
      </c>
      <c r="AT36" s="250"/>
      <c r="AU36" s="244">
        <f t="shared" si="3"/>
        <v>0</v>
      </c>
      <c r="AV36" s="251">
        <f t="shared" si="37"/>
        <v>0</v>
      </c>
      <c r="AW36" s="250"/>
      <c r="AX36" s="244">
        <f t="shared" si="4"/>
        <v>0</v>
      </c>
      <c r="AY36" s="251">
        <f t="shared" si="38"/>
        <v>0</v>
      </c>
      <c r="AZ36" s="250"/>
      <c r="BA36" s="244">
        <f t="shared" si="5"/>
        <v>0</v>
      </c>
      <c r="BB36" s="251">
        <f t="shared" si="39"/>
        <v>0</v>
      </c>
      <c r="BC36" s="250"/>
      <c r="BD36" s="244">
        <f t="shared" si="6"/>
        <v>0</v>
      </c>
      <c r="BE36" s="251">
        <f t="shared" si="40"/>
        <v>0</v>
      </c>
      <c r="BF36" s="250"/>
      <c r="BG36" s="244">
        <f t="shared" si="7"/>
        <v>0</v>
      </c>
      <c r="BH36" s="251">
        <f t="shared" si="41"/>
        <v>0</v>
      </c>
      <c r="BI36" s="250"/>
      <c r="BJ36" s="244">
        <f t="shared" si="8"/>
        <v>0</v>
      </c>
      <c r="BK36" s="251">
        <f t="shared" si="42"/>
        <v>0</v>
      </c>
      <c r="BL36" s="250"/>
      <c r="BM36" s="244">
        <f t="shared" si="9"/>
        <v>0</v>
      </c>
      <c r="BN36" s="251">
        <f t="shared" si="43"/>
        <v>0</v>
      </c>
      <c r="BO36" s="250"/>
      <c r="BP36" s="244">
        <f t="shared" si="10"/>
        <v>0</v>
      </c>
      <c r="BQ36" s="251">
        <f t="shared" si="44"/>
        <v>0</v>
      </c>
      <c r="BR36" s="250"/>
      <c r="BS36" s="244">
        <f t="shared" si="11"/>
        <v>0</v>
      </c>
      <c r="BT36" s="251">
        <f t="shared" si="45"/>
        <v>0</v>
      </c>
      <c r="BU36" s="250"/>
      <c r="BV36" s="244">
        <f t="shared" si="12"/>
        <v>0</v>
      </c>
      <c r="BW36" s="251">
        <f t="shared" si="46"/>
        <v>0</v>
      </c>
      <c r="BX36" s="250"/>
      <c r="BY36" s="244">
        <f t="shared" si="13"/>
        <v>0</v>
      </c>
      <c r="BZ36" s="251">
        <f t="shared" si="47"/>
        <v>0</v>
      </c>
      <c r="CA36" s="250"/>
      <c r="CB36" s="244">
        <f t="shared" si="14"/>
        <v>0</v>
      </c>
      <c r="CC36" s="251">
        <f t="shared" si="48"/>
        <v>0</v>
      </c>
      <c r="CD36" s="250"/>
      <c r="CE36" s="244">
        <f t="shared" si="15"/>
        <v>0</v>
      </c>
      <c r="CF36" s="251">
        <f t="shared" si="49"/>
        <v>0</v>
      </c>
      <c r="CG36" s="250"/>
      <c r="CH36" s="244">
        <f t="shared" si="16"/>
        <v>0</v>
      </c>
      <c r="CI36" s="251">
        <f t="shared" si="50"/>
        <v>0</v>
      </c>
      <c r="CJ36" s="250"/>
      <c r="CK36" s="244">
        <f t="shared" si="17"/>
        <v>0</v>
      </c>
    </row>
    <row r="37" spans="1:89" ht="13.5" thickBot="1" x14ac:dyDescent="0.25">
      <c r="A37" s="174" t="s">
        <v>7</v>
      </c>
      <c r="D37" s="175">
        <f>SUM(D6:D36)</f>
        <v>-6230</v>
      </c>
      <c r="E37" s="176"/>
      <c r="F37" s="174" t="s">
        <v>7</v>
      </c>
      <c r="I37" s="175">
        <f>SUM(I6:I36)</f>
        <v>-3418</v>
      </c>
      <c r="J37" s="176"/>
      <c r="K37" s="174" t="s">
        <v>7</v>
      </c>
      <c r="N37" s="175">
        <f>SUM(N6:N36)</f>
        <v>-735063</v>
      </c>
      <c r="O37" s="176"/>
      <c r="P37" s="174" t="s">
        <v>7</v>
      </c>
      <c r="S37" s="175">
        <f>SUM(S6:S36)</f>
        <v>-201811</v>
      </c>
      <c r="T37" s="176"/>
      <c r="W37" s="226">
        <f>SUM(W6:W36)</f>
        <v>834</v>
      </c>
    </row>
    <row r="38" spans="1:89" ht="13.5" thickTop="1" x14ac:dyDescent="0.2">
      <c r="W38" s="177">
        <f>W37/31</f>
        <v>26.903225806451612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7" zoomScale="90" zoomScaleNormal="90" workbookViewId="0">
      <selection activeCell="E25" sqref="E25"/>
    </sheetView>
  </sheetViews>
  <sheetFormatPr defaultColWidth="9.140625" defaultRowHeight="12.75" x14ac:dyDescent="0.2"/>
  <cols>
    <col min="1" max="1" width="7" style="198" customWidth="1"/>
    <col min="2" max="2" width="17.7109375" style="174" customWidth="1"/>
    <col min="3" max="3" width="15.7109375" style="174" customWidth="1"/>
    <col min="4" max="5" width="16.140625" style="174" customWidth="1"/>
    <col min="6" max="6" width="16.140625" style="199" customWidth="1"/>
    <col min="7" max="7" width="14.5703125" style="199" customWidth="1"/>
    <col min="8" max="8" width="13" style="149" customWidth="1"/>
    <col min="9" max="16384" width="9.140625" style="149"/>
  </cols>
  <sheetData>
    <row r="1" spans="1:20" s="150" customFormat="1" x14ac:dyDescent="0.2">
      <c r="A1" s="380"/>
      <c r="B1" s="380"/>
      <c r="C1" s="179"/>
      <c r="D1" s="179"/>
      <c r="E1" s="179"/>
      <c r="F1" s="180"/>
      <c r="G1" s="180"/>
    </row>
    <row r="2" spans="1:20" ht="24.75" customHeight="1" x14ac:dyDescent="0.2">
      <c r="A2" s="381" t="s">
        <v>36</v>
      </c>
      <c r="B2" s="381"/>
      <c r="C2" s="381"/>
      <c r="D2" s="381"/>
      <c r="E2" s="381"/>
      <c r="F2" s="381"/>
      <c r="G2" s="381"/>
      <c r="H2" s="381"/>
    </row>
    <row r="3" spans="1:20" ht="26.25" customHeight="1" x14ac:dyDescent="0.2">
      <c r="A3" s="181" t="s">
        <v>131</v>
      </c>
      <c r="B3" s="182">
        <v>44317</v>
      </c>
      <c r="C3" s="183"/>
      <c r="D3" s="181"/>
      <c r="E3" s="181"/>
      <c r="F3" s="181"/>
      <c r="G3" s="184"/>
      <c r="H3" s="185"/>
    </row>
    <row r="4" spans="1:20" ht="42" customHeight="1" x14ac:dyDescent="0.2">
      <c r="A4" s="186" t="s">
        <v>5</v>
      </c>
      <c r="B4" s="187" t="s">
        <v>132</v>
      </c>
      <c r="C4" s="187" t="s">
        <v>133</v>
      </c>
      <c r="D4" s="187" t="s">
        <v>134</v>
      </c>
      <c r="E4" s="187" t="s">
        <v>135</v>
      </c>
      <c r="F4" s="188" t="s">
        <v>7</v>
      </c>
      <c r="G4" s="189" t="s">
        <v>37</v>
      </c>
      <c r="H4" s="189" t="s">
        <v>136</v>
      </c>
    </row>
    <row r="5" spans="1:20" ht="24" customHeight="1" x14ac:dyDescent="0.2">
      <c r="A5" s="382">
        <v>44316</v>
      </c>
      <c r="B5" s="383"/>
      <c r="C5" s="383"/>
      <c r="D5" s="383"/>
      <c r="E5" s="383"/>
      <c r="F5" s="384"/>
      <c r="G5" s="190"/>
      <c r="H5" s="190"/>
    </row>
    <row r="6" spans="1:20" ht="21.75" customHeight="1" x14ac:dyDescent="0.2">
      <c r="A6" s="191">
        <v>1</v>
      </c>
      <c r="B6" s="169">
        <v>2</v>
      </c>
      <c r="C6" s="169">
        <v>0</v>
      </c>
      <c r="D6" s="169">
        <v>1</v>
      </c>
      <c r="E6" s="117">
        <v>2</v>
      </c>
      <c r="F6" s="192">
        <f>SUM(B6:E6)</f>
        <v>5</v>
      </c>
      <c r="G6" s="193">
        <f>F6*45</f>
        <v>225</v>
      </c>
      <c r="H6" s="194">
        <f>WATER!W6</f>
        <v>45</v>
      </c>
    </row>
    <row r="7" spans="1:20" ht="21.75" customHeight="1" x14ac:dyDescent="0.2">
      <c r="A7" s="191">
        <v>2</v>
      </c>
      <c r="B7" s="169">
        <v>2</v>
      </c>
      <c r="C7" s="166">
        <v>1</v>
      </c>
      <c r="D7" s="169">
        <v>1</v>
      </c>
      <c r="E7" s="117">
        <v>0</v>
      </c>
      <c r="F7" s="192">
        <f t="shared" ref="F7:F36" si="0">SUM(B7:E7)</f>
        <v>4</v>
      </c>
      <c r="G7" s="193">
        <f t="shared" ref="G7:G36" si="1">F7*45</f>
        <v>180</v>
      </c>
      <c r="H7" s="194">
        <f>WATER!W7</f>
        <v>48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</row>
    <row r="8" spans="1:20" ht="21.75" customHeight="1" x14ac:dyDescent="0.2">
      <c r="A8" s="191">
        <v>3</v>
      </c>
      <c r="B8" s="169">
        <v>2</v>
      </c>
      <c r="C8" s="166">
        <v>0</v>
      </c>
      <c r="D8" s="169">
        <v>1</v>
      </c>
      <c r="E8" s="117">
        <v>3</v>
      </c>
      <c r="F8" s="192">
        <f t="shared" si="0"/>
        <v>6</v>
      </c>
      <c r="G8" s="193">
        <f t="shared" si="1"/>
        <v>270</v>
      </c>
      <c r="H8" s="194">
        <f>WATER!W8</f>
        <v>34</v>
      </c>
    </row>
    <row r="9" spans="1:20" ht="21.75" customHeight="1" x14ac:dyDescent="0.2">
      <c r="A9" s="191">
        <v>4</v>
      </c>
      <c r="B9" s="169">
        <v>2</v>
      </c>
      <c r="C9" s="166">
        <v>1</v>
      </c>
      <c r="D9" s="169">
        <v>1</v>
      </c>
      <c r="E9" s="117">
        <v>3</v>
      </c>
      <c r="F9" s="192">
        <f t="shared" si="0"/>
        <v>7</v>
      </c>
      <c r="G9" s="193">
        <f t="shared" si="1"/>
        <v>315</v>
      </c>
      <c r="H9" s="194">
        <f>WATER!W9</f>
        <v>54</v>
      </c>
    </row>
    <row r="10" spans="1:20" ht="21.75" customHeight="1" x14ac:dyDescent="0.2">
      <c r="A10" s="191">
        <v>5</v>
      </c>
      <c r="B10" s="169">
        <v>2</v>
      </c>
      <c r="C10" s="166">
        <v>0</v>
      </c>
      <c r="D10" s="169">
        <v>1</v>
      </c>
      <c r="E10" s="117">
        <v>3</v>
      </c>
      <c r="F10" s="192">
        <f t="shared" si="0"/>
        <v>6</v>
      </c>
      <c r="G10" s="193">
        <f t="shared" si="1"/>
        <v>270</v>
      </c>
      <c r="H10" s="194">
        <f>WATER!W10</f>
        <v>53</v>
      </c>
    </row>
    <row r="11" spans="1:20" ht="21.75" customHeight="1" x14ac:dyDescent="0.2">
      <c r="A11" s="191">
        <v>6</v>
      </c>
      <c r="B11" s="169">
        <v>1</v>
      </c>
      <c r="C11" s="166">
        <v>1</v>
      </c>
      <c r="D11" s="169">
        <v>1</v>
      </c>
      <c r="E11" s="117">
        <v>3</v>
      </c>
      <c r="F11" s="192">
        <f t="shared" si="0"/>
        <v>6</v>
      </c>
      <c r="G11" s="193">
        <f t="shared" si="1"/>
        <v>270</v>
      </c>
      <c r="H11" s="194">
        <f>WATER!W11</f>
        <v>45</v>
      </c>
    </row>
    <row r="12" spans="1:20" ht="21.75" customHeight="1" x14ac:dyDescent="0.2">
      <c r="A12" s="191">
        <v>7</v>
      </c>
      <c r="B12" s="169">
        <v>2</v>
      </c>
      <c r="C12" s="166">
        <v>0</v>
      </c>
      <c r="D12" s="169">
        <v>1</v>
      </c>
      <c r="E12" s="117">
        <v>3</v>
      </c>
      <c r="F12" s="192">
        <f t="shared" si="0"/>
        <v>6</v>
      </c>
      <c r="G12" s="193">
        <f t="shared" si="1"/>
        <v>270</v>
      </c>
      <c r="H12" s="194">
        <f>WATER!W12</f>
        <v>48</v>
      </c>
    </row>
    <row r="13" spans="1:20" ht="21.75" customHeight="1" x14ac:dyDescent="0.2">
      <c r="A13" s="191">
        <v>8</v>
      </c>
      <c r="B13" s="169">
        <v>2</v>
      </c>
      <c r="C13" s="166">
        <v>1</v>
      </c>
      <c r="D13" s="169">
        <v>1</v>
      </c>
      <c r="E13" s="117">
        <v>3</v>
      </c>
      <c r="F13" s="192">
        <f t="shared" si="0"/>
        <v>7</v>
      </c>
      <c r="G13" s="193">
        <f t="shared" si="1"/>
        <v>315</v>
      </c>
      <c r="H13" s="194">
        <f>WATER!W13</f>
        <v>47</v>
      </c>
    </row>
    <row r="14" spans="1:20" ht="21.75" customHeight="1" x14ac:dyDescent="0.2">
      <c r="A14" s="191">
        <v>9</v>
      </c>
      <c r="B14" s="169">
        <v>2</v>
      </c>
      <c r="C14" s="166">
        <v>1</v>
      </c>
      <c r="D14" s="169">
        <v>1</v>
      </c>
      <c r="E14" s="117">
        <v>3</v>
      </c>
      <c r="F14" s="192">
        <f t="shared" si="0"/>
        <v>7</v>
      </c>
      <c r="G14" s="193">
        <f t="shared" si="1"/>
        <v>315</v>
      </c>
      <c r="H14" s="194">
        <f>WATER!W14</f>
        <v>47</v>
      </c>
    </row>
    <row r="15" spans="1:20" ht="21.75" customHeight="1" x14ac:dyDescent="0.2">
      <c r="A15" s="191">
        <v>10</v>
      </c>
      <c r="B15" s="169">
        <v>2</v>
      </c>
      <c r="C15" s="166">
        <v>0</v>
      </c>
      <c r="D15" s="169">
        <v>1</v>
      </c>
      <c r="E15" s="117">
        <v>3</v>
      </c>
      <c r="F15" s="192">
        <f t="shared" si="0"/>
        <v>6</v>
      </c>
      <c r="G15" s="193">
        <f t="shared" si="1"/>
        <v>270</v>
      </c>
      <c r="H15" s="194">
        <f>WATER!W15</f>
        <v>46</v>
      </c>
    </row>
    <row r="16" spans="1:20" ht="21.75" customHeight="1" x14ac:dyDescent="0.2">
      <c r="A16" s="191">
        <v>11</v>
      </c>
      <c r="B16" s="169">
        <v>1</v>
      </c>
      <c r="C16" s="166">
        <v>2</v>
      </c>
      <c r="D16" s="169">
        <v>1</v>
      </c>
      <c r="E16" s="117">
        <v>2</v>
      </c>
      <c r="F16" s="192">
        <f t="shared" si="0"/>
        <v>6</v>
      </c>
      <c r="G16" s="193">
        <f t="shared" si="1"/>
        <v>270</v>
      </c>
      <c r="H16" s="194">
        <f>WATER!W16</f>
        <v>46</v>
      </c>
    </row>
    <row r="17" spans="1:8" ht="21.75" customHeight="1" x14ac:dyDescent="0.2">
      <c r="A17" s="191">
        <v>12</v>
      </c>
      <c r="B17" s="169">
        <v>2</v>
      </c>
      <c r="C17" s="166">
        <v>0</v>
      </c>
      <c r="D17" s="169">
        <v>1</v>
      </c>
      <c r="E17" s="117">
        <v>2</v>
      </c>
      <c r="F17" s="192">
        <f t="shared" si="0"/>
        <v>5</v>
      </c>
      <c r="G17" s="193">
        <f t="shared" si="1"/>
        <v>225</v>
      </c>
      <c r="H17" s="194">
        <f>WATER!W17</f>
        <v>45</v>
      </c>
    </row>
    <row r="18" spans="1:8" ht="21.75" customHeight="1" x14ac:dyDescent="0.2">
      <c r="A18" s="191">
        <v>13</v>
      </c>
      <c r="B18" s="169">
        <v>2</v>
      </c>
      <c r="C18" s="169">
        <v>0</v>
      </c>
      <c r="D18" s="166">
        <v>1</v>
      </c>
      <c r="E18" s="117">
        <v>1</v>
      </c>
      <c r="F18" s="192">
        <f t="shared" si="0"/>
        <v>4</v>
      </c>
      <c r="G18" s="193">
        <f t="shared" si="1"/>
        <v>180</v>
      </c>
      <c r="H18" s="194">
        <f>WATER!W18</f>
        <v>48</v>
      </c>
    </row>
    <row r="19" spans="1:8" ht="21.75" customHeight="1" x14ac:dyDescent="0.2">
      <c r="A19" s="191">
        <v>14</v>
      </c>
      <c r="B19" s="166">
        <v>2</v>
      </c>
      <c r="C19" s="166">
        <v>1</v>
      </c>
      <c r="D19" s="166">
        <v>1</v>
      </c>
      <c r="E19" s="117">
        <v>2</v>
      </c>
      <c r="F19" s="192">
        <f t="shared" si="0"/>
        <v>6</v>
      </c>
      <c r="G19" s="193">
        <f t="shared" si="1"/>
        <v>270</v>
      </c>
      <c r="H19" s="194">
        <f>WATER!W19</f>
        <v>46</v>
      </c>
    </row>
    <row r="20" spans="1:8" ht="21.75" customHeight="1" x14ac:dyDescent="0.2">
      <c r="A20" s="191">
        <v>15</v>
      </c>
      <c r="B20" s="166">
        <v>1</v>
      </c>
      <c r="C20" s="166">
        <v>0</v>
      </c>
      <c r="D20" s="166">
        <v>1</v>
      </c>
      <c r="E20" s="117">
        <v>2</v>
      </c>
      <c r="F20" s="192">
        <f t="shared" si="0"/>
        <v>4</v>
      </c>
      <c r="G20" s="193">
        <f t="shared" si="1"/>
        <v>180</v>
      </c>
      <c r="H20" s="194">
        <f>WATER!W20</f>
        <v>41</v>
      </c>
    </row>
    <row r="21" spans="1:8" ht="21.75" customHeight="1" x14ac:dyDescent="0.2">
      <c r="A21" s="191">
        <v>16</v>
      </c>
      <c r="B21" s="166">
        <v>2</v>
      </c>
      <c r="C21" s="169">
        <v>1</v>
      </c>
      <c r="D21" s="166">
        <v>1</v>
      </c>
      <c r="E21" s="117">
        <v>3</v>
      </c>
      <c r="F21" s="192">
        <f t="shared" si="0"/>
        <v>7</v>
      </c>
      <c r="G21" s="193">
        <f t="shared" si="1"/>
        <v>315</v>
      </c>
      <c r="H21" s="194">
        <f>WATER!W21</f>
        <v>34</v>
      </c>
    </row>
    <row r="22" spans="1:8" ht="21.75" customHeight="1" x14ac:dyDescent="0.2">
      <c r="A22" s="191">
        <v>17</v>
      </c>
      <c r="B22" s="166">
        <v>2</v>
      </c>
      <c r="C22" s="166">
        <v>1</v>
      </c>
      <c r="D22" s="166">
        <v>1</v>
      </c>
      <c r="E22" s="117">
        <v>2</v>
      </c>
      <c r="F22" s="192">
        <f t="shared" si="0"/>
        <v>6</v>
      </c>
      <c r="G22" s="193">
        <f t="shared" si="1"/>
        <v>270</v>
      </c>
      <c r="H22" s="194">
        <f>WATER!W22</f>
        <v>31</v>
      </c>
    </row>
    <row r="23" spans="1:8" ht="21.75" customHeight="1" x14ac:dyDescent="0.2">
      <c r="A23" s="191">
        <v>18</v>
      </c>
      <c r="B23" s="166">
        <v>2</v>
      </c>
      <c r="C23" s="166">
        <v>0</v>
      </c>
      <c r="D23" s="166">
        <v>1</v>
      </c>
      <c r="E23" s="117">
        <v>3</v>
      </c>
      <c r="F23" s="192">
        <f t="shared" si="0"/>
        <v>6</v>
      </c>
      <c r="G23" s="193">
        <f t="shared" si="1"/>
        <v>270</v>
      </c>
      <c r="H23" s="194">
        <f>WATER!W23</f>
        <v>40</v>
      </c>
    </row>
    <row r="24" spans="1:8" ht="21.75" customHeight="1" x14ac:dyDescent="0.2">
      <c r="A24" s="191">
        <v>19</v>
      </c>
      <c r="B24" s="166">
        <v>2</v>
      </c>
      <c r="C24" s="169">
        <v>2</v>
      </c>
      <c r="D24" s="166">
        <v>1</v>
      </c>
      <c r="E24" s="117">
        <v>4</v>
      </c>
      <c r="F24" s="192">
        <f t="shared" si="0"/>
        <v>9</v>
      </c>
      <c r="G24" s="193">
        <f t="shared" si="1"/>
        <v>405</v>
      </c>
      <c r="H24" s="194">
        <f>WATER!W24</f>
        <v>36</v>
      </c>
    </row>
    <row r="25" spans="1:8" ht="21.75" customHeight="1" x14ac:dyDescent="0.2">
      <c r="A25" s="191">
        <v>20</v>
      </c>
      <c r="B25" s="166"/>
      <c r="C25" s="166"/>
      <c r="D25" s="166"/>
      <c r="E25" s="117"/>
      <c r="F25" s="192">
        <f t="shared" si="0"/>
        <v>0</v>
      </c>
      <c r="G25" s="193">
        <f t="shared" si="1"/>
        <v>0</v>
      </c>
      <c r="H25" s="194">
        <f>WATER!W25</f>
        <v>0</v>
      </c>
    </row>
    <row r="26" spans="1:8" ht="21.75" customHeight="1" x14ac:dyDescent="0.2">
      <c r="A26" s="191">
        <v>21</v>
      </c>
      <c r="B26" s="166"/>
      <c r="C26" s="166"/>
      <c r="D26" s="166"/>
      <c r="E26" s="117"/>
      <c r="F26" s="192">
        <f t="shared" si="0"/>
        <v>0</v>
      </c>
      <c r="G26" s="193">
        <f t="shared" si="1"/>
        <v>0</v>
      </c>
      <c r="H26" s="194">
        <f>WATER!W26</f>
        <v>0</v>
      </c>
    </row>
    <row r="27" spans="1:8" ht="21.75" customHeight="1" x14ac:dyDescent="0.2">
      <c r="A27" s="191">
        <v>22</v>
      </c>
      <c r="B27" s="166"/>
      <c r="C27" s="169"/>
      <c r="D27" s="166"/>
      <c r="E27" s="117"/>
      <c r="F27" s="192">
        <f t="shared" si="0"/>
        <v>0</v>
      </c>
      <c r="G27" s="193">
        <f t="shared" si="1"/>
        <v>0</v>
      </c>
      <c r="H27" s="194">
        <f>WATER!W27</f>
        <v>0</v>
      </c>
    </row>
    <row r="28" spans="1:8" ht="21.75" customHeight="1" x14ac:dyDescent="0.2">
      <c r="A28" s="191">
        <v>23</v>
      </c>
      <c r="B28" s="166"/>
      <c r="C28" s="166"/>
      <c r="D28" s="166"/>
      <c r="E28" s="117"/>
      <c r="F28" s="192">
        <f t="shared" si="0"/>
        <v>0</v>
      </c>
      <c r="G28" s="193">
        <f t="shared" si="1"/>
        <v>0</v>
      </c>
      <c r="H28" s="194">
        <f>WATER!W28</f>
        <v>0</v>
      </c>
    </row>
    <row r="29" spans="1:8" ht="21.75" customHeight="1" x14ac:dyDescent="0.2">
      <c r="A29" s="191">
        <v>24</v>
      </c>
      <c r="B29" s="166"/>
      <c r="C29" s="166"/>
      <c r="D29" s="166"/>
      <c r="E29" s="117"/>
      <c r="F29" s="192">
        <f t="shared" si="0"/>
        <v>0</v>
      </c>
      <c r="G29" s="193">
        <f t="shared" si="1"/>
        <v>0</v>
      </c>
      <c r="H29" s="194">
        <f>WATER!W29</f>
        <v>0</v>
      </c>
    </row>
    <row r="30" spans="1:8" ht="21.75" customHeight="1" x14ac:dyDescent="0.2">
      <c r="A30" s="191">
        <v>25</v>
      </c>
      <c r="B30" s="166"/>
      <c r="C30" s="169"/>
      <c r="D30" s="166"/>
      <c r="E30" s="117"/>
      <c r="F30" s="192">
        <f t="shared" si="0"/>
        <v>0</v>
      </c>
      <c r="G30" s="193">
        <f t="shared" si="1"/>
        <v>0</v>
      </c>
      <c r="H30" s="194">
        <f>WATER!W30</f>
        <v>0</v>
      </c>
    </row>
    <row r="31" spans="1:8" ht="21.75" customHeight="1" x14ac:dyDescent="0.2">
      <c r="A31" s="191">
        <v>26</v>
      </c>
      <c r="B31" s="166"/>
      <c r="C31" s="166"/>
      <c r="D31" s="166"/>
      <c r="E31" s="117"/>
      <c r="F31" s="192">
        <f t="shared" si="0"/>
        <v>0</v>
      </c>
      <c r="G31" s="193">
        <f t="shared" si="1"/>
        <v>0</v>
      </c>
      <c r="H31" s="194">
        <f>WATER!W31</f>
        <v>0</v>
      </c>
    </row>
    <row r="32" spans="1:8" ht="21.75" customHeight="1" x14ac:dyDescent="0.2">
      <c r="A32" s="191">
        <v>27</v>
      </c>
      <c r="B32" s="166"/>
      <c r="C32" s="166"/>
      <c r="D32" s="166"/>
      <c r="E32" s="117"/>
      <c r="F32" s="192">
        <f t="shared" si="0"/>
        <v>0</v>
      </c>
      <c r="G32" s="193">
        <f t="shared" si="1"/>
        <v>0</v>
      </c>
      <c r="H32" s="194">
        <f>WATER!W32</f>
        <v>0</v>
      </c>
    </row>
    <row r="33" spans="1:8" ht="21.75" customHeight="1" x14ac:dyDescent="0.2">
      <c r="A33" s="191">
        <v>28</v>
      </c>
      <c r="B33" s="166"/>
      <c r="C33" s="169"/>
      <c r="D33" s="166"/>
      <c r="E33" s="117"/>
      <c r="F33" s="192">
        <f t="shared" si="0"/>
        <v>0</v>
      </c>
      <c r="G33" s="193">
        <f t="shared" si="1"/>
        <v>0</v>
      </c>
      <c r="H33" s="194">
        <f>WATER!W33</f>
        <v>0</v>
      </c>
    </row>
    <row r="34" spans="1:8" ht="21.75" customHeight="1" x14ac:dyDescent="0.2">
      <c r="A34" s="191">
        <v>29</v>
      </c>
      <c r="B34" s="166"/>
      <c r="C34" s="166"/>
      <c r="D34" s="166"/>
      <c r="E34" s="117"/>
      <c r="F34" s="192">
        <f t="shared" si="0"/>
        <v>0</v>
      </c>
      <c r="G34" s="193">
        <f t="shared" si="1"/>
        <v>0</v>
      </c>
      <c r="H34" s="194">
        <f>WATER!W34</f>
        <v>0</v>
      </c>
    </row>
    <row r="35" spans="1:8" ht="21.75" customHeight="1" x14ac:dyDescent="0.2">
      <c r="A35" s="191">
        <v>30</v>
      </c>
      <c r="B35" s="166"/>
      <c r="C35" s="166"/>
      <c r="D35" s="166"/>
      <c r="E35" s="117"/>
      <c r="F35" s="192">
        <f t="shared" si="0"/>
        <v>0</v>
      </c>
      <c r="G35" s="193">
        <f t="shared" si="1"/>
        <v>0</v>
      </c>
      <c r="H35" s="194">
        <f>WATER!W35</f>
        <v>0</v>
      </c>
    </row>
    <row r="36" spans="1:8" ht="21.75" customHeight="1" x14ac:dyDescent="0.2">
      <c r="A36" s="191">
        <v>31</v>
      </c>
      <c r="B36" s="166"/>
      <c r="C36" s="166"/>
      <c r="D36" s="166"/>
      <c r="E36" s="117"/>
      <c r="F36" s="192">
        <f t="shared" si="0"/>
        <v>0</v>
      </c>
      <c r="G36" s="193">
        <f t="shared" si="1"/>
        <v>0</v>
      </c>
      <c r="H36" s="194">
        <f>WATER!W36</f>
        <v>0</v>
      </c>
    </row>
    <row r="37" spans="1:8" ht="21" customHeight="1" x14ac:dyDescent="0.2">
      <c r="A37" s="195" t="s">
        <v>7</v>
      </c>
      <c r="B37" s="195"/>
      <c r="C37" s="195"/>
      <c r="D37" s="196"/>
      <c r="E37" s="196">
        <f>SUM(E6:E36)</f>
        <v>47</v>
      </c>
      <c r="F37" s="197">
        <f>SUM(F6:F36)</f>
        <v>113</v>
      </c>
      <c r="G37" s="193">
        <f>SUM(G6:G36)</f>
        <v>5085</v>
      </c>
      <c r="H37" s="194">
        <f>SUM(H6:H36)/30</f>
        <v>27.8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6">
        <v>44256</v>
      </c>
      <c r="C1" s="386"/>
      <c r="D1" s="386"/>
      <c r="E1" s="386"/>
      <c r="F1" s="386"/>
      <c r="G1" s="386"/>
      <c r="H1" s="386"/>
    </row>
    <row r="2" spans="2:14" ht="15.75" customHeight="1" x14ac:dyDescent="0.2">
      <c r="B2" s="386"/>
      <c r="C2" s="386"/>
      <c r="D2" s="386"/>
      <c r="E2" s="386"/>
      <c r="F2" s="386"/>
      <c r="G2" s="386"/>
      <c r="H2" s="386"/>
    </row>
    <row r="3" spans="2:14" ht="28.5" customHeight="1" x14ac:dyDescent="0.2">
      <c r="B3" s="387" t="s">
        <v>87</v>
      </c>
      <c r="C3" s="387"/>
      <c r="D3" s="387"/>
      <c r="E3" s="387"/>
      <c r="F3" s="387"/>
      <c r="G3" s="387"/>
      <c r="H3" s="387"/>
    </row>
    <row r="4" spans="2:14" x14ac:dyDescent="0.2">
      <c r="B4" s="113" t="s">
        <v>42</v>
      </c>
      <c r="C4" s="113" t="s">
        <v>82</v>
      </c>
      <c r="D4" s="113" t="s">
        <v>83</v>
      </c>
      <c r="E4" s="113" t="s">
        <v>84</v>
      </c>
      <c r="F4" s="113" t="s">
        <v>85</v>
      </c>
      <c r="G4" s="113" t="s">
        <v>86</v>
      </c>
      <c r="H4" s="113" t="s">
        <v>7</v>
      </c>
    </row>
    <row r="5" spans="2:14" x14ac:dyDescent="0.2">
      <c r="B5" s="111">
        <v>1</v>
      </c>
      <c r="C5" s="112">
        <f>'GENSET #1'!D10</f>
        <v>0</v>
      </c>
      <c r="D5" s="112">
        <f>'GENSET #2'!D10</f>
        <v>13269</v>
      </c>
      <c r="E5" s="112">
        <f>'GENSET #3'!D10</f>
        <v>10077</v>
      </c>
      <c r="F5" s="112">
        <f>'GENSET #4'!D10</f>
        <v>3225</v>
      </c>
      <c r="G5" s="112">
        <f>'GENSET #5'!D10</f>
        <v>3562</v>
      </c>
      <c r="H5" s="116">
        <f>SUM(C5:G5)</f>
        <v>30133</v>
      </c>
    </row>
    <row r="6" spans="2:14" x14ac:dyDescent="0.2">
      <c r="B6" s="106">
        <v>2</v>
      </c>
      <c r="C6" s="18">
        <f>'GENSET #1'!D11</f>
        <v>0</v>
      </c>
      <c r="D6" s="18">
        <f>'GENSET #2'!D11</f>
        <v>13679</v>
      </c>
      <c r="E6" s="18">
        <f>'GENSET #3'!D11</f>
        <v>3304</v>
      </c>
      <c r="F6" s="18">
        <f>'GENSET #4'!D11</f>
        <v>2788</v>
      </c>
      <c r="G6" s="18">
        <f>'GENSET #5'!D11</f>
        <v>11626</v>
      </c>
      <c r="H6" s="116">
        <f>SUM(C6:G6)</f>
        <v>31397</v>
      </c>
    </row>
    <row r="7" spans="2:14" x14ac:dyDescent="0.2">
      <c r="B7" s="111">
        <v>3</v>
      </c>
      <c r="C7" s="112">
        <f>'GENSET #1'!D12</f>
        <v>0</v>
      </c>
      <c r="D7" s="112">
        <f>'GENSET #2'!D12</f>
        <v>13818</v>
      </c>
      <c r="E7" s="112">
        <f>'GENSET #3'!D12</f>
        <v>10037</v>
      </c>
      <c r="F7" s="112">
        <f>'GENSET #4'!D12</f>
        <v>3135</v>
      </c>
      <c r="G7" s="112">
        <f>'GENSET #5'!D12</f>
        <v>3157</v>
      </c>
      <c r="H7" s="116">
        <f t="shared" ref="H7:H35" si="0">SUM(C7:G7)</f>
        <v>30147</v>
      </c>
    </row>
    <row r="8" spans="2:14" x14ac:dyDescent="0.2">
      <c r="B8" s="106">
        <v>4</v>
      </c>
      <c r="C8" s="18">
        <f>'GENSET #1'!D13</f>
        <v>0</v>
      </c>
      <c r="D8" s="18">
        <f>'GENSET #2'!D13</f>
        <v>12361</v>
      </c>
      <c r="E8" s="18">
        <f>'GENSET #3'!D13</f>
        <v>5205</v>
      </c>
      <c r="F8" s="18">
        <f>'GENSET #4'!D13</f>
        <v>2037</v>
      </c>
      <c r="G8" s="18">
        <f>'GENSET #5'!D13</f>
        <v>9201</v>
      </c>
      <c r="H8" s="116">
        <f t="shared" si="0"/>
        <v>28804</v>
      </c>
    </row>
    <row r="9" spans="2:14" x14ac:dyDescent="0.2">
      <c r="B9" s="111">
        <v>5</v>
      </c>
      <c r="C9" s="112">
        <f>'GENSET #1'!D14</f>
        <v>1133</v>
      </c>
      <c r="D9" s="112">
        <f>'GENSET #2'!D14</f>
        <v>11712</v>
      </c>
      <c r="E9" s="112">
        <f>'GENSET #3'!D14</f>
        <v>7284</v>
      </c>
      <c r="F9" s="112">
        <f>'GENSET #4'!D14</f>
        <v>2947</v>
      </c>
      <c r="G9" s="112">
        <f>'GENSET #5'!D14</f>
        <v>7289</v>
      </c>
      <c r="H9" s="116">
        <f t="shared" si="0"/>
        <v>30365</v>
      </c>
    </row>
    <row r="10" spans="2:14" x14ac:dyDescent="0.2">
      <c r="B10" s="106">
        <v>6</v>
      </c>
      <c r="C10" s="18">
        <f>'GENSET #1'!D15</f>
        <v>2760</v>
      </c>
      <c r="D10" s="18">
        <f>'GENSET #2'!D15</f>
        <v>11285</v>
      </c>
      <c r="E10" s="18">
        <f>'GENSET #3'!D15</f>
        <v>4056</v>
      </c>
      <c r="F10" s="18">
        <f>'GENSET #4'!D15</f>
        <v>2634</v>
      </c>
      <c r="G10" s="18">
        <f>'GENSET #5'!D15</f>
        <v>9165</v>
      </c>
      <c r="H10" s="116">
        <f t="shared" si="0"/>
        <v>29900</v>
      </c>
      <c r="K10" s="115"/>
      <c r="L10" s="115"/>
      <c r="M10" s="115"/>
      <c r="N10" s="115"/>
    </row>
    <row r="11" spans="2:14" x14ac:dyDescent="0.2">
      <c r="B11" s="111">
        <v>7</v>
      </c>
      <c r="C11" s="112">
        <f>'GENSET #1'!D16</f>
        <v>792</v>
      </c>
      <c r="D11" s="112">
        <f>'GENSET #2'!D16</f>
        <v>11776</v>
      </c>
      <c r="E11" s="112">
        <f>'GENSET #3'!D16</f>
        <v>10477</v>
      </c>
      <c r="F11" s="112">
        <f>'GENSET #4'!D16</f>
        <v>3322</v>
      </c>
      <c r="G11" s="112">
        <f>'GENSET #5'!D16</f>
        <v>4220</v>
      </c>
      <c r="H11" s="116">
        <f t="shared" si="0"/>
        <v>30587</v>
      </c>
      <c r="K11" s="115"/>
      <c r="L11" s="115"/>
      <c r="M11" s="115"/>
      <c r="N11" s="115"/>
    </row>
    <row r="12" spans="2:14" x14ac:dyDescent="0.2">
      <c r="B12" s="106">
        <v>8</v>
      </c>
      <c r="C12" s="18">
        <f>'GENSET #1'!D17</f>
        <v>9053</v>
      </c>
      <c r="D12" s="18">
        <f>'GENSET #2'!D17</f>
        <v>11133</v>
      </c>
      <c r="E12" s="18">
        <f>'GENSET #3'!D17</f>
        <v>146</v>
      </c>
      <c r="F12" s="18">
        <f>'GENSET #4'!D17</f>
        <v>3011</v>
      </c>
      <c r="G12" s="18">
        <f>'GENSET #5'!D17</f>
        <v>6876</v>
      </c>
      <c r="H12" s="116">
        <f t="shared" si="0"/>
        <v>30219</v>
      </c>
      <c r="K12" s="115"/>
      <c r="L12" s="115"/>
      <c r="M12" s="115"/>
      <c r="N12" s="115"/>
    </row>
    <row r="13" spans="2:14" x14ac:dyDescent="0.2">
      <c r="B13" s="111">
        <v>9</v>
      </c>
      <c r="C13" s="112">
        <f>'GENSET #1'!D18</f>
        <v>0</v>
      </c>
      <c r="D13" s="112">
        <f>'GENSET #2'!D18</f>
        <v>11421</v>
      </c>
      <c r="E13" s="112">
        <f>'GENSET #3'!D18</f>
        <v>10191</v>
      </c>
      <c r="F13" s="112">
        <f>'GENSET #4'!D18</f>
        <v>4307</v>
      </c>
      <c r="G13" s="112">
        <f>'GENSET #5'!D18</f>
        <v>4271</v>
      </c>
      <c r="H13" s="116">
        <f t="shared" si="0"/>
        <v>30190</v>
      </c>
      <c r="K13" s="115"/>
      <c r="L13" s="115"/>
      <c r="M13" s="115"/>
      <c r="N13" s="115"/>
    </row>
    <row r="14" spans="2:14" x14ac:dyDescent="0.2">
      <c r="B14" s="106">
        <v>10</v>
      </c>
      <c r="C14" s="18">
        <f>'GENSET #1'!D19</f>
        <v>3932</v>
      </c>
      <c r="D14" s="18">
        <f>'GENSET #2'!D19</f>
        <v>12134</v>
      </c>
      <c r="E14" s="18">
        <f>'GENSET #3'!D19</f>
        <v>472</v>
      </c>
      <c r="F14" s="18">
        <f>'GENSET #4'!D19</f>
        <v>2628</v>
      </c>
      <c r="G14" s="18">
        <f>'GENSET #5'!D19</f>
        <v>10841</v>
      </c>
      <c r="H14" s="116">
        <f t="shared" si="0"/>
        <v>30007</v>
      </c>
      <c r="K14" s="115"/>
      <c r="L14" s="115"/>
      <c r="M14" s="115"/>
      <c r="N14" s="115"/>
    </row>
    <row r="15" spans="2:14" x14ac:dyDescent="0.2">
      <c r="B15" s="111">
        <v>11</v>
      </c>
      <c r="C15" s="112">
        <f>'GENSET #1'!D20</f>
        <v>3733</v>
      </c>
      <c r="D15" s="112">
        <f>'GENSET #2'!D20</f>
        <v>13083</v>
      </c>
      <c r="E15" s="112">
        <f>'GENSET #3'!D20</f>
        <v>3366</v>
      </c>
      <c r="F15" s="112">
        <f>'GENSET #4'!D20</f>
        <v>1098</v>
      </c>
      <c r="G15" s="112">
        <f>'GENSET #5'!D20</f>
        <v>8094</v>
      </c>
      <c r="H15" s="116">
        <f t="shared" si="0"/>
        <v>29374</v>
      </c>
      <c r="K15" s="115"/>
      <c r="L15" s="115"/>
      <c r="M15" s="115"/>
      <c r="N15" s="115"/>
    </row>
    <row r="16" spans="2:14" x14ac:dyDescent="0.2">
      <c r="B16" s="106">
        <v>12</v>
      </c>
      <c r="C16" s="18">
        <f>'GENSET #1'!D21</f>
        <v>3380</v>
      </c>
      <c r="D16" s="18">
        <f>'GENSET #2'!D21</f>
        <v>12350</v>
      </c>
      <c r="E16" s="18">
        <f>'GENSET #3'!D21</f>
        <v>7157</v>
      </c>
      <c r="F16" s="18">
        <f>'GENSET #4'!D21</f>
        <v>2363</v>
      </c>
      <c r="G16" s="18">
        <f>'GENSET #5'!D21</f>
        <v>3812</v>
      </c>
      <c r="H16" s="116">
        <f t="shared" si="0"/>
        <v>29062</v>
      </c>
      <c r="K16" s="115"/>
      <c r="L16" s="115"/>
      <c r="M16" s="115"/>
      <c r="N16" s="115"/>
    </row>
    <row r="17" spans="2:14" x14ac:dyDescent="0.2">
      <c r="B17" s="111">
        <v>13</v>
      </c>
      <c r="C17" s="112">
        <f>'GENSET #1'!D22</f>
        <v>8520</v>
      </c>
      <c r="D17" s="112">
        <f>'GENSET #2'!D22</f>
        <v>12718</v>
      </c>
      <c r="E17" s="112">
        <f>'GENSET #3'!D22</f>
        <v>3583</v>
      </c>
      <c r="F17" s="112">
        <f>'GENSET #4'!D22</f>
        <v>0</v>
      </c>
      <c r="G17" s="112">
        <f>'GENSET #5'!D22</f>
        <v>3355</v>
      </c>
      <c r="H17" s="116">
        <f t="shared" si="0"/>
        <v>28176</v>
      </c>
      <c r="K17" s="115"/>
      <c r="L17" s="115"/>
      <c r="M17" s="115"/>
      <c r="N17" s="115"/>
    </row>
    <row r="18" spans="2:14" x14ac:dyDescent="0.2">
      <c r="B18" s="106">
        <v>14</v>
      </c>
      <c r="C18" s="18">
        <f>'GENSET #1'!D23</f>
        <v>6260</v>
      </c>
      <c r="D18" s="18">
        <f>'GENSET #2'!D23</f>
        <v>12269</v>
      </c>
      <c r="E18" s="18">
        <f>'GENSET #3'!D23</f>
        <v>4798</v>
      </c>
      <c r="F18" s="18">
        <f>'GENSET #4'!D23</f>
        <v>1112</v>
      </c>
      <c r="G18" s="18">
        <f>'GENSET #5'!D23</f>
        <v>4021</v>
      </c>
      <c r="H18" s="116">
        <f t="shared" si="0"/>
        <v>28460</v>
      </c>
      <c r="K18" s="115"/>
      <c r="L18" s="115"/>
      <c r="M18" s="115"/>
      <c r="N18" s="115"/>
    </row>
    <row r="19" spans="2:14" x14ac:dyDescent="0.2">
      <c r="B19" s="111">
        <v>15</v>
      </c>
      <c r="C19" s="112">
        <f>'GENSET #1'!D24</f>
        <v>3807</v>
      </c>
      <c r="D19" s="112">
        <f>'GENSET #2'!D24</f>
        <v>12459</v>
      </c>
      <c r="E19" s="112">
        <f>'GENSET #3'!D24</f>
        <v>3596</v>
      </c>
      <c r="F19" s="112">
        <f>'GENSET #4'!D24</f>
        <v>1979</v>
      </c>
      <c r="G19" s="112">
        <f>'GENSET #5'!D24</f>
        <v>7890</v>
      </c>
      <c r="H19" s="116">
        <f t="shared" si="0"/>
        <v>29731</v>
      </c>
      <c r="K19" s="115"/>
      <c r="L19" s="115"/>
      <c r="M19" s="115"/>
      <c r="N19" s="115"/>
    </row>
    <row r="20" spans="2:14" x14ac:dyDescent="0.2">
      <c r="B20" s="106">
        <v>16</v>
      </c>
      <c r="C20" s="18">
        <f>'GENSET #1'!D25</f>
        <v>11221</v>
      </c>
      <c r="D20" s="18">
        <f>'GENSET #2'!D25</f>
        <v>10773</v>
      </c>
      <c r="E20" s="18">
        <f>'GENSET #3'!D25</f>
        <v>0</v>
      </c>
      <c r="F20" s="18">
        <f>'GENSET #4'!D25</f>
        <v>3744</v>
      </c>
      <c r="G20" s="18">
        <f>'GENSET #5'!D25</f>
        <v>4669</v>
      </c>
      <c r="H20" s="116">
        <f t="shared" si="0"/>
        <v>30407</v>
      </c>
      <c r="K20" s="115"/>
      <c r="L20" s="115"/>
      <c r="M20" s="115"/>
      <c r="N20" s="115"/>
    </row>
    <row r="21" spans="2:14" x14ac:dyDescent="0.2">
      <c r="B21" s="111">
        <v>17</v>
      </c>
      <c r="C21" s="112">
        <f>'GENSET #1'!D26</f>
        <v>8039</v>
      </c>
      <c r="D21" s="112">
        <f>'GENSET #2'!D26</f>
        <v>13153</v>
      </c>
      <c r="E21" s="112">
        <f>'GENSET #3'!D26</f>
        <v>0</v>
      </c>
      <c r="F21" s="112">
        <f>'GENSET #4'!D26</f>
        <v>2516</v>
      </c>
      <c r="G21" s="112">
        <f>'GENSET #5'!D26</f>
        <v>7226</v>
      </c>
      <c r="H21" s="116">
        <f t="shared" si="0"/>
        <v>30934</v>
      </c>
      <c r="K21" s="115"/>
      <c r="L21" s="115"/>
      <c r="M21" s="115"/>
      <c r="N21" s="115"/>
    </row>
    <row r="22" spans="2:14" x14ac:dyDescent="0.2">
      <c r="B22" s="106">
        <v>18</v>
      </c>
      <c r="C22" s="18">
        <f>'GENSET #1'!D27</f>
        <v>6691</v>
      </c>
      <c r="D22" s="18">
        <f>'GENSET #2'!D27</f>
        <v>18659</v>
      </c>
      <c r="E22" s="18">
        <f>'GENSET #3'!D27</f>
        <v>0</v>
      </c>
      <c r="F22" s="18">
        <f>'GENSET #4'!D27</f>
        <v>4795</v>
      </c>
      <c r="G22" s="18">
        <f>'GENSET #5'!D27</f>
        <v>418</v>
      </c>
      <c r="H22" s="116">
        <f t="shared" si="0"/>
        <v>30563</v>
      </c>
    </row>
    <row r="23" spans="2:14" x14ac:dyDescent="0.2">
      <c r="B23" s="111">
        <v>19</v>
      </c>
      <c r="C23" s="112">
        <f>'GENSET #1'!D28</f>
        <v>3952</v>
      </c>
      <c r="D23" s="112">
        <f>'GENSET #2'!D28</f>
        <v>14958</v>
      </c>
      <c r="E23" s="112">
        <f>'GENSET #3'!D28</f>
        <v>7511</v>
      </c>
      <c r="F23" s="112">
        <f>'GENSET #4'!D28</f>
        <v>3945</v>
      </c>
      <c r="G23" s="112">
        <f>'GENSET #5'!D28</f>
        <v>0</v>
      </c>
      <c r="H23" s="116">
        <f t="shared" si="0"/>
        <v>30366</v>
      </c>
    </row>
    <row r="24" spans="2:14" x14ac:dyDescent="0.2">
      <c r="B24" s="106">
        <v>20</v>
      </c>
      <c r="C24" s="18">
        <f>'GENSET #1'!D29</f>
        <v>7823</v>
      </c>
      <c r="D24" s="18">
        <f>'GENSET #2'!D29</f>
        <v>13475</v>
      </c>
      <c r="E24" s="18">
        <f>'GENSET #3'!D29</f>
        <v>6298</v>
      </c>
      <c r="F24" s="18">
        <f>'GENSET #4'!D29</f>
        <v>1644</v>
      </c>
      <c r="G24" s="18">
        <f>'GENSET #5'!D29</f>
        <v>0</v>
      </c>
      <c r="H24" s="116">
        <f t="shared" si="0"/>
        <v>29240</v>
      </c>
    </row>
    <row r="25" spans="2:14" x14ac:dyDescent="0.2">
      <c r="B25" s="111">
        <v>21</v>
      </c>
      <c r="C25" s="112">
        <f>'GENSET #1'!D30</f>
        <v>-17163352</v>
      </c>
      <c r="D25" s="112">
        <f>'GENSET #2'!D30</f>
        <v>-29928357</v>
      </c>
      <c r="E25" s="112">
        <f>'GENSET #3'!D30</f>
        <v>-13134204</v>
      </c>
      <c r="F25" s="112">
        <f>'GENSET #4'!D30</f>
        <v>-11693164</v>
      </c>
      <c r="G25" s="112">
        <f>'GENSET #5'!D30</f>
        <v>-18260692</v>
      </c>
      <c r="H25" s="116">
        <f t="shared" si="0"/>
        <v>-90179769</v>
      </c>
    </row>
    <row r="26" spans="2:14" x14ac:dyDescent="0.2">
      <c r="B26" s="106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6">
        <f t="shared" si="0"/>
        <v>0</v>
      </c>
    </row>
    <row r="27" spans="2:14" x14ac:dyDescent="0.2">
      <c r="B27" s="111">
        <v>23</v>
      </c>
      <c r="C27" s="112">
        <f>'GENSET #1'!D32</f>
        <v>0</v>
      </c>
      <c r="D27" s="112">
        <f>'GENSET #2'!D32</f>
        <v>0</v>
      </c>
      <c r="E27" s="112">
        <f>'GENSET #3'!D32</f>
        <v>0</v>
      </c>
      <c r="F27" s="112">
        <f>'GENSET #4'!D32</f>
        <v>0</v>
      </c>
      <c r="G27" s="112">
        <f>'GENSET #5'!D32</f>
        <v>0</v>
      </c>
      <c r="H27" s="116">
        <f t="shared" si="0"/>
        <v>0</v>
      </c>
    </row>
    <row r="28" spans="2:14" x14ac:dyDescent="0.2">
      <c r="B28" s="106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6">
        <f t="shared" si="0"/>
        <v>0</v>
      </c>
    </row>
    <row r="29" spans="2:14" x14ac:dyDescent="0.2">
      <c r="B29" s="111">
        <v>25</v>
      </c>
      <c r="C29" s="112">
        <f>'GENSET #1'!D34</f>
        <v>0</v>
      </c>
      <c r="D29" s="112">
        <f>'GENSET #2'!D34</f>
        <v>0</v>
      </c>
      <c r="E29" s="112">
        <f>'GENSET #3'!D34</f>
        <v>0</v>
      </c>
      <c r="F29" s="112">
        <f>'GENSET #4'!D34</f>
        <v>0</v>
      </c>
      <c r="G29" s="112">
        <f>'GENSET #5'!D34</f>
        <v>0</v>
      </c>
      <c r="H29" s="116">
        <f t="shared" si="0"/>
        <v>0</v>
      </c>
    </row>
    <row r="30" spans="2:14" x14ac:dyDescent="0.2">
      <c r="B30" s="106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6">
        <f t="shared" si="0"/>
        <v>0</v>
      </c>
    </row>
    <row r="31" spans="2:14" x14ac:dyDescent="0.2">
      <c r="B31" s="111">
        <v>27</v>
      </c>
      <c r="C31" s="112">
        <f>'GENSET #1'!D36</f>
        <v>0</v>
      </c>
      <c r="D31" s="112">
        <f>'GENSET #2'!D36</f>
        <v>0</v>
      </c>
      <c r="E31" s="112">
        <f>'GENSET #3'!D36</f>
        <v>0</v>
      </c>
      <c r="F31" s="112">
        <f>'GENSET #4'!D36</f>
        <v>0</v>
      </c>
      <c r="G31" s="112">
        <f>'GENSET #5'!D36</f>
        <v>0</v>
      </c>
      <c r="H31" s="116">
        <f t="shared" si="0"/>
        <v>0</v>
      </c>
    </row>
    <row r="32" spans="2:14" x14ac:dyDescent="0.2">
      <c r="B32" s="106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6">
        <f t="shared" si="0"/>
        <v>0</v>
      </c>
    </row>
    <row r="33" spans="1:8" x14ac:dyDescent="0.2">
      <c r="B33" s="111">
        <v>29</v>
      </c>
      <c r="C33" s="112">
        <f>'GENSET #1'!D38</f>
        <v>0</v>
      </c>
      <c r="D33" s="112">
        <f>'GENSET #2'!D38</f>
        <v>0</v>
      </c>
      <c r="E33" s="112">
        <f>'GENSET #3'!D38</f>
        <v>0</v>
      </c>
      <c r="F33" s="112">
        <f>'GENSET #4'!D38</f>
        <v>0</v>
      </c>
      <c r="G33" s="112">
        <f>'GENSET #5'!D38</f>
        <v>0</v>
      </c>
      <c r="H33" s="116">
        <f t="shared" si="0"/>
        <v>0</v>
      </c>
    </row>
    <row r="34" spans="1:8" x14ac:dyDescent="0.2">
      <c r="B34" s="106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6">
        <f t="shared" si="0"/>
        <v>0</v>
      </c>
    </row>
    <row r="35" spans="1:8" x14ac:dyDescent="0.2">
      <c r="B35" s="111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6" t="e">
        <f t="shared" si="0"/>
        <v>#REF!</v>
      </c>
    </row>
    <row r="36" spans="1:8" x14ac:dyDescent="0.2">
      <c r="A36" s="385" t="s">
        <v>88</v>
      </c>
      <c r="B36" s="385"/>
      <c r="C36" s="114" t="e">
        <f>SUM(C5:C35)</f>
        <v>#REF!</v>
      </c>
      <c r="D36" s="114" t="e">
        <f>SUM(D5:D35)</f>
        <v>#REF!</v>
      </c>
      <c r="E36" s="114" t="e">
        <f>SUM(E5:E35)</f>
        <v>#REF!</v>
      </c>
      <c r="F36" s="114" t="e">
        <f>SUM(F5:F35)</f>
        <v>#REF!</v>
      </c>
      <c r="G36" s="114" t="e">
        <f>SUM(G5:G35)</f>
        <v>#REF!</v>
      </c>
      <c r="H36" s="114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1">
        <v>44256</v>
      </c>
      <c r="C4" s="361"/>
      <c r="D4" s="10"/>
      <c r="E4" s="10"/>
      <c r="F4" s="107"/>
    </row>
    <row r="5" spans="1:10" ht="14.25" customHeight="1" x14ac:dyDescent="0.2">
      <c r="A5" s="6"/>
      <c r="B5" s="11"/>
      <c r="C5" s="11"/>
      <c r="D5" s="12"/>
      <c r="E5" s="10"/>
      <c r="F5" s="107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30133</v>
      </c>
      <c r="C9" s="7">
        <f>'Diesel consumption'!D5</f>
        <v>8220</v>
      </c>
      <c r="D9" s="2">
        <f>'SOLAR METER READING'!D9</f>
        <v>3180</v>
      </c>
      <c r="E9" s="7">
        <f>'Gas-2'!G6</f>
        <v>225</v>
      </c>
      <c r="F9" s="108">
        <f>WATER!V6</f>
        <v>291</v>
      </c>
      <c r="G9" s="110">
        <f>WATER!W6</f>
        <v>45</v>
      </c>
      <c r="H9" s="15">
        <f>B9/C9</f>
        <v>3.665815085158151</v>
      </c>
      <c r="I9" s="15">
        <f>SUM(B9,D9)</f>
        <v>33313</v>
      </c>
      <c r="J9" s="3"/>
    </row>
    <row r="10" spans="1:10" x14ac:dyDescent="0.2">
      <c r="A10" s="6">
        <v>2</v>
      </c>
      <c r="B10" s="7">
        <f>SUM('GENSET #1:GENSET #5'!D11)</f>
        <v>31397</v>
      </c>
      <c r="C10" s="7">
        <f>'Diesel consumption'!D6</f>
        <v>8710</v>
      </c>
      <c r="D10" s="2">
        <f>'SOLAR METER READING'!D10</f>
        <v>3214</v>
      </c>
      <c r="E10" s="7">
        <f>'Gas-2'!G7</f>
        <v>180</v>
      </c>
      <c r="F10" s="108">
        <f>WATER!V7</f>
        <v>361</v>
      </c>
      <c r="G10" s="110">
        <f>WATER!W7</f>
        <v>48</v>
      </c>
      <c r="H10" s="15">
        <f t="shared" ref="H10:H38" si="0">B10/C10</f>
        <v>3.6047072330654419</v>
      </c>
      <c r="I10" s="15">
        <f t="shared" ref="I10:I40" si="1">SUM(B10,D10)</f>
        <v>34611</v>
      </c>
    </row>
    <row r="11" spans="1:10" x14ac:dyDescent="0.2">
      <c r="A11" s="6">
        <v>3</v>
      </c>
      <c r="B11" s="7">
        <f>SUM('GENSET #1:GENSET #5'!D12)</f>
        <v>30147</v>
      </c>
      <c r="C11" s="7">
        <f>'Diesel consumption'!D7</f>
        <v>8430</v>
      </c>
      <c r="D11" s="2">
        <f>'SOLAR METER READING'!D11</f>
        <v>2336</v>
      </c>
      <c r="E11" s="7">
        <f>'Gas-2'!G8</f>
        <v>270</v>
      </c>
      <c r="F11" s="108">
        <f>WATER!V8</f>
        <v>385</v>
      </c>
      <c r="G11" s="110">
        <f>WATER!W8</f>
        <v>34</v>
      </c>
      <c r="H11" s="15">
        <f t="shared" si="0"/>
        <v>3.5761565836298934</v>
      </c>
      <c r="I11" s="15">
        <f t="shared" si="1"/>
        <v>32483</v>
      </c>
    </row>
    <row r="12" spans="1:10" x14ac:dyDescent="0.2">
      <c r="A12" s="6">
        <v>4</v>
      </c>
      <c r="B12" s="7">
        <f>SUM('GENSET #1:GENSET #5'!D13)</f>
        <v>28804</v>
      </c>
      <c r="C12" s="7">
        <f>'Diesel consumption'!D8</f>
        <v>8070</v>
      </c>
      <c r="D12" s="2">
        <f>'SOLAR METER READING'!D12</f>
        <v>3076</v>
      </c>
      <c r="E12" s="7">
        <f>'Gas-2'!G9</f>
        <v>315</v>
      </c>
      <c r="F12" s="108">
        <f>WATER!V9</f>
        <v>368</v>
      </c>
      <c r="G12" s="110">
        <f>WATER!W9</f>
        <v>54</v>
      </c>
      <c r="H12" s="15">
        <f t="shared" si="0"/>
        <v>3.569268897149938</v>
      </c>
      <c r="I12" s="15">
        <f t="shared" si="1"/>
        <v>31880</v>
      </c>
    </row>
    <row r="13" spans="1:10" x14ac:dyDescent="0.2">
      <c r="A13" s="6">
        <v>5</v>
      </c>
      <c r="B13" s="7">
        <f>SUM('GENSET #1:GENSET #5'!D14)</f>
        <v>30365</v>
      </c>
      <c r="C13" s="7">
        <f>'Diesel consumption'!D9</f>
        <v>8200</v>
      </c>
      <c r="D13" s="2">
        <f>'SOLAR METER READING'!D13</f>
        <v>3178</v>
      </c>
      <c r="E13" s="7">
        <f>'Gas-2'!G10</f>
        <v>270</v>
      </c>
      <c r="F13" s="108">
        <f>WATER!V10</f>
        <v>356</v>
      </c>
      <c r="G13" s="110">
        <f>WATER!W10</f>
        <v>53</v>
      </c>
      <c r="H13" s="15">
        <f t="shared" si="0"/>
        <v>3.7030487804878049</v>
      </c>
      <c r="I13" s="15">
        <f t="shared" si="1"/>
        <v>33543</v>
      </c>
    </row>
    <row r="14" spans="1:10" x14ac:dyDescent="0.2">
      <c r="A14" s="6">
        <v>6</v>
      </c>
      <c r="B14" s="7">
        <f>SUM('GENSET #1:GENSET #5'!D15)</f>
        <v>29900</v>
      </c>
      <c r="C14" s="7">
        <f>'Diesel consumption'!D10</f>
        <v>8570</v>
      </c>
      <c r="D14" s="2">
        <f>'SOLAR METER READING'!D14</f>
        <v>2974</v>
      </c>
      <c r="E14" s="7">
        <f>'Gas-2'!G11</f>
        <v>270</v>
      </c>
      <c r="F14" s="108">
        <f>WATER!V11</f>
        <v>379</v>
      </c>
      <c r="G14" s="110">
        <f>WATER!W11</f>
        <v>45</v>
      </c>
      <c r="H14" s="15">
        <f t="shared" si="0"/>
        <v>3.4889148191365229</v>
      </c>
      <c r="I14" s="15">
        <f t="shared" si="1"/>
        <v>32874</v>
      </c>
    </row>
    <row r="15" spans="1:10" x14ac:dyDescent="0.2">
      <c r="A15" s="6">
        <v>7</v>
      </c>
      <c r="B15" s="7">
        <f>SUM('GENSET #1:GENSET #5'!D16)</f>
        <v>30587</v>
      </c>
      <c r="C15" s="7">
        <f>'Diesel consumption'!D11</f>
        <v>8380</v>
      </c>
      <c r="D15" s="2">
        <f>'SOLAR METER READING'!D15</f>
        <v>2854</v>
      </c>
      <c r="E15" s="7">
        <f>'Gas-2'!G12</f>
        <v>270</v>
      </c>
      <c r="F15" s="108">
        <f>WATER!V12</f>
        <v>417</v>
      </c>
      <c r="G15" s="110">
        <f>WATER!W12</f>
        <v>48</v>
      </c>
      <c r="H15" s="15">
        <f t="shared" si="0"/>
        <v>3.65</v>
      </c>
      <c r="I15" s="15">
        <f t="shared" si="1"/>
        <v>33441</v>
      </c>
    </row>
    <row r="16" spans="1:10" x14ac:dyDescent="0.2">
      <c r="A16" s="6">
        <v>8</v>
      </c>
      <c r="B16" s="7">
        <f>SUM('GENSET #1:GENSET #5'!D17)</f>
        <v>30219</v>
      </c>
      <c r="C16" s="7">
        <f>'Diesel consumption'!D12</f>
        <v>8650</v>
      </c>
      <c r="D16" s="2">
        <f>'SOLAR METER READING'!D16</f>
        <v>2674</v>
      </c>
      <c r="E16" s="7">
        <f>'Gas-2'!G13</f>
        <v>315</v>
      </c>
      <c r="F16" s="108">
        <f>WATER!V13</f>
        <v>390</v>
      </c>
      <c r="G16" s="110">
        <f>WATER!W13</f>
        <v>47</v>
      </c>
      <c r="H16" s="15">
        <f t="shared" si="0"/>
        <v>3.4935260115606934</v>
      </c>
      <c r="I16" s="15">
        <f t="shared" si="1"/>
        <v>32893</v>
      </c>
    </row>
    <row r="17" spans="1:9" x14ac:dyDescent="0.2">
      <c r="A17" s="6">
        <v>9</v>
      </c>
      <c r="B17" s="7">
        <f>SUM('GENSET #1:GENSET #5'!D18)</f>
        <v>30190</v>
      </c>
      <c r="C17" s="7">
        <f>'Diesel consumption'!D13</f>
        <v>8350</v>
      </c>
      <c r="D17" s="2">
        <f>'SOLAR METER READING'!D17</f>
        <v>3112</v>
      </c>
      <c r="E17" s="7">
        <f>'Gas-2'!G14</f>
        <v>315</v>
      </c>
      <c r="F17" s="108">
        <f>WATER!V14</f>
        <v>381</v>
      </c>
      <c r="G17" s="110">
        <f>WATER!W14</f>
        <v>47</v>
      </c>
      <c r="H17" s="15">
        <f t="shared" si="0"/>
        <v>3.6155688622754489</v>
      </c>
      <c r="I17" s="15">
        <f t="shared" si="1"/>
        <v>33302</v>
      </c>
    </row>
    <row r="18" spans="1:9" x14ac:dyDescent="0.2">
      <c r="A18" s="6">
        <v>10</v>
      </c>
      <c r="B18" s="7">
        <f>SUM('GENSET #1:GENSET #5'!D19)</f>
        <v>30007</v>
      </c>
      <c r="C18" s="7">
        <f>'Diesel consumption'!D14</f>
        <v>8460</v>
      </c>
      <c r="D18" s="2">
        <f>'SOLAR METER READING'!D18</f>
        <v>2430</v>
      </c>
      <c r="E18" s="7">
        <f>'Gas-2'!G15</f>
        <v>270</v>
      </c>
      <c r="F18" s="108">
        <f>WATER!V15</f>
        <v>353</v>
      </c>
      <c r="G18" s="110">
        <f>WATER!W15</f>
        <v>46</v>
      </c>
      <c r="H18" s="15">
        <f t="shared" si="0"/>
        <v>3.5469267139479905</v>
      </c>
      <c r="I18" s="15">
        <f t="shared" si="1"/>
        <v>32437</v>
      </c>
    </row>
    <row r="19" spans="1:9" x14ac:dyDescent="0.2">
      <c r="A19" s="6">
        <v>11</v>
      </c>
      <c r="B19" s="7">
        <f>SUM('GENSET #1:GENSET #5'!D20)</f>
        <v>29374</v>
      </c>
      <c r="C19" s="7">
        <f>'Diesel consumption'!D15</f>
        <v>8140</v>
      </c>
      <c r="D19" s="2">
        <f>'SOLAR METER READING'!D19</f>
        <v>1801</v>
      </c>
      <c r="E19" s="7">
        <f>'Gas-2'!G16</f>
        <v>270</v>
      </c>
      <c r="F19" s="108">
        <f>WATER!V16</f>
        <v>387</v>
      </c>
      <c r="G19" s="110">
        <f>WATER!W16</f>
        <v>46</v>
      </c>
      <c r="H19" s="15">
        <f t="shared" si="0"/>
        <v>3.6085995085995086</v>
      </c>
      <c r="I19" s="15">
        <f t="shared" si="1"/>
        <v>31175</v>
      </c>
    </row>
    <row r="20" spans="1:9" x14ac:dyDescent="0.2">
      <c r="A20" s="6">
        <v>12</v>
      </c>
      <c r="B20" s="7">
        <f>SUM('GENSET #1:GENSET #5'!D21)</f>
        <v>29062</v>
      </c>
      <c r="C20" s="7">
        <f>'Diesel consumption'!D16</f>
        <v>8070</v>
      </c>
      <c r="D20" s="2">
        <f>'SOLAR METER READING'!D20</f>
        <v>1981</v>
      </c>
      <c r="E20" s="7">
        <f>'Gas-2'!G17</f>
        <v>225</v>
      </c>
      <c r="F20" s="108">
        <f>WATER!V17</f>
        <v>328</v>
      </c>
      <c r="G20" s="110">
        <f>WATER!W17</f>
        <v>45</v>
      </c>
      <c r="H20" s="15">
        <f t="shared" si="0"/>
        <v>3.6012391573729863</v>
      </c>
      <c r="I20" s="15">
        <f t="shared" si="1"/>
        <v>31043</v>
      </c>
    </row>
    <row r="21" spans="1:9" x14ac:dyDescent="0.2">
      <c r="A21" s="6">
        <v>13</v>
      </c>
      <c r="B21" s="7">
        <f>SUM('GENSET #1:GENSET #5'!D22)</f>
        <v>28176</v>
      </c>
      <c r="C21" s="7">
        <f>'Diesel consumption'!D17</f>
        <v>7960</v>
      </c>
      <c r="D21" s="2">
        <f>'SOLAR METER READING'!D21</f>
        <v>998</v>
      </c>
      <c r="E21" s="7">
        <f>'Gas-2'!G18</f>
        <v>180</v>
      </c>
      <c r="F21" s="108">
        <f>WATER!V18</f>
        <v>408</v>
      </c>
      <c r="G21" s="110">
        <f>WATER!W18</f>
        <v>48</v>
      </c>
      <c r="H21" s="15">
        <f t="shared" si="0"/>
        <v>3.5396984924623114</v>
      </c>
      <c r="I21" s="15">
        <f t="shared" si="1"/>
        <v>29174</v>
      </c>
    </row>
    <row r="22" spans="1:9" x14ac:dyDescent="0.2">
      <c r="A22" s="6">
        <v>14</v>
      </c>
      <c r="B22" s="7">
        <f>SUM('GENSET #1:GENSET #5'!D23)</f>
        <v>28460</v>
      </c>
      <c r="C22" s="7">
        <f>'Diesel consumption'!D18</f>
        <v>7980</v>
      </c>
      <c r="D22" s="2">
        <f>'SOLAR METER READING'!D22</f>
        <v>536</v>
      </c>
      <c r="E22" s="7">
        <f>'Gas-2'!G19</f>
        <v>270</v>
      </c>
      <c r="F22" s="108">
        <f>WATER!V19</f>
        <v>364</v>
      </c>
      <c r="G22" s="110">
        <f>WATER!W19</f>
        <v>46</v>
      </c>
      <c r="H22" s="15">
        <f t="shared" si="0"/>
        <v>3.5664160401002505</v>
      </c>
      <c r="I22" s="15">
        <f t="shared" si="1"/>
        <v>28996</v>
      </c>
    </row>
    <row r="23" spans="1:9" x14ac:dyDescent="0.2">
      <c r="A23" s="6">
        <v>15</v>
      </c>
      <c r="B23" s="7">
        <f>SUM('GENSET #1:GENSET #5'!D24)</f>
        <v>29731</v>
      </c>
      <c r="C23" s="7">
        <f>'Diesel consumption'!D19</f>
        <v>8260</v>
      </c>
      <c r="D23" s="2">
        <f>'SOLAR METER READING'!D23</f>
        <v>1650</v>
      </c>
      <c r="E23" s="7">
        <f>'Gas-2'!G20</f>
        <v>180</v>
      </c>
      <c r="F23" s="108">
        <f>WATER!V20</f>
        <v>331</v>
      </c>
      <c r="G23" s="110">
        <f>WATER!W20</f>
        <v>41</v>
      </c>
      <c r="H23" s="15">
        <f t="shared" si="0"/>
        <v>3.5993946731234865</v>
      </c>
      <c r="I23" s="15">
        <f t="shared" si="1"/>
        <v>31381</v>
      </c>
    </row>
    <row r="24" spans="1:9" x14ac:dyDescent="0.2">
      <c r="A24" s="6">
        <v>16</v>
      </c>
      <c r="B24" s="7">
        <f>SUM('GENSET #1:GENSET #5'!D25)</f>
        <v>30407</v>
      </c>
      <c r="C24" s="7">
        <f>'Diesel consumption'!D20</f>
        <v>8990</v>
      </c>
      <c r="D24" s="2">
        <f>'SOLAR METER READING'!D24</f>
        <v>3141</v>
      </c>
      <c r="E24" s="7">
        <f>'Gas-2'!G21</f>
        <v>315</v>
      </c>
      <c r="F24" s="108">
        <f>WATER!V21</f>
        <v>325</v>
      </c>
      <c r="G24" s="110">
        <f>WATER!W21</f>
        <v>34</v>
      </c>
      <c r="H24" s="15">
        <f t="shared" si="0"/>
        <v>3.3823136818687431</v>
      </c>
      <c r="I24" s="15">
        <f t="shared" si="1"/>
        <v>33548</v>
      </c>
    </row>
    <row r="25" spans="1:9" x14ac:dyDescent="0.2">
      <c r="A25" s="6">
        <v>17</v>
      </c>
      <c r="B25" s="7">
        <f>SUM('GENSET #1:GENSET #5'!D26)</f>
        <v>30934</v>
      </c>
      <c r="C25" s="7">
        <f>'Diesel consumption'!D21</f>
        <v>8700</v>
      </c>
      <c r="D25" s="2">
        <f>'SOLAR METER READING'!D25</f>
        <v>3268</v>
      </c>
      <c r="E25" s="7">
        <f>'Gas-2'!G22</f>
        <v>270</v>
      </c>
      <c r="F25" s="108">
        <f>WATER!V22</f>
        <v>387</v>
      </c>
      <c r="G25" s="110">
        <f>WATER!W22</f>
        <v>31</v>
      </c>
      <c r="H25" s="15">
        <f t="shared" si="0"/>
        <v>3.5556321839080458</v>
      </c>
      <c r="I25" s="15">
        <f t="shared" si="1"/>
        <v>34202</v>
      </c>
    </row>
    <row r="26" spans="1:9" x14ac:dyDescent="0.2">
      <c r="A26" s="6">
        <v>18</v>
      </c>
      <c r="B26" s="7">
        <f>SUM('GENSET #1:GENSET #5'!D27)</f>
        <v>30563</v>
      </c>
      <c r="C26" s="7">
        <f>'Diesel consumption'!D22</f>
        <v>8500</v>
      </c>
      <c r="D26" s="2">
        <f>'SOLAR METER READING'!D26</f>
        <v>3268</v>
      </c>
      <c r="E26" s="7">
        <f>'Gas-2'!G23</f>
        <v>270</v>
      </c>
      <c r="F26" s="108">
        <f>WATER!V23</f>
        <v>358</v>
      </c>
      <c r="G26" s="110">
        <f>WATER!W23</f>
        <v>40</v>
      </c>
      <c r="H26" s="15">
        <f t="shared" si="0"/>
        <v>3.5956470588235292</v>
      </c>
      <c r="I26" s="15">
        <f t="shared" si="1"/>
        <v>33831</v>
      </c>
    </row>
    <row r="27" spans="1:9" x14ac:dyDescent="0.2">
      <c r="A27" s="6">
        <v>19</v>
      </c>
      <c r="B27" s="7">
        <f>SUM('GENSET #1:GENSET #5'!D28)</f>
        <v>30366</v>
      </c>
      <c r="C27" s="7">
        <f>'Diesel consumption'!D23</f>
        <v>8560</v>
      </c>
      <c r="D27" s="2">
        <f>'SOLAR METER READING'!D27</f>
        <v>3310</v>
      </c>
      <c r="E27" s="7">
        <f>'Gas-2'!G24</f>
        <v>405</v>
      </c>
      <c r="F27" s="108">
        <f>WATER!V24</f>
        <v>367</v>
      </c>
      <c r="G27" s="110">
        <f>WATER!W24</f>
        <v>36</v>
      </c>
      <c r="H27" s="15">
        <f t="shared" si="0"/>
        <v>3.5474299065420563</v>
      </c>
      <c r="I27" s="15">
        <f t="shared" si="1"/>
        <v>33676</v>
      </c>
    </row>
    <row r="28" spans="1:9" x14ac:dyDescent="0.2">
      <c r="A28" s="6">
        <v>20</v>
      </c>
      <c r="B28" s="7">
        <f>SUM('GENSET #1:GENSET #5'!D29)</f>
        <v>29240</v>
      </c>
      <c r="C28" s="7">
        <f>'Diesel consumption'!D24</f>
        <v>8470</v>
      </c>
      <c r="D28" s="2">
        <f>'SOLAR METER READING'!D28</f>
        <v>2884</v>
      </c>
      <c r="E28" s="7">
        <f>'Gas-2'!G25</f>
        <v>0</v>
      </c>
      <c r="F28" s="108">
        <f>WATER!V25</f>
        <v>356</v>
      </c>
      <c r="G28" s="110">
        <f>WATER!W25</f>
        <v>0</v>
      </c>
      <c r="H28" s="15">
        <f t="shared" si="0"/>
        <v>3.4521841794569066</v>
      </c>
      <c r="I28" s="15">
        <f t="shared" si="1"/>
        <v>32124</v>
      </c>
    </row>
    <row r="29" spans="1:9" x14ac:dyDescent="0.2">
      <c r="A29" s="6">
        <v>21</v>
      </c>
      <c r="B29" s="7">
        <f>SUM('GENSET #1:GENSET #5'!D30)</f>
        <v>-90179769</v>
      </c>
      <c r="C29" s="7">
        <f>'Diesel consumption'!D25</f>
        <v>-44017890</v>
      </c>
      <c r="D29" s="2">
        <f>'SOLAR METER READING'!D29</f>
        <v>-2648567</v>
      </c>
      <c r="E29" s="7">
        <f>'Gas-2'!G26</f>
        <v>0</v>
      </c>
      <c r="F29" s="108">
        <f>WATER!V26</f>
        <v>320</v>
      </c>
      <c r="G29" s="110">
        <f>WATER!W26</f>
        <v>0</v>
      </c>
      <c r="H29" s="15">
        <f t="shared" si="0"/>
        <v>2.0487072188148954</v>
      </c>
      <c r="I29" s="15">
        <f t="shared" si="1"/>
        <v>-92828336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8">
        <f>WATER!V27</f>
        <v>-954134</v>
      </c>
      <c r="G30" s="110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8">
        <f>WATER!V28</f>
        <v>0</v>
      </c>
      <c r="G31" s="110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8">
        <f>WATER!V29</f>
        <v>0</v>
      </c>
      <c r="G32" s="110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8">
        <f>WATER!V30</f>
        <v>0</v>
      </c>
      <c r="G33" s="110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8">
        <f>WATER!V31</f>
        <v>0</v>
      </c>
      <c r="G34" s="110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8">
        <f>WATER!V32</f>
        <v>0</v>
      </c>
      <c r="G35" s="110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8">
        <f>WATER!V33</f>
        <v>0</v>
      </c>
      <c r="G36" s="110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8">
        <f>WATER!V34</f>
        <v>0</v>
      </c>
      <c r="G37" s="110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8">
        <f>WATER!V35</f>
        <v>0</v>
      </c>
      <c r="G38" s="110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8">
        <f>WATER!V36</f>
        <v>0</v>
      </c>
      <c r="G39" s="110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-89581707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5085</v>
      </c>
      <c r="F40" s="109">
        <f>SUM(F9:F39)</f>
        <v>-946522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2021-05-02T03:31:11Z</cp:lastPrinted>
  <dcterms:created xsi:type="dcterms:W3CDTF">2018-12-01T06:13:40Z</dcterms:created>
  <dcterms:modified xsi:type="dcterms:W3CDTF">2021-05-21T04:27:54Z</dcterms:modified>
</cp:coreProperties>
</file>