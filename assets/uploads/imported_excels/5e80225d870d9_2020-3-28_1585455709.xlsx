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'03 - 2020'!$A$1:$J$36</definedName>
  </definedNames>
  <calcPr calcId="162913" calcMode="manual"/>
</workbook>
</file>

<file path=xl/calcChain.xml><?xml version="1.0" encoding="utf-8"?>
<calcChain xmlns="http://schemas.openxmlformats.org/spreadsheetml/2006/main">
  <c r="L30" i="3" l="1"/>
  <c r="K30" i="3"/>
  <c r="I30" i="3"/>
  <c r="G30" i="3"/>
  <c r="E30" i="3"/>
  <c r="J30" i="2"/>
  <c r="I30" i="2"/>
  <c r="H30" i="2"/>
  <c r="F30" i="2"/>
  <c r="E30" i="2"/>
  <c r="A36" i="1"/>
  <c r="L28" i="3" l="1"/>
  <c r="K28" i="3"/>
  <c r="I28" i="3"/>
  <c r="G28" i="3"/>
  <c r="E28" i="3"/>
  <c r="J29" i="2"/>
  <c r="I29" i="2"/>
  <c r="H29" i="2"/>
  <c r="F29" i="2"/>
  <c r="E29" i="2"/>
  <c r="J28" i="2"/>
  <c r="I28" i="2"/>
  <c r="H28" i="2"/>
  <c r="F28" i="2"/>
  <c r="E28" i="2"/>
  <c r="A34" i="1"/>
  <c r="A35" i="1" s="1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M31" i="1" l="1"/>
  <c r="M30" i="1"/>
  <c r="M29" i="1"/>
  <c r="M28" i="1"/>
  <c r="M27" i="1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A26" i="1"/>
  <c r="M26" i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4" i="3" l="1"/>
  <c r="I3" i="3"/>
  <c r="I2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32" i="3" l="1"/>
  <c r="K32" i="3"/>
  <c r="I32" i="3"/>
  <c r="G32" i="3"/>
  <c r="E32" i="3"/>
  <c r="B31" i="3"/>
  <c r="B32" i="3" s="1"/>
  <c r="J32" i="2"/>
  <c r="I32" i="2"/>
  <c r="H32" i="2"/>
  <c r="F32" i="2"/>
  <c r="E32" i="2"/>
  <c r="I40" i="1"/>
  <c r="H40" i="1"/>
  <c r="K39" i="1"/>
  <c r="J39" i="1"/>
  <c r="I39" i="1"/>
  <c r="H39" i="1"/>
  <c r="G39" i="1"/>
  <c r="F39" i="1"/>
  <c r="E39" i="1"/>
  <c r="C39" i="1"/>
  <c r="B39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A31" i="1" s="1"/>
  <c r="A32" i="1" s="1"/>
  <c r="A33" i="1" s="1"/>
  <c r="A37" i="1" s="1"/>
  <c r="A38" i="1" s="1"/>
  <c r="M9" i="1"/>
  <c r="A9" i="1"/>
  <c r="M8" i="1"/>
  <c r="L29" i="3" l="1"/>
  <c r="K29" i="3"/>
  <c r="I29" i="3"/>
  <c r="G29" i="3"/>
  <c r="E29" i="3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E8" i="3" l="1"/>
  <c r="G8" i="3"/>
  <c r="I8" i="3"/>
  <c r="K8" i="3"/>
  <c r="J9" i="2"/>
  <c r="I9" i="2"/>
  <c r="H9" i="2"/>
  <c r="F9" i="2"/>
  <c r="E9" i="2"/>
  <c r="J8" i="2"/>
  <c r="I8" i="2"/>
  <c r="H8" i="2"/>
  <c r="F8" i="2"/>
  <c r="E8" i="2"/>
  <c r="K7" i="3" l="1"/>
  <c r="I7" i="3"/>
  <c r="G7" i="3"/>
  <c r="E7" i="3"/>
  <c r="J7" i="2"/>
  <c r="I7" i="2"/>
  <c r="H7" i="2"/>
  <c r="F7" i="2"/>
  <c r="E7" i="2"/>
  <c r="K6" i="3" l="1"/>
  <c r="I6" i="3"/>
  <c r="G6" i="3"/>
  <c r="E6" i="3"/>
  <c r="J6" i="2"/>
  <c r="I6" i="2"/>
  <c r="H6" i="2"/>
  <c r="F6" i="2"/>
  <c r="E6" i="2"/>
  <c r="K5" i="3" l="1"/>
  <c r="I5" i="3"/>
  <c r="G5" i="3"/>
  <c r="E5" i="3"/>
  <c r="J5" i="2"/>
  <c r="I5" i="2"/>
  <c r="H5" i="2"/>
  <c r="F5" i="2"/>
  <c r="E5" i="2"/>
  <c r="K4" i="3" l="1"/>
  <c r="G4" i="3"/>
  <c r="E4" i="3"/>
  <c r="J4" i="2"/>
  <c r="I4" i="2"/>
  <c r="H4" i="2"/>
  <c r="F4" i="2"/>
  <c r="E4" i="2"/>
  <c r="K3" i="3" l="1"/>
  <c r="G3" i="3"/>
  <c r="E3" i="3"/>
  <c r="J3" i="2"/>
  <c r="I3" i="2"/>
  <c r="H3" i="2"/>
  <c r="F3" i="2"/>
  <c r="E3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<sst xmlns="http://schemas.openxmlformats.org/spreadsheetml/2006/main" count="106" uniqueCount="37">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</sst>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31" sqref="M3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62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'03 - 2020'!B8-'03 - 2020'!B7+'03 - 2020'!C8-'03 - 2020'!C7</f>
        <v>9690</v>
      </c>
      <c r="F2" s="24">
        <v>0.11799999999999999</v>
      </c>
      <c r="G2" s="26">
        <f>(('03 - 2020'!E8-'03 - 2020'!E7)+('03 - 2020'!F8-'03 - 2020'!F7)+('03 - 2020'!G8-'03 - 2020'!G7))*1.81</f>
        <v>114.01190000000248</v>
      </c>
      <c r="H2" s="24">
        <v>0.99</v>
      </c>
      <c r="I2" s="26">
        <f>'03 - 2020'!J8-'03 - 2020'!J7</f>
        <v>13880</v>
      </c>
      <c r="J2" s="24">
        <v>8.1000000000000003E-2</v>
      </c>
      <c r="K2" s="63">
        <f>'03 - 2020'!H8-'03 - 2020'!H7</f>
        <v>0</v>
      </c>
      <c r="L2" s="26">
        <f>'03 - 2020'!I8-'03 - 2020'!I7</f>
        <v>105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'03 - 2020'!B9-'03 - 2020'!B8+'03 - 2020'!C9-'03 - 2020'!C8</f>
        <v>9268</v>
      </c>
      <c r="F3" s="24">
        <v>0.11799999999999999</v>
      </c>
      <c r="G3" s="26">
        <f>(('03 - 2020'!E9-'03 - 2020'!E8)+('03 - 2020'!F9-'03 - 2020'!F8)+('03 - 2020'!G9-'03 - 2020'!G8))*1.81</f>
        <v>125.27009999999471</v>
      </c>
      <c r="H3" s="24">
        <v>0.99</v>
      </c>
      <c r="I3" s="26">
        <f>'03 - 2020'!J9-'03 - 2020'!J8</f>
        <v>13272</v>
      </c>
      <c r="J3" s="24">
        <v>8.1000000000000003E-2</v>
      </c>
      <c r="K3" s="63">
        <f>'03 - 2020'!H9-'03 - 2020'!H8</f>
        <v>0</v>
      </c>
      <c r="L3" s="26">
        <f>'03 - 2020'!I9-'03 - 2020'!I8</f>
        <v>85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'03 - 2020'!B10-'03 - 2020'!B9+'03 - 2020'!C10-'03 - 2020'!C9</f>
        <v>9194</v>
      </c>
      <c r="F4" s="24">
        <v>0.11799999999999999</v>
      </c>
      <c r="G4" s="26">
        <f>(('03 - 2020'!E10-'03 - 2020'!E9)+('03 - 2020'!F10-'03 - 2020'!F9)+('03 - 2020'!G10-'03 - 2020'!G9))*1.81</f>
        <v>116.07530000000185</v>
      </c>
      <c r="H4" s="24">
        <v>0.99</v>
      </c>
      <c r="I4" s="26">
        <f>'03 - 2020'!J10-'03 - 2020'!J9</f>
        <v>14108</v>
      </c>
      <c r="J4" s="24">
        <v>8.1000000000000003E-2</v>
      </c>
      <c r="K4" s="63">
        <f>'03 - 2020'!H10-'03 - 2020'!H9</f>
        <v>0</v>
      </c>
      <c r="L4" s="26">
        <f>'03 - 2020'!I10-'03 - 2020'!I9</f>
        <v>90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'03 - 2020'!B11-'03 - 2020'!B10+'03 - 2020'!C11-'03 - 2020'!C10</f>
        <v>8853</v>
      </c>
      <c r="F5" s="24">
        <v>0.11799999999999999</v>
      </c>
      <c r="G5" s="26">
        <f>(('03 - 2020'!E11-'03 - 2020'!E10)+('03 - 2020'!F11-'03 - 2020'!F10)+('03 - 2020'!G11-'03 - 2020'!G10))*1.81</f>
        <v>122.82660000000146</v>
      </c>
      <c r="H5" s="24">
        <v>0.99</v>
      </c>
      <c r="I5" s="26">
        <f>'03 - 2020'!J11-'03 - 2020'!J10</f>
        <v>12817</v>
      </c>
      <c r="J5" s="24">
        <v>8.1000000000000003E-2</v>
      </c>
      <c r="K5" s="63">
        <f>'03 - 2020'!H11-'03 - 2020'!H10</f>
        <v>0</v>
      </c>
      <c r="L5" s="26">
        <f>'03 - 2020'!I11-'03 - 2020'!I10</f>
        <v>93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'03 - 2020'!B12-'03 - 2020'!B11+'03 - 2020'!C12-'03 - 2020'!C11</f>
        <v>9161</v>
      </c>
      <c r="F6" s="24">
        <v>0.11799999999999999</v>
      </c>
      <c r="G6" s="26">
        <f>(('03 - 2020'!E12-'03 - 2020'!E11)+('03 - 2020'!F12-'03 - 2020'!F11)+('03 - 2020'!G12-'03 - 2020'!G11))*1.81</f>
        <v>112.94399999999935</v>
      </c>
      <c r="H6" s="24">
        <v>0.99</v>
      </c>
      <c r="I6" s="26">
        <f>'03 - 2020'!J12-'03 - 2020'!J11</f>
        <v>11408</v>
      </c>
      <c r="J6" s="24">
        <v>8.1000000000000003E-2</v>
      </c>
      <c r="K6" s="63">
        <f>'03 - 2020'!H12-'03 - 2020'!H11</f>
        <v>0</v>
      </c>
      <c r="L6" s="26">
        <f>'03 - 2020'!I12-'03 - 2020'!I11</f>
        <v>92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'03 - 2020'!B13-'03 - 2020'!B12+'03 - 2020'!C13-'03 - 2020'!C12</f>
        <v>9095</v>
      </c>
      <c r="F7" s="24">
        <v>0.11799999999999999</v>
      </c>
      <c r="G7" s="26">
        <f>(('03 - 2020'!E13-'03 - 2020'!E12)+('03 - 2020'!F13-'03 - 2020'!F12)+('03 - 2020'!G13-'03 - 2020'!G12))*1.81</f>
        <v>115.15219999999857</v>
      </c>
      <c r="H7" s="24">
        <v>0.99</v>
      </c>
      <c r="I7" s="26">
        <f>'03 - 2020'!J13-'03 - 2020'!J12</f>
        <v>11930</v>
      </c>
      <c r="J7" s="24">
        <v>8.1000000000000003E-2</v>
      </c>
      <c r="K7" s="63">
        <f>'03 - 2020'!H13-'03 - 2020'!H12</f>
        <v>0</v>
      </c>
      <c r="L7" s="26">
        <f>'03 - 2020'!I13-'03 - 2020'!I12</f>
        <v>91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'03 - 2020'!B14-'03 - 2020'!B13+'03 - 2020'!C14-'03 - 2020'!C13</f>
        <v>8727</v>
      </c>
      <c r="F8" s="24">
        <v>0.11799999999999999</v>
      </c>
      <c r="G8" s="26">
        <f>(('03 - 2020'!E14-'03 - 2020'!E13)+('03 - 2020'!F14-'03 - 2020'!F13)+('03 - 2020'!G14-'03 - 2020'!G13))*1.81</f>
        <v>113.72230000000233</v>
      </c>
      <c r="H8" s="24">
        <v>0.99</v>
      </c>
      <c r="I8" s="26">
        <f>'03 - 2020'!J14-'03 - 2020'!J13</f>
        <v>12276</v>
      </c>
      <c r="J8" s="24">
        <v>8.1000000000000003E-2</v>
      </c>
      <c r="K8" s="63">
        <f>'03 - 2020'!H14-'03 - 2020'!H13</f>
        <v>0</v>
      </c>
      <c r="L8" s="26">
        <f>'03 - 2020'!I14-'03 - 2020'!I13</f>
        <v>84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'03 - 2020'!B15-'03 - 2020'!B14+'03 - 2020'!C15-'03 - 2020'!C14</f>
        <v>8515</v>
      </c>
      <c r="F9" s="24">
        <v>0.11799999999999999</v>
      </c>
      <c r="G9" s="26">
        <f>(('03 - 2020'!E15-'03 - 2020'!E14)+('03 - 2020'!F15-'03 - 2020'!F14)+('03 - 2020'!G15-'03 - 2020'!G14))*1.81</f>
        <v>122.28360000000032</v>
      </c>
      <c r="H9" s="24">
        <v>0.99</v>
      </c>
      <c r="I9" s="26">
        <f>'03 - 2020'!J15-'03 - 2020'!J14</f>
        <v>13171</v>
      </c>
      <c r="J9" s="24">
        <v>8.1000000000000003E-2</v>
      </c>
      <c r="K9" s="63">
        <f>'03 - 2020'!H15-'03 - 2020'!H14</f>
        <v>0</v>
      </c>
      <c r="L9" s="26">
        <f>'03 - 2020'!I15-'03 - 2020'!I14</f>
        <v>115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'03 - 2020'!B16-'03 - 2020'!B15+'03 - 2020'!C16-'03 - 2020'!C15</f>
        <v>8129</v>
      </c>
      <c r="F10" s="24">
        <v>0.11799999999999999</v>
      </c>
      <c r="G10" s="26">
        <f>(('03 - 2020'!E16-'03 - 2020'!E15)+('03 - 2020'!F16-'03 - 2020'!F15)+('03 - 2020'!G16-'03 - 2020'!G15))*1.81</f>
        <v>126.60950000000091</v>
      </c>
      <c r="H10" s="24">
        <v>0.99</v>
      </c>
      <c r="I10" s="26">
        <f>'03 - 2020'!J16-'03 - 2020'!J15</f>
        <v>12806</v>
      </c>
      <c r="J10" s="24">
        <v>8.1000000000000003E-2</v>
      </c>
      <c r="K10" s="63">
        <f>'03 - 2020'!H16-'03 - 2020'!H15</f>
        <v>0</v>
      </c>
      <c r="L10" s="26">
        <f>'03 - 2020'!I16-'03 - 2020'!I15</f>
        <v>84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'03 - 2020'!B17-'03 - 2020'!B16+'03 - 2020'!C17-'03 - 2020'!C16</f>
        <v>7787</v>
      </c>
      <c r="F11" s="24">
        <v>0.11799999999999999</v>
      </c>
      <c r="G11" s="26">
        <f>(('03 - 2020'!E17-'03 - 2020'!E16)+('03 - 2020'!F17-'03 - 2020'!F16)+('03 - 2020'!G17-'03 - 2020'!G16))*1.81</f>
        <v>114.89880000000086</v>
      </c>
      <c r="H11" s="24">
        <v>0.99</v>
      </c>
      <c r="I11" s="26">
        <f>'03 - 2020'!J17-'03 - 2020'!J16</f>
        <v>11908</v>
      </c>
      <c r="J11" s="24">
        <v>8.1000000000000003E-2</v>
      </c>
      <c r="K11" s="63">
        <f>'03 - 2020'!H17-'03 - 2020'!H16</f>
        <v>0</v>
      </c>
      <c r="L11" s="26">
        <f>'03 - 2020'!I17-'03 - 2020'!I16</f>
        <v>78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'03 - 2020'!B18-'03 - 2020'!B17+'03 - 2020'!C18-'03 - 2020'!C17</f>
        <v>8453</v>
      </c>
      <c r="F12" s="24">
        <v>0.11799999999999999</v>
      </c>
      <c r="G12" s="26">
        <f>(('03 - 2020'!E18-'03 - 2020'!E17)+('03 - 2020'!F18-'03 - 2020'!F17)+('03 - 2020'!G18-'03 - 2020'!G17))*1.81</f>
        <v>116.09339999999978</v>
      </c>
      <c r="H12" s="24">
        <v>0.99</v>
      </c>
      <c r="I12" s="26">
        <f>'03 - 2020'!J18-'03 - 2020'!J17</f>
        <v>11514</v>
      </c>
      <c r="J12" s="24">
        <v>8.1000000000000003E-2</v>
      </c>
      <c r="K12" s="63">
        <f>'03 - 2020'!H18-'03 - 2020'!H17</f>
        <v>0</v>
      </c>
      <c r="L12" s="26">
        <f>'03 - 2020'!I18-'03 - 2020'!I17</f>
        <v>76</v>
      </c>
      <c r="M12" s="25">
        <v>4.393629424766913</v>
      </c>
      <c r="N12" s="26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'03 - 2020'!B19-'03 - 2020'!B18+'03 - 2020'!C19-'03 - 2020'!C18</f>
        <v>8514</v>
      </c>
      <c r="F13" s="24">
        <v>0.11799999999999999</v>
      </c>
      <c r="G13" s="26">
        <f>(('03 - 2020'!E19-'03 - 2020'!E18)+('03 - 2020'!F19-'03 - 2020'!F18)+('03 - 2020'!G19-'03 - 2020'!G18))*1.81</f>
        <v>113.8309000000006</v>
      </c>
      <c r="H13" s="24">
        <v>0.99</v>
      </c>
      <c r="I13" s="26">
        <f>'03 - 2020'!J19-'03 - 2020'!J18</f>
        <v>11402</v>
      </c>
      <c r="J13" s="24">
        <v>8.1000000000000003E-2</v>
      </c>
      <c r="K13" s="63">
        <f>'03 - 2020'!H19-'03 - 2020'!H18</f>
        <v>0</v>
      </c>
      <c r="L13" s="26">
        <f>'03 - 2020'!I19-'03 - 2020'!I18</f>
        <v>82</v>
      </c>
      <c r="M13" s="25">
        <v>4.393629424766913</v>
      </c>
      <c r="N13" s="26">
        <v>32</v>
      </c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'03 - 2020'!B20-'03 - 2020'!B19+'03 - 2020'!C20-'03 - 2020'!C19</f>
        <v>7988</v>
      </c>
      <c r="F14" s="24">
        <v>0.11799999999999999</v>
      </c>
      <c r="G14" s="26">
        <f>(('03 - 2020'!E20-'03 - 2020'!E19)+('03 - 2020'!F20-'03 - 2020'!F19)+('03 - 2020'!G20-'03 - 2020'!G19))*1.81</f>
        <v>110.37379999999634</v>
      </c>
      <c r="H14" s="24">
        <v>0.99</v>
      </c>
      <c r="I14" s="26">
        <f>'03 - 2020'!J20-'03 - 2020'!J19</f>
        <v>11564</v>
      </c>
      <c r="J14" s="24">
        <v>8.1000000000000003E-2</v>
      </c>
      <c r="K14" s="63">
        <f>'03 - 2020'!H20-'03 - 2020'!H19</f>
        <v>0</v>
      </c>
      <c r="L14" s="26">
        <f>'03 - 2020'!I20-'03 - 2020'!I19</f>
        <v>96</v>
      </c>
      <c r="M14" s="25">
        <v>4.393629424766913</v>
      </c>
      <c r="N14" s="26">
        <v>30</v>
      </c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'03 - 2020'!B21-'03 - 2020'!B20+'03 - 2020'!C21-'03 - 2020'!C20</f>
        <v>7749</v>
      </c>
      <c r="F15" s="24">
        <v>0.11799999999999999</v>
      </c>
      <c r="G15" s="26">
        <f>(('03 - 2020'!E21-'03 - 2020'!E20)+('03 - 2020'!F21-'03 - 2020'!F20)+('03 - 2020'!G21-'03 - 2020'!G20))*1.81</f>
        <v>104.61799999999828</v>
      </c>
      <c r="H15" s="24">
        <v>0.99</v>
      </c>
      <c r="I15" s="26">
        <f>'03 - 2020'!J21-'03 - 2020'!J20</f>
        <v>11629</v>
      </c>
      <c r="J15" s="24">
        <v>8.1000000000000003E-2</v>
      </c>
      <c r="K15" s="63">
        <f>'03 - 2020'!H21-'03 - 2020'!H20</f>
        <v>0</v>
      </c>
      <c r="L15" s="26">
        <f>'03 - 2020'!I21-'03 - 2020'!I20</f>
        <v>80</v>
      </c>
      <c r="M15" s="25">
        <v>4.393629424766913</v>
      </c>
      <c r="N15" s="26">
        <v>25</v>
      </c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'03 - 2020'!B22-'03 - 2020'!B21+'03 - 2020'!C22-'03 - 2020'!C21</f>
        <v>7406</v>
      </c>
      <c r="F16" s="24">
        <v>0.11799999999999999</v>
      </c>
      <c r="G16" s="26">
        <f>(('03 - 2020'!E22-'03 - 2020'!E21)+('03 - 2020'!F22-'03 - 2020'!F21)+('03 - 2020'!G22-'03 - 2020'!G21))*1.81</f>
        <v>105.43250000000042</v>
      </c>
      <c r="H16" s="24">
        <v>0.99</v>
      </c>
      <c r="I16" s="26">
        <f>'03 - 2020'!J22-'03 - 2020'!J21</f>
        <v>11026</v>
      </c>
      <c r="J16" s="24">
        <v>8.1000000000000003E-2</v>
      </c>
      <c r="K16" s="63">
        <f>'03 - 2020'!H22-'03 - 2020'!H21</f>
        <v>0</v>
      </c>
      <c r="L16" s="26">
        <f>'03 - 2020'!I22-'03 - 2020'!I21</f>
        <v>75</v>
      </c>
      <c r="M16" s="25">
        <v>4.393629424766913</v>
      </c>
      <c r="N16" s="26">
        <v>19</v>
      </c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'03 - 2020'!B23-'03 - 2020'!B22+'03 - 2020'!C23-'03 - 2020'!C22</f>
        <v>6594</v>
      </c>
      <c r="F17" s="24">
        <v>0.11799999999999999</v>
      </c>
      <c r="G17" s="26">
        <f>(('03 - 2020'!E23-'03 - 2020'!E22)+('03 - 2020'!F23-'03 - 2020'!F22)+('03 - 2020'!G23-'03 - 2020'!G22))*1.81</f>
        <v>95.893800000000866</v>
      </c>
      <c r="H17" s="24">
        <v>0.99</v>
      </c>
      <c r="I17" s="26">
        <f>'03 - 2020'!J23-'03 - 2020'!J22</f>
        <v>11096</v>
      </c>
      <c r="J17" s="24">
        <v>8.1000000000000003E-2</v>
      </c>
      <c r="K17" s="63">
        <f>'03 - 2020'!H23-'03 - 2020'!H22</f>
        <v>0</v>
      </c>
      <c r="L17" s="26">
        <f>'03 - 2020'!I23-'03 - 2020'!I22</f>
        <v>64</v>
      </c>
      <c r="M17" s="25">
        <v>4.393629424766913</v>
      </c>
      <c r="N17" s="52">
        <v>15</v>
      </c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'03 - 2020'!B24-'03 - 2020'!B23+'03 - 2020'!C24-'03 - 2020'!C23</f>
        <v>5782</v>
      </c>
      <c r="F18" s="24">
        <v>0.11799999999999999</v>
      </c>
      <c r="G18" s="26">
        <f>(('03 - 2020'!E24-'03 - 2020'!E23)+('03 - 2020'!F24-'03 - 2020'!F23)+('03 - 2020'!G24-'03 - 2020'!G23))*1.81</f>
        <v>91.622200000001456</v>
      </c>
      <c r="H18" s="24">
        <v>0.99</v>
      </c>
      <c r="I18" s="26">
        <f>'03 - 2020'!J24-'03 - 2020'!J23</f>
        <v>10046</v>
      </c>
      <c r="J18" s="24">
        <v>8.1000000000000003E-2</v>
      </c>
      <c r="K18" s="63">
        <f>'03 - 2020'!H24-'03 - 2020'!H23</f>
        <v>0</v>
      </c>
      <c r="L18" s="26">
        <f>'03 - 2020'!I24-'03 - 2020'!I23</f>
        <v>64</v>
      </c>
      <c r="M18" s="25">
        <v>4.393629424766913</v>
      </c>
      <c r="N18" s="52">
        <v>8</v>
      </c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'03 - 2020'!B25-'03 - 2020'!B24+'03 - 2020'!C25-'03 - 2020'!C24</f>
        <v>5103</v>
      </c>
      <c r="F19" s="24">
        <v>0.11799999999999999</v>
      </c>
      <c r="G19" s="26">
        <f>(('03 - 2020'!E25-'03 - 2020'!E24)+('03 - 2020'!F25-'03 - 2020'!F24)+('03 - 2020'!G25-'03 - 2020'!G24))*1.81</f>
        <v>79.477100000000561</v>
      </c>
      <c r="H19" s="24">
        <v>0.99</v>
      </c>
      <c r="I19" s="26">
        <f>'03 - 2020'!J25-'03 - 2020'!J24</f>
        <v>10113</v>
      </c>
      <c r="J19" s="24">
        <v>8.1000000000000003E-2</v>
      </c>
      <c r="K19" s="63">
        <f>'03 - 2020'!H25-'03 - 2020'!H24</f>
        <v>0</v>
      </c>
      <c r="L19" s="26">
        <f>'03 - 2020'!I25-'03 - 2020'!I24</f>
        <v>59</v>
      </c>
      <c r="M19" s="25">
        <v>4.393629424766913</v>
      </c>
      <c r="N19" s="52">
        <v>5</v>
      </c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'03 - 2020'!B26-'03 - 2020'!B25+'03 - 2020'!C26-'03 - 2020'!C25</f>
        <v>4869</v>
      </c>
      <c r="F20" s="24">
        <v>0.11799999999999999</v>
      </c>
      <c r="G20" s="26">
        <f>(('03 - 2020'!E26-'03 - 2020'!E25)+('03 - 2020'!F26-'03 - 2020'!F25)+('03 - 2020'!G26-'03 - 2020'!G25))*1.81</f>
        <v>68.834299999997896</v>
      </c>
      <c r="H20" s="24">
        <v>0.99</v>
      </c>
      <c r="I20" s="26">
        <f>'03 - 2020'!J26-'03 - 2020'!J25</f>
        <v>8945</v>
      </c>
      <c r="J20" s="24">
        <v>8.1000000000000003E-2</v>
      </c>
      <c r="K20" s="63">
        <f>'03 - 2020'!H26-'03 - 2020'!H25</f>
        <v>0</v>
      </c>
      <c r="L20" s="26">
        <f>'03 - 2020'!I26-'03 - 2020'!I25</f>
        <v>51</v>
      </c>
      <c r="M20" s="25">
        <v>4.393629424766913</v>
      </c>
      <c r="N20" s="52">
        <v>4</v>
      </c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'03 - 2020'!B27-'03 - 2020'!B26+'03 - 2020'!C27-'03 - 2020'!C26</f>
        <v>5021</v>
      </c>
      <c r="F21" s="24">
        <v>0.11799999999999999</v>
      </c>
      <c r="G21" s="26">
        <f>(('03 - 2020'!E27-'03 - 2020'!E26)+('03 - 2020'!F27-'03 - 2020'!F26)+('03 - 2020'!G27-'03 - 2020'!G26))*1.81</f>
        <v>68.78000000000165</v>
      </c>
      <c r="H21" s="24">
        <v>0.99</v>
      </c>
      <c r="I21" s="26">
        <f>'03 - 2020'!J27-'03 - 2020'!J26</f>
        <v>9269</v>
      </c>
      <c r="J21" s="24">
        <v>8.1000000000000003E-2</v>
      </c>
      <c r="K21" s="63">
        <f>'03 - 2020'!H27-'03 - 2020'!H26</f>
        <v>0</v>
      </c>
      <c r="L21" s="26">
        <f>'03 - 2020'!I27-'03 - 2020'!I26</f>
        <v>39</v>
      </c>
      <c r="M21" s="25">
        <v>4.393629424766913</v>
      </c>
      <c r="N21" s="52">
        <v>6</v>
      </c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'03 - 2020'!B28-'03 - 2020'!B27+'03 - 2020'!C28-'03 - 2020'!C27</f>
        <v>4681</v>
      </c>
      <c r="F22" s="24">
        <v>0.11799999999999999</v>
      </c>
      <c r="G22" s="26">
        <f>(('03 - 2020'!E28-'03 - 2020'!E27)+('03 - 2020'!F28-'03 - 2020'!F27)+('03 - 2020'!G28-'03 - 2020'!G27))*1.81</f>
        <v>68.200799999999703</v>
      </c>
      <c r="H22" s="24">
        <v>0.99</v>
      </c>
      <c r="I22" s="26">
        <f>'03 - 2020'!J28-'03 - 2020'!J27</f>
        <v>8761</v>
      </c>
      <c r="J22" s="24">
        <v>8.1000000000000003E-2</v>
      </c>
      <c r="K22" s="63">
        <f>'03 - 2020'!H28-'03 - 2020'!H27</f>
        <v>0</v>
      </c>
      <c r="L22" s="26">
        <f>'03 - 2020'!I28-'03 - 2020'!I27</f>
        <v>30</v>
      </c>
      <c r="M22" s="25">
        <v>4.393629424766913</v>
      </c>
      <c r="N22" s="52">
        <v>5</v>
      </c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'03 - 2020'!B29-'03 - 2020'!B28+'03 - 2020'!C29-'03 - 2020'!C28</f>
        <v>3986</v>
      </c>
      <c r="F23" s="24">
        <v>0.11799999999999999</v>
      </c>
      <c r="G23" s="26">
        <f>(('03 - 2020'!E29-'03 - 2020'!E28)+('03 - 2020'!F29-'03 - 2020'!F28)+('03 - 2020'!G29-'03 - 2020'!G28))*1.81</f>
        <v>59.494700000001451</v>
      </c>
      <c r="H23" s="24">
        <v>0.99</v>
      </c>
      <c r="I23" s="26">
        <f>'03 - 2020'!J29-'03 - 2020'!J28</f>
        <v>6745</v>
      </c>
      <c r="J23" s="24">
        <v>8.1000000000000003E-2</v>
      </c>
      <c r="K23" s="63">
        <f>'03 - 2020'!H29-'03 - 2020'!H28</f>
        <v>0</v>
      </c>
      <c r="L23" s="26">
        <f>'03 - 2020'!I29-'03 - 2020'!I28</f>
        <v>26</v>
      </c>
      <c r="M23" s="25">
        <v>4.393629424766913</v>
      </c>
      <c r="N23" s="52">
        <v>6</v>
      </c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'03 - 2020'!B30-'03 - 2020'!B29+'03 - 2020'!C30-'03 - 2020'!C29</f>
        <v>4109</v>
      </c>
      <c r="F24" s="24">
        <v>0.11799999999999999</v>
      </c>
      <c r="G24" s="26">
        <f>(('03 - 2020'!E30-'03 - 2020'!E29)+('03 - 2020'!F30-'03 - 2020'!F29)+('03 - 2020'!G30-'03 - 2020'!G29))*1.81</f>
        <v>46.173099999998747</v>
      </c>
      <c r="H24" s="24">
        <v>0.99</v>
      </c>
      <c r="I24" s="26">
        <f>'03 - 2020'!J30-'03 - 2020'!J29</f>
        <v>7402</v>
      </c>
      <c r="J24" s="24">
        <v>8.1000000000000003E-2</v>
      </c>
      <c r="K24" s="63">
        <f>'03 - 2020'!H30-'03 - 2020'!H29</f>
        <v>0</v>
      </c>
      <c r="L24" s="26">
        <f>'03 - 2020'!I30-'03 - 2020'!I29</f>
        <v>25</v>
      </c>
      <c r="M24" s="25">
        <v>4.393629424766913</v>
      </c>
      <c r="N24" s="52">
        <v>8</v>
      </c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'03 - 2020'!B31-'03 - 2020'!B30+'03 - 2020'!C31-'03 - 2020'!C30</f>
        <v>4024</v>
      </c>
      <c r="F25" s="24">
        <v>0.11799999999999999</v>
      </c>
      <c r="G25" s="26">
        <f>(('03 - 2020'!E31-'03 - 2020'!E30)+('03 - 2020'!F31-'03 - 2020'!F30)+('03 - 2020'!G31-'03 - 2020'!G30))*1.81</f>
        <v>61.413300000000525</v>
      </c>
      <c r="H25" s="24">
        <v>0.99</v>
      </c>
      <c r="I25" s="26">
        <f>'03 - 2020'!J31-'03 - 2020'!J30</f>
        <v>5234</v>
      </c>
      <c r="J25" s="24">
        <v>8.1000000000000003E-2</v>
      </c>
      <c r="K25" s="63">
        <f>'03 - 2020'!H31-'03 - 2020'!H30</f>
        <v>0</v>
      </c>
      <c r="L25" s="26">
        <f>'03 - 2020'!I31-'03 - 2020'!I30</f>
        <v>23</v>
      </c>
      <c r="M25" s="25">
        <v>4.393629424766913</v>
      </c>
      <c r="N25" s="52">
        <v>6</v>
      </c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'03 - 2020'!B32-'03 - 2020'!B31+'03 - 2020'!C32-'03 - 2020'!C31</f>
        <v>3804</v>
      </c>
      <c r="F26" s="24">
        <v>0.11799999999999999</v>
      </c>
      <c r="G26" s="26">
        <f>(('03 - 2020'!E32-'03 - 2020'!E31)+('03 - 2020'!F32-'03 - 2020'!F31)+('03 - 2020'!G32-'03 - 2020'!G31))*1.81</f>
        <v>59.856699999999478</v>
      </c>
      <c r="H26" s="24">
        <v>0.99</v>
      </c>
      <c r="I26" s="26">
        <f>'03 - 2020'!J32-'03 - 2020'!J31</f>
        <v>5716</v>
      </c>
      <c r="J26" s="24">
        <v>8.1000000000000003E-2</v>
      </c>
      <c r="K26" s="63">
        <f>'03 - 2020'!H32-'03 - 2020'!H31</f>
        <v>0</v>
      </c>
      <c r="L26" s="26">
        <f>'03 - 2020'!I32-'03 - 2020'!I31</f>
        <v>23</v>
      </c>
      <c r="M26" s="25">
        <v>4.393629424766913</v>
      </c>
      <c r="N26" s="52">
        <v>6</v>
      </c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'03 - 2020'!B33-'03 - 2020'!B32+'03 - 2020'!C33-'03 - 2020'!C32</f>
        <v>3609</v>
      </c>
      <c r="F27" s="24">
        <v>0.11799999999999999</v>
      </c>
      <c r="G27" s="26">
        <f>(('03 - 2020'!E33-'03 - 2020'!E32)+('03 - 2020'!F33-'03 - 2020'!F32)+('03 - 2020'!G33-'03 - 2020'!G32))*1.81</f>
        <v>60.924599999995621</v>
      </c>
      <c r="H27" s="24">
        <v>0.99</v>
      </c>
      <c r="I27" s="26">
        <f>'03 - 2020'!J33-'03 - 2020'!J32</f>
        <v>5133</v>
      </c>
      <c r="J27" s="24">
        <v>8.1000000000000003E-2</v>
      </c>
      <c r="K27" s="63">
        <f>'03 - 2020'!H33-'03 - 2020'!H32</f>
        <v>0</v>
      </c>
      <c r="L27" s="26">
        <f>'03 - 2020'!I33-'03 - 2020'!I32</f>
        <v>23</v>
      </c>
      <c r="M27" s="25">
        <v>4.393629424766913</v>
      </c>
      <c r="N27" s="52">
        <v>5</v>
      </c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'03 - 2020'!B34-'03 - 2020'!B33+'03 - 2020'!C34-'03 - 2020'!C33</f>
        <v>3510</v>
      </c>
      <c r="F28" s="24">
        <v>0.11799999999999999</v>
      </c>
      <c r="G28" s="26">
        <f>(('03 - 2020'!E34-'03 - 2020'!E33)+('03 - 2020'!F34-'03 - 2020'!F33)+('03 - 2020'!G34-'03 - 2020'!G33))*1.81</f>
        <v>60.345400000006848</v>
      </c>
      <c r="H28" s="24">
        <v>0.99</v>
      </c>
      <c r="I28" s="26">
        <f>'03 - 2020'!J34-'03 - 2020'!J33</f>
        <v>5021</v>
      </c>
      <c r="J28" s="24">
        <v>8.1000000000000003E-2</v>
      </c>
      <c r="K28" s="63">
        <f>'03 - 2020'!H34-'03 - 2020'!H33</f>
        <v>0</v>
      </c>
      <c r="L28" s="26">
        <f>'03 - 2020'!I34-'03 - 2020'!I33</f>
        <v>21</v>
      </c>
      <c r="M28" s="25">
        <v>4.393629424766913</v>
      </c>
      <c r="N28" s="52">
        <v>3</v>
      </c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'03 - 2020'!B35-'03 - 2020'!B34+'03 - 2020'!C35-'03 - 2020'!C34</f>
        <v>3444</v>
      </c>
      <c r="F29" s="24">
        <v>0.11799999999999999</v>
      </c>
      <c r="G29" s="26">
        <f>(('03 - 2020'!E35-'03 - 2020'!E34)+('03 - 2020'!F35-'03 - 2020'!F34)+('03 - 2020'!G35-'03 - 2020'!G34))*1.81</f>
        <v>56.417699999996842</v>
      </c>
      <c r="H29" s="24">
        <v>0.99</v>
      </c>
      <c r="I29" s="26">
        <f>'03 - 2020'!J35-'03 - 2020'!J34</f>
        <v>5636</v>
      </c>
      <c r="J29" s="24">
        <v>8.1000000000000003E-2</v>
      </c>
      <c r="K29" s="63">
        <f>'03 - 2020'!H35-'03 - 2020'!H34</f>
        <v>0</v>
      </c>
      <c r="L29" s="26">
        <f>'03 - 2020'!I35-'03 - 2020'!I34</f>
        <v>23</v>
      </c>
      <c r="M29" s="25">
        <v>4.393629424766913</v>
      </c>
      <c r="N29" s="52">
        <v>8</v>
      </c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'03 - 2020'!B36-'03 - 2020'!B35+'03 - 2020'!C36-'03 - 2020'!C35</f>
        <v>3415</v>
      </c>
      <c r="F30" s="24">
        <v>0.11799999999999999</v>
      </c>
      <c r="G30" s="26">
        <f>(('03 - 2020'!E36-'03 - 2020'!E35)+('03 - 2020'!F36-'03 - 2020'!F35)+('03 - 2020'!G36-'03 - 2020'!G35))*1.81</f>
        <v>53.087299999999871</v>
      </c>
      <c r="H30" s="24">
        <v>0.99</v>
      </c>
      <c r="I30" s="26">
        <f>'03 - 2020'!J36-'03 - 2020'!J35</f>
        <v>5131</v>
      </c>
      <c r="J30" s="24">
        <v>8.1000000000000003E-2</v>
      </c>
      <c r="K30" s="63">
        <f>'03 - 2020'!H36-'03 - 2020'!H35</f>
        <v>0</v>
      </c>
      <c r="L30" s="26">
        <f>'03 - 2020'!I36-'03 - 2020'!I35</f>
        <v>21</v>
      </c>
      <c r="M30" s="25">
        <v>4.393629424766913</v>
      </c>
      <c r="N30" s="52">
        <v>8</v>
      </c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v>0</v>
      </c>
      <c r="F31" s="24">
        <v>0.11799999999999999</v>
      </c>
      <c r="G31" s="26">
        <v>0</v>
      </c>
      <c r="H31" s="24">
        <v>0.99</v>
      </c>
      <c r="I31" s="26">
        <v>0</v>
      </c>
      <c r="J31" s="24">
        <v>8.1000000000000003E-2</v>
      </c>
      <c r="K31" s="63">
        <v>0</v>
      </c>
      <c r="L31" s="26">
        <v>0</v>
      </c>
      <c r="M31" s="25">
        <v>4.393629424766913</v>
      </c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'03 - 2020'!B38-'03 - 2020'!B37+'03 - 2020'!C38-'03 - 2020'!C37</f>
        <v>0</v>
      </c>
      <c r="F32" s="24">
        <v>0.11799999999999999</v>
      </c>
      <c r="G32" s="26">
        <f>(('03 - 2020'!E38-'03 - 2020'!E37)+('03 - 2020'!F38-'03 - 2020'!F37)+('03 - 2020'!G38-'03 - 2020'!G37))*1.81</f>
        <v>0</v>
      </c>
      <c r="H32" s="24">
        <v>0.99</v>
      </c>
      <c r="I32" s="26">
        <f>'03 - 2020'!J38-'03 - 2020'!J37</f>
        <v>0</v>
      </c>
      <c r="J32" s="24">
        <v>8.1000000000000003E-2</v>
      </c>
      <c r="K32" s="63">
        <f>'03 - 2020'!H38-'03 - 2020'!H37</f>
        <v>0</v>
      </c>
      <c r="L32" s="26">
        <f>'03 - 2020'!I38-'03 - 2020'!I37</f>
        <v>0</v>
      </c>
      <c r="M32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Q18" sqref="Q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</f>
        <v>3783</v>
      </c>
      <c r="F2" s="26">
        <f>'03 - 2020'!C8-'03 - 2020'!C7</f>
        <v>5907</v>
      </c>
      <c r="G2" s="24">
        <v>0.11799999999999999</v>
      </c>
      <c r="H2" s="26">
        <f>'03 - 2020'!E8-'03 - 2020'!E7</f>
        <v>24.040000000000873</v>
      </c>
      <c r="I2" s="26">
        <f>'03 - 2020'!F8-'03 - 2020'!F7</f>
        <v>5.4300000000000637</v>
      </c>
      <c r="J2" s="26">
        <f>'03 - 2020'!G8-'03 - 2020'!G7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</f>
        <v>3561</v>
      </c>
      <c r="F3" s="26">
        <f>'03 - 2020'!C9-'03 - 2020'!C8</f>
        <v>5707</v>
      </c>
      <c r="G3" s="24">
        <v>0.11799999999999999</v>
      </c>
      <c r="H3" s="26">
        <f>'03 - 2020'!E9-'03 - 2020'!E8</f>
        <v>22.43999999999869</v>
      </c>
      <c r="I3" s="26">
        <f>'03 - 2020'!F9-'03 - 2020'!F8</f>
        <v>5.4199999999998454</v>
      </c>
      <c r="J3" s="26">
        <f>'03 - 2020'!G9-'03 - 2020'!G8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3</v>
      </c>
      <c r="D4" s="24">
        <v>2020</v>
      </c>
      <c r="E4" s="26">
        <f>'03 - 2020'!B10-'03 - 2020'!B9</f>
        <v>3507</v>
      </c>
      <c r="F4" s="26">
        <f>'03 - 2020'!C10-'03 - 2020'!C9</f>
        <v>5687</v>
      </c>
      <c r="G4" s="24">
        <v>0.11799999999999999</v>
      </c>
      <c r="H4" s="26">
        <f>'03 - 2020'!E10-'03 - 2020'!E9</f>
        <v>23.5</v>
      </c>
      <c r="I4" s="26">
        <f>'03 - 2020'!F10-'03 - 2020'!F9</f>
        <v>5.8400000000001455</v>
      </c>
      <c r="J4" s="26">
        <f>'03 - 2020'!G10-'03 - 2020'!G9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</f>
        <v>3236</v>
      </c>
      <c r="F5" s="26">
        <f>'03 - 2020'!C11-'03 - 2020'!C10</f>
        <v>5617</v>
      </c>
      <c r="G5" s="24">
        <v>0.11799999999999999</v>
      </c>
      <c r="H5" s="26">
        <f>'03 - 2020'!E11-'03 - 2020'!E10</f>
        <v>24.659999999999854</v>
      </c>
      <c r="I5" s="26">
        <f>'03 - 2020'!F11-'03 - 2020'!F10</f>
        <v>5.3199999999999363</v>
      </c>
      <c r="J5" s="26">
        <f>'03 - 2020'!G11-'03 - 2020'!G10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</f>
        <v>3641</v>
      </c>
      <c r="F6" s="26">
        <f>'03 - 2020'!C12-'03 - 2020'!C11</f>
        <v>5520</v>
      </c>
      <c r="G6" s="24">
        <v>0.11799999999999999</v>
      </c>
      <c r="H6" s="26">
        <f>'03 - 2020'!E12-'03 - 2020'!E11</f>
        <v>21.470000000001164</v>
      </c>
      <c r="I6" s="26">
        <f>'03 - 2020'!F12-'03 - 2020'!F11</f>
        <v>4.8299999999999272</v>
      </c>
      <c r="J6" s="26">
        <f>'03 - 2020'!G12-'03 - 2020'!G11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</f>
        <v>3610</v>
      </c>
      <c r="F7" s="26">
        <f>'03 - 2020'!C13-'03 - 2020'!C12</f>
        <v>5485</v>
      </c>
      <c r="G7" s="24">
        <v>0.11799999999999999</v>
      </c>
      <c r="H7" s="26">
        <f>'03 - 2020'!E13-'03 - 2020'!E12</f>
        <v>21.3799999999992</v>
      </c>
      <c r="I7" s="26">
        <f>'03 - 2020'!F13-'03 - 2020'!F12</f>
        <v>4.7400000000000091</v>
      </c>
      <c r="J7" s="26">
        <f>'03 - 2020'!G13-'03 - 2020'!G12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</f>
        <v>3305</v>
      </c>
      <c r="F8" s="26">
        <f>'03 - 2020'!C14-'03 - 2020'!C13</f>
        <v>5422</v>
      </c>
      <c r="G8" s="24">
        <v>0.11799999999999999</v>
      </c>
      <c r="H8" s="26">
        <f>'03 - 2020'!E14-'03 - 2020'!E13</f>
        <v>22.380000000001019</v>
      </c>
      <c r="I8" s="26">
        <f>'03 - 2020'!F14-'03 - 2020'!F13</f>
        <v>4.3600000000001273</v>
      </c>
      <c r="J8" s="26">
        <f>'03 - 2020'!G14-'03 - 2020'!G13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</f>
        <v>3266</v>
      </c>
      <c r="F9" s="26">
        <f>'03 - 2020'!C15-'03 - 2020'!C14</f>
        <v>5249</v>
      </c>
      <c r="G9" s="24">
        <v>0.11799999999999999</v>
      </c>
      <c r="H9" s="26">
        <f>'03 - 2020'!E15-'03 - 2020'!E14</f>
        <v>25.579999999999927</v>
      </c>
      <c r="I9" s="26">
        <f>'03 - 2020'!F15-'03 - 2020'!F14</f>
        <v>5.7999999999999545</v>
      </c>
      <c r="J9" s="26">
        <f>'03 - 2020'!G15-'03 - 2020'!G14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</f>
        <v>3114</v>
      </c>
      <c r="F10" s="26">
        <f>'03 - 2020'!C16-'03 - 2020'!C15</f>
        <v>5015</v>
      </c>
      <c r="G10" s="24">
        <v>0.11799999999999999</v>
      </c>
      <c r="H10" s="26">
        <f>'03 - 2020'!E16-'03 - 2020'!E15</f>
        <v>24.420000000000073</v>
      </c>
      <c r="I10" s="26">
        <f>'03 - 2020'!F16-'03 - 2020'!F15</f>
        <v>6.0099999999999909</v>
      </c>
      <c r="J10" s="26">
        <f>'03 - 2020'!G16-'03 - 2020'!G15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</f>
        <v>2773</v>
      </c>
      <c r="F11" s="26">
        <f>'03 - 2020'!C17-'03 - 2020'!C16</f>
        <v>5014</v>
      </c>
      <c r="G11" s="24">
        <v>0.11799999999999999</v>
      </c>
      <c r="H11" s="26">
        <f>'03 - 2020'!E17-'03 - 2020'!E16</f>
        <v>22.479999999999563</v>
      </c>
      <c r="I11" s="26">
        <f>'03 - 2020'!F17-'03 - 2020'!F16</f>
        <v>5.6199999999998909</v>
      </c>
      <c r="J11" s="26">
        <f>'03 - 2020'!G17-'03 - 2020'!G16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</f>
        <v>3328</v>
      </c>
      <c r="F12" s="26">
        <f>'03 - 2020'!C18-'03 - 2020'!C17</f>
        <v>5125</v>
      </c>
      <c r="G12" s="24">
        <v>0.11799999999999999</v>
      </c>
      <c r="H12" s="26">
        <f>'03 - 2020'!E18-'03 - 2020'!E17</f>
        <v>24.5</v>
      </c>
      <c r="I12" s="26">
        <f>'03 - 2020'!F18-'03 - 2020'!F17</f>
        <v>3.9800000000000182</v>
      </c>
      <c r="J12" s="26">
        <f>'03 - 2020'!G18-'03 - 2020'!G17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</f>
        <v>3301</v>
      </c>
      <c r="F13" s="26">
        <f>'03 - 2020'!C19-'03 - 2020'!C18</f>
        <v>5213</v>
      </c>
      <c r="G13" s="24">
        <v>0.11799999999999999</v>
      </c>
      <c r="H13" s="26">
        <f>'03 - 2020'!E19-'03 - 2020'!E18</f>
        <v>23.260000000000218</v>
      </c>
      <c r="I13" s="26">
        <f>'03 - 2020'!F19-'03 - 2020'!F18</f>
        <v>4.1300000000001091</v>
      </c>
      <c r="J13" s="26">
        <f>'03 - 2020'!G19-'03 - 2020'!G18</f>
        <v>35.5</v>
      </c>
      <c r="K13" s="24">
        <v>0.74</v>
      </c>
      <c r="L13" s="26">
        <v>32</v>
      </c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</f>
        <v>3117</v>
      </c>
      <c r="F14" s="26">
        <f>'03 - 2020'!C20-'03 - 2020'!C19</f>
        <v>4871</v>
      </c>
      <c r="G14" s="24">
        <v>0.11799999999999999</v>
      </c>
      <c r="H14" s="26">
        <f>'03 - 2020'!E20-'03 - 2020'!E19</f>
        <v>22.010000000000218</v>
      </c>
      <c r="I14" s="26">
        <f>'03 - 2020'!F20-'03 - 2020'!F19</f>
        <v>4.1600000000000819</v>
      </c>
      <c r="J14" s="26">
        <f>'03 - 2020'!G20-'03 - 2020'!G19</f>
        <v>34.809999999997672</v>
      </c>
      <c r="K14" s="24">
        <v>0.74</v>
      </c>
      <c r="L14" s="26">
        <v>30</v>
      </c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</f>
        <v>2762</v>
      </c>
      <c r="F15" s="26">
        <f>'03 - 2020'!C21-'03 - 2020'!C20</f>
        <v>4987</v>
      </c>
      <c r="G15" s="24">
        <v>0.11799999999999999</v>
      </c>
      <c r="H15" s="26">
        <f>'03 - 2020'!E21-'03 - 2020'!E20</f>
        <v>20.789999999999054</v>
      </c>
      <c r="I15" s="26">
        <f>'03 - 2020'!F21-'03 - 2020'!F20</f>
        <v>3.5099999999999909</v>
      </c>
      <c r="J15" s="26">
        <f>'03 - 2020'!G21-'03 - 2020'!G20</f>
        <v>33.5</v>
      </c>
      <c r="K15" s="24">
        <v>0.74</v>
      </c>
      <c r="L15" s="26">
        <v>25</v>
      </c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</f>
        <v>2920</v>
      </c>
      <c r="F16" s="26">
        <f>'03 - 2020'!C22-'03 - 2020'!C21</f>
        <v>4486</v>
      </c>
      <c r="G16" s="24">
        <v>0.11799999999999999</v>
      </c>
      <c r="H16" s="26">
        <f>'03 - 2020'!E22-'03 - 2020'!E21</f>
        <v>18.200000000000728</v>
      </c>
      <c r="I16" s="26">
        <f>'03 - 2020'!F22-'03 - 2020'!F21</f>
        <v>3.7299999999997908</v>
      </c>
      <c r="J16" s="26">
        <f>'03 - 2020'!G22-'03 - 2020'!G21</f>
        <v>36.319999999999709</v>
      </c>
      <c r="K16" s="24">
        <v>0.74</v>
      </c>
      <c r="L16" s="26">
        <v>19</v>
      </c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</f>
        <v>2260</v>
      </c>
      <c r="F17" s="26">
        <f>'03 - 2020'!C23-'03 - 2020'!C22</f>
        <v>4334</v>
      </c>
      <c r="G17" s="24">
        <v>0.11799999999999999</v>
      </c>
      <c r="H17" s="26">
        <f>'03 - 2020'!E23-'03 - 2020'!E22</f>
        <v>18.199999999998909</v>
      </c>
      <c r="I17" s="26">
        <f>'03 - 2020'!F23-'03 - 2020'!F22</f>
        <v>2.8800000000001091</v>
      </c>
      <c r="J17" s="26">
        <f>'03 - 2020'!G23-'03 - 2020'!G22</f>
        <v>31.900000000001455</v>
      </c>
      <c r="K17" s="24">
        <v>0.74</v>
      </c>
      <c r="L17" s="26">
        <v>15</v>
      </c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</f>
        <v>1681</v>
      </c>
      <c r="F18" s="26">
        <f>'03 - 2020'!C24-'03 - 2020'!C23</f>
        <v>4101</v>
      </c>
      <c r="G18" s="24">
        <v>0.11799999999999999</v>
      </c>
      <c r="H18" s="26">
        <f>'03 - 2020'!E24-'03 - 2020'!E23</f>
        <v>15.6200000000008</v>
      </c>
      <c r="I18" s="26">
        <f>'03 - 2020'!F24-'03 - 2020'!F23</f>
        <v>3</v>
      </c>
      <c r="J18" s="26">
        <f>'03 - 2020'!G24-'03 - 2020'!G23</f>
        <v>32</v>
      </c>
      <c r="K18" s="24">
        <v>0.74</v>
      </c>
      <c r="L18" s="26">
        <v>8</v>
      </c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</f>
        <v>1271</v>
      </c>
      <c r="F19" s="26">
        <f>'03 - 2020'!C25-'03 - 2020'!C24</f>
        <v>3832</v>
      </c>
      <c r="G19" s="24">
        <v>0.11799999999999999</v>
      </c>
      <c r="H19" s="26">
        <f>'03 - 2020'!E25-'03 - 2020'!E24</f>
        <v>16.799999999999272</v>
      </c>
      <c r="I19" s="26">
        <f>'03 - 2020'!F25-'03 - 2020'!F24</f>
        <v>2.9800000000000182</v>
      </c>
      <c r="J19" s="26">
        <f>'03 - 2020'!G25-'03 - 2020'!G24</f>
        <v>24.130000000001019</v>
      </c>
      <c r="K19" s="24">
        <v>0.74</v>
      </c>
      <c r="L19" s="6">
        <v>5</v>
      </c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</f>
        <v>1177</v>
      </c>
      <c r="F20" s="26">
        <f>'03 - 2020'!C26-'03 - 2020'!C25</f>
        <v>3692</v>
      </c>
      <c r="G20" s="24">
        <v>0.11799999999999999</v>
      </c>
      <c r="H20" s="26">
        <f>'03 - 2020'!E26-'03 - 2020'!E25</f>
        <v>15.010000000000218</v>
      </c>
      <c r="I20" s="26">
        <f>'03 - 2020'!F26-'03 - 2020'!F25</f>
        <v>1.4200000000000728</v>
      </c>
      <c r="J20" s="26">
        <f>'03 - 2020'!G26-'03 - 2020'!G25</f>
        <v>21.599999999998545</v>
      </c>
      <c r="K20" s="24">
        <v>0.74</v>
      </c>
      <c r="L20" s="6">
        <v>4</v>
      </c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</f>
        <v>1232</v>
      </c>
      <c r="F21" s="26">
        <f>'03 - 2020'!C27-'03 - 2020'!C26</f>
        <v>3789</v>
      </c>
      <c r="G21" s="24">
        <v>0.11799999999999999</v>
      </c>
      <c r="H21" s="26">
        <f>'03 - 2020'!E27-'03 - 2020'!E26</f>
        <v>15.190000000000509</v>
      </c>
      <c r="I21" s="26">
        <f>'03 - 2020'!F27-'03 - 2020'!F26</f>
        <v>2.5399999999999636</v>
      </c>
      <c r="J21" s="26">
        <f>'03 - 2020'!G27-'03 - 2020'!G26</f>
        <v>20.270000000000437</v>
      </c>
      <c r="K21" s="24">
        <v>0.74</v>
      </c>
      <c r="L21" s="6">
        <v>6</v>
      </c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</f>
        <v>1259</v>
      </c>
      <c r="F22" s="26">
        <f>'03 - 2020'!C28-'03 - 2020'!C27</f>
        <v>3422</v>
      </c>
      <c r="G22" s="24">
        <v>0.11799999999999999</v>
      </c>
      <c r="H22" s="26">
        <f>'03 - 2020'!E28-'03 - 2020'!E27</f>
        <v>15.180000000000291</v>
      </c>
      <c r="I22" s="26">
        <f>'03 - 2020'!F28-'03 - 2020'!F27</f>
        <v>2.0199999999999818</v>
      </c>
      <c r="J22" s="26">
        <f>'03 - 2020'!G28-'03 - 2020'!G27</f>
        <v>20.479999999999563</v>
      </c>
      <c r="K22" s="24">
        <v>0.74</v>
      </c>
      <c r="L22" s="26">
        <v>5</v>
      </c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</f>
        <v>1151</v>
      </c>
      <c r="F23" s="26">
        <f>'03 - 2020'!C29-'03 - 2020'!C28</f>
        <v>2835</v>
      </c>
      <c r="G23" s="24">
        <v>0.11799999999999999</v>
      </c>
      <c r="H23" s="26">
        <f>'03 - 2020'!E29-'03 - 2020'!E28</f>
        <v>14</v>
      </c>
      <c r="I23" s="26">
        <f>'03 - 2020'!F29-'03 - 2020'!F28</f>
        <v>1.3299999999999272</v>
      </c>
      <c r="J23" s="26">
        <f>'03 - 2020'!G29-'03 - 2020'!G28</f>
        <v>17.540000000000873</v>
      </c>
      <c r="K23" s="24">
        <v>0.74</v>
      </c>
      <c r="L23" s="26">
        <v>6</v>
      </c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</f>
        <v>1215</v>
      </c>
      <c r="F24" s="26">
        <f>'03 - 2020'!C30-'03 - 2020'!C29</f>
        <v>2894</v>
      </c>
      <c r="G24" s="24">
        <v>0.11799999999999999</v>
      </c>
      <c r="H24" s="26">
        <f>'03 - 2020'!E30-'03 - 2020'!E29</f>
        <v>10.819999999999709</v>
      </c>
      <c r="I24" s="26">
        <f>'03 - 2020'!F30-'03 - 2020'!F29</f>
        <v>1.7100000000000364</v>
      </c>
      <c r="J24" s="26">
        <f>'03 - 2020'!G30-'03 - 2020'!G29</f>
        <v>12.979999999999563</v>
      </c>
      <c r="K24" s="24">
        <v>0.74</v>
      </c>
      <c r="L24" s="26">
        <v>8</v>
      </c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</f>
        <v>992</v>
      </c>
      <c r="F25" s="26">
        <f>'03 - 2020'!C31-'03 - 2020'!C30</f>
        <v>3032</v>
      </c>
      <c r="G25" s="24">
        <v>0.11799999999999999</v>
      </c>
      <c r="H25" s="26">
        <f>'03 - 2020'!E31-'03 - 2020'!E30</f>
        <v>14.930000000000291</v>
      </c>
      <c r="I25" s="26">
        <f>'03 - 2020'!F31-'03 - 2020'!F30</f>
        <v>0</v>
      </c>
      <c r="J25" s="26">
        <f>'03 - 2020'!G31-'03 - 2020'!G30</f>
        <v>19</v>
      </c>
      <c r="K25" s="24">
        <v>0.74</v>
      </c>
      <c r="L25" s="6">
        <v>6</v>
      </c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</f>
        <v>925</v>
      </c>
      <c r="F26" s="26">
        <f>'03 - 2020'!C32-'03 - 2020'!C31</f>
        <v>2879</v>
      </c>
      <c r="G26" s="24">
        <v>0.11799999999999999</v>
      </c>
      <c r="H26" s="26">
        <f>'03 - 2020'!E32-'03 - 2020'!E31</f>
        <v>15.069999999999709</v>
      </c>
      <c r="I26" s="26">
        <f>'03 - 2020'!F32-'03 - 2020'!F31</f>
        <v>0</v>
      </c>
      <c r="J26" s="26">
        <f>'03 - 2020'!G32-'03 - 2020'!G31</f>
        <v>18</v>
      </c>
      <c r="K26" s="24">
        <v>0.74</v>
      </c>
      <c r="L26" s="6">
        <v>6</v>
      </c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</f>
        <v>720</v>
      </c>
      <c r="F27" s="26">
        <f>'03 - 2020'!C33-'03 - 2020'!C32</f>
        <v>2889</v>
      </c>
      <c r="G27" s="24">
        <v>0.11799999999999999</v>
      </c>
      <c r="H27" s="26">
        <f>'03 - 2020'!E33-'03 - 2020'!E32</f>
        <v>15.3799999999992</v>
      </c>
      <c r="I27" s="26">
        <f>'03 - 2020'!F33-'03 - 2020'!F32</f>
        <v>0.67999999999983629</v>
      </c>
      <c r="J27" s="26">
        <f>'03 - 2020'!G33-'03 - 2020'!G32</f>
        <v>17.599999999998545</v>
      </c>
      <c r="K27" s="24">
        <v>0.74</v>
      </c>
      <c r="L27" s="6">
        <v>5</v>
      </c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</f>
        <v>677</v>
      </c>
      <c r="F28" s="26">
        <f>'03 - 2020'!C34-'03 - 2020'!C33</f>
        <v>2833</v>
      </c>
      <c r="G28" s="24">
        <v>0.11799999999999999</v>
      </c>
      <c r="H28" s="26">
        <f>'03 - 2020'!E34-'03 - 2020'!E33</f>
        <v>16.130000000001019</v>
      </c>
      <c r="I28" s="26">
        <f>'03 - 2020'!F34-'03 - 2020'!F33</f>
        <v>0</v>
      </c>
      <c r="J28" s="26">
        <f>'03 - 2020'!G34-'03 - 2020'!G33</f>
        <v>17.210000000002765</v>
      </c>
      <c r="K28" s="24">
        <v>0.74</v>
      </c>
      <c r="L28" s="6">
        <v>3</v>
      </c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</f>
        <v>628</v>
      </c>
      <c r="F29" s="26">
        <f>'03 - 2020'!C35-'03 - 2020'!C34</f>
        <v>2816</v>
      </c>
      <c r="G29" s="24">
        <v>0.11799999999999999</v>
      </c>
      <c r="H29" s="26">
        <f>'03 - 2020'!E35-'03 - 2020'!E34</f>
        <v>13.799999999999272</v>
      </c>
      <c r="I29" s="26">
        <f>'03 - 2020'!F35-'03 - 2020'!F34</f>
        <v>0</v>
      </c>
      <c r="J29" s="26">
        <f>'03 - 2020'!G35-'03 - 2020'!G34</f>
        <v>17.369999999998981</v>
      </c>
      <c r="K29" s="24">
        <v>0.74</v>
      </c>
      <c r="L29" s="6">
        <v>8</v>
      </c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</f>
        <v>618</v>
      </c>
      <c r="F30" s="26">
        <f>'03 - 2020'!C36-'03 - 2020'!C35</f>
        <v>2797</v>
      </c>
      <c r="G30" s="24">
        <v>0.11799999999999999</v>
      </c>
      <c r="H30" s="26">
        <f>'03 - 2020'!E36-'03 - 2020'!E35</f>
        <v>12.329999999999927</v>
      </c>
      <c r="I30" s="26">
        <f>'03 - 2020'!F36-'03 - 2020'!F35</f>
        <v>0</v>
      </c>
      <c r="J30" s="26">
        <f>'03 - 2020'!G36-'03 - 2020'!G35</f>
        <v>17</v>
      </c>
      <c r="K30" s="24">
        <v>0.74</v>
      </c>
      <c r="L30" s="6">
        <v>8</v>
      </c>
    </row>
    <row r="31" spans="1:13" x14ac:dyDescent="0.25">
      <c r="A31" s="24" t="s">
        <v>27</v>
      </c>
      <c r="B31" s="24">
        <v>30</v>
      </c>
      <c r="C31" s="24">
        <v>3</v>
      </c>
      <c r="D31" s="24">
        <v>2020</v>
      </c>
      <c r="E31" s="26">
        <v>0</v>
      </c>
      <c r="F31" s="26">
        <v>0</v>
      </c>
      <c r="G31" s="24">
        <v>0.11799999999999999</v>
      </c>
      <c r="H31" s="26">
        <v>0</v>
      </c>
      <c r="I31" s="26">
        <v>0</v>
      </c>
      <c r="J31" s="26">
        <v>0</v>
      </c>
      <c r="K31" s="24">
        <v>0.74</v>
      </c>
    </row>
    <row r="32" spans="1:13" x14ac:dyDescent="0.25">
      <c r="A32" s="24" t="s">
        <v>27</v>
      </c>
      <c r="B32" s="24">
        <v>31</v>
      </c>
      <c r="C32" s="24">
        <v>3</v>
      </c>
      <c r="D32" s="24">
        <v>2020</v>
      </c>
      <c r="E32" s="26">
        <f>'03 - 2020'!B38-'03 - 2020'!B37</f>
        <v>0</v>
      </c>
      <c r="F32" s="26">
        <f>'03 - 2020'!C38-'03 - 2020'!C37</f>
        <v>0</v>
      </c>
      <c r="G32" s="24">
        <v>0.11799999999999999</v>
      </c>
      <c r="H32" s="26">
        <f>'03 - 2020'!E38-'03 - 2020'!E37</f>
        <v>0</v>
      </c>
      <c r="I32" s="26">
        <f>'03 - 2020'!F38-'03 - 2020'!F37</f>
        <v>0</v>
      </c>
      <c r="J32" s="26">
        <f>'03 - 2020'!G38-'03 - 2020'!G37</f>
        <v>0</v>
      </c>
      <c r="K32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A36" sqref="A36:J3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4"/>
      <c r="L3" s="24"/>
      <c r="M3" s="24"/>
    </row>
    <row r="4" spans="1:15" ht="16.5" thickBot="1" x14ac:dyDescent="0.3">
      <c r="A4" s="64" t="s">
        <v>36</v>
      </c>
      <c r="B4" s="64"/>
      <c r="C4" s="64"/>
      <c r="D4" s="64"/>
      <c r="E4" s="64"/>
      <c r="F4" s="64"/>
      <c r="G4" s="64"/>
      <c r="H4" s="64"/>
      <c r="I4" s="64"/>
      <c r="J4" s="64"/>
      <c r="K4" s="24"/>
      <c r="L4" s="24"/>
      <c r="M4" s="24"/>
    </row>
    <row r="5" spans="1:15" ht="16.5" thickBot="1" x14ac:dyDescent="0.3">
      <c r="A5" s="2"/>
      <c r="B5" s="65">
        <v>19</v>
      </c>
      <c r="C5" s="66"/>
      <c r="D5" s="65" t="s">
        <v>0</v>
      </c>
      <c r="E5" s="67"/>
      <c r="F5" s="67"/>
      <c r="G5" s="68"/>
      <c r="H5" s="69" t="s">
        <v>1</v>
      </c>
      <c r="I5" s="70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60" customFormat="1" ht="12.75" customHeight="1" x14ac:dyDescent="0.25">
      <c r="A7" s="55">
        <v>43890</v>
      </c>
      <c r="B7" s="56">
        <v>604675</v>
      </c>
      <c r="C7" s="61">
        <v>621646</v>
      </c>
      <c r="D7" s="57">
        <v>0.8</v>
      </c>
      <c r="E7" s="29">
        <v>10249.07</v>
      </c>
      <c r="F7" s="29">
        <v>1977.24</v>
      </c>
      <c r="G7" s="29">
        <v>17755</v>
      </c>
      <c r="H7" s="29">
        <v>14528</v>
      </c>
      <c r="I7" s="56">
        <v>90695</v>
      </c>
      <c r="J7" s="56">
        <v>37991508</v>
      </c>
      <c r="K7" s="58">
        <v>3950</v>
      </c>
      <c r="L7" s="59"/>
      <c r="M7" s="49"/>
    </row>
    <row r="8" spans="1:15" ht="12.75" customHeight="1" x14ac:dyDescent="0.25">
      <c r="A8" s="48">
        <v>43891</v>
      </c>
      <c r="B8" s="37">
        <v>608458</v>
      </c>
      <c r="C8" s="38">
        <v>627553</v>
      </c>
      <c r="D8" s="39">
        <v>0.74</v>
      </c>
      <c r="E8" s="40">
        <v>10273.11</v>
      </c>
      <c r="F8" s="40">
        <v>1982.67</v>
      </c>
      <c r="G8" s="40">
        <v>17788.52</v>
      </c>
      <c r="H8" s="41">
        <v>14528</v>
      </c>
      <c r="I8" s="41">
        <v>90800</v>
      </c>
      <c r="J8" s="41">
        <v>38005388</v>
      </c>
      <c r="K8" s="42"/>
      <c r="L8" s="43"/>
      <c r="M8" s="49">
        <f>J8-J7</f>
        <v>13880</v>
      </c>
    </row>
    <row r="9" spans="1:15" ht="12.75" customHeight="1" x14ac:dyDescent="0.25">
      <c r="A9" s="48">
        <f>A8+1</f>
        <v>43892</v>
      </c>
      <c r="B9" s="27">
        <v>612019</v>
      </c>
      <c r="C9" s="19">
        <v>633260</v>
      </c>
      <c r="D9" s="16">
        <v>0.66</v>
      </c>
      <c r="E9" s="23">
        <v>10295.549999999999</v>
      </c>
      <c r="F9" s="23">
        <v>1988.09</v>
      </c>
      <c r="G9" s="23">
        <v>17829.87</v>
      </c>
      <c r="H9" s="19">
        <v>14528</v>
      </c>
      <c r="I9" s="15">
        <v>90885</v>
      </c>
      <c r="J9" s="15">
        <v>38018660</v>
      </c>
      <c r="K9" s="18"/>
      <c r="L9" s="33"/>
      <c r="M9" s="49">
        <f t="shared" ref="M9:M31" si="0">J9-J8</f>
        <v>13272</v>
      </c>
    </row>
    <row r="10" spans="1:15" ht="12.75" customHeight="1" x14ac:dyDescent="0.25">
      <c r="A10" s="48">
        <f t="shared" ref="A10:A38" si="1">A9+1</f>
        <v>43893</v>
      </c>
      <c r="B10" s="15">
        <v>615526</v>
      </c>
      <c r="C10" s="15">
        <v>638947</v>
      </c>
      <c r="D10" s="16">
        <v>0.6</v>
      </c>
      <c r="E10" s="23">
        <v>10319.049999999999</v>
      </c>
      <c r="F10" s="23">
        <v>1993.93</v>
      </c>
      <c r="G10" s="23">
        <v>17864.66</v>
      </c>
      <c r="H10" s="19">
        <v>14528</v>
      </c>
      <c r="I10" s="15">
        <v>90975</v>
      </c>
      <c r="J10" s="15">
        <v>38032768</v>
      </c>
      <c r="K10" s="18"/>
      <c r="L10" s="33"/>
      <c r="M10" s="49">
        <f t="shared" si="0"/>
        <v>14108</v>
      </c>
    </row>
    <row r="11" spans="1:15" ht="12.75" customHeight="1" x14ac:dyDescent="0.25">
      <c r="A11" s="48">
        <f t="shared" si="1"/>
        <v>43894</v>
      </c>
      <c r="B11" s="15">
        <v>618762</v>
      </c>
      <c r="C11" s="15">
        <v>644564</v>
      </c>
      <c r="D11" s="16">
        <v>0.54</v>
      </c>
      <c r="E11" s="23">
        <v>10343.709999999999</v>
      </c>
      <c r="F11" s="23">
        <v>1999.25</v>
      </c>
      <c r="G11" s="23">
        <v>17902.54</v>
      </c>
      <c r="H11" s="19">
        <v>14528</v>
      </c>
      <c r="I11" s="15">
        <v>91068</v>
      </c>
      <c r="J11" s="15">
        <v>38045585</v>
      </c>
      <c r="K11" s="18"/>
      <c r="L11" s="33"/>
      <c r="M11" s="49">
        <f t="shared" si="0"/>
        <v>12817</v>
      </c>
    </row>
    <row r="12" spans="1:15" ht="12.75" customHeight="1" x14ac:dyDescent="0.25">
      <c r="A12" s="48">
        <f t="shared" si="1"/>
        <v>43895</v>
      </c>
      <c r="B12" s="15">
        <v>622403</v>
      </c>
      <c r="C12" s="15">
        <v>650084</v>
      </c>
      <c r="D12" s="16">
        <v>0.48</v>
      </c>
      <c r="E12" s="23">
        <v>10365.18</v>
      </c>
      <c r="F12" s="23">
        <v>2004.08</v>
      </c>
      <c r="G12" s="23">
        <v>17938.64</v>
      </c>
      <c r="H12" s="15">
        <v>14528</v>
      </c>
      <c r="I12" s="15">
        <v>91160</v>
      </c>
      <c r="J12" s="15">
        <v>38056993</v>
      </c>
      <c r="K12" s="18"/>
      <c r="L12" s="33"/>
      <c r="M12" s="49">
        <f t="shared" si="0"/>
        <v>11408</v>
      </c>
    </row>
    <row r="13" spans="1:15" ht="12.75" customHeight="1" x14ac:dyDescent="0.25">
      <c r="A13" s="48">
        <f t="shared" si="1"/>
        <v>43896</v>
      </c>
      <c r="B13" s="15">
        <v>626013</v>
      </c>
      <c r="C13" s="15">
        <v>655569</v>
      </c>
      <c r="D13" s="16">
        <v>0.4</v>
      </c>
      <c r="E13" s="23">
        <v>10386.56</v>
      </c>
      <c r="F13" s="23">
        <v>2008.82</v>
      </c>
      <c r="G13" s="23">
        <v>17976.14</v>
      </c>
      <c r="H13" s="15">
        <v>14528</v>
      </c>
      <c r="I13" s="17">
        <v>91251</v>
      </c>
      <c r="J13" s="17">
        <v>38068923</v>
      </c>
      <c r="K13" s="18"/>
      <c r="L13" s="33"/>
      <c r="M13" s="49">
        <f t="shared" si="0"/>
        <v>11930</v>
      </c>
    </row>
    <row r="14" spans="1:15" ht="12.75" customHeight="1" x14ac:dyDescent="0.25">
      <c r="A14" s="48">
        <f t="shared" si="1"/>
        <v>43897</v>
      </c>
      <c r="B14" s="15">
        <v>629318</v>
      </c>
      <c r="C14" s="15">
        <v>660991</v>
      </c>
      <c r="D14" s="16">
        <v>0.85</v>
      </c>
      <c r="E14" s="23">
        <v>10408.94</v>
      </c>
      <c r="F14" s="23">
        <v>2013.18</v>
      </c>
      <c r="G14" s="17">
        <v>18012.23</v>
      </c>
      <c r="H14" s="15">
        <v>14528</v>
      </c>
      <c r="I14" s="15">
        <v>91335</v>
      </c>
      <c r="J14" s="15">
        <v>38081199</v>
      </c>
      <c r="K14" s="27">
        <v>3700</v>
      </c>
      <c r="L14" s="33"/>
      <c r="M14" s="49">
        <f t="shared" si="0"/>
        <v>12276</v>
      </c>
      <c r="O14" s="26"/>
    </row>
    <row r="15" spans="1:15" ht="12.75" customHeight="1" x14ac:dyDescent="0.25">
      <c r="A15" s="48">
        <f t="shared" si="1"/>
        <v>43898</v>
      </c>
      <c r="B15" s="19">
        <v>632584</v>
      </c>
      <c r="C15" s="15">
        <v>666240</v>
      </c>
      <c r="D15" s="16">
        <v>0.78</v>
      </c>
      <c r="E15" s="23">
        <v>10434.52</v>
      </c>
      <c r="F15" s="23">
        <v>2018.98</v>
      </c>
      <c r="G15" s="17">
        <v>18048.41</v>
      </c>
      <c r="H15" s="15">
        <v>14528</v>
      </c>
      <c r="I15" s="15">
        <v>91450</v>
      </c>
      <c r="J15" s="15">
        <v>38094370</v>
      </c>
      <c r="K15" s="18"/>
      <c r="L15" s="33"/>
      <c r="M15" s="49">
        <f t="shared" si="0"/>
        <v>13171</v>
      </c>
      <c r="O15" s="26"/>
    </row>
    <row r="16" spans="1:15" ht="12.75" customHeight="1" x14ac:dyDescent="0.25">
      <c r="A16" s="48">
        <f t="shared" si="1"/>
        <v>43899</v>
      </c>
      <c r="B16" s="49">
        <v>635698</v>
      </c>
      <c r="C16" s="15">
        <v>671255</v>
      </c>
      <c r="D16" s="16">
        <v>0.7</v>
      </c>
      <c r="E16" s="23">
        <v>10458.94</v>
      </c>
      <c r="F16" s="23">
        <v>2024.99</v>
      </c>
      <c r="G16" s="17">
        <v>18087.93</v>
      </c>
      <c r="H16" s="15">
        <v>14528</v>
      </c>
      <c r="I16" s="15">
        <v>91534</v>
      </c>
      <c r="J16" s="15">
        <v>38107176</v>
      </c>
      <c r="K16" s="18"/>
      <c r="L16" s="33"/>
      <c r="M16" s="49">
        <f t="shared" si="0"/>
        <v>12806</v>
      </c>
    </row>
    <row r="17" spans="1:16" ht="12.75" customHeight="1" x14ac:dyDescent="0.25">
      <c r="A17" s="48">
        <f t="shared" si="1"/>
        <v>43900</v>
      </c>
      <c r="B17" s="17">
        <v>638471</v>
      </c>
      <c r="C17" s="17">
        <v>676269</v>
      </c>
      <c r="D17" s="28">
        <v>0.62</v>
      </c>
      <c r="E17" s="23">
        <v>10481.42</v>
      </c>
      <c r="F17" s="23">
        <v>2030.61</v>
      </c>
      <c r="G17" s="17">
        <v>18123.310000000001</v>
      </c>
      <c r="H17" s="15">
        <v>14528</v>
      </c>
      <c r="I17" s="17">
        <v>91612</v>
      </c>
      <c r="J17" s="17">
        <v>38119084</v>
      </c>
      <c r="K17" s="18"/>
      <c r="L17" s="33"/>
      <c r="M17" s="49">
        <f t="shared" si="0"/>
        <v>11908</v>
      </c>
    </row>
    <row r="18" spans="1:16" ht="12.75" customHeight="1" x14ac:dyDescent="0.25">
      <c r="A18" s="48">
        <f t="shared" si="1"/>
        <v>43901</v>
      </c>
      <c r="B18" s="15">
        <v>641799</v>
      </c>
      <c r="C18" s="15">
        <v>681394</v>
      </c>
      <c r="D18" s="16">
        <v>0.56999999999999995</v>
      </c>
      <c r="E18" s="23">
        <v>10505.92</v>
      </c>
      <c r="F18" s="23">
        <v>2034.59</v>
      </c>
      <c r="G18" s="17">
        <v>18158.97</v>
      </c>
      <c r="H18" s="15">
        <v>14528</v>
      </c>
      <c r="I18" s="15">
        <v>91688</v>
      </c>
      <c r="J18" s="15">
        <v>38130598</v>
      </c>
      <c r="K18" s="18"/>
      <c r="L18" s="33"/>
      <c r="M18" s="49">
        <f t="shared" si="0"/>
        <v>11514</v>
      </c>
      <c r="P18" s="26"/>
    </row>
    <row r="19" spans="1:16" ht="12.75" customHeight="1" x14ac:dyDescent="0.25">
      <c r="A19" s="48">
        <f t="shared" si="1"/>
        <v>43902</v>
      </c>
      <c r="B19" s="15">
        <v>645100</v>
      </c>
      <c r="C19" s="15">
        <v>686607</v>
      </c>
      <c r="D19" s="16">
        <v>0.49</v>
      </c>
      <c r="E19" s="23">
        <v>10529.18</v>
      </c>
      <c r="F19" s="23">
        <v>2038.72</v>
      </c>
      <c r="G19" s="17">
        <v>18194.47</v>
      </c>
      <c r="H19" s="15">
        <v>14528</v>
      </c>
      <c r="I19" s="15">
        <v>91770</v>
      </c>
      <c r="J19" s="15">
        <v>38142000</v>
      </c>
      <c r="K19" s="18"/>
      <c r="L19" s="33"/>
      <c r="M19" s="49">
        <f t="shared" si="0"/>
        <v>11402</v>
      </c>
      <c r="P19" s="26"/>
    </row>
    <row r="20" spans="1:16" ht="12.75" customHeight="1" x14ac:dyDescent="0.25">
      <c r="A20" s="48">
        <f t="shared" si="1"/>
        <v>43903</v>
      </c>
      <c r="B20" s="15">
        <v>648217</v>
      </c>
      <c r="C20" s="15">
        <v>691478</v>
      </c>
      <c r="D20" s="16">
        <v>0.41</v>
      </c>
      <c r="E20" s="23">
        <v>10551.19</v>
      </c>
      <c r="F20" s="23">
        <v>2042.88</v>
      </c>
      <c r="G20" s="17">
        <v>18229.28</v>
      </c>
      <c r="H20" s="15">
        <v>14528</v>
      </c>
      <c r="I20" s="15">
        <v>91866</v>
      </c>
      <c r="J20" s="15">
        <v>38153564</v>
      </c>
      <c r="K20" s="18"/>
      <c r="L20" s="33"/>
      <c r="M20" s="49">
        <f t="shared" si="0"/>
        <v>11564</v>
      </c>
    </row>
    <row r="21" spans="1:16" ht="12.75" customHeight="1" x14ac:dyDescent="0.25">
      <c r="A21" s="48">
        <f t="shared" si="1"/>
        <v>43904</v>
      </c>
      <c r="B21" s="15">
        <v>650979</v>
      </c>
      <c r="C21" s="15">
        <v>696465</v>
      </c>
      <c r="D21" s="16">
        <v>0.85</v>
      </c>
      <c r="E21" s="23">
        <v>10571.98</v>
      </c>
      <c r="F21" s="23">
        <v>2046.39</v>
      </c>
      <c r="G21" s="17">
        <v>18262.78</v>
      </c>
      <c r="H21" s="15">
        <v>14528</v>
      </c>
      <c r="I21" s="15">
        <v>91946</v>
      </c>
      <c r="J21" s="15">
        <v>38165193</v>
      </c>
      <c r="K21" s="18"/>
      <c r="L21" s="33"/>
      <c r="M21" s="49">
        <f t="shared" si="0"/>
        <v>11629</v>
      </c>
    </row>
    <row r="22" spans="1:16" ht="12.75" customHeight="1" x14ac:dyDescent="0.25">
      <c r="A22" s="48">
        <f t="shared" si="1"/>
        <v>43905</v>
      </c>
      <c r="B22" s="15">
        <v>653899</v>
      </c>
      <c r="C22" s="15">
        <v>700951</v>
      </c>
      <c r="D22" s="16">
        <v>0.77</v>
      </c>
      <c r="E22" s="23">
        <v>10590.18</v>
      </c>
      <c r="F22" s="23">
        <v>2050.12</v>
      </c>
      <c r="G22" s="17">
        <v>18299.099999999999</v>
      </c>
      <c r="H22" s="15">
        <v>14528</v>
      </c>
      <c r="I22" s="17">
        <v>92021</v>
      </c>
      <c r="J22" s="15">
        <v>38176219</v>
      </c>
      <c r="K22" s="27"/>
      <c r="L22" s="33"/>
      <c r="M22" s="49">
        <f t="shared" si="0"/>
        <v>11026</v>
      </c>
    </row>
    <row r="23" spans="1:16" ht="12.75" customHeight="1" x14ac:dyDescent="0.25">
      <c r="A23" s="48">
        <f t="shared" si="1"/>
        <v>43906</v>
      </c>
      <c r="B23" s="21">
        <v>656159</v>
      </c>
      <c r="C23" s="21">
        <v>705285</v>
      </c>
      <c r="D23" s="16">
        <v>0.72</v>
      </c>
      <c r="E23" s="29">
        <v>10608.38</v>
      </c>
      <c r="F23" s="29">
        <v>2053</v>
      </c>
      <c r="G23" s="17">
        <v>18331</v>
      </c>
      <c r="H23" s="15">
        <v>14528</v>
      </c>
      <c r="I23" s="15">
        <v>92085</v>
      </c>
      <c r="J23" s="15">
        <v>38187315</v>
      </c>
      <c r="K23" s="27"/>
      <c r="L23" s="33"/>
      <c r="M23" s="49">
        <f t="shared" si="0"/>
        <v>11096</v>
      </c>
    </row>
    <row r="24" spans="1:16" ht="12.75" customHeight="1" x14ac:dyDescent="0.25">
      <c r="A24" s="48">
        <f t="shared" si="1"/>
        <v>43907</v>
      </c>
      <c r="B24" s="21">
        <v>657840</v>
      </c>
      <c r="C24" s="21">
        <v>709386</v>
      </c>
      <c r="D24" s="16">
        <v>0.68</v>
      </c>
      <c r="E24" s="29">
        <v>10624</v>
      </c>
      <c r="F24" s="29">
        <v>2056</v>
      </c>
      <c r="G24" s="17">
        <v>18363</v>
      </c>
      <c r="H24" s="15">
        <v>14528</v>
      </c>
      <c r="I24" s="15">
        <v>92149</v>
      </c>
      <c r="J24" s="15">
        <v>38197361</v>
      </c>
      <c r="K24" s="18"/>
      <c r="L24" s="34"/>
      <c r="M24" s="49">
        <f t="shared" si="0"/>
        <v>10046</v>
      </c>
    </row>
    <row r="25" spans="1:16" ht="12.75" customHeight="1" x14ac:dyDescent="0.25">
      <c r="A25" s="48">
        <f t="shared" si="1"/>
        <v>43908</v>
      </c>
      <c r="B25" s="17">
        <v>659111</v>
      </c>
      <c r="C25" s="17">
        <v>713218</v>
      </c>
      <c r="D25" s="28">
        <v>0.65</v>
      </c>
      <c r="E25" s="29">
        <v>10640.8</v>
      </c>
      <c r="F25" s="29">
        <v>2058.98</v>
      </c>
      <c r="G25" s="17">
        <v>18387.13</v>
      </c>
      <c r="H25" s="15">
        <v>14528</v>
      </c>
      <c r="I25" s="15">
        <v>92208</v>
      </c>
      <c r="J25" s="15">
        <v>38207474</v>
      </c>
      <c r="K25" s="27"/>
      <c r="L25" s="34"/>
      <c r="M25" s="49">
        <f t="shared" si="0"/>
        <v>10113</v>
      </c>
    </row>
    <row r="26" spans="1:16" ht="12.75" customHeight="1" x14ac:dyDescent="0.25">
      <c r="A26" s="48">
        <f t="shared" si="1"/>
        <v>43909</v>
      </c>
      <c r="B26" s="17">
        <v>660288</v>
      </c>
      <c r="C26" s="17">
        <v>716910</v>
      </c>
      <c r="D26" s="28">
        <v>0.59</v>
      </c>
      <c r="E26" s="29">
        <v>10655.81</v>
      </c>
      <c r="F26" s="29">
        <v>2060.4</v>
      </c>
      <c r="G26" s="17">
        <v>18408.73</v>
      </c>
      <c r="H26" s="15">
        <v>14528</v>
      </c>
      <c r="I26" s="15">
        <v>92259</v>
      </c>
      <c r="J26" s="15">
        <v>38216419</v>
      </c>
      <c r="K26" s="27"/>
      <c r="L26" s="34"/>
      <c r="M26" s="49">
        <f t="shared" si="0"/>
        <v>8945</v>
      </c>
    </row>
    <row r="27" spans="1:16" ht="12.75" customHeight="1" x14ac:dyDescent="0.25">
      <c r="A27" s="48">
        <f t="shared" si="1"/>
        <v>43910</v>
      </c>
      <c r="B27" s="15">
        <v>661520</v>
      </c>
      <c r="C27" s="15">
        <v>720699</v>
      </c>
      <c r="D27" s="16">
        <v>0.54</v>
      </c>
      <c r="E27" s="29">
        <v>10671</v>
      </c>
      <c r="F27" s="29">
        <v>2062.94</v>
      </c>
      <c r="G27" s="17">
        <v>18429</v>
      </c>
      <c r="H27" s="15">
        <v>14528</v>
      </c>
      <c r="I27" s="15">
        <v>92298</v>
      </c>
      <c r="J27" s="15">
        <v>38225688</v>
      </c>
      <c r="K27" s="18"/>
      <c r="L27" s="33"/>
      <c r="M27" s="49">
        <f t="shared" si="0"/>
        <v>9269</v>
      </c>
    </row>
    <row r="28" spans="1:16" ht="12.75" customHeight="1" x14ac:dyDescent="0.25">
      <c r="A28" s="48">
        <f t="shared" si="1"/>
        <v>43911</v>
      </c>
      <c r="B28" s="14">
        <v>662779</v>
      </c>
      <c r="C28" s="15">
        <v>724121</v>
      </c>
      <c r="D28" s="16">
        <v>0.52</v>
      </c>
      <c r="E28" s="29">
        <v>10686.18</v>
      </c>
      <c r="F28" s="29">
        <v>2064.96</v>
      </c>
      <c r="G28" s="17">
        <v>18449.48</v>
      </c>
      <c r="H28" s="15">
        <v>14528</v>
      </c>
      <c r="I28" s="15">
        <v>92328</v>
      </c>
      <c r="J28" s="15">
        <v>38234449</v>
      </c>
      <c r="K28" s="18"/>
      <c r="L28" s="33"/>
      <c r="M28" s="49">
        <f t="shared" si="0"/>
        <v>8761</v>
      </c>
    </row>
    <row r="29" spans="1:16" ht="12.75" customHeight="1" x14ac:dyDescent="0.25">
      <c r="A29" s="48">
        <f t="shared" si="1"/>
        <v>43912</v>
      </c>
      <c r="B29" s="15">
        <v>663930</v>
      </c>
      <c r="C29" s="15">
        <v>726956</v>
      </c>
      <c r="D29" s="16">
        <v>0.5</v>
      </c>
      <c r="E29" s="29">
        <v>10700.18</v>
      </c>
      <c r="F29" s="29">
        <v>2066.29</v>
      </c>
      <c r="G29" s="17">
        <v>18467.02</v>
      </c>
      <c r="H29" s="15">
        <v>14528</v>
      </c>
      <c r="I29" s="15">
        <v>92354</v>
      </c>
      <c r="J29" s="15">
        <v>38241194</v>
      </c>
      <c r="K29" s="18"/>
      <c r="L29" s="33"/>
      <c r="M29" s="49">
        <f t="shared" si="0"/>
        <v>6745</v>
      </c>
      <c r="P29" s="6"/>
    </row>
    <row r="30" spans="1:16" ht="12.75" customHeight="1" x14ac:dyDescent="0.25">
      <c r="A30" s="48">
        <f t="shared" si="1"/>
        <v>43913</v>
      </c>
      <c r="B30" s="15">
        <v>665145</v>
      </c>
      <c r="C30" s="15">
        <v>729850</v>
      </c>
      <c r="D30" s="16">
        <v>0.48</v>
      </c>
      <c r="E30" s="29">
        <v>10711</v>
      </c>
      <c r="F30" s="29">
        <v>2068</v>
      </c>
      <c r="G30" s="17">
        <v>18480</v>
      </c>
      <c r="H30" s="15">
        <v>14528</v>
      </c>
      <c r="I30" s="15">
        <v>92379</v>
      </c>
      <c r="J30" s="15">
        <v>38248596</v>
      </c>
      <c r="K30" s="18"/>
      <c r="L30" s="33"/>
      <c r="M30" s="49">
        <f t="shared" si="0"/>
        <v>7402</v>
      </c>
      <c r="P30" s="6"/>
    </row>
    <row r="31" spans="1:16" ht="12.75" customHeight="1" x14ac:dyDescent="0.25">
      <c r="A31" s="48">
        <f t="shared" si="1"/>
        <v>43914</v>
      </c>
      <c r="B31" s="15">
        <v>666137</v>
      </c>
      <c r="C31" s="15">
        <v>732882</v>
      </c>
      <c r="D31" s="16">
        <v>0.47</v>
      </c>
      <c r="E31" s="29">
        <v>10725.93</v>
      </c>
      <c r="F31" s="29">
        <v>2068</v>
      </c>
      <c r="G31" s="17">
        <v>18499</v>
      </c>
      <c r="H31" s="15">
        <v>14528</v>
      </c>
      <c r="I31" s="15">
        <v>92402</v>
      </c>
      <c r="J31" s="15">
        <v>38253830</v>
      </c>
      <c r="K31" s="18"/>
      <c r="L31" s="35"/>
      <c r="M31" s="49">
        <f t="shared" si="0"/>
        <v>5234</v>
      </c>
      <c r="P31" s="6"/>
    </row>
    <row r="32" spans="1:16" ht="12.75" customHeight="1" x14ac:dyDescent="0.25">
      <c r="A32" s="48">
        <f t="shared" si="1"/>
        <v>43915</v>
      </c>
      <c r="B32" s="15">
        <v>667062</v>
      </c>
      <c r="C32" s="15">
        <v>735761</v>
      </c>
      <c r="D32" s="16">
        <v>0.45</v>
      </c>
      <c r="E32" s="29">
        <v>10741</v>
      </c>
      <c r="F32" s="29">
        <v>2068</v>
      </c>
      <c r="G32" s="17">
        <v>18517</v>
      </c>
      <c r="H32" s="15">
        <v>14528</v>
      </c>
      <c r="I32" s="15">
        <v>92425</v>
      </c>
      <c r="J32" s="15">
        <v>38259546</v>
      </c>
      <c r="K32" s="18"/>
      <c r="L32" s="35"/>
      <c r="M32" s="49"/>
      <c r="P32" s="6"/>
    </row>
    <row r="33" spans="1:16" ht="12.75" customHeight="1" x14ac:dyDescent="0.25">
      <c r="A33" s="48">
        <f t="shared" si="1"/>
        <v>43916</v>
      </c>
      <c r="B33" s="15">
        <v>667782</v>
      </c>
      <c r="C33" s="15">
        <v>738650</v>
      </c>
      <c r="D33" s="16">
        <v>0.42</v>
      </c>
      <c r="E33" s="29">
        <v>10756.38</v>
      </c>
      <c r="F33" s="29">
        <v>2068.6799999999998</v>
      </c>
      <c r="G33" s="17">
        <v>18534.599999999999</v>
      </c>
      <c r="H33" s="15">
        <v>14528</v>
      </c>
      <c r="I33" s="15">
        <v>92448</v>
      </c>
      <c r="J33" s="15">
        <v>38264679</v>
      </c>
      <c r="K33" s="18"/>
      <c r="L33" s="33"/>
      <c r="M33" s="14"/>
      <c r="P33" s="6"/>
    </row>
    <row r="34" spans="1:16" ht="12.75" customHeight="1" x14ac:dyDescent="0.25">
      <c r="A34" s="48">
        <f t="shared" si="1"/>
        <v>43917</v>
      </c>
      <c r="B34" s="17">
        <v>668459</v>
      </c>
      <c r="C34" s="20">
        <v>741483</v>
      </c>
      <c r="D34" s="28">
        <v>0.4</v>
      </c>
      <c r="E34" s="29">
        <v>10772.51</v>
      </c>
      <c r="F34" s="29">
        <v>2068.6799999999998</v>
      </c>
      <c r="G34" s="17">
        <v>18551.810000000001</v>
      </c>
      <c r="H34" s="15">
        <v>14528</v>
      </c>
      <c r="I34" s="17">
        <v>92469</v>
      </c>
      <c r="J34" s="17">
        <v>38269700</v>
      </c>
      <c r="K34" s="18"/>
      <c r="L34" s="33"/>
      <c r="M34" s="14"/>
    </row>
    <row r="35" spans="1:16" ht="12.75" customHeight="1" x14ac:dyDescent="0.25">
      <c r="A35" s="48">
        <f t="shared" si="1"/>
        <v>43918</v>
      </c>
      <c r="B35" s="15">
        <v>669087</v>
      </c>
      <c r="C35" s="20">
        <v>744299</v>
      </c>
      <c r="D35" s="16">
        <v>0.37</v>
      </c>
      <c r="E35" s="29">
        <v>10786.31</v>
      </c>
      <c r="F35" s="29">
        <v>2068.6799999999998</v>
      </c>
      <c r="G35" s="17">
        <v>18569.18</v>
      </c>
      <c r="H35" s="17">
        <v>14528</v>
      </c>
      <c r="I35" s="15">
        <v>92492</v>
      </c>
      <c r="J35" s="15">
        <v>38275336</v>
      </c>
      <c r="K35" s="18"/>
      <c r="L35" s="33"/>
      <c r="M35" s="49"/>
    </row>
    <row r="36" spans="1:16" ht="12.75" customHeight="1" x14ac:dyDescent="0.25">
      <c r="A36" s="48">
        <f t="shared" si="1"/>
        <v>43919</v>
      </c>
      <c r="B36" s="15">
        <v>669705</v>
      </c>
      <c r="C36" s="20">
        <v>747096</v>
      </c>
      <c r="D36" s="16">
        <v>0.34</v>
      </c>
      <c r="E36" s="29">
        <v>10798.64</v>
      </c>
      <c r="F36" s="29">
        <v>2068.6799999999998</v>
      </c>
      <c r="G36" s="17">
        <v>18586.18</v>
      </c>
      <c r="H36" s="17">
        <v>14528</v>
      </c>
      <c r="I36" s="15">
        <v>92513</v>
      </c>
      <c r="J36" s="15">
        <v>38280467</v>
      </c>
      <c r="K36" s="18"/>
      <c r="L36" s="33"/>
      <c r="M36" s="14"/>
    </row>
    <row r="37" spans="1:16" s="24" customFormat="1" x14ac:dyDescent="0.25">
      <c r="A37" s="48">
        <f t="shared" si="1"/>
        <v>43920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48">
        <f t="shared" si="1"/>
        <v>43921</v>
      </c>
      <c r="B38" s="15"/>
      <c r="C38" s="15"/>
      <c r="D38" s="16"/>
      <c r="E38" s="29"/>
      <c r="F38" s="29"/>
      <c r="G38" s="17"/>
      <c r="H38" s="15"/>
      <c r="I38" s="15"/>
      <c r="J38" s="15"/>
      <c r="K38" s="18"/>
      <c r="L38" s="33"/>
      <c r="M38" s="49"/>
    </row>
    <row r="39" spans="1:16" x14ac:dyDescent="0.25">
      <c r="A39" s="50" t="s">
        <v>35</v>
      </c>
      <c r="B39" s="36">
        <f>B36-B7</f>
        <v>65030</v>
      </c>
      <c r="C39" s="36">
        <f>C36-C7</f>
        <v>125450</v>
      </c>
      <c r="D39" s="36">
        <v>0</v>
      </c>
      <c r="E39" s="36">
        <f t="shared" ref="E39:J39" si="2">E36-E7</f>
        <v>549.56999999999971</v>
      </c>
      <c r="F39" s="36">
        <f t="shared" si="2"/>
        <v>91.439999999999827</v>
      </c>
      <c r="G39" s="36">
        <f t="shared" si="2"/>
        <v>831.18000000000029</v>
      </c>
      <c r="H39" s="36">
        <f t="shared" si="2"/>
        <v>0</v>
      </c>
      <c r="I39" s="36">
        <f t="shared" si="2"/>
        <v>1818</v>
      </c>
      <c r="J39" s="36">
        <f t="shared" si="2"/>
        <v>288959</v>
      </c>
      <c r="K39" s="36">
        <f>SUM(K7:K38)</f>
        <v>7650</v>
      </c>
      <c r="L39" s="24"/>
      <c r="M39" s="24"/>
    </row>
    <row r="40" spans="1:16" x14ac:dyDescent="0.25">
      <c r="A40" s="24"/>
      <c r="B40" s="24"/>
      <c r="C40" s="36"/>
      <c r="D40" s="24"/>
      <c r="E40" s="26"/>
      <c r="F40" s="26"/>
      <c r="G40" s="26"/>
      <c r="H40" s="22">
        <f>H39*219.969</f>
        <v>0</v>
      </c>
      <c r="I40" s="36">
        <f>I39*219.969</f>
        <v>399903.64199999999</v>
      </c>
      <c r="J40" s="26"/>
      <c r="K40" s="24"/>
      <c r="L40" s="24"/>
      <c r="M40" s="24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2020-03-29T04:19:34Z</dcterms:modified>
</cp:coreProperties>
</file>