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I39" i="1"/>
  <c r="K38" i="1"/>
  <c r="J38" i="1"/>
  <c r="I38" i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J31" i="2" l="1"/>
  <c r="I31" i="2"/>
  <c r="H31" i="2"/>
  <c r="F31" i="2"/>
  <c r="E31" i="2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6" i="3" l="1"/>
  <c r="K26" i="3"/>
  <c r="I26" i="3"/>
  <c r="G26" i="3"/>
  <c r="E26" i="3"/>
  <c r="J26" i="2"/>
  <c r="I26" i="2"/>
  <c r="H26" i="2"/>
  <c r="F26" i="2"/>
  <c r="E26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7" i="2" l="1"/>
  <c r="I17" i="2"/>
  <c r="H17" i="2"/>
  <c r="F17" i="2"/>
  <c r="E17" i="2"/>
  <c r="E19" i="3"/>
  <c r="G19" i="3"/>
  <c r="L19" i="3"/>
  <c r="K19" i="3"/>
  <c r="I19" i="3"/>
  <c r="L18" i="3"/>
  <c r="K18" i="3"/>
  <c r="I18" i="3"/>
  <c r="G18" i="3"/>
  <c r="E18" i="3"/>
  <c r="L17" i="3"/>
  <c r="K17" i="3"/>
  <c r="I17" i="3"/>
  <c r="G17" i="3"/>
  <c r="E17" i="3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L27" i="3"/>
  <c r="K27" i="3"/>
  <c r="I27" i="3"/>
  <c r="G27" i="3"/>
  <c r="E27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<sst xmlns="http://schemas.openxmlformats.org/spreadsheetml/2006/main" count="105" uniqueCount="38">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</sst>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T18" sqref="T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9069.5</v>
      </c>
      <c r="F12" s="22">
        <v>0.11799999999999999</v>
      </c>
      <c r="G12" s="24">
        <f>(('11 - 2020'!E18-'11 - 2020'!E17)+('11 - 2020'!F18-'11 - 2020'!F17)+('11 - 2020'!G18-'11 - 2020'!G17))*1.81</f>
        <v>74.499600000000555</v>
      </c>
      <c r="H12" s="22">
        <v>0.99</v>
      </c>
      <c r="I12" s="24">
        <f>'11 - 2020'!J18-'11 - 2020'!J17</f>
        <v>25602</v>
      </c>
      <c r="J12" s="22">
        <v>8.1000000000000003E-2</v>
      </c>
      <c r="K12" s="56">
        <f>'11 - 2020'!H18-'11 - 2020'!H17</f>
        <v>0</v>
      </c>
      <c r="L12" s="24">
        <f>'11 - 2020'!I18-'11 - 2020'!I17</f>
        <v>60</v>
      </c>
      <c r="M12" s="23">
        <v>4.393629424766913</v>
      </c>
      <c r="N12" s="24">
        <v>63</v>
      </c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v>0</v>
      </c>
      <c r="F13" s="22">
        <v>0.11799999999999999</v>
      </c>
      <c r="G13" s="24">
        <v>0</v>
      </c>
      <c r="H13" s="22">
        <v>0.99</v>
      </c>
      <c r="I13" s="24">
        <v>0</v>
      </c>
      <c r="J13" s="22">
        <v>8.1000000000000003E-2</v>
      </c>
      <c r="K13" s="56">
        <v>0</v>
      </c>
      <c r="L13" s="24"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0</v>
      </c>
      <c r="F14" s="22">
        <v>0.11799999999999999</v>
      </c>
      <c r="G14" s="24">
        <f>(('11 - 2020'!E20-'11 - 2020'!E19)+('11 - 2020'!F20-'11 - 2020'!F19)+('11 - 2020'!G20-'11 - 2020'!G19))*1.81</f>
        <v>0</v>
      </c>
      <c r="H14" s="22">
        <v>0.99</v>
      </c>
      <c r="I14" s="24">
        <f>'11 - 2020'!J20-'11 - 2020'!J19</f>
        <v>0</v>
      </c>
      <c r="J14" s="22">
        <v>8.1000000000000003E-2</v>
      </c>
      <c r="K14" s="56">
        <f>'11 - 2020'!H20-'11 - 2020'!H19</f>
        <v>0</v>
      </c>
      <c r="L14" s="24">
        <f>'11 - 2020'!I20-'11 - 2020'!I19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0</v>
      </c>
      <c r="F15" s="22">
        <v>0.11799999999999999</v>
      </c>
      <c r="G15" s="24">
        <f>(('11 - 2020'!E21-'11 - 2020'!E20)+('11 - 2020'!F21-'11 - 2020'!F20)+('11 - 2020'!G21-'11 - 2020'!G20))*1.81</f>
        <v>0</v>
      </c>
      <c r="H15" s="22">
        <v>0.99</v>
      </c>
      <c r="I15" s="24">
        <f>'11 - 2020'!J21-'11 - 2020'!J20</f>
        <v>0</v>
      </c>
      <c r="J15" s="22">
        <v>8.1000000000000003E-2</v>
      </c>
      <c r="K15" s="56">
        <f>'11 - 2020'!H21-'11 - 2020'!H20</f>
        <v>0</v>
      </c>
      <c r="L15" s="24">
        <f>'11 - 2020'!I21-'11 - 2020'!I20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0</v>
      </c>
      <c r="F16" s="22">
        <v>0.11799999999999999</v>
      </c>
      <c r="G16" s="24">
        <f>(('11 - 2020'!E22-'11 - 2020'!E21)+('11 - 2020'!F22-'11 - 2020'!F21)+('11 - 2020'!G22-'11 - 2020'!G21))*1.81</f>
        <v>0</v>
      </c>
      <c r="H16" s="22">
        <v>0.99</v>
      </c>
      <c r="I16" s="24">
        <f>'11 - 2020'!J22-'11 - 2020'!J21</f>
        <v>0</v>
      </c>
      <c r="J16" s="22">
        <v>8.1000000000000003E-2</v>
      </c>
      <c r="K16" s="56">
        <f>'11 - 2020'!H22-'11 - 2020'!H21</f>
        <v>0</v>
      </c>
      <c r="L16" s="24">
        <f>'11 - 2020'!I22-'11 - 2020'!I21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0</v>
      </c>
      <c r="F17" s="22">
        <v>0.11799999999999999</v>
      </c>
      <c r="G17" s="24">
        <f>(('11 - 2020'!E23-'11 - 2020'!E22)+('11 - 2020'!F23-'11 - 2020'!F22)+('11 - 2020'!G23-'11 - 2020'!G22))*1.81</f>
        <v>0</v>
      </c>
      <c r="H17" s="22">
        <v>0.99</v>
      </c>
      <c r="I17" s="24">
        <f>'11 - 2020'!J23-'11 - 2020'!J22</f>
        <v>0</v>
      </c>
      <c r="J17" s="22">
        <v>8.1000000000000003E-2</v>
      </c>
      <c r="K17" s="56">
        <f>'11 - 2020'!H23-'11 - 2020'!H22</f>
        <v>0</v>
      </c>
      <c r="L17" s="24">
        <f>'11 - 2020'!I23-'11 - 2020'!I22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0</v>
      </c>
      <c r="F18" s="22">
        <v>0.11799999999999999</v>
      </c>
      <c r="G18" s="24">
        <f>(('11 - 2020'!E24-'11 - 2020'!E23)+('11 - 2020'!F24-'11 - 2020'!F23)+('11 - 2020'!G24-'11 - 2020'!G23))*1.81</f>
        <v>0</v>
      </c>
      <c r="H18" s="22">
        <v>0.99</v>
      </c>
      <c r="I18" s="24">
        <f>'11 - 2020'!J24-'11 - 2020'!J23</f>
        <v>0</v>
      </c>
      <c r="J18" s="22">
        <v>8.1000000000000003E-2</v>
      </c>
      <c r="K18" s="56">
        <f>'11 - 2020'!H24-'11 - 2020'!H23</f>
        <v>0</v>
      </c>
      <c r="L18" s="24">
        <f>'11 - 2020'!I24-'11 - 2020'!I23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0</v>
      </c>
      <c r="F19" s="22">
        <v>0.11799999999999999</v>
      </c>
      <c r="G19" s="24">
        <f>(('11 - 2020'!E25-'11 - 2020'!E24)+('11 - 2020'!F25-'11 - 2020'!F24)+('11 - 2020'!G25-'11 - 2020'!G24))*1.81</f>
        <v>0</v>
      </c>
      <c r="H19" s="22">
        <v>0.99</v>
      </c>
      <c r="I19" s="24">
        <f>'11 - 2020'!J25-'11 - 2020'!J24</f>
        <v>0</v>
      </c>
      <c r="J19" s="22">
        <v>8.1000000000000003E-2</v>
      </c>
      <c r="K19" s="56">
        <f>'11 - 2020'!H25-'11 - 2020'!H24</f>
        <v>0</v>
      </c>
      <c r="L19" s="24">
        <f>'11 - 2020'!I25-'11 - 2020'!I24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0</v>
      </c>
      <c r="F20" s="22">
        <v>0.11799999999999999</v>
      </c>
      <c r="G20" s="24">
        <f>(('11 - 2020'!E26-'11 - 2020'!E25)+('11 - 2020'!F26-'11 - 2020'!F25)+('11 - 2020'!G26-'11 - 2020'!G25))*1.81</f>
        <v>0</v>
      </c>
      <c r="H20" s="22">
        <v>0.99</v>
      </c>
      <c r="I20" s="24">
        <f>'11 - 2020'!J26-'11 - 2020'!J25</f>
        <v>0</v>
      </c>
      <c r="J20" s="22">
        <v>8.1000000000000003E-2</v>
      </c>
      <c r="K20" s="56">
        <f>'11 - 2020'!H26-'11 - 2020'!H25</f>
        <v>0</v>
      </c>
      <c r="L20" s="24">
        <f>'11 - 2020'!I26-'11 - 2020'!I25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0</v>
      </c>
      <c r="F21" s="22">
        <v>0.11799999999999999</v>
      </c>
      <c r="G21" s="24">
        <f>(('11 - 2020'!E27-'11 - 2020'!E26)+('11 - 2020'!F27-'11 - 2020'!F26)+('11 - 2020'!G27-'11 - 2020'!G26))*1.81</f>
        <v>0</v>
      </c>
      <c r="H21" s="22">
        <v>0.99</v>
      </c>
      <c r="I21" s="24">
        <f>'11 - 2020'!J27-'11 - 2020'!J26</f>
        <v>0</v>
      </c>
      <c r="J21" s="22">
        <v>8.1000000000000003E-2</v>
      </c>
      <c r="K21" s="56">
        <f>'11 - 2020'!H27-'11 - 2020'!H26</f>
        <v>0</v>
      </c>
      <c r="L21" s="24">
        <f>'11 - 2020'!I27-'11 - 2020'!I26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0</v>
      </c>
      <c r="F22" s="22">
        <v>0.11799999999999999</v>
      </c>
      <c r="G22" s="24">
        <f>(('11 - 2020'!E28-'11 - 2020'!E27)+('11 - 2020'!F28-'11 - 2020'!F27)+('11 - 2020'!G28-'11 - 2020'!G27))*1.81</f>
        <v>0</v>
      </c>
      <c r="H22" s="22">
        <v>0.99</v>
      </c>
      <c r="I22" s="24">
        <f>'11 - 2020'!J28-'11 - 2020'!J27</f>
        <v>0</v>
      </c>
      <c r="J22" s="22">
        <v>8.1000000000000003E-2</v>
      </c>
      <c r="K22" s="56">
        <f>'11 - 2020'!H28-'11 - 2020'!H27</f>
        <v>0</v>
      </c>
      <c r="L22" s="24">
        <f>'11 - 2020'!I28-'11 - 2020'!I27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0</v>
      </c>
      <c r="F23" s="22">
        <v>0.11799999999999999</v>
      </c>
      <c r="G23" s="24">
        <f>(('11 - 2020'!E29-'11 - 2020'!E28)+('11 - 2020'!F29-'11 - 2020'!F28)+('11 - 2020'!G29-'11 - 2020'!G28))*1.81</f>
        <v>0</v>
      </c>
      <c r="H23" s="22">
        <v>0.99</v>
      </c>
      <c r="I23" s="24">
        <f>'11 - 2020'!J29-'11 - 2020'!J28</f>
        <v>0</v>
      </c>
      <c r="J23" s="22">
        <v>8.1000000000000003E-2</v>
      </c>
      <c r="K23" s="56">
        <f>'11 - 2020'!H29-'11 - 2020'!H28</f>
        <v>0</v>
      </c>
      <c r="L23" s="24">
        <f>'11 - 2020'!I29-'11 - 2020'!I28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0</v>
      </c>
      <c r="F24" s="22">
        <v>0.11799999999999999</v>
      </c>
      <c r="G24" s="24">
        <f>(('11 - 2020'!E30-'11 - 2020'!E29)+('11 - 2020'!F30-'11 - 2020'!F29)+('11 - 2020'!G30-'11 - 2020'!G29))*1.81</f>
        <v>0</v>
      </c>
      <c r="H24" s="22">
        <v>0.99</v>
      </c>
      <c r="I24" s="24">
        <f>'11 - 2020'!J30-'11 - 2020'!J29</f>
        <v>0</v>
      </c>
      <c r="J24" s="22">
        <v>8.1000000000000003E-2</v>
      </c>
      <c r="K24" s="56">
        <f>'11 - 2020'!H30-'11 - 2020'!H29</f>
        <v>0</v>
      </c>
      <c r="L24" s="24">
        <f>'11 - 2020'!I30-'11 - 2020'!I29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0</v>
      </c>
      <c r="F25" s="22">
        <v>0.11799999999999999</v>
      </c>
      <c r="G25" s="24">
        <f>(('11 - 2020'!E31-'11 - 2020'!E30)+('11 - 2020'!F31-'11 - 2020'!F30)+('11 - 2020'!G31-'11 - 2020'!G30))*1.81</f>
        <v>0</v>
      </c>
      <c r="H25" s="22">
        <v>0.99</v>
      </c>
      <c r="I25" s="24">
        <f>'11 - 2020'!J31-'11 - 2020'!J30</f>
        <v>0</v>
      </c>
      <c r="J25" s="22">
        <v>8.1000000000000003E-2</v>
      </c>
      <c r="K25" s="56">
        <f>'11 - 2020'!H31-'11 - 2020'!H30</f>
        <v>0</v>
      </c>
      <c r="L25" s="24">
        <f>'11 - 2020'!I31-'11 - 2020'!I30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0</v>
      </c>
      <c r="F26" s="22">
        <v>0.11799999999999999</v>
      </c>
      <c r="G26" s="24">
        <f>(('11 - 2020'!E32-'11 - 2020'!E31)+('11 - 2020'!F32-'11 - 2020'!F31)+('11 - 2020'!G32-'11 - 2020'!G31))*1.81</f>
        <v>0</v>
      </c>
      <c r="H26" s="22">
        <v>0.99</v>
      </c>
      <c r="I26" s="24">
        <f>'11 - 2020'!J32-'11 - 2020'!J31</f>
        <v>0</v>
      </c>
      <c r="J26" s="22">
        <v>8.1000000000000003E-2</v>
      </c>
      <c r="K26" s="56">
        <f>'11 - 2020'!H32-'11 - 2020'!H31</f>
        <v>0</v>
      </c>
      <c r="L26" s="24">
        <f>'11 - 2020'!I32-'11 - 2020'!I31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0</v>
      </c>
      <c r="F27" s="22">
        <v>0.11799999999999999</v>
      </c>
      <c r="G27" s="24">
        <f>(('11 - 2020'!E33-'11 - 2020'!E32)+('11 - 2020'!F33-'11 - 2020'!F32)+('11 - 2020'!G33-'11 - 2020'!G32))*1.81</f>
        <v>0</v>
      </c>
      <c r="H27" s="22">
        <v>0.99</v>
      </c>
      <c r="I27" s="24">
        <f>'11 - 2020'!J33-'11 - 2020'!J32</f>
        <v>0</v>
      </c>
      <c r="J27" s="22">
        <v>8.1000000000000003E-2</v>
      </c>
      <c r="K27" s="56">
        <f>'11 - 2020'!H33-'11 - 2020'!H32</f>
        <v>0</v>
      </c>
      <c r="L27" s="24">
        <f>'11 - 2020'!I33-'11 - 2020'!I32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0</v>
      </c>
      <c r="F28" s="22">
        <v>0.11799999999999999</v>
      </c>
      <c r="G28" s="24">
        <f>(('11 - 2020'!E34-'11 - 2020'!E33)+('11 - 2020'!F34-'11 - 2020'!F33)+('11 - 2020'!G34-'11 - 2020'!G33))*1.81</f>
        <v>0</v>
      </c>
      <c r="H28" s="22">
        <v>0.99</v>
      </c>
      <c r="I28" s="24">
        <f>'11 - 2020'!J34-'11 - 2020'!J33</f>
        <v>0</v>
      </c>
      <c r="J28" s="22">
        <v>8.1000000000000003E-2</v>
      </c>
      <c r="K28" s="56">
        <f>'11 - 2020'!H34-'11 - 2020'!H33</f>
        <v>0</v>
      </c>
      <c r="L28" s="24">
        <f>'11 - 2020'!I34-'11 - 2020'!I33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0</v>
      </c>
      <c r="F29" s="22">
        <v>0.11799999999999999</v>
      </c>
      <c r="G29" s="24">
        <f>(('11 - 2020'!E35-'11 - 2020'!E34)+('11 - 2020'!F35-'11 - 2020'!F34)+('11 - 2020'!G35-'11 - 2020'!G34))*1.81</f>
        <v>0</v>
      </c>
      <c r="H29" s="22">
        <v>0.99</v>
      </c>
      <c r="I29" s="24">
        <f>'11 - 2020'!J35-'11 - 2020'!J34</f>
        <v>0</v>
      </c>
      <c r="J29" s="22">
        <v>8.1000000000000003E-2</v>
      </c>
      <c r="K29" s="56">
        <f>'11 - 2020'!H35-'11 - 2020'!H34</f>
        <v>0</v>
      </c>
      <c r="L29" s="24">
        <f>'11 - 2020'!I35-'11 - 2020'!I34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0</v>
      </c>
      <c r="F30" s="22">
        <v>0.11799999999999999</v>
      </c>
      <c r="G30" s="24">
        <f>(('11 - 2020'!E36-'11 - 2020'!E35)+('11 - 2020'!F36-'11 - 2020'!F35)+('11 - 2020'!G36-'11 - 2020'!G35))*1.81</f>
        <v>0</v>
      </c>
      <c r="H30" s="22">
        <v>0.99</v>
      </c>
      <c r="I30" s="24">
        <f>'11 - 2020'!J36-'11 - 2020'!J35</f>
        <v>0</v>
      </c>
      <c r="J30" s="22">
        <v>8.1000000000000003E-2</v>
      </c>
      <c r="K30" s="56">
        <f>'11 - 2020'!H36-'11 - 2020'!H35</f>
        <v>0</v>
      </c>
      <c r="L30" s="24">
        <f>'11 - 2020'!I36-'11 - 2020'!I35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0</v>
      </c>
      <c r="F31" s="22">
        <v>0.11799999999999999</v>
      </c>
      <c r="G31" s="24">
        <f>(('11 - 2020'!E37-'11 - 2020'!E36)+('11 - 2020'!F37-'11 - 2020'!F36)+('11 - 2020'!G37-'11 - 2020'!G36))*1.81</f>
        <v>0</v>
      </c>
      <c r="H31" s="22">
        <v>0.99</v>
      </c>
      <c r="I31" s="24">
        <f>'11 - 2020'!J37-'11 - 2020'!J36</f>
        <v>0</v>
      </c>
      <c r="J31" s="22">
        <v>8.1000000000000003E-2</v>
      </c>
      <c r="K31" s="56">
        <f>'11 - 2020'!H37-'11 - 2020'!H36</f>
        <v>0</v>
      </c>
      <c r="L31" s="24">
        <f>'11 - 2020'!I37-'11 - 2020'!I36</f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23" sqref="R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3388.5</v>
      </c>
      <c r="F12" s="24">
        <f>'11 - 2020'!C18-'11 - 2020'!C17</f>
        <v>5681</v>
      </c>
      <c r="G12" s="22">
        <v>0.11799999999999999</v>
      </c>
      <c r="H12" s="24">
        <f>'11 - 2020'!E18-'11 - 2020'!E17</f>
        <v>8.6999999999989086</v>
      </c>
      <c r="I12" s="24">
        <f>'11 - 2020'!F18-'11 - 2020'!F17</f>
        <v>4.8099999999999454</v>
      </c>
      <c r="J12" s="24">
        <f>'11 - 2020'!G18-'11 - 2020'!G17</f>
        <v>27.650000000001455</v>
      </c>
      <c r="K12" s="22">
        <v>0.74</v>
      </c>
      <c r="L12" s="24">
        <v>63</v>
      </c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v>0</v>
      </c>
      <c r="F13" s="24">
        <v>0</v>
      </c>
      <c r="G13" s="22">
        <v>0.11799999999999999</v>
      </c>
      <c r="H13" s="24">
        <v>0</v>
      </c>
      <c r="I13" s="24">
        <v>0</v>
      </c>
      <c r="J13" s="24"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0</v>
      </c>
      <c r="F14" s="24">
        <f>'11 - 2020'!C20-'11 - 2020'!C19</f>
        <v>0</v>
      </c>
      <c r="G14" s="22">
        <v>0.11799999999999999</v>
      </c>
      <c r="H14" s="24">
        <f>'11 - 2020'!E20-'11 - 2020'!E19</f>
        <v>0</v>
      </c>
      <c r="I14" s="24">
        <f>'11 - 2020'!F20-'11 - 2020'!F19</f>
        <v>0</v>
      </c>
      <c r="J14" s="24">
        <f>'11 - 2020'!G20-'11 - 2020'!G19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0</v>
      </c>
      <c r="F15" s="24">
        <f>'11 - 2020'!C21-'11 - 2020'!C20</f>
        <v>0</v>
      </c>
      <c r="G15" s="22">
        <v>0.11799999999999999</v>
      </c>
      <c r="H15" s="24">
        <f>'11 - 2020'!E21-'11 - 2020'!E20</f>
        <v>0</v>
      </c>
      <c r="I15" s="24">
        <f>'11 - 2020'!F21-'11 - 2020'!F20</f>
        <v>0</v>
      </c>
      <c r="J15" s="24">
        <f>'11 - 2020'!G21-'11 - 2020'!G20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0</v>
      </c>
      <c r="F16" s="24">
        <f>'11 - 2020'!C22-'11 - 2020'!C21</f>
        <v>0</v>
      </c>
      <c r="G16" s="22">
        <v>0.11799999999999999</v>
      </c>
      <c r="H16" s="24">
        <f>'11 - 2020'!E22-'11 - 2020'!E21</f>
        <v>0</v>
      </c>
      <c r="I16" s="24">
        <f>'11 - 2020'!F22-'11 - 2020'!F21</f>
        <v>0</v>
      </c>
      <c r="J16" s="24">
        <f>'11 - 2020'!G22-'11 - 2020'!G21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0</v>
      </c>
      <c r="F17" s="24">
        <f>'11 - 2020'!C23-'11 - 2020'!C22</f>
        <v>0</v>
      </c>
      <c r="G17" s="22">
        <v>0.11799999999999999</v>
      </c>
      <c r="H17" s="24">
        <f>'11 - 2020'!E23-'11 - 2020'!E22</f>
        <v>0</v>
      </c>
      <c r="I17" s="24">
        <f>'11 - 2020'!F23-'11 - 2020'!F22</f>
        <v>0</v>
      </c>
      <c r="J17" s="24">
        <f>'11 - 2020'!G23-'11 - 2020'!G22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0</v>
      </c>
      <c r="F18" s="24">
        <f>'11 - 2020'!C24-'11 - 2020'!C23</f>
        <v>0</v>
      </c>
      <c r="G18" s="22">
        <v>0.11799999999999999</v>
      </c>
      <c r="H18" s="24">
        <f>'11 - 2020'!E24-'11 - 2020'!E23</f>
        <v>0</v>
      </c>
      <c r="I18" s="24">
        <f>'11 - 2020'!F24-'11 - 2020'!F23</f>
        <v>0</v>
      </c>
      <c r="J18" s="24">
        <f>'11 - 2020'!G24-'11 - 2020'!G23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0</v>
      </c>
      <c r="F19" s="24">
        <f>'11 - 2020'!C25-'11 - 2020'!C24</f>
        <v>0</v>
      </c>
      <c r="G19" s="22">
        <v>0.11799999999999999</v>
      </c>
      <c r="H19" s="24">
        <f>'11 - 2020'!E25-'11 - 2020'!E24</f>
        <v>0</v>
      </c>
      <c r="I19" s="24">
        <f>'11 - 2020'!F25-'11 - 2020'!F24</f>
        <v>0</v>
      </c>
      <c r="J19" s="24">
        <f>'11 - 2020'!G25-'11 - 2020'!G24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0</v>
      </c>
      <c r="F20" s="24">
        <f>'11 - 2020'!C26-'11 - 2020'!C25</f>
        <v>0</v>
      </c>
      <c r="G20" s="22">
        <v>0.11799999999999999</v>
      </c>
      <c r="H20" s="24">
        <f>'11 - 2020'!E26-'11 - 2020'!E25</f>
        <v>0</v>
      </c>
      <c r="I20" s="24">
        <f>'11 - 2020'!F26-'11 - 2020'!F25</f>
        <v>0</v>
      </c>
      <c r="J20" s="24">
        <f>'11 - 2020'!G26-'11 - 2020'!G25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0</v>
      </c>
      <c r="F21" s="24">
        <f>'11 - 2020'!C27-'11 - 2020'!C26</f>
        <v>0</v>
      </c>
      <c r="G21" s="22">
        <v>0.11799999999999999</v>
      </c>
      <c r="H21" s="24">
        <f>'11 - 2020'!E27-'11 - 2020'!E26</f>
        <v>0</v>
      </c>
      <c r="I21" s="24">
        <f>'11 - 2020'!F27-'11 - 2020'!F26</f>
        <v>0</v>
      </c>
      <c r="J21" s="24">
        <f>'11 - 2020'!G27-'11 - 2020'!G26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0</v>
      </c>
      <c r="F22" s="24">
        <f>'11 - 2020'!C28-'11 - 2020'!C27</f>
        <v>0</v>
      </c>
      <c r="G22" s="22">
        <v>0.11799999999999999</v>
      </c>
      <c r="H22" s="24">
        <f>'11 - 2020'!E28-'11 - 2020'!E27</f>
        <v>0</v>
      </c>
      <c r="I22" s="24">
        <f>'11 - 2020'!F28-'11 - 2020'!F27</f>
        <v>0</v>
      </c>
      <c r="J22" s="24">
        <f>'11 - 2020'!G28-'11 - 2020'!G27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0</v>
      </c>
      <c r="F23" s="24">
        <f>'11 - 2020'!C29-'11 - 2020'!C28</f>
        <v>0</v>
      </c>
      <c r="G23" s="22">
        <v>0.11799999999999999</v>
      </c>
      <c r="H23" s="24">
        <f>'11 - 2020'!E29-'11 - 2020'!E28</f>
        <v>0</v>
      </c>
      <c r="I23" s="24">
        <f>'11 - 2020'!F29-'11 - 2020'!F28</f>
        <v>0</v>
      </c>
      <c r="J23" s="24">
        <f>'11 - 2020'!G29-'11 - 2020'!G28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0</v>
      </c>
      <c r="F24" s="24">
        <f>'11 - 2020'!C30-'11 - 2020'!C29</f>
        <v>0</v>
      </c>
      <c r="G24" s="22">
        <v>0.11799999999999999</v>
      </c>
      <c r="H24" s="24">
        <f>'11 - 2020'!E30-'11 - 2020'!E29</f>
        <v>0</v>
      </c>
      <c r="I24" s="24">
        <f>'11 - 2020'!F30-'11 - 2020'!F29</f>
        <v>0</v>
      </c>
      <c r="J24" s="24">
        <f>'11 - 2020'!G30-'11 - 2020'!G29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0</v>
      </c>
      <c r="F25" s="24">
        <f>'11 - 2020'!C31-'11 - 2020'!C30</f>
        <v>0</v>
      </c>
      <c r="G25" s="22">
        <v>0.11799999999999999</v>
      </c>
      <c r="H25" s="24">
        <f>'11 - 2020'!E31-'11 - 2020'!E30</f>
        <v>0</v>
      </c>
      <c r="I25" s="24">
        <f>'11 - 2020'!F31-'11 - 2020'!F30</f>
        <v>0</v>
      </c>
      <c r="J25" s="24">
        <f>'11 - 2020'!G31-'11 - 2020'!G30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0</v>
      </c>
      <c r="F26" s="24">
        <f>'11 - 2020'!C32-'11 - 2020'!C31</f>
        <v>0</v>
      </c>
      <c r="G26" s="22">
        <v>0.11799999999999999</v>
      </c>
      <c r="H26" s="24">
        <f>'11 - 2020'!E32-'11 - 2020'!E31</f>
        <v>0</v>
      </c>
      <c r="I26" s="24">
        <f>'11 - 2020'!F32-'11 - 2020'!F31</f>
        <v>0</v>
      </c>
      <c r="J26" s="24">
        <f>'11 - 2020'!G32-'11 - 2020'!G31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0</v>
      </c>
      <c r="F27" s="24">
        <f>'11 - 2020'!C33-'11 - 2020'!C32</f>
        <v>0</v>
      </c>
      <c r="G27" s="22">
        <v>0.11799999999999999</v>
      </c>
      <c r="H27" s="24">
        <f>'11 - 2020'!E33-'11 - 2020'!E32</f>
        <v>0</v>
      </c>
      <c r="I27" s="24">
        <f>'11 - 2020'!F33-'11 - 2020'!F32</f>
        <v>0</v>
      </c>
      <c r="J27" s="24">
        <f>'11 - 2020'!G33-'11 - 2020'!G32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0</v>
      </c>
      <c r="F28" s="24">
        <f>'11 - 2020'!C34-'11 - 2020'!C33</f>
        <v>0</v>
      </c>
      <c r="G28" s="22">
        <v>0.11799999999999999</v>
      </c>
      <c r="H28" s="24">
        <f>'11 - 2020'!E34-'11 - 2020'!E33</f>
        <v>0</v>
      </c>
      <c r="I28" s="24">
        <f>'11 - 2020'!F34-'11 - 2020'!F33</f>
        <v>0</v>
      </c>
      <c r="J28" s="24">
        <f>'11 - 2020'!G34-'11 - 2020'!G33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0</v>
      </c>
      <c r="F29" s="24">
        <f>'11 - 2020'!C35-'11 - 2020'!C34</f>
        <v>0</v>
      </c>
      <c r="G29" s="22">
        <v>0.11799999999999999</v>
      </c>
      <c r="H29" s="24">
        <f>'11 - 2020'!E35-'11 - 2020'!E34</f>
        <v>0</v>
      </c>
      <c r="I29" s="24">
        <f>'11 - 2020'!F35-'11 - 2020'!F34</f>
        <v>0</v>
      </c>
      <c r="J29" s="24">
        <f>'11 - 2020'!G35-'11 - 2020'!G34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0</v>
      </c>
      <c r="F30" s="24">
        <f>'11 - 2020'!C36-'11 - 2020'!C35</f>
        <v>0</v>
      </c>
      <c r="G30" s="22">
        <v>0.11799999999999999</v>
      </c>
      <c r="H30" s="24">
        <f>'11 - 2020'!E36-'11 - 2020'!E35</f>
        <v>0</v>
      </c>
      <c r="I30" s="24">
        <f>'11 - 2020'!F36-'11 - 2020'!F35</f>
        <v>0</v>
      </c>
      <c r="J30" s="24">
        <f>'11 - 2020'!G36-'11 - 2020'!G35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0</v>
      </c>
      <c r="F31" s="24">
        <f>'11 - 2020'!C37-'11 - 2020'!C36</f>
        <v>0</v>
      </c>
      <c r="G31" s="22">
        <v>0.11799999999999999</v>
      </c>
      <c r="H31" s="24">
        <f>'11 - 2020'!E37-'11 - 2020'!E36</f>
        <v>0</v>
      </c>
      <c r="I31" s="24">
        <f>'11 - 2020'!F37-'11 - 2020'!F36</f>
        <v>0</v>
      </c>
      <c r="J31" s="24">
        <f>'11 - 2020'!G37-'11 - 2020'!G36</f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C40" sqref="C4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>
        <v>40166.199999999997</v>
      </c>
      <c r="C18" s="15">
        <v>1679122</v>
      </c>
      <c r="D18" s="16">
        <v>0.8</v>
      </c>
      <c r="E18" s="21">
        <v>13212.07</v>
      </c>
      <c r="F18" s="21">
        <v>2634.98</v>
      </c>
      <c r="G18" s="17">
        <v>22894.240000000002</v>
      </c>
      <c r="H18" s="15">
        <v>14528</v>
      </c>
      <c r="I18" s="15">
        <v>101632</v>
      </c>
      <c r="J18" s="15">
        <v>43073228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2020-11-11T04:38:25Z</dcterms:modified>
</cp:coreProperties>
</file>