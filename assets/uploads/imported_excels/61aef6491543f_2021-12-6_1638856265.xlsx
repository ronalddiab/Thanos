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78" documentId="13_ncr:1_{76C55D63-F869-4AF5-AAA3-3D809A91432B}" xr6:coauthVersionLast="47" xr6:coauthVersionMax="47" xr10:uidLastSave="{D57BCCFA-D5CA-4440-A63F-DD35C4B9031F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7" l="1"/>
  <c r="J11" i="27"/>
  <c r="J10" i="27"/>
  <c r="J9" i="27"/>
  <c r="J8" i="27"/>
  <c r="J7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K32" i="26"/>
  <c r="I32" i="26"/>
  <c r="G32" i="26"/>
  <c r="K37" i="27"/>
  <c r="L37" i="27"/>
  <c r="F37" i="27"/>
  <c r="G37" i="27"/>
  <c r="H37" i="27"/>
  <c r="I37" i="27"/>
  <c r="C37" i="27"/>
  <c r="E32" i="26"/>
  <c r="M32" i="26"/>
  <c r="G2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J6" i="27"/>
  <c r="K6" i="27" s="1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<sst xmlns="http://schemas.openxmlformats.org/spreadsheetml/2006/main" count="72" uniqueCount="33">
  <si>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</si>
  <si>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</si>
  <si>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</si>
  <si>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</si>
  <si>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</si>
  <si>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</si>
  <si>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</si>
  <si>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</si>
  <si>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</si>
  <si>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</si>
  <si>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</si>
  <si>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</si>
  <si>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</si>
  <si>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</si>
  <si>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</si>
  <si>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December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</si>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</sst>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2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164" fontId="10" fillId="0" borderId="10" xfId="6" applyNumberFormat="1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6"/>
  <sheetViews>
    <sheetView topLeftCell="A20" workbookViewId="0">
      <selection activeCell="K32" sqref="K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12</v>
      </c>
      <c r="D2" s="10">
        <v>2021</v>
      </c>
      <c r="E2" s="11">
        <f>IF(Electricity!F8&lt;0,0,Electricity!F8)</f>
        <v>20895.000000000437</v>
      </c>
      <c r="F2" s="14">
        <v>0.08</v>
      </c>
      <c r="G2" s="11">
        <f>IF('Water, Gas, Diesel'!K7&lt;0,0,'Water, Gas, Diesel'!K7)</f>
        <v>0</v>
      </c>
      <c r="H2" s="99">
        <v>0.58489999999999998</v>
      </c>
      <c r="I2" s="11">
        <f>IF('Water, Gas, Diesel'!C7&lt;0,0,'Water, Gas, Diesel'!C7)</f>
        <v>4070</v>
      </c>
      <c r="J2" s="99">
        <v>0.1694</v>
      </c>
      <c r="K2" s="11">
        <f>IF('Water, Gas, Diesel'!F7&lt;0,0,'Water, Gas, Diesel'!F7)</f>
        <v>200</v>
      </c>
      <c r="L2" s="99">
        <v>1.6949000000000001</v>
      </c>
      <c r="M2" s="11">
        <f>Electricity!H8</f>
        <v>86</v>
      </c>
    </row>
    <row r="3" spans="1:13">
      <c r="A3" s="8" t="s">
        <v>13</v>
      </c>
      <c r="B3" s="9">
        <f>B2+1</f>
        <v>2</v>
      </c>
      <c r="C3" s="9">
        <v>12</v>
      </c>
      <c r="D3" s="10">
        <v>2021</v>
      </c>
      <c r="E3" s="11">
        <f>IF(Electricity!F9&lt;0,0,Electricity!F9)</f>
        <v>19877.499999993233</v>
      </c>
      <c r="F3" s="14">
        <v>0.08</v>
      </c>
      <c r="G3" s="11">
        <f>IF('Water, Gas, Diesel'!K8&lt;0,0,'Water, Gas, Diesel'!K8)</f>
        <v>0</v>
      </c>
      <c r="H3" s="99">
        <v>0.58489999999999998</v>
      </c>
      <c r="I3" s="11">
        <f>IF('Water, Gas, Diesel'!C8&lt;0,0,'Water, Gas, Diesel'!C8)</f>
        <v>3690</v>
      </c>
      <c r="J3" s="99">
        <v>0.1694</v>
      </c>
      <c r="K3" s="11">
        <f>IF('Water, Gas, Diesel'!F8&lt;0,0,'Water, Gas, Diesel'!F8)</f>
        <v>207</v>
      </c>
      <c r="L3" s="99">
        <v>1.6949000000000001</v>
      </c>
      <c r="M3" s="11">
        <f>Electricity!H9</f>
        <v>103</v>
      </c>
    </row>
    <row r="4" spans="1:13">
      <c r="A4" s="8" t="s">
        <v>13</v>
      </c>
      <c r="B4" s="9">
        <f t="shared" ref="B4:B31" si="0">B3+1</f>
        <v>3</v>
      </c>
      <c r="C4" s="9">
        <v>12</v>
      </c>
      <c r="D4" s="10">
        <v>2021</v>
      </c>
      <c r="E4" s="11">
        <f>IF(Electricity!F10&lt;0,0,Electricity!F10)</f>
        <v>18782.500000002074</v>
      </c>
      <c r="F4" s="14">
        <v>0.08</v>
      </c>
      <c r="G4" s="11">
        <f>IF('Water, Gas, Diesel'!K9&lt;0,0,'Water, Gas, Diesel'!K9)</f>
        <v>0</v>
      </c>
      <c r="H4" s="99">
        <v>0.58489999999999998</v>
      </c>
      <c r="I4" s="11">
        <f>IF('Water, Gas, Diesel'!C9&lt;0,0,'Water, Gas, Diesel'!C9)</f>
        <v>2973</v>
      </c>
      <c r="J4" s="99">
        <v>0.1694</v>
      </c>
      <c r="K4" s="11">
        <f>IF('Water, Gas, Diesel'!F9&lt;0,0,'Water, Gas, Diesel'!F9)</f>
        <v>215</v>
      </c>
      <c r="L4" s="99">
        <v>1.6949000000000001</v>
      </c>
      <c r="M4" s="11">
        <f>Electricity!H10</f>
        <v>61</v>
      </c>
    </row>
    <row r="5" spans="1:13">
      <c r="A5" s="8" t="s">
        <v>13</v>
      </c>
      <c r="B5" s="9">
        <f t="shared" si="0"/>
        <v>4</v>
      </c>
      <c r="C5" s="9">
        <v>12</v>
      </c>
      <c r="D5" s="10">
        <v>2021</v>
      </c>
      <c r="E5" s="11">
        <f>IF(Electricity!F11&lt;0,0,Electricity!F11)</f>
        <v>17285.000000001673</v>
      </c>
      <c r="F5" s="14">
        <v>0.08</v>
      </c>
      <c r="G5" s="11">
        <f>IF('Water, Gas, Diesel'!K10&lt;0,0,'Water, Gas, Diesel'!K10)</f>
        <v>0</v>
      </c>
      <c r="H5" s="99">
        <v>0.58489999999999998</v>
      </c>
      <c r="I5" s="11">
        <f>IF('Water, Gas, Diesel'!C10&lt;0,0,'Water, Gas, Diesel'!C10)</f>
        <v>2851</v>
      </c>
      <c r="J5" s="99">
        <v>0.1694</v>
      </c>
      <c r="K5" s="11">
        <f>IF('Water, Gas, Diesel'!F10&lt;0,0,'Water, Gas, Diesel'!F10)</f>
        <v>177</v>
      </c>
      <c r="L5" s="99">
        <v>1.6949000000000001</v>
      </c>
      <c r="M5" s="11">
        <f>Electricity!H11</f>
        <v>42</v>
      </c>
    </row>
    <row r="6" spans="1:13">
      <c r="A6" s="8" t="s">
        <v>13</v>
      </c>
      <c r="B6" s="9">
        <f t="shared" si="0"/>
        <v>5</v>
      </c>
      <c r="C6" s="9">
        <v>12</v>
      </c>
      <c r="D6" s="10">
        <v>2021</v>
      </c>
      <c r="E6" s="11">
        <f>IF(Electricity!F12&lt;0,0,Electricity!F12)</f>
        <v>18265.000000001237</v>
      </c>
      <c r="F6" s="14">
        <v>0.08</v>
      </c>
      <c r="G6" s="11">
        <f>IF('Water, Gas, Diesel'!K11&lt;0,0,'Water, Gas, Diesel'!K11)</f>
        <v>0</v>
      </c>
      <c r="H6" s="99">
        <v>0.58489999999999998</v>
      </c>
      <c r="I6" s="11">
        <f>IF('Water, Gas, Diesel'!C11&lt;0,0,'Water, Gas, Diesel'!C11)</f>
        <v>3029</v>
      </c>
      <c r="J6" s="99">
        <v>0.1694</v>
      </c>
      <c r="K6" s="11">
        <f>IF('Water, Gas, Diesel'!F11&lt;0,0,'Water, Gas, Diesel'!F11)</f>
        <v>150</v>
      </c>
      <c r="L6" s="99">
        <v>1.6949000000000001</v>
      </c>
      <c r="M6" s="11">
        <f>Electricity!H12</f>
        <v>48</v>
      </c>
    </row>
    <row r="7" spans="1:13">
      <c r="A7" s="8" t="s">
        <v>13</v>
      </c>
      <c r="B7" s="9">
        <f t="shared" si="0"/>
        <v>6</v>
      </c>
      <c r="C7" s="9">
        <v>12</v>
      </c>
      <c r="D7" s="10">
        <v>2021</v>
      </c>
      <c r="E7" s="11">
        <f>IF(Electricity!F13&lt;0,0,Electricity!F13)</f>
        <v>0</v>
      </c>
      <c r="F7" s="14">
        <v>0.08</v>
      </c>
      <c r="G7" s="11">
        <f>IF('Water, Gas, Diesel'!K12&lt;0,0,'Water, Gas, Diesel'!K12)</f>
        <v>13330</v>
      </c>
      <c r="H7" s="99">
        <v>0.58489999999999998</v>
      </c>
      <c r="I7" s="11">
        <f>IF('Water, Gas, Diesel'!C12&lt;0,0,'Water, Gas, Diesel'!C12)</f>
        <v>0</v>
      </c>
      <c r="J7" s="99">
        <v>0.1694</v>
      </c>
      <c r="K7" s="11">
        <f>IF('Water, Gas, Diesel'!F12&lt;0,0,'Water, Gas, Diesel'!F12)</f>
        <v>0</v>
      </c>
      <c r="L7" s="99">
        <v>1.6949000000000001</v>
      </c>
      <c r="M7" s="11">
        <f>Electricity!H13</f>
        <v>39</v>
      </c>
    </row>
    <row r="8" spans="1:13">
      <c r="A8" s="8" t="s">
        <v>13</v>
      </c>
      <c r="B8" s="9">
        <f t="shared" si="0"/>
        <v>7</v>
      </c>
      <c r="C8" s="9">
        <v>12</v>
      </c>
      <c r="D8" s="10">
        <v>2021</v>
      </c>
      <c r="E8" s="11">
        <f>IF(Electricity!F14&lt;0,0,Electricity!F14)</f>
        <v>0</v>
      </c>
      <c r="F8" s="14">
        <v>0.08</v>
      </c>
      <c r="G8" s="11">
        <f>IF('Water, Gas, Diesel'!K13&lt;0,0,'Water, Gas, Diesel'!K13)</f>
        <v>0</v>
      </c>
      <c r="H8" s="99">
        <v>0.58489999999999998</v>
      </c>
      <c r="I8" s="11">
        <f>IF('Water, Gas, Diesel'!C13&lt;0,0,'Water, Gas, Diesel'!C13)</f>
        <v>0</v>
      </c>
      <c r="J8" s="99">
        <v>0.1694</v>
      </c>
      <c r="K8" s="11">
        <f>IF('Water, Gas, Diesel'!F13&lt;0,0,'Water, Gas, Diesel'!F13)</f>
        <v>0</v>
      </c>
      <c r="L8" s="99">
        <v>1.6949000000000001</v>
      </c>
      <c r="M8" s="11">
        <f>Electricity!H14</f>
        <v>0</v>
      </c>
    </row>
    <row r="9" spans="1:13">
      <c r="A9" s="8" t="s">
        <v>13</v>
      </c>
      <c r="B9" s="9">
        <f t="shared" si="0"/>
        <v>8</v>
      </c>
      <c r="C9" s="9">
        <v>12</v>
      </c>
      <c r="D9" s="10">
        <v>2021</v>
      </c>
      <c r="E9" s="11">
        <f>IF(Electricity!F15&lt;0,0,Electricity!F15)</f>
        <v>0</v>
      </c>
      <c r="F9" s="14">
        <v>0.08</v>
      </c>
      <c r="G9" s="11">
        <f>IF('Water, Gas, Diesel'!K14&lt;0,0,'Water, Gas, Diesel'!K14)</f>
        <v>0</v>
      </c>
      <c r="H9" s="99">
        <v>0.58489999999999998</v>
      </c>
      <c r="I9" s="11">
        <f>IF('Water, Gas, Diesel'!C14&lt;0,0,'Water, Gas, Diesel'!C14)</f>
        <v>0</v>
      </c>
      <c r="J9" s="99">
        <v>0.1694</v>
      </c>
      <c r="K9" s="11">
        <f>IF('Water, Gas, Diesel'!F14&lt;0,0,'Water, Gas, Diesel'!F14)</f>
        <v>0</v>
      </c>
      <c r="L9" s="99">
        <v>1.6949000000000001</v>
      </c>
      <c r="M9" s="11">
        <f>Electricity!H15</f>
        <v>0</v>
      </c>
    </row>
    <row r="10" spans="1:13">
      <c r="A10" s="8" t="s">
        <v>13</v>
      </c>
      <c r="B10" s="9">
        <f t="shared" si="0"/>
        <v>9</v>
      </c>
      <c r="C10" s="9">
        <v>12</v>
      </c>
      <c r="D10" s="10">
        <v>2021</v>
      </c>
      <c r="E10" s="11">
        <f>IF(Electricity!F16&lt;0,0,Electricity!F16)</f>
        <v>0</v>
      </c>
      <c r="F10" s="14">
        <v>0.08</v>
      </c>
      <c r="G10" s="11">
        <f>IF('Water, Gas, Diesel'!K15&lt;0,0,'Water, Gas, Diesel'!K15)</f>
        <v>0</v>
      </c>
      <c r="H10" s="99">
        <v>0.58489999999999998</v>
      </c>
      <c r="I10" s="11">
        <f>IF('Water, Gas, Diesel'!C15&lt;0,0,'Water, Gas, Diesel'!C15)</f>
        <v>0</v>
      </c>
      <c r="J10" s="99">
        <v>0.1694</v>
      </c>
      <c r="K10" s="11">
        <f>IF('Water, Gas, Diesel'!F15&lt;0,0,'Water, Gas, Diesel'!F15)</f>
        <v>0</v>
      </c>
      <c r="L10" s="99">
        <v>1.6949000000000001</v>
      </c>
      <c r="M10" s="11">
        <f>Electricity!H16</f>
        <v>0</v>
      </c>
    </row>
    <row r="11" spans="1:13">
      <c r="A11" s="8" t="s">
        <v>13</v>
      </c>
      <c r="B11" s="9">
        <f t="shared" si="0"/>
        <v>10</v>
      </c>
      <c r="C11" s="9">
        <v>12</v>
      </c>
      <c r="D11" s="10">
        <v>2021</v>
      </c>
      <c r="E11" s="11">
        <f>IF(Electricity!F17&lt;0,0,Electricity!F17)</f>
        <v>0</v>
      </c>
      <c r="F11" s="14">
        <v>0.08</v>
      </c>
      <c r="G11" s="11">
        <f>IF('Water, Gas, Diesel'!K16&lt;0,0,'Water, Gas, Diesel'!K16)</f>
        <v>0</v>
      </c>
      <c r="H11" s="99">
        <v>0.58489999999999998</v>
      </c>
      <c r="I11" s="11">
        <f>IF('Water, Gas, Diesel'!C16&lt;0,0,'Water, Gas, Diesel'!C16)</f>
        <v>0</v>
      </c>
      <c r="J11" s="99">
        <v>0.1694</v>
      </c>
      <c r="K11" s="11">
        <f>IF('Water, Gas, Diesel'!F16&lt;0,0,'Water, Gas, Diesel'!F16)</f>
        <v>0</v>
      </c>
      <c r="L11" s="99">
        <v>1.6949000000000001</v>
      </c>
      <c r="M11" s="11">
        <f>Electricity!H17</f>
        <v>0</v>
      </c>
    </row>
    <row r="12" spans="1:13">
      <c r="A12" s="8" t="s">
        <v>13</v>
      </c>
      <c r="B12" s="9">
        <f t="shared" si="0"/>
        <v>11</v>
      </c>
      <c r="C12" s="9">
        <v>12</v>
      </c>
      <c r="D12" s="10">
        <v>2021</v>
      </c>
      <c r="E12" s="11">
        <f>IF(Electricity!F18&lt;0,0,Electricity!F18)</f>
        <v>0</v>
      </c>
      <c r="F12" s="14">
        <v>0.08</v>
      </c>
      <c r="G12" s="11">
        <f>IF('Water, Gas, Diesel'!K17&lt;0,0,'Water, Gas, Diesel'!K17)</f>
        <v>0</v>
      </c>
      <c r="H12" s="99">
        <v>0.58489999999999998</v>
      </c>
      <c r="I12" s="11">
        <f>IF('Water, Gas, Diesel'!C17&lt;0,0,'Water, Gas, Diesel'!C17)</f>
        <v>0</v>
      </c>
      <c r="J12" s="99">
        <v>0.1694</v>
      </c>
      <c r="K12" s="11">
        <f>IF('Water, Gas, Diesel'!F17&lt;0,0,'Water, Gas, Diesel'!F17)</f>
        <v>0</v>
      </c>
      <c r="L12" s="99">
        <v>1.6949000000000001</v>
      </c>
      <c r="M12" s="11">
        <f>Electricity!H18</f>
        <v>0</v>
      </c>
    </row>
    <row r="13" spans="1:13">
      <c r="A13" s="8" t="s">
        <v>13</v>
      </c>
      <c r="B13" s="9">
        <f t="shared" si="0"/>
        <v>12</v>
      </c>
      <c r="C13" s="9">
        <v>12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0</v>
      </c>
      <c r="H13" s="99">
        <v>0.58489999999999998</v>
      </c>
      <c r="I13" s="11">
        <f>IF('Water, Gas, Diesel'!C18&lt;0,0,'Water, Gas, Diesel'!C18)</f>
        <v>0</v>
      </c>
      <c r="J13" s="99">
        <v>0.1694</v>
      </c>
      <c r="K13" s="11">
        <f>IF('Water, Gas, Diesel'!F18&lt;0,0,'Water, Gas, Diesel'!F18)</f>
        <v>0</v>
      </c>
      <c r="L13" s="99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12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99">
        <v>0.58489999999999998</v>
      </c>
      <c r="I14" s="11">
        <f>IF('Water, Gas, Diesel'!C19&lt;0,0,'Water, Gas, Diesel'!C19)</f>
        <v>0</v>
      </c>
      <c r="J14" s="99">
        <v>0.1694</v>
      </c>
      <c r="K14" s="11">
        <f>IF('Water, Gas, Diesel'!F19&lt;0,0,'Water, Gas, Diesel'!F19)</f>
        <v>0</v>
      </c>
      <c r="L14" s="99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12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99">
        <v>0.58489999999999998</v>
      </c>
      <c r="I15" s="11">
        <f>IF('Water, Gas, Diesel'!C20&lt;0,0,'Water, Gas, Diesel'!C20)</f>
        <v>0</v>
      </c>
      <c r="J15" s="99">
        <v>0.1694</v>
      </c>
      <c r="K15" s="11">
        <f>IF('Water, Gas, Diesel'!F20&lt;0,0,'Water, Gas, Diesel'!F20)</f>
        <v>0</v>
      </c>
      <c r="L15" s="99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12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99">
        <v>0.58489999999999998</v>
      </c>
      <c r="I16" s="11">
        <f>IF('Water, Gas, Diesel'!C21&lt;0,0,'Water, Gas, Diesel'!C21)</f>
        <v>0</v>
      </c>
      <c r="J16" s="99">
        <v>0.1694</v>
      </c>
      <c r="K16" s="11">
        <f>IF('Water, Gas, Diesel'!F21&lt;0,0,'Water, Gas, Diesel'!F21)</f>
        <v>0</v>
      </c>
      <c r="L16" s="99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99">
        <v>0.58489999999999998</v>
      </c>
      <c r="I17" s="11">
        <f>IF('Water, Gas, Diesel'!C22&lt;0,0,'Water, Gas, Diesel'!C22)</f>
        <v>0</v>
      </c>
      <c r="J17" s="99">
        <v>0.1694</v>
      </c>
      <c r="K17" s="11">
        <f>IF('Water, Gas, Diesel'!F22&lt;0,0,'Water, Gas, Diesel'!F22)</f>
        <v>0</v>
      </c>
      <c r="L17" s="99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99">
        <v>0.58489999999999998</v>
      </c>
      <c r="I18" s="11">
        <f>IF('Water, Gas, Diesel'!C23&lt;0,0,'Water, Gas, Diesel'!C23)</f>
        <v>0</v>
      </c>
      <c r="J18" s="99">
        <v>0.1694</v>
      </c>
      <c r="K18" s="11">
        <f>IF('Water, Gas, Diesel'!F23&lt;0,0,'Water, Gas, Diesel'!F23)</f>
        <v>0</v>
      </c>
      <c r="L18" s="99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99">
        <v>0.58489999999999998</v>
      </c>
      <c r="I19" s="11">
        <f>IF('Water, Gas, Diesel'!C24&lt;0,0,'Water, Gas, Diesel'!C24)</f>
        <v>0</v>
      </c>
      <c r="J19" s="99">
        <v>0.1694</v>
      </c>
      <c r="K19" s="11">
        <f>IF('Water, Gas, Diesel'!F24&lt;0,0,'Water, Gas, Diesel'!F24)</f>
        <v>0</v>
      </c>
      <c r="L19" s="99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99">
        <v>0.58489999999999998</v>
      </c>
      <c r="I20" s="11">
        <f>IF('Water, Gas, Diesel'!C25&lt;0,0,'Water, Gas, Diesel'!C25)</f>
        <v>0</v>
      </c>
      <c r="J20" s="99">
        <v>0.1694</v>
      </c>
      <c r="K20" s="11">
        <f>IF('Water, Gas, Diesel'!F25&lt;0,0,'Water, Gas, Diesel'!F25)</f>
        <v>0</v>
      </c>
      <c r="L20" s="99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99">
        <v>0.58489999999999998</v>
      </c>
      <c r="I21" s="11">
        <f>IF('Water, Gas, Diesel'!C26&lt;0,0,'Water, Gas, Diesel'!C26)</f>
        <v>0</v>
      </c>
      <c r="J21" s="99">
        <v>0.1694</v>
      </c>
      <c r="K21" s="11">
        <f>IF('Water, Gas, Diesel'!F26&lt;0,0,'Water, Gas, Diesel'!F26)</f>
        <v>0</v>
      </c>
      <c r="L21" s="99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99">
        <v>0.58489999999999998</v>
      </c>
      <c r="I22" s="11">
        <f>IF('Water, Gas, Diesel'!C27&lt;0,0,'Water, Gas, Diesel'!C27)</f>
        <v>0</v>
      </c>
      <c r="J22" s="99">
        <v>0.1694</v>
      </c>
      <c r="K22" s="11">
        <f>IF('Water, Gas, Diesel'!F27&lt;0,0,'Water, Gas, Diesel'!F27)</f>
        <v>0</v>
      </c>
      <c r="L22" s="99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99">
        <v>0.58489999999999998</v>
      </c>
      <c r="I23" s="11">
        <f>IF('Water, Gas, Diesel'!C28&lt;0,0,'Water, Gas, Diesel'!C28)</f>
        <v>0</v>
      </c>
      <c r="J23" s="99">
        <v>0.1694</v>
      </c>
      <c r="K23" s="11">
        <f>IF('Water, Gas, Diesel'!F28&lt;0,0,'Water, Gas, Diesel'!F28)</f>
        <v>0</v>
      </c>
      <c r="L23" s="99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99">
        <v>0.58489999999999998</v>
      </c>
      <c r="I24" s="11">
        <f>IF('Water, Gas, Diesel'!C29&lt;0,0,'Water, Gas, Diesel'!C29)</f>
        <v>0</v>
      </c>
      <c r="J24" s="99">
        <v>0.1694</v>
      </c>
      <c r="K24" s="11">
        <f>IF('Water, Gas, Diesel'!F29&lt;0,0,'Water, Gas, Diesel'!F29)</f>
        <v>0</v>
      </c>
      <c r="L24" s="99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9">
        <v>0.58489999999999998</v>
      </c>
      <c r="I25" s="11">
        <f>IF('Water, Gas, Diesel'!C30&lt;0,0,'Water, Gas, Diesel'!C30)</f>
        <v>0</v>
      </c>
      <c r="J25" s="99">
        <v>0.1694</v>
      </c>
      <c r="K25" s="11">
        <f>IF('Water, Gas, Diesel'!F30&lt;0,0,'Water, Gas, Diesel'!F30)</f>
        <v>0</v>
      </c>
      <c r="L25" s="99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9">
        <v>0.58489999999999998</v>
      </c>
      <c r="I26" s="11">
        <f>IF('Water, Gas, Diesel'!C31&lt;0,0,'Water, Gas, Diesel'!C31)</f>
        <v>0</v>
      </c>
      <c r="J26" s="99">
        <v>0.1694</v>
      </c>
      <c r="K26" s="11">
        <f>IF('Water, Gas, Diesel'!F31&lt;0,0,'Water, Gas, Diesel'!F31)</f>
        <v>0</v>
      </c>
      <c r="L26" s="99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9">
        <v>0.58489999999999998</v>
      </c>
      <c r="I27" s="11">
        <f>IF('Water, Gas, Diesel'!C32&lt;0,0,'Water, Gas, Diesel'!C32)</f>
        <v>0</v>
      </c>
      <c r="J27" s="99">
        <v>0.1694</v>
      </c>
      <c r="K27" s="11">
        <f>IF('Water, Gas, Diesel'!F32&lt;0,0,'Water, Gas, Diesel'!F32)</f>
        <v>0</v>
      </c>
      <c r="L27" s="99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9">
        <v>0.58489999999999998</v>
      </c>
      <c r="I28" s="11">
        <f>IF('Water, Gas, Diesel'!C33&lt;0,0,'Water, Gas, Diesel'!C33)</f>
        <v>0</v>
      </c>
      <c r="J28" s="99">
        <v>0.1694</v>
      </c>
      <c r="K28" s="11">
        <f>IF('Water, Gas, Diesel'!F33&lt;0,0,'Water, Gas, Diesel'!F33)</f>
        <v>0</v>
      </c>
      <c r="L28" s="99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9">
        <v>0.58489999999999998</v>
      </c>
      <c r="I29" s="11">
        <f>IF('Water, Gas, Diesel'!C34&lt;0,0,'Water, Gas, Diesel'!C34)</f>
        <v>0</v>
      </c>
      <c r="J29" s="99">
        <v>0.1694</v>
      </c>
      <c r="K29" s="11">
        <f>IF('Water, Gas, Diesel'!F34&lt;0,0,'Water, Gas, Diesel'!F34)</f>
        <v>0</v>
      </c>
      <c r="L29" s="99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9">
        <v>0.58489999999999998</v>
      </c>
      <c r="I30" s="11">
        <f>IF('Water, Gas, Diesel'!C35&lt;0,0,'Water, Gas, Diesel'!C35)</f>
        <v>0</v>
      </c>
      <c r="J30" s="99">
        <v>0.1694</v>
      </c>
      <c r="K30" s="11">
        <f>IF('Water, Gas, Diesel'!F35&lt;0,0,'Water, Gas, Diesel'!F35)</f>
        <v>0</v>
      </c>
      <c r="L30" s="99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9">
        <v>0.58489999999999998</v>
      </c>
      <c r="I31" s="11">
        <f>IF('Water, Gas, Diesel'!C36&lt;0,0,'Water, Gas, Diesel'!C36)</f>
        <v>0</v>
      </c>
      <c r="J31" s="99">
        <v>0.1694</v>
      </c>
      <c r="K31" s="11">
        <f>IF('Water, Gas, Diesel'!F36&lt;0,0,'Water, Gas, Diesel'!F36)</f>
        <v>0</v>
      </c>
      <c r="L31" s="99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12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9">
        <v>0.58489999999999998</v>
      </c>
      <c r="I32" s="11">
        <f>IF('Water, Gas, Diesel'!C37&lt;0,0,'Water, Gas, Diesel'!C37)</f>
        <v>0</v>
      </c>
      <c r="J32" s="99">
        <v>0.1694</v>
      </c>
      <c r="K32" s="11">
        <f>IF('Water, Gas, Diesel'!F37&lt;0,0,'Water, Gas, Diesel'!F37)</f>
        <v>0</v>
      </c>
      <c r="L32" s="99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8" activePane="bottomLeft" state="frozen"/>
      <selection pane="bottomLeft" activeCell="M12" sqref="M12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100" t="s">
        <v>14</v>
      </c>
      <c r="B1" s="131">
        <v>52822.559999999998</v>
      </c>
      <c r="C1" s="132"/>
      <c r="D1" s="132"/>
      <c r="E1" s="132"/>
      <c r="F1" s="132"/>
      <c r="G1" s="132"/>
      <c r="H1" s="133"/>
    </row>
    <row r="2" spans="1:8" ht="15.75" customHeight="1">
      <c r="A2" s="136" t="s">
        <v>15</v>
      </c>
      <c r="B2" s="139" t="s">
        <v>16</v>
      </c>
      <c r="C2" s="140"/>
      <c r="D2" s="140"/>
      <c r="E2" s="141"/>
      <c r="F2" s="142" t="s">
        <v>17</v>
      </c>
      <c r="G2" s="134" t="s">
        <v>18</v>
      </c>
      <c r="H2" s="134" t="s">
        <v>19</v>
      </c>
    </row>
    <row r="3" spans="1:8">
      <c r="A3" s="137"/>
      <c r="B3" s="144" t="s">
        <v>20</v>
      </c>
      <c r="C3" s="145"/>
      <c r="D3" s="144" t="s">
        <v>21</v>
      </c>
      <c r="E3" s="145"/>
      <c r="F3" s="142"/>
      <c r="G3" s="134"/>
      <c r="H3" s="134"/>
    </row>
    <row r="4" spans="1:8">
      <c r="A4" s="137"/>
      <c r="B4" s="146"/>
      <c r="C4" s="147"/>
      <c r="D4" s="146"/>
      <c r="E4" s="147"/>
      <c r="F4" s="142"/>
      <c r="G4" s="134"/>
      <c r="H4" s="134"/>
    </row>
    <row r="5" spans="1:8" ht="15.75" thickBot="1">
      <c r="A5" s="138"/>
      <c r="B5" s="17" t="s">
        <v>22</v>
      </c>
      <c r="C5" s="74" t="s">
        <v>23</v>
      </c>
      <c r="D5" s="75" t="s">
        <v>22</v>
      </c>
      <c r="E5" s="74" t="s">
        <v>23</v>
      </c>
      <c r="F5" s="143"/>
      <c r="G5" s="135"/>
      <c r="H5" s="135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763652.50000000291</v>
      </c>
      <c r="D7" s="81">
        <v>14505.421</v>
      </c>
      <c r="E7" s="82">
        <f t="shared" ref="E7:E24" si="1">(D8-D7)*2500</f>
        <v>1022725.0000000003</v>
      </c>
      <c r="F7" s="83">
        <f t="shared" ref="F7:F38" si="2">C7+E7</f>
        <v>1786377.5000000033</v>
      </c>
      <c r="G7" s="80">
        <f>F7*0.08</f>
        <v>142910.20000000027</v>
      </c>
    </row>
    <row r="8" spans="1:8" ht="30.95" customHeight="1">
      <c r="A8" s="42">
        <v>1</v>
      </c>
      <c r="B8" s="130">
        <v>14647.44</v>
      </c>
      <c r="C8" s="84">
        <f t="shared" si="0"/>
        <v>8687.5000000009095</v>
      </c>
      <c r="D8" s="85">
        <v>14914.511</v>
      </c>
      <c r="E8" s="84">
        <f t="shared" si="1"/>
        <v>12207.499999999527</v>
      </c>
      <c r="F8" s="53">
        <f t="shared" si="2"/>
        <v>20895.000000000437</v>
      </c>
      <c r="G8" s="80">
        <f>F8*0.08</f>
        <v>1671.6000000000349</v>
      </c>
      <c r="H8" s="80">
        <v>86</v>
      </c>
    </row>
    <row r="9" spans="1:8" ht="30.95" customHeight="1">
      <c r="A9" s="47">
        <v>2</v>
      </c>
      <c r="B9" s="86">
        <v>14650.915000000001</v>
      </c>
      <c r="C9" s="41">
        <f t="shared" si="0"/>
        <v>8282.4999999957072</v>
      </c>
      <c r="D9" s="85">
        <v>14919.394</v>
      </c>
      <c r="E9" s="41">
        <f t="shared" si="1"/>
        <v>11594.999999997526</v>
      </c>
      <c r="F9" s="49">
        <f t="shared" si="2"/>
        <v>19877.499999993233</v>
      </c>
      <c r="G9" s="87">
        <f>F9*0.08</f>
        <v>1590.1999999994587</v>
      </c>
      <c r="H9" s="87">
        <v>103</v>
      </c>
    </row>
    <row r="10" spans="1:8" ht="30.95" customHeight="1">
      <c r="A10" s="42">
        <v>3</v>
      </c>
      <c r="B10" s="88">
        <v>14654.227999999999</v>
      </c>
      <c r="C10" s="84">
        <f t="shared" si="0"/>
        <v>7992.500000000291</v>
      </c>
      <c r="D10" s="89">
        <v>14924.031999999999</v>
      </c>
      <c r="E10" s="84">
        <f t="shared" si="1"/>
        <v>10790.000000001783</v>
      </c>
      <c r="F10" s="53">
        <f t="shared" si="2"/>
        <v>18782.500000002074</v>
      </c>
      <c r="G10" s="87">
        <f t="shared" ref="G10:G38" si="3">F10*0.08</f>
        <v>1502.6000000001659</v>
      </c>
      <c r="H10" s="87">
        <v>61</v>
      </c>
    </row>
    <row r="11" spans="1:8" ht="30.95" customHeight="1">
      <c r="A11" s="47">
        <v>4</v>
      </c>
      <c r="B11" s="90">
        <v>14657.424999999999</v>
      </c>
      <c r="C11" s="41">
        <f t="shared" si="0"/>
        <v>7490.0000000025102</v>
      </c>
      <c r="D11" s="91">
        <v>14928.348</v>
      </c>
      <c r="E11" s="41">
        <f t="shared" si="1"/>
        <v>9794.9999999991633</v>
      </c>
      <c r="F11" s="49">
        <f t="shared" si="2"/>
        <v>17285.000000001673</v>
      </c>
      <c r="G11" s="87">
        <f t="shared" si="3"/>
        <v>1382.8000000001339</v>
      </c>
      <c r="H11" s="87">
        <v>42</v>
      </c>
    </row>
    <row r="12" spans="1:8" ht="30.95" customHeight="1">
      <c r="A12" s="42">
        <v>5</v>
      </c>
      <c r="B12" s="92">
        <v>14660.421</v>
      </c>
      <c r="C12" s="84">
        <f t="shared" si="0"/>
        <v>7897.4999999991269</v>
      </c>
      <c r="D12" s="89">
        <v>14932.266</v>
      </c>
      <c r="E12" s="84">
        <f t="shared" si="1"/>
        <v>10367.50000000211</v>
      </c>
      <c r="F12" s="53">
        <f t="shared" si="2"/>
        <v>18265.000000001237</v>
      </c>
      <c r="G12" s="87">
        <f t="shared" si="3"/>
        <v>1461.200000000099</v>
      </c>
      <c r="H12" s="87">
        <v>48</v>
      </c>
    </row>
    <row r="13" spans="1:8" ht="30.95" customHeight="1">
      <c r="A13" s="47">
        <v>6</v>
      </c>
      <c r="B13" s="90">
        <v>14663.58</v>
      </c>
      <c r="C13" s="41">
        <f t="shared" si="0"/>
        <v>-36658950</v>
      </c>
      <c r="D13" s="91">
        <v>14936.413</v>
      </c>
      <c r="E13" s="41">
        <f t="shared" si="1"/>
        <v>-37341032.5</v>
      </c>
      <c r="F13" s="49">
        <f t="shared" si="2"/>
        <v>-73999982.5</v>
      </c>
      <c r="G13" s="87">
        <f t="shared" si="3"/>
        <v>-5919998.6000000006</v>
      </c>
      <c r="H13" s="87">
        <v>39</v>
      </c>
    </row>
    <row r="14" spans="1:8" ht="30.95" customHeight="1">
      <c r="A14" s="42">
        <v>7</v>
      </c>
      <c r="B14" s="92"/>
      <c r="C14" s="84">
        <f t="shared" si="0"/>
        <v>0</v>
      </c>
      <c r="D14" s="93"/>
      <c r="E14" s="84">
        <f t="shared" si="1"/>
        <v>0</v>
      </c>
      <c r="F14" s="53">
        <f t="shared" si="2"/>
        <v>0</v>
      </c>
      <c r="G14" s="87">
        <f t="shared" si="3"/>
        <v>0</v>
      </c>
      <c r="H14" s="87"/>
    </row>
    <row r="15" spans="1:8" ht="30.95" customHeight="1">
      <c r="A15" s="47">
        <v>8</v>
      </c>
      <c r="B15" s="90"/>
      <c r="C15" s="41">
        <f t="shared" si="0"/>
        <v>0</v>
      </c>
      <c r="D15" s="94"/>
      <c r="E15" s="41">
        <f t="shared" si="1"/>
        <v>0</v>
      </c>
      <c r="F15" s="49">
        <f t="shared" si="2"/>
        <v>0</v>
      </c>
      <c r="G15" s="87">
        <f t="shared" si="3"/>
        <v>0</v>
      </c>
      <c r="H15" s="87"/>
    </row>
    <row r="16" spans="1:8" ht="30.95" customHeight="1">
      <c r="A16" s="42">
        <v>9</v>
      </c>
      <c r="B16" s="95"/>
      <c r="C16" s="84">
        <f t="shared" si="0"/>
        <v>0</v>
      </c>
      <c r="D16" s="96"/>
      <c r="E16" s="84">
        <f t="shared" si="1"/>
        <v>0</v>
      </c>
      <c r="F16" s="53">
        <f t="shared" si="2"/>
        <v>0</v>
      </c>
      <c r="G16" s="87">
        <f t="shared" si="3"/>
        <v>0</v>
      </c>
      <c r="H16" s="87"/>
    </row>
    <row r="17" spans="1:8" ht="30.95" customHeight="1">
      <c r="A17" s="47">
        <v>10</v>
      </c>
      <c r="B17" s="92"/>
      <c r="C17" s="41">
        <f t="shared" si="0"/>
        <v>0</v>
      </c>
      <c r="D17" s="93"/>
      <c r="E17" s="41">
        <f t="shared" si="1"/>
        <v>0</v>
      </c>
      <c r="F17" s="49">
        <f t="shared" si="2"/>
        <v>0</v>
      </c>
      <c r="G17" s="87">
        <f t="shared" si="3"/>
        <v>0</v>
      </c>
      <c r="H17" s="87"/>
    </row>
    <row r="18" spans="1:8" ht="30.95" customHeight="1">
      <c r="A18" s="42">
        <v>11</v>
      </c>
      <c r="B18" s="90"/>
      <c r="C18" s="84">
        <f t="shared" si="0"/>
        <v>0</v>
      </c>
      <c r="D18" s="94"/>
      <c r="E18" s="84">
        <f t="shared" si="1"/>
        <v>0</v>
      </c>
      <c r="F18" s="53">
        <f t="shared" si="2"/>
        <v>0</v>
      </c>
      <c r="G18" s="87">
        <f t="shared" si="3"/>
        <v>0</v>
      </c>
      <c r="H18" s="87"/>
    </row>
    <row r="19" spans="1:8" ht="30.95" customHeight="1">
      <c r="A19" s="47">
        <v>12</v>
      </c>
      <c r="B19" s="92"/>
      <c r="C19" s="41">
        <f t="shared" si="0"/>
        <v>0</v>
      </c>
      <c r="D19" s="93"/>
      <c r="E19" s="41">
        <f t="shared" si="1"/>
        <v>0</v>
      </c>
      <c r="F19" s="49">
        <f t="shared" si="2"/>
        <v>0</v>
      </c>
      <c r="G19" s="87">
        <f t="shared" si="3"/>
        <v>0</v>
      </c>
      <c r="H19" s="87"/>
    </row>
    <row r="20" spans="1:8" ht="30.95" customHeight="1">
      <c r="A20" s="42">
        <v>13</v>
      </c>
      <c r="B20" s="90"/>
      <c r="C20" s="84">
        <f t="shared" si="0"/>
        <v>0</v>
      </c>
      <c r="D20" s="97"/>
      <c r="E20" s="84">
        <f t="shared" si="1"/>
        <v>0</v>
      </c>
      <c r="F20" s="53">
        <f t="shared" si="2"/>
        <v>0</v>
      </c>
      <c r="G20" s="87">
        <f t="shared" si="3"/>
        <v>0</v>
      </c>
      <c r="H20" s="87"/>
    </row>
    <row r="21" spans="1:8" ht="30.95" customHeight="1">
      <c r="A21" s="47">
        <v>14</v>
      </c>
      <c r="B21" s="90"/>
      <c r="C21" s="41">
        <f t="shared" si="0"/>
        <v>0</v>
      </c>
      <c r="D21" s="94"/>
      <c r="E21" s="41">
        <f t="shared" si="1"/>
        <v>0</v>
      </c>
      <c r="F21" s="49">
        <f t="shared" si="2"/>
        <v>0</v>
      </c>
      <c r="G21" s="87">
        <f t="shared" si="3"/>
        <v>0</v>
      </c>
      <c r="H21" s="87"/>
    </row>
    <row r="22" spans="1:8" ht="30.95" customHeight="1">
      <c r="A22" s="42">
        <v>15</v>
      </c>
      <c r="B22" s="90"/>
      <c r="C22" s="84">
        <f t="shared" si="0"/>
        <v>0</v>
      </c>
      <c r="D22" s="69"/>
      <c r="E22" s="84">
        <f t="shared" si="1"/>
        <v>0</v>
      </c>
      <c r="F22" s="53">
        <f t="shared" si="2"/>
        <v>0</v>
      </c>
      <c r="G22" s="87">
        <f t="shared" si="3"/>
        <v>0</v>
      </c>
      <c r="H22" s="87"/>
    </row>
    <row r="23" spans="1:8" ht="30.95" customHeight="1">
      <c r="A23" s="47">
        <v>16</v>
      </c>
      <c r="B23" s="101"/>
      <c r="C23" s="41">
        <f t="shared" si="0"/>
        <v>0</v>
      </c>
      <c r="D23" s="102"/>
      <c r="E23" s="41">
        <f t="shared" si="1"/>
        <v>0</v>
      </c>
      <c r="F23" s="49">
        <f t="shared" si="2"/>
        <v>0</v>
      </c>
      <c r="G23" s="87">
        <f t="shared" si="3"/>
        <v>0</v>
      </c>
      <c r="H23" s="87"/>
    </row>
    <row r="24" spans="1:8" ht="30.95" customHeight="1">
      <c r="A24" s="42">
        <v>17</v>
      </c>
      <c r="B24" s="103"/>
      <c r="C24" s="84">
        <f t="shared" si="0"/>
        <v>0</v>
      </c>
      <c r="D24" s="93"/>
      <c r="E24" s="84">
        <f t="shared" si="1"/>
        <v>0</v>
      </c>
      <c r="F24" s="53">
        <f t="shared" si="2"/>
        <v>0</v>
      </c>
      <c r="G24" s="87">
        <f t="shared" si="3"/>
        <v>0</v>
      </c>
      <c r="H24" s="87"/>
    </row>
    <row r="25" spans="1:8" ht="30.95" customHeight="1">
      <c r="A25" s="47">
        <v>18</v>
      </c>
      <c r="B25" s="90"/>
      <c r="C25" s="41">
        <f>(B26-B25)*2500</f>
        <v>0</v>
      </c>
      <c r="D25" s="94"/>
      <c r="E25" s="41">
        <f>(D26-D25)*2500</f>
        <v>0</v>
      </c>
      <c r="F25" s="49">
        <f t="shared" si="2"/>
        <v>0</v>
      </c>
      <c r="G25" s="87">
        <f t="shared" si="3"/>
        <v>0</v>
      </c>
      <c r="H25" s="87"/>
    </row>
    <row r="26" spans="1:8" ht="30.95" customHeight="1">
      <c r="A26" s="42">
        <v>19</v>
      </c>
      <c r="B26" s="92"/>
      <c r="C26" s="84">
        <f t="shared" ref="C26:C38" si="4">(B27-B26)*2500</f>
        <v>0</v>
      </c>
      <c r="D26" s="93"/>
      <c r="E26" s="84">
        <f t="shared" ref="E26:E38" si="5">(D27-D26)*2500</f>
        <v>0</v>
      </c>
      <c r="F26" s="49">
        <f t="shared" si="2"/>
        <v>0</v>
      </c>
      <c r="G26" s="87">
        <f t="shared" si="3"/>
        <v>0</v>
      </c>
      <c r="H26" s="87"/>
    </row>
    <row r="27" spans="1:8" ht="30.95" customHeight="1">
      <c r="A27" s="47">
        <v>20</v>
      </c>
      <c r="B27" s="90"/>
      <c r="C27" s="41">
        <f t="shared" si="4"/>
        <v>0</v>
      </c>
      <c r="D27" s="97"/>
      <c r="E27" s="41">
        <f t="shared" si="5"/>
        <v>0</v>
      </c>
      <c r="F27" s="53">
        <f t="shared" si="2"/>
        <v>0</v>
      </c>
      <c r="G27" s="87">
        <f t="shared" si="3"/>
        <v>0</v>
      </c>
      <c r="H27" s="87"/>
    </row>
    <row r="28" spans="1:8" ht="30.95" customHeight="1">
      <c r="A28" s="42">
        <v>21</v>
      </c>
      <c r="B28" s="92"/>
      <c r="C28" s="84">
        <f t="shared" si="4"/>
        <v>0</v>
      </c>
      <c r="D28" s="93"/>
      <c r="E28" s="84">
        <f t="shared" si="5"/>
        <v>0</v>
      </c>
      <c r="F28" s="49">
        <f t="shared" si="2"/>
        <v>0</v>
      </c>
      <c r="G28" s="87">
        <f t="shared" si="3"/>
        <v>0</v>
      </c>
      <c r="H28" s="87"/>
    </row>
    <row r="29" spans="1:8" ht="30.95" customHeight="1">
      <c r="A29" s="47">
        <v>22</v>
      </c>
      <c r="B29" s="90"/>
      <c r="C29" s="41">
        <f t="shared" si="4"/>
        <v>0</v>
      </c>
      <c r="D29" s="94"/>
      <c r="E29" s="41">
        <f t="shared" si="5"/>
        <v>0</v>
      </c>
      <c r="F29" s="53">
        <f t="shared" si="2"/>
        <v>0</v>
      </c>
      <c r="G29" s="87">
        <f t="shared" si="3"/>
        <v>0</v>
      </c>
      <c r="H29" s="87"/>
    </row>
    <row r="30" spans="1:8" ht="30.95" customHeight="1">
      <c r="A30" s="42">
        <v>23</v>
      </c>
      <c r="B30" s="92"/>
      <c r="C30" s="84">
        <f t="shared" si="4"/>
        <v>0</v>
      </c>
      <c r="D30" s="93"/>
      <c r="E30" s="84">
        <f t="shared" si="5"/>
        <v>0</v>
      </c>
      <c r="F30" s="49">
        <f t="shared" si="2"/>
        <v>0</v>
      </c>
      <c r="G30" s="87">
        <f t="shared" si="3"/>
        <v>0</v>
      </c>
      <c r="H30" s="87"/>
    </row>
    <row r="31" spans="1:8" ht="30.95" customHeight="1">
      <c r="A31" s="47">
        <v>24</v>
      </c>
      <c r="B31" s="90"/>
      <c r="C31" s="41">
        <f t="shared" si="4"/>
        <v>0</v>
      </c>
      <c r="D31" s="94"/>
      <c r="E31" s="41">
        <f t="shared" si="5"/>
        <v>0</v>
      </c>
      <c r="F31" s="53">
        <f t="shared" si="2"/>
        <v>0</v>
      </c>
      <c r="G31" s="87">
        <f t="shared" si="3"/>
        <v>0</v>
      </c>
      <c r="H31" s="87"/>
    </row>
    <row r="32" spans="1:8" ht="30.95" customHeight="1">
      <c r="A32" s="42">
        <v>25</v>
      </c>
      <c r="B32" s="92"/>
      <c r="C32" s="84">
        <f t="shared" si="4"/>
        <v>0</v>
      </c>
      <c r="D32" s="93"/>
      <c r="E32" s="84">
        <f t="shared" si="5"/>
        <v>0</v>
      </c>
      <c r="F32" s="49">
        <f t="shared" si="2"/>
        <v>0</v>
      </c>
      <c r="G32" s="87">
        <f t="shared" si="3"/>
        <v>0</v>
      </c>
      <c r="H32" s="87"/>
    </row>
    <row r="33" spans="1:8" ht="30.95" customHeight="1">
      <c r="A33" s="47">
        <v>26</v>
      </c>
      <c r="B33" s="90"/>
      <c r="C33" s="41">
        <f t="shared" si="4"/>
        <v>0</v>
      </c>
      <c r="D33" s="94"/>
      <c r="E33" s="41">
        <f t="shared" si="5"/>
        <v>0</v>
      </c>
      <c r="F33" s="53">
        <f t="shared" si="2"/>
        <v>0</v>
      </c>
      <c r="G33" s="87">
        <f t="shared" si="3"/>
        <v>0</v>
      </c>
      <c r="H33" s="87"/>
    </row>
    <row r="34" spans="1:8" ht="30.95" customHeight="1">
      <c r="A34" s="42">
        <v>27</v>
      </c>
      <c r="B34" s="92"/>
      <c r="C34" s="84">
        <f t="shared" si="4"/>
        <v>0</v>
      </c>
      <c r="D34" s="93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8"/>
      <c r="C35" s="41">
        <f t="shared" si="4"/>
        <v>0</v>
      </c>
      <c r="D35" s="94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2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0.95" customHeight="1">
      <c r="A37" s="112">
        <v>30</v>
      </c>
      <c r="B37" s="113"/>
      <c r="C37" s="114">
        <f t="shared" si="4"/>
        <v>0</v>
      </c>
      <c r="D37" s="115"/>
      <c r="E37" s="114">
        <f t="shared" si="5"/>
        <v>0</v>
      </c>
      <c r="F37" s="116">
        <f t="shared" si="2"/>
        <v>0</v>
      </c>
      <c r="G37" s="117">
        <f t="shared" si="3"/>
        <v>0</v>
      </c>
      <c r="H37" s="117"/>
    </row>
    <row r="38" spans="1:8" ht="30.95" customHeight="1">
      <c r="A38" s="106">
        <v>31</v>
      </c>
      <c r="B38" s="106"/>
      <c r="C38" s="118">
        <f t="shared" si="4"/>
        <v>0</v>
      </c>
      <c r="D38" s="119"/>
      <c r="E38" s="118">
        <f t="shared" si="5"/>
        <v>0</v>
      </c>
      <c r="F38" s="120">
        <f t="shared" si="2"/>
        <v>0</v>
      </c>
      <c r="G38" s="111">
        <f t="shared" si="3"/>
        <v>0</v>
      </c>
      <c r="H38" s="111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7" activePane="bottomLeft" state="frozen"/>
      <selection pane="bottomLeft" activeCell="J12" sqref="J12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8" t="s">
        <v>14</v>
      </c>
      <c r="B1" s="144" t="s">
        <v>24</v>
      </c>
      <c r="C1" s="151"/>
      <c r="D1" s="145"/>
      <c r="E1" s="144" t="s">
        <v>25</v>
      </c>
      <c r="F1" s="151"/>
      <c r="G1" s="151"/>
      <c r="H1" s="151"/>
      <c r="I1" s="145"/>
      <c r="J1" s="144" t="s">
        <v>26</v>
      </c>
      <c r="K1" s="151"/>
      <c r="L1" s="145"/>
    </row>
    <row r="2" spans="1:12">
      <c r="A2" s="149"/>
      <c r="B2" s="152"/>
      <c r="C2" s="153"/>
      <c r="D2" s="154"/>
      <c r="E2" s="146"/>
      <c r="F2" s="155"/>
      <c r="G2" s="155"/>
      <c r="H2" s="155"/>
      <c r="I2" s="147"/>
      <c r="J2" s="146"/>
      <c r="K2" s="155"/>
      <c r="L2" s="147"/>
    </row>
    <row r="3" spans="1:12" ht="27" customHeight="1">
      <c r="A3" s="150"/>
      <c r="B3" s="156">
        <v>10570.79</v>
      </c>
      <c r="C3" s="157"/>
      <c r="D3" s="158"/>
      <c r="E3" s="159">
        <v>6704.58</v>
      </c>
      <c r="F3" s="160"/>
      <c r="G3" s="160"/>
      <c r="H3" s="160"/>
      <c r="I3" s="161"/>
      <c r="J3" s="159">
        <v>0</v>
      </c>
      <c r="K3" s="160"/>
      <c r="L3" s="161"/>
    </row>
    <row r="4" spans="1:12" ht="59.25" customHeight="1">
      <c r="A4" s="111" t="s">
        <v>15</v>
      </c>
      <c r="B4" s="17" t="s">
        <v>22</v>
      </c>
      <c r="C4" s="18" t="s">
        <v>27</v>
      </c>
      <c r="D4" s="19" t="s">
        <v>28</v>
      </c>
      <c r="E4" s="108" t="s">
        <v>22</v>
      </c>
      <c r="F4" s="20" t="s">
        <v>23</v>
      </c>
      <c r="G4" s="21" t="s">
        <v>29</v>
      </c>
      <c r="H4" s="21" t="s">
        <v>30</v>
      </c>
      <c r="I4" s="107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9">
        <v>31</v>
      </c>
      <c r="B6" s="109">
        <v>6099967</v>
      </c>
      <c r="C6" s="34">
        <f>B7-B6</f>
        <v>198338</v>
      </c>
      <c r="D6" s="35">
        <f>C6*0.16949153</f>
        <v>33616.611077139998</v>
      </c>
      <c r="E6" s="36">
        <v>482840</v>
      </c>
      <c r="F6" s="37">
        <f>E7-E6</f>
        <v>16843</v>
      </c>
      <c r="G6" s="38">
        <f>F6*0.84746</f>
        <v>14273.76878</v>
      </c>
      <c r="H6" s="38">
        <f>F6*0.84746</f>
        <v>14273.76878</v>
      </c>
      <c r="I6" s="110">
        <f>G6+H6</f>
        <v>28547.537560000001</v>
      </c>
      <c r="J6" s="39">
        <f>7300+6550</f>
        <v>13850</v>
      </c>
      <c r="K6" s="40">
        <f>J6-J7</f>
        <v>520</v>
      </c>
      <c r="L6" s="41">
        <f>K6*0.59</f>
        <v>306.8</v>
      </c>
    </row>
    <row r="7" spans="1:12" ht="32.450000000000003" customHeight="1">
      <c r="A7" s="42">
        <v>1</v>
      </c>
      <c r="B7" s="109">
        <v>6298305</v>
      </c>
      <c r="C7" s="55">
        <f t="shared" ref="C7:C16" si="0">B8-B7</f>
        <v>4070</v>
      </c>
      <c r="D7" s="43">
        <f>C7*0.21186441</f>
        <v>862.28814869999997</v>
      </c>
      <c r="E7" s="44">
        <v>499683</v>
      </c>
      <c r="F7" s="56">
        <f t="shared" ref="F7:F16" si="1">E8-E7</f>
        <v>200</v>
      </c>
      <c r="G7" s="45">
        <f>F7*0.84746</f>
        <v>169.49199999999999</v>
      </c>
      <c r="H7" s="45">
        <f>F7*0.84746</f>
        <v>169.49199999999999</v>
      </c>
      <c r="I7" s="46">
        <f t="shared" ref="I7:I37" si="2">G7+H7</f>
        <v>338.98399999999998</v>
      </c>
      <c r="J7" s="39">
        <f>6830+6500</f>
        <v>13330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6302375</v>
      </c>
      <c r="C8" s="57">
        <f t="shared" si="0"/>
        <v>3690</v>
      </c>
      <c r="D8" s="48">
        <f>C8*0.21186441</f>
        <v>781.77967290000004</v>
      </c>
      <c r="E8" s="49">
        <v>499883</v>
      </c>
      <c r="F8" s="58">
        <f t="shared" si="1"/>
        <v>207</v>
      </c>
      <c r="G8" s="50">
        <f t="shared" ref="G8:G37" si="5">F8*0.84746</f>
        <v>175.42421999999999</v>
      </c>
      <c r="H8" s="50">
        <f t="shared" ref="H8:H37" si="6">F8*0.84746</f>
        <v>175.42421999999999</v>
      </c>
      <c r="I8" s="51">
        <f t="shared" si="2"/>
        <v>350.84843999999998</v>
      </c>
      <c r="J8" s="39">
        <f>6830+6500</f>
        <v>13330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6306065</v>
      </c>
      <c r="C9" s="55">
        <f t="shared" si="0"/>
        <v>2973</v>
      </c>
      <c r="D9" s="48">
        <f t="shared" ref="D9:D37" si="7">C9*0.21186441</f>
        <v>629.87289093000004</v>
      </c>
      <c r="E9" s="49">
        <v>500090</v>
      </c>
      <c r="F9" s="56">
        <f t="shared" si="1"/>
        <v>215</v>
      </c>
      <c r="G9" s="45">
        <f t="shared" si="5"/>
        <v>182.2039</v>
      </c>
      <c r="H9" s="45">
        <f t="shared" si="6"/>
        <v>182.2039</v>
      </c>
      <c r="I9" s="51">
        <f t="shared" si="2"/>
        <v>364.40780000000001</v>
      </c>
      <c r="J9" s="39">
        <f>6830+6500</f>
        <v>13330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6309038</v>
      </c>
      <c r="C10" s="57">
        <f t="shared" si="0"/>
        <v>2851</v>
      </c>
      <c r="D10" s="48">
        <f t="shared" si="7"/>
        <v>604.02543291000006</v>
      </c>
      <c r="E10" s="49">
        <v>500305</v>
      </c>
      <c r="F10" s="58">
        <f t="shared" si="1"/>
        <v>177</v>
      </c>
      <c r="G10" s="50">
        <f t="shared" si="5"/>
        <v>150.00041999999999</v>
      </c>
      <c r="H10" s="50">
        <f t="shared" si="6"/>
        <v>150.00041999999999</v>
      </c>
      <c r="I10" s="51">
        <f t="shared" si="2"/>
        <v>300.00083999999998</v>
      </c>
      <c r="J10" s="39">
        <f>6830+6500</f>
        <v>13330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6311889</v>
      </c>
      <c r="C11" s="55">
        <f t="shared" si="0"/>
        <v>3029</v>
      </c>
      <c r="D11" s="48">
        <f t="shared" si="7"/>
        <v>641.73729789000004</v>
      </c>
      <c r="E11" s="49">
        <v>500482</v>
      </c>
      <c r="F11" s="56">
        <f t="shared" si="1"/>
        <v>150</v>
      </c>
      <c r="G11" s="45">
        <f t="shared" si="5"/>
        <v>127.119</v>
      </c>
      <c r="H11" s="45">
        <f t="shared" si="6"/>
        <v>127.119</v>
      </c>
      <c r="I11" s="51">
        <f t="shared" si="2"/>
        <v>254.238</v>
      </c>
      <c r="J11" s="39">
        <f>6830+6500</f>
        <v>13330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6314918</v>
      </c>
      <c r="C12" s="57">
        <f t="shared" si="0"/>
        <v>-6314918</v>
      </c>
      <c r="D12" s="48">
        <f t="shared" si="7"/>
        <v>-1337906.3762683801</v>
      </c>
      <c r="E12" s="49">
        <v>500632</v>
      </c>
      <c r="F12" s="58">
        <f t="shared" si="1"/>
        <v>-500632</v>
      </c>
      <c r="G12" s="50">
        <f t="shared" si="5"/>
        <v>-424265.59471999999</v>
      </c>
      <c r="H12" s="50">
        <f t="shared" si="6"/>
        <v>-424265.59471999999</v>
      </c>
      <c r="I12" s="51">
        <f t="shared" si="2"/>
        <v>-848531.18943999999</v>
      </c>
      <c r="J12" s="39">
        <f>6830+6500</f>
        <v>13330</v>
      </c>
      <c r="K12" s="40">
        <f t="shared" si="3"/>
        <v>13330</v>
      </c>
      <c r="L12" s="41">
        <f t="shared" si="4"/>
        <v>7864.7</v>
      </c>
    </row>
    <row r="13" spans="1:12" ht="32.450000000000003" customHeight="1">
      <c r="A13" s="42">
        <v>7</v>
      </c>
      <c r="B13" s="42"/>
      <c r="C13" s="55">
        <f t="shared" si="0"/>
        <v>0</v>
      </c>
      <c r="D13" s="48">
        <f t="shared" si="7"/>
        <v>0</v>
      </c>
      <c r="E13" s="49"/>
      <c r="F13" s="56">
        <f t="shared" si="1"/>
        <v>0</v>
      </c>
      <c r="G13" s="45">
        <f t="shared" si="5"/>
        <v>0</v>
      </c>
      <c r="H13" s="45">
        <f t="shared" si="6"/>
        <v>0</v>
      </c>
      <c r="I13" s="51">
        <f t="shared" si="2"/>
        <v>0</v>
      </c>
      <c r="J13" s="52"/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/>
      <c r="C14" s="57">
        <f t="shared" si="0"/>
        <v>0</v>
      </c>
      <c r="D14" s="48">
        <f t="shared" si="7"/>
        <v>0</v>
      </c>
      <c r="E14" s="49"/>
      <c r="F14" s="58">
        <f t="shared" si="1"/>
        <v>0</v>
      </c>
      <c r="G14" s="50">
        <f t="shared" si="5"/>
        <v>0</v>
      </c>
      <c r="H14" s="50">
        <f t="shared" si="6"/>
        <v>0</v>
      </c>
      <c r="I14" s="51">
        <f t="shared" si="2"/>
        <v>0</v>
      </c>
      <c r="J14" s="52"/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/>
      <c r="C15" s="55">
        <f t="shared" si="0"/>
        <v>0</v>
      </c>
      <c r="D15" s="48">
        <f t="shared" si="7"/>
        <v>0</v>
      </c>
      <c r="E15" s="49"/>
      <c r="F15" s="56">
        <f t="shared" si="1"/>
        <v>0</v>
      </c>
      <c r="G15" s="50">
        <f t="shared" si="5"/>
        <v>0</v>
      </c>
      <c r="H15" s="45">
        <f t="shared" si="6"/>
        <v>0</v>
      </c>
      <c r="I15" s="51">
        <f t="shared" si="2"/>
        <v>0</v>
      </c>
      <c r="J15" s="52"/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/>
      <c r="C16" s="57">
        <f t="shared" si="0"/>
        <v>0</v>
      </c>
      <c r="D16" s="48">
        <f t="shared" si="7"/>
        <v>0</v>
      </c>
      <c r="E16" s="49"/>
      <c r="F16" s="58">
        <f t="shared" si="1"/>
        <v>0</v>
      </c>
      <c r="G16" s="50">
        <f t="shared" si="5"/>
        <v>0</v>
      </c>
      <c r="H16" s="50">
        <f t="shared" si="6"/>
        <v>0</v>
      </c>
      <c r="I16" s="51">
        <f t="shared" si="2"/>
        <v>0</v>
      </c>
      <c r="J16" s="52"/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/>
      <c r="C17" s="55">
        <f>B18-B17</f>
        <v>0</v>
      </c>
      <c r="D17" s="48">
        <f t="shared" si="7"/>
        <v>0</v>
      </c>
      <c r="E17" s="49"/>
      <c r="F17" s="56">
        <f>E18-E17</f>
        <v>0</v>
      </c>
      <c r="G17" s="45">
        <f t="shared" si="5"/>
        <v>0</v>
      </c>
      <c r="H17" s="45">
        <f t="shared" si="6"/>
        <v>0</v>
      </c>
      <c r="I17" s="51">
        <f t="shared" si="2"/>
        <v>0</v>
      </c>
      <c r="J17" s="52"/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/>
      <c r="C18" s="57">
        <f t="shared" ref="C18:C36" si="8">B19-B18</f>
        <v>0</v>
      </c>
      <c r="D18" s="48">
        <f t="shared" si="7"/>
        <v>0</v>
      </c>
      <c r="E18" s="49"/>
      <c r="F18" s="58">
        <f t="shared" ref="F18:F36" si="9">E19-E18</f>
        <v>0</v>
      </c>
      <c r="G18" s="50">
        <f t="shared" si="5"/>
        <v>0</v>
      </c>
      <c r="H18" s="50">
        <f t="shared" si="6"/>
        <v>0</v>
      </c>
      <c r="I18" s="51">
        <f t="shared" si="2"/>
        <v>0</v>
      </c>
      <c r="J18" s="52"/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/>
      <c r="C19" s="55">
        <f t="shared" si="8"/>
        <v>0</v>
      </c>
      <c r="D19" s="48">
        <f t="shared" si="7"/>
        <v>0</v>
      </c>
      <c r="E19" s="53"/>
      <c r="F19" s="56">
        <f t="shared" si="9"/>
        <v>0</v>
      </c>
      <c r="G19" s="45">
        <f t="shared" si="5"/>
        <v>0</v>
      </c>
      <c r="H19" s="45">
        <f t="shared" si="6"/>
        <v>0</v>
      </c>
      <c r="I19" s="51">
        <f t="shared" si="2"/>
        <v>0</v>
      </c>
      <c r="J19" s="52"/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/>
      <c r="C20" s="57">
        <f t="shared" si="8"/>
        <v>0</v>
      </c>
      <c r="D20" s="48">
        <f t="shared" si="7"/>
        <v>0</v>
      </c>
      <c r="E20" s="54"/>
      <c r="F20" s="58">
        <f t="shared" si="9"/>
        <v>0</v>
      </c>
      <c r="G20" s="50">
        <f t="shared" si="5"/>
        <v>0</v>
      </c>
      <c r="H20" s="50">
        <f t="shared" si="6"/>
        <v>0</v>
      </c>
      <c r="I20" s="51">
        <f t="shared" si="2"/>
        <v>0</v>
      </c>
      <c r="J20" s="52"/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/>
      <c r="C21" s="55">
        <f t="shared" si="8"/>
        <v>0</v>
      </c>
      <c r="D21" s="48">
        <f t="shared" si="7"/>
        <v>0</v>
      </c>
      <c r="E21" s="53"/>
      <c r="F21" s="56">
        <f t="shared" si="9"/>
        <v>0</v>
      </c>
      <c r="G21" s="45">
        <f t="shared" si="5"/>
        <v>0</v>
      </c>
      <c r="H21" s="45">
        <f t="shared" si="6"/>
        <v>0</v>
      </c>
      <c r="I21" s="51">
        <f t="shared" si="2"/>
        <v>0</v>
      </c>
      <c r="J21" s="52"/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3"/>
      <c r="C22" s="57">
        <f t="shared" si="8"/>
        <v>0</v>
      </c>
      <c r="D22" s="48">
        <f t="shared" si="7"/>
        <v>0</v>
      </c>
      <c r="E22" s="104"/>
      <c r="F22" s="58">
        <f t="shared" si="9"/>
        <v>0</v>
      </c>
      <c r="G22" s="50">
        <f t="shared" si="5"/>
        <v>0</v>
      </c>
      <c r="H22" s="50">
        <f t="shared" si="6"/>
        <v>0</v>
      </c>
      <c r="I22" s="51">
        <f t="shared" si="2"/>
        <v>0</v>
      </c>
      <c r="J22" s="105"/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/>
      <c r="C23" s="55">
        <f t="shared" si="8"/>
        <v>0</v>
      </c>
      <c r="D23" s="48">
        <f t="shared" si="7"/>
        <v>0</v>
      </c>
      <c r="E23" s="54"/>
      <c r="F23" s="56">
        <f t="shared" si="9"/>
        <v>0</v>
      </c>
      <c r="G23" s="45">
        <f t="shared" si="5"/>
        <v>0</v>
      </c>
      <c r="H23" s="45">
        <f t="shared" si="6"/>
        <v>0</v>
      </c>
      <c r="I23" s="51">
        <f t="shared" si="2"/>
        <v>0</v>
      </c>
      <c r="J23" s="52"/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/>
      <c r="C24" s="57">
        <f t="shared" si="8"/>
        <v>0</v>
      </c>
      <c r="D24" s="48">
        <f t="shared" si="7"/>
        <v>0</v>
      </c>
      <c r="E24" s="54"/>
      <c r="F24" s="58">
        <f t="shared" si="9"/>
        <v>0</v>
      </c>
      <c r="G24" s="50">
        <f t="shared" si="5"/>
        <v>0</v>
      </c>
      <c r="H24" s="50">
        <f t="shared" si="6"/>
        <v>0</v>
      </c>
      <c r="I24" s="51">
        <f t="shared" si="2"/>
        <v>0</v>
      </c>
      <c r="J24" s="52"/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/>
      <c r="C25" s="55">
        <f t="shared" si="8"/>
        <v>0</v>
      </c>
      <c r="D25" s="48">
        <f t="shared" si="7"/>
        <v>0</v>
      </c>
      <c r="E25" s="54"/>
      <c r="F25" s="56">
        <f t="shared" si="9"/>
        <v>0</v>
      </c>
      <c r="G25" s="45">
        <f t="shared" si="5"/>
        <v>0</v>
      </c>
      <c r="H25" s="45">
        <f t="shared" si="6"/>
        <v>0</v>
      </c>
      <c r="I25" s="51">
        <f t="shared" si="2"/>
        <v>0</v>
      </c>
      <c r="J25" s="52"/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/>
      <c r="C26" s="57">
        <f t="shared" si="8"/>
        <v>0</v>
      </c>
      <c r="D26" s="48">
        <f t="shared" si="7"/>
        <v>0</v>
      </c>
      <c r="E26" s="54"/>
      <c r="F26" s="58">
        <f t="shared" si="9"/>
        <v>0</v>
      </c>
      <c r="G26" s="50">
        <f t="shared" si="5"/>
        <v>0</v>
      </c>
      <c r="H26" s="50">
        <f t="shared" si="6"/>
        <v>0</v>
      </c>
      <c r="I26" s="51">
        <f t="shared" si="2"/>
        <v>0</v>
      </c>
      <c r="J26" s="52"/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/>
      <c r="C27" s="55">
        <f t="shared" si="8"/>
        <v>0</v>
      </c>
      <c r="D27" s="48">
        <f t="shared" si="7"/>
        <v>0</v>
      </c>
      <c r="E27" s="54"/>
      <c r="F27" s="56">
        <f t="shared" si="9"/>
        <v>0</v>
      </c>
      <c r="G27" s="45">
        <f t="shared" si="5"/>
        <v>0</v>
      </c>
      <c r="H27" s="45">
        <f t="shared" si="6"/>
        <v>0</v>
      </c>
      <c r="I27" s="51">
        <f t="shared" si="2"/>
        <v>0</v>
      </c>
      <c r="J27" s="52"/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/>
      <c r="C28" s="57">
        <f t="shared" si="8"/>
        <v>0</v>
      </c>
      <c r="D28" s="48">
        <f t="shared" si="7"/>
        <v>0</v>
      </c>
      <c r="E28" s="54"/>
      <c r="F28" s="58">
        <f t="shared" si="9"/>
        <v>0</v>
      </c>
      <c r="G28" s="50">
        <f t="shared" si="5"/>
        <v>0</v>
      </c>
      <c r="H28" s="50">
        <f t="shared" si="6"/>
        <v>0</v>
      </c>
      <c r="I28" s="51">
        <f t="shared" si="2"/>
        <v>0</v>
      </c>
      <c r="J28" s="52"/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/>
      <c r="C29" s="55">
        <f t="shared" si="8"/>
        <v>0</v>
      </c>
      <c r="D29" s="48">
        <f t="shared" si="7"/>
        <v>0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21">
        <v>31</v>
      </c>
      <c r="B37" s="121"/>
      <c r="C37" s="122">
        <f t="shared" ref="C37" si="10">B38-B37</f>
        <v>0</v>
      </c>
      <c r="D37" s="123">
        <f t="shared" si="7"/>
        <v>0</v>
      </c>
      <c r="E37" s="124"/>
      <c r="F37" s="122">
        <f t="shared" ref="F37" si="11">E38-E37</f>
        <v>0</v>
      </c>
      <c r="G37" s="125">
        <f t="shared" ref="G37" si="12">F37*0.84746</f>
        <v>0</v>
      </c>
      <c r="H37" s="125">
        <f t="shared" ref="H37" si="13">F37*0.84746</f>
        <v>0</v>
      </c>
      <c r="I37" s="126">
        <f t="shared" ref="I37" si="14">G37+H37</f>
        <v>0</v>
      </c>
      <c r="J37" s="127"/>
      <c r="K37" s="128">
        <f t="shared" ref="K37" si="15">J37-J38</f>
        <v>0</v>
      </c>
      <c r="L37" s="129">
        <f t="shared" ref="L37" si="16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2021-12-07T05:49:22Z</dcterms:modified>
  <cp:category/>
  <cp:contentStatus/>
</cp:coreProperties>
</file>