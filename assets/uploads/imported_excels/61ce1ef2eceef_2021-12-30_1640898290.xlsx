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2" i="9" l="1"/>
  <c r="Q32" i="9"/>
  <c r="P29" i="9"/>
  <c r="P30" i="9"/>
  <c r="P32" i="9"/>
  <c r="O32" i="9"/>
  <c r="M32" i="9"/>
  <c r="L32" i="9"/>
  <c r="K32" i="9"/>
  <c r="J32" i="9"/>
  <c r="I32" i="9"/>
  <c r="H32" i="9"/>
  <c r="G32" i="9"/>
  <c r="F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W36" i="7" l="1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<sst xmlns="http://schemas.openxmlformats.org/spreadsheetml/2006/main" count="128" uniqueCount="49">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</sst>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52580</v>
      </c>
      <c r="F10" s="11">
        <v>5.0000000000000001E-3</v>
      </c>
      <c r="G10" s="12">
        <f>Submetering!R10</f>
        <v>715.82103099999995</v>
      </c>
      <c r="H10" s="11">
        <v>0.52800000000000002</v>
      </c>
      <c r="I10" s="12">
        <f>Hotel!B15</f>
        <v>181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54390</v>
      </c>
      <c r="F11" s="11">
        <v>5.0000000000000001E-3</v>
      </c>
      <c r="G11" s="12">
        <f>Submetering!R11</f>
        <v>658.28279900000007</v>
      </c>
      <c r="H11" s="11">
        <v>0.52800000000000002</v>
      </c>
      <c r="I11" s="12">
        <f>Hotel!B16</f>
        <v>220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52920</v>
      </c>
      <c r="F12" s="11">
        <v>5.0000000000000001E-3</v>
      </c>
      <c r="G12" s="12">
        <f>Submetering!R12</f>
        <v>795.69318199999998</v>
      </c>
      <c r="H12" s="11">
        <v>0.52800000000000002</v>
      </c>
      <c r="I12" s="12">
        <f>Hotel!B17</f>
        <v>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52670</v>
      </c>
      <c r="F13" s="11">
        <v>5.0000000000000001E-3</v>
      </c>
      <c r="G13" s="12">
        <f>Submetering!R13</f>
        <v>764.27427899999998</v>
      </c>
      <c r="H13" s="11">
        <v>0.52800000000000002</v>
      </c>
      <c r="I13" s="12">
        <f>Hotel!B18</f>
        <v>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49785</v>
      </c>
      <c r="F14" s="11">
        <v>5.0000000000000001E-3</v>
      </c>
      <c r="G14" s="12">
        <f>Submetering!R14</f>
        <v>741.18327799999997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52115</v>
      </c>
      <c r="F15" s="11">
        <v>5.0000000000000001E-3</v>
      </c>
      <c r="G15" s="12">
        <f>Submetering!R15</f>
        <v>434.56506800000005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49530</v>
      </c>
      <c r="F16" s="11">
        <v>5.0000000000000001E-3</v>
      </c>
      <c r="G16" s="12">
        <f>Submetering!R16</f>
        <v>862.69493899999998</v>
      </c>
      <c r="H16" s="11">
        <v>0.52800000000000002</v>
      </c>
      <c r="I16" s="12">
        <f>Hotel!B21</f>
        <v>103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51840</v>
      </c>
      <c r="F17" s="11">
        <v>5.0000000000000001E-3</v>
      </c>
      <c r="G17" s="12">
        <f>Submetering!R17</f>
        <v>408.06719800000002</v>
      </c>
      <c r="H17" s="11">
        <v>0.52800000000000002</v>
      </c>
      <c r="I17" s="12">
        <f>Hotel!B22</f>
        <v>142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52660</v>
      </c>
      <c r="F18" s="11">
        <v>5.0000000000000001E-3</v>
      </c>
      <c r="G18" s="12">
        <f>Submetering!R18</f>
        <v>791.90777200000002</v>
      </c>
      <c r="H18" s="11">
        <v>0.52800000000000002</v>
      </c>
      <c r="I18" s="12">
        <f>Hotel!B23</f>
        <v>152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49350</v>
      </c>
      <c r="F19" s="11">
        <v>5.0000000000000001E-3</v>
      </c>
      <c r="G19" s="12">
        <f>Submetering!R19</f>
        <v>631.40638799999999</v>
      </c>
      <c r="H19" s="11">
        <v>0.52800000000000002</v>
      </c>
      <c r="I19" s="12">
        <f>Hotel!B24</f>
        <v>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50390</v>
      </c>
      <c r="F20" s="11">
        <v>5.0000000000000001E-3</v>
      </c>
      <c r="G20" s="12">
        <f>Submetering!R20</f>
        <v>764.27427899999998</v>
      </c>
      <c r="H20" s="11">
        <v>0.52800000000000002</v>
      </c>
      <c r="I20" s="12">
        <f>Hotel!B25</f>
        <v>89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49640</v>
      </c>
      <c r="F21" s="11">
        <v>5.0000000000000001E-3</v>
      </c>
      <c r="G21" s="12">
        <f>Submetering!R21</f>
        <v>824.84083899999996</v>
      </c>
      <c r="H21" s="11">
        <v>0.52800000000000002</v>
      </c>
      <c r="I21" s="12">
        <f>Hotel!B26</f>
        <v>90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52390</v>
      </c>
      <c r="F22" s="11">
        <v>5.0000000000000001E-3</v>
      </c>
      <c r="G22" s="12">
        <f>Submetering!R22</f>
        <v>1077.3276859999999</v>
      </c>
      <c r="H22" s="11">
        <v>0.52800000000000002</v>
      </c>
      <c r="I22" s="12">
        <f>Hotel!B27</f>
        <v>104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50120</v>
      </c>
      <c r="F23" s="11">
        <v>5.0000000000000001E-3</v>
      </c>
      <c r="G23" s="12">
        <f>Submetering!R23</f>
        <v>1159.4710830000001</v>
      </c>
      <c r="H23" s="11">
        <v>0.52800000000000002</v>
      </c>
      <c r="I23" s="12">
        <f>Hotel!B28</f>
        <v>114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53670</v>
      </c>
      <c r="F24" s="11">
        <v>5.0000000000000001E-3</v>
      </c>
      <c r="G24" s="12">
        <f>Submetering!R24</f>
        <v>570.08274600000004</v>
      </c>
      <c r="H24" s="11">
        <v>0.52800000000000002</v>
      </c>
      <c r="I24" s="12">
        <f>Hotel!B29</f>
        <v>179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55240</v>
      </c>
      <c r="F25" s="11">
        <v>5.0000000000000001E-3</v>
      </c>
      <c r="G25" s="12">
        <f>Submetering!R25</f>
        <v>784.71549299999992</v>
      </c>
      <c r="H25" s="11">
        <v>0.52800000000000002</v>
      </c>
      <c r="I25" s="12">
        <f>Hotel!B30</f>
        <v>185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58540</v>
      </c>
      <c r="F26" s="11">
        <v>5.0000000000000001E-3</v>
      </c>
      <c r="G26" s="12">
        <f>Submetering!R26</f>
        <v>528.821777</v>
      </c>
      <c r="H26" s="11">
        <v>0.52800000000000002</v>
      </c>
      <c r="I26" s="12">
        <f>Hotel!B31</f>
        <v>112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54860</v>
      </c>
      <c r="F27" s="11">
        <v>5.0000000000000001E-3</v>
      </c>
      <c r="G27" s="12">
        <f>Submetering!R27</f>
        <v>536.01405599999998</v>
      </c>
      <c r="H27" s="11">
        <v>0.52800000000000002</v>
      </c>
      <c r="I27" s="12">
        <f>Hotel!B32</f>
        <v>95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60820</v>
      </c>
      <c r="F28" s="11">
        <v>5.0000000000000001E-3</v>
      </c>
      <c r="G28" s="12">
        <f>Submetering!R28</f>
        <v>665.09653700000001</v>
      </c>
      <c r="H28" s="11">
        <v>0.52800000000000002</v>
      </c>
      <c r="I28" s="12">
        <f>Hotel!B33</f>
        <v>91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45000</v>
      </c>
      <c r="F29" s="11">
        <v>5.0000000000000001E-3</v>
      </c>
      <c r="G29" s="12">
        <f>Submetering!R29</f>
        <v>646.92656899999997</v>
      </c>
      <c r="H29" s="11">
        <v>0.52800000000000002</v>
      </c>
      <c r="I29" s="12">
        <f>Hotel!B34</f>
        <v>85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48720</v>
      </c>
      <c r="F30" s="11">
        <v>5.0000000000000001E-3</v>
      </c>
      <c r="G30" s="12">
        <f>Submetering!R30</f>
        <v>613.99350200000003</v>
      </c>
      <c r="H30" s="11">
        <v>0.52800000000000002</v>
      </c>
      <c r="I30" s="12">
        <f>Hotel!B35</f>
        <v>99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580</v>
      </c>
      <c r="F10" s="4">
        <f>Hotel!R15</f>
        <v>1850</v>
      </c>
      <c r="G10" s="4">
        <f>Hotel!S15</f>
        <v>2920</v>
      </c>
      <c r="H10" s="4">
        <f>Hotel!T15</f>
        <v>1390</v>
      </c>
      <c r="I10" s="4">
        <f>Hotel!U15</f>
        <v>4800</v>
      </c>
      <c r="J10" s="4">
        <f>Hotel!V15</f>
        <v>3950</v>
      </c>
      <c r="K10" s="4">
        <f>Hotel!W15</f>
        <v>2690</v>
      </c>
      <c r="L10" s="4">
        <f>Hotel!X15</f>
        <v>4740</v>
      </c>
      <c r="M10" s="4">
        <f>Hotel!Y15</f>
        <v>6110</v>
      </c>
      <c r="N10" s="4">
        <f>Hotel!Z15</f>
        <v>2830</v>
      </c>
      <c r="O10" s="4">
        <f>Hotel!AA15</f>
        <v>3440</v>
      </c>
      <c r="P10" s="4">
        <f>Hotel!AB15</f>
        <v>7310</v>
      </c>
      <c r="Q10" s="4">
        <f>Hotel!AC15</f>
        <v>9970</v>
      </c>
      <c r="R10" s="4">
        <f>Hotel!AV15*0.00378541*100</f>
        <v>715.82103099999995</v>
      </c>
      <c r="S10" s="4">
        <f>Hotel!B15</f>
        <v>181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590</v>
      </c>
      <c r="F11" s="4">
        <f>Hotel!R16</f>
        <v>1890</v>
      </c>
      <c r="G11" s="4">
        <f>Hotel!S16</f>
        <v>2780</v>
      </c>
      <c r="H11" s="4">
        <f>Hotel!T16</f>
        <v>1420</v>
      </c>
      <c r="I11" s="4">
        <f>Hotel!U16</f>
        <v>5130</v>
      </c>
      <c r="J11" s="4">
        <f>Hotel!V16</f>
        <v>4310</v>
      </c>
      <c r="K11" s="4">
        <f>Hotel!W16</f>
        <v>2490</v>
      </c>
      <c r="L11" s="4">
        <f>Hotel!X16</f>
        <v>4960</v>
      </c>
      <c r="M11" s="4">
        <f>Hotel!Y16</f>
        <v>6500</v>
      </c>
      <c r="N11" s="4">
        <f>Hotel!Z16</f>
        <v>2930</v>
      </c>
      <c r="O11" s="4">
        <f>Hotel!AA16</f>
        <v>3520</v>
      </c>
      <c r="P11" s="4">
        <f>Hotel!AB16</f>
        <v>7250</v>
      </c>
      <c r="Q11" s="4">
        <f>Hotel!AC16</f>
        <v>10620</v>
      </c>
      <c r="R11" s="4">
        <f>Hotel!AV16*0.00378541*100</f>
        <v>658.28279900000007</v>
      </c>
      <c r="S11" s="4">
        <f>Hotel!B16</f>
        <v>220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580</v>
      </c>
      <c r="F12" s="4">
        <f>Hotel!R17</f>
        <v>1850</v>
      </c>
      <c r="G12" s="4">
        <f>Hotel!S17</f>
        <v>2630</v>
      </c>
      <c r="H12" s="4">
        <f>Hotel!T17</f>
        <v>1390</v>
      </c>
      <c r="I12" s="4">
        <f>Hotel!U17</f>
        <v>4890</v>
      </c>
      <c r="J12" s="4">
        <f>Hotel!V17</f>
        <v>4020</v>
      </c>
      <c r="K12" s="4">
        <f>Hotel!W17</f>
        <v>2510</v>
      </c>
      <c r="L12" s="4">
        <f>Hotel!X17</f>
        <v>4980</v>
      </c>
      <c r="M12" s="4">
        <f>Hotel!Y17</f>
        <v>6360</v>
      </c>
      <c r="N12" s="4">
        <f>Hotel!Z17</f>
        <v>2690</v>
      </c>
      <c r="O12" s="4">
        <f>Hotel!AA17</f>
        <v>3220</v>
      </c>
      <c r="P12" s="4">
        <f>Hotel!AB17</f>
        <v>7140</v>
      </c>
      <c r="Q12" s="4">
        <f>Hotel!AC17</f>
        <v>10660</v>
      </c>
      <c r="R12" s="4">
        <f>Hotel!AV17*0.00378541*100</f>
        <v>795.69318199999998</v>
      </c>
      <c r="S12" s="4">
        <f>Hotel!B17</f>
        <v>90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600</v>
      </c>
      <c r="F13" s="4">
        <f>Hotel!R18</f>
        <v>1940</v>
      </c>
      <c r="G13" s="4">
        <f>Hotel!S18</f>
        <v>2610</v>
      </c>
      <c r="H13" s="4">
        <f>Hotel!T18</f>
        <v>1410</v>
      </c>
      <c r="I13" s="4">
        <f>Hotel!U18</f>
        <v>5080</v>
      </c>
      <c r="J13" s="4">
        <f>Hotel!V18</f>
        <v>4230</v>
      </c>
      <c r="K13" s="4">
        <f>Hotel!W18</f>
        <v>2710</v>
      </c>
      <c r="L13" s="4">
        <f>Hotel!X18</f>
        <v>4860</v>
      </c>
      <c r="M13" s="4">
        <f>Hotel!Y18</f>
        <v>6360</v>
      </c>
      <c r="N13" s="4">
        <f>Hotel!Z18</f>
        <v>2570</v>
      </c>
      <c r="O13" s="4">
        <f>Hotel!AA18</f>
        <v>3370</v>
      </c>
      <c r="P13" s="4">
        <f>Hotel!AB18</f>
        <v>7330</v>
      </c>
      <c r="Q13" s="4">
        <f>Hotel!AC18</f>
        <v>9600</v>
      </c>
      <c r="R13" s="4">
        <f>Hotel!AV18*0.00378541*100</f>
        <v>764.27427899999998</v>
      </c>
      <c r="S13" s="4">
        <f>Hotel!B18</f>
        <v>95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570</v>
      </c>
      <c r="F14" s="4">
        <f>Hotel!R19</f>
        <v>1810</v>
      </c>
      <c r="G14" s="4">
        <f>Hotel!S19</f>
        <v>2440</v>
      </c>
      <c r="H14" s="4">
        <f>Hotel!T19</f>
        <v>1330</v>
      </c>
      <c r="I14" s="4">
        <f>Hotel!U19</f>
        <v>4640</v>
      </c>
      <c r="J14" s="4">
        <f>Hotel!V19</f>
        <v>3920</v>
      </c>
      <c r="K14" s="4">
        <f>Hotel!W19</f>
        <v>2350</v>
      </c>
      <c r="L14" s="4">
        <f>Hotel!X19</f>
        <v>5130</v>
      </c>
      <c r="M14" s="4">
        <f>Hotel!Y19</f>
        <v>6014</v>
      </c>
      <c r="N14" s="4">
        <f>Hotel!Z19</f>
        <v>2430</v>
      </c>
      <c r="O14" s="4">
        <f>Hotel!AA19</f>
        <v>3140</v>
      </c>
      <c r="P14" s="4">
        <f>Hotel!AB19</f>
        <v>6820</v>
      </c>
      <c r="Q14" s="4">
        <f>Hotel!AC19</f>
        <v>9191</v>
      </c>
      <c r="R14" s="4">
        <f>Hotel!AV19*0.00378541*100</f>
        <v>741.18327799999997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620</v>
      </c>
      <c r="F15" s="4">
        <f>Hotel!R20</f>
        <v>1990</v>
      </c>
      <c r="G15" s="4">
        <f>Hotel!S20</f>
        <v>2380</v>
      </c>
      <c r="H15" s="4">
        <f>Hotel!T20</f>
        <v>1460</v>
      </c>
      <c r="I15" s="4">
        <f>Hotel!U20</f>
        <v>4740</v>
      </c>
      <c r="J15" s="4">
        <f>Hotel!V20</f>
        <v>4240</v>
      </c>
      <c r="K15" s="4">
        <f>Hotel!W20</f>
        <v>2530</v>
      </c>
      <c r="L15" s="4">
        <f>Hotel!X20</f>
        <v>5040</v>
      </c>
      <c r="M15" s="4">
        <f>Hotel!Y20</f>
        <v>6506</v>
      </c>
      <c r="N15" s="4">
        <f>Hotel!Z20</f>
        <v>2570</v>
      </c>
      <c r="O15" s="4">
        <f>Hotel!AA20</f>
        <v>3080</v>
      </c>
      <c r="P15" s="4">
        <f>Hotel!AB20</f>
        <v>7400</v>
      </c>
      <c r="Q15" s="4">
        <f>Hotel!AC20</f>
        <v>9559</v>
      </c>
      <c r="R15" s="4">
        <f>Hotel!AV20*0.00378541*100</f>
        <v>434.56506800000005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570</v>
      </c>
      <c r="F16" s="4">
        <f>Hotel!R21</f>
        <v>1840</v>
      </c>
      <c r="G16" s="4">
        <f>Hotel!S21</f>
        <v>2690</v>
      </c>
      <c r="H16" s="4">
        <f>Hotel!T21</f>
        <v>1360</v>
      </c>
      <c r="I16" s="4">
        <f>Hotel!U21</f>
        <v>4710</v>
      </c>
      <c r="J16" s="4">
        <f>Hotel!V21</f>
        <v>4180</v>
      </c>
      <c r="K16" s="4">
        <f>Hotel!W21</f>
        <v>2410</v>
      </c>
      <c r="L16" s="4">
        <f>Hotel!X21</f>
        <v>4560</v>
      </c>
      <c r="M16" s="4">
        <f>Hotel!Y21</f>
        <v>6020</v>
      </c>
      <c r="N16" s="4">
        <f>Hotel!Z21</f>
        <v>2450</v>
      </c>
      <c r="O16" s="4">
        <f>Hotel!AA21</f>
        <v>2940</v>
      </c>
      <c r="P16" s="4">
        <f>Hotel!AB21</f>
        <v>6850</v>
      </c>
      <c r="Q16" s="4">
        <f>Hotel!AC21</f>
        <v>8950</v>
      </c>
      <c r="R16" s="4">
        <f>Hotel!AV21*0.00378541*100</f>
        <v>862.69493899999998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600</v>
      </c>
      <c r="F17" s="4">
        <f>Hotel!R22</f>
        <v>1900</v>
      </c>
      <c r="G17" s="4">
        <f>Hotel!S22</f>
        <v>3030</v>
      </c>
      <c r="H17" s="4">
        <f>Hotel!T22</f>
        <v>1420</v>
      </c>
      <c r="I17" s="4">
        <f>Hotel!U22</f>
        <v>4980</v>
      </c>
      <c r="J17" s="4">
        <f>Hotel!V22</f>
        <v>4200</v>
      </c>
      <c r="K17" s="4">
        <f>Hotel!W22</f>
        <v>2540</v>
      </c>
      <c r="L17" s="4">
        <f>Hotel!X22</f>
        <v>4610</v>
      </c>
      <c r="M17" s="4">
        <f>Hotel!Y22</f>
        <v>6320</v>
      </c>
      <c r="N17" s="4">
        <f>Hotel!Z22</f>
        <v>2640</v>
      </c>
      <c r="O17" s="4">
        <f>Hotel!AA22</f>
        <v>3270</v>
      </c>
      <c r="P17" s="4">
        <f>Hotel!AB22</f>
        <v>7210</v>
      </c>
      <c r="Q17" s="4">
        <f>Hotel!AC22</f>
        <v>9120</v>
      </c>
      <c r="R17" s="4">
        <f>Hotel!AV22*0.00378541*100</f>
        <v>408.06719800000002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570</v>
      </c>
      <c r="F18" s="4">
        <f>Hotel!R23</f>
        <v>1820</v>
      </c>
      <c r="G18" s="4">
        <f>Hotel!S23</f>
        <v>2950</v>
      </c>
      <c r="H18" s="4">
        <f>Hotel!T23</f>
        <v>1370</v>
      </c>
      <c r="I18" s="4">
        <f>Hotel!U23</f>
        <v>5060</v>
      </c>
      <c r="J18" s="4">
        <f>Hotel!V23</f>
        <v>4040</v>
      </c>
      <c r="K18" s="4">
        <f>Hotel!W23</f>
        <v>2410</v>
      </c>
      <c r="L18" s="4">
        <f>Hotel!X23</f>
        <v>4630</v>
      </c>
      <c r="M18" s="4">
        <f>Hotel!Y23</f>
        <v>8600</v>
      </c>
      <c r="N18" s="4">
        <f>Hotel!Z23</f>
        <v>2720</v>
      </c>
      <c r="O18" s="4">
        <f>Hotel!AA23</f>
        <v>3160</v>
      </c>
      <c r="P18" s="4">
        <f>Hotel!AB23</f>
        <v>6980</v>
      </c>
      <c r="Q18" s="4">
        <f>Hotel!AC23</f>
        <v>8350</v>
      </c>
      <c r="R18" s="4">
        <f>Hotel!AV23*0.00378541*100</f>
        <v>791.90777200000002</v>
      </c>
      <c r="S18" s="4">
        <f>Hotel!B23</f>
        <v>152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600</v>
      </c>
      <c r="F19" s="4">
        <f>Hotel!R24</f>
        <v>1920</v>
      </c>
      <c r="G19" s="4">
        <f>Hotel!S24</f>
        <v>2940</v>
      </c>
      <c r="H19" s="4">
        <f>Hotel!T24</f>
        <v>1440</v>
      </c>
      <c r="I19" s="4">
        <f>Hotel!U24</f>
        <v>5140</v>
      </c>
      <c r="J19" s="4">
        <f>Hotel!V24</f>
        <v>4300</v>
      </c>
      <c r="K19" s="4">
        <f>Hotel!W24</f>
        <v>2510</v>
      </c>
      <c r="L19" s="4">
        <f>Hotel!X24</f>
        <v>4840</v>
      </c>
      <c r="M19" s="4">
        <f>Hotel!Y24</f>
        <v>3130</v>
      </c>
      <c r="N19" s="4">
        <f>Hotel!Z24</f>
        <v>2780</v>
      </c>
      <c r="O19" s="4">
        <f>Hotel!AA24</f>
        <v>3370</v>
      </c>
      <c r="P19" s="4">
        <f>Hotel!AB24</f>
        <v>7470</v>
      </c>
      <c r="Q19" s="4">
        <f>Hotel!AC24</f>
        <v>8910</v>
      </c>
      <c r="R19" s="4">
        <f>Hotel!AV24*0.00378541*100</f>
        <v>631.40638799999999</v>
      </c>
      <c r="S19" s="4">
        <f>Hotel!B24</f>
        <v>95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580</v>
      </c>
      <c r="F20" s="4">
        <f>Hotel!R25</f>
        <v>1860</v>
      </c>
      <c r="G20" s="4">
        <f>Hotel!S25</f>
        <v>2730</v>
      </c>
      <c r="H20" s="4">
        <f>Hotel!T25</f>
        <v>1390</v>
      </c>
      <c r="I20" s="4">
        <f>Hotel!U25</f>
        <v>4610</v>
      </c>
      <c r="J20" s="4">
        <f>Hotel!V25</f>
        <v>4050</v>
      </c>
      <c r="K20" s="4">
        <f>Hotel!W25</f>
        <v>2420</v>
      </c>
      <c r="L20" s="4">
        <f>Hotel!X25</f>
        <v>4320</v>
      </c>
      <c r="M20" s="4">
        <f>Hotel!Y25</f>
        <v>5150</v>
      </c>
      <c r="N20" s="4">
        <f>Hotel!Z25</f>
        <v>2510</v>
      </c>
      <c r="O20" s="4">
        <f>Hotel!AA25</f>
        <v>3190</v>
      </c>
      <c r="P20" s="4">
        <f>Hotel!AB25</f>
        <v>7090</v>
      </c>
      <c r="Q20" s="4">
        <f>Hotel!AC25</f>
        <v>10490</v>
      </c>
      <c r="R20" s="4">
        <f>Hotel!AV25*0.00378541*100</f>
        <v>764.27427899999998</v>
      </c>
      <c r="S20" s="4">
        <f>Hotel!B25</f>
        <v>89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570</v>
      </c>
      <c r="F21" s="4">
        <f>Hotel!R26</f>
        <v>1840</v>
      </c>
      <c r="G21" s="4">
        <f>Hotel!S26</f>
        <v>2880</v>
      </c>
      <c r="H21" s="4">
        <f>Hotel!T26</f>
        <v>1370</v>
      </c>
      <c r="I21" s="4">
        <f>Hotel!U26</f>
        <v>4530</v>
      </c>
      <c r="J21" s="4">
        <f>Hotel!V26</f>
        <v>3800</v>
      </c>
      <c r="K21" s="4">
        <f>Hotel!W26</f>
        <v>2320</v>
      </c>
      <c r="L21" s="4">
        <f>Hotel!X26</f>
        <v>4570</v>
      </c>
      <c r="M21" s="4">
        <f>Hotel!Y26</f>
        <v>5310</v>
      </c>
      <c r="N21" s="4">
        <f>Hotel!Z26</f>
        <v>2420</v>
      </c>
      <c r="O21" s="4">
        <f>Hotel!AA26</f>
        <v>3020</v>
      </c>
      <c r="P21" s="4">
        <f>Hotel!AB26</f>
        <v>7110</v>
      </c>
      <c r="Q21" s="4">
        <f>Hotel!AC26</f>
        <v>9900</v>
      </c>
      <c r="R21" s="4">
        <f>Hotel!AV26*0.00378541*100</f>
        <v>824.84083899999996</v>
      </c>
      <c r="S21" s="4">
        <f>Hotel!B26</f>
        <v>90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610</v>
      </c>
      <c r="F22" s="4">
        <f>Hotel!R27</f>
        <v>1950</v>
      </c>
      <c r="G22" s="4">
        <f>Hotel!S27</f>
        <v>2710</v>
      </c>
      <c r="H22" s="4">
        <f>Hotel!T27</f>
        <v>1450</v>
      </c>
      <c r="I22" s="4">
        <f>Hotel!U27</f>
        <v>5050</v>
      </c>
      <c r="J22" s="4">
        <f>Hotel!V27</f>
        <v>4060</v>
      </c>
      <c r="K22" s="4">
        <f>Hotel!W27</f>
        <v>2510</v>
      </c>
      <c r="L22" s="4">
        <f>Hotel!X27</f>
        <v>4990</v>
      </c>
      <c r="M22" s="4">
        <f>Hotel!Y27</f>
        <v>5600</v>
      </c>
      <c r="N22" s="4">
        <f>Hotel!Z27</f>
        <v>2640</v>
      </c>
      <c r="O22" s="4">
        <f>Hotel!AA27</f>
        <v>3150</v>
      </c>
      <c r="P22" s="4">
        <f>Hotel!AB27</f>
        <v>7500</v>
      </c>
      <c r="Q22" s="4">
        <f>Hotel!AC27</f>
        <v>10170</v>
      </c>
      <c r="R22" s="4">
        <f>Hotel!AV27*0.00378541*100</f>
        <v>1077.3276859999999</v>
      </c>
      <c r="S22" s="4">
        <f>Hotel!B27</f>
        <v>104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590</v>
      </c>
      <c r="F23" s="4">
        <f>Hotel!R28</f>
        <v>1860</v>
      </c>
      <c r="G23" s="4">
        <f>Hotel!S28</f>
        <v>2400</v>
      </c>
      <c r="H23" s="4">
        <f>Hotel!T28</f>
        <v>1370</v>
      </c>
      <c r="I23" s="4">
        <f>Hotel!U28</f>
        <v>4690</v>
      </c>
      <c r="J23" s="4">
        <f>Hotel!V28</f>
        <v>3700</v>
      </c>
      <c r="K23" s="4">
        <f>Hotel!W28</f>
        <v>2370</v>
      </c>
      <c r="L23" s="4">
        <f>Hotel!X28</f>
        <v>4790</v>
      </c>
      <c r="M23" s="4">
        <f>Hotel!Y28</f>
        <v>5370</v>
      </c>
      <c r="N23" s="4">
        <f>Hotel!Z28</f>
        <v>2560</v>
      </c>
      <c r="O23" s="4">
        <f>Hotel!AA28</f>
        <v>3090</v>
      </c>
      <c r="P23" s="4">
        <f>Hotel!AB28</f>
        <v>7000</v>
      </c>
      <c r="Q23" s="4">
        <f>Hotel!AC28</f>
        <v>10330</v>
      </c>
      <c r="R23" s="4">
        <f>Hotel!AV28*0.00378541*100</f>
        <v>1159.4710830000001</v>
      </c>
      <c r="S23" s="4">
        <f>Hotel!B28</f>
        <v>114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550</v>
      </c>
      <c r="F24" s="4">
        <f>Hotel!R29</f>
        <v>7760</v>
      </c>
      <c r="G24" s="4">
        <f>Hotel!S29</f>
        <v>290</v>
      </c>
      <c r="H24" s="4">
        <f>Hotel!T29</f>
        <v>1360</v>
      </c>
      <c r="I24" s="4">
        <f>Hotel!U29</f>
        <v>5070</v>
      </c>
      <c r="J24" s="4">
        <f>Hotel!V29</f>
        <v>3510</v>
      </c>
      <c r="K24" s="4">
        <f>Hotel!W29</f>
        <v>2320</v>
      </c>
      <c r="L24" s="4">
        <f>Hotel!X29</f>
        <v>4670</v>
      </c>
      <c r="M24" s="4">
        <f>Hotel!Y29</f>
        <v>5300</v>
      </c>
      <c r="N24" s="4">
        <f>Hotel!Z29</f>
        <v>2660</v>
      </c>
      <c r="O24" s="4">
        <f>Hotel!AA29</f>
        <v>3450</v>
      </c>
      <c r="P24" s="4">
        <f>Hotel!AB29</f>
        <v>7180</v>
      </c>
      <c r="Q24" s="4">
        <f>Hotel!AC29</f>
        <v>9550</v>
      </c>
      <c r="R24" s="4">
        <f>Hotel!AV29*0.00378541*100</f>
        <v>570.08274600000004</v>
      </c>
      <c r="S24" s="4">
        <f>Hotel!B29</f>
        <v>179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550</v>
      </c>
      <c r="F25" s="4">
        <f>Hotel!R30</f>
        <v>8820</v>
      </c>
      <c r="G25" s="4">
        <f>Hotel!S30</f>
        <v>0</v>
      </c>
      <c r="H25" s="4">
        <f>Hotel!T30</f>
        <v>1360</v>
      </c>
      <c r="I25" s="4">
        <f>Hotel!U30</f>
        <v>5390</v>
      </c>
      <c r="J25" s="4">
        <f>Hotel!V30</f>
        <v>4010</v>
      </c>
      <c r="K25" s="4">
        <f>Hotel!W30</f>
        <v>2330</v>
      </c>
      <c r="L25" s="4">
        <f>Hotel!X30</f>
        <v>4720</v>
      </c>
      <c r="M25" s="4">
        <f>Hotel!Y30</f>
        <v>5110</v>
      </c>
      <c r="N25" s="4">
        <f>Hotel!Z30</f>
        <v>2870</v>
      </c>
      <c r="O25" s="4">
        <f>Hotel!AA30</f>
        <v>3530</v>
      </c>
      <c r="P25" s="4">
        <f>Hotel!AB30</f>
        <v>7160</v>
      </c>
      <c r="Q25" s="4">
        <f>Hotel!AC30</f>
        <v>9390</v>
      </c>
      <c r="R25" s="4">
        <f>Hotel!AV30*0.00378541*100</f>
        <v>784.71549299999992</v>
      </c>
      <c r="S25" s="4">
        <f>Hotel!B30</f>
        <v>185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560</v>
      </c>
      <c r="F26" s="4">
        <f>Hotel!R31</f>
        <v>8970</v>
      </c>
      <c r="G26" s="4">
        <f>Hotel!S31</f>
        <v>0</v>
      </c>
      <c r="H26" s="4">
        <f>Hotel!T31</f>
        <v>1390</v>
      </c>
      <c r="I26" s="4">
        <f>Hotel!U31</f>
        <v>5510</v>
      </c>
      <c r="J26" s="4">
        <f>Hotel!V31</f>
        <v>3890</v>
      </c>
      <c r="K26" s="4">
        <f>Hotel!W31</f>
        <v>2420</v>
      </c>
      <c r="L26" s="4">
        <f>Hotel!X31</f>
        <v>4860</v>
      </c>
      <c r="M26" s="4">
        <f>Hotel!Y31</f>
        <v>5260</v>
      </c>
      <c r="N26" s="4">
        <f>Hotel!Z31</f>
        <v>2750</v>
      </c>
      <c r="O26" s="4">
        <f>Hotel!AA31</f>
        <v>3500</v>
      </c>
      <c r="P26" s="4">
        <f>Hotel!AB31</f>
        <v>7380</v>
      </c>
      <c r="Q26" s="4">
        <f>Hotel!AC31</f>
        <v>12050</v>
      </c>
      <c r="R26" s="4">
        <f>Hotel!AV31*0.00378541*100</f>
        <v>528.821777</v>
      </c>
      <c r="S26" s="4">
        <f>Hotel!B31</f>
        <v>112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570</v>
      </c>
      <c r="F27" s="4">
        <f>Hotel!R32</f>
        <v>7870</v>
      </c>
      <c r="G27" s="4">
        <f>Hotel!S32</f>
        <v>0</v>
      </c>
      <c r="H27" s="4">
        <f>Hotel!T32</f>
        <v>1330</v>
      </c>
      <c r="I27" s="4">
        <f>Hotel!U32</f>
        <v>5120</v>
      </c>
      <c r="J27" s="4">
        <f>Hotel!V32</f>
        <v>3970</v>
      </c>
      <c r="K27" s="4">
        <f>Hotel!W32</f>
        <v>2360</v>
      </c>
      <c r="L27" s="4">
        <f>Hotel!X32</f>
        <v>4430</v>
      </c>
      <c r="M27" s="4">
        <f>Hotel!Y32</f>
        <v>4890</v>
      </c>
      <c r="N27" s="4">
        <f>Hotel!Z32</f>
        <v>2620</v>
      </c>
      <c r="O27" s="4">
        <f>Hotel!AA32</f>
        <v>3230</v>
      </c>
      <c r="P27" s="4">
        <f>Hotel!AB32</f>
        <v>7230</v>
      </c>
      <c r="Q27" s="4">
        <f>Hotel!AC32</f>
        <v>11240</v>
      </c>
      <c r="R27" s="4">
        <f>Hotel!AV32*0.00378541*100</f>
        <v>536.01405599999998</v>
      </c>
      <c r="S27" s="4">
        <f>Hotel!B32</f>
        <v>95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620</v>
      </c>
      <c r="F28" s="4">
        <f>Hotel!R33</f>
        <v>8520</v>
      </c>
      <c r="G28" s="4">
        <f>Hotel!S33</f>
        <v>0</v>
      </c>
      <c r="H28" s="4">
        <f>Hotel!T33</f>
        <v>1490</v>
      </c>
      <c r="I28" s="4">
        <f>Hotel!U33</f>
        <v>5410</v>
      </c>
      <c r="J28" s="4">
        <f>Hotel!V33</f>
        <v>4300</v>
      </c>
      <c r="K28" s="4">
        <f>Hotel!W33</f>
        <v>2640</v>
      </c>
      <c r="L28" s="4">
        <f>Hotel!X33</f>
        <v>5150</v>
      </c>
      <c r="M28" s="4">
        <f>Hotel!Y33</f>
        <v>5390</v>
      </c>
      <c r="N28" s="4">
        <f>Hotel!Z33</f>
        <v>2940</v>
      </c>
      <c r="O28" s="4">
        <f>Hotel!AA33</f>
        <v>3290</v>
      </c>
      <c r="P28" s="4">
        <f>Hotel!AB33</f>
        <v>8050</v>
      </c>
      <c r="Q28" s="4">
        <f>Hotel!AC33</f>
        <v>13020</v>
      </c>
      <c r="R28" s="4">
        <f>Hotel!AV33*0.00378541*100</f>
        <v>665.09653700000001</v>
      </c>
      <c r="S28" s="4">
        <f>Hotel!B33</f>
        <v>91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510</v>
      </c>
      <c r="F29" s="4">
        <f>Hotel!R34</f>
        <v>6760</v>
      </c>
      <c r="G29" s="4">
        <f>Hotel!S34</f>
        <v>0</v>
      </c>
      <c r="H29" s="4">
        <f>Hotel!T34</f>
        <v>1220</v>
      </c>
      <c r="I29" s="4">
        <f>Hotel!U34</f>
        <v>4660</v>
      </c>
      <c r="J29" s="4">
        <f>Hotel!V34</f>
        <v>3790</v>
      </c>
      <c r="K29" s="4">
        <f>Hotel!W34</f>
        <v>2180</v>
      </c>
      <c r="L29" s="4">
        <f>Hotel!X34</f>
        <v>4590</v>
      </c>
      <c r="M29" s="4">
        <f>Hotel!Y34</f>
        <v>4410</v>
      </c>
      <c r="N29" s="4">
        <f>Hotel!Z34</f>
        <v>2340</v>
      </c>
      <c r="O29" s="4">
        <f>Hotel!AA34</f>
        <v>2920</v>
      </c>
      <c r="P29" s="4">
        <f>Hotel!AB34</f>
        <v>0</v>
      </c>
      <c r="Q29" s="4">
        <f>Hotel!AC34</f>
        <v>11620</v>
      </c>
      <c r="R29" s="4">
        <f>Hotel!AV34*0.00378541*100</f>
        <v>646.92656899999997</v>
      </c>
      <c r="S29" s="4">
        <f>Hotel!B34</f>
        <v>85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570</v>
      </c>
      <c r="F30" s="4">
        <f>Hotel!R35</f>
        <v>7700</v>
      </c>
      <c r="G30" s="4">
        <f>Hotel!S35</f>
        <v>0</v>
      </c>
      <c r="H30" s="4">
        <f>Hotel!T35</f>
        <v>1350</v>
      </c>
      <c r="I30" s="4">
        <f>Hotel!U35</f>
        <v>5020</v>
      </c>
      <c r="J30" s="4">
        <f>Hotel!V35</f>
        <v>4050</v>
      </c>
      <c r="K30" s="4">
        <f>Hotel!W35</f>
        <v>2460</v>
      </c>
      <c r="L30" s="4">
        <f>Hotel!X35</f>
        <v>4930</v>
      </c>
      <c r="M30" s="4">
        <f>Hotel!Y35</f>
        <v>5040</v>
      </c>
      <c r="N30" s="4">
        <f>Hotel!Z35</f>
        <v>2660</v>
      </c>
      <c r="O30" s="4">
        <f>Hotel!AA35</f>
        <v>3200</v>
      </c>
      <c r="P30" s="4">
        <f>Hotel!AB35</f>
        <v>0</v>
      </c>
      <c r="Q30" s="4">
        <f>Hotel!AC35</f>
        <v>11740</v>
      </c>
      <c r="R30" s="4">
        <f>Hotel!AV35*0.00378541*100</f>
        <v>613.99350200000003</v>
      </c>
      <c r="S30" s="4">
        <f>Hotel!B35</f>
        <v>99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35" sqref="AU3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>
        <v>181</v>
      </c>
      <c r="C15" s="24">
        <v>7452330</v>
      </c>
      <c r="D15" s="24">
        <v>17668190</v>
      </c>
      <c r="E15" s="24">
        <v>3163490</v>
      </c>
      <c r="F15" s="24">
        <v>3802220</v>
      </c>
      <c r="G15" s="24">
        <v>11180610</v>
      </c>
      <c r="H15" s="24">
        <v>6190440</v>
      </c>
      <c r="I15" s="24">
        <v>5519180</v>
      </c>
      <c r="J15" s="24">
        <v>6714210</v>
      </c>
      <c r="K15" s="24">
        <v>10184800</v>
      </c>
      <c r="L15" s="24">
        <v>4308480</v>
      </c>
      <c r="M15" s="24">
        <v>8471040</v>
      </c>
      <c r="N15" s="24">
        <v>13346300</v>
      </c>
      <c r="O15" s="24">
        <v>18503900</v>
      </c>
      <c r="Q15" s="37">
        <f t="shared" si="17"/>
        <v>580</v>
      </c>
      <c r="R15" s="37">
        <f t="shared" si="18"/>
        <v>1850</v>
      </c>
      <c r="S15" s="37">
        <f t="shared" si="16"/>
        <v>2920</v>
      </c>
      <c r="T15" s="37">
        <f t="shared" si="19"/>
        <v>1390</v>
      </c>
      <c r="U15" s="37">
        <f t="shared" si="20"/>
        <v>4800</v>
      </c>
      <c r="V15" s="37">
        <f t="shared" si="21"/>
        <v>3950</v>
      </c>
      <c r="W15" s="37">
        <f t="shared" si="22"/>
        <v>2690</v>
      </c>
      <c r="X15" s="37">
        <f t="shared" si="23"/>
        <v>4740</v>
      </c>
      <c r="Y15" s="37">
        <f t="shared" si="24"/>
        <v>6110</v>
      </c>
      <c r="Z15" s="37">
        <f t="shared" si="25"/>
        <v>2830</v>
      </c>
      <c r="AA15" s="37">
        <f t="shared" si="26"/>
        <v>3440</v>
      </c>
      <c r="AB15" s="37">
        <f t="shared" si="27"/>
        <v>7310</v>
      </c>
      <c r="AC15" s="37">
        <f t="shared" si="28"/>
        <v>9970</v>
      </c>
      <c r="AD15" s="35">
        <f t="shared" si="29"/>
        <v>52580</v>
      </c>
      <c r="AF15" s="20">
        <f t="shared" si="1"/>
        <v>2.9</v>
      </c>
      <c r="AG15" s="20">
        <f t="shared" si="2"/>
        <v>9.25</v>
      </c>
      <c r="AH15" s="20">
        <f t="shared" si="3"/>
        <v>14.6</v>
      </c>
      <c r="AI15" s="20">
        <f t="shared" si="4"/>
        <v>6.95</v>
      </c>
      <c r="AJ15" s="20">
        <f t="shared" si="5"/>
        <v>24</v>
      </c>
      <c r="AK15" s="20">
        <f t="shared" si="6"/>
        <v>19.75</v>
      </c>
      <c r="AL15" s="20">
        <f t="shared" si="7"/>
        <v>13.450000000000001</v>
      </c>
      <c r="AM15" s="20">
        <f t="shared" si="8"/>
        <v>23.7</v>
      </c>
      <c r="AN15" s="20">
        <f t="shared" si="9"/>
        <v>30.55</v>
      </c>
      <c r="AO15" s="20">
        <f t="shared" si="10"/>
        <v>14.15</v>
      </c>
      <c r="AP15" s="20">
        <f t="shared" si="11"/>
        <v>17.2</v>
      </c>
      <c r="AQ15" s="20">
        <f t="shared" si="12"/>
        <v>36.550000000000004</v>
      </c>
      <c r="AR15" s="20">
        <f t="shared" si="13"/>
        <v>49.85</v>
      </c>
      <c r="AS15" s="35">
        <f t="shared" si="30"/>
        <v>262.90000000000003</v>
      </c>
      <c r="AU15" s="47">
        <v>420562</v>
      </c>
      <c r="AV15" s="37">
        <f t="shared" si="31"/>
        <v>1891</v>
      </c>
      <c r="AW15" s="35">
        <f t="shared" si="14"/>
        <v>3.782</v>
      </c>
    </row>
    <row r="16" spans="1:49" x14ac:dyDescent="0.25">
      <c r="A16" s="23">
        <v>44540</v>
      </c>
      <c r="B16" s="40">
        <v>220</v>
      </c>
      <c r="C16" s="24">
        <v>7452920</v>
      </c>
      <c r="D16" s="24">
        <v>17670080</v>
      </c>
      <c r="E16" s="24">
        <v>3166270</v>
      </c>
      <c r="F16" s="24">
        <v>3803640</v>
      </c>
      <c r="G16" s="24">
        <v>11185740</v>
      </c>
      <c r="H16" s="24">
        <v>6194750</v>
      </c>
      <c r="I16" s="24">
        <v>5521670</v>
      </c>
      <c r="J16" s="24">
        <v>6719170</v>
      </c>
      <c r="K16" s="24">
        <v>10191300</v>
      </c>
      <c r="L16" s="24">
        <v>4311410</v>
      </c>
      <c r="M16" s="24">
        <v>8474560</v>
      </c>
      <c r="N16" s="24">
        <v>13353550</v>
      </c>
      <c r="O16" s="24">
        <v>18514520</v>
      </c>
      <c r="Q16" s="37">
        <f t="shared" si="17"/>
        <v>590</v>
      </c>
      <c r="R16" s="37">
        <f t="shared" si="18"/>
        <v>1890</v>
      </c>
      <c r="S16" s="37">
        <f t="shared" si="16"/>
        <v>2780</v>
      </c>
      <c r="T16" s="37">
        <f t="shared" si="19"/>
        <v>1420</v>
      </c>
      <c r="U16" s="37">
        <f t="shared" si="20"/>
        <v>5130</v>
      </c>
      <c r="V16" s="37">
        <f t="shared" si="21"/>
        <v>4310</v>
      </c>
      <c r="W16" s="37">
        <f t="shared" si="22"/>
        <v>2490</v>
      </c>
      <c r="X16" s="37">
        <f t="shared" si="23"/>
        <v>4960</v>
      </c>
      <c r="Y16" s="37">
        <f t="shared" si="24"/>
        <v>6500</v>
      </c>
      <c r="Z16" s="37">
        <f t="shared" si="25"/>
        <v>2930</v>
      </c>
      <c r="AA16" s="37">
        <f t="shared" si="26"/>
        <v>3520</v>
      </c>
      <c r="AB16" s="37">
        <f t="shared" si="27"/>
        <v>7250</v>
      </c>
      <c r="AC16" s="37">
        <f t="shared" si="28"/>
        <v>10620</v>
      </c>
      <c r="AD16" s="35">
        <f t="shared" si="29"/>
        <v>54390</v>
      </c>
      <c r="AF16" s="20">
        <f t="shared" si="1"/>
        <v>2.95</v>
      </c>
      <c r="AG16" s="20">
        <f t="shared" si="2"/>
        <v>9.4500000000000011</v>
      </c>
      <c r="AH16" s="20">
        <f t="shared" si="3"/>
        <v>13.9</v>
      </c>
      <c r="AI16" s="20">
        <f t="shared" si="4"/>
        <v>7.1000000000000005</v>
      </c>
      <c r="AJ16" s="20">
        <f t="shared" si="5"/>
        <v>25.650000000000002</v>
      </c>
      <c r="AK16" s="20">
        <f t="shared" si="6"/>
        <v>21.55</v>
      </c>
      <c r="AL16" s="20">
        <f t="shared" si="7"/>
        <v>12.450000000000001</v>
      </c>
      <c r="AM16" s="20">
        <f t="shared" si="8"/>
        <v>24.8</v>
      </c>
      <c r="AN16" s="20">
        <f t="shared" si="9"/>
        <v>32.5</v>
      </c>
      <c r="AO16" s="20">
        <f t="shared" si="10"/>
        <v>14.65</v>
      </c>
      <c r="AP16" s="20">
        <f t="shared" si="11"/>
        <v>17.600000000000001</v>
      </c>
      <c r="AQ16" s="20">
        <f t="shared" si="12"/>
        <v>36.25</v>
      </c>
      <c r="AR16" s="20">
        <f t="shared" si="13"/>
        <v>53.1</v>
      </c>
      <c r="AS16" s="35">
        <f t="shared" si="30"/>
        <v>271.95000000000005</v>
      </c>
      <c r="AU16" s="47">
        <v>422301</v>
      </c>
      <c r="AV16" s="37">
        <f t="shared" si="31"/>
        <v>1739</v>
      </c>
      <c r="AW16" s="35">
        <f t="shared" si="14"/>
        <v>3.4780000000000002</v>
      </c>
    </row>
    <row r="17" spans="1:49" x14ac:dyDescent="0.25">
      <c r="A17" s="23">
        <v>44541</v>
      </c>
      <c r="B17" s="40">
        <v>90</v>
      </c>
      <c r="C17" s="24">
        <v>7453500</v>
      </c>
      <c r="D17" s="24">
        <v>17671930</v>
      </c>
      <c r="E17" s="24">
        <v>3168900</v>
      </c>
      <c r="F17" s="24">
        <v>3805030</v>
      </c>
      <c r="G17" s="24">
        <v>11190630</v>
      </c>
      <c r="H17" s="24">
        <v>6198770</v>
      </c>
      <c r="I17" s="24">
        <v>5524180</v>
      </c>
      <c r="J17" s="24">
        <v>6724150</v>
      </c>
      <c r="K17" s="24">
        <v>10197660</v>
      </c>
      <c r="L17" s="24">
        <v>4314100</v>
      </c>
      <c r="M17" s="24">
        <v>8477780</v>
      </c>
      <c r="N17" s="24">
        <v>13360690</v>
      </c>
      <c r="O17" s="24">
        <v>18525180</v>
      </c>
      <c r="Q17" s="37">
        <f t="shared" si="17"/>
        <v>580</v>
      </c>
      <c r="R17" s="37">
        <f t="shared" si="18"/>
        <v>1850</v>
      </c>
      <c r="S17" s="37">
        <f t="shared" si="16"/>
        <v>2630</v>
      </c>
      <c r="T17" s="37">
        <f t="shared" si="19"/>
        <v>1390</v>
      </c>
      <c r="U17" s="37">
        <f t="shared" si="20"/>
        <v>4890</v>
      </c>
      <c r="V17" s="37">
        <f t="shared" si="21"/>
        <v>4020</v>
      </c>
      <c r="W17" s="37">
        <f t="shared" si="22"/>
        <v>2510</v>
      </c>
      <c r="X17" s="37">
        <f t="shared" si="23"/>
        <v>4980</v>
      </c>
      <c r="Y17" s="37">
        <f t="shared" si="24"/>
        <v>6360</v>
      </c>
      <c r="Z17" s="37">
        <f t="shared" si="25"/>
        <v>2690</v>
      </c>
      <c r="AA17" s="37">
        <f t="shared" si="26"/>
        <v>3220</v>
      </c>
      <c r="AB17" s="37">
        <f t="shared" si="27"/>
        <v>7140</v>
      </c>
      <c r="AC17" s="37">
        <f t="shared" si="28"/>
        <v>10660</v>
      </c>
      <c r="AD17" s="35">
        <f t="shared" si="29"/>
        <v>52920</v>
      </c>
      <c r="AF17" s="20">
        <f t="shared" si="1"/>
        <v>2.9</v>
      </c>
      <c r="AG17" s="20">
        <f t="shared" si="2"/>
        <v>9.25</v>
      </c>
      <c r="AH17" s="20">
        <f t="shared" si="3"/>
        <v>13.15</v>
      </c>
      <c r="AI17" s="20">
        <f t="shared" si="4"/>
        <v>6.95</v>
      </c>
      <c r="AJ17" s="20">
        <f t="shared" si="5"/>
        <v>24.45</v>
      </c>
      <c r="AK17" s="20">
        <f t="shared" si="6"/>
        <v>20.100000000000001</v>
      </c>
      <c r="AL17" s="20">
        <f t="shared" si="7"/>
        <v>12.55</v>
      </c>
      <c r="AM17" s="20">
        <f t="shared" si="8"/>
        <v>24.900000000000002</v>
      </c>
      <c r="AN17" s="20">
        <f t="shared" si="9"/>
        <v>31.8</v>
      </c>
      <c r="AO17" s="20">
        <f t="shared" si="10"/>
        <v>13.450000000000001</v>
      </c>
      <c r="AP17" s="20">
        <f t="shared" si="11"/>
        <v>16.100000000000001</v>
      </c>
      <c r="AQ17" s="20">
        <f t="shared" si="12"/>
        <v>35.700000000000003</v>
      </c>
      <c r="AR17" s="20">
        <f t="shared" si="13"/>
        <v>53.300000000000004</v>
      </c>
      <c r="AS17" s="35">
        <f t="shared" si="30"/>
        <v>264.60000000000002</v>
      </c>
      <c r="AU17" s="47">
        <v>424403</v>
      </c>
      <c r="AV17" s="37">
        <f t="shared" si="31"/>
        <v>2102</v>
      </c>
      <c r="AW17" s="35">
        <f t="shared" si="14"/>
        <v>4.2039999999999997</v>
      </c>
    </row>
    <row r="18" spans="1:49" x14ac:dyDescent="0.25">
      <c r="A18" s="23">
        <v>44542</v>
      </c>
      <c r="B18" s="40">
        <v>95</v>
      </c>
      <c r="C18" s="24">
        <v>7454100</v>
      </c>
      <c r="D18" s="24">
        <v>17673870</v>
      </c>
      <c r="E18" s="24">
        <v>3171510</v>
      </c>
      <c r="F18" s="24">
        <v>3806440</v>
      </c>
      <c r="G18" s="24">
        <v>11195710</v>
      </c>
      <c r="H18" s="24">
        <v>6203000</v>
      </c>
      <c r="I18" s="24">
        <v>5526890</v>
      </c>
      <c r="J18" s="24">
        <v>6729010</v>
      </c>
      <c r="K18" s="24">
        <v>10204020</v>
      </c>
      <c r="L18" s="24">
        <v>4316670</v>
      </c>
      <c r="M18" s="24">
        <v>8481150</v>
      </c>
      <c r="N18" s="24">
        <v>13368020</v>
      </c>
      <c r="O18" s="24">
        <v>18534780</v>
      </c>
      <c r="Q18" s="37">
        <f t="shared" si="17"/>
        <v>600</v>
      </c>
      <c r="R18" s="37">
        <f t="shared" si="18"/>
        <v>1940</v>
      </c>
      <c r="S18" s="37">
        <f t="shared" si="16"/>
        <v>2610</v>
      </c>
      <c r="T18" s="37">
        <f t="shared" si="19"/>
        <v>1410</v>
      </c>
      <c r="U18" s="37">
        <f t="shared" si="20"/>
        <v>5080</v>
      </c>
      <c r="V18" s="37">
        <f t="shared" si="21"/>
        <v>4230</v>
      </c>
      <c r="W18" s="37">
        <f t="shared" si="22"/>
        <v>2710</v>
      </c>
      <c r="X18" s="37">
        <f t="shared" si="23"/>
        <v>4860</v>
      </c>
      <c r="Y18" s="37">
        <f t="shared" si="24"/>
        <v>6360</v>
      </c>
      <c r="Z18" s="37">
        <f t="shared" si="25"/>
        <v>2570</v>
      </c>
      <c r="AA18" s="37">
        <f t="shared" si="26"/>
        <v>3370</v>
      </c>
      <c r="AB18" s="37">
        <f t="shared" si="27"/>
        <v>7330</v>
      </c>
      <c r="AC18" s="37">
        <f t="shared" si="28"/>
        <v>9600</v>
      </c>
      <c r="AD18" s="35">
        <f t="shared" si="29"/>
        <v>52670</v>
      </c>
      <c r="AF18" s="20">
        <f t="shared" si="1"/>
        <v>3</v>
      </c>
      <c r="AG18" s="20">
        <f t="shared" si="2"/>
        <v>9.7000000000000011</v>
      </c>
      <c r="AH18" s="20">
        <f t="shared" si="3"/>
        <v>13.05</v>
      </c>
      <c r="AI18" s="20">
        <f t="shared" si="4"/>
        <v>7.05</v>
      </c>
      <c r="AJ18" s="20">
        <f t="shared" si="5"/>
        <v>25.400000000000002</v>
      </c>
      <c r="AK18" s="20">
        <f t="shared" si="6"/>
        <v>21.150000000000002</v>
      </c>
      <c r="AL18" s="20">
        <f t="shared" si="7"/>
        <v>13.55</v>
      </c>
      <c r="AM18" s="20">
        <f t="shared" si="8"/>
        <v>24.3</v>
      </c>
      <c r="AN18" s="20">
        <f t="shared" si="9"/>
        <v>31.8</v>
      </c>
      <c r="AO18" s="20">
        <f t="shared" si="10"/>
        <v>12.85</v>
      </c>
      <c r="AP18" s="20">
        <f t="shared" si="11"/>
        <v>16.850000000000001</v>
      </c>
      <c r="AQ18" s="20">
        <f t="shared" si="12"/>
        <v>36.65</v>
      </c>
      <c r="AR18" s="20">
        <f t="shared" si="13"/>
        <v>48</v>
      </c>
      <c r="AS18" s="35">
        <f t="shared" si="30"/>
        <v>263.35000000000002</v>
      </c>
      <c r="AU18" s="47">
        <v>426422</v>
      </c>
      <c r="AV18" s="37">
        <f t="shared" si="31"/>
        <v>2019</v>
      </c>
      <c r="AW18" s="35">
        <f t="shared" si="14"/>
        <v>4.0380000000000003</v>
      </c>
    </row>
    <row r="19" spans="1:49" x14ac:dyDescent="0.25">
      <c r="A19" s="23">
        <v>44543</v>
      </c>
      <c r="B19" s="40">
        <v>95</v>
      </c>
      <c r="C19" s="24">
        <v>7454670</v>
      </c>
      <c r="D19" s="24">
        <v>17675680</v>
      </c>
      <c r="E19" s="24">
        <v>3173950</v>
      </c>
      <c r="F19" s="24">
        <v>3807770</v>
      </c>
      <c r="G19" s="24">
        <v>11200350</v>
      </c>
      <c r="H19" s="24">
        <v>6206920</v>
      </c>
      <c r="I19" s="24">
        <v>5529240</v>
      </c>
      <c r="J19" s="24">
        <v>6734140</v>
      </c>
      <c r="K19" s="24">
        <v>10210034</v>
      </c>
      <c r="L19" s="24">
        <v>4319100</v>
      </c>
      <c r="M19" s="24">
        <v>8484290</v>
      </c>
      <c r="N19" s="24">
        <v>13374840</v>
      </c>
      <c r="O19" s="24">
        <v>18543971</v>
      </c>
      <c r="Q19" s="37">
        <f t="shared" si="17"/>
        <v>570</v>
      </c>
      <c r="R19" s="37">
        <f t="shared" si="18"/>
        <v>1810</v>
      </c>
      <c r="S19" s="37">
        <f t="shared" si="16"/>
        <v>2440</v>
      </c>
      <c r="T19" s="37">
        <f t="shared" si="19"/>
        <v>1330</v>
      </c>
      <c r="U19" s="37">
        <f t="shared" si="20"/>
        <v>4640</v>
      </c>
      <c r="V19" s="37">
        <f t="shared" si="21"/>
        <v>3920</v>
      </c>
      <c r="W19" s="37">
        <f t="shared" si="22"/>
        <v>2350</v>
      </c>
      <c r="X19" s="37">
        <f t="shared" si="23"/>
        <v>5130</v>
      </c>
      <c r="Y19" s="37">
        <f t="shared" si="24"/>
        <v>6014</v>
      </c>
      <c r="Z19" s="37">
        <f t="shared" si="25"/>
        <v>2430</v>
      </c>
      <c r="AA19" s="37">
        <f t="shared" si="26"/>
        <v>3140</v>
      </c>
      <c r="AB19" s="37">
        <f t="shared" si="27"/>
        <v>6820</v>
      </c>
      <c r="AC19" s="37">
        <f t="shared" si="28"/>
        <v>9191</v>
      </c>
      <c r="AD19" s="35">
        <f t="shared" si="29"/>
        <v>49785</v>
      </c>
      <c r="AF19" s="20">
        <f t="shared" si="1"/>
        <v>2.85</v>
      </c>
      <c r="AG19" s="20">
        <f t="shared" si="2"/>
        <v>9.0500000000000007</v>
      </c>
      <c r="AH19" s="20">
        <f t="shared" si="3"/>
        <v>12.200000000000001</v>
      </c>
      <c r="AI19" s="20">
        <f t="shared" si="4"/>
        <v>6.65</v>
      </c>
      <c r="AJ19" s="20">
        <f t="shared" si="5"/>
        <v>23.2</v>
      </c>
      <c r="AK19" s="20">
        <f t="shared" si="6"/>
        <v>19.600000000000001</v>
      </c>
      <c r="AL19" s="20">
        <f t="shared" si="7"/>
        <v>11.75</v>
      </c>
      <c r="AM19" s="20">
        <f t="shared" si="8"/>
        <v>25.650000000000002</v>
      </c>
      <c r="AN19" s="20">
        <f t="shared" si="9"/>
        <v>30.07</v>
      </c>
      <c r="AO19" s="20">
        <f t="shared" si="10"/>
        <v>12.15</v>
      </c>
      <c r="AP19" s="20">
        <f t="shared" si="11"/>
        <v>15.700000000000001</v>
      </c>
      <c r="AQ19" s="20">
        <f t="shared" si="12"/>
        <v>34.1</v>
      </c>
      <c r="AR19" s="20">
        <f t="shared" si="13"/>
        <v>45.954999999999998</v>
      </c>
      <c r="AS19" s="35">
        <f t="shared" si="30"/>
        <v>248.92500000000001</v>
      </c>
      <c r="AU19" s="47">
        <v>428380</v>
      </c>
      <c r="AV19" s="37">
        <f t="shared" si="31"/>
        <v>1958</v>
      </c>
      <c r="AW19" s="35">
        <f t="shared" si="14"/>
        <v>3.9159999999999999</v>
      </c>
    </row>
    <row r="20" spans="1:49" x14ac:dyDescent="0.25">
      <c r="A20" s="23">
        <v>44544</v>
      </c>
      <c r="B20" s="40">
        <v>88</v>
      </c>
      <c r="C20" s="24">
        <v>7455290</v>
      </c>
      <c r="D20" s="24">
        <v>17677670</v>
      </c>
      <c r="E20" s="24">
        <v>3176330</v>
      </c>
      <c r="F20" s="24">
        <v>3809230</v>
      </c>
      <c r="G20" s="24">
        <v>11205090</v>
      </c>
      <c r="H20" s="24">
        <v>6211160</v>
      </c>
      <c r="I20" s="24">
        <v>5531770</v>
      </c>
      <c r="J20" s="24">
        <v>6739180</v>
      </c>
      <c r="K20" s="24">
        <v>10216540</v>
      </c>
      <c r="L20" s="24">
        <v>4321670</v>
      </c>
      <c r="M20" s="24">
        <v>8487370</v>
      </c>
      <c r="N20" s="24">
        <v>13382240</v>
      </c>
      <c r="O20" s="24">
        <v>18553530</v>
      </c>
      <c r="Q20" s="37">
        <f t="shared" si="17"/>
        <v>620</v>
      </c>
      <c r="R20" s="37">
        <f t="shared" si="18"/>
        <v>1990</v>
      </c>
      <c r="S20" s="37">
        <f t="shared" si="16"/>
        <v>2380</v>
      </c>
      <c r="T20" s="37">
        <f t="shared" si="19"/>
        <v>1460</v>
      </c>
      <c r="U20" s="37">
        <f t="shared" si="20"/>
        <v>4740</v>
      </c>
      <c r="V20" s="37">
        <f t="shared" si="21"/>
        <v>4240</v>
      </c>
      <c r="W20" s="37">
        <f t="shared" si="22"/>
        <v>2530</v>
      </c>
      <c r="X20" s="37">
        <f t="shared" si="23"/>
        <v>5040</v>
      </c>
      <c r="Y20" s="37">
        <f t="shared" si="24"/>
        <v>6506</v>
      </c>
      <c r="Z20" s="37">
        <f t="shared" si="25"/>
        <v>2570</v>
      </c>
      <c r="AA20" s="37">
        <f t="shared" si="26"/>
        <v>3080</v>
      </c>
      <c r="AB20" s="37">
        <f t="shared" si="27"/>
        <v>7400</v>
      </c>
      <c r="AC20" s="37">
        <f t="shared" si="28"/>
        <v>9559</v>
      </c>
      <c r="AD20" s="35">
        <f t="shared" si="29"/>
        <v>52115</v>
      </c>
      <c r="AF20" s="20">
        <f t="shared" si="1"/>
        <v>3.1</v>
      </c>
      <c r="AG20" s="20">
        <f t="shared" si="2"/>
        <v>9.9500000000000011</v>
      </c>
      <c r="AH20" s="20">
        <f t="shared" si="3"/>
        <v>11.9</v>
      </c>
      <c r="AI20" s="20">
        <f t="shared" si="4"/>
        <v>7.3</v>
      </c>
      <c r="AJ20" s="20">
        <f t="shared" si="5"/>
        <v>23.7</v>
      </c>
      <c r="AK20" s="20">
        <f t="shared" si="6"/>
        <v>21.2</v>
      </c>
      <c r="AL20" s="20">
        <f t="shared" si="7"/>
        <v>12.65</v>
      </c>
      <c r="AM20" s="20">
        <f t="shared" si="8"/>
        <v>25.2</v>
      </c>
      <c r="AN20" s="20">
        <f t="shared" si="9"/>
        <v>32.53</v>
      </c>
      <c r="AO20" s="20">
        <f t="shared" si="10"/>
        <v>12.85</v>
      </c>
      <c r="AP20" s="20">
        <f t="shared" si="11"/>
        <v>15.4</v>
      </c>
      <c r="AQ20" s="20">
        <f t="shared" si="12"/>
        <v>37</v>
      </c>
      <c r="AR20" s="20">
        <f t="shared" si="13"/>
        <v>47.795000000000002</v>
      </c>
      <c r="AS20" s="35">
        <f t="shared" si="30"/>
        <v>260.57500000000005</v>
      </c>
      <c r="AU20" s="47">
        <v>429528</v>
      </c>
      <c r="AV20" s="37">
        <f t="shared" si="31"/>
        <v>1148</v>
      </c>
      <c r="AW20" s="35">
        <f t="shared" si="14"/>
        <v>2.2960000000000003</v>
      </c>
    </row>
    <row r="21" spans="1:49" x14ac:dyDescent="0.25">
      <c r="A21" s="23">
        <v>44545</v>
      </c>
      <c r="B21" s="40">
        <v>103</v>
      </c>
      <c r="C21" s="24">
        <v>7455860</v>
      </c>
      <c r="D21" s="24">
        <v>17679510</v>
      </c>
      <c r="E21" s="24">
        <v>3179020</v>
      </c>
      <c r="F21" s="24">
        <v>3810590</v>
      </c>
      <c r="G21" s="24">
        <v>11209800</v>
      </c>
      <c r="H21" s="24">
        <v>6215340</v>
      </c>
      <c r="I21" s="24">
        <v>5534180</v>
      </c>
      <c r="J21" s="24">
        <v>6743740</v>
      </c>
      <c r="K21" s="24">
        <v>10222560</v>
      </c>
      <c r="L21" s="24">
        <v>4324120</v>
      </c>
      <c r="M21" s="24">
        <v>8490310</v>
      </c>
      <c r="N21" s="24">
        <v>13389090</v>
      </c>
      <c r="O21" s="24">
        <v>18562480</v>
      </c>
      <c r="Q21" s="37">
        <f t="shared" si="17"/>
        <v>570</v>
      </c>
      <c r="R21" s="37">
        <f t="shared" si="18"/>
        <v>1840</v>
      </c>
      <c r="S21" s="37">
        <f t="shared" si="16"/>
        <v>2690</v>
      </c>
      <c r="T21" s="37">
        <f t="shared" si="19"/>
        <v>1360</v>
      </c>
      <c r="U21" s="37">
        <f t="shared" si="20"/>
        <v>4710</v>
      </c>
      <c r="V21" s="37">
        <f t="shared" si="21"/>
        <v>4180</v>
      </c>
      <c r="W21" s="37">
        <f t="shared" si="22"/>
        <v>2410</v>
      </c>
      <c r="X21" s="37">
        <f t="shared" si="23"/>
        <v>4560</v>
      </c>
      <c r="Y21" s="37">
        <f t="shared" si="24"/>
        <v>6020</v>
      </c>
      <c r="Z21" s="37">
        <f t="shared" si="25"/>
        <v>2450</v>
      </c>
      <c r="AA21" s="37">
        <f t="shared" si="26"/>
        <v>2940</v>
      </c>
      <c r="AB21" s="37">
        <f t="shared" si="27"/>
        <v>6850</v>
      </c>
      <c r="AC21" s="37">
        <f t="shared" si="28"/>
        <v>8950</v>
      </c>
      <c r="AD21" s="35">
        <f t="shared" si="29"/>
        <v>49530</v>
      </c>
      <c r="AF21" s="20">
        <f t="shared" si="1"/>
        <v>2.85</v>
      </c>
      <c r="AG21" s="20">
        <f t="shared" si="2"/>
        <v>9.2000000000000011</v>
      </c>
      <c r="AH21" s="20">
        <f t="shared" si="3"/>
        <v>13.450000000000001</v>
      </c>
      <c r="AI21" s="20">
        <f t="shared" si="4"/>
        <v>6.8</v>
      </c>
      <c r="AJ21" s="20">
        <f t="shared" si="5"/>
        <v>23.55</v>
      </c>
      <c r="AK21" s="20">
        <f t="shared" si="6"/>
        <v>20.900000000000002</v>
      </c>
      <c r="AL21" s="20">
        <f t="shared" si="7"/>
        <v>12.05</v>
      </c>
      <c r="AM21" s="20">
        <f t="shared" si="8"/>
        <v>22.8</v>
      </c>
      <c r="AN21" s="20">
        <f t="shared" si="9"/>
        <v>30.1</v>
      </c>
      <c r="AO21" s="20">
        <f t="shared" si="10"/>
        <v>12.25</v>
      </c>
      <c r="AP21" s="20">
        <f t="shared" si="11"/>
        <v>14.700000000000001</v>
      </c>
      <c r="AQ21" s="20">
        <f t="shared" si="12"/>
        <v>34.25</v>
      </c>
      <c r="AR21" s="20">
        <f t="shared" si="13"/>
        <v>44.75</v>
      </c>
      <c r="AS21" s="35">
        <f t="shared" si="30"/>
        <v>247.64999999999998</v>
      </c>
      <c r="AU21" s="47">
        <v>431807</v>
      </c>
      <c r="AV21" s="37">
        <f t="shared" si="31"/>
        <v>2279</v>
      </c>
      <c r="AW21" s="35">
        <f t="shared" si="14"/>
        <v>4.5579999999999998</v>
      </c>
    </row>
    <row r="22" spans="1:49" x14ac:dyDescent="0.25">
      <c r="A22" s="23">
        <v>44546</v>
      </c>
      <c r="B22" s="40">
        <v>142</v>
      </c>
      <c r="C22" s="24">
        <v>7456460</v>
      </c>
      <c r="D22" s="24">
        <v>17681410</v>
      </c>
      <c r="E22" s="24">
        <v>3182050</v>
      </c>
      <c r="F22" s="24">
        <v>3812010</v>
      </c>
      <c r="G22" s="24">
        <v>11214780</v>
      </c>
      <c r="H22" s="24">
        <v>6219540</v>
      </c>
      <c r="I22" s="24">
        <v>5536720</v>
      </c>
      <c r="J22" s="44">
        <v>6748350</v>
      </c>
      <c r="K22" s="24">
        <v>10228880</v>
      </c>
      <c r="L22" s="24">
        <v>4326760</v>
      </c>
      <c r="M22" s="24">
        <v>8493580</v>
      </c>
      <c r="N22" s="24">
        <v>13396300</v>
      </c>
      <c r="O22" s="44">
        <v>18571600</v>
      </c>
      <c r="Q22" s="37">
        <f t="shared" si="17"/>
        <v>600</v>
      </c>
      <c r="R22" s="37">
        <f t="shared" si="18"/>
        <v>1900</v>
      </c>
      <c r="S22" s="37">
        <f t="shared" si="16"/>
        <v>3030</v>
      </c>
      <c r="T22" s="37">
        <f t="shared" si="19"/>
        <v>1420</v>
      </c>
      <c r="U22" s="37">
        <f t="shared" si="20"/>
        <v>4980</v>
      </c>
      <c r="V22" s="37">
        <f t="shared" si="21"/>
        <v>4200</v>
      </c>
      <c r="W22" s="37">
        <f t="shared" si="22"/>
        <v>2540</v>
      </c>
      <c r="X22" s="37">
        <f t="shared" si="23"/>
        <v>4610</v>
      </c>
      <c r="Y22" s="37">
        <f t="shared" si="24"/>
        <v>6320</v>
      </c>
      <c r="Z22" s="37">
        <f t="shared" si="25"/>
        <v>2640</v>
      </c>
      <c r="AA22" s="37">
        <f t="shared" si="26"/>
        <v>3270</v>
      </c>
      <c r="AB22" s="37">
        <f t="shared" si="27"/>
        <v>7210</v>
      </c>
      <c r="AC22" s="37">
        <f t="shared" si="28"/>
        <v>9120</v>
      </c>
      <c r="AD22" s="35">
        <f t="shared" si="29"/>
        <v>51840</v>
      </c>
      <c r="AF22" s="20">
        <f t="shared" si="1"/>
        <v>3</v>
      </c>
      <c r="AG22" s="20">
        <f t="shared" si="2"/>
        <v>9.5</v>
      </c>
      <c r="AH22" s="20">
        <f t="shared" si="3"/>
        <v>15.15</v>
      </c>
      <c r="AI22" s="20">
        <f t="shared" si="4"/>
        <v>7.1000000000000005</v>
      </c>
      <c r="AJ22" s="20">
        <f t="shared" si="5"/>
        <v>24.900000000000002</v>
      </c>
      <c r="AK22" s="20">
        <f t="shared" si="6"/>
        <v>21</v>
      </c>
      <c r="AL22" s="20">
        <f t="shared" si="7"/>
        <v>12.700000000000001</v>
      </c>
      <c r="AM22" s="20">
        <f t="shared" si="8"/>
        <v>23.05</v>
      </c>
      <c r="AN22" s="20">
        <f t="shared" si="9"/>
        <v>31.6</v>
      </c>
      <c r="AO22" s="20">
        <f t="shared" si="10"/>
        <v>13.200000000000001</v>
      </c>
      <c r="AP22" s="20">
        <f t="shared" si="11"/>
        <v>16.350000000000001</v>
      </c>
      <c r="AQ22" s="20">
        <f t="shared" si="12"/>
        <v>36.050000000000004</v>
      </c>
      <c r="AR22" s="20">
        <f t="shared" si="13"/>
        <v>45.6</v>
      </c>
      <c r="AS22" s="35">
        <f t="shared" si="30"/>
        <v>259.2</v>
      </c>
      <c r="AU22" s="47">
        <v>432885</v>
      </c>
      <c r="AV22" s="37">
        <f t="shared" si="31"/>
        <v>1078</v>
      </c>
      <c r="AW22" s="35">
        <f t="shared" si="14"/>
        <v>2.1560000000000001</v>
      </c>
    </row>
    <row r="23" spans="1:49" x14ac:dyDescent="0.25">
      <c r="A23" s="23">
        <v>44547</v>
      </c>
      <c r="B23" s="40">
        <v>152</v>
      </c>
      <c r="C23" s="24">
        <v>7457030</v>
      </c>
      <c r="D23" s="24">
        <v>17683230</v>
      </c>
      <c r="E23" s="24">
        <v>3185000</v>
      </c>
      <c r="F23" s="24">
        <v>3813380</v>
      </c>
      <c r="G23" s="24">
        <v>11219840</v>
      </c>
      <c r="H23" s="24">
        <v>6223580</v>
      </c>
      <c r="I23" s="24">
        <v>5539130</v>
      </c>
      <c r="J23" s="24">
        <v>6752980</v>
      </c>
      <c r="K23" s="24">
        <v>10237480</v>
      </c>
      <c r="L23" s="24">
        <v>4329480</v>
      </c>
      <c r="M23" s="24">
        <v>8496740</v>
      </c>
      <c r="N23" s="24">
        <v>13403280</v>
      </c>
      <c r="O23" s="24">
        <v>18579950</v>
      </c>
      <c r="Q23" s="37">
        <f t="shared" si="17"/>
        <v>570</v>
      </c>
      <c r="R23" s="37">
        <f t="shared" si="18"/>
        <v>1820</v>
      </c>
      <c r="S23" s="37">
        <f t="shared" si="16"/>
        <v>2950</v>
      </c>
      <c r="T23" s="37">
        <f t="shared" si="19"/>
        <v>1370</v>
      </c>
      <c r="U23" s="37">
        <f t="shared" si="20"/>
        <v>5060</v>
      </c>
      <c r="V23" s="37">
        <f t="shared" si="21"/>
        <v>4040</v>
      </c>
      <c r="W23" s="37">
        <f t="shared" si="22"/>
        <v>2410</v>
      </c>
      <c r="X23" s="37">
        <f t="shared" si="23"/>
        <v>4630</v>
      </c>
      <c r="Y23" s="37">
        <f t="shared" si="24"/>
        <v>8600</v>
      </c>
      <c r="Z23" s="37">
        <f t="shared" si="25"/>
        <v>2720</v>
      </c>
      <c r="AA23" s="37">
        <f t="shared" si="26"/>
        <v>3160</v>
      </c>
      <c r="AB23" s="37">
        <f t="shared" si="27"/>
        <v>6980</v>
      </c>
      <c r="AC23" s="37">
        <f t="shared" si="28"/>
        <v>8350</v>
      </c>
      <c r="AD23" s="35">
        <f t="shared" si="29"/>
        <v>52660</v>
      </c>
      <c r="AF23" s="20">
        <f t="shared" si="1"/>
        <v>2.85</v>
      </c>
      <c r="AG23" s="20">
        <f t="shared" si="2"/>
        <v>9.1</v>
      </c>
      <c r="AH23" s="20">
        <f t="shared" si="3"/>
        <v>14.75</v>
      </c>
      <c r="AI23" s="20">
        <f t="shared" si="4"/>
        <v>6.8500000000000005</v>
      </c>
      <c r="AJ23" s="20">
        <f t="shared" si="5"/>
        <v>25.3</v>
      </c>
      <c r="AK23" s="20">
        <f t="shared" si="6"/>
        <v>20.2</v>
      </c>
      <c r="AL23" s="20">
        <f t="shared" si="7"/>
        <v>12.05</v>
      </c>
      <c r="AM23" s="20">
        <f t="shared" si="8"/>
        <v>23.150000000000002</v>
      </c>
      <c r="AN23" s="20">
        <f t="shared" si="9"/>
        <v>43</v>
      </c>
      <c r="AO23" s="20">
        <f t="shared" si="10"/>
        <v>13.6</v>
      </c>
      <c r="AP23" s="20">
        <f t="shared" si="11"/>
        <v>15.8</v>
      </c>
      <c r="AQ23" s="20">
        <f t="shared" si="12"/>
        <v>34.9</v>
      </c>
      <c r="AR23" s="20">
        <f t="shared" si="13"/>
        <v>41.75</v>
      </c>
      <c r="AS23" s="35">
        <f t="shared" si="30"/>
        <v>263.3</v>
      </c>
      <c r="AU23" s="47">
        <v>434977</v>
      </c>
      <c r="AV23" s="37">
        <f t="shared" si="31"/>
        <v>2092</v>
      </c>
      <c r="AW23" s="35">
        <f t="shared" si="14"/>
        <v>4.1840000000000002</v>
      </c>
    </row>
    <row r="24" spans="1:49" x14ac:dyDescent="0.25">
      <c r="A24" s="23">
        <v>44548</v>
      </c>
      <c r="B24" s="40">
        <v>95</v>
      </c>
      <c r="C24" s="24">
        <v>7457630</v>
      </c>
      <c r="D24" s="24">
        <v>17685150</v>
      </c>
      <c r="E24" s="24">
        <v>3187940</v>
      </c>
      <c r="F24" s="24">
        <v>3814820</v>
      </c>
      <c r="G24" s="24">
        <v>11224980</v>
      </c>
      <c r="H24" s="24">
        <v>6227880</v>
      </c>
      <c r="I24" s="24">
        <v>5541640</v>
      </c>
      <c r="J24" s="24">
        <v>6757820</v>
      </c>
      <c r="K24" s="24">
        <v>10240610</v>
      </c>
      <c r="L24" s="24">
        <v>4332260</v>
      </c>
      <c r="M24" s="24">
        <v>8500110</v>
      </c>
      <c r="N24" s="24">
        <v>13410750</v>
      </c>
      <c r="O24" s="24">
        <v>18588860</v>
      </c>
      <c r="Q24" s="37">
        <f t="shared" si="17"/>
        <v>600</v>
      </c>
      <c r="R24" s="37">
        <f t="shared" si="18"/>
        <v>1920</v>
      </c>
      <c r="S24" s="37">
        <f t="shared" si="16"/>
        <v>2940</v>
      </c>
      <c r="T24" s="37">
        <f t="shared" si="19"/>
        <v>1440</v>
      </c>
      <c r="U24" s="37">
        <f t="shared" si="20"/>
        <v>5140</v>
      </c>
      <c r="V24" s="37">
        <f t="shared" si="21"/>
        <v>4300</v>
      </c>
      <c r="W24" s="37">
        <f t="shared" si="22"/>
        <v>2510</v>
      </c>
      <c r="X24" s="37">
        <f t="shared" si="23"/>
        <v>4840</v>
      </c>
      <c r="Y24" s="37">
        <f t="shared" si="24"/>
        <v>3130</v>
      </c>
      <c r="Z24" s="37">
        <f t="shared" si="25"/>
        <v>2780</v>
      </c>
      <c r="AA24" s="37">
        <f t="shared" si="26"/>
        <v>3370</v>
      </c>
      <c r="AB24" s="37">
        <f t="shared" si="27"/>
        <v>7470</v>
      </c>
      <c r="AC24" s="37">
        <f t="shared" si="28"/>
        <v>8910</v>
      </c>
      <c r="AD24" s="35">
        <f t="shared" si="29"/>
        <v>49350</v>
      </c>
      <c r="AF24" s="20">
        <f t="shared" si="1"/>
        <v>3</v>
      </c>
      <c r="AG24" s="20">
        <f t="shared" si="2"/>
        <v>9.6</v>
      </c>
      <c r="AH24" s="20">
        <f t="shared" si="3"/>
        <v>14.700000000000001</v>
      </c>
      <c r="AI24" s="20">
        <f t="shared" si="4"/>
        <v>7.2</v>
      </c>
      <c r="AJ24" s="20">
        <f t="shared" si="5"/>
        <v>25.7</v>
      </c>
      <c r="AK24" s="20">
        <f t="shared" si="6"/>
        <v>21.5</v>
      </c>
      <c r="AL24" s="20">
        <f t="shared" si="7"/>
        <v>12.55</v>
      </c>
      <c r="AM24" s="20">
        <f t="shared" si="8"/>
        <v>24.2</v>
      </c>
      <c r="AN24" s="20">
        <f t="shared" si="9"/>
        <v>15.65</v>
      </c>
      <c r="AO24" s="20">
        <f t="shared" si="10"/>
        <v>13.9</v>
      </c>
      <c r="AP24" s="20">
        <f t="shared" si="11"/>
        <v>16.850000000000001</v>
      </c>
      <c r="AQ24" s="20">
        <f t="shared" si="12"/>
        <v>37.35</v>
      </c>
      <c r="AR24" s="20">
        <f t="shared" si="13"/>
        <v>44.550000000000004</v>
      </c>
      <c r="AS24" s="35">
        <f t="shared" si="30"/>
        <v>246.75</v>
      </c>
      <c r="AU24" s="47">
        <v>436645</v>
      </c>
      <c r="AV24" s="37">
        <f t="shared" si="31"/>
        <v>1668</v>
      </c>
      <c r="AW24" s="35">
        <f t="shared" si="14"/>
        <v>3.3359999999999999</v>
      </c>
    </row>
    <row r="25" spans="1:49" x14ac:dyDescent="0.25">
      <c r="A25" s="23">
        <v>44549</v>
      </c>
      <c r="B25" s="40">
        <v>89</v>
      </c>
      <c r="C25" s="24">
        <v>7458210</v>
      </c>
      <c r="D25" s="24">
        <v>17687010</v>
      </c>
      <c r="E25" s="24">
        <v>3190670</v>
      </c>
      <c r="F25" s="24">
        <v>3816210</v>
      </c>
      <c r="G25" s="24">
        <v>11229590</v>
      </c>
      <c r="H25" s="24">
        <v>6231930</v>
      </c>
      <c r="I25" s="24">
        <v>5544060</v>
      </c>
      <c r="J25" s="24">
        <v>6762140</v>
      </c>
      <c r="K25" s="24">
        <v>10245760</v>
      </c>
      <c r="L25" s="24">
        <v>4334770</v>
      </c>
      <c r="M25" s="24">
        <v>8503300</v>
      </c>
      <c r="N25" s="24">
        <v>13417840</v>
      </c>
      <c r="O25" s="24">
        <v>18599350</v>
      </c>
      <c r="Q25" s="37">
        <f t="shared" ref="Q25:AC27" si="33">IF((C25-C24&lt;0), "0",C25-C24)</f>
        <v>580</v>
      </c>
      <c r="R25" s="37">
        <f t="shared" si="33"/>
        <v>1860</v>
      </c>
      <c r="S25" s="37">
        <f t="shared" si="33"/>
        <v>2730</v>
      </c>
      <c r="T25" s="37">
        <f t="shared" si="33"/>
        <v>1390</v>
      </c>
      <c r="U25" s="37">
        <f t="shared" si="33"/>
        <v>4610</v>
      </c>
      <c r="V25" s="37">
        <f t="shared" si="33"/>
        <v>4050</v>
      </c>
      <c r="W25" s="37">
        <f t="shared" si="33"/>
        <v>2420</v>
      </c>
      <c r="X25" s="37">
        <f t="shared" si="33"/>
        <v>4320</v>
      </c>
      <c r="Y25" s="37">
        <f t="shared" si="33"/>
        <v>5150</v>
      </c>
      <c r="Z25" s="37">
        <f t="shared" si="33"/>
        <v>2510</v>
      </c>
      <c r="AA25" s="37">
        <f t="shared" si="33"/>
        <v>3190</v>
      </c>
      <c r="AB25" s="37">
        <f t="shared" si="33"/>
        <v>7090</v>
      </c>
      <c r="AC25" s="37">
        <f t="shared" si="33"/>
        <v>10490</v>
      </c>
      <c r="AD25" s="35">
        <f t="shared" si="29"/>
        <v>50390</v>
      </c>
      <c r="AF25" s="20">
        <f t="shared" si="1"/>
        <v>2.9</v>
      </c>
      <c r="AG25" s="20">
        <f t="shared" si="2"/>
        <v>9.3000000000000007</v>
      </c>
      <c r="AH25" s="20">
        <f t="shared" si="3"/>
        <v>13.65</v>
      </c>
      <c r="AI25" s="20">
        <f t="shared" si="4"/>
        <v>6.95</v>
      </c>
      <c r="AJ25" s="20">
        <f t="shared" si="5"/>
        <v>23.05</v>
      </c>
      <c r="AK25" s="20">
        <f t="shared" si="6"/>
        <v>20.25</v>
      </c>
      <c r="AL25" s="20">
        <f t="shared" si="7"/>
        <v>12.1</v>
      </c>
      <c r="AM25" s="20">
        <f t="shared" si="8"/>
        <v>21.6</v>
      </c>
      <c r="AN25" s="20">
        <f t="shared" si="9"/>
        <v>25.75</v>
      </c>
      <c r="AO25" s="20">
        <f t="shared" si="10"/>
        <v>12.55</v>
      </c>
      <c r="AP25" s="20">
        <f t="shared" si="11"/>
        <v>15.950000000000001</v>
      </c>
      <c r="AQ25" s="20">
        <f t="shared" si="12"/>
        <v>35.450000000000003</v>
      </c>
      <c r="AR25" s="20">
        <f t="shared" si="13"/>
        <v>52.45</v>
      </c>
      <c r="AS25" s="35">
        <f t="shared" si="30"/>
        <v>251.95</v>
      </c>
      <c r="AU25" s="47">
        <v>438664</v>
      </c>
      <c r="AV25" s="37">
        <f t="shared" si="31"/>
        <v>2019</v>
      </c>
      <c r="AW25" s="35">
        <f t="shared" si="14"/>
        <v>4.0380000000000003</v>
      </c>
    </row>
    <row r="26" spans="1:49" x14ac:dyDescent="0.25">
      <c r="A26" s="23">
        <v>44550</v>
      </c>
      <c r="B26" s="40">
        <v>90</v>
      </c>
      <c r="C26" s="24">
        <v>7458780</v>
      </c>
      <c r="D26" s="24">
        <v>17688850</v>
      </c>
      <c r="E26" s="24">
        <v>3193550</v>
      </c>
      <c r="F26" s="24">
        <v>3817580</v>
      </c>
      <c r="G26" s="24">
        <v>11234120</v>
      </c>
      <c r="H26" s="24">
        <v>6235730</v>
      </c>
      <c r="I26" s="24">
        <v>5546380</v>
      </c>
      <c r="J26" s="24">
        <v>6766710</v>
      </c>
      <c r="K26" s="24">
        <v>10251070</v>
      </c>
      <c r="L26" s="24">
        <v>4337190</v>
      </c>
      <c r="M26" s="24">
        <v>8506320</v>
      </c>
      <c r="N26" s="24">
        <v>13424950</v>
      </c>
      <c r="O26" s="24">
        <v>18609250</v>
      </c>
      <c r="Q26" s="37">
        <f t="shared" si="33"/>
        <v>570</v>
      </c>
      <c r="R26" s="37">
        <f t="shared" si="33"/>
        <v>1840</v>
      </c>
      <c r="S26" s="37">
        <f t="shared" si="33"/>
        <v>2880</v>
      </c>
      <c r="T26" s="37">
        <f t="shared" si="33"/>
        <v>1370</v>
      </c>
      <c r="U26" s="37">
        <f t="shared" si="33"/>
        <v>4530</v>
      </c>
      <c r="V26" s="37">
        <f t="shared" si="33"/>
        <v>3800</v>
      </c>
      <c r="W26" s="37">
        <f t="shared" si="33"/>
        <v>2320</v>
      </c>
      <c r="X26" s="37">
        <f t="shared" si="33"/>
        <v>4570</v>
      </c>
      <c r="Y26" s="37">
        <f t="shared" si="33"/>
        <v>5310</v>
      </c>
      <c r="Z26" s="37">
        <f t="shared" si="33"/>
        <v>2420</v>
      </c>
      <c r="AA26" s="37">
        <f t="shared" si="33"/>
        <v>3020</v>
      </c>
      <c r="AB26" s="37">
        <f t="shared" si="33"/>
        <v>7110</v>
      </c>
      <c r="AC26" s="37">
        <f t="shared" si="33"/>
        <v>9900</v>
      </c>
      <c r="AD26" s="35">
        <f t="shared" si="29"/>
        <v>49640</v>
      </c>
      <c r="AF26" s="20">
        <f t="shared" si="1"/>
        <v>2.85</v>
      </c>
      <c r="AG26" s="20">
        <f t="shared" si="2"/>
        <v>9.2000000000000011</v>
      </c>
      <c r="AH26" s="20">
        <f t="shared" si="3"/>
        <v>14.4</v>
      </c>
      <c r="AI26" s="20">
        <f t="shared" si="4"/>
        <v>6.8500000000000005</v>
      </c>
      <c r="AJ26" s="20">
        <f t="shared" si="5"/>
        <v>22.650000000000002</v>
      </c>
      <c r="AK26" s="20">
        <f t="shared" si="6"/>
        <v>19</v>
      </c>
      <c r="AL26" s="20">
        <f t="shared" si="7"/>
        <v>11.6</v>
      </c>
      <c r="AM26" s="20">
        <f t="shared" si="8"/>
        <v>22.85</v>
      </c>
      <c r="AN26" s="20">
        <f t="shared" si="9"/>
        <v>26.55</v>
      </c>
      <c r="AO26" s="20">
        <f t="shared" si="10"/>
        <v>12.1</v>
      </c>
      <c r="AP26" s="20">
        <f t="shared" si="11"/>
        <v>15.1</v>
      </c>
      <c r="AQ26" s="20">
        <f t="shared" si="12"/>
        <v>35.550000000000004</v>
      </c>
      <c r="AR26" s="20">
        <f t="shared" si="13"/>
        <v>49.5</v>
      </c>
      <c r="AS26" s="35">
        <f t="shared" si="30"/>
        <v>248.20000000000002</v>
      </c>
      <c r="AU26" s="47">
        <v>440843</v>
      </c>
      <c r="AV26" s="37">
        <f t="shared" si="31"/>
        <v>2179</v>
      </c>
      <c r="AW26" s="35">
        <f t="shared" si="14"/>
        <v>4.3579999999999997</v>
      </c>
    </row>
    <row r="27" spans="1:49" x14ac:dyDescent="0.25">
      <c r="A27" s="23">
        <v>44551</v>
      </c>
      <c r="B27" s="40">
        <v>104</v>
      </c>
      <c r="C27" s="24">
        <v>7459390</v>
      </c>
      <c r="D27" s="24">
        <v>17690800</v>
      </c>
      <c r="E27" s="24">
        <v>3196260</v>
      </c>
      <c r="F27" s="24">
        <v>3819030</v>
      </c>
      <c r="G27" s="24">
        <v>11239170</v>
      </c>
      <c r="H27" s="24">
        <v>6239790</v>
      </c>
      <c r="I27" s="24">
        <v>5548890</v>
      </c>
      <c r="J27" s="24">
        <v>6771700</v>
      </c>
      <c r="K27" s="24">
        <v>10256670</v>
      </c>
      <c r="L27" s="24">
        <v>4339830</v>
      </c>
      <c r="M27" s="24">
        <v>8509470</v>
      </c>
      <c r="N27" s="24">
        <v>13432450</v>
      </c>
      <c r="O27" s="24">
        <v>18619420</v>
      </c>
      <c r="Q27" s="37">
        <f t="shared" si="33"/>
        <v>610</v>
      </c>
      <c r="R27" s="37">
        <f t="shared" si="33"/>
        <v>1950</v>
      </c>
      <c r="S27" s="37">
        <f t="shared" si="33"/>
        <v>2710</v>
      </c>
      <c r="T27" s="37">
        <f t="shared" si="33"/>
        <v>1450</v>
      </c>
      <c r="U27" s="37">
        <f t="shared" si="33"/>
        <v>5050</v>
      </c>
      <c r="V27" s="37">
        <f t="shared" si="33"/>
        <v>4060</v>
      </c>
      <c r="W27" s="37">
        <f t="shared" si="33"/>
        <v>2510</v>
      </c>
      <c r="X27" s="37">
        <f t="shared" si="33"/>
        <v>4990</v>
      </c>
      <c r="Y27" s="37">
        <f t="shared" si="33"/>
        <v>5600</v>
      </c>
      <c r="Z27" s="37">
        <f t="shared" si="33"/>
        <v>2640</v>
      </c>
      <c r="AA27" s="37">
        <f t="shared" si="33"/>
        <v>3150</v>
      </c>
      <c r="AB27" s="37">
        <f t="shared" si="33"/>
        <v>7500</v>
      </c>
      <c r="AC27" s="37">
        <f t="shared" si="33"/>
        <v>10170</v>
      </c>
      <c r="AD27" s="35">
        <f t="shared" si="29"/>
        <v>52390</v>
      </c>
      <c r="AF27" s="20">
        <f t="shared" si="1"/>
        <v>3.0500000000000003</v>
      </c>
      <c r="AG27" s="20">
        <f t="shared" si="2"/>
        <v>9.75</v>
      </c>
      <c r="AH27" s="20">
        <f t="shared" si="3"/>
        <v>13.55</v>
      </c>
      <c r="AI27" s="20">
        <f t="shared" si="4"/>
        <v>7.25</v>
      </c>
      <c r="AJ27" s="20">
        <f t="shared" si="5"/>
        <v>25.25</v>
      </c>
      <c r="AK27" s="20">
        <f t="shared" si="6"/>
        <v>20.3</v>
      </c>
      <c r="AL27" s="20">
        <f t="shared" si="7"/>
        <v>12.55</v>
      </c>
      <c r="AM27" s="20">
        <f t="shared" si="8"/>
        <v>24.95</v>
      </c>
      <c r="AN27" s="20">
        <f t="shared" si="9"/>
        <v>28</v>
      </c>
      <c r="AO27" s="20">
        <f t="shared" si="10"/>
        <v>13.200000000000001</v>
      </c>
      <c r="AP27" s="20">
        <f t="shared" si="11"/>
        <v>15.75</v>
      </c>
      <c r="AQ27" s="20">
        <f t="shared" si="12"/>
        <v>37.5</v>
      </c>
      <c r="AR27" s="20">
        <f t="shared" si="13"/>
        <v>50.85</v>
      </c>
      <c r="AS27" s="35">
        <f t="shared" si="30"/>
        <v>261.95</v>
      </c>
      <c r="AU27" s="47">
        <v>443689</v>
      </c>
      <c r="AV27" s="37">
        <f>IF((AU27-AU26&lt;0),"0",AU27-AU26)</f>
        <v>2846</v>
      </c>
      <c r="AW27" s="35">
        <f t="shared" si="14"/>
        <v>5.6920000000000002</v>
      </c>
    </row>
    <row r="28" spans="1:49" x14ac:dyDescent="0.25">
      <c r="A28" s="23">
        <v>44552</v>
      </c>
      <c r="B28" s="40">
        <v>114</v>
      </c>
      <c r="C28" s="24">
        <v>7459980</v>
      </c>
      <c r="D28" s="24">
        <v>17692660</v>
      </c>
      <c r="E28" s="24">
        <v>3198660</v>
      </c>
      <c r="F28" s="24">
        <v>3820400</v>
      </c>
      <c r="G28" s="24">
        <v>11243860</v>
      </c>
      <c r="H28" s="24">
        <v>6243490</v>
      </c>
      <c r="I28" s="24">
        <v>5551260</v>
      </c>
      <c r="J28" s="24">
        <v>6776490</v>
      </c>
      <c r="K28" s="24">
        <v>10262040</v>
      </c>
      <c r="L28" s="24">
        <v>4342390</v>
      </c>
      <c r="M28" s="24">
        <v>8512560</v>
      </c>
      <c r="N28" s="24">
        <v>13439450</v>
      </c>
      <c r="O28" s="24">
        <v>18629750</v>
      </c>
      <c r="Q28" s="37">
        <f t="shared" si="17"/>
        <v>590</v>
      </c>
      <c r="R28" s="37">
        <f t="shared" si="18"/>
        <v>1860</v>
      </c>
      <c r="S28" s="37">
        <f t="shared" si="16"/>
        <v>2400</v>
      </c>
      <c r="T28" s="37">
        <f t="shared" si="19"/>
        <v>1370</v>
      </c>
      <c r="U28" s="37">
        <f t="shared" si="20"/>
        <v>4690</v>
      </c>
      <c r="V28" s="37">
        <f t="shared" si="21"/>
        <v>3700</v>
      </c>
      <c r="W28" s="37">
        <f t="shared" si="22"/>
        <v>2370</v>
      </c>
      <c r="X28" s="37">
        <f t="shared" si="23"/>
        <v>4790</v>
      </c>
      <c r="Y28" s="37">
        <f t="shared" si="24"/>
        <v>5370</v>
      </c>
      <c r="Z28" s="37">
        <f t="shared" si="25"/>
        <v>2560</v>
      </c>
      <c r="AA28" s="37">
        <f t="shared" si="26"/>
        <v>3090</v>
      </c>
      <c r="AB28" s="37">
        <f t="shared" si="27"/>
        <v>7000</v>
      </c>
      <c r="AC28" s="37">
        <f t="shared" si="28"/>
        <v>10330</v>
      </c>
      <c r="AD28" s="35">
        <f t="shared" si="29"/>
        <v>50120</v>
      </c>
      <c r="AF28" s="20">
        <f t="shared" si="1"/>
        <v>2.95</v>
      </c>
      <c r="AG28" s="20">
        <f t="shared" si="2"/>
        <v>9.3000000000000007</v>
      </c>
      <c r="AH28" s="20">
        <f t="shared" si="3"/>
        <v>12</v>
      </c>
      <c r="AI28" s="20">
        <f t="shared" si="4"/>
        <v>6.8500000000000005</v>
      </c>
      <c r="AJ28" s="20">
        <f t="shared" si="5"/>
        <v>23.45</v>
      </c>
      <c r="AK28" s="20">
        <f t="shared" si="6"/>
        <v>18.5</v>
      </c>
      <c r="AL28" s="20">
        <f t="shared" si="7"/>
        <v>11.85</v>
      </c>
      <c r="AM28" s="20">
        <f t="shared" si="8"/>
        <v>23.95</v>
      </c>
      <c r="AN28" s="20">
        <f t="shared" si="9"/>
        <v>26.85</v>
      </c>
      <c r="AO28" s="20">
        <f t="shared" si="10"/>
        <v>12.8</v>
      </c>
      <c r="AP28" s="20">
        <f t="shared" si="11"/>
        <v>15.450000000000001</v>
      </c>
      <c r="AQ28" s="20">
        <f t="shared" si="12"/>
        <v>35</v>
      </c>
      <c r="AR28" s="20">
        <f t="shared" si="13"/>
        <v>51.65</v>
      </c>
      <c r="AS28" s="35">
        <f t="shared" si="30"/>
        <v>250.6</v>
      </c>
      <c r="AU28" s="47">
        <v>446752</v>
      </c>
      <c r="AV28" s="37">
        <f>IF((AU28-AU27&lt;0),"0",AU28-AU27)</f>
        <v>3063</v>
      </c>
      <c r="AW28" s="35">
        <f t="shared" si="14"/>
        <v>6.1260000000000003</v>
      </c>
    </row>
    <row r="29" spans="1:49" x14ac:dyDescent="0.25">
      <c r="A29" s="23">
        <v>44553</v>
      </c>
      <c r="B29" s="40">
        <v>179</v>
      </c>
      <c r="C29" s="24">
        <v>7460530</v>
      </c>
      <c r="D29" s="24">
        <v>17700420</v>
      </c>
      <c r="E29" s="24">
        <v>3198950</v>
      </c>
      <c r="F29" s="24">
        <v>3821760</v>
      </c>
      <c r="G29" s="24">
        <v>11248930</v>
      </c>
      <c r="H29" s="24">
        <v>6247000</v>
      </c>
      <c r="I29" s="24">
        <v>5553580</v>
      </c>
      <c r="J29" s="24">
        <v>6781160</v>
      </c>
      <c r="K29" s="24">
        <v>10267340</v>
      </c>
      <c r="L29" s="24">
        <v>4345050</v>
      </c>
      <c r="M29" s="24">
        <v>8516010</v>
      </c>
      <c r="N29" s="24">
        <v>13446630</v>
      </c>
      <c r="O29" s="24">
        <v>18639300</v>
      </c>
      <c r="Q29" s="37">
        <f t="shared" si="17"/>
        <v>550</v>
      </c>
      <c r="R29" s="37">
        <f t="shared" si="18"/>
        <v>7760</v>
      </c>
      <c r="S29" s="37">
        <f t="shared" si="16"/>
        <v>290</v>
      </c>
      <c r="T29" s="37">
        <f t="shared" si="19"/>
        <v>1360</v>
      </c>
      <c r="U29" s="37">
        <f t="shared" si="20"/>
        <v>5070</v>
      </c>
      <c r="V29" s="37">
        <f t="shared" si="21"/>
        <v>3510</v>
      </c>
      <c r="W29" s="37">
        <f t="shared" si="22"/>
        <v>2320</v>
      </c>
      <c r="X29" s="37">
        <f t="shared" si="23"/>
        <v>4670</v>
      </c>
      <c r="Y29" s="37">
        <f t="shared" si="24"/>
        <v>5300</v>
      </c>
      <c r="Z29" s="37">
        <f t="shared" si="25"/>
        <v>2660</v>
      </c>
      <c r="AA29" s="37">
        <f t="shared" si="26"/>
        <v>3450</v>
      </c>
      <c r="AB29" s="37">
        <f t="shared" si="27"/>
        <v>7180</v>
      </c>
      <c r="AC29" s="37">
        <f t="shared" si="28"/>
        <v>9550</v>
      </c>
      <c r="AD29" s="35">
        <f t="shared" si="29"/>
        <v>53670</v>
      </c>
      <c r="AF29" s="20">
        <f t="shared" si="1"/>
        <v>2.75</v>
      </c>
      <c r="AG29" s="20">
        <f t="shared" si="2"/>
        <v>38.800000000000004</v>
      </c>
      <c r="AH29" s="20">
        <f t="shared" si="3"/>
        <v>1.45</v>
      </c>
      <c r="AI29" s="20">
        <f t="shared" si="4"/>
        <v>6.8</v>
      </c>
      <c r="AJ29" s="20">
        <f t="shared" si="5"/>
        <v>25.35</v>
      </c>
      <c r="AK29" s="20">
        <f t="shared" si="6"/>
        <v>17.55</v>
      </c>
      <c r="AL29" s="20">
        <f t="shared" si="7"/>
        <v>11.6</v>
      </c>
      <c r="AM29" s="20">
        <f t="shared" si="8"/>
        <v>23.35</v>
      </c>
      <c r="AN29" s="20">
        <f t="shared" si="9"/>
        <v>26.5</v>
      </c>
      <c r="AO29" s="20">
        <f t="shared" si="10"/>
        <v>13.3</v>
      </c>
      <c r="AP29" s="20">
        <f t="shared" si="11"/>
        <v>17.25</v>
      </c>
      <c r="AQ29" s="20">
        <f t="shared" si="12"/>
        <v>35.9</v>
      </c>
      <c r="AR29" s="20">
        <f t="shared" si="13"/>
        <v>47.75</v>
      </c>
      <c r="AS29" s="35">
        <f t="shared" si="30"/>
        <v>268.35000000000002</v>
      </c>
      <c r="AU29" s="47">
        <v>448258</v>
      </c>
      <c r="AV29" s="37">
        <f t="shared" ref="AV29:AV35" si="34">IF((AU29-AU28&lt;0),"0",AU29-AU28)</f>
        <v>1506</v>
      </c>
      <c r="AW29" s="35">
        <f t="shared" si="14"/>
        <v>3.012</v>
      </c>
    </row>
    <row r="30" spans="1:49" x14ac:dyDescent="0.25">
      <c r="A30" s="23">
        <v>44554</v>
      </c>
      <c r="B30" s="40">
        <v>185</v>
      </c>
      <c r="C30" s="24">
        <v>7461080</v>
      </c>
      <c r="D30" s="24">
        <v>17709240</v>
      </c>
      <c r="E30" s="24">
        <v>3198950</v>
      </c>
      <c r="F30" s="24">
        <v>3823120</v>
      </c>
      <c r="G30" s="24">
        <v>11254320</v>
      </c>
      <c r="H30" s="24">
        <v>6251010</v>
      </c>
      <c r="I30" s="24">
        <v>5555910</v>
      </c>
      <c r="J30" s="24">
        <v>6785880</v>
      </c>
      <c r="K30" s="24">
        <v>10272450</v>
      </c>
      <c r="L30" s="24">
        <v>4347920</v>
      </c>
      <c r="M30" s="24">
        <v>8519540</v>
      </c>
      <c r="N30" s="24">
        <v>13453790</v>
      </c>
      <c r="O30" s="24">
        <v>18648690</v>
      </c>
      <c r="Q30" s="37">
        <f t="shared" si="17"/>
        <v>550</v>
      </c>
      <c r="R30" s="37">
        <f t="shared" si="18"/>
        <v>8820</v>
      </c>
      <c r="S30" s="37">
        <f t="shared" si="16"/>
        <v>0</v>
      </c>
      <c r="T30" s="37">
        <f t="shared" si="19"/>
        <v>1360</v>
      </c>
      <c r="U30" s="37">
        <f t="shared" si="20"/>
        <v>5390</v>
      </c>
      <c r="V30" s="37">
        <f t="shared" si="21"/>
        <v>4010</v>
      </c>
      <c r="W30" s="37">
        <f t="shared" si="22"/>
        <v>2330</v>
      </c>
      <c r="X30" s="37">
        <f t="shared" si="23"/>
        <v>4720</v>
      </c>
      <c r="Y30" s="37">
        <f t="shared" si="24"/>
        <v>5110</v>
      </c>
      <c r="Z30" s="37">
        <f t="shared" si="25"/>
        <v>2870</v>
      </c>
      <c r="AA30" s="37">
        <f t="shared" si="26"/>
        <v>3530</v>
      </c>
      <c r="AB30" s="37">
        <f t="shared" si="27"/>
        <v>7160</v>
      </c>
      <c r="AC30" s="37">
        <f t="shared" si="28"/>
        <v>9390</v>
      </c>
      <c r="AD30" s="35">
        <f t="shared" si="29"/>
        <v>55240</v>
      </c>
      <c r="AF30" s="20">
        <f t="shared" si="1"/>
        <v>2.75</v>
      </c>
      <c r="AG30" s="20">
        <f t="shared" si="2"/>
        <v>44.1</v>
      </c>
      <c r="AH30" s="20">
        <f t="shared" si="3"/>
        <v>0</v>
      </c>
      <c r="AI30" s="20">
        <f t="shared" si="4"/>
        <v>6.8</v>
      </c>
      <c r="AJ30" s="20">
        <f t="shared" si="5"/>
        <v>26.95</v>
      </c>
      <c r="AK30" s="20">
        <f t="shared" si="6"/>
        <v>20.05</v>
      </c>
      <c r="AL30" s="20">
        <f t="shared" si="7"/>
        <v>11.65</v>
      </c>
      <c r="AM30" s="20">
        <f t="shared" si="8"/>
        <v>23.6</v>
      </c>
      <c r="AN30" s="20">
        <f t="shared" si="9"/>
        <v>25.55</v>
      </c>
      <c r="AO30" s="20">
        <f t="shared" si="10"/>
        <v>14.35</v>
      </c>
      <c r="AP30" s="20">
        <f t="shared" si="11"/>
        <v>17.650000000000002</v>
      </c>
      <c r="AQ30" s="20">
        <f t="shared" si="12"/>
        <v>35.800000000000004</v>
      </c>
      <c r="AR30" s="20">
        <f t="shared" si="13"/>
        <v>46.95</v>
      </c>
      <c r="AS30" s="35">
        <f t="shared" si="30"/>
        <v>276.20000000000005</v>
      </c>
      <c r="AU30" s="47">
        <v>450331</v>
      </c>
      <c r="AV30" s="37">
        <f t="shared" si="34"/>
        <v>2073</v>
      </c>
      <c r="AW30" s="35">
        <f t="shared" si="14"/>
        <v>4.1459999999999999</v>
      </c>
    </row>
    <row r="31" spans="1:49" x14ac:dyDescent="0.25">
      <c r="A31" s="23">
        <v>44555</v>
      </c>
      <c r="B31" s="40">
        <v>112</v>
      </c>
      <c r="C31" s="24">
        <v>7461640</v>
      </c>
      <c r="D31" s="24">
        <v>17718210</v>
      </c>
      <c r="E31" s="24">
        <v>3198950</v>
      </c>
      <c r="F31" s="24">
        <v>3824510</v>
      </c>
      <c r="G31" s="24">
        <v>11259830</v>
      </c>
      <c r="H31" s="24">
        <v>6254900</v>
      </c>
      <c r="I31" s="24">
        <v>5558330</v>
      </c>
      <c r="J31" s="24">
        <v>6790740</v>
      </c>
      <c r="K31" s="24">
        <v>10277710</v>
      </c>
      <c r="L31" s="24">
        <v>4350670</v>
      </c>
      <c r="M31" s="24">
        <v>8523040</v>
      </c>
      <c r="N31" s="24">
        <v>13461170</v>
      </c>
      <c r="O31" s="24">
        <v>18660740</v>
      </c>
      <c r="Q31" s="37">
        <f>IF((C31-C30&lt;0), "0",C31-C30)</f>
        <v>560</v>
      </c>
      <c r="R31" s="37">
        <f t="shared" si="18"/>
        <v>8970</v>
      </c>
      <c r="S31" s="37">
        <f t="shared" si="16"/>
        <v>0</v>
      </c>
      <c r="T31" s="37">
        <f t="shared" si="19"/>
        <v>1390</v>
      </c>
      <c r="U31" s="37">
        <f t="shared" si="20"/>
        <v>5510</v>
      </c>
      <c r="V31" s="37">
        <f t="shared" si="21"/>
        <v>3890</v>
      </c>
      <c r="W31" s="37">
        <f t="shared" si="22"/>
        <v>2420</v>
      </c>
      <c r="X31" s="37">
        <f t="shared" si="23"/>
        <v>4860</v>
      </c>
      <c r="Y31" s="37">
        <f t="shared" si="24"/>
        <v>5260</v>
      </c>
      <c r="Z31" s="37">
        <f t="shared" si="25"/>
        <v>2750</v>
      </c>
      <c r="AA31" s="37">
        <f t="shared" si="26"/>
        <v>3500</v>
      </c>
      <c r="AB31" s="37">
        <f t="shared" si="27"/>
        <v>7380</v>
      </c>
      <c r="AC31" s="37">
        <f t="shared" si="28"/>
        <v>12050</v>
      </c>
      <c r="AD31" s="35">
        <f t="shared" si="29"/>
        <v>58540</v>
      </c>
      <c r="AF31" s="20">
        <f t="shared" si="1"/>
        <v>2.8000000000000003</v>
      </c>
      <c r="AG31" s="20">
        <f t="shared" si="2"/>
        <v>44.85</v>
      </c>
      <c r="AH31" s="20">
        <f t="shared" si="3"/>
        <v>0</v>
      </c>
      <c r="AI31" s="20">
        <f t="shared" si="4"/>
        <v>6.95</v>
      </c>
      <c r="AJ31" s="20">
        <f t="shared" si="5"/>
        <v>27.55</v>
      </c>
      <c r="AK31" s="20">
        <f t="shared" si="6"/>
        <v>19.45</v>
      </c>
      <c r="AL31" s="20">
        <f t="shared" si="7"/>
        <v>12.1</v>
      </c>
      <c r="AM31" s="20">
        <f t="shared" si="8"/>
        <v>24.3</v>
      </c>
      <c r="AN31" s="20">
        <f t="shared" si="9"/>
        <v>26.3</v>
      </c>
      <c r="AO31" s="20">
        <f t="shared" si="10"/>
        <v>13.75</v>
      </c>
      <c r="AP31" s="20">
        <f t="shared" si="11"/>
        <v>17.5</v>
      </c>
      <c r="AQ31" s="20">
        <f t="shared" si="12"/>
        <v>36.9</v>
      </c>
      <c r="AR31" s="20">
        <f t="shared" si="13"/>
        <v>60.25</v>
      </c>
      <c r="AS31" s="35">
        <f t="shared" si="30"/>
        <v>292.70000000000005</v>
      </c>
      <c r="AU31" s="47">
        <v>451728</v>
      </c>
      <c r="AV31" s="37">
        <f t="shared" si="34"/>
        <v>1397</v>
      </c>
      <c r="AW31" s="35">
        <f t="shared" si="14"/>
        <v>2.794</v>
      </c>
    </row>
    <row r="32" spans="1:49" x14ac:dyDescent="0.25">
      <c r="A32" s="23">
        <v>44556</v>
      </c>
      <c r="B32" s="40">
        <v>95</v>
      </c>
      <c r="C32" s="24">
        <v>7462210</v>
      </c>
      <c r="D32" s="24">
        <v>17726080</v>
      </c>
      <c r="E32" s="24">
        <v>3198950</v>
      </c>
      <c r="F32" s="24">
        <v>3825840</v>
      </c>
      <c r="G32" s="24">
        <v>11264950</v>
      </c>
      <c r="H32" s="24">
        <v>6258870</v>
      </c>
      <c r="I32" s="24">
        <v>5560690</v>
      </c>
      <c r="J32" s="24">
        <v>6795170</v>
      </c>
      <c r="K32" s="24">
        <v>10282600</v>
      </c>
      <c r="L32" s="24">
        <v>4353290</v>
      </c>
      <c r="M32" s="24">
        <v>8526270</v>
      </c>
      <c r="N32" s="24">
        <v>13468400</v>
      </c>
      <c r="O32" s="24">
        <v>18671980</v>
      </c>
      <c r="Q32" s="37">
        <f>IF((C32-C31&lt;0), "0",C32-C31)</f>
        <v>570</v>
      </c>
      <c r="R32" s="37">
        <f t="shared" si="18"/>
        <v>7870</v>
      </c>
      <c r="S32" s="37">
        <f t="shared" si="16"/>
        <v>0</v>
      </c>
      <c r="T32" s="37">
        <f t="shared" si="19"/>
        <v>1330</v>
      </c>
      <c r="U32" s="37">
        <f t="shared" si="20"/>
        <v>5120</v>
      </c>
      <c r="V32" s="37">
        <f t="shared" si="21"/>
        <v>3970</v>
      </c>
      <c r="W32" s="37">
        <f t="shared" si="22"/>
        <v>2360</v>
      </c>
      <c r="X32" s="37">
        <f t="shared" si="23"/>
        <v>4430</v>
      </c>
      <c r="Y32" s="37">
        <f t="shared" si="24"/>
        <v>4890</v>
      </c>
      <c r="Z32" s="37">
        <f t="shared" si="25"/>
        <v>2620</v>
      </c>
      <c r="AA32" s="37">
        <f t="shared" si="26"/>
        <v>3230</v>
      </c>
      <c r="AB32" s="37">
        <f t="shared" si="27"/>
        <v>7230</v>
      </c>
      <c r="AC32" s="37">
        <f t="shared" si="28"/>
        <v>11240</v>
      </c>
      <c r="AD32" s="35">
        <f t="shared" si="29"/>
        <v>54860</v>
      </c>
      <c r="AF32" s="20">
        <f t="shared" si="1"/>
        <v>2.85</v>
      </c>
      <c r="AG32" s="20">
        <f t="shared" si="2"/>
        <v>39.35</v>
      </c>
      <c r="AH32" s="20">
        <f t="shared" si="3"/>
        <v>0</v>
      </c>
      <c r="AI32" s="20">
        <f t="shared" si="4"/>
        <v>6.65</v>
      </c>
      <c r="AJ32" s="20">
        <f t="shared" si="5"/>
        <v>25.6</v>
      </c>
      <c r="AK32" s="20">
        <f t="shared" si="6"/>
        <v>19.850000000000001</v>
      </c>
      <c r="AL32" s="20">
        <f t="shared" si="7"/>
        <v>11.8</v>
      </c>
      <c r="AM32" s="20">
        <f t="shared" si="8"/>
        <v>22.150000000000002</v>
      </c>
      <c r="AN32" s="20">
        <f t="shared" si="9"/>
        <v>24.45</v>
      </c>
      <c r="AO32" s="20">
        <f t="shared" si="10"/>
        <v>13.1</v>
      </c>
      <c r="AP32" s="20">
        <f t="shared" si="11"/>
        <v>16.149999999999999</v>
      </c>
      <c r="AQ32" s="20">
        <f t="shared" si="12"/>
        <v>36.15</v>
      </c>
      <c r="AR32" s="20">
        <f t="shared" si="13"/>
        <v>56.2</v>
      </c>
      <c r="AS32" s="35">
        <f t="shared" si="30"/>
        <v>274.3</v>
      </c>
      <c r="AU32" s="47">
        <v>453144</v>
      </c>
      <c r="AV32" s="37">
        <f t="shared" si="34"/>
        <v>1416</v>
      </c>
      <c r="AW32" s="35">
        <f t="shared" si="14"/>
        <v>2.8319999999999999</v>
      </c>
    </row>
    <row r="33" spans="1:49" x14ac:dyDescent="0.25">
      <c r="A33" s="23">
        <v>44557</v>
      </c>
      <c r="B33" s="40">
        <v>91</v>
      </c>
      <c r="C33" s="24">
        <v>7462830</v>
      </c>
      <c r="D33" s="24">
        <v>17734600</v>
      </c>
      <c r="E33" s="24">
        <v>3198950</v>
      </c>
      <c r="F33" s="24">
        <v>3827330</v>
      </c>
      <c r="G33" s="24">
        <v>11270360</v>
      </c>
      <c r="H33" s="24">
        <v>6263170</v>
      </c>
      <c r="I33" s="24">
        <v>5563330</v>
      </c>
      <c r="J33" s="24">
        <v>6800320</v>
      </c>
      <c r="K33" s="24">
        <v>10287990</v>
      </c>
      <c r="L33" s="24">
        <v>4356230</v>
      </c>
      <c r="M33" s="24">
        <v>8529560</v>
      </c>
      <c r="N33" s="24">
        <v>13476450</v>
      </c>
      <c r="O33" s="24">
        <v>18685000</v>
      </c>
      <c r="Q33" s="37">
        <f>IF((C33-C32&lt;0), "0",C33-C32)</f>
        <v>620</v>
      </c>
      <c r="R33" s="37">
        <f t="shared" si="18"/>
        <v>8520</v>
      </c>
      <c r="S33" s="37">
        <f t="shared" si="16"/>
        <v>0</v>
      </c>
      <c r="T33" s="37">
        <f t="shared" si="19"/>
        <v>1490</v>
      </c>
      <c r="U33" s="37">
        <f t="shared" si="20"/>
        <v>5410</v>
      </c>
      <c r="V33" s="37">
        <f t="shared" si="21"/>
        <v>4300</v>
      </c>
      <c r="W33" s="37">
        <f t="shared" si="22"/>
        <v>2640</v>
      </c>
      <c r="X33" s="37">
        <f t="shared" si="23"/>
        <v>5150</v>
      </c>
      <c r="Y33" s="37">
        <f t="shared" si="24"/>
        <v>5390</v>
      </c>
      <c r="Z33" s="37">
        <f t="shared" si="25"/>
        <v>2940</v>
      </c>
      <c r="AA33" s="37">
        <f t="shared" si="26"/>
        <v>3290</v>
      </c>
      <c r="AB33" s="37">
        <f t="shared" si="27"/>
        <v>8050</v>
      </c>
      <c r="AC33" s="37">
        <f t="shared" si="28"/>
        <v>13020</v>
      </c>
      <c r="AD33" s="35">
        <f t="shared" si="29"/>
        <v>60820</v>
      </c>
      <c r="AF33" s="20">
        <f t="shared" si="1"/>
        <v>3.1</v>
      </c>
      <c r="AG33" s="20">
        <f t="shared" si="2"/>
        <v>42.6</v>
      </c>
      <c r="AH33" s="20">
        <f t="shared" si="3"/>
        <v>0</v>
      </c>
      <c r="AI33" s="20">
        <f t="shared" si="4"/>
        <v>7.45</v>
      </c>
      <c r="AJ33" s="20">
        <f t="shared" si="5"/>
        <v>27.05</v>
      </c>
      <c r="AK33" s="20">
        <f t="shared" si="6"/>
        <v>21.5</v>
      </c>
      <c r="AL33" s="20">
        <f t="shared" si="7"/>
        <v>13.200000000000001</v>
      </c>
      <c r="AM33" s="20">
        <f t="shared" si="8"/>
        <v>25.75</v>
      </c>
      <c r="AN33" s="20">
        <f t="shared" si="9"/>
        <v>26.95</v>
      </c>
      <c r="AO33" s="20">
        <f t="shared" si="10"/>
        <v>14.700000000000001</v>
      </c>
      <c r="AP33" s="20">
        <f t="shared" si="11"/>
        <v>16.45</v>
      </c>
      <c r="AQ33" s="20">
        <f t="shared" si="12"/>
        <v>40.25</v>
      </c>
      <c r="AR33" s="20">
        <f t="shared" si="13"/>
        <v>65.099999999999994</v>
      </c>
      <c r="AS33" s="35">
        <f t="shared" si="30"/>
        <v>304.09999999999997</v>
      </c>
      <c r="AU33" s="47">
        <v>454901</v>
      </c>
      <c r="AV33" s="37">
        <f t="shared" si="34"/>
        <v>1757</v>
      </c>
      <c r="AW33" s="35">
        <f t="shared" si="14"/>
        <v>3.5140000000000002</v>
      </c>
    </row>
    <row r="34" spans="1:49" x14ac:dyDescent="0.25">
      <c r="A34" s="23">
        <v>44558</v>
      </c>
      <c r="B34" s="51">
        <v>85</v>
      </c>
      <c r="C34" s="50">
        <v>7463340</v>
      </c>
      <c r="D34" s="24">
        <v>17741360</v>
      </c>
      <c r="E34" s="24">
        <v>3198950</v>
      </c>
      <c r="F34" s="24">
        <v>3828550</v>
      </c>
      <c r="G34" s="24">
        <v>11275020</v>
      </c>
      <c r="H34" s="24">
        <v>6266960</v>
      </c>
      <c r="I34" s="24">
        <v>5565510</v>
      </c>
      <c r="J34" s="24">
        <v>6804910</v>
      </c>
      <c r="K34" s="24">
        <v>10292400</v>
      </c>
      <c r="L34" s="24">
        <v>4358570</v>
      </c>
      <c r="M34" s="24">
        <v>8532480</v>
      </c>
      <c r="N34" s="24">
        <v>13482950</v>
      </c>
      <c r="O34" s="24">
        <v>18696620</v>
      </c>
      <c r="Q34" s="37">
        <f>IF((C34-C33&lt;0), "0",C34-C33)</f>
        <v>510</v>
      </c>
      <c r="R34" s="37">
        <f t="shared" si="18"/>
        <v>6760</v>
      </c>
      <c r="S34" s="37">
        <f t="shared" si="16"/>
        <v>0</v>
      </c>
      <c r="T34" s="37">
        <f t="shared" si="19"/>
        <v>1220</v>
      </c>
      <c r="U34" s="37">
        <f t="shared" si="20"/>
        <v>4660</v>
      </c>
      <c r="V34" s="37">
        <f t="shared" si="21"/>
        <v>3790</v>
      </c>
      <c r="W34" s="37">
        <f t="shared" si="22"/>
        <v>2180</v>
      </c>
      <c r="X34" s="37">
        <f t="shared" si="23"/>
        <v>4590</v>
      </c>
      <c r="Y34" s="37">
        <f t="shared" si="24"/>
        <v>4410</v>
      </c>
      <c r="Z34" s="37">
        <f t="shared" si="25"/>
        <v>2340</v>
      </c>
      <c r="AA34" s="37">
        <f t="shared" si="26"/>
        <v>2920</v>
      </c>
      <c r="AB34" s="37">
        <v>0</v>
      </c>
      <c r="AC34" s="37">
        <f t="shared" si="28"/>
        <v>11620</v>
      </c>
      <c r="AD34" s="35">
        <f t="shared" si="29"/>
        <v>45000</v>
      </c>
      <c r="AF34" s="20">
        <f>Q34*$D$39</f>
        <v>2.5500000000000003</v>
      </c>
      <c r="AG34" s="20">
        <f t="shared" si="2"/>
        <v>33.799999999999997</v>
      </c>
      <c r="AH34" s="20">
        <f t="shared" si="3"/>
        <v>0</v>
      </c>
      <c r="AI34" s="20">
        <f t="shared" si="4"/>
        <v>6.1000000000000005</v>
      </c>
      <c r="AJ34" s="20">
        <f t="shared" si="5"/>
        <v>23.3</v>
      </c>
      <c r="AK34" s="20">
        <f t="shared" si="6"/>
        <v>18.95</v>
      </c>
      <c r="AL34" s="20">
        <f t="shared" si="7"/>
        <v>10.9</v>
      </c>
      <c r="AM34" s="20">
        <f t="shared" si="8"/>
        <v>22.95</v>
      </c>
      <c r="AN34" s="20">
        <f t="shared" si="9"/>
        <v>22.05</v>
      </c>
      <c r="AO34" s="20">
        <f t="shared" si="10"/>
        <v>11.700000000000001</v>
      </c>
      <c r="AP34" s="20">
        <f t="shared" si="11"/>
        <v>14.6</v>
      </c>
      <c r="AQ34" s="20">
        <f t="shared" si="12"/>
        <v>0</v>
      </c>
      <c r="AR34" s="20">
        <f t="shared" si="13"/>
        <v>58.1</v>
      </c>
      <c r="AS34" s="35">
        <f>SUM(AF34:AR34)</f>
        <v>225</v>
      </c>
      <c r="AU34" s="47">
        <v>456610</v>
      </c>
      <c r="AV34" s="37">
        <f t="shared" si="34"/>
        <v>1709</v>
      </c>
      <c r="AW34" s="35">
        <f t="shared" si="14"/>
        <v>3.4180000000000001</v>
      </c>
    </row>
    <row r="35" spans="1:49" x14ac:dyDescent="0.25">
      <c r="A35" s="23">
        <v>44559</v>
      </c>
      <c r="B35" s="40">
        <v>99</v>
      </c>
      <c r="C35" s="24">
        <v>7463910</v>
      </c>
      <c r="D35" s="24">
        <v>17749060</v>
      </c>
      <c r="E35" s="24">
        <v>3198950</v>
      </c>
      <c r="F35" s="24">
        <v>3829900</v>
      </c>
      <c r="G35" s="24">
        <v>11280040</v>
      </c>
      <c r="H35" s="24">
        <v>6271010</v>
      </c>
      <c r="I35" s="24">
        <v>5567970</v>
      </c>
      <c r="J35" s="24">
        <v>6809840</v>
      </c>
      <c r="K35" s="24">
        <v>10297440</v>
      </c>
      <c r="L35" s="24">
        <v>4361230</v>
      </c>
      <c r="M35" s="24">
        <v>8535680</v>
      </c>
      <c r="N35" s="24">
        <v>13490250</v>
      </c>
      <c r="O35" s="24">
        <v>18708360</v>
      </c>
      <c r="Q35" s="37">
        <f>IF((C35-C34&lt;0), "0",C35-C34)</f>
        <v>570</v>
      </c>
      <c r="R35" s="37">
        <f t="shared" si="18"/>
        <v>7700</v>
      </c>
      <c r="S35" s="37">
        <f t="shared" si="16"/>
        <v>0</v>
      </c>
      <c r="T35" s="37">
        <f t="shared" si="19"/>
        <v>1350</v>
      </c>
      <c r="U35" s="37">
        <f t="shared" si="20"/>
        <v>5020</v>
      </c>
      <c r="V35" s="37">
        <f t="shared" si="21"/>
        <v>4050</v>
      </c>
      <c r="W35" s="37">
        <f t="shared" si="22"/>
        <v>2460</v>
      </c>
      <c r="X35" s="37">
        <f t="shared" si="23"/>
        <v>4930</v>
      </c>
      <c r="Y35" s="37">
        <f t="shared" si="24"/>
        <v>5040</v>
      </c>
      <c r="Z35" s="37">
        <f t="shared" si="25"/>
        <v>2660</v>
      </c>
      <c r="AA35" s="37">
        <f t="shared" si="26"/>
        <v>3200</v>
      </c>
      <c r="AB35" s="37">
        <v>0</v>
      </c>
      <c r="AC35" s="37">
        <f t="shared" si="28"/>
        <v>11740</v>
      </c>
      <c r="AD35" s="35">
        <f t="shared" si="29"/>
        <v>48720</v>
      </c>
      <c r="AF35" s="20">
        <f t="shared" si="1"/>
        <v>2.85</v>
      </c>
      <c r="AG35" s="20">
        <f t="shared" si="2"/>
        <v>38.5</v>
      </c>
      <c r="AH35" s="20">
        <f t="shared" si="3"/>
        <v>0</v>
      </c>
      <c r="AI35" s="20">
        <f t="shared" si="4"/>
        <v>6.75</v>
      </c>
      <c r="AJ35" s="20">
        <f t="shared" si="5"/>
        <v>25.1</v>
      </c>
      <c r="AK35" s="20">
        <f t="shared" si="6"/>
        <v>20.25</v>
      </c>
      <c r="AL35" s="20">
        <f t="shared" si="7"/>
        <v>12.3</v>
      </c>
      <c r="AM35" s="20">
        <f t="shared" si="8"/>
        <v>24.650000000000002</v>
      </c>
      <c r="AN35" s="20">
        <f t="shared" si="9"/>
        <v>25.2</v>
      </c>
      <c r="AO35" s="20">
        <f t="shared" si="10"/>
        <v>13.3</v>
      </c>
      <c r="AP35" s="20">
        <f t="shared" si="11"/>
        <v>16</v>
      </c>
      <c r="AQ35" s="20">
        <f t="shared" si="12"/>
        <v>0</v>
      </c>
      <c r="AR35" s="20">
        <f t="shared" si="13"/>
        <v>58.7</v>
      </c>
      <c r="AS35" s="35">
        <f>SUM(AF35:AR35)</f>
        <v>243.60000000000002</v>
      </c>
      <c r="AU35" s="47">
        <v>458232</v>
      </c>
      <c r="AV35" s="37">
        <f t="shared" si="34"/>
        <v>1622</v>
      </c>
      <c r="AW35" s="35">
        <f t="shared" si="14"/>
        <v>3.2440000000000002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35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7"/>
        <v>0</v>
      </c>
      <c r="AC36" s="37" t="str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17380</v>
      </c>
      <c r="R38" s="38">
        <f t="shared" ref="R38:AD38" si="62">SUM(R7:R37)</f>
        <v>109010</v>
      </c>
      <c r="S38" s="38">
        <f t="shared" si="62"/>
        <v>55670</v>
      </c>
      <c r="T38" s="38">
        <f t="shared" si="62"/>
        <v>40140</v>
      </c>
      <c r="U38" s="38">
        <f t="shared" si="62"/>
        <v>141770</v>
      </c>
      <c r="V38" s="38">
        <f t="shared" si="62"/>
        <v>115230</v>
      </c>
      <c r="W38" s="38">
        <f t="shared" si="62"/>
        <v>71220</v>
      </c>
      <c r="X38" s="38">
        <f t="shared" si="62"/>
        <v>136630</v>
      </c>
      <c r="Y38" s="38">
        <f t="shared" si="62"/>
        <v>163550</v>
      </c>
      <c r="Z38" s="38">
        <f t="shared" si="62"/>
        <v>76350</v>
      </c>
      <c r="AA38" s="38">
        <f t="shared" si="62"/>
        <v>92860</v>
      </c>
      <c r="AB38" s="38">
        <f t="shared" si="62"/>
        <v>192250</v>
      </c>
      <c r="AC38" s="38">
        <f t="shared" si="62"/>
        <v>301750</v>
      </c>
      <c r="AD38" s="38">
        <f t="shared" si="62"/>
        <v>1513810</v>
      </c>
      <c r="AF38" s="35">
        <f>SUM(AF7:AF37)</f>
        <v>86.899999999999991</v>
      </c>
      <c r="AG38" s="35">
        <f t="shared" ref="AG38:AS38" si="63">SUM(AG7:AG37)</f>
        <v>545.05000000000007</v>
      </c>
      <c r="AH38" s="35">
        <f t="shared" si="63"/>
        <v>278.34999999999997</v>
      </c>
      <c r="AI38" s="35">
        <f t="shared" si="63"/>
        <v>200.7</v>
      </c>
      <c r="AJ38" s="35">
        <f t="shared" si="63"/>
        <v>708.84999999999991</v>
      </c>
      <c r="AK38" s="35">
        <f t="shared" si="63"/>
        <v>576.15000000000009</v>
      </c>
      <c r="AL38" s="35">
        <f t="shared" si="63"/>
        <v>356.10000000000008</v>
      </c>
      <c r="AM38" s="35">
        <f t="shared" si="63"/>
        <v>683.15</v>
      </c>
      <c r="AN38" s="35">
        <f t="shared" si="63"/>
        <v>817.75</v>
      </c>
      <c r="AO38" s="35">
        <f t="shared" si="63"/>
        <v>381.75000000000006</v>
      </c>
      <c r="AP38" s="35">
        <f t="shared" si="63"/>
        <v>464.29999999999995</v>
      </c>
      <c r="AQ38" s="35">
        <f t="shared" si="63"/>
        <v>961.24999999999989</v>
      </c>
      <c r="AR38" s="35">
        <f t="shared" si="63"/>
        <v>1508.75</v>
      </c>
      <c r="AS38" s="35">
        <f t="shared" si="63"/>
        <v>7569.050000000002</v>
      </c>
      <c r="AU38" s="48"/>
      <c r="AV38" s="35">
        <f>SUM(AV7:AV34)</f>
        <v>53079</v>
      </c>
      <c r="AW38" s="35">
        <f>SUM(AW7:AW34)</f>
        <v>106.158</v>
      </c>
    </row>
    <row r="39" spans="1:49" x14ac:dyDescent="0.25">
      <c r="D39">
        <v>5.0000000000000001E-3</v>
      </c>
      <c r="AV39" s="36">
        <f>AV38*0.00378541*1000</f>
        <v>200925.77739</v>
      </c>
    </row>
    <row r="40" spans="1:49" x14ac:dyDescent="0.25">
      <c r="D40">
        <v>2E-3</v>
      </c>
      <c r="AV40">
        <f>AV39/31</f>
        <v>6481.4766900000004</v>
      </c>
    </row>
    <row r="41" spans="1:49" x14ac:dyDescent="0.25">
      <c r="AV41">
        <f>AV38*0.00378541</f>
        <v>200.92577739000001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2021-12-30T21:04:18Z</dcterms:modified>
</cp:coreProperties>
</file>