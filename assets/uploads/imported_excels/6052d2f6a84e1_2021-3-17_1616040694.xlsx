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8" i="7" l="1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6" i="7"/>
  <c r="AB37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I2" i="9"/>
  <c r="U38" i="7"/>
  <c r="AP7" i="7"/>
  <c r="AA38" i="7"/>
  <c r="AL7" i="7"/>
  <c r="W38" i="7"/>
  <c r="AG7" i="7"/>
  <c r="R38" i="7"/>
  <c r="E2" i="9"/>
  <c r="Q38" i="7"/>
  <c r="AO7" i="7"/>
  <c r="Z38" i="7"/>
  <c r="J2" i="9"/>
  <c r="V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<sst xmlns="http://schemas.openxmlformats.org/spreadsheetml/2006/main" count="128" uniqueCount="49">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</sst>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45780</v>
      </c>
      <c r="F2" s="11">
        <v>5.0000000000000001E-3</v>
      </c>
      <c r="G2" s="12">
        <f>Submetering!R2</f>
        <v>541.31362999999999</v>
      </c>
      <c r="H2" s="11">
        <v>0.52800000000000002</v>
      </c>
      <c r="I2" s="12">
        <f>Hotel!B7</f>
        <v>42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44750</v>
      </c>
      <c r="F3" s="11">
        <v>5.0000000000000001E-3</v>
      </c>
      <c r="G3" s="12">
        <f>Submetering!R3</f>
        <v>682.13088199999993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44340</v>
      </c>
      <c r="F4" s="11">
        <v>5.0000000000000001E-3</v>
      </c>
      <c r="G4" s="12">
        <f>Submetering!R4</f>
        <v>664.71799599999997</v>
      </c>
      <c r="H4" s="11">
        <v>0.52800000000000002</v>
      </c>
      <c r="I4" s="12">
        <f>Hotel!B9</f>
        <v>65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43180</v>
      </c>
      <c r="F5" s="11">
        <v>5.0000000000000001E-3</v>
      </c>
      <c r="G5" s="12">
        <f>Submetering!R5</f>
        <v>599.60894399999995</v>
      </c>
      <c r="H5" s="11">
        <v>0.52800000000000002</v>
      </c>
      <c r="I5" s="12">
        <f>Hotel!B10</f>
        <v>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43640</v>
      </c>
      <c r="F6" s="11">
        <v>5.0000000000000001E-3</v>
      </c>
      <c r="G6" s="12">
        <f>Submetering!R6</f>
        <v>479.611447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44400</v>
      </c>
      <c r="F7" s="11">
        <v>5.0000000000000001E-3</v>
      </c>
      <c r="G7" s="12">
        <f>Submetering!R7</f>
        <v>616.26474799999994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47970</v>
      </c>
      <c r="F8" s="11">
        <v>5.0000000000000001E-3</v>
      </c>
      <c r="G8" s="12">
        <f>Submetering!R8</f>
        <v>599.23040300000002</v>
      </c>
      <c r="H8" s="11">
        <v>0.52800000000000002</v>
      </c>
      <c r="I8" s="12">
        <f>Hotel!B13</f>
        <v>90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47360</v>
      </c>
      <c r="F9" s="11">
        <v>5.0000000000000001E-3</v>
      </c>
      <c r="G9" s="12">
        <f>Submetering!R9</f>
        <v>560.99776199999997</v>
      </c>
      <c r="H9" s="11">
        <v>0.52800000000000002</v>
      </c>
      <c r="I9" s="12">
        <f>Hotel!B14</f>
        <v>78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49770</v>
      </c>
      <c r="F10" s="11">
        <v>5.0000000000000001E-3</v>
      </c>
      <c r="G10" s="12">
        <f>Submetering!R10</f>
        <v>65.109052000000005</v>
      </c>
      <c r="H10" s="11">
        <v>0.52800000000000002</v>
      </c>
      <c r="I10" s="12">
        <f>Hotel!B15</f>
        <v>95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43450</v>
      </c>
      <c r="F11" s="11">
        <v>5.0000000000000001E-3</v>
      </c>
      <c r="G11" s="12">
        <f>Submetering!R11</f>
        <v>1072.406653</v>
      </c>
      <c r="H11" s="11">
        <v>0.52800000000000002</v>
      </c>
      <c r="I11" s="12">
        <f>Hotel!B16</f>
        <v>104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45040</v>
      </c>
      <c r="F12" s="11">
        <v>5.0000000000000001E-3</v>
      </c>
      <c r="G12" s="12">
        <f>Submetering!R12</f>
        <v>495.13162799999992</v>
      </c>
      <c r="H12" s="11">
        <v>0.52800000000000002</v>
      </c>
      <c r="I12" s="12">
        <f>Hotel!B17</f>
        <v>149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47790</v>
      </c>
      <c r="F13" s="11">
        <v>5.0000000000000001E-3</v>
      </c>
      <c r="G13" s="12">
        <f>Submetering!R13</f>
        <v>612.10079699999994</v>
      </c>
      <c r="H13" s="11">
        <v>0.52800000000000002</v>
      </c>
      <c r="I13" s="12">
        <f>Hotel!B18</f>
        <v>132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47620</v>
      </c>
      <c r="F14" s="11">
        <v>5.0000000000000001E-3</v>
      </c>
      <c r="G14" s="12">
        <f>Submetering!R14</f>
        <v>503.83807100000001</v>
      </c>
      <c r="H14" s="11">
        <v>0.52800000000000002</v>
      </c>
      <c r="I14" s="12">
        <f>Hotel!B19</f>
        <v>115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48450</v>
      </c>
      <c r="F15" s="11">
        <v>5.0000000000000001E-3</v>
      </c>
      <c r="G15" s="12">
        <f>Submetering!R15</f>
        <v>741.56181900000001</v>
      </c>
      <c r="H15" s="11">
        <v>0.52800000000000002</v>
      </c>
      <c r="I15" s="12">
        <f>Hotel!B20</f>
        <v>107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47490</v>
      </c>
      <c r="F16" s="11">
        <v>5.0000000000000001E-3</v>
      </c>
      <c r="G16" s="12">
        <f>Submetering!R16</f>
        <v>594.68791099999999</v>
      </c>
      <c r="H16" s="11">
        <v>0.52800000000000002</v>
      </c>
      <c r="I16" s="12">
        <f>Hotel!B21</f>
        <v>115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49190</v>
      </c>
      <c r="F17" s="11">
        <v>5.0000000000000001E-3</v>
      </c>
      <c r="G17" s="12">
        <f>Submetering!R17</f>
        <v>557.96943399999998</v>
      </c>
      <c r="H17" s="11">
        <v>0.52800000000000002</v>
      </c>
      <c r="I17" s="12">
        <f>Hotel!B22</f>
        <v>112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48460</v>
      </c>
      <c r="F18" s="11">
        <v>5.0000000000000001E-3</v>
      </c>
      <c r="G18" s="12">
        <f>Submetering!R18</f>
        <v>627.62097799999992</v>
      </c>
      <c r="H18" s="11">
        <v>0.52800000000000002</v>
      </c>
      <c r="I18" s="12">
        <f>Hotel!B23</f>
        <v>115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2021</v>
      </c>
      <c r="E2" s="4">
        <f>Hotel!Q7</f>
        <v>560</v>
      </c>
      <c r="F2" s="4">
        <f>Hotel!R7</f>
        <v>1930</v>
      </c>
      <c r="G2" s="4">
        <f>Hotel!S7</f>
        <v>2720</v>
      </c>
      <c r="H2" s="4">
        <f>Hotel!T7</f>
        <v>1510</v>
      </c>
      <c r="I2" s="4">
        <f>Hotel!U7</f>
        <v>3910</v>
      </c>
      <c r="J2" s="4">
        <f>Hotel!V7</f>
        <v>3060</v>
      </c>
      <c r="K2" s="4">
        <f>Hotel!W7</f>
        <v>2440</v>
      </c>
      <c r="L2" s="4">
        <f>Hotel!X7</f>
        <v>3470</v>
      </c>
      <c r="M2" s="4">
        <f>Hotel!Y7</f>
        <v>4500</v>
      </c>
      <c r="N2" s="4">
        <f>Hotel!Z7</f>
        <v>2400</v>
      </c>
      <c r="O2" s="4">
        <f>Hotel!AA7</f>
        <v>3210</v>
      </c>
      <c r="P2" s="4">
        <f>Hotel!AB7</f>
        <v>6840</v>
      </c>
      <c r="Q2" s="4">
        <f>Hotel!AC7</f>
        <v>9230</v>
      </c>
      <c r="R2" s="4">
        <f>Hotel!AV7*0.00378541*100</f>
        <v>541.31362999999999</v>
      </c>
      <c r="S2" s="4">
        <f>Hotel!B7</f>
        <v>42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2021</v>
      </c>
      <c r="E3" s="4">
        <f>Hotel!Q8</f>
        <v>520</v>
      </c>
      <c r="F3" s="4">
        <f>Hotel!R8</f>
        <v>1810</v>
      </c>
      <c r="G3" s="4">
        <f>Hotel!S8</f>
        <v>2610</v>
      </c>
      <c r="H3" s="4">
        <f>Hotel!T8</f>
        <v>1420</v>
      </c>
      <c r="I3" s="4">
        <f>Hotel!U8</f>
        <v>4750</v>
      </c>
      <c r="J3" s="4">
        <f>Hotel!V8</f>
        <v>2930</v>
      </c>
      <c r="K3" s="4">
        <f>Hotel!W8</f>
        <v>2330</v>
      </c>
      <c r="L3" s="4">
        <f>Hotel!X8</f>
        <v>3140</v>
      </c>
      <c r="M3" s="4">
        <f>Hotel!Y8</f>
        <v>4340</v>
      </c>
      <c r="N3" s="4">
        <f>Hotel!Z8</f>
        <v>2470</v>
      </c>
      <c r="O3" s="4">
        <f>Hotel!AA8</f>
        <v>3450</v>
      </c>
      <c r="P3" s="4">
        <f>Hotel!AB8</f>
        <v>6510</v>
      </c>
      <c r="Q3" s="4">
        <f>Hotel!AC8</f>
        <v>8470</v>
      </c>
      <c r="R3" s="4">
        <f>Hotel!AV8*0.00378541*100</f>
        <v>682.13088199999993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2021</v>
      </c>
      <c r="E4" s="4">
        <f>Hotel!Q9</f>
        <v>550</v>
      </c>
      <c r="F4" s="4">
        <f>Hotel!R9</f>
        <v>1890</v>
      </c>
      <c r="G4" s="4">
        <f>Hotel!S9</f>
        <v>2740</v>
      </c>
      <c r="H4" s="4">
        <f>Hotel!T9</f>
        <v>1480</v>
      </c>
      <c r="I4" s="4">
        <f>Hotel!U9</f>
        <v>4000</v>
      </c>
      <c r="J4" s="4">
        <f>Hotel!V9</f>
        <v>2920</v>
      </c>
      <c r="K4" s="4">
        <f>Hotel!W9</f>
        <v>2370</v>
      </c>
      <c r="L4" s="4">
        <f>Hotel!X9</f>
        <v>3160</v>
      </c>
      <c r="M4" s="4">
        <f>Hotel!Y9</f>
        <v>4340</v>
      </c>
      <c r="N4" s="4">
        <f>Hotel!Z9</f>
        <v>2450</v>
      </c>
      <c r="O4" s="4">
        <f>Hotel!AA9</f>
        <v>3020</v>
      </c>
      <c r="P4" s="4">
        <f>Hotel!AB9</f>
        <v>6710</v>
      </c>
      <c r="Q4" s="4">
        <f>Hotel!AC9</f>
        <v>8710</v>
      </c>
      <c r="R4" s="4">
        <f>Hotel!AV9*0.00378541*100</f>
        <v>664.71799599999997</v>
      </c>
      <c r="S4" s="4">
        <f>Hotel!B9</f>
        <v>65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2021</v>
      </c>
      <c r="E5" s="4">
        <f>Hotel!Q10</f>
        <v>530</v>
      </c>
      <c r="F5" s="4">
        <f>Hotel!R10</f>
        <v>1860</v>
      </c>
      <c r="G5" s="4">
        <f>Hotel!S10</f>
        <v>2690</v>
      </c>
      <c r="H5" s="4">
        <f>Hotel!T10</f>
        <v>1460</v>
      </c>
      <c r="I5" s="4">
        <f>Hotel!U10</f>
        <v>4090</v>
      </c>
      <c r="J5" s="4">
        <f>Hotel!V10</f>
        <v>2780</v>
      </c>
      <c r="K5" s="4">
        <f>Hotel!W10</f>
        <v>2290</v>
      </c>
      <c r="L5" s="4">
        <f>Hotel!X10</f>
        <v>3030</v>
      </c>
      <c r="M5" s="4">
        <f>Hotel!Y10</f>
        <v>4310</v>
      </c>
      <c r="N5" s="4">
        <f>Hotel!Z10</f>
        <v>2510</v>
      </c>
      <c r="O5" s="4">
        <f>Hotel!AA10</f>
        <v>3210</v>
      </c>
      <c r="P5" s="4">
        <f>Hotel!AB10</f>
        <v>6330</v>
      </c>
      <c r="Q5" s="4">
        <f>Hotel!AC10</f>
        <v>8090</v>
      </c>
      <c r="R5" s="4">
        <f>Hotel!AV10*0.00378541*100</f>
        <v>599.60894399999995</v>
      </c>
      <c r="S5" s="4">
        <f>Hotel!B10</f>
        <v>85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2760</v>
      </c>
      <c r="H6" s="4">
        <f>Hotel!T11</f>
        <v>1470</v>
      </c>
      <c r="I6" s="4">
        <f>Hotel!U11</f>
        <v>4300</v>
      </c>
      <c r="J6" s="4">
        <f>Hotel!V11</f>
        <v>2940</v>
      </c>
      <c r="K6" s="4">
        <f>Hotel!W11</f>
        <v>2260</v>
      </c>
      <c r="L6" s="4">
        <f>Hotel!X11</f>
        <v>3060</v>
      </c>
      <c r="M6" s="4">
        <f>Hotel!Y11</f>
        <v>4330</v>
      </c>
      <c r="N6" s="4">
        <f>Hotel!Z11</f>
        <v>2730</v>
      </c>
      <c r="O6" s="4">
        <f>Hotel!AA11</f>
        <v>3490</v>
      </c>
      <c r="P6" s="4">
        <f>Hotel!AB11</f>
        <v>6510</v>
      </c>
      <c r="Q6" s="4">
        <f>Hotel!AC11</f>
        <v>7370</v>
      </c>
      <c r="R6" s="4">
        <f>Hotel!AV11*0.00378541*100</f>
        <v>479.611447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2021</v>
      </c>
      <c r="E7" s="4">
        <f>Hotel!Q12</f>
        <v>550</v>
      </c>
      <c r="F7" s="4">
        <f>Hotel!R12</f>
        <v>1900</v>
      </c>
      <c r="G7" s="4">
        <f>Hotel!S12</f>
        <v>2740</v>
      </c>
      <c r="H7" s="4">
        <f>Hotel!T12</f>
        <v>1490</v>
      </c>
      <c r="I7" s="4">
        <f>Hotel!U12</f>
        <v>4010</v>
      </c>
      <c r="J7" s="4">
        <f>Hotel!V12</f>
        <v>3010</v>
      </c>
      <c r="K7" s="4">
        <f>Hotel!W12</f>
        <v>2300</v>
      </c>
      <c r="L7" s="4">
        <f>Hotel!X12</f>
        <v>2990</v>
      </c>
      <c r="M7" s="4">
        <f>Hotel!Y12</f>
        <v>4360</v>
      </c>
      <c r="N7" s="4">
        <f>Hotel!Z12</f>
        <v>2700</v>
      </c>
      <c r="O7" s="4">
        <f>Hotel!AA12</f>
        <v>3230</v>
      </c>
      <c r="P7" s="4">
        <f>Hotel!AB12</f>
        <v>6630</v>
      </c>
      <c r="Q7" s="4">
        <f>Hotel!AC12</f>
        <v>8490</v>
      </c>
      <c r="R7" s="4">
        <f>Hotel!AV12*0.00378541*100</f>
        <v>616.26474799999994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2021</v>
      </c>
      <c r="E8" s="4">
        <f>Hotel!Q13</f>
        <v>530</v>
      </c>
      <c r="F8" s="4">
        <f>Hotel!R13</f>
        <v>1840</v>
      </c>
      <c r="G8" s="4">
        <f>Hotel!S13</f>
        <v>2660</v>
      </c>
      <c r="H8" s="4">
        <f>Hotel!T13</f>
        <v>1440</v>
      </c>
      <c r="I8" s="4">
        <f>Hotel!U13</f>
        <v>3990</v>
      </c>
      <c r="J8" s="4">
        <f>Hotel!V13</f>
        <v>2970</v>
      </c>
      <c r="K8" s="4">
        <f>Hotel!W13</f>
        <v>2250</v>
      </c>
      <c r="L8" s="4">
        <f>Hotel!X13</f>
        <v>3310</v>
      </c>
      <c r="M8" s="4">
        <f>Hotel!Y13</f>
        <v>3990</v>
      </c>
      <c r="N8" s="4">
        <f>Hotel!Z13</f>
        <v>2490</v>
      </c>
      <c r="O8" s="4">
        <f>Hotel!AA13</f>
        <v>3200</v>
      </c>
      <c r="P8" s="4">
        <f>Hotel!AB13</f>
        <v>6200</v>
      </c>
      <c r="Q8" s="4">
        <f>Hotel!AC13</f>
        <v>13100</v>
      </c>
      <c r="R8" s="4">
        <f>Hotel!AV13*0.00378541*100</f>
        <v>599.23040300000002</v>
      </c>
      <c r="S8" s="4">
        <f>Hotel!B13</f>
        <v>90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2021</v>
      </c>
      <c r="E9" s="4">
        <f>Hotel!Q14</f>
        <v>550</v>
      </c>
      <c r="F9" s="4">
        <f>Hotel!R14</f>
        <v>1890</v>
      </c>
      <c r="G9" s="4">
        <f>Hotel!S14</f>
        <v>2690</v>
      </c>
      <c r="H9" s="4">
        <f>Hotel!T14</f>
        <v>1480</v>
      </c>
      <c r="I9" s="4">
        <f>Hotel!U14</f>
        <v>4010</v>
      </c>
      <c r="J9" s="4">
        <f>Hotel!V14</f>
        <v>3040</v>
      </c>
      <c r="K9" s="4">
        <f>Hotel!W14</f>
        <v>2300</v>
      </c>
      <c r="L9" s="4">
        <f>Hotel!X14</f>
        <v>2810</v>
      </c>
      <c r="M9" s="4">
        <f>Hotel!Y14</f>
        <v>3980</v>
      </c>
      <c r="N9" s="4">
        <f>Hotel!Z14</f>
        <v>2520</v>
      </c>
      <c r="O9" s="4">
        <f>Hotel!AA14</f>
        <v>2950</v>
      </c>
      <c r="P9" s="4">
        <f>Hotel!AB14</f>
        <v>6370</v>
      </c>
      <c r="Q9" s="4">
        <f>Hotel!AC14</f>
        <v>12770</v>
      </c>
      <c r="R9" s="4">
        <f>Hotel!AV14*0.00378541*100</f>
        <v>560.99776199999997</v>
      </c>
      <c r="S9" s="4">
        <f>Hotel!B14</f>
        <v>78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2021</v>
      </c>
      <c r="E10" s="4">
        <f>Hotel!Q15</f>
        <v>600</v>
      </c>
      <c r="F10" s="4">
        <f>Hotel!R15</f>
        <v>2090</v>
      </c>
      <c r="G10" s="4">
        <f>Hotel!S15</f>
        <v>3130</v>
      </c>
      <c r="H10" s="4">
        <f>Hotel!T15</f>
        <v>1630</v>
      </c>
      <c r="I10" s="4">
        <f>Hotel!U15</f>
        <v>4330</v>
      </c>
      <c r="J10" s="4">
        <f>Hotel!V15</f>
        <v>3260</v>
      </c>
      <c r="K10" s="4">
        <f>Hotel!W15</f>
        <v>2500</v>
      </c>
      <c r="L10" s="4">
        <f>Hotel!X15</f>
        <v>3010</v>
      </c>
      <c r="M10" s="4">
        <f>Hotel!Y15</f>
        <v>4380</v>
      </c>
      <c r="N10" s="4">
        <f>Hotel!Z15</f>
        <v>2720</v>
      </c>
      <c r="O10" s="4">
        <f>Hotel!AA15</f>
        <v>3380</v>
      </c>
      <c r="P10" s="4">
        <f>Hotel!AB15</f>
        <v>7030</v>
      </c>
      <c r="Q10" s="4">
        <f>Hotel!AC15</f>
        <v>11710</v>
      </c>
      <c r="R10" s="4">
        <f>Hotel!AV15*0.00378541*100</f>
        <v>65.109052000000005</v>
      </c>
      <c r="S10" s="4">
        <f>Hotel!B15</f>
        <v>95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2021</v>
      </c>
      <c r="E11" s="4">
        <f>Hotel!Q16</f>
        <v>520</v>
      </c>
      <c r="F11" s="4">
        <f>Hotel!R16</f>
        <v>1790</v>
      </c>
      <c r="G11" s="4">
        <f>Hotel!S16</f>
        <v>2820</v>
      </c>
      <c r="H11" s="4">
        <f>Hotel!T16</f>
        <v>1410</v>
      </c>
      <c r="I11" s="4">
        <f>Hotel!U16</f>
        <v>3890</v>
      </c>
      <c r="J11" s="4">
        <f>Hotel!V16</f>
        <v>2860</v>
      </c>
      <c r="K11" s="4">
        <f>Hotel!W16</f>
        <v>2170</v>
      </c>
      <c r="L11" s="4">
        <f>Hotel!X16</f>
        <v>2590</v>
      </c>
      <c r="M11" s="4">
        <f>Hotel!Y16</f>
        <v>3860</v>
      </c>
      <c r="N11" s="4">
        <f>Hotel!Z16</f>
        <v>2370</v>
      </c>
      <c r="O11" s="4">
        <f>Hotel!AA16</f>
        <v>3060</v>
      </c>
      <c r="P11" s="4">
        <f>Hotel!AB16</f>
        <v>6210</v>
      </c>
      <c r="Q11" s="4">
        <f>Hotel!AC16</f>
        <v>9900</v>
      </c>
      <c r="R11" s="4">
        <f>Hotel!AV16*0.00378541*100</f>
        <v>1072.406653</v>
      </c>
      <c r="S11" s="4">
        <f>Hotel!B16</f>
        <v>104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2021</v>
      </c>
      <c r="E12" s="4">
        <f>Hotel!Q17</f>
        <v>540</v>
      </c>
      <c r="F12" s="4">
        <f>Hotel!R17</f>
        <v>1840</v>
      </c>
      <c r="G12" s="4">
        <f>Hotel!S17</f>
        <v>2970</v>
      </c>
      <c r="H12" s="4">
        <f>Hotel!T17</f>
        <v>1450</v>
      </c>
      <c r="I12" s="4">
        <f>Hotel!U17</f>
        <v>3610</v>
      </c>
      <c r="J12" s="4">
        <f>Hotel!V17</f>
        <v>3050</v>
      </c>
      <c r="K12" s="4">
        <f>Hotel!W17</f>
        <v>1710</v>
      </c>
      <c r="L12" s="4">
        <f>Hotel!X17</f>
        <v>2900</v>
      </c>
      <c r="M12" s="4">
        <f>Hotel!Y17</f>
        <v>4180</v>
      </c>
      <c r="N12" s="4">
        <f>Hotel!Z17</f>
        <v>2580</v>
      </c>
      <c r="O12" s="4">
        <f>Hotel!AA17</f>
        <v>3140</v>
      </c>
      <c r="P12" s="4">
        <f>Hotel!AB17</f>
        <v>6310</v>
      </c>
      <c r="Q12" s="4">
        <f>Hotel!AC17</f>
        <v>10760</v>
      </c>
      <c r="R12" s="4">
        <f>Hotel!AV17*0.00378541*100</f>
        <v>495.13162799999992</v>
      </c>
      <c r="S12" s="4">
        <f>Hotel!B17</f>
        <v>149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2021</v>
      </c>
      <c r="E13" s="4">
        <f>Hotel!Q18</f>
        <v>530</v>
      </c>
      <c r="F13" s="4">
        <f>Hotel!R18</f>
        <v>1830</v>
      </c>
      <c r="G13" s="4">
        <f>Hotel!S18</f>
        <v>3030</v>
      </c>
      <c r="H13" s="4">
        <f>Hotel!T18</f>
        <v>1450</v>
      </c>
      <c r="I13" s="4">
        <f>Hotel!U18</f>
        <v>4070</v>
      </c>
      <c r="J13" s="4">
        <f>Hotel!V18</f>
        <v>3030</v>
      </c>
      <c r="K13" s="4">
        <f>Hotel!W18</f>
        <v>2680</v>
      </c>
      <c r="L13" s="4">
        <f>Hotel!X18</f>
        <v>2880</v>
      </c>
      <c r="M13" s="4">
        <f>Hotel!Y18</f>
        <v>4100</v>
      </c>
      <c r="N13" s="4">
        <f>Hotel!Z18</f>
        <v>2510</v>
      </c>
      <c r="O13" s="4">
        <f>Hotel!AA18</f>
        <v>3320</v>
      </c>
      <c r="P13" s="4">
        <f>Hotel!AB18</f>
        <v>6370</v>
      </c>
      <c r="Q13" s="4">
        <f>Hotel!AC18</f>
        <v>11990</v>
      </c>
      <c r="R13" s="4">
        <f>Hotel!AV18*0.00378541*100</f>
        <v>612.10079699999994</v>
      </c>
      <c r="S13" s="4">
        <f>Hotel!B18</f>
        <v>132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2021</v>
      </c>
      <c r="E14" s="4">
        <f>Hotel!Q19</f>
        <v>550</v>
      </c>
      <c r="F14" s="4">
        <f>Hotel!R19</f>
        <v>1870</v>
      </c>
      <c r="G14" s="4">
        <f>Hotel!S19</f>
        <v>2780</v>
      </c>
      <c r="H14" s="4">
        <f>Hotel!T19</f>
        <v>1460</v>
      </c>
      <c r="I14" s="4">
        <f>Hotel!U19</f>
        <v>4110</v>
      </c>
      <c r="J14" s="4">
        <f>Hotel!V19</f>
        <v>3100</v>
      </c>
      <c r="K14" s="4">
        <f>Hotel!W19</f>
        <v>2250</v>
      </c>
      <c r="L14" s="4">
        <f>Hotel!X19</f>
        <v>2890</v>
      </c>
      <c r="M14" s="4">
        <f>Hotel!Y19</f>
        <v>4220</v>
      </c>
      <c r="N14" s="4">
        <f>Hotel!Z19</f>
        <v>2550</v>
      </c>
      <c r="O14" s="4">
        <f>Hotel!AA19</f>
        <v>3120</v>
      </c>
      <c r="P14" s="4">
        <f>Hotel!AB19</f>
        <v>6330</v>
      </c>
      <c r="Q14" s="4">
        <f>Hotel!AC19</f>
        <v>12390</v>
      </c>
      <c r="R14" s="4">
        <f>Hotel!AV19*0.00378541*100</f>
        <v>503.83807100000001</v>
      </c>
      <c r="S14" s="4">
        <f>Hotel!B19</f>
        <v>115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2021</v>
      </c>
      <c r="E15" s="4">
        <f>Hotel!Q20</f>
        <v>560</v>
      </c>
      <c r="F15" s="4">
        <f>Hotel!R20</f>
        <v>1910</v>
      </c>
      <c r="G15" s="4">
        <f>Hotel!S20</f>
        <v>2810</v>
      </c>
      <c r="H15" s="4">
        <f>Hotel!T20</f>
        <v>1500</v>
      </c>
      <c r="I15" s="4">
        <f>Hotel!U20</f>
        <v>4240</v>
      </c>
      <c r="J15" s="4">
        <f>Hotel!V20</f>
        <v>3160</v>
      </c>
      <c r="K15" s="4">
        <f>Hotel!W20</f>
        <v>2320</v>
      </c>
      <c r="L15" s="4">
        <f>Hotel!X20</f>
        <v>3060</v>
      </c>
      <c r="M15" s="4">
        <f>Hotel!Y20</f>
        <v>4060</v>
      </c>
      <c r="N15" s="4">
        <f>Hotel!Z20</f>
        <v>2640</v>
      </c>
      <c r="O15" s="4">
        <f>Hotel!AA20</f>
        <v>3330</v>
      </c>
      <c r="P15" s="4">
        <f>Hotel!AB20</f>
        <v>6600</v>
      </c>
      <c r="Q15" s="4">
        <f>Hotel!AC20</f>
        <v>12260</v>
      </c>
      <c r="R15" s="4">
        <f>Hotel!AV20*0.00378541*100</f>
        <v>741.56181900000001</v>
      </c>
      <c r="S15" s="4">
        <f>Hotel!B20</f>
        <v>107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2021</v>
      </c>
      <c r="E16" s="4">
        <f>Hotel!Q21</f>
        <v>560</v>
      </c>
      <c r="F16" s="4">
        <f>Hotel!R21</f>
        <v>1920</v>
      </c>
      <c r="G16" s="4">
        <f>Hotel!S21</f>
        <v>2880</v>
      </c>
      <c r="H16" s="4">
        <f>Hotel!T21</f>
        <v>1500</v>
      </c>
      <c r="I16" s="4">
        <f>Hotel!U21</f>
        <v>4150</v>
      </c>
      <c r="J16" s="4">
        <f>Hotel!V21</f>
        <v>3020</v>
      </c>
      <c r="K16" s="4">
        <f>Hotel!W21</f>
        <v>1860</v>
      </c>
      <c r="L16" s="4">
        <f>Hotel!X21</f>
        <v>3150</v>
      </c>
      <c r="M16" s="4">
        <f>Hotel!Y21</f>
        <v>4170</v>
      </c>
      <c r="N16" s="4">
        <f>Hotel!Z21</f>
        <v>2590</v>
      </c>
      <c r="O16" s="4">
        <f>Hotel!AA21</f>
        <v>3010</v>
      </c>
      <c r="P16" s="4">
        <f>Hotel!AB21</f>
        <v>7310</v>
      </c>
      <c r="Q16" s="4">
        <f>Hotel!AC21</f>
        <v>11370</v>
      </c>
      <c r="R16" s="4">
        <f>Hotel!AV21*0.00378541*100</f>
        <v>594.68791099999999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2021</v>
      </c>
      <c r="E17" s="4">
        <f>Hotel!Q22</f>
        <v>530</v>
      </c>
      <c r="F17" s="4">
        <f>Hotel!R22</f>
        <v>1910</v>
      </c>
      <c r="G17" s="4">
        <f>Hotel!S22</f>
        <v>3030</v>
      </c>
      <c r="H17" s="4">
        <f>Hotel!T22</f>
        <v>1510</v>
      </c>
      <c r="I17" s="4">
        <f>Hotel!U22</f>
        <v>4150</v>
      </c>
      <c r="J17" s="4">
        <f>Hotel!V22</f>
        <v>3070</v>
      </c>
      <c r="K17" s="4">
        <f>Hotel!W22</f>
        <v>2780</v>
      </c>
      <c r="L17" s="4">
        <f>Hotel!X22</f>
        <v>3220</v>
      </c>
      <c r="M17" s="4">
        <f>Hotel!Y22</f>
        <v>4220</v>
      </c>
      <c r="N17" s="4">
        <f>Hotel!Z22</f>
        <v>2700</v>
      </c>
      <c r="O17" s="4">
        <f>Hotel!AA22</f>
        <v>3350</v>
      </c>
      <c r="P17" s="4">
        <f>Hotel!AB22</f>
        <v>6350</v>
      </c>
      <c r="Q17" s="4">
        <f>Hotel!AC22</f>
        <v>12370</v>
      </c>
      <c r="R17" s="4">
        <f>Hotel!AV22*0.00378541*100</f>
        <v>557.96943399999998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2021</v>
      </c>
      <c r="E18" s="4">
        <f>Hotel!Q23</f>
        <v>580</v>
      </c>
      <c r="F18" s="4">
        <f>Hotel!R23</f>
        <v>1910</v>
      </c>
      <c r="G18" s="4">
        <f>Hotel!S23</f>
        <v>3350</v>
      </c>
      <c r="H18" s="4">
        <f>Hotel!T23</f>
        <v>1510</v>
      </c>
      <c r="I18" s="4">
        <f>Hotel!U23</f>
        <v>4090</v>
      </c>
      <c r="J18" s="4">
        <f>Hotel!V23</f>
        <v>2970</v>
      </c>
      <c r="K18" s="4">
        <f>Hotel!W23</f>
        <v>2320</v>
      </c>
      <c r="L18" s="4">
        <f>Hotel!X23</f>
        <v>3040</v>
      </c>
      <c r="M18" s="4">
        <f>Hotel!Y23</f>
        <v>4400</v>
      </c>
      <c r="N18" s="4">
        <f>Hotel!Z23</f>
        <v>2600</v>
      </c>
      <c r="O18" s="4">
        <f>Hotel!AA23</f>
        <v>3200</v>
      </c>
      <c r="P18" s="4">
        <f>Hotel!AB23</f>
        <v>6560</v>
      </c>
      <c r="Q18" s="4">
        <f>Hotel!AC23</f>
        <v>11930</v>
      </c>
      <c r="R18" s="4">
        <f>Hotel!AV23*0.00378541*100</f>
        <v>627.62097799999992</v>
      </c>
      <c r="S18" s="4">
        <f>Hotel!B23</f>
        <v>115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2021</v>
      </c>
      <c r="E19" s="4" t="str">
        <f>Hotel!Q24</f>
        <v>0</v>
      </c>
      <c r="F19" s="4" t="str">
        <f>Hotel!R24</f>
        <v>0</v>
      </c>
      <c r="G19" s="4" t="str">
        <f>Hotel!S24</f>
        <v>0</v>
      </c>
      <c r="H19" s="4" t="str">
        <f>Hotel!T24</f>
        <v>0</v>
      </c>
      <c r="I19" s="4" t="str">
        <f>Hotel!U24</f>
        <v>0</v>
      </c>
      <c r="J19" s="4" t="str">
        <f>Hotel!V24</f>
        <v>0</v>
      </c>
      <c r="K19" s="4" t="str">
        <f>Hotel!W24</f>
        <v>0</v>
      </c>
      <c r="L19" s="4" t="str">
        <f>Hotel!X24</f>
        <v>0</v>
      </c>
      <c r="M19" s="4" t="str">
        <f>Hotel!Y24</f>
        <v>0</v>
      </c>
      <c r="N19" s="4" t="str">
        <f>Hotel!Z24</f>
        <v>0</v>
      </c>
      <c r="O19" s="4" t="str">
        <f>Hotel!AA24</f>
        <v>0</v>
      </c>
      <c r="P19" s="4" t="str">
        <f>Hotel!AB24</f>
        <v>0</v>
      </c>
      <c r="Q19" s="4" t="str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P26" sqref="AP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44255</v>
      </c>
      <c r="B2" s="55">
        <v>44</v>
      </c>
      <c r="C2" s="51">
        <v>6539520</v>
      </c>
      <c r="D2" s="24">
        <v>15145620</v>
      </c>
      <c r="E2" s="24">
        <v>2417050</v>
      </c>
      <c r="F2" s="24">
        <v>3321520</v>
      </c>
      <c r="G2" s="24">
        <v>10007380</v>
      </c>
      <c r="H2" s="24">
        <v>5218200</v>
      </c>
      <c r="I2" s="24">
        <v>4851460</v>
      </c>
      <c r="J2" s="24">
        <v>5617410</v>
      </c>
      <c r="K2" s="24">
        <v>8757120</v>
      </c>
      <c r="L2" s="24">
        <v>3594230</v>
      </c>
      <c r="M2" s="24">
        <v>7586790</v>
      </c>
      <c r="N2" s="24">
        <v>11367310</v>
      </c>
      <c r="O2" s="24">
        <v>15651940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482728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482728</v>
      </c>
    </row>
    <row r="7" spans="1:49" x14ac:dyDescent="0.25">
      <c r="A7" s="23">
        <v>44256</v>
      </c>
      <c r="B7" s="40">
        <v>42</v>
      </c>
      <c r="C7" s="24">
        <v>6540080</v>
      </c>
      <c r="D7" s="24">
        <v>15147550</v>
      </c>
      <c r="E7" s="24">
        <v>2419770</v>
      </c>
      <c r="F7" s="24">
        <v>3323030</v>
      </c>
      <c r="G7" s="24">
        <v>10011290</v>
      </c>
      <c r="H7" s="24">
        <v>5221260</v>
      </c>
      <c r="I7" s="24">
        <v>4853900</v>
      </c>
      <c r="J7" s="24">
        <v>5620880</v>
      </c>
      <c r="K7" s="24">
        <v>8761620</v>
      </c>
      <c r="L7" s="24">
        <v>3596630</v>
      </c>
      <c r="M7" s="24">
        <v>7590000</v>
      </c>
      <c r="N7" s="24">
        <v>11374150</v>
      </c>
      <c r="O7" s="24">
        <v>15661170</v>
      </c>
      <c r="Q7" s="37">
        <f>IF((C7-C2&lt;0), "0",C7-C2)</f>
        <v>560</v>
      </c>
      <c r="R7" s="37">
        <f t="shared" ref="R7:AC7" si="0">IF((D7-D2&lt;0), "0",D7-D2)</f>
        <v>1930</v>
      </c>
      <c r="S7" s="37">
        <f>IF((E7-E2&lt;0), "0",E7-E2)</f>
        <v>2720</v>
      </c>
      <c r="T7" s="37">
        <f t="shared" si="0"/>
        <v>1510</v>
      </c>
      <c r="U7" s="37">
        <f t="shared" si="0"/>
        <v>3910</v>
      </c>
      <c r="V7" s="37">
        <f t="shared" si="0"/>
        <v>3060</v>
      </c>
      <c r="W7" s="37">
        <f t="shared" si="0"/>
        <v>2440</v>
      </c>
      <c r="X7" s="37">
        <f t="shared" si="0"/>
        <v>3470</v>
      </c>
      <c r="Y7" s="37">
        <f t="shared" si="0"/>
        <v>4500</v>
      </c>
      <c r="Z7" s="37">
        <f t="shared" si="0"/>
        <v>2400</v>
      </c>
      <c r="AA7" s="37">
        <f t="shared" si="0"/>
        <v>3210</v>
      </c>
      <c r="AB7" s="37">
        <f t="shared" si="0"/>
        <v>6840</v>
      </c>
      <c r="AC7" s="37">
        <f t="shared" si="0"/>
        <v>9230</v>
      </c>
      <c r="AD7" s="34">
        <f>SUM(Q7:AC7)</f>
        <v>45780</v>
      </c>
      <c r="AF7" s="20">
        <f t="shared" ref="AF7:AF36" si="1">Q7*$D$39</f>
        <v>2.8000000000000003</v>
      </c>
      <c r="AG7" s="20">
        <f t="shared" ref="AG7:AG36" si="2">R7*$D$39</f>
        <v>9.65</v>
      </c>
      <c r="AH7" s="20">
        <f t="shared" ref="AH7:AH36" si="3">S7*$D$39</f>
        <v>13.6</v>
      </c>
      <c r="AI7" s="20">
        <f t="shared" ref="AI7:AI36" si="4">T7*$D$39</f>
        <v>7.55</v>
      </c>
      <c r="AJ7" s="20">
        <f t="shared" ref="AJ7:AJ36" si="5">U7*$D$39</f>
        <v>19.55</v>
      </c>
      <c r="AK7" s="20">
        <f t="shared" ref="AK7:AK36" si="6">V7*$D$39</f>
        <v>15.3</v>
      </c>
      <c r="AL7" s="20">
        <f t="shared" ref="AL7:AL36" si="7">W7*$D$39</f>
        <v>12.200000000000001</v>
      </c>
      <c r="AM7" s="20">
        <f t="shared" ref="AM7:AM36" si="8">X7*$D$39</f>
        <v>17.350000000000001</v>
      </c>
      <c r="AN7" s="20">
        <f t="shared" ref="AN7:AN36" si="9">Y7*$D$39</f>
        <v>22.5</v>
      </c>
      <c r="AO7" s="20">
        <f t="shared" ref="AO7:AO36" si="10">Z7*$D$39</f>
        <v>12</v>
      </c>
      <c r="AP7" s="20">
        <f t="shared" ref="AP7:AP36" si="11">AA7*$D$39</f>
        <v>16.05</v>
      </c>
      <c r="AQ7" s="20">
        <f t="shared" ref="AQ7:AQ36" si="12">AB7*$D$39</f>
        <v>34.200000000000003</v>
      </c>
      <c r="AR7" s="20">
        <f t="shared" ref="AR7:AR36" si="13">AC7*$D$39</f>
        <v>46.15</v>
      </c>
      <c r="AS7" s="35">
        <f>SUM(AF7:AR7)</f>
        <v>228.9</v>
      </c>
      <c r="AU7" s="47">
        <v>484158</v>
      </c>
      <c r="AV7" s="37">
        <f>IF((AU7-AU6&lt;0),"0",AU7-AU6)</f>
        <v>1430</v>
      </c>
      <c r="AW7" s="50">
        <v>0</v>
      </c>
    </row>
    <row r="8" spans="1:49" x14ac:dyDescent="0.25">
      <c r="A8" s="23">
        <v>44257</v>
      </c>
      <c r="B8" s="40">
        <v>54</v>
      </c>
      <c r="C8" s="24">
        <v>6540600</v>
      </c>
      <c r="D8" s="24">
        <v>15149360</v>
      </c>
      <c r="E8" s="24">
        <v>2422380</v>
      </c>
      <c r="F8" s="24">
        <v>3324450</v>
      </c>
      <c r="G8" s="24">
        <v>10016040</v>
      </c>
      <c r="H8" s="24">
        <v>5224190</v>
      </c>
      <c r="I8" s="24">
        <v>4856230</v>
      </c>
      <c r="J8" s="24">
        <v>5624020</v>
      </c>
      <c r="K8" s="24">
        <v>8765960</v>
      </c>
      <c r="L8" s="24">
        <v>3599100</v>
      </c>
      <c r="M8" s="24">
        <v>7593450</v>
      </c>
      <c r="N8" s="24">
        <v>11380660</v>
      </c>
      <c r="O8" s="24">
        <v>15669640</v>
      </c>
      <c r="Q8" s="37">
        <f>IF((C8-C7&lt;0), "0",C8-C7)</f>
        <v>520</v>
      </c>
      <c r="R8" s="37">
        <f t="shared" ref="R8:AC8" si="14">IF((D8-D7&lt;0), "0",D8-D7)</f>
        <v>1810</v>
      </c>
      <c r="S8" s="37">
        <f t="shared" ref="S8:S35" si="15">IF((E8-E7&lt;0), "0",E8-E7)</f>
        <v>2610</v>
      </c>
      <c r="T8" s="37">
        <f t="shared" si="14"/>
        <v>1420</v>
      </c>
      <c r="U8" s="37">
        <f t="shared" si="14"/>
        <v>4750</v>
      </c>
      <c r="V8" s="37">
        <f t="shared" si="14"/>
        <v>2930</v>
      </c>
      <c r="W8" s="37">
        <f t="shared" si="14"/>
        <v>2330</v>
      </c>
      <c r="X8" s="37">
        <f t="shared" si="14"/>
        <v>3140</v>
      </c>
      <c r="Y8" s="37">
        <f t="shared" si="14"/>
        <v>4340</v>
      </c>
      <c r="Z8" s="37">
        <f t="shared" si="14"/>
        <v>2470</v>
      </c>
      <c r="AA8" s="37">
        <f t="shared" si="14"/>
        <v>3450</v>
      </c>
      <c r="AB8" s="37">
        <f t="shared" si="14"/>
        <v>6510</v>
      </c>
      <c r="AC8" s="37">
        <f t="shared" si="14"/>
        <v>8470</v>
      </c>
      <c r="AD8" s="35">
        <f>SUM(Q8:AC8)</f>
        <v>44750</v>
      </c>
      <c r="AF8" s="20">
        <f t="shared" si="1"/>
        <v>2.6</v>
      </c>
      <c r="AG8" s="20">
        <f t="shared" si="2"/>
        <v>9.0500000000000007</v>
      </c>
      <c r="AH8" s="20">
        <f t="shared" si="3"/>
        <v>13.05</v>
      </c>
      <c r="AI8" s="20">
        <f t="shared" si="4"/>
        <v>7.1000000000000005</v>
      </c>
      <c r="AJ8" s="20">
        <f t="shared" si="5"/>
        <v>23.75</v>
      </c>
      <c r="AK8" s="20">
        <f t="shared" si="6"/>
        <v>14.65</v>
      </c>
      <c r="AL8" s="20">
        <f t="shared" si="7"/>
        <v>11.65</v>
      </c>
      <c r="AM8" s="20">
        <f t="shared" si="8"/>
        <v>15.700000000000001</v>
      </c>
      <c r="AN8" s="20">
        <f t="shared" si="9"/>
        <v>21.7</v>
      </c>
      <c r="AO8" s="20">
        <f t="shared" si="10"/>
        <v>12.35</v>
      </c>
      <c r="AP8" s="20">
        <f t="shared" si="11"/>
        <v>17.25</v>
      </c>
      <c r="AQ8" s="20">
        <f t="shared" si="12"/>
        <v>32.549999999999997</v>
      </c>
      <c r="AR8" s="20">
        <f t="shared" si="13"/>
        <v>42.35</v>
      </c>
      <c r="AS8" s="35">
        <f>SUM(AF8:AR8)</f>
        <v>223.75000000000003</v>
      </c>
      <c r="AU8" s="47">
        <v>485960</v>
      </c>
      <c r="AV8" s="37">
        <f>IF((AU8-AU7&lt;0),"0",AU8-AU7)</f>
        <v>1802</v>
      </c>
      <c r="AW8" s="35">
        <v>0</v>
      </c>
    </row>
    <row r="9" spans="1:49" x14ac:dyDescent="0.25">
      <c r="A9" s="23">
        <v>44258</v>
      </c>
      <c r="B9" s="40">
        <v>65</v>
      </c>
      <c r="C9" s="24">
        <v>6541150</v>
      </c>
      <c r="D9" s="24">
        <v>15151250</v>
      </c>
      <c r="E9" s="24">
        <v>2425120</v>
      </c>
      <c r="F9" s="24">
        <v>3325930</v>
      </c>
      <c r="G9" s="24">
        <v>10020040</v>
      </c>
      <c r="H9" s="24">
        <v>5227110</v>
      </c>
      <c r="I9" s="24">
        <v>4858600</v>
      </c>
      <c r="J9" s="24">
        <v>5627180</v>
      </c>
      <c r="K9" s="24">
        <v>8770300</v>
      </c>
      <c r="L9" s="24">
        <v>3601550</v>
      </c>
      <c r="M9" s="24">
        <v>7596470</v>
      </c>
      <c r="N9" s="24">
        <v>11387370</v>
      </c>
      <c r="O9" s="24">
        <v>15678350</v>
      </c>
      <c r="Q9" s="37">
        <f t="shared" ref="Q9:Q30" si="16">IF((C9-C8&lt;0), "0",C9-C8)</f>
        <v>550</v>
      </c>
      <c r="R9" s="37">
        <f t="shared" ref="R9:R35" si="17">IF((D9-D8&lt;0), "0",D9-D8)</f>
        <v>1890</v>
      </c>
      <c r="S9" s="37">
        <f t="shared" si="15"/>
        <v>2740</v>
      </c>
      <c r="T9" s="37">
        <f t="shared" ref="T9:T35" si="18">IF((F9-F8&lt;0), "0",F9-F8)</f>
        <v>1480</v>
      </c>
      <c r="U9" s="37">
        <f t="shared" ref="U9:U35" si="19">IF((G9-G8&lt;0), "0",G9-G8)</f>
        <v>4000</v>
      </c>
      <c r="V9" s="37">
        <f t="shared" ref="V9:V35" si="20">IF((H9-H8&lt;0), "0",H9-H8)</f>
        <v>2920</v>
      </c>
      <c r="W9" s="37">
        <f t="shared" ref="W9:W35" si="21">IF((I9-I8&lt;0), "0",I9-I8)</f>
        <v>2370</v>
      </c>
      <c r="X9" s="37">
        <f t="shared" ref="X9:X35" si="22">IF((J9-J8&lt;0), "0",J9-J8)</f>
        <v>3160</v>
      </c>
      <c r="Y9" s="37">
        <f t="shared" ref="Y9:Y35" si="23">IF((K9-K8&lt;0), "0",K9-K8)</f>
        <v>4340</v>
      </c>
      <c r="Z9" s="37">
        <f t="shared" ref="Z9:Z35" si="24">IF((L9-L8&lt;0), "0",L9-L8)</f>
        <v>2450</v>
      </c>
      <c r="AA9" s="37">
        <f t="shared" ref="AA9:AA35" si="25">IF((M9-M8&lt;0), "0",M9-M8)</f>
        <v>3020</v>
      </c>
      <c r="AB9" s="37">
        <f t="shared" ref="AB9:AB37" si="26">IF((N9-N8&lt;0), "0",N9-N8)</f>
        <v>6710</v>
      </c>
      <c r="AC9" s="37">
        <f t="shared" ref="AC9:AC37" si="27">IF((O9-O8&lt;0), "0",O9-O8)</f>
        <v>8710</v>
      </c>
      <c r="AD9" s="35">
        <f t="shared" ref="AD9:AD37" si="28">SUM(Q9:AC9)</f>
        <v>44340</v>
      </c>
      <c r="AF9" s="20">
        <f t="shared" si="1"/>
        <v>2.75</v>
      </c>
      <c r="AG9" s="20">
        <f t="shared" si="2"/>
        <v>9.4500000000000011</v>
      </c>
      <c r="AH9" s="20">
        <f t="shared" si="3"/>
        <v>13.700000000000001</v>
      </c>
      <c r="AI9" s="20">
        <f t="shared" si="4"/>
        <v>7.4</v>
      </c>
      <c r="AJ9" s="20">
        <f t="shared" si="5"/>
        <v>20</v>
      </c>
      <c r="AK9" s="20">
        <f t="shared" si="6"/>
        <v>14.6</v>
      </c>
      <c r="AL9" s="20">
        <f t="shared" si="7"/>
        <v>11.85</v>
      </c>
      <c r="AM9" s="20">
        <f t="shared" si="8"/>
        <v>15.8</v>
      </c>
      <c r="AN9" s="20">
        <f t="shared" si="9"/>
        <v>21.7</v>
      </c>
      <c r="AO9" s="20">
        <f t="shared" si="10"/>
        <v>12.25</v>
      </c>
      <c r="AP9" s="20">
        <f t="shared" si="11"/>
        <v>15.1</v>
      </c>
      <c r="AQ9" s="20">
        <f t="shared" si="12"/>
        <v>33.549999999999997</v>
      </c>
      <c r="AR9" s="20">
        <f t="shared" si="13"/>
        <v>43.550000000000004</v>
      </c>
      <c r="AS9" s="35">
        <f t="shared" ref="AS9:AS33" si="29">SUM(AF9:AR9)</f>
        <v>221.7</v>
      </c>
      <c r="AU9" s="47">
        <v>487716</v>
      </c>
      <c r="AV9" s="37">
        <f>IF((AU9-AU8&lt;0),"0",AU9-AU8)</f>
        <v>1756</v>
      </c>
      <c r="AW9" s="35">
        <f t="shared" ref="AW9:AW35" si="30">AV9*$D$40</f>
        <v>3.512</v>
      </c>
    </row>
    <row r="10" spans="1:49" x14ac:dyDescent="0.25">
      <c r="A10" s="23">
        <v>44259</v>
      </c>
      <c r="B10" s="40">
        <v>85</v>
      </c>
      <c r="C10" s="24">
        <v>6541680</v>
      </c>
      <c r="D10" s="24">
        <v>15153110</v>
      </c>
      <c r="E10" s="24">
        <v>2427810</v>
      </c>
      <c r="F10" s="24">
        <v>3327390</v>
      </c>
      <c r="G10" s="24">
        <v>10024130</v>
      </c>
      <c r="H10" s="24">
        <v>5229890</v>
      </c>
      <c r="I10" s="24">
        <v>4860890</v>
      </c>
      <c r="J10" s="24">
        <v>5630210</v>
      </c>
      <c r="K10" s="24">
        <v>8774610</v>
      </c>
      <c r="L10" s="24">
        <v>3604060</v>
      </c>
      <c r="M10" s="24">
        <v>7599680</v>
      </c>
      <c r="N10" s="24">
        <v>11393700</v>
      </c>
      <c r="O10" s="24">
        <v>15686440</v>
      </c>
      <c r="Q10" s="37">
        <f t="shared" si="16"/>
        <v>530</v>
      </c>
      <c r="R10" s="37">
        <f t="shared" si="17"/>
        <v>1860</v>
      </c>
      <c r="S10" s="37">
        <f t="shared" si="15"/>
        <v>2690</v>
      </c>
      <c r="T10" s="37">
        <f t="shared" si="18"/>
        <v>1460</v>
      </c>
      <c r="U10" s="37">
        <f t="shared" si="19"/>
        <v>4090</v>
      </c>
      <c r="V10" s="37">
        <f t="shared" si="20"/>
        <v>2780</v>
      </c>
      <c r="W10" s="37">
        <f t="shared" si="21"/>
        <v>2290</v>
      </c>
      <c r="X10" s="37">
        <f t="shared" si="22"/>
        <v>3030</v>
      </c>
      <c r="Y10" s="37">
        <f t="shared" si="23"/>
        <v>4310</v>
      </c>
      <c r="Z10" s="37">
        <f t="shared" si="24"/>
        <v>2510</v>
      </c>
      <c r="AA10" s="37">
        <f t="shared" si="25"/>
        <v>3210</v>
      </c>
      <c r="AB10" s="37">
        <f t="shared" si="26"/>
        <v>6330</v>
      </c>
      <c r="AC10" s="37">
        <f t="shared" si="27"/>
        <v>8090</v>
      </c>
      <c r="AD10" s="35">
        <f t="shared" si="28"/>
        <v>43180</v>
      </c>
      <c r="AF10" s="20">
        <f t="shared" si="1"/>
        <v>2.65</v>
      </c>
      <c r="AG10" s="20">
        <f t="shared" si="2"/>
        <v>9.3000000000000007</v>
      </c>
      <c r="AH10" s="20">
        <f t="shared" si="3"/>
        <v>13.450000000000001</v>
      </c>
      <c r="AI10" s="20">
        <f t="shared" si="4"/>
        <v>7.3</v>
      </c>
      <c r="AJ10" s="20">
        <f t="shared" si="5"/>
        <v>20.45</v>
      </c>
      <c r="AK10" s="20">
        <f t="shared" si="6"/>
        <v>13.9</v>
      </c>
      <c r="AL10" s="20">
        <f t="shared" si="7"/>
        <v>11.450000000000001</v>
      </c>
      <c r="AM10" s="20">
        <f t="shared" si="8"/>
        <v>15.15</v>
      </c>
      <c r="AN10" s="20">
        <f t="shared" si="9"/>
        <v>21.55</v>
      </c>
      <c r="AO10" s="20">
        <f t="shared" si="10"/>
        <v>12.55</v>
      </c>
      <c r="AP10" s="20">
        <f t="shared" si="11"/>
        <v>16.05</v>
      </c>
      <c r="AQ10" s="20">
        <f t="shared" si="12"/>
        <v>31.650000000000002</v>
      </c>
      <c r="AR10" s="20">
        <f t="shared" si="13"/>
        <v>40.450000000000003</v>
      </c>
      <c r="AS10" s="35">
        <f t="shared" si="29"/>
        <v>215.90000000000003</v>
      </c>
      <c r="AU10" s="47">
        <v>489300</v>
      </c>
      <c r="AV10" s="37">
        <f t="shared" ref="AV10:AV26" si="31">IF((AU10-AU9&lt;0),"0",AU10-AU9)</f>
        <v>1584</v>
      </c>
      <c r="AW10" s="35">
        <f t="shared" si="30"/>
        <v>3.1680000000000001</v>
      </c>
    </row>
    <row r="11" spans="1:49" x14ac:dyDescent="0.25">
      <c r="A11" s="23">
        <v>44260</v>
      </c>
      <c r="B11" s="40">
        <v>103</v>
      </c>
      <c r="C11" s="24">
        <v>6542230</v>
      </c>
      <c r="D11" s="24">
        <v>15154980</v>
      </c>
      <c r="E11" s="24">
        <v>2430570</v>
      </c>
      <c r="F11" s="24">
        <v>3328860</v>
      </c>
      <c r="G11" s="24">
        <v>10028430</v>
      </c>
      <c r="H11" s="24">
        <v>5232830</v>
      </c>
      <c r="I11" s="24">
        <v>4863150</v>
      </c>
      <c r="J11" s="24">
        <v>5633270</v>
      </c>
      <c r="K11" s="24">
        <v>8778940</v>
      </c>
      <c r="L11" s="24">
        <v>3606790</v>
      </c>
      <c r="M11" s="24">
        <v>7603170</v>
      </c>
      <c r="N11" s="24">
        <v>11400210</v>
      </c>
      <c r="O11" s="24">
        <v>15693810</v>
      </c>
      <c r="Q11" s="37">
        <f t="shared" si="16"/>
        <v>550</v>
      </c>
      <c r="R11" s="37">
        <f t="shared" si="17"/>
        <v>1870</v>
      </c>
      <c r="S11" s="37">
        <f t="shared" si="15"/>
        <v>2760</v>
      </c>
      <c r="T11" s="37">
        <f t="shared" si="18"/>
        <v>1470</v>
      </c>
      <c r="U11" s="37">
        <f t="shared" si="19"/>
        <v>4300</v>
      </c>
      <c r="V11" s="37">
        <f t="shared" si="20"/>
        <v>2940</v>
      </c>
      <c r="W11" s="37">
        <f t="shared" si="21"/>
        <v>2260</v>
      </c>
      <c r="X11" s="37">
        <f t="shared" si="22"/>
        <v>3060</v>
      </c>
      <c r="Y11" s="37">
        <f t="shared" si="23"/>
        <v>4330</v>
      </c>
      <c r="Z11" s="37">
        <f t="shared" si="24"/>
        <v>2730</v>
      </c>
      <c r="AA11" s="37">
        <f t="shared" si="25"/>
        <v>3490</v>
      </c>
      <c r="AB11" s="37">
        <f t="shared" si="26"/>
        <v>6510</v>
      </c>
      <c r="AC11" s="37">
        <f t="shared" si="27"/>
        <v>7370</v>
      </c>
      <c r="AD11" s="35">
        <f t="shared" si="28"/>
        <v>43640</v>
      </c>
      <c r="AF11" s="20">
        <f t="shared" si="1"/>
        <v>2.75</v>
      </c>
      <c r="AG11" s="20">
        <f t="shared" si="2"/>
        <v>9.35</v>
      </c>
      <c r="AH11" s="20">
        <f t="shared" si="3"/>
        <v>13.8</v>
      </c>
      <c r="AI11" s="20">
        <f t="shared" si="4"/>
        <v>7.3500000000000005</v>
      </c>
      <c r="AJ11" s="20">
        <f t="shared" si="5"/>
        <v>21.5</v>
      </c>
      <c r="AK11" s="20">
        <f t="shared" si="6"/>
        <v>14.700000000000001</v>
      </c>
      <c r="AL11" s="20">
        <f t="shared" si="7"/>
        <v>11.3</v>
      </c>
      <c r="AM11" s="20">
        <f t="shared" si="8"/>
        <v>15.3</v>
      </c>
      <c r="AN11" s="20">
        <f t="shared" si="9"/>
        <v>21.650000000000002</v>
      </c>
      <c r="AO11" s="20">
        <f t="shared" si="10"/>
        <v>13.65</v>
      </c>
      <c r="AP11" s="20">
        <f t="shared" si="11"/>
        <v>17.45</v>
      </c>
      <c r="AQ11" s="20">
        <f t="shared" si="12"/>
        <v>32.549999999999997</v>
      </c>
      <c r="AR11" s="20">
        <f t="shared" si="13"/>
        <v>36.85</v>
      </c>
      <c r="AS11" s="35">
        <f t="shared" si="29"/>
        <v>218.19999999999996</v>
      </c>
      <c r="AU11" s="47">
        <v>490567</v>
      </c>
      <c r="AV11" s="37">
        <f t="shared" si="31"/>
        <v>1267</v>
      </c>
      <c r="AW11" s="35">
        <f t="shared" si="30"/>
        <v>2.5340000000000003</v>
      </c>
    </row>
    <row r="12" spans="1:49" x14ac:dyDescent="0.25">
      <c r="A12" s="23">
        <v>44261</v>
      </c>
      <c r="B12" s="40">
        <v>79</v>
      </c>
      <c r="C12" s="49">
        <v>6542780</v>
      </c>
      <c r="D12" s="24">
        <v>15156880</v>
      </c>
      <c r="E12" s="24">
        <v>2433310</v>
      </c>
      <c r="F12" s="24">
        <v>3330350</v>
      </c>
      <c r="G12" s="24">
        <v>10032440</v>
      </c>
      <c r="H12" s="24">
        <v>5235840</v>
      </c>
      <c r="I12" s="24">
        <v>4865450</v>
      </c>
      <c r="J12" s="24">
        <v>5636260</v>
      </c>
      <c r="K12" s="24">
        <v>8783300</v>
      </c>
      <c r="L12" s="24">
        <v>3609490</v>
      </c>
      <c r="M12" s="24">
        <v>7606400</v>
      </c>
      <c r="N12" s="24">
        <v>11406840</v>
      </c>
      <c r="O12" s="24">
        <v>15702300</v>
      </c>
      <c r="Q12" s="37">
        <f t="shared" si="16"/>
        <v>550</v>
      </c>
      <c r="R12" s="37">
        <f t="shared" si="17"/>
        <v>1900</v>
      </c>
      <c r="S12" s="37">
        <f t="shared" si="15"/>
        <v>2740</v>
      </c>
      <c r="T12" s="37">
        <f t="shared" ref="T12:W14" si="32">IF((F12-F11&lt;0), "0",F12-F11)</f>
        <v>1490</v>
      </c>
      <c r="U12" s="37">
        <f t="shared" si="32"/>
        <v>4010</v>
      </c>
      <c r="V12" s="37">
        <f t="shared" si="32"/>
        <v>3010</v>
      </c>
      <c r="W12" s="37">
        <f t="shared" si="32"/>
        <v>2300</v>
      </c>
      <c r="X12" s="37">
        <f t="shared" si="22"/>
        <v>2990</v>
      </c>
      <c r="Y12" s="37">
        <f t="shared" si="23"/>
        <v>4360</v>
      </c>
      <c r="Z12" s="37">
        <f>IF((L12-L11&lt;0), "0",L12-L11)</f>
        <v>2700</v>
      </c>
      <c r="AA12" s="37">
        <f t="shared" si="25"/>
        <v>3230</v>
      </c>
      <c r="AB12" s="37">
        <f t="shared" si="26"/>
        <v>6630</v>
      </c>
      <c r="AC12" s="37">
        <f t="shared" si="27"/>
        <v>8490</v>
      </c>
      <c r="AD12" s="35">
        <f t="shared" si="28"/>
        <v>44400</v>
      </c>
      <c r="AF12" s="20">
        <f t="shared" si="1"/>
        <v>2.75</v>
      </c>
      <c r="AG12" s="20">
        <f t="shared" si="2"/>
        <v>9.5</v>
      </c>
      <c r="AH12" s="20">
        <f t="shared" si="3"/>
        <v>13.700000000000001</v>
      </c>
      <c r="AI12" s="20">
        <f t="shared" si="4"/>
        <v>7.45</v>
      </c>
      <c r="AJ12" s="20">
        <f t="shared" si="5"/>
        <v>20.05</v>
      </c>
      <c r="AK12" s="20">
        <f t="shared" si="6"/>
        <v>15.05</v>
      </c>
      <c r="AL12" s="20">
        <f t="shared" si="7"/>
        <v>11.5</v>
      </c>
      <c r="AM12" s="20">
        <f t="shared" si="8"/>
        <v>14.950000000000001</v>
      </c>
      <c r="AN12" s="20">
        <f t="shared" si="9"/>
        <v>21.8</v>
      </c>
      <c r="AO12" s="20">
        <f t="shared" si="10"/>
        <v>13.5</v>
      </c>
      <c r="AP12" s="20">
        <f t="shared" si="11"/>
        <v>16.149999999999999</v>
      </c>
      <c r="AQ12" s="20">
        <f t="shared" si="12"/>
        <v>33.15</v>
      </c>
      <c r="AR12" s="20">
        <f t="shared" si="13"/>
        <v>42.45</v>
      </c>
      <c r="AS12" s="35">
        <f t="shared" si="29"/>
        <v>222</v>
      </c>
      <c r="AU12" s="47">
        <v>492195</v>
      </c>
      <c r="AV12" s="37">
        <f t="shared" si="31"/>
        <v>1628</v>
      </c>
      <c r="AW12" s="35">
        <f t="shared" si="30"/>
        <v>3.2560000000000002</v>
      </c>
    </row>
    <row r="13" spans="1:49" x14ac:dyDescent="0.25">
      <c r="A13" s="23">
        <v>44262</v>
      </c>
      <c r="B13" s="40">
        <v>90</v>
      </c>
      <c r="C13" s="24">
        <v>6543310</v>
      </c>
      <c r="D13" s="24">
        <v>15158720</v>
      </c>
      <c r="E13" s="24">
        <v>2435970</v>
      </c>
      <c r="F13" s="24">
        <v>3331790</v>
      </c>
      <c r="G13" s="24">
        <v>10036430</v>
      </c>
      <c r="H13" s="24">
        <v>5238810</v>
      </c>
      <c r="I13" s="24">
        <v>4867700</v>
      </c>
      <c r="J13" s="24">
        <v>5639570</v>
      </c>
      <c r="K13" s="24">
        <v>8787290</v>
      </c>
      <c r="L13" s="24">
        <v>3611980</v>
      </c>
      <c r="M13" s="24">
        <v>7609600</v>
      </c>
      <c r="N13" s="24">
        <v>11413040</v>
      </c>
      <c r="O13" s="24">
        <v>15715400</v>
      </c>
      <c r="Q13" s="37">
        <f t="shared" si="16"/>
        <v>530</v>
      </c>
      <c r="R13" s="37">
        <f t="shared" si="17"/>
        <v>1840</v>
      </c>
      <c r="S13" s="37">
        <f t="shared" si="15"/>
        <v>2660</v>
      </c>
      <c r="T13" s="37">
        <f t="shared" si="32"/>
        <v>1440</v>
      </c>
      <c r="U13" s="37">
        <f t="shared" si="32"/>
        <v>3990</v>
      </c>
      <c r="V13" s="37">
        <f t="shared" si="32"/>
        <v>2970</v>
      </c>
      <c r="W13" s="37">
        <f t="shared" si="32"/>
        <v>2250</v>
      </c>
      <c r="X13" s="37">
        <f t="shared" si="22"/>
        <v>3310</v>
      </c>
      <c r="Y13" s="37">
        <f t="shared" si="23"/>
        <v>3990</v>
      </c>
      <c r="Z13" s="37">
        <f>IF((L13-L12&lt;0), "0",L13-L12)</f>
        <v>2490</v>
      </c>
      <c r="AA13" s="37">
        <f t="shared" si="25"/>
        <v>3200</v>
      </c>
      <c r="AB13" s="37">
        <f t="shared" si="26"/>
        <v>6200</v>
      </c>
      <c r="AC13" s="37">
        <f t="shared" si="27"/>
        <v>13100</v>
      </c>
      <c r="AD13" s="35">
        <f t="shared" si="28"/>
        <v>47970</v>
      </c>
      <c r="AF13" s="20">
        <f t="shared" si="1"/>
        <v>2.65</v>
      </c>
      <c r="AG13" s="20">
        <f t="shared" si="2"/>
        <v>9.2000000000000011</v>
      </c>
      <c r="AH13" s="20">
        <f t="shared" si="3"/>
        <v>13.3</v>
      </c>
      <c r="AI13" s="20">
        <f t="shared" si="4"/>
        <v>7.2</v>
      </c>
      <c r="AJ13" s="20">
        <f t="shared" si="5"/>
        <v>19.95</v>
      </c>
      <c r="AK13" s="20">
        <f t="shared" si="6"/>
        <v>14.85</v>
      </c>
      <c r="AL13" s="20">
        <f t="shared" si="7"/>
        <v>11.25</v>
      </c>
      <c r="AM13" s="20">
        <f t="shared" si="8"/>
        <v>16.55</v>
      </c>
      <c r="AN13" s="20">
        <f t="shared" si="9"/>
        <v>19.95</v>
      </c>
      <c r="AO13" s="20">
        <f t="shared" si="10"/>
        <v>12.450000000000001</v>
      </c>
      <c r="AP13" s="20">
        <f t="shared" si="11"/>
        <v>16</v>
      </c>
      <c r="AQ13" s="20">
        <f t="shared" si="12"/>
        <v>31</v>
      </c>
      <c r="AR13" s="20">
        <f t="shared" si="13"/>
        <v>65.5</v>
      </c>
      <c r="AS13" s="35">
        <f t="shared" si="29"/>
        <v>239.85</v>
      </c>
      <c r="AU13" s="47">
        <v>493778</v>
      </c>
      <c r="AV13" s="37">
        <f t="shared" si="31"/>
        <v>1583</v>
      </c>
      <c r="AW13" s="35">
        <f t="shared" si="30"/>
        <v>3.1659999999999999</v>
      </c>
    </row>
    <row r="14" spans="1:49" x14ac:dyDescent="0.25">
      <c r="A14" s="23">
        <v>44263</v>
      </c>
      <c r="B14" s="40">
        <v>78</v>
      </c>
      <c r="C14" s="24">
        <v>6543860</v>
      </c>
      <c r="D14" s="24">
        <v>15160610</v>
      </c>
      <c r="E14" s="24">
        <v>2438660</v>
      </c>
      <c r="F14" s="24">
        <v>3333270</v>
      </c>
      <c r="G14" s="24">
        <v>10040440</v>
      </c>
      <c r="H14" s="24">
        <v>5241850</v>
      </c>
      <c r="I14" s="24">
        <v>4870000</v>
      </c>
      <c r="J14" s="24">
        <v>5642380</v>
      </c>
      <c r="K14" s="24">
        <v>8791270</v>
      </c>
      <c r="L14" s="24">
        <v>3614500</v>
      </c>
      <c r="M14" s="24">
        <v>7612550</v>
      </c>
      <c r="N14" s="24">
        <v>11419410</v>
      </c>
      <c r="O14" s="24">
        <v>15728170</v>
      </c>
      <c r="P14" s="54"/>
      <c r="Q14" s="37">
        <f t="shared" si="16"/>
        <v>550</v>
      </c>
      <c r="R14" s="37">
        <f t="shared" si="17"/>
        <v>1890</v>
      </c>
      <c r="S14" s="37">
        <f t="shared" si="15"/>
        <v>2690</v>
      </c>
      <c r="T14" s="37">
        <f t="shared" si="32"/>
        <v>1480</v>
      </c>
      <c r="U14" s="37">
        <f t="shared" si="32"/>
        <v>4010</v>
      </c>
      <c r="V14" s="37">
        <f t="shared" si="32"/>
        <v>3040</v>
      </c>
      <c r="W14" s="37">
        <f t="shared" si="32"/>
        <v>2300</v>
      </c>
      <c r="X14" s="37">
        <f t="shared" si="22"/>
        <v>2810</v>
      </c>
      <c r="Y14" s="37">
        <f t="shared" si="23"/>
        <v>3980</v>
      </c>
      <c r="Z14" s="37">
        <f>IF((L14-L13&lt;0), "0",L14-L13)</f>
        <v>2520</v>
      </c>
      <c r="AA14" s="37">
        <f t="shared" si="25"/>
        <v>2950</v>
      </c>
      <c r="AB14" s="37">
        <f t="shared" si="26"/>
        <v>6370</v>
      </c>
      <c r="AC14" s="37">
        <f t="shared" si="27"/>
        <v>12770</v>
      </c>
      <c r="AD14" s="35">
        <f t="shared" si="28"/>
        <v>47360</v>
      </c>
      <c r="AF14" s="20">
        <f t="shared" si="1"/>
        <v>2.75</v>
      </c>
      <c r="AG14" s="20">
        <f t="shared" si="2"/>
        <v>9.4500000000000011</v>
      </c>
      <c r="AH14" s="20">
        <f t="shared" si="3"/>
        <v>13.450000000000001</v>
      </c>
      <c r="AI14" s="20">
        <f t="shared" si="4"/>
        <v>7.4</v>
      </c>
      <c r="AJ14" s="20">
        <f t="shared" si="5"/>
        <v>20.05</v>
      </c>
      <c r="AK14" s="20">
        <f t="shared" si="6"/>
        <v>15.200000000000001</v>
      </c>
      <c r="AL14" s="20">
        <f t="shared" si="7"/>
        <v>11.5</v>
      </c>
      <c r="AM14" s="20">
        <f t="shared" si="8"/>
        <v>14.05</v>
      </c>
      <c r="AN14" s="20">
        <f t="shared" si="9"/>
        <v>19.900000000000002</v>
      </c>
      <c r="AO14" s="20">
        <f t="shared" si="10"/>
        <v>12.6</v>
      </c>
      <c r="AP14" s="20">
        <f t="shared" si="11"/>
        <v>14.75</v>
      </c>
      <c r="AQ14" s="20">
        <f t="shared" si="12"/>
        <v>31.85</v>
      </c>
      <c r="AR14" s="20">
        <f t="shared" si="13"/>
        <v>63.85</v>
      </c>
      <c r="AS14" s="35">
        <f t="shared" si="29"/>
        <v>236.8</v>
      </c>
      <c r="AU14" s="47">
        <v>495260</v>
      </c>
      <c r="AV14" s="37">
        <f t="shared" si="31"/>
        <v>1482</v>
      </c>
      <c r="AW14" s="35">
        <f t="shared" si="30"/>
        <v>2.964</v>
      </c>
    </row>
    <row r="15" spans="1:49" x14ac:dyDescent="0.25">
      <c r="A15" s="23">
        <v>44264</v>
      </c>
      <c r="B15" s="40">
        <v>95</v>
      </c>
      <c r="C15" s="24">
        <v>6544460</v>
      </c>
      <c r="D15" s="24">
        <v>15162700</v>
      </c>
      <c r="E15" s="24">
        <v>2441790</v>
      </c>
      <c r="F15" s="24">
        <v>3334900</v>
      </c>
      <c r="G15" s="24">
        <v>10044770</v>
      </c>
      <c r="H15" s="24">
        <v>5245110</v>
      </c>
      <c r="I15" s="24">
        <v>4872500</v>
      </c>
      <c r="J15" s="24">
        <v>5645390</v>
      </c>
      <c r="K15" s="24">
        <v>8795650</v>
      </c>
      <c r="L15" s="24">
        <v>3617220</v>
      </c>
      <c r="M15" s="24">
        <v>7615930</v>
      </c>
      <c r="N15" s="24">
        <v>11426440</v>
      </c>
      <c r="O15" s="24">
        <v>15739880</v>
      </c>
      <c r="Q15" s="37">
        <f t="shared" si="16"/>
        <v>600</v>
      </c>
      <c r="R15" s="37">
        <f t="shared" si="17"/>
        <v>2090</v>
      </c>
      <c r="S15" s="37">
        <f t="shared" si="15"/>
        <v>3130</v>
      </c>
      <c r="T15" s="37">
        <f t="shared" si="18"/>
        <v>1630</v>
      </c>
      <c r="U15" s="37">
        <f t="shared" si="19"/>
        <v>4330</v>
      </c>
      <c r="V15" s="37">
        <f t="shared" si="20"/>
        <v>3260</v>
      </c>
      <c r="W15" s="37">
        <f t="shared" si="21"/>
        <v>2500</v>
      </c>
      <c r="X15" s="37">
        <f t="shared" si="22"/>
        <v>3010</v>
      </c>
      <c r="Y15" s="37">
        <f t="shared" si="23"/>
        <v>4380</v>
      </c>
      <c r="Z15" s="37">
        <f t="shared" si="24"/>
        <v>2720</v>
      </c>
      <c r="AA15" s="37">
        <f t="shared" si="25"/>
        <v>3380</v>
      </c>
      <c r="AB15" s="37">
        <f t="shared" si="26"/>
        <v>7030</v>
      </c>
      <c r="AC15" s="37">
        <f t="shared" si="27"/>
        <v>11710</v>
      </c>
      <c r="AD15" s="35">
        <f t="shared" si="28"/>
        <v>49770</v>
      </c>
      <c r="AF15" s="20">
        <f t="shared" si="1"/>
        <v>3</v>
      </c>
      <c r="AG15" s="20">
        <f t="shared" si="2"/>
        <v>10.450000000000001</v>
      </c>
      <c r="AH15" s="20">
        <f t="shared" si="3"/>
        <v>15.65</v>
      </c>
      <c r="AI15" s="20">
        <f t="shared" si="4"/>
        <v>8.15</v>
      </c>
      <c r="AJ15" s="20">
        <f t="shared" si="5"/>
        <v>21.650000000000002</v>
      </c>
      <c r="AK15" s="20">
        <f t="shared" si="6"/>
        <v>16.3</v>
      </c>
      <c r="AL15" s="20">
        <f t="shared" si="7"/>
        <v>12.5</v>
      </c>
      <c r="AM15" s="20">
        <f t="shared" si="8"/>
        <v>15.05</v>
      </c>
      <c r="AN15" s="20">
        <f t="shared" si="9"/>
        <v>21.900000000000002</v>
      </c>
      <c r="AO15" s="20">
        <f t="shared" si="10"/>
        <v>13.6</v>
      </c>
      <c r="AP15" s="20">
        <f t="shared" si="11"/>
        <v>16.899999999999999</v>
      </c>
      <c r="AQ15" s="20">
        <f t="shared" si="12"/>
        <v>35.15</v>
      </c>
      <c r="AR15" s="20">
        <f t="shared" si="13"/>
        <v>58.550000000000004</v>
      </c>
      <c r="AS15" s="35">
        <f t="shared" si="29"/>
        <v>248.85000000000002</v>
      </c>
      <c r="AU15" s="47">
        <v>495432</v>
      </c>
      <c r="AV15" s="37">
        <f t="shared" si="31"/>
        <v>172</v>
      </c>
      <c r="AW15" s="35">
        <f t="shared" si="30"/>
        <v>0.34400000000000003</v>
      </c>
    </row>
    <row r="16" spans="1:49" x14ac:dyDescent="0.25">
      <c r="A16" s="23">
        <v>44265</v>
      </c>
      <c r="B16" s="40">
        <v>104</v>
      </c>
      <c r="C16" s="24">
        <v>6544980</v>
      </c>
      <c r="D16" s="24">
        <v>15164490</v>
      </c>
      <c r="E16" s="24">
        <v>2444610</v>
      </c>
      <c r="F16" s="24">
        <v>3336310</v>
      </c>
      <c r="G16" s="24">
        <v>10048660</v>
      </c>
      <c r="H16" s="24">
        <v>5247970</v>
      </c>
      <c r="I16" s="24">
        <v>4874670</v>
      </c>
      <c r="J16" s="24">
        <v>5647980</v>
      </c>
      <c r="K16" s="24">
        <v>8799510</v>
      </c>
      <c r="L16" s="24">
        <v>3619590</v>
      </c>
      <c r="M16" s="24">
        <v>7618990</v>
      </c>
      <c r="N16" s="24">
        <v>11432650</v>
      </c>
      <c r="O16" s="24">
        <v>15749780</v>
      </c>
      <c r="Q16" s="37">
        <f t="shared" si="16"/>
        <v>520</v>
      </c>
      <c r="R16" s="37">
        <f t="shared" si="17"/>
        <v>1790</v>
      </c>
      <c r="S16" s="37">
        <f t="shared" si="15"/>
        <v>2820</v>
      </c>
      <c r="T16" s="37">
        <f t="shared" si="18"/>
        <v>1410</v>
      </c>
      <c r="U16" s="37">
        <f t="shared" si="19"/>
        <v>3890</v>
      </c>
      <c r="V16" s="37">
        <f t="shared" si="20"/>
        <v>2860</v>
      </c>
      <c r="W16" s="37">
        <f t="shared" si="21"/>
        <v>2170</v>
      </c>
      <c r="X16" s="37">
        <f t="shared" si="22"/>
        <v>2590</v>
      </c>
      <c r="Y16" s="37">
        <f t="shared" si="23"/>
        <v>3860</v>
      </c>
      <c r="Z16" s="37">
        <f t="shared" si="24"/>
        <v>2370</v>
      </c>
      <c r="AA16" s="37">
        <f t="shared" si="25"/>
        <v>3060</v>
      </c>
      <c r="AB16" s="37">
        <f t="shared" si="26"/>
        <v>6210</v>
      </c>
      <c r="AC16" s="37">
        <f t="shared" si="27"/>
        <v>9900</v>
      </c>
      <c r="AD16" s="35">
        <f t="shared" si="28"/>
        <v>43450</v>
      </c>
      <c r="AF16" s="20">
        <f t="shared" si="1"/>
        <v>2.6</v>
      </c>
      <c r="AG16" s="20">
        <f t="shared" si="2"/>
        <v>8.9500000000000011</v>
      </c>
      <c r="AH16" s="20">
        <f t="shared" si="3"/>
        <v>14.1</v>
      </c>
      <c r="AI16" s="20">
        <f t="shared" si="4"/>
        <v>7.05</v>
      </c>
      <c r="AJ16" s="20">
        <f t="shared" si="5"/>
        <v>19.45</v>
      </c>
      <c r="AK16" s="20">
        <f t="shared" si="6"/>
        <v>14.3</v>
      </c>
      <c r="AL16" s="20">
        <f t="shared" si="7"/>
        <v>10.85</v>
      </c>
      <c r="AM16" s="20">
        <f t="shared" si="8"/>
        <v>12.950000000000001</v>
      </c>
      <c r="AN16" s="20">
        <f t="shared" si="9"/>
        <v>19.3</v>
      </c>
      <c r="AO16" s="20">
        <f t="shared" si="10"/>
        <v>11.85</v>
      </c>
      <c r="AP16" s="20">
        <f t="shared" si="11"/>
        <v>15.3</v>
      </c>
      <c r="AQ16" s="20">
        <f t="shared" si="12"/>
        <v>31.05</v>
      </c>
      <c r="AR16" s="20">
        <f t="shared" si="13"/>
        <v>49.5</v>
      </c>
      <c r="AS16" s="35">
        <f t="shared" si="29"/>
        <v>217.25</v>
      </c>
      <c r="AU16" s="47">
        <v>498265</v>
      </c>
      <c r="AV16" s="37">
        <f t="shared" si="31"/>
        <v>2833</v>
      </c>
      <c r="AW16" s="35">
        <f t="shared" si="30"/>
        <v>5.6660000000000004</v>
      </c>
    </row>
    <row r="17" spans="1:49" x14ac:dyDescent="0.25">
      <c r="A17" s="23">
        <v>44266</v>
      </c>
      <c r="B17" s="40">
        <v>149</v>
      </c>
      <c r="C17" s="24">
        <v>6545520</v>
      </c>
      <c r="D17" s="24">
        <v>15166330</v>
      </c>
      <c r="E17" s="24">
        <v>2447580</v>
      </c>
      <c r="F17" s="24">
        <v>3337760</v>
      </c>
      <c r="G17" s="24">
        <v>10052270</v>
      </c>
      <c r="H17" s="24">
        <v>5251020</v>
      </c>
      <c r="I17" s="24">
        <v>4876380</v>
      </c>
      <c r="J17" s="24">
        <v>5650880</v>
      </c>
      <c r="K17" s="24">
        <v>8803690</v>
      </c>
      <c r="L17" s="24">
        <v>3622170</v>
      </c>
      <c r="M17" s="24">
        <v>7622130</v>
      </c>
      <c r="N17" s="24">
        <v>11438960</v>
      </c>
      <c r="O17" s="24">
        <v>15760540</v>
      </c>
      <c r="Q17" s="37">
        <f t="shared" si="16"/>
        <v>540</v>
      </c>
      <c r="R17" s="37">
        <f t="shared" si="17"/>
        <v>1840</v>
      </c>
      <c r="S17" s="37">
        <f t="shared" si="15"/>
        <v>2970</v>
      </c>
      <c r="T17" s="37">
        <f t="shared" si="18"/>
        <v>1450</v>
      </c>
      <c r="U17" s="37">
        <f t="shared" si="19"/>
        <v>3610</v>
      </c>
      <c r="V17" s="37">
        <f t="shared" si="20"/>
        <v>3050</v>
      </c>
      <c r="W17" s="37">
        <f t="shared" si="21"/>
        <v>1710</v>
      </c>
      <c r="X17" s="37">
        <f t="shared" si="22"/>
        <v>2900</v>
      </c>
      <c r="Y17" s="37">
        <f t="shared" si="23"/>
        <v>4180</v>
      </c>
      <c r="Z17" s="37">
        <f t="shared" si="24"/>
        <v>2580</v>
      </c>
      <c r="AA17" s="37">
        <f t="shared" si="25"/>
        <v>3140</v>
      </c>
      <c r="AB17" s="37">
        <f t="shared" si="26"/>
        <v>6310</v>
      </c>
      <c r="AC17" s="37">
        <f t="shared" si="27"/>
        <v>10760</v>
      </c>
      <c r="AD17" s="35">
        <f t="shared" si="28"/>
        <v>45040</v>
      </c>
      <c r="AF17" s="20">
        <f t="shared" si="1"/>
        <v>2.7</v>
      </c>
      <c r="AG17" s="20">
        <f t="shared" si="2"/>
        <v>9.2000000000000011</v>
      </c>
      <c r="AH17" s="20">
        <f t="shared" si="3"/>
        <v>14.85</v>
      </c>
      <c r="AI17" s="20">
        <f t="shared" si="4"/>
        <v>7.25</v>
      </c>
      <c r="AJ17" s="20">
        <f t="shared" si="5"/>
        <v>18.05</v>
      </c>
      <c r="AK17" s="20">
        <f t="shared" si="6"/>
        <v>15.25</v>
      </c>
      <c r="AL17" s="20">
        <f t="shared" si="7"/>
        <v>8.5500000000000007</v>
      </c>
      <c r="AM17" s="20">
        <f t="shared" si="8"/>
        <v>14.5</v>
      </c>
      <c r="AN17" s="20">
        <f t="shared" si="9"/>
        <v>20.900000000000002</v>
      </c>
      <c r="AO17" s="20">
        <f t="shared" si="10"/>
        <v>12.9</v>
      </c>
      <c r="AP17" s="20">
        <f t="shared" si="11"/>
        <v>15.700000000000001</v>
      </c>
      <c r="AQ17" s="20">
        <f t="shared" si="12"/>
        <v>31.55</v>
      </c>
      <c r="AR17" s="20">
        <f t="shared" si="13"/>
        <v>53.800000000000004</v>
      </c>
      <c r="AS17" s="35">
        <f t="shared" si="29"/>
        <v>225.20000000000002</v>
      </c>
      <c r="AU17" s="47">
        <v>499573</v>
      </c>
      <c r="AV17" s="37">
        <f t="shared" si="31"/>
        <v>1308</v>
      </c>
      <c r="AW17" s="35">
        <f t="shared" si="30"/>
        <v>2.6160000000000001</v>
      </c>
    </row>
    <row r="18" spans="1:49" x14ac:dyDescent="0.25">
      <c r="A18" s="23">
        <v>44267</v>
      </c>
      <c r="B18" s="40">
        <v>132</v>
      </c>
      <c r="C18" s="24">
        <v>6546050</v>
      </c>
      <c r="D18" s="24">
        <v>15168160</v>
      </c>
      <c r="E18" s="24">
        <v>2450610</v>
      </c>
      <c r="F18" s="24">
        <v>3339210</v>
      </c>
      <c r="G18" s="24">
        <v>10056340</v>
      </c>
      <c r="H18" s="24">
        <v>5254050</v>
      </c>
      <c r="I18" s="24">
        <v>4879060</v>
      </c>
      <c r="J18" s="24">
        <v>5653760</v>
      </c>
      <c r="K18" s="24">
        <v>8807790</v>
      </c>
      <c r="L18" s="24">
        <v>3624680</v>
      </c>
      <c r="M18" s="24">
        <v>7625450</v>
      </c>
      <c r="N18" s="24">
        <v>11445330</v>
      </c>
      <c r="O18" s="24">
        <v>15772530</v>
      </c>
      <c r="Q18" s="37">
        <f t="shared" si="16"/>
        <v>530</v>
      </c>
      <c r="R18" s="37">
        <f t="shared" si="17"/>
        <v>1830</v>
      </c>
      <c r="S18" s="37">
        <f t="shared" si="15"/>
        <v>3030</v>
      </c>
      <c r="T18" s="37">
        <f t="shared" si="18"/>
        <v>1450</v>
      </c>
      <c r="U18" s="37">
        <f t="shared" si="19"/>
        <v>4070</v>
      </c>
      <c r="V18" s="37">
        <f t="shared" si="20"/>
        <v>3030</v>
      </c>
      <c r="W18" s="37">
        <f t="shared" si="21"/>
        <v>2680</v>
      </c>
      <c r="X18" s="37">
        <f t="shared" si="22"/>
        <v>2880</v>
      </c>
      <c r="Y18" s="37">
        <f t="shared" si="23"/>
        <v>4100</v>
      </c>
      <c r="Z18" s="37">
        <f t="shared" si="24"/>
        <v>2510</v>
      </c>
      <c r="AA18" s="37">
        <f t="shared" si="25"/>
        <v>3320</v>
      </c>
      <c r="AB18" s="37">
        <f t="shared" si="26"/>
        <v>6370</v>
      </c>
      <c r="AC18" s="37">
        <f t="shared" si="27"/>
        <v>11990</v>
      </c>
      <c r="AD18" s="35">
        <f t="shared" si="28"/>
        <v>47790</v>
      </c>
      <c r="AF18" s="20">
        <f t="shared" si="1"/>
        <v>2.65</v>
      </c>
      <c r="AG18" s="20">
        <f t="shared" si="2"/>
        <v>9.15</v>
      </c>
      <c r="AH18" s="20">
        <f t="shared" si="3"/>
        <v>15.15</v>
      </c>
      <c r="AI18" s="20">
        <f t="shared" si="4"/>
        <v>7.25</v>
      </c>
      <c r="AJ18" s="20">
        <f t="shared" si="5"/>
        <v>20.350000000000001</v>
      </c>
      <c r="AK18" s="20">
        <f t="shared" si="6"/>
        <v>15.15</v>
      </c>
      <c r="AL18" s="20">
        <f t="shared" si="7"/>
        <v>13.4</v>
      </c>
      <c r="AM18" s="20">
        <f t="shared" si="8"/>
        <v>14.4</v>
      </c>
      <c r="AN18" s="20">
        <f t="shared" si="9"/>
        <v>20.5</v>
      </c>
      <c r="AO18" s="20">
        <f t="shared" si="10"/>
        <v>12.55</v>
      </c>
      <c r="AP18" s="20">
        <f t="shared" si="11"/>
        <v>16.600000000000001</v>
      </c>
      <c r="AQ18" s="20">
        <f t="shared" si="12"/>
        <v>31.85</v>
      </c>
      <c r="AR18" s="20">
        <f t="shared" si="13"/>
        <v>59.95</v>
      </c>
      <c r="AS18" s="35">
        <f t="shared" si="29"/>
        <v>238.95</v>
      </c>
      <c r="AU18" s="47">
        <v>501190</v>
      </c>
      <c r="AV18" s="37">
        <f t="shared" si="31"/>
        <v>1617</v>
      </c>
      <c r="AW18" s="35">
        <f t="shared" si="30"/>
        <v>3.234</v>
      </c>
    </row>
    <row r="19" spans="1:49" x14ac:dyDescent="0.25">
      <c r="A19" s="23">
        <v>44268</v>
      </c>
      <c r="B19" s="40">
        <v>115</v>
      </c>
      <c r="C19" s="24">
        <v>6546600</v>
      </c>
      <c r="D19" s="24">
        <v>15170030</v>
      </c>
      <c r="E19" s="24">
        <v>2453390</v>
      </c>
      <c r="F19" s="24">
        <v>3340670</v>
      </c>
      <c r="G19" s="24">
        <v>10060450</v>
      </c>
      <c r="H19" s="24">
        <v>5257150</v>
      </c>
      <c r="I19" s="24">
        <v>4881310</v>
      </c>
      <c r="J19" s="24">
        <v>5656650</v>
      </c>
      <c r="K19" s="24">
        <v>8812010</v>
      </c>
      <c r="L19" s="24">
        <v>3627230</v>
      </c>
      <c r="M19" s="24">
        <v>7628570</v>
      </c>
      <c r="N19" s="24">
        <v>11451660</v>
      </c>
      <c r="O19" s="24">
        <v>15784920</v>
      </c>
      <c r="Q19" s="37">
        <f t="shared" si="16"/>
        <v>550</v>
      </c>
      <c r="R19" s="37">
        <f t="shared" si="17"/>
        <v>1870</v>
      </c>
      <c r="S19" s="37">
        <f t="shared" si="15"/>
        <v>2780</v>
      </c>
      <c r="T19" s="37">
        <f t="shared" si="18"/>
        <v>1460</v>
      </c>
      <c r="U19" s="37">
        <f t="shared" si="19"/>
        <v>4110</v>
      </c>
      <c r="V19" s="37">
        <f t="shared" si="20"/>
        <v>3100</v>
      </c>
      <c r="W19" s="37">
        <f t="shared" si="21"/>
        <v>2250</v>
      </c>
      <c r="X19" s="37">
        <f t="shared" si="22"/>
        <v>2890</v>
      </c>
      <c r="Y19" s="37">
        <f t="shared" si="23"/>
        <v>4220</v>
      </c>
      <c r="Z19" s="37">
        <f t="shared" si="24"/>
        <v>2550</v>
      </c>
      <c r="AA19" s="37">
        <f t="shared" si="25"/>
        <v>3120</v>
      </c>
      <c r="AB19" s="37">
        <f t="shared" si="26"/>
        <v>6330</v>
      </c>
      <c r="AC19" s="37">
        <f t="shared" si="27"/>
        <v>12390</v>
      </c>
      <c r="AD19" s="35">
        <f t="shared" si="28"/>
        <v>47620</v>
      </c>
      <c r="AF19" s="20">
        <f t="shared" si="1"/>
        <v>2.75</v>
      </c>
      <c r="AG19" s="20">
        <f t="shared" si="2"/>
        <v>9.35</v>
      </c>
      <c r="AH19" s="20">
        <f t="shared" si="3"/>
        <v>13.9</v>
      </c>
      <c r="AI19" s="20">
        <f t="shared" si="4"/>
        <v>7.3</v>
      </c>
      <c r="AJ19" s="20">
        <f t="shared" si="5"/>
        <v>20.55</v>
      </c>
      <c r="AK19" s="20">
        <f t="shared" si="6"/>
        <v>15.5</v>
      </c>
      <c r="AL19" s="20">
        <f t="shared" si="7"/>
        <v>11.25</v>
      </c>
      <c r="AM19" s="20">
        <f t="shared" si="8"/>
        <v>14.450000000000001</v>
      </c>
      <c r="AN19" s="20">
        <f t="shared" si="9"/>
        <v>21.1</v>
      </c>
      <c r="AO19" s="20">
        <f t="shared" si="10"/>
        <v>12.75</v>
      </c>
      <c r="AP19" s="20">
        <f t="shared" si="11"/>
        <v>15.6</v>
      </c>
      <c r="AQ19" s="20">
        <f t="shared" si="12"/>
        <v>31.650000000000002</v>
      </c>
      <c r="AR19" s="20">
        <f t="shared" si="13"/>
        <v>61.95</v>
      </c>
      <c r="AS19" s="35">
        <f t="shared" si="29"/>
        <v>238.10000000000002</v>
      </c>
      <c r="AU19" s="47">
        <v>502521</v>
      </c>
      <c r="AV19" s="37">
        <f t="shared" si="31"/>
        <v>1331</v>
      </c>
      <c r="AW19" s="35">
        <f t="shared" si="30"/>
        <v>2.6619999999999999</v>
      </c>
    </row>
    <row r="20" spans="1:49" x14ac:dyDescent="0.25">
      <c r="A20" s="23">
        <v>44269</v>
      </c>
      <c r="B20" s="40">
        <v>107</v>
      </c>
      <c r="C20" s="24">
        <v>6547160</v>
      </c>
      <c r="D20" s="24">
        <v>15171940</v>
      </c>
      <c r="E20" s="24">
        <v>2456200</v>
      </c>
      <c r="F20" s="24">
        <v>3342170</v>
      </c>
      <c r="G20" s="24">
        <v>10064690</v>
      </c>
      <c r="H20" s="24">
        <v>5260310</v>
      </c>
      <c r="I20" s="24">
        <v>4883630</v>
      </c>
      <c r="J20" s="24">
        <v>5659710</v>
      </c>
      <c r="K20" s="24">
        <v>8816070</v>
      </c>
      <c r="L20" s="24">
        <v>3629870</v>
      </c>
      <c r="M20" s="24">
        <v>7631900</v>
      </c>
      <c r="N20" s="24">
        <v>11458260</v>
      </c>
      <c r="O20" s="24">
        <v>15797180</v>
      </c>
      <c r="Q20" s="37">
        <f t="shared" si="16"/>
        <v>560</v>
      </c>
      <c r="R20" s="37">
        <f t="shared" si="17"/>
        <v>1910</v>
      </c>
      <c r="S20" s="37">
        <f t="shared" si="15"/>
        <v>2810</v>
      </c>
      <c r="T20" s="37">
        <f t="shared" si="18"/>
        <v>1500</v>
      </c>
      <c r="U20" s="37">
        <f t="shared" si="19"/>
        <v>4240</v>
      </c>
      <c r="V20" s="37">
        <f t="shared" si="20"/>
        <v>3160</v>
      </c>
      <c r="W20" s="37">
        <f t="shared" si="21"/>
        <v>2320</v>
      </c>
      <c r="X20" s="37">
        <f t="shared" si="22"/>
        <v>3060</v>
      </c>
      <c r="Y20" s="37">
        <f t="shared" si="23"/>
        <v>4060</v>
      </c>
      <c r="Z20" s="37">
        <f t="shared" si="24"/>
        <v>2640</v>
      </c>
      <c r="AA20" s="37">
        <f t="shared" si="25"/>
        <v>3330</v>
      </c>
      <c r="AB20" s="37">
        <f t="shared" si="26"/>
        <v>6600</v>
      </c>
      <c r="AC20" s="37">
        <f t="shared" si="27"/>
        <v>12260</v>
      </c>
      <c r="AD20" s="35">
        <f t="shared" si="28"/>
        <v>48450</v>
      </c>
      <c r="AF20" s="20">
        <f t="shared" si="1"/>
        <v>2.8000000000000003</v>
      </c>
      <c r="AG20" s="20">
        <f t="shared" si="2"/>
        <v>9.5500000000000007</v>
      </c>
      <c r="AH20" s="20">
        <f t="shared" si="3"/>
        <v>14.05</v>
      </c>
      <c r="AI20" s="20">
        <f t="shared" si="4"/>
        <v>7.5</v>
      </c>
      <c r="AJ20" s="20">
        <f t="shared" si="5"/>
        <v>21.2</v>
      </c>
      <c r="AK20" s="20">
        <f t="shared" si="6"/>
        <v>15.8</v>
      </c>
      <c r="AL20" s="20">
        <f t="shared" si="7"/>
        <v>11.6</v>
      </c>
      <c r="AM20" s="20">
        <f t="shared" si="8"/>
        <v>15.3</v>
      </c>
      <c r="AN20" s="20">
        <f t="shared" si="9"/>
        <v>20.3</v>
      </c>
      <c r="AO20" s="20">
        <f t="shared" si="10"/>
        <v>13.200000000000001</v>
      </c>
      <c r="AP20" s="20">
        <f t="shared" si="11"/>
        <v>16.649999999999999</v>
      </c>
      <c r="AQ20" s="20">
        <f t="shared" si="12"/>
        <v>33</v>
      </c>
      <c r="AR20" s="20">
        <f t="shared" si="13"/>
        <v>61.300000000000004</v>
      </c>
      <c r="AS20" s="35">
        <f t="shared" si="29"/>
        <v>242.25</v>
      </c>
      <c r="AU20" s="47">
        <v>504480</v>
      </c>
      <c r="AV20" s="37">
        <f t="shared" si="31"/>
        <v>1959</v>
      </c>
      <c r="AW20" s="35">
        <f t="shared" si="30"/>
        <v>3.9180000000000001</v>
      </c>
    </row>
    <row r="21" spans="1:49" x14ac:dyDescent="0.25">
      <c r="A21" s="23">
        <v>44270</v>
      </c>
      <c r="B21" s="40">
        <v>115</v>
      </c>
      <c r="C21" s="24">
        <v>6547720</v>
      </c>
      <c r="D21" s="24">
        <v>15173860</v>
      </c>
      <c r="E21" s="24">
        <v>2459080</v>
      </c>
      <c r="F21" s="24">
        <v>3343670</v>
      </c>
      <c r="G21" s="24">
        <v>10068840</v>
      </c>
      <c r="H21" s="24">
        <v>5263330</v>
      </c>
      <c r="I21" s="24">
        <v>4885490</v>
      </c>
      <c r="J21" s="24">
        <v>5662860</v>
      </c>
      <c r="K21" s="24">
        <v>8820240</v>
      </c>
      <c r="L21" s="24">
        <v>3632460</v>
      </c>
      <c r="M21" s="24">
        <v>7634910</v>
      </c>
      <c r="N21" s="24">
        <v>11465570</v>
      </c>
      <c r="O21" s="24">
        <v>15808550</v>
      </c>
      <c r="Q21" s="37">
        <f t="shared" si="16"/>
        <v>560</v>
      </c>
      <c r="R21" s="37">
        <f t="shared" si="17"/>
        <v>1920</v>
      </c>
      <c r="S21" s="37">
        <f t="shared" si="15"/>
        <v>2880</v>
      </c>
      <c r="T21" s="37">
        <f t="shared" si="18"/>
        <v>1500</v>
      </c>
      <c r="U21" s="37">
        <f t="shared" si="19"/>
        <v>4150</v>
      </c>
      <c r="V21" s="37">
        <f t="shared" si="20"/>
        <v>3020</v>
      </c>
      <c r="W21" s="37">
        <f t="shared" si="21"/>
        <v>1860</v>
      </c>
      <c r="X21" s="37">
        <f t="shared" si="22"/>
        <v>3150</v>
      </c>
      <c r="Y21" s="37">
        <f t="shared" si="23"/>
        <v>4170</v>
      </c>
      <c r="Z21" s="37">
        <f t="shared" si="24"/>
        <v>2590</v>
      </c>
      <c r="AA21" s="37">
        <f t="shared" si="25"/>
        <v>3010</v>
      </c>
      <c r="AB21" s="37">
        <f t="shared" si="26"/>
        <v>7310</v>
      </c>
      <c r="AC21" s="37">
        <f t="shared" si="27"/>
        <v>11370</v>
      </c>
      <c r="AD21" s="35">
        <f t="shared" si="28"/>
        <v>47490</v>
      </c>
      <c r="AF21" s="20">
        <f t="shared" si="1"/>
        <v>2.8000000000000003</v>
      </c>
      <c r="AG21" s="20">
        <f t="shared" si="2"/>
        <v>9.6</v>
      </c>
      <c r="AH21" s="20">
        <f t="shared" si="3"/>
        <v>14.4</v>
      </c>
      <c r="AI21" s="20">
        <f t="shared" si="4"/>
        <v>7.5</v>
      </c>
      <c r="AJ21" s="20">
        <f t="shared" si="5"/>
        <v>20.75</v>
      </c>
      <c r="AK21" s="20">
        <f t="shared" si="6"/>
        <v>15.1</v>
      </c>
      <c r="AL21" s="20">
        <f t="shared" si="7"/>
        <v>9.3000000000000007</v>
      </c>
      <c r="AM21" s="20">
        <f t="shared" si="8"/>
        <v>15.75</v>
      </c>
      <c r="AN21" s="20">
        <f t="shared" si="9"/>
        <v>20.85</v>
      </c>
      <c r="AO21" s="20">
        <f t="shared" si="10"/>
        <v>12.950000000000001</v>
      </c>
      <c r="AP21" s="20">
        <f t="shared" si="11"/>
        <v>15.05</v>
      </c>
      <c r="AQ21" s="20">
        <f t="shared" si="12"/>
        <v>36.550000000000004</v>
      </c>
      <c r="AR21" s="20">
        <f t="shared" si="13"/>
        <v>56.85</v>
      </c>
      <c r="AS21" s="35">
        <f t="shared" si="29"/>
        <v>237.45</v>
      </c>
      <c r="AU21" s="47">
        <v>506051</v>
      </c>
      <c r="AV21" s="37">
        <f t="shared" si="31"/>
        <v>1571</v>
      </c>
      <c r="AW21" s="35">
        <f t="shared" si="30"/>
        <v>3.1419999999999999</v>
      </c>
    </row>
    <row r="22" spans="1:49" x14ac:dyDescent="0.25">
      <c r="A22" s="23">
        <v>44271</v>
      </c>
      <c r="B22" s="40">
        <v>112</v>
      </c>
      <c r="C22" s="24">
        <v>6548250</v>
      </c>
      <c r="D22" s="24">
        <v>15175770</v>
      </c>
      <c r="E22" s="24">
        <v>2462110</v>
      </c>
      <c r="F22" s="24">
        <v>3345180</v>
      </c>
      <c r="G22" s="24">
        <v>10072990</v>
      </c>
      <c r="H22" s="24">
        <v>5266400</v>
      </c>
      <c r="I22" s="24">
        <v>4888270</v>
      </c>
      <c r="J22" s="44">
        <v>5666080</v>
      </c>
      <c r="K22" s="24">
        <v>8824460</v>
      </c>
      <c r="L22" s="24">
        <v>3635160</v>
      </c>
      <c r="M22" s="24">
        <v>7638260</v>
      </c>
      <c r="N22" s="24">
        <v>11471920</v>
      </c>
      <c r="O22" s="44">
        <v>15820920</v>
      </c>
      <c r="Q22" s="37">
        <f t="shared" si="16"/>
        <v>530</v>
      </c>
      <c r="R22" s="37">
        <f t="shared" si="17"/>
        <v>1910</v>
      </c>
      <c r="S22" s="37">
        <f t="shared" si="15"/>
        <v>3030</v>
      </c>
      <c r="T22" s="37">
        <f t="shared" si="18"/>
        <v>1510</v>
      </c>
      <c r="U22" s="37">
        <f t="shared" si="19"/>
        <v>4150</v>
      </c>
      <c r="V22" s="37">
        <f t="shared" si="20"/>
        <v>3070</v>
      </c>
      <c r="W22" s="37">
        <f t="shared" si="21"/>
        <v>2780</v>
      </c>
      <c r="X22" s="37">
        <f t="shared" si="22"/>
        <v>3220</v>
      </c>
      <c r="Y22" s="37">
        <f t="shared" si="23"/>
        <v>4220</v>
      </c>
      <c r="Z22" s="37">
        <f t="shared" si="24"/>
        <v>2700</v>
      </c>
      <c r="AA22" s="37">
        <f t="shared" si="25"/>
        <v>3350</v>
      </c>
      <c r="AB22" s="37">
        <f t="shared" si="26"/>
        <v>6350</v>
      </c>
      <c r="AC22" s="37">
        <f t="shared" si="27"/>
        <v>12370</v>
      </c>
      <c r="AD22" s="35">
        <f t="shared" si="28"/>
        <v>49190</v>
      </c>
      <c r="AF22" s="20">
        <f t="shared" si="1"/>
        <v>2.65</v>
      </c>
      <c r="AG22" s="20">
        <f t="shared" si="2"/>
        <v>9.5500000000000007</v>
      </c>
      <c r="AH22" s="20">
        <f t="shared" si="3"/>
        <v>15.15</v>
      </c>
      <c r="AI22" s="20">
        <f t="shared" si="4"/>
        <v>7.55</v>
      </c>
      <c r="AJ22" s="20">
        <f t="shared" si="5"/>
        <v>20.75</v>
      </c>
      <c r="AK22" s="20">
        <f t="shared" si="6"/>
        <v>15.35</v>
      </c>
      <c r="AL22" s="20">
        <f t="shared" si="7"/>
        <v>13.9</v>
      </c>
      <c r="AM22" s="20">
        <f t="shared" si="8"/>
        <v>16.100000000000001</v>
      </c>
      <c r="AN22" s="20">
        <f t="shared" si="9"/>
        <v>21.1</v>
      </c>
      <c r="AO22" s="20">
        <f t="shared" si="10"/>
        <v>13.5</v>
      </c>
      <c r="AP22" s="20">
        <f t="shared" si="11"/>
        <v>16.75</v>
      </c>
      <c r="AQ22" s="20">
        <f t="shared" si="12"/>
        <v>31.75</v>
      </c>
      <c r="AR22" s="20">
        <f t="shared" si="13"/>
        <v>61.85</v>
      </c>
      <c r="AS22" s="35">
        <f t="shared" si="29"/>
        <v>245.95</v>
      </c>
      <c r="AU22" s="47">
        <v>507525</v>
      </c>
      <c r="AV22" s="37">
        <f t="shared" si="31"/>
        <v>1474</v>
      </c>
      <c r="AW22" s="35">
        <f t="shared" si="30"/>
        <v>2.948</v>
      </c>
    </row>
    <row r="23" spans="1:49" x14ac:dyDescent="0.25">
      <c r="A23" s="23">
        <v>44272</v>
      </c>
      <c r="B23" s="40">
        <v>115</v>
      </c>
      <c r="C23" s="24">
        <v>6548830</v>
      </c>
      <c r="D23" s="24">
        <v>15177680</v>
      </c>
      <c r="E23" s="24">
        <v>2465460</v>
      </c>
      <c r="F23" s="24">
        <v>3346690</v>
      </c>
      <c r="G23" s="24">
        <v>10077080</v>
      </c>
      <c r="H23" s="24">
        <v>5269370</v>
      </c>
      <c r="I23" s="24">
        <v>4890590</v>
      </c>
      <c r="J23" s="24">
        <v>5669120</v>
      </c>
      <c r="K23" s="24">
        <v>8828860</v>
      </c>
      <c r="L23" s="24">
        <v>3637760</v>
      </c>
      <c r="M23" s="24">
        <v>7641460</v>
      </c>
      <c r="N23" s="24">
        <v>11478480</v>
      </c>
      <c r="O23" s="24">
        <v>15832850</v>
      </c>
      <c r="Q23" s="37">
        <f t="shared" si="16"/>
        <v>580</v>
      </c>
      <c r="R23" s="37">
        <f t="shared" si="17"/>
        <v>1910</v>
      </c>
      <c r="S23" s="37">
        <f t="shared" si="15"/>
        <v>3350</v>
      </c>
      <c r="T23" s="37">
        <f t="shared" si="18"/>
        <v>1510</v>
      </c>
      <c r="U23" s="37">
        <f t="shared" si="19"/>
        <v>4090</v>
      </c>
      <c r="V23" s="37">
        <f t="shared" si="20"/>
        <v>2970</v>
      </c>
      <c r="W23" s="37">
        <f t="shared" si="21"/>
        <v>2320</v>
      </c>
      <c r="X23" s="37">
        <f t="shared" si="22"/>
        <v>3040</v>
      </c>
      <c r="Y23" s="37">
        <f t="shared" si="23"/>
        <v>4400</v>
      </c>
      <c r="Z23" s="37">
        <f t="shared" si="24"/>
        <v>2600</v>
      </c>
      <c r="AA23" s="37">
        <f t="shared" si="25"/>
        <v>3200</v>
      </c>
      <c r="AB23" s="37">
        <f t="shared" si="26"/>
        <v>6560</v>
      </c>
      <c r="AC23" s="37">
        <f t="shared" si="27"/>
        <v>11930</v>
      </c>
      <c r="AD23" s="35">
        <f t="shared" si="28"/>
        <v>48460</v>
      </c>
      <c r="AF23" s="20">
        <f t="shared" si="1"/>
        <v>2.9</v>
      </c>
      <c r="AG23" s="20">
        <f t="shared" si="2"/>
        <v>9.5500000000000007</v>
      </c>
      <c r="AH23" s="20">
        <f t="shared" si="3"/>
        <v>16.75</v>
      </c>
      <c r="AI23" s="20">
        <f t="shared" si="4"/>
        <v>7.55</v>
      </c>
      <c r="AJ23" s="20">
        <f t="shared" si="5"/>
        <v>20.45</v>
      </c>
      <c r="AK23" s="20">
        <f t="shared" si="6"/>
        <v>14.85</v>
      </c>
      <c r="AL23" s="20">
        <f t="shared" si="7"/>
        <v>11.6</v>
      </c>
      <c r="AM23" s="20">
        <f t="shared" si="8"/>
        <v>15.200000000000001</v>
      </c>
      <c r="AN23" s="20">
        <f t="shared" si="9"/>
        <v>22</v>
      </c>
      <c r="AO23" s="20">
        <f t="shared" si="10"/>
        <v>13</v>
      </c>
      <c r="AP23" s="20">
        <f t="shared" si="11"/>
        <v>16</v>
      </c>
      <c r="AQ23" s="20">
        <f t="shared" si="12"/>
        <v>32.799999999999997</v>
      </c>
      <c r="AR23" s="20">
        <f t="shared" si="13"/>
        <v>59.65</v>
      </c>
      <c r="AS23" s="35">
        <f t="shared" si="29"/>
        <v>242.29999999999998</v>
      </c>
      <c r="AU23" s="47">
        <v>509183</v>
      </c>
      <c r="AV23" s="37">
        <f t="shared" si="31"/>
        <v>1658</v>
      </c>
      <c r="AW23" s="35">
        <f t="shared" si="30"/>
        <v>3.3160000000000003</v>
      </c>
    </row>
    <row r="24" spans="1:49" x14ac:dyDescent="0.25">
      <c r="A24" s="23">
        <v>44273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 t="str">
        <f t="shared" si="16"/>
        <v>0</v>
      </c>
      <c r="R24" s="37" t="str">
        <f t="shared" si="17"/>
        <v>0</v>
      </c>
      <c r="S24" s="37" t="str">
        <f t="shared" si="15"/>
        <v>0</v>
      </c>
      <c r="T24" s="37" t="str">
        <f t="shared" si="18"/>
        <v>0</v>
      </c>
      <c r="U24" s="37" t="str">
        <f t="shared" si="19"/>
        <v>0</v>
      </c>
      <c r="V24" s="37" t="str">
        <f t="shared" si="20"/>
        <v>0</v>
      </c>
      <c r="W24" s="37" t="str">
        <f t="shared" si="21"/>
        <v>0</v>
      </c>
      <c r="X24" s="37" t="str">
        <f t="shared" si="22"/>
        <v>0</v>
      </c>
      <c r="Y24" s="37" t="str">
        <f t="shared" si="23"/>
        <v>0</v>
      </c>
      <c r="Z24" s="37" t="str">
        <f t="shared" si="24"/>
        <v>0</v>
      </c>
      <c r="AA24" s="37" t="str">
        <f t="shared" si="25"/>
        <v>0</v>
      </c>
      <c r="AB24" s="37" t="str">
        <f t="shared" si="26"/>
        <v>0</v>
      </c>
      <c r="AC24" s="37" t="str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 t="str">
        <f t="shared" si="31"/>
        <v>0</v>
      </c>
      <c r="AW24" s="35">
        <f t="shared" si="30"/>
        <v>0</v>
      </c>
    </row>
    <row r="25" spans="1:49" x14ac:dyDescent="0.25">
      <c r="A25" s="23">
        <v>44274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44275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44276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44277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44278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44279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44280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44281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44282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44283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44284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44285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44286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9310</v>
      </c>
      <c r="R38" s="38">
        <f t="shared" ref="R38:AD38" si="62">SUM(R7:R37)</f>
        <v>32060</v>
      </c>
      <c r="S38" s="38">
        <f t="shared" si="62"/>
        <v>48410</v>
      </c>
      <c r="T38" s="38">
        <f t="shared" si="62"/>
        <v>25170</v>
      </c>
      <c r="U38" s="38">
        <f t="shared" si="62"/>
        <v>69700</v>
      </c>
      <c r="V38" s="38">
        <f t="shared" si="62"/>
        <v>51170</v>
      </c>
      <c r="W38" s="38">
        <f t="shared" si="62"/>
        <v>39130</v>
      </c>
      <c r="X38" s="38">
        <f t="shared" si="62"/>
        <v>51710</v>
      </c>
      <c r="Y38" s="38">
        <f t="shared" si="62"/>
        <v>71740</v>
      </c>
      <c r="Z38" s="38">
        <f t="shared" si="62"/>
        <v>43530</v>
      </c>
      <c r="AA38" s="38">
        <f t="shared" si="62"/>
        <v>54670</v>
      </c>
      <c r="AB38" s="38">
        <f t="shared" si="62"/>
        <v>111170</v>
      </c>
      <c r="AC38" s="38">
        <f t="shared" si="62"/>
        <v>180910</v>
      </c>
      <c r="AD38" s="38">
        <f t="shared" si="62"/>
        <v>788680</v>
      </c>
      <c r="AF38" s="35">
        <f t="shared" ref="AF38:AS38" si="63">SUM(AF7:AF34)</f>
        <v>46.54999999999999</v>
      </c>
      <c r="AG38" s="35">
        <f t="shared" si="63"/>
        <v>160.30000000000004</v>
      </c>
      <c r="AH38" s="35">
        <f t="shared" si="63"/>
        <v>242.05000000000004</v>
      </c>
      <c r="AI38" s="35">
        <f t="shared" si="63"/>
        <v>125.85</v>
      </c>
      <c r="AJ38" s="35">
        <f t="shared" si="63"/>
        <v>348.5</v>
      </c>
      <c r="AK38" s="35">
        <f t="shared" si="63"/>
        <v>255.85000000000002</v>
      </c>
      <c r="AL38" s="35">
        <f t="shared" si="63"/>
        <v>195.65</v>
      </c>
      <c r="AM38" s="35">
        <f t="shared" si="63"/>
        <v>258.55</v>
      </c>
      <c r="AN38" s="35">
        <f t="shared" si="63"/>
        <v>358.7000000000001</v>
      </c>
      <c r="AO38" s="35">
        <f t="shared" si="63"/>
        <v>217.64999999999998</v>
      </c>
      <c r="AP38" s="35">
        <f t="shared" si="63"/>
        <v>273.35000000000002</v>
      </c>
      <c r="AQ38" s="35">
        <f t="shared" si="63"/>
        <v>555.84999999999991</v>
      </c>
      <c r="AR38" s="35">
        <f t="shared" si="63"/>
        <v>904.55000000000007</v>
      </c>
      <c r="AS38" s="35">
        <f t="shared" si="63"/>
        <v>3943.3999999999992</v>
      </c>
      <c r="AU38" s="48"/>
      <c r="AV38" s="35">
        <f>SUM(AV7:AV34)</f>
        <v>26455</v>
      </c>
      <c r="AW38" s="35">
        <f>SUM(AW7:AW34)</f>
        <v>46.446000000000005</v>
      </c>
    </row>
    <row r="39" spans="1:49" x14ac:dyDescent="0.25">
      <c r="D39">
        <v>5.0000000000000001E-3</v>
      </c>
      <c r="AV39" s="36">
        <f>AV38*0.00378541*1000</f>
        <v>100143.02155</v>
      </c>
    </row>
    <row r="40" spans="1:49" x14ac:dyDescent="0.25">
      <c r="D40">
        <v>2E-3</v>
      </c>
      <c r="AV40">
        <f>AV39/31</f>
        <v>3230.4200500000002</v>
      </c>
    </row>
    <row r="41" spans="1:49" x14ac:dyDescent="0.25">
      <c r="AV41">
        <f>AV38*0.00378541</f>
        <v>100.14302155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2021-03-18T04:09:59Z</dcterms:modified>
</cp:coreProperties>
</file>