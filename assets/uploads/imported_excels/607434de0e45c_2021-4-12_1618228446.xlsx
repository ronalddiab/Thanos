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16" l="1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T31" i="18" l="1"/>
  <c r="Y31" s="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<sst xmlns="http://schemas.openxmlformats.org/spreadsheetml/2006/main" count="568" uniqueCount="340">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</sst>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7273600"/>
        <c:axId val="1272794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7281024"/>
        <c:axId val="127282560"/>
      </c:lineChart>
      <c:catAx>
        <c:axId val="12727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79488"/>
        <c:crosses val="autoZero"/>
        <c:auto val="1"/>
        <c:lblAlgn val="ctr"/>
        <c:lblOffset val="100"/>
      </c:catAx>
      <c:valAx>
        <c:axId val="12727948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73600"/>
        <c:crosses val="autoZero"/>
        <c:crossBetween val="between"/>
        <c:majorUnit val="200"/>
      </c:valAx>
      <c:catAx>
        <c:axId val="127281024"/>
        <c:scaling>
          <c:orientation val="minMax"/>
        </c:scaling>
        <c:delete val="1"/>
        <c:axPos val="b"/>
        <c:tickLblPos val="none"/>
        <c:crossAx val="127282560"/>
        <c:crosses val="autoZero"/>
        <c:auto val="1"/>
        <c:lblAlgn val="ctr"/>
        <c:lblOffset val="100"/>
      </c:catAx>
      <c:valAx>
        <c:axId val="127282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81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7324928"/>
        <c:axId val="1273264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7328256"/>
        <c:axId val="127329792"/>
      </c:lineChart>
      <c:catAx>
        <c:axId val="12732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26464"/>
        <c:crosses val="autoZero"/>
        <c:auto val="1"/>
        <c:lblAlgn val="ctr"/>
        <c:lblOffset val="100"/>
      </c:catAx>
      <c:valAx>
        <c:axId val="12732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24928"/>
        <c:crosses val="autoZero"/>
        <c:crossBetween val="between"/>
        <c:majorUnit val="200"/>
      </c:valAx>
      <c:catAx>
        <c:axId val="127328256"/>
        <c:scaling>
          <c:orientation val="minMax"/>
        </c:scaling>
        <c:delete val="1"/>
        <c:axPos val="b"/>
        <c:tickLblPos val="none"/>
        <c:crossAx val="127329792"/>
        <c:crosses val="autoZero"/>
        <c:auto val="1"/>
        <c:lblAlgn val="ctr"/>
        <c:lblOffset val="100"/>
      </c:catAx>
      <c:valAx>
        <c:axId val="1273297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28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15120000"/>
        <c:axId val="115121536"/>
      </c:lineChart>
      <c:catAx>
        <c:axId val="1151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21536"/>
        <c:crosses val="autoZero"/>
        <c:auto val="1"/>
        <c:lblAlgn val="ctr"/>
        <c:lblOffset val="200"/>
        <c:tickLblSkip val="1"/>
      </c:catAx>
      <c:valAx>
        <c:axId val="1151215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15142016"/>
        <c:axId val="115561600"/>
      </c:lineChart>
      <c:catAx>
        <c:axId val="11514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61600"/>
        <c:crosses val="autoZero"/>
        <c:auto val="1"/>
        <c:lblAlgn val="ctr"/>
        <c:lblOffset val="100"/>
      </c:catAx>
      <c:valAx>
        <c:axId val="1155616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4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14623616"/>
        <c:axId val="114625536"/>
      </c:lineChart>
      <c:catAx>
        <c:axId val="114623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25536"/>
        <c:crosses val="autoZero"/>
        <c:auto val="1"/>
        <c:lblAlgn val="ctr"/>
        <c:lblOffset val="100"/>
      </c:catAx>
      <c:valAx>
        <c:axId val="114625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23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14679168"/>
        <c:axId val="115594752"/>
      </c:lineChart>
      <c:catAx>
        <c:axId val="114679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94752"/>
        <c:crosses val="autoZero"/>
        <c:auto val="1"/>
        <c:lblAlgn val="ctr"/>
        <c:lblOffset val="100"/>
      </c:catAx>
      <c:valAx>
        <c:axId val="115594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791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-334327.97200000007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16148096"/>
        <c:axId val="116149632"/>
      </c:lineChart>
      <c:catAx>
        <c:axId val="11614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49632"/>
        <c:crosses val="autoZero"/>
        <c:auto val="1"/>
        <c:lblAlgn val="ctr"/>
        <c:lblOffset val="100"/>
      </c:catAx>
      <c:valAx>
        <c:axId val="116149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4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16187520"/>
        <c:axId val="116189056"/>
      </c:lineChart>
      <c:catAx>
        <c:axId val="11618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89056"/>
        <c:crosses val="autoZero"/>
        <c:auto val="1"/>
        <c:lblAlgn val="ctr"/>
        <c:lblOffset val="100"/>
      </c:catAx>
      <c:valAx>
        <c:axId val="116189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8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16622848"/>
        <c:axId val="116624384"/>
      </c:lineChart>
      <c:catAx>
        <c:axId val="11662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24384"/>
        <c:crosses val="autoZero"/>
        <c:auto val="1"/>
        <c:lblAlgn val="ctr"/>
        <c:lblOffset val="100"/>
      </c:catAx>
      <c:valAx>
        <c:axId val="11662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2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257"/>
          <c:y val="7.471324705112106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16653056"/>
        <c:axId val="117392128"/>
      </c:lineChart>
      <c:catAx>
        <c:axId val="11665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92128"/>
        <c:crosses val="autoZero"/>
        <c:auto val="1"/>
        <c:lblAlgn val="ctr"/>
        <c:lblOffset val="200"/>
        <c:tickLblSkip val="1"/>
      </c:catAx>
      <c:valAx>
        <c:axId val="117392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5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17429376"/>
        <c:axId val="117430912"/>
      </c:lineChart>
      <c:catAx>
        <c:axId val="11742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30912"/>
        <c:crosses val="autoZero"/>
        <c:auto val="1"/>
        <c:lblAlgn val="ctr"/>
        <c:lblOffset val="100"/>
      </c:catAx>
      <c:valAx>
        <c:axId val="11743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2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17189248"/>
        <c:axId val="117236480"/>
      </c:lineChart>
      <c:catAx>
        <c:axId val="1171892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36480"/>
        <c:crosses val="autoZero"/>
        <c:auto val="1"/>
        <c:lblAlgn val="ctr"/>
        <c:lblOffset val="100"/>
      </c:catAx>
      <c:valAx>
        <c:axId val="1172364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892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17748864"/>
        <c:axId val="117750784"/>
      </c:lineChart>
      <c:catAx>
        <c:axId val="117748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50784"/>
        <c:crosses val="autoZero"/>
        <c:auto val="1"/>
        <c:lblAlgn val="ctr"/>
        <c:lblOffset val="100"/>
      </c:catAx>
      <c:valAx>
        <c:axId val="1177507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48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17980544"/>
        <c:axId val="117986432"/>
      </c:lineChart>
      <c:catAx>
        <c:axId val="11798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86432"/>
        <c:crosses val="autoZero"/>
        <c:auto val="1"/>
        <c:lblAlgn val="ctr"/>
        <c:lblOffset val="100"/>
      </c:catAx>
      <c:valAx>
        <c:axId val="11798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8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18019968"/>
        <c:axId val="118021504"/>
      </c:lineChart>
      <c:catAx>
        <c:axId val="11801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21504"/>
        <c:crosses val="autoZero"/>
        <c:auto val="1"/>
        <c:lblAlgn val="ctr"/>
        <c:lblOffset val="100"/>
      </c:catAx>
      <c:valAx>
        <c:axId val="118021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1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18184960"/>
        <c:axId val="118194944"/>
      </c:lineChart>
      <c:catAx>
        <c:axId val="11818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94944"/>
        <c:crosses val="autoZero"/>
        <c:auto val="1"/>
        <c:lblAlgn val="ctr"/>
        <c:lblOffset val="100"/>
      </c:catAx>
      <c:valAx>
        <c:axId val="11819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8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634"/>
          <c:y val="7.471324705112153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18491008"/>
        <c:axId val="11849254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18498432"/>
        <c:axId val="118499968"/>
      </c:lineChart>
      <c:catAx>
        <c:axId val="1184910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92544"/>
        <c:crosses val="autoZero"/>
        <c:lblAlgn val="ctr"/>
        <c:lblOffset val="100"/>
        <c:tickMarkSkip val="1"/>
      </c:catAx>
      <c:valAx>
        <c:axId val="118492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91008"/>
        <c:crosses val="autoZero"/>
        <c:crossBetween val="between"/>
      </c:valAx>
      <c:catAx>
        <c:axId val="118498432"/>
        <c:scaling>
          <c:orientation val="minMax"/>
        </c:scaling>
        <c:delete val="1"/>
        <c:axPos val="b"/>
        <c:numFmt formatCode="[$-409]d\-mmm\-yy;@" sourceLinked="1"/>
        <c:tickLblPos val="none"/>
        <c:crossAx val="118499968"/>
        <c:crosses val="autoZero"/>
        <c:lblAlgn val="ctr"/>
        <c:lblOffset val="100"/>
      </c:catAx>
      <c:valAx>
        <c:axId val="11849996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98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18540928"/>
        <c:axId val="118858112"/>
      </c:lineChart>
      <c:catAx>
        <c:axId val="1185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58112"/>
        <c:crosses val="autoZero"/>
        <c:auto val="1"/>
        <c:lblAlgn val="ctr"/>
        <c:lblOffset val="100"/>
      </c:catAx>
      <c:valAx>
        <c:axId val="1188581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18952320"/>
        <c:axId val="118953856"/>
      </c:lineChart>
      <c:catAx>
        <c:axId val="11895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53856"/>
        <c:crosses val="autoZero"/>
        <c:auto val="1"/>
        <c:lblAlgn val="ctr"/>
        <c:lblOffset val="100"/>
      </c:catAx>
      <c:valAx>
        <c:axId val="1189538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5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18993280"/>
        <c:axId val="1189948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18996352"/>
        <c:axId val="114828416"/>
      </c:lineChart>
      <c:catAx>
        <c:axId val="1189932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94816"/>
        <c:crosses val="autoZero"/>
        <c:lblAlgn val="ctr"/>
        <c:lblOffset val="100"/>
        <c:tickMarkSkip val="1"/>
      </c:catAx>
      <c:valAx>
        <c:axId val="11899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93280"/>
        <c:crosses val="autoZero"/>
        <c:crossBetween val="between"/>
      </c:valAx>
      <c:catAx>
        <c:axId val="118996352"/>
        <c:scaling>
          <c:orientation val="minMax"/>
        </c:scaling>
        <c:delete val="1"/>
        <c:axPos val="b"/>
        <c:numFmt formatCode="General" sourceLinked="1"/>
        <c:tickLblPos val="none"/>
        <c:crossAx val="114828416"/>
        <c:crosses val="autoZero"/>
        <c:lblAlgn val="ctr"/>
        <c:lblOffset val="100"/>
      </c:catAx>
      <c:valAx>
        <c:axId val="1148284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96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14864896"/>
        <c:axId val="114866432"/>
      </c:lineChart>
      <c:catAx>
        <c:axId val="11486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6432"/>
        <c:crosses val="autoZero"/>
        <c:auto val="1"/>
        <c:lblAlgn val="ctr"/>
        <c:lblOffset val="100"/>
      </c:catAx>
      <c:valAx>
        <c:axId val="11486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1182464"/>
        <c:axId val="121200640"/>
      </c:lineChart>
      <c:catAx>
        <c:axId val="12118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00640"/>
        <c:crosses val="autoZero"/>
        <c:auto val="1"/>
        <c:lblAlgn val="ctr"/>
        <c:lblOffset val="100"/>
      </c:catAx>
      <c:valAx>
        <c:axId val="12120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8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7895424"/>
        <c:axId val="12789696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7911040"/>
        <c:axId val="127912576"/>
      </c:lineChart>
      <c:catAx>
        <c:axId val="1278954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96960"/>
        <c:crosses val="autoZero"/>
        <c:lblAlgn val="ctr"/>
        <c:lblOffset val="100"/>
        <c:tickMarkSkip val="1"/>
      </c:catAx>
      <c:valAx>
        <c:axId val="1278969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95424"/>
        <c:crosses val="autoZero"/>
        <c:crossBetween val="between"/>
      </c:valAx>
      <c:catAx>
        <c:axId val="127911040"/>
        <c:scaling>
          <c:orientation val="minMax"/>
        </c:scaling>
        <c:delete val="1"/>
        <c:axPos val="b"/>
        <c:numFmt formatCode="[$-409]d\-mmm\-yy;@" sourceLinked="1"/>
        <c:tickLblPos val="none"/>
        <c:crossAx val="127912576"/>
        <c:crosses val="autoZero"/>
        <c:lblAlgn val="ctr"/>
        <c:lblOffset val="100"/>
      </c:catAx>
      <c:valAx>
        <c:axId val="1279125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11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9278336"/>
        <c:axId val="1292798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9281408"/>
        <c:axId val="129299584"/>
      </c:lineChart>
      <c:catAx>
        <c:axId val="1292783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79872"/>
        <c:crosses val="autoZero"/>
        <c:lblAlgn val="ctr"/>
        <c:lblOffset val="100"/>
        <c:tickMarkSkip val="1"/>
      </c:catAx>
      <c:valAx>
        <c:axId val="12927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78336"/>
        <c:crosses val="autoZero"/>
        <c:crossBetween val="between"/>
      </c:valAx>
      <c:catAx>
        <c:axId val="129281408"/>
        <c:scaling>
          <c:orientation val="minMax"/>
        </c:scaling>
        <c:delete val="1"/>
        <c:axPos val="b"/>
        <c:numFmt formatCode="General" sourceLinked="1"/>
        <c:tickLblPos val="none"/>
        <c:crossAx val="129299584"/>
        <c:crosses val="autoZero"/>
        <c:lblAlgn val="ctr"/>
        <c:lblOffset val="100"/>
      </c:catAx>
      <c:valAx>
        <c:axId val="129299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81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9490304"/>
        <c:axId val="1294920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9493632"/>
        <c:axId val="129503616"/>
      </c:lineChart>
      <c:catAx>
        <c:axId val="1294903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92096"/>
        <c:crosses val="autoZero"/>
        <c:lblAlgn val="ctr"/>
        <c:lblOffset val="100"/>
        <c:tickMarkSkip val="1"/>
      </c:catAx>
      <c:valAx>
        <c:axId val="1294920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90304"/>
        <c:crosses val="autoZero"/>
        <c:crossBetween val="between"/>
      </c:valAx>
      <c:catAx>
        <c:axId val="129493632"/>
        <c:scaling>
          <c:orientation val="minMax"/>
        </c:scaling>
        <c:delete val="1"/>
        <c:axPos val="b"/>
        <c:numFmt formatCode="[$-409]d\-mmm\-yy;@" sourceLinked="1"/>
        <c:tickLblPos val="none"/>
        <c:crossAx val="129503616"/>
        <c:crosses val="autoZero"/>
        <c:lblAlgn val="ctr"/>
        <c:lblOffset val="100"/>
      </c:catAx>
      <c:valAx>
        <c:axId val="1295036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93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9550208"/>
        <c:axId val="1295517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9553536"/>
        <c:axId val="129555072"/>
      </c:lineChart>
      <c:catAx>
        <c:axId val="1295502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51744"/>
        <c:crosses val="autoZero"/>
        <c:lblAlgn val="ctr"/>
        <c:lblOffset val="100"/>
        <c:tickMarkSkip val="1"/>
      </c:catAx>
      <c:valAx>
        <c:axId val="129551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50208"/>
        <c:crosses val="autoZero"/>
        <c:crossBetween val="between"/>
      </c:valAx>
      <c:catAx>
        <c:axId val="129553536"/>
        <c:scaling>
          <c:orientation val="minMax"/>
        </c:scaling>
        <c:delete val="1"/>
        <c:axPos val="b"/>
        <c:numFmt formatCode="General" sourceLinked="1"/>
        <c:tickLblPos val="none"/>
        <c:crossAx val="129555072"/>
        <c:crosses val="autoZero"/>
        <c:lblAlgn val="ctr"/>
        <c:lblOffset val="100"/>
      </c:catAx>
      <c:valAx>
        <c:axId val="1295550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535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6797952"/>
        <c:axId val="156816512"/>
      </c:lineChart>
      <c:catAx>
        <c:axId val="156797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16512"/>
        <c:crosses val="autoZero"/>
        <c:auto val="1"/>
        <c:lblAlgn val="ctr"/>
        <c:lblOffset val="100"/>
      </c:catAx>
      <c:valAx>
        <c:axId val="1568165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7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6825088"/>
        <c:axId val="156827008"/>
      </c:lineChart>
      <c:catAx>
        <c:axId val="156825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7008"/>
        <c:crosses val="autoZero"/>
        <c:auto val="1"/>
        <c:lblAlgn val="ctr"/>
        <c:lblOffset val="100"/>
      </c:catAx>
      <c:valAx>
        <c:axId val="156827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5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7483008"/>
        <c:axId val="157484544"/>
      </c:lineChart>
      <c:catAx>
        <c:axId val="15748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84544"/>
        <c:crosses val="autoZero"/>
        <c:auto val="1"/>
        <c:lblAlgn val="ctr"/>
        <c:lblOffset val="200"/>
        <c:tickLblSkip val="1"/>
      </c:catAx>
      <c:valAx>
        <c:axId val="157484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8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7517312"/>
        <c:axId val="157518848"/>
      </c:lineChart>
      <c:catAx>
        <c:axId val="15751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18848"/>
        <c:crosses val="autoZero"/>
        <c:auto val="1"/>
        <c:lblAlgn val="ctr"/>
        <c:lblOffset val="100"/>
      </c:catAx>
      <c:valAx>
        <c:axId val="1575188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1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-334327.97200000007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7547520"/>
        <c:axId val="158155520"/>
      </c:lineChart>
      <c:catAx>
        <c:axId val="15754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55520"/>
        <c:crosses val="autoZero"/>
        <c:auto val="1"/>
        <c:lblAlgn val="ctr"/>
        <c:lblOffset val="100"/>
      </c:catAx>
      <c:valAx>
        <c:axId val="158155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4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7684480"/>
        <c:axId val="157686400"/>
      </c:lineChart>
      <c:catAx>
        <c:axId val="157684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86400"/>
        <c:crosses val="autoZero"/>
        <c:auto val="1"/>
        <c:lblAlgn val="ctr"/>
        <c:lblOffset val="100"/>
      </c:catAx>
      <c:valAx>
        <c:axId val="1576864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84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7707264"/>
        <c:axId val="158733440"/>
      </c:lineChart>
      <c:catAx>
        <c:axId val="157707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33440"/>
        <c:crosses val="autoZero"/>
        <c:auto val="1"/>
        <c:lblAlgn val="ctr"/>
        <c:lblOffset val="100"/>
      </c:catAx>
      <c:valAx>
        <c:axId val="158733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07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8750208"/>
        <c:axId val="158751744"/>
      </c:lineChart>
      <c:catAx>
        <c:axId val="15875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51744"/>
        <c:crosses val="autoZero"/>
        <c:auto val="1"/>
        <c:lblAlgn val="ctr"/>
        <c:lblOffset val="200"/>
        <c:tickLblSkip val="1"/>
      </c:catAx>
      <c:valAx>
        <c:axId val="1587517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5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8780416"/>
        <c:axId val="158786304"/>
      </c:lineChart>
      <c:catAx>
        <c:axId val="1587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86304"/>
        <c:crosses val="autoZero"/>
        <c:auto val="1"/>
        <c:lblAlgn val="ctr"/>
        <c:lblOffset val="100"/>
      </c:catAx>
      <c:valAx>
        <c:axId val="1587863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-334327.97200000007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224576"/>
        <c:axId val="159226112"/>
      </c:lineChart>
      <c:catAx>
        <c:axId val="15922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26112"/>
        <c:crosses val="autoZero"/>
        <c:auto val="1"/>
        <c:lblAlgn val="ctr"/>
        <c:lblOffset val="100"/>
      </c:catAx>
      <c:valAx>
        <c:axId val="159226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315648"/>
        <c:axId val="160338304"/>
      </c:lineChart>
      <c:catAx>
        <c:axId val="160315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38304"/>
        <c:crosses val="autoZero"/>
        <c:auto val="1"/>
        <c:lblAlgn val="ctr"/>
        <c:lblOffset val="100"/>
      </c:catAx>
      <c:valAx>
        <c:axId val="160338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56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9843072"/>
        <c:axId val="159844992"/>
      </c:lineChart>
      <c:catAx>
        <c:axId val="159843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44992"/>
        <c:crosses val="autoZero"/>
        <c:auto val="1"/>
        <c:lblAlgn val="ctr"/>
        <c:lblOffset val="100"/>
      </c:catAx>
      <c:valAx>
        <c:axId val="1598449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43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9882240"/>
        <c:axId val="159892224"/>
      </c:lineChart>
      <c:catAx>
        <c:axId val="1598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92224"/>
        <c:crosses val="autoZero"/>
        <c:auto val="1"/>
        <c:lblAlgn val="ctr"/>
        <c:lblOffset val="200"/>
        <c:tickLblSkip val="1"/>
      </c:catAx>
      <c:valAx>
        <c:axId val="159892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8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0899840"/>
        <c:axId val="160901376"/>
      </c:lineChart>
      <c:catAx>
        <c:axId val="16089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1376"/>
        <c:crosses val="autoZero"/>
        <c:auto val="1"/>
        <c:lblAlgn val="ctr"/>
        <c:lblOffset val="100"/>
      </c:catAx>
      <c:valAx>
        <c:axId val="16090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9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0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0925952"/>
        <c:axId val="160952320"/>
      </c:lineChart>
      <c:catAx>
        <c:axId val="16092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52320"/>
        <c:crosses val="autoZero"/>
        <c:auto val="1"/>
        <c:lblAlgn val="ctr"/>
        <c:lblOffset val="100"/>
      </c:catAx>
      <c:valAx>
        <c:axId val="160952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2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0731136"/>
        <c:axId val="160733056"/>
      </c:lineChart>
      <c:catAx>
        <c:axId val="160731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3056"/>
        <c:crosses val="autoZero"/>
        <c:auto val="1"/>
        <c:lblAlgn val="ctr"/>
        <c:lblOffset val="100"/>
      </c:catAx>
      <c:valAx>
        <c:axId val="1607330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11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1450240"/>
        <c:axId val="161456512"/>
      </c:lineChart>
      <c:catAx>
        <c:axId val="161450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56512"/>
        <c:crosses val="autoZero"/>
        <c:auto val="1"/>
        <c:lblAlgn val="ctr"/>
        <c:lblOffset val="100"/>
      </c:catAx>
      <c:valAx>
        <c:axId val="161456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502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1223424"/>
        <c:axId val="161224960"/>
      </c:lineChart>
      <c:catAx>
        <c:axId val="16122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24960"/>
        <c:crosses val="autoZero"/>
        <c:auto val="1"/>
        <c:lblAlgn val="ctr"/>
        <c:lblOffset val="200"/>
        <c:tickLblSkip val="1"/>
      </c:catAx>
      <c:valAx>
        <c:axId val="1612249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2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1253632"/>
        <c:axId val="161263616"/>
      </c:lineChart>
      <c:catAx>
        <c:axId val="16125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63616"/>
        <c:crosses val="autoZero"/>
        <c:auto val="1"/>
        <c:lblAlgn val="ctr"/>
        <c:lblOffset val="100"/>
      </c:catAx>
      <c:valAx>
        <c:axId val="16126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5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0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1751040"/>
        <c:axId val="161752576"/>
      </c:lineChart>
      <c:catAx>
        <c:axId val="16175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52576"/>
        <c:crosses val="autoZero"/>
        <c:auto val="1"/>
        <c:lblAlgn val="ctr"/>
        <c:lblOffset val="100"/>
      </c:catAx>
      <c:valAx>
        <c:axId val="16175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5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115.05999999997439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74.18400000000257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64.328000000043545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 t="str">
        <f>IF('Utility summery'!M17&lt;0,"0",'Utility summery'!M17)</f>
        <v>0</v>
      </c>
      <c r="H13" s="423">
        <v>0</v>
      </c>
      <c r="I13" s="418" t="str">
        <f>IF('UTILITY REPORT 1'!G14&lt;0,"0",'UTILITY REPORT 1'!G14)</f>
        <v>0</v>
      </c>
      <c r="J13" s="423">
        <v>0</v>
      </c>
      <c r="K13" s="417">
        <f>'UTILITY REPORT 1'!C14</f>
        <v>12.99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14.29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14.29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9.09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7.79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 t="str">
        <f>IF('Kit report'!F15&lt;0,"0",'Kit report'!F15)</f>
        <v>0</v>
      </c>
      <c r="I13" s="456" t="str">
        <f>IF('Kit report'!X15&lt;0,"0",'Kit report'!X15)</f>
        <v>0</v>
      </c>
      <c r="J13" s="456" t="str">
        <f>IF('Utility summery'!H17&lt;0,"0",'Utility summery'!H17)</f>
        <v>0</v>
      </c>
      <c r="K13" s="457" t="str">
        <f>IF('UTILITY REPORT 1'!H14&lt;0,"0",'UTILITY REPORT 1'!H14)</f>
        <v>0</v>
      </c>
      <c r="L13" s="456" t="str">
        <f>'Water-Meter'!K17</f>
        <v>0</v>
      </c>
      <c r="M13" s="457" t="str">
        <f>'Water-Meter'!H17</f>
        <v>0</v>
      </c>
      <c r="N13" s="457" t="str">
        <f>'Water-Meter'!Q17</f>
        <v>0</v>
      </c>
      <c r="O13" s="456" t="e">
        <f>K13*E13+H13*I13+#REF!*#REF!+J13*L13</f>
        <v>#REF!</v>
      </c>
      <c r="P13" s="462" t="str">
        <f>'Water-Meter'!E17</f>
        <v>0</v>
      </c>
      <c r="Q13" s="242" t="str">
        <f>IF('Water-Meter'!U17&lt;0,"0",'Water-Meter'!U17)</f>
        <v>0</v>
      </c>
      <c r="R13" s="242" t="str">
        <f>IF('Water-Meter'!X17&lt;0,"0",'Water-Meter'!X17)</f>
        <v>0</v>
      </c>
      <c r="S13" s="242" t="str">
        <f>IF('Water-Meter'!AA17&lt;0,"0",'Water-Meter'!AA17)</f>
        <v>0</v>
      </c>
      <c r="T13" s="242" t="str">
        <f>IF('Water-Meter'!AD17&lt;0,"0",'Water-Meter'!AD17)</f>
        <v>0</v>
      </c>
      <c r="U13" s="242" t="str">
        <f>IF('Water-Meter'!AG17&lt;0,"0",'Water-Meter'!AG17)</f>
        <v>0</v>
      </c>
      <c r="V13" s="242" t="str">
        <f>IF('Water-Meter'!AJ17&lt;0,"0",'Water-Meter'!AJ17)</f>
        <v>0</v>
      </c>
      <c r="W13" s="30">
        <f>'Water-Meter'!AN17</f>
        <v>0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4" t="s">
        <v>314</v>
      </c>
      <c r="B1" s="864"/>
      <c r="C1" s="864"/>
      <c r="D1" s="864"/>
      <c r="E1" s="864"/>
      <c r="F1" s="864"/>
      <c r="G1" s="864"/>
      <c r="H1" s="864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0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</v>
      </c>
      <c r="C14" s="405">
        <f>'Summery Report'!E16</f>
        <v>12.99</v>
      </c>
      <c r="D14" s="406">
        <v>1</v>
      </c>
      <c r="E14" s="405">
        <f>Gen!S22</f>
        <v>0</v>
      </c>
      <c r="F14" s="405">
        <f>Gen!T22</f>
        <v>0</v>
      </c>
      <c r="G14" s="405" t="str">
        <f>'Water-Meter'!E17</f>
        <v>0</v>
      </c>
      <c r="H14" s="405">
        <f>'Utility report '!AC17</f>
        <v>-48890</v>
      </c>
      <c r="I14" s="405">
        <f>Gen!AJ22</f>
        <v>0</v>
      </c>
    </row>
    <row r="15" spans="1:9" ht="13.5">
      <c r="A15" s="402">
        <f>Gen!A23</f>
        <v>44299</v>
      </c>
      <c r="B15" s="404">
        <f>Gen!B23</f>
        <v>0</v>
      </c>
      <c r="C15" s="405">
        <f>'Summery Report'!E17</f>
        <v>14.29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5" t="s">
        <v>135</v>
      </c>
      <c r="E4" s="865"/>
      <c r="F4" s="865"/>
      <c r="G4" s="866" t="s">
        <v>20</v>
      </c>
      <c r="H4" s="866"/>
      <c r="I4" s="866"/>
      <c r="J4" s="867" t="s">
        <v>54</v>
      </c>
      <c r="K4" s="867"/>
      <c r="L4" s="867"/>
      <c r="M4" s="867"/>
      <c r="N4" s="868" t="s">
        <v>143</v>
      </c>
      <c r="O4" s="868"/>
      <c r="P4" s="868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115.05999999997439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75</v>
      </c>
      <c r="M15" s="449">
        <f>'Lpg (2)'!G19</f>
        <v>74.18400000000257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65</v>
      </c>
      <c r="M16" s="449">
        <f>'Lpg (2)'!G20</f>
        <v>64.328000000043545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-48890</v>
      </c>
      <c r="H17" s="153">
        <f>'Utility report '!AE17</f>
        <v>-214831</v>
      </c>
      <c r="I17" s="296" t="str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-334327.97200000007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0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0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0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0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32609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901</v>
      </c>
      <c r="J39" s="453">
        <f t="shared" si="3"/>
        <v>255</v>
      </c>
      <c r="K39" s="453">
        <f t="shared" si="3"/>
        <v>268</v>
      </c>
      <c r="L39" s="453">
        <f t="shared" si="3"/>
        <v>795</v>
      </c>
      <c r="M39" s="453">
        <f t="shared" si="3"/>
        <v>-333476.88</v>
      </c>
      <c r="N39" s="453">
        <f t="shared" si="3"/>
        <v>45652.599999999991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M1" activePane="topRight" state="frozen"/>
      <selection pane="topRight" activeCell="AD17" sqref="AD1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6">
        <f>A6</f>
        <v>44287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8"/>
    </row>
    <row r="2" spans="1:37" ht="61.5" customHeight="1" thickBot="1">
      <c r="A2" s="137" t="s">
        <v>98</v>
      </c>
      <c r="B2" s="879" t="s">
        <v>99</v>
      </c>
      <c r="C2" s="880"/>
      <c r="D2" s="881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9" t="s">
        <v>103</v>
      </c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284" t="s">
        <v>104</v>
      </c>
      <c r="AB2" s="879" t="s">
        <v>164</v>
      </c>
      <c r="AC2" s="881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2">
        <f>SUM(D3/B3)</f>
        <v>1.3262195121951219</v>
      </c>
      <c r="G3" s="883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9" t="s">
        <v>112</v>
      </c>
      <c r="P3" s="869"/>
      <c r="Q3" s="869"/>
      <c r="R3" s="869"/>
      <c r="S3" s="870" t="s">
        <v>113</v>
      </c>
      <c r="T3" s="871"/>
      <c r="U3" s="871"/>
      <c r="V3" s="872"/>
      <c r="W3" s="873" t="s">
        <v>114</v>
      </c>
      <c r="X3" s="874"/>
      <c r="Y3" s="874"/>
      <c r="Z3" s="875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0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0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882.35294117647061</v>
      </c>
      <c r="AI15" s="722">
        <f t="shared" ref="AI15:AI35" si="18">SUM(AF15*2000)+(AG15*1000)+(AH15*1000)</f>
        <v>5882352.9411764704</v>
      </c>
      <c r="AJ15" s="428">
        <f t="shared" si="4"/>
        <v>-3952941.176470588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0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764.70588235294122</v>
      </c>
      <c r="AI16" s="722">
        <f t="shared" si="18"/>
        <v>5764705.8823529407</v>
      </c>
      <c r="AJ16" s="428">
        <f t="shared" si="4"/>
        <v>117647.05882352963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0</v>
      </c>
      <c r="G17" s="438">
        <f t="shared" si="0"/>
        <v>0</v>
      </c>
      <c r="H17" s="720">
        <f>Gen!C22</f>
        <v>36556.570000000007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546.81755549947343</v>
      </c>
      <c r="N17" s="715" t="str">
        <f>'Water-Meter'!E17</f>
        <v>0</v>
      </c>
      <c r="O17" s="706"/>
      <c r="P17" s="713"/>
      <c r="Q17" s="725">
        <f>SUM(P18-P16)</f>
        <v>-19032</v>
      </c>
      <c r="R17" s="426">
        <f t="shared" si="5"/>
        <v>0</v>
      </c>
      <c r="S17" s="701"/>
      <c r="T17" s="702"/>
      <c r="U17" s="725">
        <f t="shared" si="6"/>
        <v>-17869</v>
      </c>
      <c r="V17" s="427">
        <f t="shared" ref="V17:V36" si="19">SUM(U17*S17)</f>
        <v>0</v>
      </c>
      <c r="W17" s="706"/>
      <c r="X17" s="707"/>
      <c r="Y17" s="725">
        <f t="shared" si="8"/>
        <v>-27791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-48890</v>
      </c>
      <c r="AD17" s="692"/>
      <c r="AE17" s="178">
        <f t="shared" si="15"/>
        <v>-214831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5764705.8823529407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0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0</v>
      </c>
      <c r="G18" s="438">
        <f t="shared" si="0"/>
        <v>0</v>
      </c>
      <c r="H18" s="720">
        <f>Gen!C23</f>
        <v>36556.570000000007</v>
      </c>
      <c r="I18" s="720">
        <f>Gen!E23</f>
        <v>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0</v>
      </c>
      <c r="G19" s="438">
        <f t="shared" si="0"/>
        <v>0</v>
      </c>
      <c r="H19" s="720">
        <f>Gen!C24</f>
        <v>36556.570000000007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0</v>
      </c>
      <c r="G20" s="438">
        <f t="shared" si="0"/>
        <v>0</v>
      </c>
      <c r="H20" s="720">
        <f>Gen!C25</f>
        <v>36556.570000000007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0</v>
      </c>
      <c r="G21" s="438">
        <f t="shared" si="0"/>
        <v>0</v>
      </c>
      <c r="H21" s="720">
        <f>Gen!C26</f>
        <v>36556.570000000007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36556.570000000007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36556.570000000007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36556.570000000007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36556.570000000007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36556.570000000007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36556.570000000007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36556.570000000007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36556.570000000007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36556.570000000007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36556.570000000007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36556.570000000007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36556.570000000007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36556.570000000007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36556.570000000007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36556.570000000007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35784</v>
      </c>
      <c r="K37" s="770"/>
      <c r="L37" s="756">
        <f t="shared" si="17"/>
        <v>35784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6" sqref="W16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4" t="s">
        <v>150</v>
      </c>
      <c r="C1" s="885"/>
      <c r="D1" s="885"/>
      <c r="E1" s="885"/>
      <c r="F1" s="886"/>
      <c r="G1" s="157"/>
      <c r="H1" s="884" t="s">
        <v>151</v>
      </c>
      <c r="I1" s="885"/>
      <c r="J1" s="885"/>
      <c r="K1" s="885"/>
      <c r="L1" s="886"/>
      <c r="M1" s="884" t="s">
        <v>170</v>
      </c>
      <c r="N1" s="885"/>
      <c r="O1" s="885"/>
      <c r="P1" s="885"/>
      <c r="Q1" s="886"/>
      <c r="R1" s="157"/>
      <c r="T1" s="884" t="s">
        <v>166</v>
      </c>
      <c r="U1" s="885"/>
      <c r="V1" s="885"/>
      <c r="W1" s="885"/>
      <c r="X1" s="886"/>
      <c r="Y1" s="884" t="s">
        <v>169</v>
      </c>
      <c r="Z1" s="885"/>
      <c r="AA1" s="885"/>
      <c r="AB1" s="885"/>
      <c r="AC1" s="886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7" t="s">
        <v>156</v>
      </c>
      <c r="C3" s="888"/>
      <c r="D3" s="166"/>
      <c r="E3" s="577">
        <v>9204</v>
      </c>
      <c r="F3" s="584" t="s">
        <v>157</v>
      </c>
      <c r="G3" s="585"/>
      <c r="H3" s="887" t="s">
        <v>156</v>
      </c>
      <c r="I3" s="888"/>
      <c r="J3" s="611">
        <f>'Water-Meter'!G5</f>
        <v>75790</v>
      </c>
      <c r="K3" s="586">
        <f>'Water-Meter'!G5</f>
        <v>75790</v>
      </c>
      <c r="L3" s="241"/>
      <c r="M3" s="887" t="s">
        <v>156</v>
      </c>
      <c r="N3" s="888"/>
      <c r="O3" s="166"/>
      <c r="P3" s="587">
        <f>'Water-Meter'!J5</f>
        <v>8362</v>
      </c>
      <c r="Q3" s="165"/>
      <c r="R3" s="241"/>
      <c r="S3" s="640"/>
      <c r="T3" s="887" t="s">
        <v>156</v>
      </c>
      <c r="U3" s="888"/>
      <c r="V3" s="166"/>
      <c r="W3" s="578">
        <v>8073</v>
      </c>
      <c r="X3" s="588">
        <f t="shared" ref="X3:X35" si="0">(W3-V3)*200</f>
        <v>1614600</v>
      </c>
      <c r="Y3" s="887" t="s">
        <v>156</v>
      </c>
      <c r="Z3" s="888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0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</v>
      </c>
      <c r="B15" s="592">
        <f>Gen!A22</f>
        <v>44298</v>
      </c>
      <c r="C15" s="576"/>
      <c r="D15" s="581">
        <f t="shared" si="1"/>
        <v>9229.6</v>
      </c>
      <c r="E15" s="577"/>
      <c r="F15" s="581">
        <f t="shared" si="2"/>
        <v>-1107552</v>
      </c>
      <c r="G15" s="576"/>
      <c r="H15" s="623">
        <f t="shared" si="6"/>
        <v>44298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44298</v>
      </c>
      <c r="U15" s="576"/>
      <c r="V15" s="581">
        <f t="shared" si="5"/>
        <v>8095</v>
      </c>
      <c r="W15" s="578"/>
      <c r="X15" s="581">
        <f t="shared" si="0"/>
        <v>-1619000</v>
      </c>
      <c r="Y15" s="623">
        <f t="shared" si="10"/>
        <v>44298</v>
      </c>
      <c r="Z15" s="576"/>
      <c r="AA15" s="576"/>
      <c r="AB15" s="580">
        <f>'Water-Meter'!P17</f>
        <v>0</v>
      </c>
      <c r="AC15" s="633">
        <f t="shared" si="11"/>
        <v>-21161</v>
      </c>
    </row>
    <row r="16" spans="1:29" ht="19.5" thickBot="1">
      <c r="A16" s="642">
        <f>Gen!B23</f>
        <v>0</v>
      </c>
      <c r="B16" s="592">
        <f>Gen!A23</f>
        <v>44299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44299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44299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44299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44300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44300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44300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44301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44301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44301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44302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44302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44302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44303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/>
      <c r="X21" s="581">
        <f t="shared" si="0"/>
        <v>0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>
        <f t="shared" si="5"/>
        <v>0</v>
      </c>
      <c r="W22" s="578"/>
      <c r="X22" s="581">
        <f t="shared" si="0"/>
        <v>0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9">
        <f>A5</f>
        <v>44287</v>
      </c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</row>
    <row r="2" spans="1:13">
      <c r="A2" s="890"/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115.05999999997439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0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74.18400000000257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64.328000000043545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-159182</v>
      </c>
      <c r="C16" s="87">
        <f>Gen!B22</f>
        <v>0</v>
      </c>
      <c r="D16" s="434">
        <f t="shared" si="0"/>
        <v>12.99</v>
      </c>
      <c r="E16" s="74">
        <v>12.99</v>
      </c>
      <c r="F16" s="70" t="e">
        <f>Gen!U22</f>
        <v>#DIV/0!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 t="str">
        <f>'Water-Meter'!E17</f>
        <v>0</v>
      </c>
      <c r="L16" s="653">
        <f>'Lpg (2)'!G21</f>
        <v>-334327.97200000007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0</v>
      </c>
      <c r="C17" s="87">
        <f>Gen!B23</f>
        <v>0</v>
      </c>
      <c r="D17" s="434">
        <f t="shared" si="0"/>
        <v>14.29</v>
      </c>
      <c r="E17" s="74">
        <v>14.29</v>
      </c>
      <c r="F17" s="70" t="e">
        <f>Gen!U23</f>
        <v>#DIV/0!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36556.570000000007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0</v>
      </c>
      <c r="C18" s="87">
        <f>Gen!B24</f>
        <v>0</v>
      </c>
      <c r="D18" s="434">
        <f t="shared" si="0"/>
        <v>14.29</v>
      </c>
      <c r="E18" s="74">
        <v>14.29</v>
      </c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36556.570000000007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0</v>
      </c>
      <c r="C19" s="87">
        <f>Gen!B25</f>
        <v>0</v>
      </c>
      <c r="D19" s="434">
        <f t="shared" si="0"/>
        <v>9.09</v>
      </c>
      <c r="E19" s="74">
        <v>9.09</v>
      </c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36556.570000000007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0</v>
      </c>
      <c r="C20" s="87">
        <f>Gen!B26</f>
        <v>0</v>
      </c>
      <c r="D20" s="434">
        <f t="shared" si="0"/>
        <v>7.79</v>
      </c>
      <c r="E20" s="74">
        <v>7.79</v>
      </c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36556.570000000007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0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36556.570000000007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36556.570000000007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36556.570000000007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36556.570000000007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36556.570000000007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36556.570000000007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36556.570000000007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36556.570000000007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36556.570000000007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36556.570000000007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36556.570000000007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36556.570000000007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36556.570000000007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36556.570000000007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36556.570000000007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36556.570000000007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9" sqref="AB1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1">
        <f>A6</f>
        <v>44287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  <c r="AC1" s="19"/>
    </row>
    <row r="2" spans="1:29" ht="12" customHeight="1" thickBot="1">
      <c r="A2" s="892"/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3" t="s">
        <v>298</v>
      </c>
      <c r="L3" s="894"/>
      <c r="M3" s="895"/>
      <c r="N3" s="893" t="s">
        <v>299</v>
      </c>
      <c r="O3" s="894"/>
      <c r="P3" s="895"/>
      <c r="Q3" s="893" t="s">
        <v>300</v>
      </c>
      <c r="R3" s="894"/>
      <c r="S3" s="895"/>
      <c r="T3" s="893" t="s">
        <v>301</v>
      </c>
      <c r="U3" s="894"/>
      <c r="V3" s="895"/>
      <c r="W3" s="893" t="s">
        <v>302</v>
      </c>
      <c r="X3" s="894"/>
      <c r="Y3" s="895"/>
      <c r="Z3" s="303"/>
      <c r="AA3" s="19"/>
      <c r="AB3" s="19"/>
      <c r="AC3" s="19"/>
    </row>
    <row r="4" spans="1:29" ht="35.25" customHeight="1" thickBot="1">
      <c r="A4" s="262" t="s">
        <v>86</v>
      </c>
      <c r="B4" s="850" t="s">
        <v>87</v>
      </c>
      <c r="C4" s="850" t="s">
        <v>88</v>
      </c>
      <c r="D4" s="850" t="s">
        <v>89</v>
      </c>
      <c r="E4" s="850" t="s">
        <v>90</v>
      </c>
      <c r="F4" s="850" t="s">
        <v>242</v>
      </c>
      <c r="G4" s="855" t="s">
        <v>91</v>
      </c>
      <c r="H4" s="850" t="s">
        <v>92</v>
      </c>
      <c r="I4" s="855" t="s">
        <v>93</v>
      </c>
      <c r="J4" s="860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6"/>
      <c r="B5" s="852"/>
      <c r="C5" s="851">
        <v>13853.38</v>
      </c>
      <c r="D5" s="145">
        <v>22273</v>
      </c>
      <c r="E5" s="852"/>
      <c r="F5" s="852"/>
      <c r="G5" s="852"/>
      <c r="H5" s="852"/>
      <c r="I5" s="145">
        <v>31842.2</v>
      </c>
      <c r="J5" s="862">
        <v>21219.4</v>
      </c>
      <c r="K5" s="858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7">
        <f>Gen!A11</f>
        <v>44287</v>
      </c>
      <c r="B6" s="852"/>
      <c r="C6" s="851">
        <v>12242.97</v>
      </c>
      <c r="D6" s="145">
        <v>22273</v>
      </c>
      <c r="E6" s="853"/>
      <c r="F6" s="145"/>
      <c r="G6" s="145"/>
      <c r="H6" s="145"/>
      <c r="I6" s="145">
        <v>31847.200000000001</v>
      </c>
      <c r="J6" s="849">
        <v>21223.7</v>
      </c>
      <c r="K6" s="859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7">
        <f>Gen!A12</f>
        <v>44288</v>
      </c>
      <c r="B7" s="852"/>
      <c r="C7" s="851">
        <v>10771.09</v>
      </c>
      <c r="D7" s="145">
        <v>22273</v>
      </c>
      <c r="E7" s="853"/>
      <c r="F7" s="145"/>
      <c r="G7" s="145"/>
      <c r="H7" s="145"/>
      <c r="I7" s="145">
        <v>31852.7</v>
      </c>
      <c r="J7" s="849">
        <v>21227.1</v>
      </c>
      <c r="K7" s="859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7">
        <f>Gen!A13</f>
        <v>44289</v>
      </c>
      <c r="B8" s="852"/>
      <c r="C8" s="851">
        <v>9237.36</v>
      </c>
      <c r="D8" s="145">
        <v>22273</v>
      </c>
      <c r="E8" s="853"/>
      <c r="F8" s="851"/>
      <c r="G8" s="145">
        <v>139.29</v>
      </c>
      <c r="H8" s="145"/>
      <c r="I8" s="145">
        <v>31858.2</v>
      </c>
      <c r="J8" s="849">
        <v>21230.9</v>
      </c>
      <c r="K8" s="859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7">
        <f>Gen!A14</f>
        <v>44290</v>
      </c>
      <c r="B9" s="852"/>
      <c r="C9" s="851">
        <v>7917.58</v>
      </c>
      <c r="D9" s="145">
        <v>22273</v>
      </c>
      <c r="E9" s="853"/>
      <c r="F9" s="854"/>
      <c r="G9" s="145"/>
      <c r="H9" s="145"/>
      <c r="I9" s="145">
        <v>31863.8</v>
      </c>
      <c r="J9" s="849">
        <v>21235.5</v>
      </c>
      <c r="K9" s="859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7">
        <f>Gen!A15</f>
        <v>44291</v>
      </c>
      <c r="B10" s="852"/>
      <c r="C10" s="851">
        <v>6308.49</v>
      </c>
      <c r="D10" s="145">
        <v>22273</v>
      </c>
      <c r="E10" s="853"/>
      <c r="F10" s="145"/>
      <c r="G10" s="145">
        <v>218.51</v>
      </c>
      <c r="H10" s="145"/>
      <c r="I10" s="145">
        <v>31869.200000000001</v>
      </c>
      <c r="J10" s="849">
        <v>21239.8</v>
      </c>
      <c r="K10" s="859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7">
        <f>Gen!A16</f>
        <v>44292</v>
      </c>
      <c r="B11" s="852"/>
      <c r="C11" s="851">
        <v>4758.5</v>
      </c>
      <c r="D11" s="145">
        <v>22273</v>
      </c>
      <c r="E11" s="853"/>
      <c r="F11" s="145"/>
      <c r="G11" s="145">
        <v>42.44</v>
      </c>
      <c r="H11" s="145"/>
      <c r="I11" s="145">
        <v>31874.5</v>
      </c>
      <c r="J11" s="849">
        <v>21244.1</v>
      </c>
      <c r="K11" s="859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7">
        <f>Gen!A17</f>
        <v>44293</v>
      </c>
      <c r="B12" s="852"/>
      <c r="C12" s="851">
        <v>3448.96</v>
      </c>
      <c r="D12" s="145">
        <v>22273</v>
      </c>
      <c r="E12" s="853"/>
      <c r="F12" s="145"/>
      <c r="G12" s="145">
        <v>117.14</v>
      </c>
      <c r="H12" s="145"/>
      <c r="I12" s="145">
        <v>31879.8</v>
      </c>
      <c r="J12" s="849">
        <v>21247.599999999999</v>
      </c>
      <c r="K12" s="859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7">
        <f>Gen!A18</f>
        <v>44294</v>
      </c>
      <c r="B13" s="852"/>
      <c r="C13" s="851">
        <v>19981.400000000001</v>
      </c>
      <c r="D13" s="145">
        <v>22273</v>
      </c>
      <c r="E13" s="853"/>
      <c r="F13" s="145"/>
      <c r="G13" s="145">
        <v>156.32</v>
      </c>
      <c r="H13" s="145"/>
      <c r="I13" s="145">
        <v>31884.9</v>
      </c>
      <c r="J13" s="849">
        <v>21252.1</v>
      </c>
      <c r="K13" s="859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7">
        <f>Gen!A19</f>
        <v>44295</v>
      </c>
      <c r="B14" s="852"/>
      <c r="C14" s="851">
        <v>18558.759999999998</v>
      </c>
      <c r="D14" s="145">
        <v>22273</v>
      </c>
      <c r="E14" s="853"/>
      <c r="F14" s="145"/>
      <c r="G14" s="145">
        <v>302.12</v>
      </c>
      <c r="H14" s="145"/>
      <c r="I14" s="145">
        <v>31889.7</v>
      </c>
      <c r="J14" s="849">
        <v>21256.3</v>
      </c>
      <c r="K14" s="859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7">
        <f>Gen!A20</f>
        <v>44296</v>
      </c>
      <c r="B15" s="852"/>
      <c r="C15" s="851">
        <v>16950.36</v>
      </c>
      <c r="D15" s="145">
        <v>22273</v>
      </c>
      <c r="E15" s="853"/>
      <c r="F15" s="145"/>
      <c r="G15" s="863">
        <v>112</v>
      </c>
      <c r="H15" s="145"/>
      <c r="I15" s="145">
        <v>31894.5</v>
      </c>
      <c r="J15" s="849">
        <v>21260.799999999999</v>
      </c>
      <c r="K15" s="859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>
      <c r="A16" s="857">
        <f>Gen!A21</f>
        <v>44297</v>
      </c>
      <c r="B16" s="852"/>
      <c r="C16" s="851">
        <v>15592.55</v>
      </c>
      <c r="D16" s="145">
        <v>22273</v>
      </c>
      <c r="E16" s="853"/>
      <c r="F16" s="145"/>
      <c r="G16" s="145">
        <v>25</v>
      </c>
      <c r="H16" s="145"/>
      <c r="I16" s="145">
        <v>31899.200000000001</v>
      </c>
      <c r="J16" s="849">
        <v>21265.1</v>
      </c>
      <c r="K16" s="859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>
      <c r="A17" s="857">
        <f>Gen!A22</f>
        <v>44298</v>
      </c>
      <c r="B17" s="852"/>
      <c r="C17" s="851">
        <v>14283.57</v>
      </c>
      <c r="D17" s="145">
        <v>22273</v>
      </c>
      <c r="E17" s="853"/>
      <c r="F17" s="145"/>
      <c r="G17" s="145"/>
      <c r="H17" s="145"/>
      <c r="I17" s="145">
        <v>31903.9</v>
      </c>
      <c r="J17" s="849">
        <v>21269.5</v>
      </c>
      <c r="K17" s="859">
        <f>L16</f>
        <v>36165</v>
      </c>
      <c r="L17" s="305"/>
      <c r="M17" s="304">
        <f>L17-K17</f>
        <v>-36165</v>
      </c>
      <c r="N17" s="306">
        <f t="shared" si="2"/>
        <v>31076</v>
      </c>
      <c r="O17" s="125"/>
      <c r="P17" s="304">
        <f t="shared" si="3"/>
        <v>-31076</v>
      </c>
      <c r="Q17" s="304">
        <f t="shared" si="4"/>
        <v>36368</v>
      </c>
      <c r="R17" s="125"/>
      <c r="S17" s="304">
        <f t="shared" si="5"/>
        <v>-36368</v>
      </c>
      <c r="T17" s="304">
        <f t="shared" si="6"/>
        <v>33539</v>
      </c>
      <c r="U17" s="305"/>
      <c r="V17" s="304">
        <f t="shared" si="7"/>
        <v>-33539</v>
      </c>
      <c r="W17" s="306">
        <f t="shared" si="8"/>
        <v>22034</v>
      </c>
      <c r="X17" s="305"/>
      <c r="Y17" s="304">
        <f t="shared" si="9"/>
        <v>-22034</v>
      </c>
      <c r="Z17" s="307">
        <f t="shared" si="10"/>
        <v>-159182</v>
      </c>
      <c r="AA17" s="125"/>
      <c r="AB17" s="125"/>
      <c r="AC17" s="684">
        <f>Gen!AR22</f>
        <v>0</v>
      </c>
    </row>
    <row r="18" spans="1:29" ht="20.100000000000001" customHeight="1">
      <c r="A18" s="857">
        <f>Gen!A23</f>
        <v>44299</v>
      </c>
      <c r="B18" s="852"/>
      <c r="C18" s="851"/>
      <c r="D18" s="145"/>
      <c r="E18" s="145"/>
      <c r="F18" s="145"/>
      <c r="G18" s="145"/>
      <c r="H18" s="145"/>
      <c r="I18" s="145"/>
      <c r="J18" s="849"/>
      <c r="K18" s="859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>
      <c r="A19" s="857">
        <f>Gen!A24</f>
        <v>44300</v>
      </c>
      <c r="B19" s="852"/>
      <c r="C19" s="851"/>
      <c r="D19" s="145"/>
      <c r="E19" s="145"/>
      <c r="F19" s="145"/>
      <c r="G19" s="145"/>
      <c r="H19" s="145"/>
      <c r="I19" s="145"/>
      <c r="J19" s="849"/>
      <c r="K19" s="859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7">
        <f>Gen!A25</f>
        <v>44301</v>
      </c>
      <c r="B20" s="852"/>
      <c r="C20" s="851"/>
      <c r="D20" s="145"/>
      <c r="E20" s="145"/>
      <c r="F20" s="145"/>
      <c r="G20" s="145"/>
      <c r="H20" s="145"/>
      <c r="I20" s="145"/>
      <c r="J20" s="849"/>
      <c r="K20" s="859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7">
        <f>Gen!A26</f>
        <v>44302</v>
      </c>
      <c r="B21" s="852"/>
      <c r="C21" s="851"/>
      <c r="D21" s="145"/>
      <c r="E21" s="145"/>
      <c r="F21" s="145"/>
      <c r="G21" s="145"/>
      <c r="H21" s="145"/>
      <c r="I21" s="145"/>
      <c r="J21" s="849"/>
      <c r="K21" s="859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7">
        <f>Gen!A27</f>
        <v>44303</v>
      </c>
      <c r="B22" s="852"/>
      <c r="C22" s="851"/>
      <c r="D22" s="145"/>
      <c r="E22" s="145"/>
      <c r="F22" s="145"/>
      <c r="G22" s="145"/>
      <c r="H22" s="145"/>
      <c r="I22" s="145"/>
      <c r="J22" s="849"/>
      <c r="K22" s="859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7">
        <f>Gen!A28</f>
        <v>44304</v>
      </c>
      <c r="B23" s="852"/>
      <c r="C23" s="851"/>
      <c r="D23" s="854"/>
      <c r="E23" s="853"/>
      <c r="F23" s="145"/>
      <c r="G23" s="145"/>
      <c r="H23" s="145"/>
      <c r="I23" s="145"/>
      <c r="J23" s="849"/>
      <c r="K23" s="859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7">
        <f>Gen!A29</f>
        <v>44305</v>
      </c>
      <c r="B24" s="852"/>
      <c r="C24" s="851"/>
      <c r="D24" s="854"/>
      <c r="E24" s="145"/>
      <c r="F24" s="145"/>
      <c r="G24" s="145"/>
      <c r="H24" s="145"/>
      <c r="I24" s="145"/>
      <c r="J24" s="849"/>
      <c r="K24" s="859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7">
        <f>Gen!A30</f>
        <v>44306</v>
      </c>
      <c r="B25" s="852"/>
      <c r="C25" s="851"/>
      <c r="D25" s="854"/>
      <c r="E25" s="145"/>
      <c r="F25" s="145"/>
      <c r="G25" s="145"/>
      <c r="H25" s="145"/>
      <c r="I25" s="145"/>
      <c r="J25" s="849"/>
      <c r="K25" s="85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7">
        <f>Gen!A31</f>
        <v>44307</v>
      </c>
      <c r="B26" s="852"/>
      <c r="C26" s="851"/>
      <c r="D26" s="854"/>
      <c r="E26" s="145"/>
      <c r="F26" s="145"/>
      <c r="G26" s="145"/>
      <c r="H26" s="145"/>
      <c r="I26" s="145"/>
      <c r="J26" s="849"/>
      <c r="K26" s="85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7">
        <f>Gen!A32</f>
        <v>44308</v>
      </c>
      <c r="B27" s="852"/>
      <c r="C27" s="851"/>
      <c r="D27" s="854"/>
      <c r="E27" s="145"/>
      <c r="F27" s="145"/>
      <c r="G27" s="145"/>
      <c r="H27" s="145"/>
      <c r="I27" s="145"/>
      <c r="J27" s="849"/>
      <c r="K27" s="85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7">
        <f>Gen!A33</f>
        <v>44309</v>
      </c>
      <c r="B28" s="861"/>
      <c r="C28" s="788"/>
      <c r="D28" s="789"/>
      <c r="E28" s="305"/>
      <c r="F28" s="305"/>
      <c r="G28" s="305"/>
      <c r="H28" s="305"/>
      <c r="I28" s="305"/>
      <c r="J28" s="305"/>
      <c r="K28" s="85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13" workbookViewId="0">
      <pane xSplit="1" topLeftCell="B1" activePane="topRight" state="frozen"/>
      <selection pane="topRight" activeCell="D62" sqref="D62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5"/>
      <c r="B1" s="905"/>
    </row>
    <row r="2" spans="1:46" ht="26.25">
      <c r="A2" s="905"/>
      <c r="B2" s="905"/>
      <c r="D2" s="906">
        <f>A11</f>
        <v>44287</v>
      </c>
      <c r="E2" s="906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7"/>
      <c r="AO2" s="907"/>
      <c r="AP2" s="907"/>
      <c r="AQ2" s="907"/>
      <c r="AR2" s="907"/>
      <c r="AS2" s="907"/>
      <c r="AT2" s="907"/>
    </row>
    <row r="3" spans="1:46" ht="12.75" customHeight="1">
      <c r="A3" s="905"/>
      <c r="B3" s="905"/>
      <c r="H3" s="908"/>
      <c r="I3" s="908"/>
      <c r="J3" s="908"/>
      <c r="K3" s="181"/>
      <c r="Q3" s="181"/>
    </row>
    <row r="4" spans="1:46" ht="11.25" customHeight="1">
      <c r="A4" s="905"/>
      <c r="B4" s="905"/>
      <c r="H4" s="908"/>
      <c r="I4" s="908"/>
      <c r="J4" s="908"/>
      <c r="K4" s="181"/>
      <c r="Q4" s="181"/>
    </row>
    <row r="5" spans="1:46" ht="12" thickBot="1">
      <c r="A5" s="905"/>
      <c r="B5" s="905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5"/>
      <c r="B6" s="905"/>
      <c r="C6" s="186"/>
      <c r="F6" s="909" t="s">
        <v>57</v>
      </c>
      <c r="G6" s="910"/>
      <c r="H6" s="910"/>
      <c r="I6" s="910"/>
      <c r="J6" s="910"/>
      <c r="K6" s="910"/>
      <c r="L6" s="911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2" t="s">
        <v>201</v>
      </c>
      <c r="G7" s="913"/>
      <c r="H7" s="913"/>
      <c r="I7" s="913"/>
      <c r="J7" s="913"/>
      <c r="K7" s="913"/>
      <c r="L7" s="914"/>
      <c r="M7" s="915" t="s">
        <v>40</v>
      </c>
      <c r="N7" s="916"/>
      <c r="O7" s="916"/>
      <c r="P7" s="916"/>
      <c r="Q7" s="916"/>
      <c r="R7" s="917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7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46"/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46"/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46"/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46"/>
      <c r="C23" s="802">
        <f t="shared" si="6"/>
        <v>36556.570000000007</v>
      </c>
      <c r="D23" s="803"/>
      <c r="E23" s="800"/>
      <c r="F23" s="805"/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36556.570000000007</v>
      </c>
    </row>
    <row r="24" spans="1:46" ht="15.75">
      <c r="A24" s="575">
        <v>44300</v>
      </c>
      <c r="B24" s="846"/>
      <c r="C24" s="802">
        <f t="shared" si="6"/>
        <v>36556.570000000007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 t="shared" si="0"/>
        <v>0</v>
      </c>
      <c r="T24" s="218">
        <f t="shared" si="1"/>
        <v>0</v>
      </c>
      <c r="U24" s="571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36556.570000000007</v>
      </c>
    </row>
    <row r="25" spans="1:46" ht="15.75">
      <c r="A25" s="575">
        <v>44301</v>
      </c>
      <c r="B25" s="826"/>
      <c r="C25" s="802">
        <f t="shared" si="6"/>
        <v>36556.570000000007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 t="shared" si="1"/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36556.570000000007</v>
      </c>
    </row>
    <row r="26" spans="1:46" ht="15.75">
      <c r="A26" s="575">
        <v>44302</v>
      </c>
      <c r="B26" s="826"/>
      <c r="C26" s="802">
        <f t="shared" si="6"/>
        <v>36556.570000000007</v>
      </c>
      <c r="D26" s="803"/>
      <c r="E26" s="800"/>
      <c r="F26" s="805"/>
      <c r="G26" s="801"/>
      <c r="H26" s="219"/>
      <c r="I26" s="223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 t="shared" si="1"/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36556.570000000007</v>
      </c>
    </row>
    <row r="27" spans="1:46" ht="15.75">
      <c r="A27" s="575">
        <v>44303</v>
      </c>
      <c r="B27" s="826"/>
      <c r="C27" s="802">
        <f t="shared" si="6"/>
        <v>36556.570000000007</v>
      </c>
      <c r="D27" s="803"/>
      <c r="E27" s="800"/>
      <c r="F27" s="804"/>
      <c r="G27" s="801"/>
      <c r="H27" s="219"/>
      <c r="I27" s="223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36556.570000000007</v>
      </c>
    </row>
    <row r="28" spans="1:46" ht="15.75">
      <c r="A28" s="575">
        <v>44304</v>
      </c>
      <c r="B28" s="826"/>
      <c r="C28" s="802">
        <f t="shared" si="6"/>
        <v>36556.570000000007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36556.570000000007</v>
      </c>
    </row>
    <row r="29" spans="1:46" ht="15.75">
      <c r="A29" s="575">
        <v>44305</v>
      </c>
      <c r="B29" s="826"/>
      <c r="C29" s="802">
        <f t="shared" si="6"/>
        <v>36556.570000000007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36556.570000000007</v>
      </c>
    </row>
    <row r="30" spans="1:46" ht="15.75">
      <c r="A30" s="575">
        <v>44306</v>
      </c>
      <c r="B30" s="826"/>
      <c r="C30" s="802">
        <f t="shared" si="6"/>
        <v>36556.570000000007</v>
      </c>
      <c r="D30" s="803"/>
      <c r="E30" s="800">
        <v>15000</v>
      </c>
      <c r="F30" s="848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36556.570000000007</v>
      </c>
    </row>
    <row r="31" spans="1:46" ht="15.75">
      <c r="A31" s="575">
        <v>44307</v>
      </c>
      <c r="B31" s="826"/>
      <c r="C31" s="802">
        <f t="shared" si="6"/>
        <v>36556.570000000007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36556.570000000007</v>
      </c>
    </row>
    <row r="32" spans="1:46" ht="15.75">
      <c r="A32" s="575">
        <v>44308</v>
      </c>
      <c r="B32" s="826"/>
      <c r="C32" s="802">
        <f t="shared" si="6"/>
        <v>36556.570000000007</v>
      </c>
      <c r="D32" s="803"/>
      <c r="E32" s="800"/>
      <c r="F32" s="804"/>
      <c r="G32" s="801"/>
      <c r="H32" s="219"/>
      <c r="I32" s="205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36556.570000000007</v>
      </c>
    </row>
    <row r="33" spans="1:46" ht="15.75">
      <c r="A33" s="575">
        <v>44309</v>
      </c>
      <c r="B33" s="826"/>
      <c r="C33" s="802">
        <f t="shared" si="6"/>
        <v>36556.570000000007</v>
      </c>
      <c r="D33" s="803"/>
      <c r="E33" s="800"/>
      <c r="F33" s="804"/>
      <c r="G33" s="801"/>
      <c r="H33" s="219"/>
      <c r="I33" s="205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36556.570000000007</v>
      </c>
    </row>
    <row r="34" spans="1:46" ht="15.75">
      <c r="A34" s="575">
        <v>44310</v>
      </c>
      <c r="B34" s="826"/>
      <c r="C34" s="802">
        <f t="shared" si="6"/>
        <v>36556.570000000007</v>
      </c>
      <c r="D34" s="803"/>
      <c r="E34" s="800"/>
      <c r="F34" s="804"/>
      <c r="G34" s="801"/>
      <c r="H34" s="204"/>
      <c r="I34" s="204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36556.570000000007</v>
      </c>
    </row>
    <row r="35" spans="1:46" ht="15.75">
      <c r="A35" s="575">
        <v>44311</v>
      </c>
      <c r="B35" s="826"/>
      <c r="C35" s="802">
        <f t="shared" si="6"/>
        <v>36556.570000000007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36556.570000000007</v>
      </c>
    </row>
    <row r="36" spans="1:46" ht="15.75">
      <c r="A36" s="575">
        <v>44312</v>
      </c>
      <c r="B36" s="826"/>
      <c r="C36" s="802">
        <f t="shared" si="6"/>
        <v>36556.570000000007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36556.570000000007</v>
      </c>
    </row>
    <row r="37" spans="1:46" ht="15.75">
      <c r="A37" s="575">
        <v>44313</v>
      </c>
      <c r="B37" s="826"/>
      <c r="C37" s="802">
        <f t="shared" si="6"/>
        <v>36556.570000000007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36556.570000000007</v>
      </c>
    </row>
    <row r="38" spans="1:46" ht="15.75">
      <c r="A38" s="575">
        <v>44314</v>
      </c>
      <c r="B38" s="826"/>
      <c r="C38" s="802">
        <f t="shared" si="6"/>
        <v>36556.570000000007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36556.570000000007</v>
      </c>
    </row>
    <row r="39" spans="1:46" ht="15.75">
      <c r="A39" s="575">
        <v>44315</v>
      </c>
      <c r="B39" s="826"/>
      <c r="C39" s="802">
        <f t="shared" si="6"/>
        <v>36556.570000000007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36556.570000000007</v>
      </c>
    </row>
    <row r="40" spans="1:46" ht="15.75">
      <c r="A40" s="575">
        <v>44316</v>
      </c>
      <c r="B40" s="826"/>
      <c r="C40" s="802">
        <f t="shared" si="6"/>
        <v>36556.570000000007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36556.570000000007</v>
      </c>
    </row>
    <row r="41" spans="1:46" ht="15.75">
      <c r="A41" s="575"/>
      <c r="B41" s="826"/>
      <c r="C41" s="802">
        <f t="shared" si="6"/>
        <v>36556.570000000007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36556.570000000007</v>
      </c>
    </row>
    <row r="42" spans="1:46" ht="14.25">
      <c r="A42" s="575"/>
      <c r="B42" s="574"/>
      <c r="C42" s="802">
        <f t="shared" si="6"/>
        <v>36556.570000000007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36556.570000000007</v>
      </c>
    </row>
    <row r="43" spans="1:46" ht="14.25">
      <c r="A43" s="495" t="s">
        <v>25</v>
      </c>
      <c r="B43" s="469">
        <f>AVERAGE(B11:B42)</f>
        <v>0.13822222222222222</v>
      </c>
      <c r="C43" s="798">
        <f t="shared" si="6"/>
        <v>36556.570000000007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36556.570000000007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4060.8700000000003</v>
      </c>
      <c r="H45" s="308">
        <f t="shared" si="8"/>
        <v>3839.36</v>
      </c>
      <c r="I45" s="313">
        <f t="shared" si="8"/>
        <v>0</v>
      </c>
      <c r="J45" s="308">
        <f t="shared" si="8"/>
        <v>3904.63</v>
      </c>
      <c r="K45" s="313">
        <f t="shared" si="8"/>
        <v>2669.3999999999996</v>
      </c>
      <c r="L45" s="308">
        <f t="shared" si="8"/>
        <v>0</v>
      </c>
      <c r="M45" s="313">
        <f t="shared" si="8"/>
        <v>13216</v>
      </c>
      <c r="N45" s="553">
        <f t="shared" si="8"/>
        <v>6343</v>
      </c>
      <c r="O45" s="313">
        <f t="shared" si="8"/>
        <v>0</v>
      </c>
      <c r="P45" s="308">
        <f>SUM(P11:P43)</f>
        <v>9583</v>
      </c>
      <c r="Q45" s="313">
        <f>SUM(Q11:Q44)</f>
        <v>6642</v>
      </c>
      <c r="R45" s="308">
        <f>SUM(R11:R44)</f>
        <v>0</v>
      </c>
      <c r="S45" s="551">
        <f>SUM(G45:L45)</f>
        <v>14474.26</v>
      </c>
      <c r="T45" s="308">
        <f>SUM(M45:R45)</f>
        <v>35784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235.08999999999997</v>
      </c>
      <c r="Y45" s="234">
        <f t="shared" si="9"/>
        <v>0</v>
      </c>
      <c r="Z45" s="546">
        <f t="shared" si="9"/>
        <v>363.95000000000005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601</v>
      </c>
      <c r="AI45" s="234">
        <f>SUM(AI9:AI39)</f>
        <v>230.2</v>
      </c>
      <c r="AJ45" s="546">
        <f>SUM(AJ9:AJ44)</f>
        <v>1485.1400000000003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15959.399999999996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466.91161290322583</v>
      </c>
      <c r="T47" s="316">
        <f>S45*2315</f>
        <v>33507911.900000002</v>
      </c>
      <c r="U47" s="317" t="s">
        <v>244</v>
      </c>
      <c r="AR47" s="522">
        <f>AR45*2143</f>
        <v>34200994.199999988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14638.668370467454</v>
      </c>
      <c r="U48" s="317" t="s">
        <v>245</v>
      </c>
      <c r="W48" s="191"/>
      <c r="X48" s="191"/>
      <c r="Y48" s="191"/>
      <c r="Z48" s="191"/>
      <c r="AA48" s="191"/>
      <c r="AR48" s="316">
        <f>AR47/2289</f>
        <v>14941.456618610742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8" t="s">
        <v>241</v>
      </c>
      <c r="C50" s="919"/>
      <c r="D50" s="919"/>
      <c r="E50" s="919"/>
      <c r="F50" s="920"/>
      <c r="H50" s="896" t="s">
        <v>213</v>
      </c>
      <c r="I50" s="897"/>
      <c r="J50" s="897"/>
      <c r="K50" s="897"/>
      <c r="L50" s="898"/>
      <c r="N50" s="899" t="s">
        <v>309</v>
      </c>
      <c r="O50" s="900"/>
      <c r="P50" s="900"/>
      <c r="Q50" s="900"/>
      <c r="R50" s="901"/>
      <c r="T50" s="902" t="s">
        <v>226</v>
      </c>
      <c r="U50" s="903"/>
      <c r="V50" s="903"/>
      <c r="W50" s="903"/>
      <c r="X50" s="903"/>
      <c r="Y50" s="904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26" sqref="F2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3"/>
      <c r="D6" s="924"/>
      <c r="E6" s="925"/>
      <c r="F6" s="925"/>
      <c r="G6" s="48" t="s">
        <v>4</v>
      </c>
      <c r="H6" s="46" t="s">
        <v>14</v>
      </c>
      <c r="I6" s="41"/>
      <c r="J6" s="113"/>
    </row>
    <row r="7" spans="1:15" ht="18" customHeight="1">
      <c r="A7" s="926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7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75952.149999999994</v>
      </c>
      <c r="G18" s="268">
        <f t="shared" si="0"/>
        <v>115.05999999997439</v>
      </c>
      <c r="H18" s="111">
        <f>[5]Gen!B19</f>
        <v>0.01</v>
      </c>
      <c r="I18" s="843">
        <f t="shared" si="2"/>
        <v>7595214.9999999991</v>
      </c>
      <c r="J18" s="844">
        <f t="shared" si="1"/>
        <v>1.5149011581630593E-5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75</v>
      </c>
      <c r="E19" s="268"/>
      <c r="F19" s="268">
        <v>75969.009999999995</v>
      </c>
      <c r="G19" s="268">
        <f t="shared" si="0"/>
        <v>74.18400000000257</v>
      </c>
      <c r="H19" s="111">
        <f>[5]Gen!B20</f>
        <v>0.01</v>
      </c>
      <c r="I19" s="843">
        <f t="shared" si="2"/>
        <v>7596900.9999999991</v>
      </c>
      <c r="J19" s="844">
        <f t="shared" si="1"/>
        <v>9.7650344528647373E-6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65</v>
      </c>
      <c r="E20" s="268"/>
      <c r="F20" s="268">
        <v>75983.63</v>
      </c>
      <c r="G20" s="268">
        <f t="shared" si="0"/>
        <v>64.328000000043545</v>
      </c>
      <c r="H20" s="111">
        <f>[5]Gen!B21</f>
        <v>0.01</v>
      </c>
      <c r="I20" s="843">
        <f t="shared" si="2"/>
        <v>7598363</v>
      </c>
      <c r="J20" s="844">
        <f t="shared" si="1"/>
        <v>8.466034065501154E-6</v>
      </c>
    </row>
    <row r="21" spans="1:14" ht="18.75">
      <c r="A21" s="94">
        <f>Gen!A22</f>
        <v>44298</v>
      </c>
      <c r="B21" s="268"/>
      <c r="C21" s="268"/>
      <c r="D21" s="268"/>
      <c r="E21" s="268"/>
      <c r="F21" s="268"/>
      <c r="G21" s="268">
        <f t="shared" si="0"/>
        <v>-334327.97200000007</v>
      </c>
      <c r="H21" s="111">
        <f>[5]Gen!B22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44299</v>
      </c>
      <c r="B22" s="268"/>
      <c r="C22" s="268"/>
      <c r="D22" s="268"/>
      <c r="E22" s="268"/>
      <c r="F22" s="268"/>
      <c r="G22" s="268">
        <f t="shared" si="0"/>
        <v>0</v>
      </c>
      <c r="H22" s="111">
        <f>[5]Gen!B23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44300</v>
      </c>
      <c r="B23" s="268"/>
      <c r="C23" s="268"/>
      <c r="D23" s="268"/>
      <c r="E23" s="268"/>
      <c r="F23" s="268"/>
      <c r="G23" s="268">
        <f>(F23-F22)*4.4</f>
        <v>0</v>
      </c>
      <c r="H23" s="111">
        <f>[5]Gen!B24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44301</v>
      </c>
      <c r="B24" s="268"/>
      <c r="C24" s="268"/>
      <c r="D24" s="268"/>
      <c r="E24" s="268"/>
      <c r="F24" s="268"/>
      <c r="G24" s="268">
        <f t="shared" si="0"/>
        <v>0</v>
      </c>
      <c r="H24" s="111">
        <f>[5]Gen!B25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44302</v>
      </c>
      <c r="B25" s="268"/>
      <c r="C25" s="268"/>
      <c r="D25" s="268"/>
      <c r="E25" s="268"/>
      <c r="F25" s="268"/>
      <c r="G25" s="268">
        <f t="shared" si="0"/>
        <v>0</v>
      </c>
      <c r="H25" s="111">
        <f>[5]Gen!B26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0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2" t="s">
        <v>6</v>
      </c>
      <c r="D42" s="922"/>
      <c r="E42" s="2">
        <f t="shared" ref="E42" si="4">SUM(E10:E40)</f>
        <v>0</v>
      </c>
      <c r="F42" s="2">
        <f>SUM(F10:F41)</f>
        <v>834776.1</v>
      </c>
      <c r="G42" s="101">
        <f>SUM(G10:G40)</f>
        <v>-332229.70000000007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1"/>
      <c r="C45" s="921"/>
      <c r="D45" s="921"/>
      <c r="E45" s="921"/>
      <c r="F45" s="921"/>
      <c r="G45" s="921"/>
      <c r="H45" s="921"/>
      <c r="I45" s="831"/>
      <c r="J45" s="838"/>
    </row>
    <row r="46" spans="1:10">
      <c r="A46" s="19"/>
      <c r="B46" s="921"/>
      <c r="C46" s="921"/>
      <c r="D46" s="921"/>
      <c r="E46" s="921"/>
      <c r="F46" s="921"/>
      <c r="G46" s="921"/>
      <c r="H46" s="921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0" zoomScale="94" zoomScaleNormal="94" workbookViewId="0">
      <pane xSplit="1" topLeftCell="R1" activePane="topRight" state="frozen"/>
      <selection pane="topRight" activeCell="AF19" sqref="AF1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2" t="s">
        <v>315</v>
      </c>
      <c r="B1" s="933"/>
      <c r="C1" s="933"/>
      <c r="D1" s="933"/>
      <c r="E1" s="933"/>
      <c r="F1" s="933"/>
      <c r="G1" s="933"/>
      <c r="H1" s="933"/>
      <c r="I1" s="933"/>
      <c r="J1" s="933"/>
      <c r="K1" s="933"/>
      <c r="L1" s="933"/>
      <c r="M1" s="933"/>
      <c r="N1" s="933"/>
      <c r="O1" s="933"/>
      <c r="P1" s="933"/>
      <c r="Q1" s="933"/>
      <c r="R1" s="933"/>
      <c r="S1" s="933"/>
      <c r="T1" s="933"/>
      <c r="U1" s="933"/>
      <c r="V1" s="933"/>
      <c r="W1" s="933"/>
      <c r="X1" s="933"/>
      <c r="Y1" s="933"/>
      <c r="Z1" s="933"/>
      <c r="AA1" s="933"/>
      <c r="AB1" s="933"/>
      <c r="AC1" s="933"/>
      <c r="AD1" s="933"/>
      <c r="AE1" s="933"/>
      <c r="AF1" s="933"/>
      <c r="AG1" s="933"/>
      <c r="AH1" s="933"/>
      <c r="AI1" s="933"/>
      <c r="AJ1" s="933"/>
      <c r="AK1" s="933"/>
      <c r="AL1" s="933"/>
      <c r="AM1" s="933"/>
      <c r="AN1" s="933"/>
    </row>
    <row r="2" spans="1:40" ht="13.5" customHeight="1" thickTop="1">
      <c r="A2" s="29"/>
      <c r="B2" s="29"/>
      <c r="C2" s="929" t="s">
        <v>52</v>
      </c>
      <c r="D2" s="929"/>
      <c r="E2" s="929"/>
      <c r="F2" s="929" t="s">
        <v>17</v>
      </c>
      <c r="G2" s="929"/>
      <c r="H2" s="929"/>
      <c r="I2" s="929" t="s">
        <v>131</v>
      </c>
      <c r="J2" s="929"/>
      <c r="K2" s="929"/>
      <c r="L2" s="929" t="s">
        <v>134</v>
      </c>
      <c r="M2" s="929"/>
      <c r="N2" s="929"/>
      <c r="O2" s="929" t="s">
        <v>132</v>
      </c>
      <c r="P2" s="929"/>
      <c r="Q2" s="929"/>
      <c r="R2" s="252"/>
      <c r="S2" s="940" t="s">
        <v>181</v>
      </c>
      <c r="T2" s="941"/>
      <c r="U2" s="942"/>
      <c r="V2" s="940" t="s">
        <v>182</v>
      </c>
      <c r="W2" s="941"/>
      <c r="X2" s="942"/>
      <c r="Y2" s="940" t="s">
        <v>183</v>
      </c>
      <c r="Z2" s="941"/>
      <c r="AA2" s="942"/>
      <c r="AB2" s="940" t="s">
        <v>184</v>
      </c>
      <c r="AC2" s="941"/>
      <c r="AD2" s="942"/>
      <c r="AE2" s="934" t="s">
        <v>239</v>
      </c>
      <c r="AF2" s="935"/>
      <c r="AG2" s="946"/>
      <c r="AH2" s="934" t="s">
        <v>243</v>
      </c>
      <c r="AI2" s="935"/>
      <c r="AJ2" s="946"/>
      <c r="AK2" s="934" t="s">
        <v>240</v>
      </c>
      <c r="AL2" s="935"/>
      <c r="AM2" s="935"/>
      <c r="AN2" s="938" t="s">
        <v>189</v>
      </c>
    </row>
    <row r="3" spans="1:40" ht="21.75" customHeight="1" thickBot="1">
      <c r="A3" s="930" t="s">
        <v>7</v>
      </c>
      <c r="B3" s="29"/>
      <c r="C3" s="929" t="s">
        <v>133</v>
      </c>
      <c r="D3" s="929" t="s">
        <v>15</v>
      </c>
      <c r="E3" s="929" t="s">
        <v>16</v>
      </c>
      <c r="F3" s="929" t="s">
        <v>133</v>
      </c>
      <c r="G3" s="929" t="s">
        <v>15</v>
      </c>
      <c r="H3" s="929" t="s">
        <v>16</v>
      </c>
      <c r="I3" s="929" t="s">
        <v>133</v>
      </c>
      <c r="J3" s="929" t="s">
        <v>15</v>
      </c>
      <c r="K3" s="929" t="s">
        <v>16</v>
      </c>
      <c r="L3" s="929" t="s">
        <v>133</v>
      </c>
      <c r="M3" s="929" t="s">
        <v>15</v>
      </c>
      <c r="N3" s="929" t="s">
        <v>16</v>
      </c>
      <c r="O3" s="929" t="s">
        <v>133</v>
      </c>
      <c r="P3" s="929" t="s">
        <v>15</v>
      </c>
      <c r="Q3" s="929" t="s">
        <v>16</v>
      </c>
      <c r="R3" s="948" t="s">
        <v>185</v>
      </c>
      <c r="S3" s="943"/>
      <c r="T3" s="944"/>
      <c r="U3" s="945"/>
      <c r="V3" s="943"/>
      <c r="W3" s="944"/>
      <c r="X3" s="945"/>
      <c r="Y3" s="943"/>
      <c r="Z3" s="944"/>
      <c r="AA3" s="945"/>
      <c r="AB3" s="943"/>
      <c r="AC3" s="944"/>
      <c r="AD3" s="945"/>
      <c r="AE3" s="936"/>
      <c r="AF3" s="937"/>
      <c r="AG3" s="947"/>
      <c r="AH3" s="936"/>
      <c r="AI3" s="937"/>
      <c r="AJ3" s="947"/>
      <c r="AK3" s="936"/>
      <c r="AL3" s="937"/>
      <c r="AM3" s="937"/>
      <c r="AN3" s="939"/>
    </row>
    <row r="4" spans="1:40" ht="15.75" thickTop="1">
      <c r="A4" s="931"/>
      <c r="B4" s="244"/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  <c r="O4" s="929"/>
      <c r="P4" s="929"/>
      <c r="Q4" s="929"/>
      <c r="R4" s="948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/>
      <c r="E17" s="474" t="str">
        <f>IF((D17-D16)&lt;0,"0",(D17-D16))</f>
        <v>0</v>
      </c>
      <c r="F17" s="95">
        <f t="shared" si="2"/>
        <v>75790</v>
      </c>
      <c r="G17" s="387"/>
      <c r="H17" s="474" t="str">
        <f t="shared" si="13"/>
        <v>0</v>
      </c>
      <c r="I17" s="95">
        <f t="shared" si="3"/>
        <v>8381</v>
      </c>
      <c r="J17" s="1"/>
      <c r="K17" s="474" t="str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/>
      <c r="Q17" s="474" t="str">
        <f t="shared" si="7"/>
        <v>0</v>
      </c>
      <c r="R17" s="250"/>
      <c r="S17" s="245">
        <f t="shared" si="15"/>
        <v>68194</v>
      </c>
      <c r="T17" s="384"/>
      <c r="U17" s="475" t="str">
        <f t="shared" si="16"/>
        <v>0</v>
      </c>
      <c r="V17" s="245">
        <f t="shared" si="8"/>
        <v>73031</v>
      </c>
      <c r="W17" s="384"/>
      <c r="X17" s="475" t="str">
        <f>IF((W17-W16)&lt;0,"0",(W17-W16))</f>
        <v>0</v>
      </c>
      <c r="Y17" s="245">
        <f t="shared" si="9"/>
        <v>90129</v>
      </c>
      <c r="Z17" s="384"/>
      <c r="AA17" s="475" t="str">
        <f>IF((Z17-Z16)&lt;0,"0",(Z17-Z16))</f>
        <v>0</v>
      </c>
      <c r="AB17" s="606">
        <f t="shared" si="22"/>
        <v>18952</v>
      </c>
      <c r="AC17" s="610"/>
      <c r="AD17" s="609" t="str">
        <f t="shared" si="23"/>
        <v>0</v>
      </c>
      <c r="AE17" s="245">
        <f t="shared" si="27"/>
        <v>0</v>
      </c>
      <c r="AF17" s="385"/>
      <c r="AG17" s="475" t="str">
        <f t="shared" si="19"/>
        <v>0</v>
      </c>
      <c r="AH17" s="245">
        <f t="shared" si="11"/>
        <v>30610</v>
      </c>
      <c r="AI17" s="385"/>
      <c r="AJ17" s="475" t="str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44299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44300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44301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44302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44303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738</v>
      </c>
    </row>
    <row r="38" spans="1:41" ht="18.75">
      <c r="A38" s="57"/>
      <c r="B38" s="21"/>
      <c r="C38" s="928" t="s">
        <v>6</v>
      </c>
      <c r="D38" s="928"/>
      <c r="E38" s="22">
        <f>SUM(E6:E36)</f>
        <v>990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19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990</v>
      </c>
      <c r="S38" s="247"/>
      <c r="T38" s="247"/>
      <c r="U38" s="257">
        <f>SUM(U6:U37)</f>
        <v>738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738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4"/>
      <c r="B42" s="277"/>
      <c r="C42" s="951" t="s">
        <v>222</v>
      </c>
      <c r="D42" s="952"/>
      <c r="E42" s="952"/>
      <c r="F42" s="952"/>
      <c r="G42" s="952"/>
      <c r="H42" s="952"/>
      <c r="I42" s="952"/>
      <c r="J42" s="952"/>
      <c r="K42" s="953"/>
      <c r="R42" s="19"/>
    </row>
    <row r="43" spans="1:41" ht="24.75" customHeight="1">
      <c r="A43" s="955"/>
      <c r="B43" s="19"/>
      <c r="C43" s="957" t="s">
        <v>216</v>
      </c>
      <c r="D43" s="958"/>
      <c r="E43" s="959" t="s">
        <v>237</v>
      </c>
      <c r="F43" s="960"/>
      <c r="G43" s="961" t="s">
        <v>217</v>
      </c>
      <c r="H43" s="962"/>
      <c r="I43" s="961" t="s">
        <v>238</v>
      </c>
      <c r="J43" s="962"/>
      <c r="K43" s="94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5"/>
      <c r="B44" s="19"/>
      <c r="C44" s="963" t="s">
        <v>218</v>
      </c>
      <c r="D44" s="964"/>
      <c r="E44" s="963" t="s">
        <v>219</v>
      </c>
      <c r="F44" s="964"/>
      <c r="G44" s="963" t="s">
        <v>220</v>
      </c>
      <c r="H44" s="964"/>
      <c r="I44" s="963" t="s">
        <v>221</v>
      </c>
      <c r="J44" s="964"/>
      <c r="K44" s="95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44300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44301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5" t="s">
        <v>316</v>
      </c>
      <c r="B2" s="966"/>
      <c r="C2" s="966"/>
      <c r="D2" s="966"/>
      <c r="E2" s="96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115.05999999997439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142.59013888885715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74.18400000000257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91.933833333336523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64.328000000043545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79.719611111165079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 t="str">
        <f>'Water-Meter'!E17</f>
        <v>0</v>
      </c>
      <c r="L16" s="447">
        <f>'Lpg (2)'!G21</f>
        <v>-334327.97200000007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-414321.849138889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990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8" t="s">
        <v>180</v>
      </c>
      <c r="B1" s="969"/>
      <c r="C1" s="969"/>
      <c r="D1" s="969"/>
      <c r="E1" s="969"/>
      <c r="F1" s="969"/>
      <c r="G1" s="970"/>
    </row>
    <row r="2" spans="1:7" ht="13.5" thickBot="1">
      <c r="A2" s="300"/>
      <c r="B2" s="971" t="s">
        <v>175</v>
      </c>
      <c r="C2" s="972"/>
      <c r="D2" s="973"/>
      <c r="E2" s="971" t="s">
        <v>176</v>
      </c>
      <c r="F2" s="972"/>
      <c r="G2" s="973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8" t="s">
        <v>230</v>
      </c>
      <c r="B1" s="969"/>
      <c r="C1" s="969"/>
      <c r="D1" s="969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4"/>
      <c r="C76" s="975"/>
      <c r="D76" s="975"/>
      <c r="E76" s="976"/>
      <c r="H76" s="974"/>
      <c r="I76" s="975"/>
      <c r="J76" s="975"/>
      <c r="K76" s="975"/>
      <c r="L76" s="976"/>
    </row>
    <row r="77" spans="1:12">
      <c r="B77" s="977"/>
      <c r="C77" s="978"/>
      <c r="D77" s="978"/>
      <c r="E77" s="979"/>
      <c r="H77" s="977"/>
      <c r="I77" s="978"/>
      <c r="J77" s="978"/>
      <c r="K77" s="978"/>
      <c r="L77" s="979"/>
    </row>
    <row r="78" spans="1:12">
      <c r="B78" s="977"/>
      <c r="C78" s="978"/>
      <c r="D78" s="978"/>
      <c r="E78" s="979"/>
      <c r="H78" s="977"/>
      <c r="I78" s="978"/>
      <c r="J78" s="978"/>
      <c r="K78" s="978"/>
      <c r="L78" s="979"/>
    </row>
    <row r="79" spans="1:12">
      <c r="B79" s="977"/>
      <c r="C79" s="978"/>
      <c r="D79" s="978"/>
      <c r="E79" s="979"/>
      <c r="H79" s="977"/>
      <c r="I79" s="978"/>
      <c r="J79" s="978"/>
      <c r="K79" s="978"/>
      <c r="L79" s="979"/>
    </row>
    <row r="80" spans="1:12">
      <c r="B80" s="977"/>
      <c r="C80" s="978"/>
      <c r="D80" s="978"/>
      <c r="E80" s="979"/>
      <c r="H80" s="977"/>
      <c r="I80" s="978"/>
      <c r="J80" s="978"/>
      <c r="K80" s="978"/>
      <c r="L80" s="979"/>
    </row>
    <row r="81" spans="2:12">
      <c r="B81" s="977"/>
      <c r="C81" s="978"/>
      <c r="D81" s="978"/>
      <c r="E81" s="979"/>
      <c r="H81" s="977"/>
      <c r="I81" s="978"/>
      <c r="J81" s="978"/>
      <c r="K81" s="978"/>
      <c r="L81" s="979"/>
    </row>
    <row r="82" spans="2:12">
      <c r="B82" s="977"/>
      <c r="C82" s="978"/>
      <c r="D82" s="978"/>
      <c r="E82" s="979"/>
      <c r="H82" s="977"/>
      <c r="I82" s="978"/>
      <c r="J82" s="978"/>
      <c r="K82" s="978"/>
      <c r="L82" s="979"/>
    </row>
    <row r="83" spans="2:12">
      <c r="B83" s="977"/>
      <c r="C83" s="978"/>
      <c r="D83" s="978"/>
      <c r="E83" s="979"/>
      <c r="H83" s="977"/>
      <c r="I83" s="978"/>
      <c r="J83" s="978"/>
      <c r="K83" s="978"/>
      <c r="L83" s="979"/>
    </row>
    <row r="84" spans="2:12">
      <c r="B84" s="977"/>
      <c r="C84" s="978"/>
      <c r="D84" s="978"/>
      <c r="E84" s="979"/>
      <c r="H84" s="977"/>
      <c r="I84" s="978"/>
      <c r="J84" s="978"/>
      <c r="K84" s="978"/>
      <c r="L84" s="979"/>
    </row>
    <row r="85" spans="2:12">
      <c r="B85" s="977"/>
      <c r="C85" s="978"/>
      <c r="D85" s="978"/>
      <c r="E85" s="979"/>
      <c r="H85" s="977"/>
      <c r="I85" s="978"/>
      <c r="J85" s="978"/>
      <c r="K85" s="978"/>
      <c r="L85" s="979"/>
    </row>
    <row r="86" spans="2:12">
      <c r="B86" s="977"/>
      <c r="C86" s="978"/>
      <c r="D86" s="978"/>
      <c r="E86" s="979"/>
      <c r="H86" s="977"/>
      <c r="I86" s="978"/>
      <c r="J86" s="978"/>
      <c r="K86" s="978"/>
      <c r="L86" s="979"/>
    </row>
    <row r="87" spans="2:12">
      <c r="B87" s="977"/>
      <c r="C87" s="978"/>
      <c r="D87" s="978"/>
      <c r="E87" s="979"/>
      <c r="H87" s="977"/>
      <c r="I87" s="978"/>
      <c r="J87" s="978"/>
      <c r="K87" s="978"/>
      <c r="L87" s="979"/>
    </row>
    <row r="88" spans="2:12">
      <c r="B88" s="977"/>
      <c r="C88" s="978"/>
      <c r="D88" s="978"/>
      <c r="E88" s="979"/>
      <c r="H88" s="977"/>
      <c r="I88" s="978"/>
      <c r="J88" s="978"/>
      <c r="K88" s="978"/>
      <c r="L88" s="979"/>
    </row>
    <row r="89" spans="2:12">
      <c r="B89" s="977"/>
      <c r="C89" s="978"/>
      <c r="D89" s="978"/>
      <c r="E89" s="979"/>
      <c r="H89" s="977"/>
      <c r="I89" s="978"/>
      <c r="J89" s="978"/>
      <c r="K89" s="978"/>
      <c r="L89" s="979"/>
    </row>
    <row r="90" spans="2:12" ht="13.5" thickBot="1">
      <c r="B90" s="980"/>
      <c r="C90" s="981"/>
      <c r="D90" s="981"/>
      <c r="E90" s="982"/>
      <c r="H90" s="980"/>
      <c r="I90" s="981"/>
      <c r="J90" s="981"/>
      <c r="K90" s="981"/>
      <c r="L90" s="982"/>
    </row>
    <row r="91" spans="2:12">
      <c r="B91" s="983" t="s">
        <v>312</v>
      </c>
      <c r="C91" s="984"/>
      <c r="D91" s="984"/>
      <c r="E91" s="985"/>
      <c r="H91" s="983" t="s">
        <v>313</v>
      </c>
      <c r="I91" s="984"/>
      <c r="J91" s="984"/>
      <c r="K91" s="984"/>
      <c r="L91" s="985"/>
    </row>
    <row r="92" spans="2:12">
      <c r="B92" s="986"/>
      <c r="C92" s="987"/>
      <c r="D92" s="987"/>
      <c r="E92" s="988"/>
      <c r="H92" s="986"/>
      <c r="I92" s="987"/>
      <c r="J92" s="987"/>
      <c r="K92" s="987"/>
      <c r="L92" s="988"/>
    </row>
    <row r="93" spans="2:12" ht="13.5" thickBot="1">
      <c r="B93" s="989"/>
      <c r="C93" s="990"/>
      <c r="D93" s="990"/>
      <c r="E93" s="991"/>
      <c r="H93" s="989"/>
      <c r="I93" s="990"/>
      <c r="J93" s="990"/>
      <c r="K93" s="990"/>
      <c r="L93" s="99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C15" sqref="C15:J1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2" t="s">
        <v>254</v>
      </c>
      <c r="B1" s="992"/>
      <c r="C1" s="992"/>
      <c r="D1" s="992"/>
      <c r="E1" s="992"/>
      <c r="F1" s="992"/>
      <c r="G1" s="992"/>
      <c r="H1" s="992"/>
      <c r="I1" s="992"/>
      <c r="J1" s="992"/>
    </row>
    <row r="2" spans="1:10" ht="19.5" thickBot="1">
      <c r="A2" s="1001">
        <f>A5</f>
        <v>44287</v>
      </c>
      <c r="B2" s="1002"/>
      <c r="C2" s="1002"/>
      <c r="D2" s="1002"/>
      <c r="E2" s="1002"/>
      <c r="F2" s="1002"/>
      <c r="G2" s="1002"/>
      <c r="H2" s="1002"/>
      <c r="I2" s="1002"/>
      <c r="J2" s="1002"/>
    </row>
    <row r="3" spans="1:10" ht="15.75" thickBot="1">
      <c r="A3" s="993" t="s">
        <v>7</v>
      </c>
      <c r="B3" s="995" t="s">
        <v>255</v>
      </c>
      <c r="C3" s="440"/>
      <c r="D3" s="997" t="s">
        <v>256</v>
      </c>
      <c r="E3" s="998"/>
      <c r="F3" s="999" t="s">
        <v>257</v>
      </c>
      <c r="G3" s="1000"/>
      <c r="H3" s="998"/>
      <c r="I3" s="999" t="s">
        <v>258</v>
      </c>
      <c r="J3" s="998"/>
    </row>
    <row r="4" spans="1:10" ht="30.75" thickBot="1">
      <c r="A4" s="994"/>
      <c r="B4" s="996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0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36556.570000000007</v>
      </c>
      <c r="F16" s="396" t="str">
        <f>'Water-Meter'!E17</f>
        <v>0</v>
      </c>
      <c r="G16" s="397">
        <f>'Water-Meter'!AN17</f>
        <v>0</v>
      </c>
      <c r="H16" s="395">
        <f>'Utility report '!AC17</f>
        <v>-48890</v>
      </c>
      <c r="I16" s="394">
        <f>'Kit report'!F15</f>
        <v>-1107552</v>
      </c>
      <c r="J16" s="395">
        <f>'Kit report'!X15</f>
        <v>-1619000</v>
      </c>
    </row>
    <row r="17" spans="1:10" ht="17.100000000000001" customHeight="1" thickBot="1">
      <c r="A17" s="217">
        <f>Gen!A23</f>
        <v>44299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36556.570000000007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36556.570000000007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36556.570000000007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36556.570000000007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36556.570000000007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36556.570000000007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36556.570000000007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36556.570000000007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36556.570000000007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36556.570000000007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36556.570000000007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36556.570000000007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36556.570000000007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36556.570000000007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36556.570000000007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36556.570000000007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36556.570000000007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36556.570000000007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36556.570000000007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36556.570000000007</v>
      </c>
      <c r="F36" s="396">
        <f>'Water-Meter'!E37</f>
        <v>0</v>
      </c>
      <c r="G36" s="397">
        <f>'Water-Meter'!AN37</f>
        <v>738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2021-04-12T06:09:19Z</dcterms:modified>
</cp:coreProperties>
</file>