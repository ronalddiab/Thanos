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5 - 2020" sheetId="1" r:id="rId3"/>
  </sheets>
  <definedNames>
    <definedName name="_xlnm.Print_Area" localSheetId="2">'05 - 2020'!$A$1:$J$36</definedName>
  </definedNames>
  <calcPr calcId="162913" calcMode="manual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L6" i="3"/>
  <c r="K6" i="3"/>
  <c r="I6" i="3"/>
  <c r="G6" i="3"/>
  <c r="E6" i="3"/>
  <c r="J7" i="2"/>
  <c r="I7" i="2"/>
  <c r="H7" i="2"/>
  <c r="F7" i="2"/>
  <c r="E7" i="2"/>
  <c r="J6" i="2"/>
  <c r="I6" i="2"/>
  <c r="H6" i="2"/>
  <c r="F6" i="2"/>
  <c r="E6" i="2"/>
  <c r="L3" i="3" l="1"/>
  <c r="L4" i="3"/>
  <c r="L5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 l="1"/>
  <c r="E4" i="3"/>
  <c r="E5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2" l="1"/>
  <c r="J4" i="2"/>
  <c r="J5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3" i="2"/>
  <c r="I4" i="2"/>
  <c r="I5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H3" i="2"/>
  <c r="H4" i="2"/>
  <c r="H5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J2" i="2"/>
  <c r="I2" i="2"/>
  <c r="H2" i="2" l="1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5" i="2"/>
  <c r="F4" i="2"/>
  <c r="F3" i="2"/>
  <c r="F2" i="2" l="1"/>
  <c r="E3" i="2"/>
  <c r="E4" i="2"/>
  <c r="E5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 l="1"/>
  <c r="B32" i="3" l="1"/>
  <c r="K38" i="1" l="1"/>
  <c r="J39" i="1"/>
  <c r="I39" i="1"/>
  <c r="I40" i="1" s="1"/>
  <c r="H39" i="1"/>
  <c r="H40" i="1" s="1"/>
  <c r="G39" i="1"/>
  <c r="F39" i="1"/>
  <c r="E39" i="1"/>
  <c r="D39" i="1"/>
  <c r="C39" i="1"/>
  <c r="B39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<sst xmlns="http://schemas.openxmlformats.org/spreadsheetml/2006/main" count="106" uniqueCount="37">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</sst>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3" fontId="5" fillId="0" borderId="15" xfId="0" applyNumberFormat="1" applyFont="1" applyBorder="1" applyAlignment="1" applyProtection="1">
      <alignment horizontal="center" vertical="center"/>
      <protection locked="0"/>
    </xf>
    <xf numFmtId="3" fontId="5" fillId="0" borderId="16" xfId="0" applyNumberFormat="1" applyFont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 applyProtection="1">
      <alignment horizontal="center" vertical="center"/>
      <protection locked="0"/>
    </xf>
    <xf numFmtId="1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N11" sqref="N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7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5</v>
      </c>
      <c r="D2">
        <v>2020</v>
      </c>
      <c r="E2" s="25">
        <f>'05 - 2020'!B8-'05 - 2020'!B7+'05 - 2020'!C8-'05 - 2020'!C7</f>
        <v>2306</v>
      </c>
      <c r="F2" s="23">
        <v>0.11799999999999999</v>
      </c>
      <c r="G2" s="25">
        <f>(('05 - 2020'!E8-'05 - 2020'!E7)+('05 - 2020'!F8-'05 - 2020'!F7)+('05 - 2020'!G8-'05 - 2020'!G7))*1.81</f>
        <v>17.792299999996576</v>
      </c>
      <c r="H2" s="23">
        <v>0.99</v>
      </c>
      <c r="I2" s="25">
        <f>'05 - 2020'!J8-'05 - 2020'!J7</f>
        <v>5965</v>
      </c>
      <c r="J2" s="23">
        <v>8.1000000000000003E-2</v>
      </c>
      <c r="K2" s="58">
        <f>'05 - 2020'!H8-'05 - 2020'!H7</f>
        <v>0</v>
      </c>
      <c r="L2" s="25">
        <f>'05 - 2020'!I8-'05 - 2020'!I7</f>
        <v>13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5</v>
      </c>
      <c r="D3" s="23">
        <v>2020</v>
      </c>
      <c r="E3" s="25">
        <f>'05 - 2020'!B9-'05 - 2020'!B8+'05 - 2020'!C9-'05 - 2020'!C8</f>
        <v>2232</v>
      </c>
      <c r="F3" s="23">
        <v>0.11799999999999999</v>
      </c>
      <c r="G3" s="25">
        <f>(('05 - 2020'!E9-'05 - 2020'!E8)+('05 - 2020'!F9-'05 - 2020'!F8)+('05 - 2020'!G9-'05 - 2020'!G8))*1.81</f>
        <v>18.624900000001581</v>
      </c>
      <c r="H3" s="23">
        <v>0.99</v>
      </c>
      <c r="I3" s="25">
        <f>'05 - 2020'!J9-'05 - 2020'!J8</f>
        <v>5958</v>
      </c>
      <c r="J3" s="23">
        <v>8.1000000000000003E-2</v>
      </c>
      <c r="K3" s="58">
        <f>'05 - 2020'!H9-'05 - 2020'!H8</f>
        <v>0</v>
      </c>
      <c r="L3" s="25">
        <f>'05 - 2020'!I9-'05 - 2020'!I8</f>
        <v>0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5</v>
      </c>
      <c r="D4" s="23">
        <v>2020</v>
      </c>
      <c r="E4" s="25">
        <f>'05 - 2020'!B10-'05 - 2020'!B9+'05 - 2020'!C10-'05 - 2020'!C9</f>
        <v>2392</v>
      </c>
      <c r="F4" s="23">
        <v>0.11799999999999999</v>
      </c>
      <c r="G4" s="25">
        <f>(('05 - 2020'!E10-'05 - 2020'!E9)+('05 - 2020'!F10-'05 - 2020'!F9)+('05 - 2020'!G10-'05 - 2020'!G9))*1.81</f>
        <v>20.000499999998684</v>
      </c>
      <c r="H4" s="23">
        <v>0.99</v>
      </c>
      <c r="I4" s="25">
        <f>'05 - 2020'!J10-'05 - 2020'!J9</f>
        <v>5932</v>
      </c>
      <c r="J4" s="23">
        <v>8.1000000000000003E-2</v>
      </c>
      <c r="K4" s="58">
        <f>'05 - 2020'!H10-'05 - 2020'!H9</f>
        <v>0</v>
      </c>
      <c r="L4" s="25">
        <f>'05 - 2020'!I10-'05 - 2020'!I9</f>
        <v>22</v>
      </c>
      <c r="M4" s="24">
        <v>4.3936294247669103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5</v>
      </c>
      <c r="D5" s="23">
        <v>2020</v>
      </c>
      <c r="E5" s="25">
        <f>'05 - 2020'!B11-'05 - 2020'!B10+'05 - 2020'!C11-'05 - 2020'!C10</f>
        <v>2312</v>
      </c>
      <c r="F5" s="23">
        <v>0.11799999999999999</v>
      </c>
      <c r="G5" s="25">
        <f>(('05 - 2020'!E11-'05 - 2020'!E10)+('05 - 2020'!F11-'05 - 2020'!F10)+('05 - 2020'!G11-'05 - 2020'!G10))*1.81</f>
        <v>17.810399999996971</v>
      </c>
      <c r="H5" s="23">
        <v>0.99</v>
      </c>
      <c r="I5" s="25">
        <f>'05 - 2020'!J11-'05 - 2020'!J10</f>
        <v>6070</v>
      </c>
      <c r="J5" s="23">
        <v>8.1000000000000003E-2</v>
      </c>
      <c r="K5" s="58">
        <f>'05 - 2020'!H11-'05 - 2020'!H10</f>
        <v>0</v>
      </c>
      <c r="L5" s="25">
        <f>'05 - 2020'!I11-'05 - 2020'!I10</f>
        <v>6</v>
      </c>
      <c r="M5" s="24">
        <v>4.3936294247669103</v>
      </c>
      <c r="N5" s="49">
        <v>0</v>
      </c>
    </row>
    <row r="6" spans="1:15" x14ac:dyDescent="0.25">
      <c r="A6" t="s">
        <v>27</v>
      </c>
      <c r="B6">
        <f t="shared" si="0"/>
        <v>5</v>
      </c>
      <c r="C6" s="23">
        <v>5</v>
      </c>
      <c r="D6" s="23">
        <v>2020</v>
      </c>
      <c r="E6" s="25">
        <f>'05 - 2020'!B12-'05 - 2020'!B11+'05 - 2020'!C12-'05 - 2020'!C11</f>
        <v>2311</v>
      </c>
      <c r="F6" s="23">
        <v>0.11799999999999999</v>
      </c>
      <c r="G6" s="25">
        <f>(('05 - 2020'!E12-'05 - 2020'!E11)+('05 - 2020'!F12-'05 - 2020'!F11)+('05 - 2020'!G12-'05 - 2020'!G11))*1.81</f>
        <v>17.919000000002633</v>
      </c>
      <c r="H6" s="23">
        <v>0.99</v>
      </c>
      <c r="I6" s="25">
        <f>'05 - 2020'!J12-'05 - 2020'!J11</f>
        <v>5468</v>
      </c>
      <c r="J6" s="23">
        <v>8.1000000000000003E-2</v>
      </c>
      <c r="K6" s="58">
        <f>'05 - 2020'!H12-'05 - 2020'!H11</f>
        <v>0</v>
      </c>
      <c r="L6" s="25">
        <f>'05 - 2020'!I12-'05 - 2020'!I11</f>
        <v>67</v>
      </c>
      <c r="M6" s="24">
        <v>4.3936294247669103</v>
      </c>
      <c r="N6" s="49">
        <v>0</v>
      </c>
    </row>
    <row r="7" spans="1:15" x14ac:dyDescent="0.25">
      <c r="A7" t="s">
        <v>27</v>
      </c>
      <c r="B7">
        <f t="shared" si="0"/>
        <v>6</v>
      </c>
      <c r="C7" s="23">
        <v>5</v>
      </c>
      <c r="D7" s="23">
        <v>2020</v>
      </c>
      <c r="E7" s="25">
        <f>'05 - 2020'!B13-'05 - 2020'!B12+'05 - 2020'!C13-'05 - 2020'!C12</f>
        <v>2232</v>
      </c>
      <c r="F7" s="23">
        <v>0.11799999999999999</v>
      </c>
      <c r="G7" s="25">
        <f>(('05 - 2020'!E13-'05 - 2020'!E12)+('05 - 2020'!F13-'05 - 2020'!F12)+('05 - 2020'!G13-'05 - 2020'!G12))*1.81</f>
        <v>17.882800000001843</v>
      </c>
      <c r="H7" s="23">
        <v>0.99</v>
      </c>
      <c r="I7" s="25">
        <f>'05 - 2020'!J13-'05 - 2020'!J12</f>
        <v>4989</v>
      </c>
      <c r="J7" s="23">
        <v>8.1000000000000003E-2</v>
      </c>
      <c r="K7" s="58">
        <f>'05 - 2020'!H13-'05 - 2020'!H12</f>
        <v>0</v>
      </c>
      <c r="L7" s="25">
        <f>'05 - 2020'!I13-'05 - 2020'!I12</f>
        <v>13</v>
      </c>
      <c r="M7" s="24">
        <v>4.3936294247669103</v>
      </c>
      <c r="N7" s="49">
        <v>0</v>
      </c>
    </row>
    <row r="8" spans="1:15" x14ac:dyDescent="0.25">
      <c r="A8" t="s">
        <v>27</v>
      </c>
      <c r="B8">
        <f t="shared" si="0"/>
        <v>7</v>
      </c>
      <c r="C8" s="23">
        <v>5</v>
      </c>
      <c r="D8" s="23">
        <v>2020</v>
      </c>
      <c r="E8" s="25">
        <v>0</v>
      </c>
      <c r="F8" s="23">
        <v>0.11799999999999999</v>
      </c>
      <c r="G8" s="25">
        <v>0</v>
      </c>
      <c r="H8" s="23">
        <v>0.99</v>
      </c>
      <c r="I8" s="25">
        <v>0</v>
      </c>
      <c r="J8" s="23">
        <v>8.1000000000000003E-2</v>
      </c>
      <c r="K8" s="58">
        <v>0</v>
      </c>
      <c r="L8" s="25">
        <v>0</v>
      </c>
      <c r="M8" s="24">
        <v>4.3936294247669103</v>
      </c>
      <c r="N8" s="49"/>
      <c r="O8" s="25"/>
    </row>
    <row r="9" spans="1:15" x14ac:dyDescent="0.25">
      <c r="A9" t="s">
        <v>27</v>
      </c>
      <c r="B9">
        <f t="shared" si="0"/>
        <v>8</v>
      </c>
      <c r="C9" s="23">
        <v>5</v>
      </c>
      <c r="D9" s="23">
        <v>2020</v>
      </c>
      <c r="E9" s="25">
        <f>'05 - 2020'!B15-'05 - 2020'!B14+'05 - 2020'!C15-'05 - 2020'!C14</f>
        <v>0</v>
      </c>
      <c r="F9" s="23">
        <v>0.11799999999999999</v>
      </c>
      <c r="G9" s="25">
        <f>(('05 - 2020'!E15-'05 - 2020'!E14)+('05 - 2020'!F15-'05 - 2020'!F14)+('05 - 2020'!G15-'05 - 2020'!G14))*1.81</f>
        <v>0</v>
      </c>
      <c r="H9" s="23">
        <v>0.99</v>
      </c>
      <c r="I9" s="25">
        <f>'05 - 2020'!J15-'05 - 2020'!J14</f>
        <v>0</v>
      </c>
      <c r="J9" s="23">
        <v>8.1000000000000003E-2</v>
      </c>
      <c r="K9" s="58">
        <f>'05 - 2020'!H15-'05 - 2020'!H14</f>
        <v>0</v>
      </c>
      <c r="L9" s="25">
        <f>'05 - 2020'!I15-'05 - 2020'!I14</f>
        <v>0</v>
      </c>
      <c r="M9" s="24">
        <v>4.3936294247669103</v>
      </c>
      <c r="N9" s="49"/>
    </row>
    <row r="10" spans="1:15" x14ac:dyDescent="0.25">
      <c r="A10" t="s">
        <v>27</v>
      </c>
      <c r="B10">
        <f t="shared" si="0"/>
        <v>9</v>
      </c>
      <c r="C10" s="23">
        <v>5</v>
      </c>
      <c r="D10" s="23">
        <v>2020</v>
      </c>
      <c r="E10" s="25">
        <f>'05 - 2020'!B16-'05 - 2020'!B15+'05 - 2020'!C16-'05 - 2020'!C15</f>
        <v>0</v>
      </c>
      <c r="F10" s="23">
        <v>0.11799999999999999</v>
      </c>
      <c r="G10" s="25">
        <f>(('05 - 2020'!E16-'05 - 2020'!E15)+('05 - 2020'!F16-'05 - 2020'!F15)+('05 - 2020'!G16-'05 - 2020'!G15))*1.81</f>
        <v>0</v>
      </c>
      <c r="H10" s="23">
        <v>0.99</v>
      </c>
      <c r="I10" s="25">
        <f>'05 - 2020'!J16-'05 - 2020'!J15</f>
        <v>0</v>
      </c>
      <c r="J10" s="23">
        <v>8.1000000000000003E-2</v>
      </c>
      <c r="K10" s="58">
        <f>'05 - 2020'!H16-'05 - 2020'!H15</f>
        <v>0</v>
      </c>
      <c r="L10" s="25">
        <f>'05 - 2020'!I16-'05 - 2020'!I15</f>
        <v>0</v>
      </c>
      <c r="M10" s="24">
        <v>4.3936294247669103</v>
      </c>
      <c r="N10" s="49"/>
    </row>
    <row r="11" spans="1:15" x14ac:dyDescent="0.25">
      <c r="A11" t="s">
        <v>27</v>
      </c>
      <c r="B11">
        <f t="shared" si="0"/>
        <v>10</v>
      </c>
      <c r="C11" s="23">
        <v>5</v>
      </c>
      <c r="D11" s="23">
        <v>2020</v>
      </c>
      <c r="E11" s="25">
        <f>'05 - 2020'!B17-'05 - 2020'!B16+'05 - 2020'!C17-'05 - 2020'!C16</f>
        <v>0</v>
      </c>
      <c r="F11" s="23">
        <v>0.11799999999999999</v>
      </c>
      <c r="G11" s="25">
        <f>(('05 - 2020'!E17-'05 - 2020'!E16)+('05 - 2020'!F17-'05 - 2020'!F16)+('05 - 2020'!G17-'05 - 2020'!G16))*1.81</f>
        <v>0</v>
      </c>
      <c r="H11" s="23">
        <v>0.99</v>
      </c>
      <c r="I11" s="25">
        <f>'05 - 2020'!J17-'05 - 2020'!J16</f>
        <v>0</v>
      </c>
      <c r="J11" s="23">
        <v>8.1000000000000003E-2</v>
      </c>
      <c r="K11" s="58">
        <f>'05 - 2020'!H17-'05 - 2020'!H16</f>
        <v>0</v>
      </c>
      <c r="L11" s="25">
        <f>'05 - 2020'!I17-'05 - 2020'!I16</f>
        <v>0</v>
      </c>
      <c r="M11" s="24">
        <v>4.3936294247669103</v>
      </c>
      <c r="N11" s="49"/>
    </row>
    <row r="12" spans="1:15" x14ac:dyDescent="0.25">
      <c r="A12" t="s">
        <v>27</v>
      </c>
      <c r="B12">
        <f t="shared" si="0"/>
        <v>11</v>
      </c>
      <c r="C12" s="23">
        <v>5</v>
      </c>
      <c r="D12" s="23">
        <v>2020</v>
      </c>
      <c r="E12" s="25">
        <f>'05 - 2020'!B18-'05 - 2020'!B17+'05 - 2020'!C18-'05 - 2020'!C17</f>
        <v>0</v>
      </c>
      <c r="F12" s="23">
        <v>0.11799999999999999</v>
      </c>
      <c r="G12" s="25">
        <f>(('05 - 2020'!E18-'05 - 2020'!E17)+('05 - 2020'!F18-'05 - 2020'!F17)+('05 - 2020'!G18-'05 - 2020'!G17))*1.81</f>
        <v>0</v>
      </c>
      <c r="H12" s="23">
        <v>0.99</v>
      </c>
      <c r="I12" s="25">
        <f>'05 - 2020'!J18-'05 - 2020'!J17</f>
        <v>0</v>
      </c>
      <c r="J12" s="23">
        <v>8.1000000000000003E-2</v>
      </c>
      <c r="K12" s="58">
        <f>'05 - 2020'!H18-'05 - 2020'!H17</f>
        <v>0</v>
      </c>
      <c r="L12" s="25">
        <f>'05 - 2020'!I18-'05 - 2020'!I17</f>
        <v>0</v>
      </c>
      <c r="M12" s="24">
        <v>4.3936294247669103</v>
      </c>
      <c r="N12" s="25"/>
    </row>
    <row r="13" spans="1:15" x14ac:dyDescent="0.25">
      <c r="A13" t="s">
        <v>27</v>
      </c>
      <c r="B13">
        <f t="shared" si="0"/>
        <v>12</v>
      </c>
      <c r="C13" s="23">
        <v>5</v>
      </c>
      <c r="D13" s="23">
        <v>2020</v>
      </c>
      <c r="E13" s="25">
        <f>'05 - 2020'!B19-'05 - 2020'!B18+'05 - 2020'!C19-'05 - 2020'!C18</f>
        <v>0</v>
      </c>
      <c r="F13" s="23">
        <v>0.11799999999999999</v>
      </c>
      <c r="G13" s="25">
        <f>(('05 - 2020'!E19-'05 - 2020'!E18)+('05 - 2020'!F19-'05 - 2020'!F18)+('05 - 2020'!G19-'05 - 2020'!G18))*1.81</f>
        <v>0</v>
      </c>
      <c r="H13" s="23">
        <v>0.99</v>
      </c>
      <c r="I13" s="25">
        <f>'05 - 2020'!J19-'05 - 2020'!J18</f>
        <v>0</v>
      </c>
      <c r="J13" s="23">
        <v>8.1000000000000003E-2</v>
      </c>
      <c r="K13" s="58">
        <f>'05 - 2020'!H19-'05 - 2020'!H18</f>
        <v>0</v>
      </c>
      <c r="L13" s="25">
        <f>'05 - 2020'!I19-'05 - 2020'!I18</f>
        <v>0</v>
      </c>
      <c r="M13" s="24">
        <v>4.3936294247669103</v>
      </c>
      <c r="N13" s="25"/>
    </row>
    <row r="14" spans="1:15" x14ac:dyDescent="0.25">
      <c r="A14" t="s">
        <v>27</v>
      </c>
      <c r="B14">
        <f t="shared" si="0"/>
        <v>13</v>
      </c>
      <c r="C14" s="23">
        <v>5</v>
      </c>
      <c r="D14" s="23">
        <v>2020</v>
      </c>
      <c r="E14" s="25">
        <f>'05 - 2020'!B20-'05 - 2020'!B19+'05 - 2020'!C20-'05 - 2020'!C19</f>
        <v>0</v>
      </c>
      <c r="F14" s="23">
        <v>0.11799999999999999</v>
      </c>
      <c r="G14" s="25">
        <f>(('05 - 2020'!E20-'05 - 2020'!E19)+('05 - 2020'!F20-'05 - 2020'!F19)+('05 - 2020'!G20-'05 - 2020'!G19))*1.81</f>
        <v>0</v>
      </c>
      <c r="H14" s="23">
        <v>0.99</v>
      </c>
      <c r="I14" s="25">
        <f>'05 - 2020'!J20-'05 - 2020'!J19</f>
        <v>0</v>
      </c>
      <c r="J14" s="23">
        <v>8.1000000000000003E-2</v>
      </c>
      <c r="K14" s="58">
        <f>'05 - 2020'!H20-'05 - 2020'!H19</f>
        <v>0</v>
      </c>
      <c r="L14" s="25">
        <f>'05 - 2020'!I20-'05 - 2020'!I19</f>
        <v>0</v>
      </c>
      <c r="M14" s="24">
        <v>4.3936294247669103</v>
      </c>
      <c r="N14" s="25"/>
      <c r="O14" s="25"/>
    </row>
    <row r="15" spans="1:15" x14ac:dyDescent="0.25">
      <c r="A15" t="s">
        <v>27</v>
      </c>
      <c r="B15">
        <f t="shared" si="0"/>
        <v>14</v>
      </c>
      <c r="C15" s="23">
        <v>5</v>
      </c>
      <c r="D15" s="23">
        <v>2020</v>
      </c>
      <c r="E15" s="25">
        <f>'05 - 2020'!B21-'05 - 2020'!B20+'05 - 2020'!C21-'05 - 2020'!C20</f>
        <v>0</v>
      </c>
      <c r="F15" s="23">
        <v>0.11799999999999999</v>
      </c>
      <c r="G15" s="25">
        <f>(('05 - 2020'!E21-'05 - 2020'!E20)+('05 - 2020'!F21-'05 - 2020'!F20)+('05 - 2020'!G21-'05 - 2020'!G20))*1.81</f>
        <v>0</v>
      </c>
      <c r="H15" s="23">
        <v>0.99</v>
      </c>
      <c r="I15" s="25">
        <f>'05 - 2020'!J21-'05 - 2020'!J20</f>
        <v>0</v>
      </c>
      <c r="J15" s="23">
        <v>8.1000000000000003E-2</v>
      </c>
      <c r="K15" s="58">
        <f>'05 - 2020'!H21-'05 - 2020'!H20</f>
        <v>0</v>
      </c>
      <c r="L15" s="25">
        <f>'05 - 2020'!I21-'05 - 2020'!I20</f>
        <v>0</v>
      </c>
      <c r="M15" s="24">
        <v>4.3936294247669103</v>
      </c>
      <c r="N15" s="25"/>
    </row>
    <row r="16" spans="1:15" x14ac:dyDescent="0.25">
      <c r="A16" t="s">
        <v>27</v>
      </c>
      <c r="B16">
        <f t="shared" si="0"/>
        <v>15</v>
      </c>
      <c r="C16" s="23">
        <v>5</v>
      </c>
      <c r="D16" s="23">
        <v>2020</v>
      </c>
      <c r="E16" s="25">
        <f>'05 - 2020'!B22-'05 - 2020'!B21+'05 - 2020'!C22-'05 - 2020'!C21</f>
        <v>0</v>
      </c>
      <c r="F16" s="23">
        <v>0.11799999999999999</v>
      </c>
      <c r="G16" s="25">
        <f>(('05 - 2020'!E22-'05 - 2020'!E21)+('05 - 2020'!F22-'05 - 2020'!F21)+('05 - 2020'!G22-'05 - 2020'!G21))*1.81</f>
        <v>0</v>
      </c>
      <c r="H16" s="23">
        <v>0.99</v>
      </c>
      <c r="I16" s="25">
        <f>'05 - 2020'!J22-'05 - 2020'!J21</f>
        <v>0</v>
      </c>
      <c r="J16" s="23">
        <v>8.1000000000000003E-2</v>
      </c>
      <c r="K16" s="58">
        <f>'05 - 2020'!H22-'05 - 2020'!H21</f>
        <v>0</v>
      </c>
      <c r="L16" s="25">
        <f>'05 - 2020'!I22-'05 - 2020'!I21</f>
        <v>0</v>
      </c>
      <c r="M16" s="24">
        <v>4.3936294247669103</v>
      </c>
      <c r="N16" s="25"/>
    </row>
    <row r="17" spans="1:16" x14ac:dyDescent="0.25">
      <c r="A17" t="s">
        <v>27</v>
      </c>
      <c r="B17">
        <f t="shared" si="0"/>
        <v>16</v>
      </c>
      <c r="C17" s="23">
        <v>5</v>
      </c>
      <c r="D17" s="23">
        <v>2020</v>
      </c>
      <c r="E17" s="25">
        <f>'05 - 2020'!B23-'05 - 2020'!B22+'05 - 2020'!C23-'05 - 2020'!C22</f>
        <v>0</v>
      </c>
      <c r="F17" s="23">
        <v>0.11799999999999999</v>
      </c>
      <c r="G17" s="25">
        <f>(('05 - 2020'!E23-'05 - 2020'!E22)+('05 - 2020'!F23-'05 - 2020'!F22)+('05 - 2020'!G23-'05 - 2020'!G22))*1.81</f>
        <v>0</v>
      </c>
      <c r="H17" s="23">
        <v>0.99</v>
      </c>
      <c r="I17" s="25">
        <f>'05 - 2020'!J23-'05 - 2020'!J22</f>
        <v>0</v>
      </c>
      <c r="J17" s="23">
        <v>8.1000000000000003E-2</v>
      </c>
      <c r="K17" s="58">
        <f>'05 - 2020'!H23-'05 - 2020'!H22</f>
        <v>0</v>
      </c>
      <c r="L17" s="25">
        <f>'05 - 2020'!I23-'05 - 2020'!I22</f>
        <v>0</v>
      </c>
      <c r="M17" s="24">
        <v>4.3936294247669103</v>
      </c>
      <c r="N17" s="50"/>
    </row>
    <row r="18" spans="1:16" x14ac:dyDescent="0.25">
      <c r="A18" t="s">
        <v>27</v>
      </c>
      <c r="B18">
        <f t="shared" si="0"/>
        <v>17</v>
      </c>
      <c r="C18" s="23">
        <v>5</v>
      </c>
      <c r="D18" s="23">
        <v>2020</v>
      </c>
      <c r="E18" s="25">
        <f>'05 - 2020'!B24-'05 - 2020'!B23+'05 - 2020'!C24-'05 - 2020'!C23</f>
        <v>0</v>
      </c>
      <c r="F18" s="23">
        <v>0.11799999999999999</v>
      </c>
      <c r="G18" s="25">
        <f>(('05 - 2020'!E24-'05 - 2020'!E23)+('05 - 2020'!F24-'05 - 2020'!F23)+('05 - 2020'!G24-'05 - 2020'!G23))*1.81</f>
        <v>0</v>
      </c>
      <c r="H18" s="23">
        <v>0.99</v>
      </c>
      <c r="I18" s="25">
        <f>'05 - 2020'!J24-'05 - 2020'!J23</f>
        <v>0</v>
      </c>
      <c r="J18" s="23">
        <v>8.1000000000000003E-2</v>
      </c>
      <c r="K18" s="58">
        <f>'05 - 2020'!H24-'05 - 2020'!H23</f>
        <v>0</v>
      </c>
      <c r="L18" s="25">
        <f>'05 - 2020'!I24-'05 - 2020'!I23</f>
        <v>0</v>
      </c>
      <c r="M18" s="24">
        <v>4.3936294247669103</v>
      </c>
      <c r="N18" s="50"/>
    </row>
    <row r="19" spans="1:16" x14ac:dyDescent="0.25">
      <c r="A19" t="s">
        <v>27</v>
      </c>
      <c r="B19">
        <f>B18+1</f>
        <v>18</v>
      </c>
      <c r="C19" s="23">
        <v>5</v>
      </c>
      <c r="D19" s="23">
        <v>2020</v>
      </c>
      <c r="E19" s="25">
        <f>'05 - 2020'!B25-'05 - 2020'!B24+'05 - 2020'!C25-'05 - 2020'!C24</f>
        <v>0</v>
      </c>
      <c r="F19" s="23">
        <v>0.11799999999999999</v>
      </c>
      <c r="G19" s="25">
        <f>(('05 - 2020'!E25-'05 - 2020'!E24)+('05 - 2020'!F25-'05 - 2020'!F24)+('05 - 2020'!G25-'05 - 2020'!G24))*1.81</f>
        <v>0</v>
      </c>
      <c r="H19" s="23">
        <v>0.99</v>
      </c>
      <c r="I19" s="25">
        <f>'05 - 2020'!J25-'05 - 2020'!J24</f>
        <v>0</v>
      </c>
      <c r="J19" s="23">
        <v>8.1000000000000003E-2</v>
      </c>
      <c r="K19" s="58">
        <f>'05 - 2020'!H25-'05 - 2020'!H24</f>
        <v>0</v>
      </c>
      <c r="L19" s="25">
        <f>'05 - 2020'!I25-'05 - 2020'!I24</f>
        <v>0</v>
      </c>
      <c r="M19" s="24">
        <v>4.3936294247669103</v>
      </c>
      <c r="N19" s="50"/>
    </row>
    <row r="20" spans="1:16" x14ac:dyDescent="0.25">
      <c r="A20" t="s">
        <v>27</v>
      </c>
      <c r="B20">
        <f t="shared" si="0"/>
        <v>19</v>
      </c>
      <c r="C20" s="23">
        <v>5</v>
      </c>
      <c r="D20" s="23">
        <v>2020</v>
      </c>
      <c r="E20" s="25">
        <f>'05 - 2020'!B26-'05 - 2020'!B25+'05 - 2020'!C26-'05 - 2020'!C25</f>
        <v>0</v>
      </c>
      <c r="F20" s="23">
        <v>0.11799999999999999</v>
      </c>
      <c r="G20" s="25">
        <f>(('05 - 2020'!E26-'05 - 2020'!E25)+('05 - 2020'!F26-'05 - 2020'!F25)+('05 - 2020'!G26-'05 - 2020'!G25))*1.81</f>
        <v>0</v>
      </c>
      <c r="H20" s="23">
        <v>0.99</v>
      </c>
      <c r="I20" s="25">
        <f>'05 - 2020'!J26-'05 - 2020'!J25</f>
        <v>0</v>
      </c>
      <c r="J20" s="23">
        <v>8.1000000000000003E-2</v>
      </c>
      <c r="K20" s="58">
        <f>'05 - 2020'!H26-'05 - 2020'!H25</f>
        <v>0</v>
      </c>
      <c r="L20" s="25">
        <f>'05 - 2020'!I26-'05 - 2020'!I25</f>
        <v>0</v>
      </c>
      <c r="M20" s="24">
        <v>4.3936294247669103</v>
      </c>
      <c r="N20" s="50"/>
    </row>
    <row r="21" spans="1:16" x14ac:dyDescent="0.25">
      <c r="A21" t="s">
        <v>27</v>
      </c>
      <c r="B21">
        <f t="shared" si="0"/>
        <v>20</v>
      </c>
      <c r="C21" s="23">
        <v>5</v>
      </c>
      <c r="D21" s="23">
        <v>2020</v>
      </c>
      <c r="E21" s="25">
        <f>'05 - 2020'!B27-'05 - 2020'!B26+'05 - 2020'!C27-'05 - 2020'!C26</f>
        <v>0</v>
      </c>
      <c r="F21" s="23">
        <v>0.11799999999999999</v>
      </c>
      <c r="G21" s="25">
        <f>(('05 - 2020'!E27-'05 - 2020'!E26)+('05 - 2020'!F27-'05 - 2020'!F26)+('05 - 2020'!G27-'05 - 2020'!G26))*1.81</f>
        <v>0</v>
      </c>
      <c r="H21" s="23">
        <v>0.99</v>
      </c>
      <c r="I21" s="25">
        <f>'05 - 2020'!J27-'05 - 2020'!J26</f>
        <v>0</v>
      </c>
      <c r="J21" s="23">
        <v>8.1000000000000003E-2</v>
      </c>
      <c r="K21" s="58">
        <f>'05 - 2020'!H27-'05 - 2020'!H26</f>
        <v>0</v>
      </c>
      <c r="L21" s="25">
        <f>'05 - 2020'!I27-'05 - 2020'!I26</f>
        <v>0</v>
      </c>
      <c r="M21" s="24">
        <v>4.3936294247669103</v>
      </c>
      <c r="N21" s="50"/>
    </row>
    <row r="22" spans="1:16" x14ac:dyDescent="0.25">
      <c r="A22" t="s">
        <v>27</v>
      </c>
      <c r="B22">
        <f t="shared" si="0"/>
        <v>21</v>
      </c>
      <c r="C22" s="23">
        <v>5</v>
      </c>
      <c r="D22" s="23">
        <v>2020</v>
      </c>
      <c r="E22" s="25">
        <f>'05 - 2020'!B28-'05 - 2020'!B27+'05 - 2020'!C28-'05 - 2020'!C27</f>
        <v>0</v>
      </c>
      <c r="F22" s="23">
        <v>0.11799999999999999</v>
      </c>
      <c r="G22" s="25">
        <f>(('05 - 2020'!E28-'05 - 2020'!E27)+('05 - 2020'!F28-'05 - 2020'!F27)+('05 - 2020'!G28-'05 - 2020'!G27))*1.81</f>
        <v>0</v>
      </c>
      <c r="H22" s="23">
        <v>0.99</v>
      </c>
      <c r="I22" s="25">
        <f>'05 - 2020'!J28-'05 - 2020'!J27</f>
        <v>0</v>
      </c>
      <c r="J22" s="23">
        <v>8.1000000000000003E-2</v>
      </c>
      <c r="K22" s="58">
        <f>'05 - 2020'!H28-'05 - 2020'!H27</f>
        <v>0</v>
      </c>
      <c r="L22" s="25">
        <f>'05 - 2020'!I28-'05 - 2020'!I27</f>
        <v>0</v>
      </c>
      <c r="M22" s="24">
        <v>4.3936294247669103</v>
      </c>
      <c r="N22" s="50"/>
    </row>
    <row r="23" spans="1:16" x14ac:dyDescent="0.25">
      <c r="A23" t="s">
        <v>27</v>
      </c>
      <c r="B23">
        <f t="shared" si="0"/>
        <v>22</v>
      </c>
      <c r="C23" s="23">
        <v>5</v>
      </c>
      <c r="D23" s="23">
        <v>2020</v>
      </c>
      <c r="E23" s="25">
        <f>'05 - 2020'!B29-'05 - 2020'!B28+'05 - 2020'!C29-'05 - 2020'!C28</f>
        <v>0</v>
      </c>
      <c r="F23" s="23">
        <v>0.11799999999999999</v>
      </c>
      <c r="G23" s="25">
        <f>(('05 - 2020'!E29-'05 - 2020'!E28)+('05 - 2020'!F29-'05 - 2020'!F28)+('05 - 2020'!G29-'05 - 2020'!G28))*1.81</f>
        <v>0</v>
      </c>
      <c r="H23" s="23">
        <v>0.99</v>
      </c>
      <c r="I23" s="25">
        <f>'05 - 2020'!J29-'05 - 2020'!J28</f>
        <v>0</v>
      </c>
      <c r="J23" s="23">
        <v>8.1000000000000003E-2</v>
      </c>
      <c r="K23" s="58">
        <f>'05 - 2020'!H29-'05 - 2020'!H28</f>
        <v>0</v>
      </c>
      <c r="L23" s="25">
        <f>'05 - 2020'!I29-'05 - 2020'!I28</f>
        <v>0</v>
      </c>
      <c r="M23" s="24">
        <v>4.3936294247669103</v>
      </c>
      <c r="N23" s="50"/>
    </row>
    <row r="24" spans="1:16" x14ac:dyDescent="0.25">
      <c r="A24" t="s">
        <v>27</v>
      </c>
      <c r="B24">
        <f t="shared" si="0"/>
        <v>23</v>
      </c>
      <c r="C24" s="23">
        <v>5</v>
      </c>
      <c r="D24" s="23">
        <v>2020</v>
      </c>
      <c r="E24" s="25">
        <f>'05 - 2020'!B30-'05 - 2020'!B29+'05 - 2020'!C30-'05 - 2020'!C29</f>
        <v>0</v>
      </c>
      <c r="F24" s="23">
        <v>0.11799999999999999</v>
      </c>
      <c r="G24" s="25">
        <f>(('05 - 2020'!E30-'05 - 2020'!E29)+('05 - 2020'!F30-'05 - 2020'!F29)+('05 - 2020'!G30-'05 - 2020'!G29))*1.81</f>
        <v>0</v>
      </c>
      <c r="H24" s="23">
        <v>0.99</v>
      </c>
      <c r="I24" s="25">
        <f>'05 - 2020'!J30-'05 - 2020'!J29</f>
        <v>0</v>
      </c>
      <c r="J24" s="23">
        <v>8.1000000000000003E-2</v>
      </c>
      <c r="K24" s="58">
        <f>'05 - 2020'!H30-'05 - 2020'!H29</f>
        <v>0</v>
      </c>
      <c r="L24" s="25">
        <f>'05 - 2020'!I30-'05 - 2020'!I29</f>
        <v>0</v>
      </c>
      <c r="M24" s="24">
        <v>4.3936294247669103</v>
      </c>
      <c r="N24" s="50"/>
    </row>
    <row r="25" spans="1:16" x14ac:dyDescent="0.25">
      <c r="A25" t="s">
        <v>27</v>
      </c>
      <c r="B25">
        <f t="shared" si="0"/>
        <v>24</v>
      </c>
      <c r="C25" s="23">
        <v>5</v>
      </c>
      <c r="D25" s="23">
        <v>2020</v>
      </c>
      <c r="E25" s="25">
        <f>'05 - 2020'!B31-'05 - 2020'!B30+'05 - 2020'!C31-'05 - 2020'!C30</f>
        <v>0</v>
      </c>
      <c r="F25" s="23">
        <v>0.11799999999999999</v>
      </c>
      <c r="G25" s="25">
        <f>(('05 - 2020'!E31-'05 - 2020'!E30)+('05 - 2020'!F31-'05 - 2020'!F30)+('05 - 2020'!G31-'05 - 2020'!G30))*1.81</f>
        <v>0</v>
      </c>
      <c r="H25" s="23">
        <v>0.99</v>
      </c>
      <c r="I25" s="25">
        <f>'05 - 2020'!J31-'05 - 2020'!J30</f>
        <v>0</v>
      </c>
      <c r="J25" s="23">
        <v>8.1000000000000003E-2</v>
      </c>
      <c r="K25" s="58">
        <f>'05 - 2020'!H31-'05 - 2020'!H30</f>
        <v>0</v>
      </c>
      <c r="L25" s="25">
        <f>'05 - 2020'!I31-'05 - 2020'!I30</f>
        <v>0</v>
      </c>
      <c r="M25" s="24">
        <v>4.3936294247669103</v>
      </c>
      <c r="N25" s="50"/>
      <c r="P25" s="14"/>
    </row>
    <row r="26" spans="1:16" x14ac:dyDescent="0.25">
      <c r="A26" t="s">
        <v>27</v>
      </c>
      <c r="B26">
        <f>B25+1</f>
        <v>25</v>
      </c>
      <c r="C26" s="23">
        <v>5</v>
      </c>
      <c r="D26" s="23">
        <v>2020</v>
      </c>
      <c r="E26" s="25">
        <f>'05 - 2020'!B32-'05 - 2020'!B31+'05 - 2020'!C32-'05 - 2020'!C31</f>
        <v>0</v>
      </c>
      <c r="F26" s="23">
        <v>0.11799999999999999</v>
      </c>
      <c r="G26" s="25">
        <f>(('05 - 2020'!E32-'05 - 2020'!E31)+('05 - 2020'!F32-'05 - 2020'!F31)+('05 - 2020'!G32-'05 - 2020'!G31))*1.81</f>
        <v>0</v>
      </c>
      <c r="H26" s="23">
        <v>0.99</v>
      </c>
      <c r="I26" s="25">
        <f>'05 - 2020'!J32-'05 - 2020'!J31</f>
        <v>0</v>
      </c>
      <c r="J26" s="23">
        <v>8.1000000000000003E-2</v>
      </c>
      <c r="K26" s="58">
        <f>'05 - 2020'!H32-'05 - 2020'!H31</f>
        <v>0</v>
      </c>
      <c r="L26" s="25">
        <f>'05 - 2020'!I32-'05 - 2020'!I31</f>
        <v>0</v>
      </c>
      <c r="M26" s="24">
        <v>4.3936294247669103</v>
      </c>
      <c r="N26" s="50"/>
    </row>
    <row r="27" spans="1:16" x14ac:dyDescent="0.25">
      <c r="A27" t="s">
        <v>27</v>
      </c>
      <c r="B27">
        <f t="shared" si="0"/>
        <v>26</v>
      </c>
      <c r="C27" s="23">
        <v>5</v>
      </c>
      <c r="D27" s="23">
        <v>2020</v>
      </c>
      <c r="E27" s="25">
        <f>'05 - 2020'!B33-'05 - 2020'!B32+'05 - 2020'!C33-'05 - 2020'!C32</f>
        <v>0</v>
      </c>
      <c r="F27" s="23">
        <v>0.11799999999999999</v>
      </c>
      <c r="G27" s="25">
        <f>(('05 - 2020'!E33-'05 - 2020'!E32)+('05 - 2020'!F33-'05 - 2020'!F32)+('05 - 2020'!G33-'05 - 2020'!G32))*1.81</f>
        <v>0</v>
      </c>
      <c r="H27" s="23">
        <v>0.99</v>
      </c>
      <c r="I27" s="25">
        <f>'05 - 2020'!J33-'05 - 2020'!J32</f>
        <v>0</v>
      </c>
      <c r="J27" s="23">
        <v>8.1000000000000003E-2</v>
      </c>
      <c r="K27" s="58">
        <f>'05 - 2020'!H33-'05 - 2020'!H32</f>
        <v>0</v>
      </c>
      <c r="L27" s="25">
        <f>'05 - 2020'!I33-'05 - 2020'!I32</f>
        <v>0</v>
      </c>
      <c r="M27" s="24">
        <v>4.3936294247669103</v>
      </c>
      <c r="N27" s="50"/>
    </row>
    <row r="28" spans="1:16" x14ac:dyDescent="0.25">
      <c r="A28" t="s">
        <v>27</v>
      </c>
      <c r="B28">
        <f t="shared" si="0"/>
        <v>27</v>
      </c>
      <c r="C28" s="23">
        <v>5</v>
      </c>
      <c r="D28" s="23">
        <v>2020</v>
      </c>
      <c r="E28" s="25">
        <f>'05 - 2020'!B34-'05 - 2020'!B33+'05 - 2020'!C34-'05 - 2020'!C33</f>
        <v>0</v>
      </c>
      <c r="F28" s="23">
        <v>0.11799999999999999</v>
      </c>
      <c r="G28" s="25">
        <f>(('05 - 2020'!E34-'05 - 2020'!E33)+('05 - 2020'!F34-'05 - 2020'!F33)+('05 - 2020'!G34-'05 - 2020'!G33))*1.81</f>
        <v>0</v>
      </c>
      <c r="H28" s="23">
        <v>0.99</v>
      </c>
      <c r="I28" s="25">
        <f>'05 - 2020'!J34-'05 - 2020'!J33</f>
        <v>0</v>
      </c>
      <c r="J28" s="23">
        <v>8.1000000000000003E-2</v>
      </c>
      <c r="K28" s="58">
        <f>'05 - 2020'!H34-'05 - 2020'!H33</f>
        <v>0</v>
      </c>
      <c r="L28" s="25">
        <f>'05 - 2020'!I34-'05 - 2020'!I33</f>
        <v>0</v>
      </c>
      <c r="M28" s="24">
        <v>4.3936294247669103</v>
      </c>
      <c r="N28" s="50"/>
    </row>
    <row r="29" spans="1:16" x14ac:dyDescent="0.25">
      <c r="A29" t="s">
        <v>27</v>
      </c>
      <c r="B29">
        <f t="shared" si="0"/>
        <v>28</v>
      </c>
      <c r="C29" s="23">
        <v>5</v>
      </c>
      <c r="D29" s="23">
        <v>2020</v>
      </c>
      <c r="E29" s="25">
        <f>'05 - 2020'!B35-'05 - 2020'!B34+'05 - 2020'!C35-'05 - 2020'!C34</f>
        <v>0</v>
      </c>
      <c r="F29" s="23">
        <v>0.11799999999999999</v>
      </c>
      <c r="G29" s="25">
        <f>(('05 - 2020'!E35-'05 - 2020'!E34)+('05 - 2020'!F35-'05 - 2020'!F34)+('05 - 2020'!G35-'05 - 2020'!G34))*1.81</f>
        <v>0</v>
      </c>
      <c r="H29" s="23">
        <v>0.99</v>
      </c>
      <c r="I29" s="25">
        <f>'05 - 2020'!J35-'05 - 2020'!J34</f>
        <v>0</v>
      </c>
      <c r="J29" s="23">
        <v>8.1000000000000003E-2</v>
      </c>
      <c r="K29" s="58">
        <f>'05 - 2020'!H35-'05 - 2020'!H34</f>
        <v>0</v>
      </c>
      <c r="L29" s="25">
        <f>'05 - 2020'!I35-'05 - 2020'!I34</f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5</v>
      </c>
      <c r="D30" s="23">
        <v>2020</v>
      </c>
      <c r="E30" s="25">
        <f>'05 - 2020'!B36-'05 - 2020'!B35+'05 - 2020'!C36-'05 - 2020'!C35</f>
        <v>0</v>
      </c>
      <c r="F30" s="23">
        <v>0.11799999999999999</v>
      </c>
      <c r="G30" s="25">
        <f>(('05 - 2020'!E36-'05 - 2020'!E35)+('05 - 2020'!F36-'05 - 2020'!F35)+('05 - 2020'!G36-'05 - 2020'!G35))*1.81</f>
        <v>0</v>
      </c>
      <c r="H30" s="23">
        <v>0.99</v>
      </c>
      <c r="I30" s="25">
        <f>'05 - 2020'!J36-'05 - 2020'!J35</f>
        <v>0</v>
      </c>
      <c r="J30" s="23">
        <v>8.1000000000000003E-2</v>
      </c>
      <c r="K30" s="58">
        <f>'05 - 2020'!H36-'05 - 2020'!H35</f>
        <v>0</v>
      </c>
      <c r="L30" s="25">
        <f>'05 - 2020'!I36-'05 - 2020'!I35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5</v>
      </c>
      <c r="D31" s="23">
        <v>2020</v>
      </c>
      <c r="E31" s="25">
        <f>'05 - 2020'!B37-'05 - 2020'!B36+'05 - 2020'!C37-'05 - 2020'!C36</f>
        <v>0</v>
      </c>
      <c r="F31" s="23">
        <v>0.11799999999999999</v>
      </c>
      <c r="G31" s="25">
        <f>(('05 - 2020'!E37-'05 - 2020'!E36)+('05 - 2020'!F37-'05 - 2020'!F36)+('05 - 2020'!G37-'05 - 2020'!G36))*1.81</f>
        <v>0</v>
      </c>
      <c r="H31" s="23">
        <v>0.99</v>
      </c>
      <c r="I31" s="25">
        <f>'05 - 2020'!J37-'05 - 2020'!J36</f>
        <v>0</v>
      </c>
      <c r="J31" s="23">
        <v>8.1000000000000003E-2</v>
      </c>
      <c r="K31" s="58">
        <f>'05 - 2020'!H37-'05 - 2020'!H36</f>
        <v>0</v>
      </c>
      <c r="L31" s="25">
        <f>'05 - 2020'!I37-'05 - 2020'!I36</f>
        <v>0</v>
      </c>
      <c r="M31" s="24">
        <v>4.3936294247669103</v>
      </c>
    </row>
    <row r="32" spans="1:16" x14ac:dyDescent="0.25">
      <c r="A32" s="23" t="s">
        <v>27</v>
      </c>
      <c r="B32" s="23">
        <f>B31+1</f>
        <v>31</v>
      </c>
      <c r="C32" s="23">
        <v>5</v>
      </c>
      <c r="D32" s="23">
        <v>2020</v>
      </c>
      <c r="E32" s="25">
        <f>'05 - 2020'!B38-'05 - 2020'!B37+'05 - 2020'!C38-'05 - 2020'!C37</f>
        <v>0</v>
      </c>
      <c r="F32" s="23">
        <v>0.11799999999999999</v>
      </c>
      <c r="G32" s="25">
        <f>(('05 - 2020'!E38-'05 - 2020'!E37)+('05 - 2020'!F38-'05 - 2020'!F37)+('05 - 2020'!G38-'05 - 2020'!G37))*1.81</f>
        <v>0</v>
      </c>
      <c r="H32" s="23">
        <v>0.99</v>
      </c>
      <c r="I32" s="25">
        <f>'05 - 2020'!J38-'05 - 2020'!J37</f>
        <v>0</v>
      </c>
      <c r="J32" s="23">
        <v>8.1000000000000003E-2</v>
      </c>
      <c r="K32" s="58">
        <f>'05 - 2020'!H38-'05 - 2020'!H37</f>
        <v>0</v>
      </c>
      <c r="L32" s="25">
        <f>'05 - 2020'!I38-'05 - 2020'!I37</f>
        <v>0</v>
      </c>
      <c r="M32" s="24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1" sqref="J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5</v>
      </c>
      <c r="D2">
        <v>2020</v>
      </c>
      <c r="E2" s="25">
        <f>'05 - 2020'!B8-'05 - 2020'!B7</f>
        <v>217</v>
      </c>
      <c r="F2" s="25">
        <f>'05 - 2020'!C8-'05 - 2020'!C7</f>
        <v>2089</v>
      </c>
      <c r="G2" s="23">
        <v>0.11799999999999999</v>
      </c>
      <c r="H2" s="25">
        <f>'05 - 2020'!E8-'05 - 2020'!E7</f>
        <v>0.13999999999941792</v>
      </c>
      <c r="I2" s="25">
        <f>'05 - 2020'!F8-'05 - 2020'!F7</f>
        <v>0</v>
      </c>
      <c r="J2" s="25">
        <f>'05 - 2020'!G8-'05 - 2020'!G7</f>
        <v>9.6899999999986903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5</v>
      </c>
      <c r="D3" s="23">
        <v>2020</v>
      </c>
      <c r="E3" s="25">
        <f>'05 - 2020'!B9-'05 - 2020'!B8</f>
        <v>231</v>
      </c>
      <c r="F3" s="25">
        <f>'05 - 2020'!C9-'05 - 2020'!C8</f>
        <v>2001</v>
      </c>
      <c r="G3" s="23">
        <v>0.11799999999999999</v>
      </c>
      <c r="H3" s="25">
        <f>'05 - 2020'!E9-'05 - 2020'!E8</f>
        <v>0.29000000000087311</v>
      </c>
      <c r="I3" s="25">
        <f>'05 - 2020'!F9-'05 - 2020'!F8</f>
        <v>0</v>
      </c>
      <c r="J3" s="25">
        <f>'05 - 2020'!G9-'05 - 2020'!G8</f>
        <v>10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5</v>
      </c>
      <c r="D4" s="23">
        <v>2020</v>
      </c>
      <c r="E4" s="25">
        <f>'05 - 2020'!B10-'05 - 2020'!B9</f>
        <v>297</v>
      </c>
      <c r="F4" s="25">
        <f>'05 - 2020'!C10-'05 - 2020'!C9</f>
        <v>2095</v>
      </c>
      <c r="G4" s="23">
        <v>0.11799999999999999</v>
      </c>
      <c r="H4" s="25">
        <f>'05 - 2020'!E10-'05 - 2020'!E9</f>
        <v>0.4500000000007276</v>
      </c>
      <c r="I4" s="25">
        <f>'05 - 2020'!F10-'05 - 2020'!F9</f>
        <v>0</v>
      </c>
      <c r="J4" s="25">
        <f>'05 - 2020'!G10-'05 - 2020'!G9</f>
        <v>10.599999999998545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5</v>
      </c>
      <c r="D5" s="23">
        <v>2020</v>
      </c>
      <c r="E5" s="25">
        <f>'05 - 2020'!B11-'05 - 2020'!B10</f>
        <v>342</v>
      </c>
      <c r="F5" s="25">
        <f>'05 - 2020'!C11-'05 - 2020'!C10</f>
        <v>1970</v>
      </c>
      <c r="G5" s="23">
        <v>0.11799999999999999</v>
      </c>
      <c r="H5" s="25">
        <f>'05 - 2020'!E11-'05 - 2020'!E10</f>
        <v>0.26999999999861757</v>
      </c>
      <c r="I5" s="25">
        <f>'05 - 2020'!F11-'05 - 2020'!F10</f>
        <v>0</v>
      </c>
      <c r="J5" s="25">
        <f>'05 - 2020'!G11-'05 - 2020'!G10</f>
        <v>9.569999999999709</v>
      </c>
      <c r="K5" s="23">
        <v>0.74</v>
      </c>
      <c r="L5" s="49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5</v>
      </c>
      <c r="D6" s="23">
        <v>2020</v>
      </c>
      <c r="E6" s="25">
        <f>'05 - 2020'!B12-'05 - 2020'!B11</f>
        <v>280</v>
      </c>
      <c r="F6" s="25">
        <f>'05 - 2020'!C12-'05 - 2020'!C11</f>
        <v>2031</v>
      </c>
      <c r="G6" s="23">
        <v>0.11799999999999999</v>
      </c>
      <c r="H6" s="25">
        <f>'05 - 2020'!E12-'05 - 2020'!E11</f>
        <v>0.29000000000087311</v>
      </c>
      <c r="I6" s="25">
        <f>'05 - 2020'!F12-'05 - 2020'!F11</f>
        <v>0</v>
      </c>
      <c r="J6" s="25">
        <f>'05 - 2020'!G12-'05 - 2020'!G11</f>
        <v>9.6100000000005821</v>
      </c>
      <c r="K6" s="23">
        <v>0.74</v>
      </c>
      <c r="L6" s="49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5</v>
      </c>
      <c r="D7" s="23">
        <v>2020</v>
      </c>
      <c r="E7" s="25">
        <f>'05 - 2020'!B13-'05 - 2020'!B12</f>
        <v>257</v>
      </c>
      <c r="F7" s="25">
        <f>'05 - 2020'!C13-'05 - 2020'!C12</f>
        <v>1975</v>
      </c>
      <c r="G7" s="23">
        <v>0.11799999999999999</v>
      </c>
      <c r="H7" s="25">
        <f>'05 - 2020'!E13-'05 - 2020'!E12</f>
        <v>0.27000000000043656</v>
      </c>
      <c r="I7" s="25">
        <f>'05 - 2020'!F13-'05 - 2020'!F12</f>
        <v>0</v>
      </c>
      <c r="J7" s="25">
        <f>'05 - 2020'!G13-'05 - 2020'!G12</f>
        <v>9.6100000000005821</v>
      </c>
      <c r="K7" s="23">
        <v>0.74</v>
      </c>
      <c r="L7" s="49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5</v>
      </c>
      <c r="D8" s="23">
        <v>2020</v>
      </c>
      <c r="E8" s="25">
        <v>0</v>
      </c>
      <c r="F8" s="25">
        <v>0</v>
      </c>
      <c r="G8" s="23">
        <v>0.11799999999999999</v>
      </c>
      <c r="H8" s="25">
        <v>0</v>
      </c>
      <c r="I8" s="25">
        <v>0</v>
      </c>
      <c r="J8" s="25">
        <v>0</v>
      </c>
      <c r="K8" s="23">
        <v>0.74</v>
      </c>
      <c r="L8" s="49"/>
      <c r="M8" s="13"/>
    </row>
    <row r="9" spans="1:13" x14ac:dyDescent="0.25">
      <c r="A9" t="s">
        <v>27</v>
      </c>
      <c r="B9">
        <f t="shared" si="0"/>
        <v>8</v>
      </c>
      <c r="C9" s="23">
        <v>5</v>
      </c>
      <c r="D9" s="23">
        <v>2020</v>
      </c>
      <c r="E9" s="25">
        <f>'05 - 2020'!B15-'05 - 2020'!B14</f>
        <v>0</v>
      </c>
      <c r="F9" s="25">
        <f>'05 - 2020'!C15-'05 - 2020'!C14</f>
        <v>0</v>
      </c>
      <c r="G9" s="23">
        <v>0.11799999999999999</v>
      </c>
      <c r="H9" s="25">
        <f>'05 - 2020'!E15-'05 - 2020'!E14</f>
        <v>0</v>
      </c>
      <c r="I9" s="25">
        <f>'05 - 2020'!F15-'05 - 2020'!F14</f>
        <v>0</v>
      </c>
      <c r="J9" s="25">
        <f>'05 - 2020'!G15-'05 - 2020'!G14</f>
        <v>0</v>
      </c>
      <c r="K9" s="23">
        <v>0.74</v>
      </c>
      <c r="L9" s="49"/>
      <c r="M9" s="13"/>
    </row>
    <row r="10" spans="1:13" x14ac:dyDescent="0.25">
      <c r="A10" t="s">
        <v>27</v>
      </c>
      <c r="B10">
        <f t="shared" si="0"/>
        <v>9</v>
      </c>
      <c r="C10" s="23">
        <v>5</v>
      </c>
      <c r="D10" s="23">
        <v>2020</v>
      </c>
      <c r="E10" s="25">
        <f>'05 - 2020'!B16-'05 - 2020'!B15</f>
        <v>0</v>
      </c>
      <c r="F10" s="25">
        <f>'05 - 2020'!C16-'05 - 2020'!C15</f>
        <v>0</v>
      </c>
      <c r="G10" s="23">
        <v>0.11799999999999999</v>
      </c>
      <c r="H10" s="25">
        <f>'05 - 2020'!E16-'05 - 2020'!E15</f>
        <v>0</v>
      </c>
      <c r="I10" s="25">
        <f>'05 - 2020'!F16-'05 - 2020'!F15</f>
        <v>0</v>
      </c>
      <c r="J10" s="25">
        <f>'05 - 2020'!G16-'05 - 2020'!G15</f>
        <v>0</v>
      </c>
      <c r="K10" s="23">
        <v>0.74</v>
      </c>
      <c r="L10" s="49"/>
      <c r="M10" s="13"/>
    </row>
    <row r="11" spans="1:13" x14ac:dyDescent="0.25">
      <c r="A11" t="s">
        <v>27</v>
      </c>
      <c r="B11">
        <f t="shared" si="0"/>
        <v>10</v>
      </c>
      <c r="C11" s="23">
        <v>5</v>
      </c>
      <c r="D11" s="23">
        <v>2020</v>
      </c>
      <c r="E11" s="25">
        <f>'05 - 2020'!B17-'05 - 2020'!B16</f>
        <v>0</v>
      </c>
      <c r="F11" s="25">
        <f>'05 - 2020'!C17-'05 - 2020'!C16</f>
        <v>0</v>
      </c>
      <c r="G11" s="23">
        <v>0.11799999999999999</v>
      </c>
      <c r="H11" s="25">
        <f>'05 - 2020'!E17-'05 - 2020'!E16</f>
        <v>0</v>
      </c>
      <c r="I11" s="25">
        <f>'05 - 2020'!F17-'05 - 2020'!F16</f>
        <v>0</v>
      </c>
      <c r="J11" s="25">
        <f>'05 - 2020'!G17-'05 - 2020'!G16</f>
        <v>0</v>
      </c>
      <c r="K11" s="23">
        <v>0.74</v>
      </c>
      <c r="L11" s="49"/>
      <c r="M11" s="13"/>
    </row>
    <row r="12" spans="1:13" x14ac:dyDescent="0.25">
      <c r="A12" t="s">
        <v>27</v>
      </c>
      <c r="B12">
        <f t="shared" si="0"/>
        <v>11</v>
      </c>
      <c r="C12" s="23">
        <v>5</v>
      </c>
      <c r="D12" s="23">
        <v>2020</v>
      </c>
      <c r="E12" s="25">
        <f>'05 - 2020'!B18-'05 - 2020'!B17</f>
        <v>0</v>
      </c>
      <c r="F12" s="25">
        <f>'05 - 2020'!C18-'05 - 2020'!C17</f>
        <v>0</v>
      </c>
      <c r="G12" s="23">
        <v>0.11799999999999999</v>
      </c>
      <c r="H12" s="25">
        <f>'05 - 2020'!E18-'05 - 2020'!E17</f>
        <v>0</v>
      </c>
      <c r="I12" s="25">
        <f>'05 - 2020'!F18-'05 - 2020'!F17</f>
        <v>0</v>
      </c>
      <c r="J12" s="25">
        <f>'05 - 2020'!G18-'05 - 2020'!G17</f>
        <v>0</v>
      </c>
      <c r="K12" s="23">
        <v>0.74</v>
      </c>
      <c r="L12" s="25"/>
      <c r="M12" s="13"/>
    </row>
    <row r="13" spans="1:13" x14ac:dyDescent="0.25">
      <c r="A13" t="s">
        <v>27</v>
      </c>
      <c r="B13">
        <f t="shared" si="0"/>
        <v>12</v>
      </c>
      <c r="C13" s="23">
        <v>5</v>
      </c>
      <c r="D13" s="23">
        <v>2020</v>
      </c>
      <c r="E13" s="25">
        <f>'05 - 2020'!B19-'05 - 2020'!B18</f>
        <v>0</v>
      </c>
      <c r="F13" s="25">
        <f>'05 - 2020'!C19-'05 - 2020'!C18</f>
        <v>0</v>
      </c>
      <c r="G13" s="23">
        <v>0.11799999999999999</v>
      </c>
      <c r="H13" s="25">
        <f>'05 - 2020'!E19-'05 - 2020'!E18</f>
        <v>0</v>
      </c>
      <c r="I13" s="25">
        <f>'05 - 2020'!F19-'05 - 2020'!F18</f>
        <v>0</v>
      </c>
      <c r="J13" s="25">
        <f>'05 - 2020'!G19-'05 - 2020'!G18</f>
        <v>0</v>
      </c>
      <c r="K13" s="23">
        <v>0.74</v>
      </c>
      <c r="L13" s="25"/>
      <c r="M13" s="13"/>
    </row>
    <row r="14" spans="1:13" x14ac:dyDescent="0.25">
      <c r="A14" t="s">
        <v>27</v>
      </c>
      <c r="B14">
        <f t="shared" si="0"/>
        <v>13</v>
      </c>
      <c r="C14" s="23">
        <v>5</v>
      </c>
      <c r="D14" s="23">
        <v>2020</v>
      </c>
      <c r="E14" s="25">
        <f>'05 - 2020'!B20-'05 - 2020'!B19</f>
        <v>0</v>
      </c>
      <c r="F14" s="25">
        <f>'05 - 2020'!C20-'05 - 2020'!C19</f>
        <v>0</v>
      </c>
      <c r="G14" s="23">
        <v>0.11799999999999999</v>
      </c>
      <c r="H14" s="25">
        <f>'05 - 2020'!E20-'05 - 2020'!E19</f>
        <v>0</v>
      </c>
      <c r="I14" s="25">
        <f>'05 - 2020'!F20-'05 - 2020'!F19</f>
        <v>0</v>
      </c>
      <c r="J14" s="25">
        <f>'05 - 2020'!G20-'05 - 2020'!G19</f>
        <v>0</v>
      </c>
      <c r="K14" s="23">
        <v>0.74</v>
      </c>
      <c r="L14" s="25"/>
      <c r="M14" s="13"/>
    </row>
    <row r="15" spans="1:13" x14ac:dyDescent="0.25">
      <c r="A15" t="s">
        <v>27</v>
      </c>
      <c r="B15">
        <f t="shared" si="0"/>
        <v>14</v>
      </c>
      <c r="C15" s="23">
        <v>5</v>
      </c>
      <c r="D15" s="23">
        <v>2020</v>
      </c>
      <c r="E15" s="25">
        <f>'05 - 2020'!B21-'05 - 2020'!B20</f>
        <v>0</v>
      </c>
      <c r="F15" s="25">
        <f>'05 - 2020'!C21-'05 - 2020'!C20</f>
        <v>0</v>
      </c>
      <c r="G15" s="23">
        <v>0.11799999999999999</v>
      </c>
      <c r="H15" s="25">
        <f>'05 - 2020'!E21-'05 - 2020'!E20</f>
        <v>0</v>
      </c>
      <c r="I15" s="25">
        <f>'05 - 2020'!F21-'05 - 2020'!F20</f>
        <v>0</v>
      </c>
      <c r="J15" s="25">
        <f>'05 - 2020'!G21-'05 - 2020'!G20</f>
        <v>0</v>
      </c>
      <c r="K15" s="23">
        <v>0.74</v>
      </c>
      <c r="L15" s="25"/>
      <c r="M15" s="13"/>
    </row>
    <row r="16" spans="1:13" x14ac:dyDescent="0.25">
      <c r="A16" t="s">
        <v>27</v>
      </c>
      <c r="B16">
        <f t="shared" si="0"/>
        <v>15</v>
      </c>
      <c r="C16" s="23">
        <v>5</v>
      </c>
      <c r="D16" s="23">
        <v>2020</v>
      </c>
      <c r="E16" s="25">
        <f>'05 - 2020'!B22-'05 - 2020'!B21</f>
        <v>0</v>
      </c>
      <c r="F16" s="25">
        <f>'05 - 2020'!C22-'05 - 2020'!C21</f>
        <v>0</v>
      </c>
      <c r="G16" s="23">
        <v>0.11799999999999999</v>
      </c>
      <c r="H16" s="25">
        <f>'05 - 2020'!E22-'05 - 2020'!E21</f>
        <v>0</v>
      </c>
      <c r="I16" s="25">
        <f>'05 - 2020'!F22-'05 - 2020'!F21</f>
        <v>0</v>
      </c>
      <c r="J16" s="25">
        <f>'05 - 2020'!G22-'05 - 2020'!G21</f>
        <v>0</v>
      </c>
      <c r="K16" s="23">
        <v>0.74</v>
      </c>
      <c r="L16" s="25"/>
      <c r="M16" s="13"/>
    </row>
    <row r="17" spans="1:13" x14ac:dyDescent="0.25">
      <c r="A17" t="s">
        <v>27</v>
      </c>
      <c r="B17">
        <f t="shared" si="0"/>
        <v>16</v>
      </c>
      <c r="C17" s="23">
        <v>5</v>
      </c>
      <c r="D17" s="23">
        <v>2020</v>
      </c>
      <c r="E17" s="25">
        <f>'05 - 2020'!B23-'05 - 2020'!B22</f>
        <v>0</v>
      </c>
      <c r="F17" s="25">
        <f>'05 - 2020'!C23-'05 - 2020'!C22</f>
        <v>0</v>
      </c>
      <c r="G17" s="23">
        <v>0.11799999999999999</v>
      </c>
      <c r="H17" s="25">
        <f>'05 - 2020'!E23-'05 - 2020'!E22</f>
        <v>0</v>
      </c>
      <c r="I17" s="25">
        <f>'05 - 2020'!F23-'05 - 2020'!F22</f>
        <v>0</v>
      </c>
      <c r="J17" s="25">
        <f>'05 - 2020'!G23-'05 - 2020'!G22</f>
        <v>0</v>
      </c>
      <c r="K17" s="23">
        <v>0.74</v>
      </c>
      <c r="L17" s="25"/>
      <c r="M17" s="13"/>
    </row>
    <row r="18" spans="1:13" x14ac:dyDescent="0.25">
      <c r="A18" t="s">
        <v>27</v>
      </c>
      <c r="B18">
        <f t="shared" si="0"/>
        <v>17</v>
      </c>
      <c r="C18" s="23">
        <v>5</v>
      </c>
      <c r="D18" s="23">
        <v>2020</v>
      </c>
      <c r="E18" s="25">
        <f>'05 - 2020'!B24-'05 - 2020'!B23</f>
        <v>0</v>
      </c>
      <c r="F18" s="25">
        <f>'05 - 2020'!C24-'05 - 2020'!C23</f>
        <v>0</v>
      </c>
      <c r="G18" s="23">
        <v>0.11799999999999999</v>
      </c>
      <c r="H18" s="25">
        <f>'05 - 2020'!E24-'05 - 2020'!E23</f>
        <v>0</v>
      </c>
      <c r="I18" s="25">
        <f>'05 - 2020'!F24-'05 - 2020'!F23</f>
        <v>0</v>
      </c>
      <c r="J18" s="25">
        <f>'05 - 2020'!G24-'05 - 2020'!G23</f>
        <v>0</v>
      </c>
      <c r="K18" s="23">
        <v>0.74</v>
      </c>
      <c r="L18" s="25"/>
      <c r="M18" s="13"/>
    </row>
    <row r="19" spans="1:13" x14ac:dyDescent="0.25">
      <c r="A19" t="s">
        <v>27</v>
      </c>
      <c r="B19">
        <f>B18+1</f>
        <v>18</v>
      </c>
      <c r="C19" s="23">
        <v>5</v>
      </c>
      <c r="D19" s="23">
        <v>2020</v>
      </c>
      <c r="E19" s="25">
        <f>'05 - 2020'!B25-'05 - 2020'!B24</f>
        <v>0</v>
      </c>
      <c r="F19" s="25">
        <f>'05 - 2020'!C25-'05 - 2020'!C24</f>
        <v>0</v>
      </c>
      <c r="G19" s="23">
        <v>0.11799999999999999</v>
      </c>
      <c r="H19" s="25">
        <f>'05 - 2020'!E25-'05 - 2020'!E24</f>
        <v>0</v>
      </c>
      <c r="I19" s="25">
        <f>'05 - 2020'!F25-'05 - 2020'!F24</f>
        <v>0</v>
      </c>
      <c r="J19" s="25">
        <f>'05 - 2020'!G25-'05 - 2020'!G24</f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5</v>
      </c>
      <c r="D20" s="23">
        <v>2020</v>
      </c>
      <c r="E20" s="25">
        <f>'05 - 2020'!B26-'05 - 2020'!B25</f>
        <v>0</v>
      </c>
      <c r="F20" s="25">
        <f>'05 - 2020'!C26-'05 - 2020'!C25</f>
        <v>0</v>
      </c>
      <c r="G20" s="23">
        <v>0.11799999999999999</v>
      </c>
      <c r="H20" s="25">
        <f>'05 - 2020'!E26-'05 - 2020'!E25</f>
        <v>0</v>
      </c>
      <c r="I20" s="25">
        <f>'05 - 2020'!F26-'05 - 2020'!F25</f>
        <v>0</v>
      </c>
      <c r="J20" s="25">
        <f>'05 - 2020'!G26-'05 - 2020'!G25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5</v>
      </c>
      <c r="D21" s="23">
        <v>2020</v>
      </c>
      <c r="E21" s="25">
        <f>'05 - 2020'!B27-'05 - 2020'!B26</f>
        <v>0</v>
      </c>
      <c r="F21" s="25">
        <f>'05 - 2020'!C27-'05 - 2020'!C26</f>
        <v>0</v>
      </c>
      <c r="G21" s="23">
        <v>0.11799999999999999</v>
      </c>
      <c r="H21" s="25">
        <f>'05 - 2020'!E27-'05 - 2020'!E26</f>
        <v>0</v>
      </c>
      <c r="I21" s="25">
        <f>'05 - 2020'!F27-'05 - 2020'!F26</f>
        <v>0</v>
      </c>
      <c r="J21" s="25">
        <f>'05 - 2020'!G27-'05 - 2020'!G26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5</v>
      </c>
      <c r="D22" s="23">
        <v>2020</v>
      </c>
      <c r="E22" s="25">
        <f>'05 - 2020'!B28-'05 - 2020'!B27</f>
        <v>0</v>
      </c>
      <c r="F22" s="25">
        <f>'05 - 2020'!C28-'05 - 2020'!C27</f>
        <v>0</v>
      </c>
      <c r="G22" s="23">
        <v>0.11799999999999999</v>
      </c>
      <c r="H22" s="25">
        <f>'05 - 2020'!E28-'05 - 2020'!E27</f>
        <v>0</v>
      </c>
      <c r="I22" s="25">
        <f>'05 - 2020'!F28-'05 - 2020'!F27</f>
        <v>0</v>
      </c>
      <c r="J22" s="25">
        <f>'05 - 2020'!G28-'05 - 2020'!G27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5</v>
      </c>
      <c r="D23" s="23">
        <v>2020</v>
      </c>
      <c r="E23" s="25">
        <f>'05 - 2020'!B29-'05 - 2020'!B28</f>
        <v>0</v>
      </c>
      <c r="F23" s="25">
        <f>'05 - 2020'!C29-'05 - 2020'!C28</f>
        <v>0</v>
      </c>
      <c r="G23" s="23">
        <v>0.11799999999999999</v>
      </c>
      <c r="H23" s="25">
        <f>'05 - 2020'!E29-'05 - 2020'!E28</f>
        <v>0</v>
      </c>
      <c r="I23" s="25">
        <f>'05 - 2020'!F29-'05 - 2020'!F28</f>
        <v>0</v>
      </c>
      <c r="J23" s="25">
        <f>'05 - 2020'!G29-'05 - 2020'!G28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5</v>
      </c>
      <c r="D24" s="23">
        <v>2020</v>
      </c>
      <c r="E24" s="25">
        <f>'05 - 2020'!B30-'05 - 2020'!B29</f>
        <v>0</v>
      </c>
      <c r="F24" s="25">
        <f>'05 - 2020'!C30-'05 - 2020'!C29</f>
        <v>0</v>
      </c>
      <c r="G24" s="23">
        <v>0.11799999999999999</v>
      </c>
      <c r="H24" s="25">
        <f>'05 - 2020'!E30-'05 - 2020'!E29</f>
        <v>0</v>
      </c>
      <c r="I24" s="25">
        <f>'05 - 2020'!F30-'05 - 2020'!F29</f>
        <v>0</v>
      </c>
      <c r="J24" s="25">
        <f>'05 - 2020'!G30-'05 - 2020'!G29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5</v>
      </c>
      <c r="D25" s="23">
        <v>2020</v>
      </c>
      <c r="E25" s="25">
        <f>'05 - 2020'!B31-'05 - 2020'!B30</f>
        <v>0</v>
      </c>
      <c r="F25" s="25">
        <f>'05 - 2020'!C31-'05 - 2020'!C30</f>
        <v>0</v>
      </c>
      <c r="G25" s="23">
        <v>0.11799999999999999</v>
      </c>
      <c r="H25" s="25">
        <f>'05 - 2020'!E31-'05 - 2020'!E30</f>
        <v>0</v>
      </c>
      <c r="I25" s="25">
        <f>'05 - 2020'!F31-'05 - 2020'!F30</f>
        <v>0</v>
      </c>
      <c r="J25" s="25">
        <f>'05 - 2020'!G31-'05 - 2020'!G30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5</v>
      </c>
      <c r="D26" s="23">
        <v>2020</v>
      </c>
      <c r="E26" s="25">
        <f>'05 - 2020'!B32-'05 - 2020'!B31</f>
        <v>0</v>
      </c>
      <c r="F26" s="25">
        <f>'05 - 2020'!C32-'05 - 2020'!C31</f>
        <v>0</v>
      </c>
      <c r="G26" s="23">
        <v>0.11799999999999999</v>
      </c>
      <c r="H26" s="25">
        <f>'05 - 2020'!E32-'05 - 2020'!E31</f>
        <v>0</v>
      </c>
      <c r="I26" s="25">
        <f>'05 - 2020'!F32-'05 - 2020'!F31</f>
        <v>0</v>
      </c>
      <c r="J26" s="25">
        <f>'05 - 2020'!G32-'05 - 2020'!G31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5</v>
      </c>
      <c r="D27" s="23">
        <v>2020</v>
      </c>
      <c r="E27" s="25">
        <f>'05 - 2020'!B33-'05 - 2020'!B32</f>
        <v>0</v>
      </c>
      <c r="F27" s="25">
        <f>'05 - 2020'!C33-'05 - 2020'!C32</f>
        <v>0</v>
      </c>
      <c r="G27" s="23">
        <v>0.11799999999999999</v>
      </c>
      <c r="H27" s="25">
        <f>'05 - 2020'!E33-'05 - 2020'!E32</f>
        <v>0</v>
      </c>
      <c r="I27" s="25">
        <f>'05 - 2020'!F33-'05 - 2020'!F32</f>
        <v>0</v>
      </c>
      <c r="J27" s="25">
        <f>'05 - 2020'!G33-'05 - 2020'!G32</f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5</v>
      </c>
      <c r="D28" s="23">
        <v>2020</v>
      </c>
      <c r="E28" s="25">
        <f>'05 - 2020'!B34-'05 - 2020'!B33</f>
        <v>0</v>
      </c>
      <c r="F28" s="25">
        <f>'05 - 2020'!C34-'05 - 2020'!C33</f>
        <v>0</v>
      </c>
      <c r="G28" s="23">
        <v>0.11799999999999999</v>
      </c>
      <c r="H28" s="25">
        <f>'05 - 2020'!E34-'05 - 2020'!E33</f>
        <v>0</v>
      </c>
      <c r="I28" s="25">
        <f>'05 - 2020'!F34-'05 - 2020'!F33</f>
        <v>0</v>
      </c>
      <c r="J28" s="25">
        <f>'05 - 2020'!G34-'05 - 2020'!G33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5</v>
      </c>
      <c r="D29" s="23">
        <v>2020</v>
      </c>
      <c r="E29" s="25">
        <f>'05 - 2020'!B35-'05 - 2020'!B34</f>
        <v>0</v>
      </c>
      <c r="F29" s="25">
        <f>'05 - 2020'!C35-'05 - 2020'!C34</f>
        <v>0</v>
      </c>
      <c r="G29" s="23">
        <v>0.11799999999999999</v>
      </c>
      <c r="H29" s="25">
        <f>'05 - 2020'!E35-'05 - 2020'!E34</f>
        <v>0</v>
      </c>
      <c r="I29" s="25">
        <f>'05 - 2020'!F35-'05 - 2020'!F34</f>
        <v>0</v>
      </c>
      <c r="J29" s="25">
        <f>'05 - 2020'!G35-'05 - 2020'!G34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5</v>
      </c>
      <c r="D30" s="23">
        <v>2020</v>
      </c>
      <c r="E30" s="25">
        <f>'05 - 2020'!B36-'05 - 2020'!B35</f>
        <v>0</v>
      </c>
      <c r="F30" s="25">
        <f>'05 - 2020'!C36-'05 - 2020'!C35</f>
        <v>0</v>
      </c>
      <c r="G30" s="23">
        <v>0.11799999999999999</v>
      </c>
      <c r="H30" s="25">
        <f>'05 - 2020'!E36-'05 - 2020'!E35</f>
        <v>0</v>
      </c>
      <c r="I30" s="25">
        <f>'05 - 2020'!F36-'05 - 2020'!F35</f>
        <v>0</v>
      </c>
      <c r="J30" s="25">
        <f>'05 - 2020'!G36-'05 - 2020'!G35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5</v>
      </c>
      <c r="D31" s="23">
        <v>2020</v>
      </c>
      <c r="E31" s="25">
        <f>'05 - 2020'!B37-'05 - 2020'!B36</f>
        <v>0</v>
      </c>
      <c r="F31" s="25">
        <f>'05 - 2020'!C37-'05 - 2020'!C36</f>
        <v>0</v>
      </c>
      <c r="G31" s="23">
        <v>0.11799999999999999</v>
      </c>
      <c r="H31" s="25">
        <f>'05 - 2020'!E37-'05 - 2020'!E36</f>
        <v>0</v>
      </c>
      <c r="I31" s="25">
        <f>'05 - 2020'!F37-'05 - 2020'!F36</f>
        <v>0</v>
      </c>
      <c r="J31" s="25">
        <f>'05 - 2020'!G37-'05 - 2020'!G36</f>
        <v>0</v>
      </c>
      <c r="K31" s="23">
        <v>0.74</v>
      </c>
      <c r="L31" s="25"/>
    </row>
    <row r="32" spans="1:13" x14ac:dyDescent="0.25">
      <c r="A32" s="23" t="s">
        <v>27</v>
      </c>
      <c r="B32" s="23">
        <v>31</v>
      </c>
      <c r="C32" s="23">
        <v>5</v>
      </c>
      <c r="D32" s="23">
        <v>2020</v>
      </c>
      <c r="E32" s="25">
        <f>'05 - 2020'!B38-'05 - 2020'!B37</f>
        <v>0</v>
      </c>
      <c r="F32" s="25">
        <f>'05 - 2020'!C38-'05 - 2020'!C37</f>
        <v>0</v>
      </c>
      <c r="G32" s="23">
        <v>0.11799999999999999</v>
      </c>
      <c r="H32" s="25">
        <f>'05 - 2020'!E38-'05 - 2020'!E37</f>
        <v>0</v>
      </c>
      <c r="I32" s="25">
        <f>'05 - 2020'!F38-'05 - 2020'!F37</f>
        <v>0</v>
      </c>
      <c r="J32" s="25">
        <f>'05 - 2020'!G38-'05 - 2020'!G37</f>
        <v>0</v>
      </c>
      <c r="K32" s="23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B12" sqref="B12:J1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3"/>
      <c r="L3" s="23"/>
      <c r="M3" s="23"/>
    </row>
    <row r="4" spans="1:15" ht="16.5" thickBot="1" x14ac:dyDescent="0.3">
      <c r="A4" s="63" t="s">
        <v>36</v>
      </c>
      <c r="B4" s="63"/>
      <c r="C4" s="63"/>
      <c r="D4" s="63"/>
      <c r="E4" s="63"/>
      <c r="F4" s="63"/>
      <c r="G4" s="63"/>
      <c r="H4" s="63"/>
      <c r="I4" s="63"/>
      <c r="J4" s="63"/>
      <c r="K4" s="23"/>
      <c r="L4" s="23"/>
      <c r="M4" s="23"/>
    </row>
    <row r="5" spans="1:15" ht="16.5" thickBot="1" x14ac:dyDescent="0.3">
      <c r="A5" s="2"/>
      <c r="B5" s="64">
        <v>19</v>
      </c>
      <c r="C5" s="65"/>
      <c r="D5" s="64" t="s">
        <v>0</v>
      </c>
      <c r="E5" s="66"/>
      <c r="F5" s="66"/>
      <c r="G5" s="67"/>
      <c r="H5" s="68" t="s">
        <v>1</v>
      </c>
      <c r="I5" s="69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6" customFormat="1" ht="12.75" customHeight="1" x14ac:dyDescent="0.25">
      <c r="A7" s="53">
        <v>43951</v>
      </c>
      <c r="B7" s="15">
        <v>681928</v>
      </c>
      <c r="C7" s="15">
        <v>817458</v>
      </c>
      <c r="D7" s="16">
        <v>0.6</v>
      </c>
      <c r="E7" s="17">
        <v>10837.57</v>
      </c>
      <c r="F7" s="17">
        <v>2069</v>
      </c>
      <c r="G7" s="17">
        <v>18961.310000000001</v>
      </c>
      <c r="H7" s="15">
        <v>14528</v>
      </c>
      <c r="I7" s="15">
        <v>93210</v>
      </c>
      <c r="J7" s="15">
        <v>38451184</v>
      </c>
      <c r="K7" s="54"/>
      <c r="L7" s="55"/>
      <c r="M7" s="47"/>
    </row>
    <row r="8" spans="1:15" ht="12.75" customHeight="1" x14ac:dyDescent="0.25">
      <c r="A8" s="46">
        <v>43952</v>
      </c>
      <c r="B8" s="35">
        <v>682145</v>
      </c>
      <c r="C8" s="36">
        <v>819547</v>
      </c>
      <c r="D8" s="37">
        <v>0.6</v>
      </c>
      <c r="E8" s="38">
        <v>10837.71</v>
      </c>
      <c r="F8" s="38">
        <v>2069</v>
      </c>
      <c r="G8" s="38">
        <v>18971</v>
      </c>
      <c r="H8" s="39">
        <v>14528</v>
      </c>
      <c r="I8" s="39">
        <v>93223</v>
      </c>
      <c r="J8" s="39">
        <v>38457149</v>
      </c>
      <c r="K8" s="40"/>
      <c r="L8" s="41"/>
      <c r="M8" s="47"/>
    </row>
    <row r="9" spans="1:15" ht="12.75" customHeight="1" x14ac:dyDescent="0.25">
      <c r="A9" s="46">
        <v>43953</v>
      </c>
      <c r="B9" s="26">
        <v>682376</v>
      </c>
      <c r="C9" s="19">
        <v>821548</v>
      </c>
      <c r="D9" s="37">
        <v>0.6</v>
      </c>
      <c r="E9" s="22">
        <v>10838</v>
      </c>
      <c r="F9" s="22">
        <v>2069</v>
      </c>
      <c r="G9" s="22">
        <v>18981</v>
      </c>
      <c r="H9" s="19">
        <v>14528</v>
      </c>
      <c r="I9" s="15">
        <v>93223</v>
      </c>
      <c r="J9" s="15">
        <v>38463107</v>
      </c>
      <c r="K9" s="18"/>
      <c r="L9" s="31"/>
      <c r="M9" s="47"/>
    </row>
    <row r="10" spans="1:15" ht="12.75" customHeight="1" x14ac:dyDescent="0.25">
      <c r="A10" s="46">
        <v>43954</v>
      </c>
      <c r="B10" s="15">
        <v>682673</v>
      </c>
      <c r="C10" s="15">
        <v>823643</v>
      </c>
      <c r="D10" s="16">
        <v>0.59</v>
      </c>
      <c r="E10" s="22">
        <v>10838.45</v>
      </c>
      <c r="F10" s="22">
        <v>2069</v>
      </c>
      <c r="G10" s="22">
        <v>18991.599999999999</v>
      </c>
      <c r="H10" s="19">
        <v>14528</v>
      </c>
      <c r="I10" s="15">
        <v>93245</v>
      </c>
      <c r="J10" s="15">
        <v>38469039</v>
      </c>
      <c r="K10" s="18"/>
      <c r="L10" s="31"/>
      <c r="M10" s="47"/>
    </row>
    <row r="11" spans="1:15" ht="12.75" customHeight="1" x14ac:dyDescent="0.25">
      <c r="A11" s="46">
        <v>43955</v>
      </c>
      <c r="B11" s="15">
        <v>683015</v>
      </c>
      <c r="C11" s="15">
        <v>825613</v>
      </c>
      <c r="D11" s="16">
        <v>0.59</v>
      </c>
      <c r="E11" s="22">
        <v>10838.72</v>
      </c>
      <c r="F11" s="22">
        <v>2069</v>
      </c>
      <c r="G11" s="22">
        <v>19001.169999999998</v>
      </c>
      <c r="H11" s="19">
        <v>14528</v>
      </c>
      <c r="I11" s="15">
        <v>93251</v>
      </c>
      <c r="J11" s="15">
        <v>38475109</v>
      </c>
      <c r="K11" s="18"/>
      <c r="L11" s="31"/>
      <c r="M11" s="47"/>
    </row>
    <row r="12" spans="1:15" ht="12.75" customHeight="1" x14ac:dyDescent="0.25">
      <c r="A12" s="46">
        <v>43956</v>
      </c>
      <c r="B12" s="15">
        <v>683295</v>
      </c>
      <c r="C12" s="15">
        <v>827644</v>
      </c>
      <c r="D12" s="16">
        <v>0.57999999999999996</v>
      </c>
      <c r="E12" s="22">
        <v>10839.01</v>
      </c>
      <c r="F12" s="22">
        <v>2069</v>
      </c>
      <c r="G12" s="22">
        <v>19010.78</v>
      </c>
      <c r="H12" s="15">
        <v>14528</v>
      </c>
      <c r="I12" s="15">
        <v>93318</v>
      </c>
      <c r="J12" s="15">
        <v>38480577</v>
      </c>
      <c r="K12" s="18"/>
      <c r="L12" s="31"/>
      <c r="M12" s="47"/>
    </row>
    <row r="13" spans="1:15" ht="12.75" customHeight="1" x14ac:dyDescent="0.25">
      <c r="A13" s="46">
        <v>43957</v>
      </c>
      <c r="B13" s="15">
        <v>683552</v>
      </c>
      <c r="C13" s="15">
        <v>829619</v>
      </c>
      <c r="D13" s="16">
        <v>0.56000000000000005</v>
      </c>
      <c r="E13" s="22">
        <v>10839.28</v>
      </c>
      <c r="F13" s="22">
        <v>2069</v>
      </c>
      <c r="G13" s="22">
        <v>19020.39</v>
      </c>
      <c r="H13" s="15">
        <v>14528</v>
      </c>
      <c r="I13" s="17">
        <v>93331</v>
      </c>
      <c r="J13" s="17">
        <v>38485566</v>
      </c>
      <c r="K13" s="18"/>
      <c r="L13" s="31"/>
      <c r="M13" s="47"/>
    </row>
    <row r="14" spans="1:15" ht="12.75" customHeight="1" x14ac:dyDescent="0.25">
      <c r="A14" s="46">
        <v>43958</v>
      </c>
      <c r="B14" s="15"/>
      <c r="C14" s="15"/>
      <c r="D14" s="16"/>
      <c r="E14" s="22"/>
      <c r="F14" s="22"/>
      <c r="G14" s="17"/>
      <c r="H14" s="15"/>
      <c r="I14" s="15"/>
      <c r="J14" s="15"/>
      <c r="K14" s="26"/>
      <c r="L14" s="31"/>
      <c r="M14" s="47"/>
      <c r="O14" s="25"/>
    </row>
    <row r="15" spans="1:15" ht="12.75" customHeight="1" x14ac:dyDescent="0.25">
      <c r="A15" s="46">
        <v>43959</v>
      </c>
      <c r="B15" s="19"/>
      <c r="C15" s="15"/>
      <c r="D15" s="16"/>
      <c r="E15" s="22"/>
      <c r="F15" s="22"/>
      <c r="G15" s="17"/>
      <c r="H15" s="15"/>
      <c r="I15" s="15"/>
      <c r="J15" s="15"/>
      <c r="K15" s="18"/>
      <c r="L15" s="31"/>
      <c r="M15" s="47"/>
      <c r="O15" s="25"/>
    </row>
    <row r="16" spans="1:15" ht="12.75" customHeight="1" x14ac:dyDescent="0.25">
      <c r="A16" s="46">
        <v>43960</v>
      </c>
      <c r="B16" s="47"/>
      <c r="C16" s="15"/>
      <c r="D16" s="16"/>
      <c r="E16" s="22"/>
      <c r="F16" s="22"/>
      <c r="G16" s="17"/>
      <c r="H16" s="15"/>
      <c r="I16" s="15"/>
      <c r="J16" s="15"/>
      <c r="K16" s="18"/>
      <c r="L16" s="31"/>
      <c r="M16" s="47"/>
    </row>
    <row r="17" spans="1:16" ht="12.75" customHeight="1" x14ac:dyDescent="0.25">
      <c r="A17" s="46">
        <v>43961</v>
      </c>
      <c r="B17" s="17"/>
      <c r="C17" s="17"/>
      <c r="D17" s="27"/>
      <c r="E17" s="22"/>
      <c r="F17" s="22"/>
      <c r="G17" s="17"/>
      <c r="H17" s="15"/>
      <c r="I17" s="17"/>
      <c r="J17" s="17"/>
      <c r="K17" s="18"/>
      <c r="L17" s="31"/>
      <c r="M17" s="47"/>
    </row>
    <row r="18" spans="1:16" ht="12.75" customHeight="1" x14ac:dyDescent="0.25">
      <c r="A18" s="46">
        <v>43962</v>
      </c>
      <c r="B18" s="15"/>
      <c r="C18" s="15"/>
      <c r="D18" s="16"/>
      <c r="E18" s="22"/>
      <c r="F18" s="22"/>
      <c r="G18" s="17"/>
      <c r="H18" s="15"/>
      <c r="I18" s="15"/>
      <c r="J18" s="15"/>
      <c r="K18" s="18"/>
      <c r="L18" s="31"/>
      <c r="M18" s="47"/>
      <c r="P18" s="25"/>
    </row>
    <row r="19" spans="1:16" ht="12.75" customHeight="1" x14ac:dyDescent="0.25">
      <c r="A19" s="46">
        <v>43963</v>
      </c>
      <c r="B19" s="26"/>
      <c r="C19" s="26"/>
      <c r="D19" s="16"/>
      <c r="E19" s="22"/>
      <c r="F19" s="22"/>
      <c r="G19" s="17"/>
      <c r="H19" s="15"/>
      <c r="I19" s="15"/>
      <c r="J19" s="15"/>
      <c r="K19" s="18"/>
      <c r="L19" s="31"/>
      <c r="M19" s="47"/>
      <c r="P19" s="25"/>
    </row>
    <row r="20" spans="1:16" ht="12.75" customHeight="1" x14ac:dyDescent="0.25">
      <c r="A20" s="46">
        <v>43964</v>
      </c>
      <c r="B20" s="26"/>
      <c r="C20" s="26"/>
      <c r="D20" s="16"/>
      <c r="E20" s="22"/>
      <c r="F20" s="22"/>
      <c r="G20" s="17"/>
      <c r="H20" s="15"/>
      <c r="I20" s="15"/>
      <c r="J20" s="15"/>
      <c r="K20" s="18"/>
      <c r="L20" s="31"/>
      <c r="M20" s="47"/>
    </row>
    <row r="21" spans="1:16" ht="12.75" customHeight="1" x14ac:dyDescent="0.25">
      <c r="A21" s="46">
        <v>43965</v>
      </c>
      <c r="B21" s="15"/>
      <c r="C21" s="15"/>
      <c r="D21" s="16"/>
      <c r="E21" s="22"/>
      <c r="F21" s="22"/>
      <c r="G21" s="17"/>
      <c r="H21" s="15"/>
      <c r="I21" s="15"/>
      <c r="J21" s="15"/>
      <c r="K21" s="18"/>
      <c r="L21" s="31"/>
      <c r="M21" s="47"/>
    </row>
    <row r="22" spans="1:16" ht="12.75" customHeight="1" x14ac:dyDescent="0.25">
      <c r="A22" s="46">
        <v>43966</v>
      </c>
      <c r="B22" s="15"/>
      <c r="C22" s="15"/>
      <c r="D22" s="16"/>
      <c r="E22" s="22"/>
      <c r="F22" s="22"/>
      <c r="G22" s="17"/>
      <c r="H22" s="15"/>
      <c r="I22" s="15"/>
      <c r="J22" s="15"/>
      <c r="K22" s="26"/>
      <c r="L22" s="31"/>
      <c r="M22" s="47"/>
    </row>
    <row r="23" spans="1:16" ht="12.75" customHeight="1" x14ac:dyDescent="0.25">
      <c r="A23" s="46">
        <v>43967</v>
      </c>
      <c r="B23" s="15"/>
      <c r="C23" s="15"/>
      <c r="D23" s="16"/>
      <c r="E23" s="22"/>
      <c r="F23" s="22"/>
      <c r="G23" s="17"/>
      <c r="H23" s="15"/>
      <c r="I23" s="15"/>
      <c r="J23" s="15"/>
      <c r="K23" s="26"/>
      <c r="L23" s="31"/>
      <c r="M23" s="47"/>
    </row>
    <row r="24" spans="1:16" ht="12.75" customHeight="1" x14ac:dyDescent="0.25">
      <c r="A24" s="46">
        <v>43968</v>
      </c>
      <c r="B24" s="59"/>
      <c r="C24" s="60"/>
      <c r="D24" s="16"/>
      <c r="E24" s="17"/>
      <c r="F24" s="17"/>
      <c r="G24" s="17"/>
      <c r="H24" s="15"/>
      <c r="I24" s="15"/>
      <c r="J24" s="15"/>
      <c r="K24" s="18"/>
      <c r="L24" s="32"/>
      <c r="M24" s="47"/>
    </row>
    <row r="25" spans="1:16" ht="12.75" customHeight="1" x14ac:dyDescent="0.25">
      <c r="A25" s="46">
        <v>43969</v>
      </c>
      <c r="B25" s="17"/>
      <c r="C25" s="17"/>
      <c r="D25" s="27"/>
      <c r="E25" s="17"/>
      <c r="F25" s="17"/>
      <c r="G25" s="17"/>
      <c r="H25" s="15"/>
      <c r="I25" s="15"/>
      <c r="J25" s="15"/>
      <c r="K25" s="26"/>
      <c r="L25" s="32"/>
      <c r="M25" s="47"/>
    </row>
    <row r="26" spans="1:16" ht="12.75" customHeight="1" x14ac:dyDescent="0.25">
      <c r="A26" s="46">
        <v>43970</v>
      </c>
      <c r="B26" s="17"/>
      <c r="C26" s="17"/>
      <c r="D26" s="27"/>
      <c r="E26" s="17"/>
      <c r="F26" s="17"/>
      <c r="G26" s="17"/>
      <c r="H26" s="15"/>
      <c r="I26" s="15"/>
      <c r="J26" s="15"/>
      <c r="K26" s="26"/>
      <c r="L26" s="32"/>
      <c r="M26" s="47"/>
    </row>
    <row r="27" spans="1:16" ht="12.75" customHeight="1" x14ac:dyDescent="0.25">
      <c r="A27" s="46">
        <v>43971</v>
      </c>
      <c r="B27" s="15"/>
      <c r="C27" s="15"/>
      <c r="D27" s="16"/>
      <c r="E27" s="17"/>
      <c r="F27" s="17"/>
      <c r="G27" s="17"/>
      <c r="H27" s="15"/>
      <c r="I27" s="15"/>
      <c r="J27" s="15"/>
      <c r="K27" s="18"/>
      <c r="L27" s="31"/>
      <c r="M27" s="47"/>
    </row>
    <row r="28" spans="1:16" ht="12.75" customHeight="1" x14ac:dyDescent="0.25">
      <c r="A28" s="46">
        <v>43972</v>
      </c>
      <c r="B28" s="14"/>
      <c r="C28" s="15"/>
      <c r="D28" s="16"/>
      <c r="E28" s="17"/>
      <c r="F28" s="17"/>
      <c r="G28" s="17"/>
      <c r="H28" s="15"/>
      <c r="I28" s="15"/>
      <c r="J28" s="15"/>
      <c r="K28" s="18"/>
      <c r="L28" s="31"/>
      <c r="M28" s="47"/>
    </row>
    <row r="29" spans="1:16" ht="12.75" customHeight="1" x14ac:dyDescent="0.25">
      <c r="A29" s="46">
        <v>43973</v>
      </c>
      <c r="B29" s="15"/>
      <c r="C29" s="15"/>
      <c r="D29" s="16"/>
      <c r="E29" s="17"/>
      <c r="F29" s="17"/>
      <c r="G29" s="17"/>
      <c r="H29" s="15"/>
      <c r="I29" s="15"/>
      <c r="J29" s="15"/>
      <c r="K29" s="18"/>
      <c r="L29" s="31"/>
      <c r="M29" s="47"/>
      <c r="P29" s="6"/>
    </row>
    <row r="30" spans="1:16" ht="12.75" customHeight="1" x14ac:dyDescent="0.25">
      <c r="A30" s="46">
        <v>43974</v>
      </c>
      <c r="B30" s="15"/>
      <c r="C30" s="15"/>
      <c r="D30" s="16"/>
      <c r="E30" s="17"/>
      <c r="F30" s="17"/>
      <c r="G30" s="17"/>
      <c r="H30" s="15"/>
      <c r="I30" s="15"/>
      <c r="J30" s="15"/>
      <c r="K30" s="18"/>
      <c r="L30" s="31"/>
      <c r="M30" s="47"/>
      <c r="P30" s="6"/>
    </row>
    <row r="31" spans="1:16" ht="12.75" customHeight="1" x14ac:dyDescent="0.25">
      <c r="A31" s="46">
        <v>43975</v>
      </c>
      <c r="B31" s="15"/>
      <c r="C31" s="15"/>
      <c r="D31" s="16"/>
      <c r="E31" s="17"/>
      <c r="F31" s="17"/>
      <c r="G31" s="17"/>
      <c r="H31" s="15"/>
      <c r="I31" s="15"/>
      <c r="J31" s="15"/>
      <c r="K31" s="18"/>
      <c r="L31" s="33"/>
      <c r="M31" s="47"/>
      <c r="P31" s="6"/>
    </row>
    <row r="32" spans="1:16" ht="12.75" customHeight="1" x14ac:dyDescent="0.25">
      <c r="A32" s="46">
        <v>43976</v>
      </c>
      <c r="B32" s="15"/>
      <c r="C32" s="15"/>
      <c r="D32" s="16"/>
      <c r="E32" s="22"/>
      <c r="F32" s="22"/>
      <c r="G32" s="17"/>
      <c r="H32" s="15"/>
      <c r="I32" s="15"/>
      <c r="J32" s="15"/>
      <c r="K32" s="18"/>
      <c r="L32" s="33"/>
      <c r="M32" s="47"/>
      <c r="P32" s="6"/>
    </row>
    <row r="33" spans="1:16" ht="12.75" customHeight="1" x14ac:dyDescent="0.25">
      <c r="A33" s="46">
        <v>43977</v>
      </c>
      <c r="B33" s="15"/>
      <c r="C33" s="15"/>
      <c r="D33" s="16"/>
      <c r="E33" s="22"/>
      <c r="F33" s="22"/>
      <c r="G33" s="17"/>
      <c r="H33" s="15"/>
      <c r="I33" s="15"/>
      <c r="J33" s="15"/>
      <c r="K33" s="18"/>
      <c r="L33" s="31"/>
      <c r="M33" s="47"/>
      <c r="P33" s="6"/>
    </row>
    <row r="34" spans="1:16" ht="12.75" customHeight="1" x14ac:dyDescent="0.25">
      <c r="A34" s="46">
        <v>43978</v>
      </c>
      <c r="B34" s="61"/>
      <c r="C34" s="62"/>
      <c r="D34" s="27"/>
      <c r="E34" s="17"/>
      <c r="F34" s="22"/>
      <c r="G34" s="17"/>
      <c r="H34" s="15"/>
      <c r="I34" s="17"/>
      <c r="J34" s="17"/>
      <c r="K34" s="18"/>
      <c r="L34" s="31"/>
      <c r="M34" s="47"/>
    </row>
    <row r="35" spans="1:16" ht="12.75" customHeight="1" x14ac:dyDescent="0.25">
      <c r="A35" s="46">
        <v>43979</v>
      </c>
      <c r="B35" s="15"/>
      <c r="C35" s="20"/>
      <c r="D35" s="16"/>
      <c r="E35" s="22"/>
      <c r="F35" s="22"/>
      <c r="G35" s="17"/>
      <c r="H35" s="17"/>
      <c r="I35" s="15"/>
      <c r="J35" s="15"/>
      <c r="K35" s="18"/>
      <c r="L35" s="31"/>
      <c r="M35" s="47"/>
    </row>
    <row r="36" spans="1:16" ht="12.75" customHeight="1" x14ac:dyDescent="0.25">
      <c r="A36" s="46">
        <v>43980</v>
      </c>
      <c r="B36" s="15"/>
      <c r="C36" s="20"/>
      <c r="D36" s="16"/>
      <c r="E36" s="22"/>
      <c r="F36" s="22"/>
      <c r="G36" s="17"/>
      <c r="H36" s="17"/>
      <c r="I36" s="15"/>
      <c r="J36" s="15"/>
      <c r="K36" s="18"/>
      <c r="L36" s="31"/>
      <c r="M36" s="47"/>
    </row>
    <row r="37" spans="1:16" s="23" customFormat="1" x14ac:dyDescent="0.25">
      <c r="A37" s="46">
        <v>43981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6">
        <v>43982</v>
      </c>
      <c r="B38" s="15"/>
      <c r="C38" s="15"/>
      <c r="D38" s="16"/>
      <c r="E38" s="17"/>
      <c r="F38" s="17"/>
      <c r="G38" s="17"/>
      <c r="H38" s="15"/>
      <c r="I38" s="15"/>
      <c r="J38" s="15"/>
      <c r="K38" s="34">
        <f t="shared" ref="K38" si="0">K37-K7</f>
        <v>0</v>
      </c>
      <c r="L38" s="23"/>
      <c r="M38" s="23"/>
    </row>
    <row r="39" spans="1:16" x14ac:dyDescent="0.25">
      <c r="A39" s="48" t="s">
        <v>35</v>
      </c>
      <c r="B39" s="34">
        <f t="shared" ref="B39:J39" si="1">B37-B7</f>
        <v>-681928</v>
      </c>
      <c r="C39" s="34">
        <f t="shared" si="1"/>
        <v>-817458</v>
      </c>
      <c r="D39" s="34">
        <f t="shared" si="1"/>
        <v>-0.6</v>
      </c>
      <c r="E39" s="34">
        <f t="shared" si="1"/>
        <v>-10837.57</v>
      </c>
      <c r="F39" s="34">
        <f t="shared" si="1"/>
        <v>-2069</v>
      </c>
      <c r="G39" s="34">
        <f t="shared" si="1"/>
        <v>-18961.310000000001</v>
      </c>
      <c r="H39" s="34">
        <f t="shared" si="1"/>
        <v>-14528</v>
      </c>
      <c r="I39" s="34">
        <f t="shared" si="1"/>
        <v>-93210</v>
      </c>
      <c r="J39" s="34">
        <f t="shared" si="1"/>
        <v>-38451184</v>
      </c>
      <c r="K39" s="23"/>
      <c r="L39" s="23"/>
      <c r="M39" s="23"/>
    </row>
    <row r="40" spans="1:16" x14ac:dyDescent="0.25">
      <c r="A40" s="23"/>
      <c r="B40" s="23"/>
      <c r="C40" s="34"/>
      <c r="D40" s="23"/>
      <c r="E40" s="25"/>
      <c r="F40" s="25"/>
      <c r="G40" s="25"/>
      <c r="H40" s="21">
        <f>H39*219.969</f>
        <v>-3195709.6319999998</v>
      </c>
      <c r="I40" s="34">
        <f>I39*219.969</f>
        <v>-20503310.489999998</v>
      </c>
      <c r="J40" s="25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05 - 2020</vt:lpstr>
      <vt:lpstr>'05 - 2020'!Print_Area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2020-05-06T01:35:52Z</dcterms:modified>
</cp:coreProperties>
</file>