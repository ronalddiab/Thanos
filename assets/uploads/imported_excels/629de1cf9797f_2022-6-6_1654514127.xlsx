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k Amy\Desktop\HEP 2019\"/>
    </mc:Choice>
  </mc:AlternateContent>
  <bookViews>
    <workbookView xWindow="0" yWindow="0" windowWidth="20490" windowHeight="7755" activeTab="4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5" l="1"/>
  <c r="I40" i="5"/>
  <c r="J25" i="1" l="1"/>
  <c r="H32" i="4" l="1"/>
  <c r="F37" i="2"/>
  <c r="G37" i="2" s="1"/>
  <c r="F38" i="2"/>
  <c r="G38" i="2" s="1"/>
  <c r="I14" i="1"/>
  <c r="I13" i="1"/>
  <c r="I6" i="1"/>
  <c r="I5" i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4" i="4" s="1"/>
  <c r="D14" i="5" s="1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3" i="1"/>
  <c r="I4" i="1"/>
  <c r="I7" i="1"/>
  <c r="I8" i="1"/>
  <c r="I9" i="1"/>
  <c r="I10" i="1"/>
  <c r="I11" i="1"/>
  <c r="I12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J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K32" i="5" s="1"/>
  <c r="L32" i="5" s="1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K16" i="5" s="1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4" i="4"/>
  <c r="J17" i="1" s="1"/>
  <c r="G23" i="4"/>
  <c r="J16" i="1" s="1"/>
  <c r="G22" i="4"/>
  <c r="J15" i="1" s="1"/>
  <c r="G19" i="4"/>
  <c r="J12" i="1" s="1"/>
  <c r="G18" i="4"/>
  <c r="J11" i="1" s="1"/>
  <c r="G17" i="4"/>
  <c r="J10" i="1" s="1"/>
  <c r="G16" i="4"/>
  <c r="J9" i="1" s="1"/>
  <c r="G15" i="4"/>
  <c r="J8" i="1" s="1"/>
  <c r="G14" i="4"/>
  <c r="H14" i="4" s="1"/>
  <c r="G11" i="4"/>
  <c r="H11" i="4" s="1"/>
  <c r="G10" i="4"/>
  <c r="J3" i="1" s="1"/>
  <c r="G9" i="4"/>
  <c r="J2" i="1" s="1"/>
  <c r="O40" i="3"/>
  <c r="F40" i="3"/>
  <c r="O41" i="3" s="1"/>
  <c r="G39" i="3"/>
  <c r="J8" i="3"/>
  <c r="J38" i="3"/>
  <c r="G38" i="3"/>
  <c r="J37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I37" i="2"/>
  <c r="J37" i="2" s="1"/>
  <c r="I36" i="2"/>
  <c r="J36" i="2" s="1"/>
  <c r="F36" i="2"/>
  <c r="G36" i="2" s="1"/>
  <c r="I35" i="2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I27" i="2"/>
  <c r="J27" i="2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/>
  <c r="F20" i="2"/>
  <c r="G20" i="2" s="1"/>
  <c r="I19" i="2"/>
  <c r="J19" i="2" s="1"/>
  <c r="F19" i="2"/>
  <c r="I18" i="2"/>
  <c r="J18" i="2" s="1"/>
  <c r="F18" i="2"/>
  <c r="G18" i="2" s="1"/>
  <c r="I17" i="2"/>
  <c r="J17" i="2" s="1"/>
  <c r="F17" i="2"/>
  <c r="G17" i="2" s="1"/>
  <c r="I16" i="2"/>
  <c r="J16" i="2" s="1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F12" i="2"/>
  <c r="G12" i="2" s="1"/>
  <c r="I11" i="2"/>
  <c r="J11" i="2" s="1"/>
  <c r="F11" i="2"/>
  <c r="G11" i="2" s="1"/>
  <c r="I10" i="2"/>
  <c r="J10" i="2"/>
  <c r="F10" i="2"/>
  <c r="G10" i="2" s="1"/>
  <c r="I9" i="2"/>
  <c r="J9" i="2" s="1"/>
  <c r="F9" i="2"/>
  <c r="G9" i="2" s="1"/>
  <c r="I8" i="2"/>
  <c r="J8" i="2" s="1"/>
  <c r="F8" i="2"/>
  <c r="G8" i="2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I41" i="5"/>
  <c r="F40" i="4"/>
  <c r="G12" i="4"/>
  <c r="J5" i="1" s="1"/>
  <c r="G20" i="4"/>
  <c r="J13" i="1" s="1"/>
  <c r="G13" i="4"/>
  <c r="J6" i="1" s="1"/>
  <c r="G21" i="4"/>
  <c r="J14" i="1" s="1"/>
  <c r="K17" i="5"/>
  <c r="L10" i="1" s="1"/>
  <c r="G29" i="4"/>
  <c r="J22" i="1" s="1"/>
  <c r="E4" i="1"/>
  <c r="G27" i="4"/>
  <c r="J20" i="1" s="1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Q32" i="3" s="1"/>
  <c r="R32" i="3" s="1"/>
  <c r="M24" i="3"/>
  <c r="M14" i="3"/>
  <c r="P14" i="3"/>
  <c r="M31" i="3"/>
  <c r="P31" i="3"/>
  <c r="M23" i="3"/>
  <c r="P23" i="3"/>
  <c r="M33" i="3"/>
  <c r="M15" i="3"/>
  <c r="M38" i="3"/>
  <c r="P38" i="3"/>
  <c r="M30" i="3"/>
  <c r="M22" i="3"/>
  <c r="Q22" i="3" s="1"/>
  <c r="R22" i="3" s="1"/>
  <c r="P22" i="3"/>
  <c r="M10" i="3"/>
  <c r="M37" i="3"/>
  <c r="P37" i="3"/>
  <c r="M29" i="3"/>
  <c r="P29" i="3"/>
  <c r="M21" i="3"/>
  <c r="M18" i="3"/>
  <c r="M11" i="3"/>
  <c r="P11" i="3"/>
  <c r="M36" i="3"/>
  <c r="M28" i="3"/>
  <c r="P28" i="3"/>
  <c r="M20" i="3"/>
  <c r="Q20" i="3" s="1"/>
  <c r="R20" i="3" s="1"/>
  <c r="P20" i="3"/>
  <c r="M34" i="3"/>
  <c r="P34" i="3"/>
  <c r="M26" i="3"/>
  <c r="M25" i="3"/>
  <c r="M13" i="3"/>
  <c r="P13" i="3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P24" i="3"/>
  <c r="P35" i="3"/>
  <c r="P26" i="3"/>
  <c r="P18" i="3"/>
  <c r="P9" i="3"/>
  <c r="P32" i="3"/>
  <c r="K24" i="5" l="1"/>
  <c r="K36" i="5"/>
  <c r="Q39" i="3"/>
  <c r="R39" i="3" s="1"/>
  <c r="Q23" i="3"/>
  <c r="R23" i="3" s="1"/>
  <c r="E22" i="1"/>
  <c r="G16" i="2"/>
  <c r="J4" i="1"/>
  <c r="K33" i="5"/>
  <c r="L26" i="1" s="1"/>
  <c r="K28" i="5"/>
  <c r="L28" i="5" s="1"/>
  <c r="L9" i="1"/>
  <c r="L17" i="1"/>
  <c r="E13" i="1"/>
  <c r="E31" i="1"/>
  <c r="K23" i="5"/>
  <c r="L23" i="5" s="1"/>
  <c r="K27" i="5"/>
  <c r="L27" i="5" s="1"/>
  <c r="K11" i="5"/>
  <c r="L11" i="5" s="1"/>
  <c r="K15" i="5"/>
  <c r="L15" i="5" s="1"/>
  <c r="K19" i="5"/>
  <c r="L19" i="5" s="1"/>
  <c r="K30" i="5"/>
  <c r="K38" i="5"/>
  <c r="L38" i="5" s="1"/>
  <c r="K10" i="5"/>
  <c r="L10" i="5" s="1"/>
  <c r="K18" i="5"/>
  <c r="L18" i="5" s="1"/>
  <c r="K21" i="5"/>
  <c r="L21" i="5" s="1"/>
  <c r="K22" i="5"/>
  <c r="L22" i="5" s="1"/>
  <c r="K25" i="5"/>
  <c r="L18" i="1" s="1"/>
  <c r="K20" i="5"/>
  <c r="L20" i="5" s="1"/>
  <c r="Q29" i="3"/>
  <c r="H22" i="1" s="1"/>
  <c r="Q26" i="3"/>
  <c r="R26" i="3" s="1"/>
  <c r="H38" i="4"/>
  <c r="H22" i="4"/>
  <c r="E25" i="1"/>
  <c r="E18" i="1"/>
  <c r="E17" i="1"/>
  <c r="E7" i="1"/>
  <c r="Q15" i="3"/>
  <c r="R15" i="3" s="1"/>
  <c r="Q34" i="3"/>
  <c r="R34" i="3" s="1"/>
  <c r="Q31" i="3"/>
  <c r="R31" i="3" s="1"/>
  <c r="Q13" i="3"/>
  <c r="R13" i="3" s="1"/>
  <c r="Q9" i="3"/>
  <c r="R9" i="3" s="1"/>
  <c r="Q17" i="3"/>
  <c r="R17" i="3" s="1"/>
  <c r="Q28" i="3"/>
  <c r="R28" i="3" s="1"/>
  <c r="Q30" i="3"/>
  <c r="R30" i="3" s="1"/>
  <c r="Q11" i="3"/>
  <c r="R11" i="3" s="1"/>
  <c r="Q38" i="3"/>
  <c r="R38" i="3" s="1"/>
  <c r="Q16" i="3"/>
  <c r="R16" i="3" s="1"/>
  <c r="Q27" i="3"/>
  <c r="R27" i="3" s="1"/>
  <c r="Q35" i="3"/>
  <c r="R35" i="3" s="1"/>
  <c r="Q37" i="3"/>
  <c r="H30" i="1" s="1"/>
  <c r="H34" i="4"/>
  <c r="H18" i="4"/>
  <c r="J7" i="1"/>
  <c r="H26" i="4"/>
  <c r="H10" i="4"/>
  <c r="K29" i="5"/>
  <c r="L29" i="5" s="1"/>
  <c r="K14" i="5"/>
  <c r="K9" i="5"/>
  <c r="L2" i="1" s="1"/>
  <c r="K13" i="5"/>
  <c r="L6" i="1" s="1"/>
  <c r="K26" i="5"/>
  <c r="L19" i="1" s="1"/>
  <c r="K31" i="5"/>
  <c r="L31" i="5" s="1"/>
  <c r="K35" i="5"/>
  <c r="L35" i="5" s="1"/>
  <c r="K39" i="5"/>
  <c r="L39" i="5" s="1"/>
  <c r="L20" i="1"/>
  <c r="K34" i="5"/>
  <c r="L34" i="5" s="1"/>
  <c r="K37" i="5"/>
  <c r="L30" i="1" s="1"/>
  <c r="E15" i="1"/>
  <c r="K8" i="2"/>
  <c r="L8" i="2" s="1"/>
  <c r="M8" i="2" s="1"/>
  <c r="E16" i="1"/>
  <c r="E19" i="1"/>
  <c r="E11" i="1"/>
  <c r="E6" i="1"/>
  <c r="E3" i="1"/>
  <c r="K16" i="2"/>
  <c r="L16" i="2" s="1"/>
  <c r="M16" i="2" s="1"/>
  <c r="L14" i="1"/>
  <c r="K12" i="5"/>
  <c r="L12" i="5" s="1"/>
  <c r="L30" i="5"/>
  <c r="L23" i="1"/>
  <c r="L17" i="5"/>
  <c r="L25" i="1"/>
  <c r="L33" i="5"/>
  <c r="L36" i="5"/>
  <c r="L29" i="1"/>
  <c r="L14" i="5"/>
  <c r="L7" i="1"/>
  <c r="L5" i="1"/>
  <c r="L24" i="5"/>
  <c r="L16" i="5"/>
  <c r="K33" i="1"/>
  <c r="Q12" i="3"/>
  <c r="R12" i="3" s="1"/>
  <c r="Q36" i="3"/>
  <c r="R36" i="3" s="1"/>
  <c r="Q24" i="3"/>
  <c r="H17" i="1" s="1"/>
  <c r="H19" i="1"/>
  <c r="Q10" i="3"/>
  <c r="R10" i="3" s="1"/>
  <c r="Q14" i="3"/>
  <c r="R14" i="3" s="1"/>
  <c r="Q18" i="3"/>
  <c r="R18" i="3" s="1"/>
  <c r="Q25" i="3"/>
  <c r="H18" i="1" s="1"/>
  <c r="Q19" i="3"/>
  <c r="R19" i="3" s="1"/>
  <c r="Q21" i="3"/>
  <c r="H14" i="1" s="1"/>
  <c r="Q33" i="3"/>
  <c r="R33" i="3" s="1"/>
  <c r="H32" i="1"/>
  <c r="H16" i="1"/>
  <c r="H5" i="1"/>
  <c r="H27" i="1"/>
  <c r="H25" i="1"/>
  <c r="H15" i="1"/>
  <c r="H13" i="1"/>
  <c r="G33" i="1"/>
  <c r="I33" i="1"/>
  <c r="H37" i="4"/>
  <c r="H33" i="4"/>
  <c r="H29" i="4"/>
  <c r="H25" i="4"/>
  <c r="H21" i="4"/>
  <c r="H17" i="4"/>
  <c r="H13" i="4"/>
  <c r="H30" i="4"/>
  <c r="H9" i="4"/>
  <c r="H36" i="4"/>
  <c r="H28" i="4"/>
  <c r="H24" i="4"/>
  <c r="H20" i="4"/>
  <c r="H16" i="4"/>
  <c r="H12" i="4"/>
  <c r="H39" i="4"/>
  <c r="H35" i="4"/>
  <c r="H31" i="4"/>
  <c r="H27" i="4"/>
  <c r="H23" i="4"/>
  <c r="H19" i="4"/>
  <c r="H15" i="4"/>
  <c r="F39" i="2"/>
  <c r="E21" i="1"/>
  <c r="E12" i="1"/>
  <c r="E20" i="1"/>
  <c r="G19" i="2"/>
  <c r="K19" i="2" s="1"/>
  <c r="L19" i="2" s="1"/>
  <c r="E14" i="1"/>
  <c r="G22" i="2"/>
  <c r="G23" i="2"/>
  <c r="K23" i="2" s="1"/>
  <c r="L23" i="2" s="1"/>
  <c r="G24" i="2"/>
  <c r="K24" i="2" s="1"/>
  <c r="L24" i="2" s="1"/>
  <c r="G28" i="2"/>
  <c r="K28" i="2" s="1"/>
  <c r="L28" i="2" s="1"/>
  <c r="F22" i="1" s="1"/>
  <c r="E29" i="1"/>
  <c r="K37" i="2"/>
  <c r="L37" i="2" s="1"/>
  <c r="M37" i="2" s="1"/>
  <c r="E32" i="1"/>
  <c r="E30" i="1"/>
  <c r="E23" i="1"/>
  <c r="I39" i="2"/>
  <c r="K11" i="2"/>
  <c r="L11" i="2" s="1"/>
  <c r="M11" i="2" s="1"/>
  <c r="J12" i="2"/>
  <c r="K12" i="2" s="1"/>
  <c r="L12" i="2" s="1"/>
  <c r="M12" i="2" s="1"/>
  <c r="K15" i="2"/>
  <c r="L15" i="2" s="1"/>
  <c r="M15" i="2" s="1"/>
  <c r="K21" i="2"/>
  <c r="L21" i="2" s="1"/>
  <c r="M21" i="2" s="1"/>
  <c r="K22" i="2"/>
  <c r="L22" i="2" s="1"/>
  <c r="M22" i="2" s="1"/>
  <c r="K25" i="2"/>
  <c r="L25" i="2" s="1"/>
  <c r="M25" i="2" s="1"/>
  <c r="K26" i="2"/>
  <c r="L26" i="2" s="1"/>
  <c r="M26" i="2" s="1"/>
  <c r="K27" i="2"/>
  <c r="L27" i="2" s="1"/>
  <c r="K29" i="2"/>
  <c r="L29" i="2" s="1"/>
  <c r="M29" i="2" s="1"/>
  <c r="K33" i="2"/>
  <c r="L33" i="2" s="1"/>
  <c r="M33" i="2" s="1"/>
  <c r="K9" i="2"/>
  <c r="L9" i="2" s="1"/>
  <c r="M9" i="2" s="1"/>
  <c r="K13" i="2"/>
  <c r="L13" i="2" s="1"/>
  <c r="M13" i="2" s="1"/>
  <c r="K17" i="2"/>
  <c r="L17" i="2" s="1"/>
  <c r="M17" i="2" s="1"/>
  <c r="E5" i="1"/>
  <c r="K10" i="2"/>
  <c r="L10" i="2" s="1"/>
  <c r="M10" i="2" s="1"/>
  <c r="K14" i="2"/>
  <c r="L14" i="2" s="1"/>
  <c r="M14" i="2" s="1"/>
  <c r="K18" i="2"/>
  <c r="L18" i="2" s="1"/>
  <c r="M18" i="2" s="1"/>
  <c r="K20" i="2"/>
  <c r="L20" i="2" s="1"/>
  <c r="K32" i="2"/>
  <c r="L32" i="2" s="1"/>
  <c r="M32" i="2" s="1"/>
  <c r="J35" i="2"/>
  <c r="K35" i="2" s="1"/>
  <c r="L35" i="2" s="1"/>
  <c r="M35" i="2" s="1"/>
  <c r="J38" i="2"/>
  <c r="K38" i="2" s="1"/>
  <c r="L38" i="2" s="1"/>
  <c r="K31" i="2"/>
  <c r="L31" i="2" s="1"/>
  <c r="K30" i="2"/>
  <c r="L30" i="2" s="1"/>
  <c r="M30" i="2" s="1"/>
  <c r="K34" i="2"/>
  <c r="L34" i="2" s="1"/>
  <c r="M34" i="2" s="1"/>
  <c r="K36" i="2"/>
  <c r="L36" i="2" s="1"/>
  <c r="M36" i="2" s="1"/>
  <c r="E2" i="1"/>
  <c r="E8" i="1"/>
  <c r="E9" i="1"/>
  <c r="E28" i="1"/>
  <c r="E24" i="1"/>
  <c r="E27" i="1"/>
  <c r="E26" i="1"/>
  <c r="N33" i="1"/>
  <c r="C40" i="3"/>
  <c r="D40" i="3"/>
  <c r="M33" i="1"/>
  <c r="D40" i="4"/>
  <c r="C10" i="4"/>
  <c r="C10" i="5" s="1"/>
  <c r="C40" i="5" s="1"/>
  <c r="D9" i="5"/>
  <c r="D40" i="5" s="1"/>
  <c r="L12" i="1" l="1"/>
  <c r="L16" i="1"/>
  <c r="L11" i="1"/>
  <c r="L21" i="1"/>
  <c r="H8" i="1"/>
  <c r="R29" i="3"/>
  <c r="R25" i="3"/>
  <c r="L9" i="5"/>
  <c r="L15" i="1"/>
  <c r="L31" i="1"/>
  <c r="L4" i="1"/>
  <c r="F30" i="1"/>
  <c r="F7" i="1"/>
  <c r="F25" i="1"/>
  <c r="L25" i="5"/>
  <c r="L32" i="1"/>
  <c r="L3" i="1"/>
  <c r="L28" i="1"/>
  <c r="L8" i="1"/>
  <c r="L22" i="1"/>
  <c r="L13" i="1"/>
  <c r="L26" i="5"/>
  <c r="F10" i="1"/>
  <c r="F17" i="1"/>
  <c r="M24" i="2"/>
  <c r="F18" i="1"/>
  <c r="F13" i="1"/>
  <c r="M19" i="2"/>
  <c r="F11" i="1"/>
  <c r="F8" i="1"/>
  <c r="I41" i="2"/>
  <c r="F24" i="1"/>
  <c r="H20" i="1"/>
  <c r="H6" i="1"/>
  <c r="H24" i="1"/>
  <c r="H21" i="1"/>
  <c r="R24" i="3"/>
  <c r="H4" i="1"/>
  <c r="H29" i="1"/>
  <c r="H23" i="1"/>
  <c r="H31" i="1"/>
  <c r="H2" i="1"/>
  <c r="H10" i="1"/>
  <c r="H12" i="1"/>
  <c r="H9" i="1"/>
  <c r="H3" i="1"/>
  <c r="H28" i="1"/>
  <c r="R37" i="3"/>
  <c r="L13" i="5"/>
  <c r="L37" i="5"/>
  <c r="L24" i="1"/>
  <c r="L27" i="1"/>
  <c r="F29" i="1"/>
  <c r="F3" i="1"/>
  <c r="F21" i="1"/>
  <c r="F28" i="1"/>
  <c r="F19" i="1"/>
  <c r="F15" i="1"/>
  <c r="F14" i="1"/>
  <c r="F5" i="1"/>
  <c r="F23" i="1"/>
  <c r="F27" i="1"/>
  <c r="R21" i="3"/>
  <c r="H26" i="1"/>
  <c r="H7" i="1"/>
  <c r="H11" i="1"/>
  <c r="H40" i="4"/>
  <c r="M23" i="2"/>
  <c r="F6" i="1"/>
  <c r="F9" i="1"/>
  <c r="F20" i="1"/>
  <c r="F16" i="1"/>
  <c r="M27" i="2"/>
  <c r="M31" i="2"/>
  <c r="M20" i="2"/>
  <c r="F31" i="1"/>
  <c r="F12" i="1"/>
  <c r="L39" i="2"/>
  <c r="M38" i="2"/>
  <c r="F32" i="1"/>
  <c r="F4" i="1"/>
  <c r="M28" i="2"/>
  <c r="E33" i="1"/>
  <c r="F26" i="1"/>
  <c r="F2" i="1"/>
  <c r="C40" i="4"/>
  <c r="R40" i="3" l="1"/>
  <c r="L33" i="1"/>
  <c r="L40" i="5"/>
  <c r="H33" i="1"/>
  <c r="M39" i="2"/>
  <c r="F33" i="1"/>
</calcChain>
</file>

<file path=xl/sharedStrings.xml><?xml version="1.0" encoding="utf-8"?>
<sst xmlns="http://schemas.openxmlformats.org/spreadsheetml/2006/main" count="118" uniqueCount="61">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</sst>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Fill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 applyBorder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 applyAlignme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3" fontId="11" fillId="0" borderId="7" xfId="1" applyNumberFormat="1" applyFont="1" applyFill="1" applyBorder="1" applyAlignment="1">
      <alignment horizontal="center" shrinkToFit="1"/>
    </xf>
    <xf numFmtId="167" fontId="11" fillId="0" borderId="8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1</v>
      </c>
      <c r="D2" s="7">
        <v>2019</v>
      </c>
      <c r="E2" s="9">
        <f>Electricity!F8+Electricity!I8</f>
        <v>10799.999999999272</v>
      </c>
      <c r="F2" s="10">
        <f>Electricity!L8/TOTAL!E2</f>
        <v>1240.2988888888997</v>
      </c>
      <c r="G2" s="9">
        <f>Gas!F9+Gas!I9+Gas!L9+Gas!O9</f>
        <v>121.03248566068078</v>
      </c>
      <c r="H2" s="10">
        <f>Gas!Q9/TOTAL!G2</f>
        <v>15840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182</v>
      </c>
      <c r="L2" s="10">
        <f>Water!K9/TOTAL!K2</f>
        <v>4526.4835164835167</v>
      </c>
      <c r="M2" s="9">
        <f>Electricity!C8</f>
        <v>41</v>
      </c>
      <c r="N2" s="9">
        <f>Electricity!D8</f>
        <v>214</v>
      </c>
    </row>
    <row r="3" spans="1:14" x14ac:dyDescent="0.25">
      <c r="A3" s="6" t="s">
        <v>14</v>
      </c>
      <c r="B3" s="7">
        <f>B2+1</f>
        <v>2</v>
      </c>
      <c r="C3" s="8">
        <v>1</v>
      </c>
      <c r="D3" s="7">
        <v>2019</v>
      </c>
      <c r="E3" s="9">
        <f>Electricity!F9+Electricity!I9</f>
        <v>10160.000000000309</v>
      </c>
      <c r="F3" s="10">
        <f>Electricity!L9/TOTAL!E3</f>
        <v>1241.0712106299275</v>
      </c>
      <c r="G3" s="9">
        <f>Gas!F10+Gas!I10+Gas!L10+Gas!O10</f>
        <v>121.03248566068078</v>
      </c>
      <c r="H3" s="10">
        <f>Gas!Q10/TOTAL!G3</f>
        <v>15840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182</v>
      </c>
      <c r="L3" s="10">
        <f>Water!K10/TOTAL!K3</f>
        <v>4473.8351648351645</v>
      </c>
      <c r="M3" s="9">
        <f>Electricity!C9</f>
        <v>42</v>
      </c>
      <c r="N3" s="9">
        <f>Electricity!D9</f>
        <v>214</v>
      </c>
    </row>
    <row r="4" spans="1:14" x14ac:dyDescent="0.25">
      <c r="A4" s="6" t="s">
        <v>14</v>
      </c>
      <c r="B4" s="7">
        <f t="shared" ref="B4:B30" si="0">B3+1</f>
        <v>3</v>
      </c>
      <c r="C4" s="8">
        <v>1</v>
      </c>
      <c r="D4" s="7">
        <v>2019</v>
      </c>
      <c r="E4" s="9">
        <f>Electricity!F10+Electricity!I10</f>
        <v>10400.000000000091</v>
      </c>
      <c r="F4" s="10">
        <f>Electricity!L10/TOTAL!E4</f>
        <v>1243.0978365384658</v>
      </c>
      <c r="G4" s="9">
        <f>Gas!F11+Gas!I11+Gas!L11+Gas!O11</f>
        <v>139.48598338247118</v>
      </c>
      <c r="H4" s="10">
        <f>Gas!Q11/TOTAL!G4</f>
        <v>15840.000000000005</v>
      </c>
      <c r="I4" s="9">
        <f>'Fuel Diesel'!F11</f>
        <v>50</v>
      </c>
      <c r="J4" s="11">
        <f>'Fuel Diesel'!G11/'Fuel Diesel'!F11</f>
        <v>10700</v>
      </c>
      <c r="K4" s="9">
        <f>Water!E11+Water!G11+Water!I11</f>
        <v>197</v>
      </c>
      <c r="L4" s="10">
        <f>Water!K11/TOTAL!K4</f>
        <v>4437.756345177665</v>
      </c>
      <c r="M4" s="9">
        <f>Electricity!C10</f>
        <v>48</v>
      </c>
      <c r="N4" s="9">
        <f>Electricity!D10</f>
        <v>248</v>
      </c>
    </row>
    <row r="5" spans="1:14" x14ac:dyDescent="0.25">
      <c r="A5" s="6" t="s">
        <v>14</v>
      </c>
      <c r="B5" s="7">
        <f t="shared" si="0"/>
        <v>4</v>
      </c>
      <c r="C5" s="8">
        <v>1</v>
      </c>
      <c r="D5" s="7">
        <v>2019</v>
      </c>
      <c r="E5" s="9">
        <f>Electricity!F11+Electricity!I11</f>
        <v>10180.000000000291</v>
      </c>
      <c r="F5" s="10">
        <f>Electricity!L11/TOTAL!E5</f>
        <v>1240.8707760314153</v>
      </c>
      <c r="G5" s="9">
        <f>Gas!F12+Gas!I12+Gas!L12+Gas!O12</f>
        <v>157.93948110426157</v>
      </c>
      <c r="H5" s="10">
        <f>Gas!Q12/TOTAL!G5</f>
        <v>15840.000000000005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193</v>
      </c>
      <c r="L5" s="10">
        <f>Water!K12/TOTAL!K5</f>
        <v>4446.8290155440418</v>
      </c>
      <c r="M5" s="9">
        <f>Electricity!C11</f>
        <v>54</v>
      </c>
      <c r="N5" s="9">
        <f>Electricity!D11</f>
        <v>282</v>
      </c>
    </row>
    <row r="6" spans="1:14" x14ac:dyDescent="0.25">
      <c r="A6" s="6" t="s">
        <v>14</v>
      </c>
      <c r="B6" s="7">
        <f t="shared" si="0"/>
        <v>5</v>
      </c>
      <c r="C6" s="8">
        <v>1</v>
      </c>
      <c r="D6" s="7">
        <v>2019</v>
      </c>
      <c r="E6" s="9">
        <f>Electricity!F12+Electricity!I12</f>
        <v>10460.000000000946</v>
      </c>
      <c r="F6" s="10">
        <f>Electricity!L12/TOTAL!E6</f>
        <v>1239.2341300191194</v>
      </c>
      <c r="G6" s="9">
        <f>Gas!F13+Gas!I13+Gas!L13+Gas!O13</f>
        <v>150.8837319753417</v>
      </c>
      <c r="H6" s="10">
        <f>Gas!Q13/TOTAL!G6</f>
        <v>15840.000000000004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221</v>
      </c>
      <c r="L6" s="10">
        <f>Water!K13/TOTAL!K6</f>
        <v>4607.0045248868782</v>
      </c>
      <c r="M6" s="9">
        <f>Electricity!C12</f>
        <v>54</v>
      </c>
      <c r="N6" s="9">
        <f>Electricity!D12</f>
        <v>269</v>
      </c>
    </row>
    <row r="7" spans="1:14" x14ac:dyDescent="0.25">
      <c r="A7" s="6" t="s">
        <v>14</v>
      </c>
      <c r="B7" s="7">
        <f t="shared" si="0"/>
        <v>6</v>
      </c>
      <c r="C7" s="8">
        <v>1</v>
      </c>
      <c r="D7" s="7">
        <v>2019</v>
      </c>
      <c r="E7" s="9">
        <f>Electricity!F13+Electricity!I13</f>
        <v>10320.000000000164</v>
      </c>
      <c r="F7" s="10">
        <f>Electricity!L13/TOTAL!E7</f>
        <v>1243.9044089147321</v>
      </c>
      <c r="G7" s="9">
        <f>Gas!F14+Gas!I14+Gas!L14+Gas!O14</f>
        <v>144.91348271240955</v>
      </c>
      <c r="H7" s="10">
        <f>Gas!Q14/TOTAL!G7</f>
        <v>15840.000000000002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229</v>
      </c>
      <c r="L7" s="10">
        <f>Water!K14/TOTAL!K7</f>
        <v>5004.2270742358078</v>
      </c>
      <c r="M7" s="9">
        <f>Electricity!C13</f>
        <v>50</v>
      </c>
      <c r="N7" s="9">
        <f>Electricity!D13</f>
        <v>258</v>
      </c>
    </row>
    <row r="8" spans="1:14" x14ac:dyDescent="0.25">
      <c r="A8" s="6" t="s">
        <v>14</v>
      </c>
      <c r="B8" s="7">
        <f t="shared" si="0"/>
        <v>7</v>
      </c>
      <c r="C8" s="8">
        <v>1</v>
      </c>
      <c r="D8" s="7">
        <v>2019</v>
      </c>
      <c r="E8" s="9">
        <f>Electricity!F14+Electricity!I14</f>
        <v>10719.999999998436</v>
      </c>
      <c r="F8" s="10">
        <f>Electricity!L14/TOTAL!E8</f>
        <v>1237.8668376865642</v>
      </c>
      <c r="G8" s="9">
        <f>Gas!F15+Gas!I15+Gas!L15+Gas!O15</f>
        <v>135.14398391852049</v>
      </c>
      <c r="H8" s="10">
        <f>Gas!Q15/TOTAL!G8</f>
        <v>15840.000000000004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261</v>
      </c>
      <c r="L8" s="10">
        <f>Water!K15/TOTAL!K8</f>
        <v>5505.2183908045981</v>
      </c>
      <c r="M8" s="9">
        <f>Electricity!C14</f>
        <v>40</v>
      </c>
      <c r="N8" s="9">
        <f>Electricity!D14</f>
        <v>240</v>
      </c>
    </row>
    <row r="9" spans="1:14" x14ac:dyDescent="0.25">
      <c r="A9" s="6" t="s">
        <v>14</v>
      </c>
      <c r="B9" s="7">
        <f t="shared" si="0"/>
        <v>8</v>
      </c>
      <c r="C9" s="8">
        <v>1</v>
      </c>
      <c r="D9" s="7">
        <v>2019</v>
      </c>
      <c r="E9" s="9">
        <f>Electricity!F15+Electricity!I15</f>
        <v>10500</v>
      </c>
      <c r="F9" s="10">
        <f>Electricity!L15/TOTAL!E9</f>
        <v>1243.1917142857185</v>
      </c>
      <c r="G9" s="9">
        <f>Gas!F16+Gas!I16+Gas!L16+Gas!O16</f>
        <v>137.31498365049583</v>
      </c>
      <c r="H9" s="10">
        <f>Gas!Q16/TOTAL!G9</f>
        <v>15840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252</v>
      </c>
      <c r="L9" s="10">
        <f>Water!K16/TOTAL!K9</f>
        <v>7270.0476190476193</v>
      </c>
      <c r="M9" s="9">
        <f>Electricity!C15</f>
        <v>42</v>
      </c>
      <c r="N9" s="9">
        <f>Electricity!D15</f>
        <v>244</v>
      </c>
    </row>
    <row r="10" spans="1:14" x14ac:dyDescent="0.25">
      <c r="A10" s="6" t="s">
        <v>14</v>
      </c>
      <c r="B10" s="7">
        <f t="shared" si="0"/>
        <v>9</v>
      </c>
      <c r="C10" s="8">
        <v>1</v>
      </c>
      <c r="D10" s="7">
        <v>2019</v>
      </c>
      <c r="E10" s="9">
        <f>Electricity!F16+Electricity!I16</f>
        <v>10280.0000000002</v>
      </c>
      <c r="F10" s="10">
        <f>Electricity!L16/TOTAL!E10</f>
        <v>1242.0963521400829</v>
      </c>
      <c r="G10" s="9">
        <f>Gas!F17+Gas!I17+Gas!L17+Gas!O17</f>
        <v>127.71748432055749</v>
      </c>
      <c r="H10" s="10">
        <f>Gas!Q17/TOTAL!G10</f>
        <v>15840.000000000002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225</v>
      </c>
      <c r="L10" s="10">
        <f>Water!K17/TOTAL!K10</f>
        <v>6810.72</v>
      </c>
      <c r="M10" s="9">
        <f>Electricity!C16</f>
        <v>47</v>
      </c>
      <c r="N10" s="9">
        <f>Electricity!D16</f>
        <v>234</v>
      </c>
    </row>
    <row r="11" spans="1:14" x14ac:dyDescent="0.25">
      <c r="A11" s="6" t="s">
        <v>14</v>
      </c>
      <c r="B11" s="7">
        <f t="shared" si="0"/>
        <v>10</v>
      </c>
      <c r="C11" s="8">
        <v>1</v>
      </c>
      <c r="D11" s="7">
        <v>2019</v>
      </c>
      <c r="E11" s="9">
        <f>Electricity!F17+Electricity!I17</f>
        <v>10779.999999999745</v>
      </c>
      <c r="F11" s="10">
        <f>Electricity!L17/TOTAL!E11</f>
        <v>1242.6000000000042</v>
      </c>
      <c r="G11" s="9">
        <f>Gas!F18+Gas!I18+Gas!L18+Gas!O18</f>
        <v>131.88748432055749</v>
      </c>
      <c r="H11" s="10">
        <f>Gas!Q18/TOTAL!G11</f>
        <v>15840.000000000004</v>
      </c>
      <c r="I11" s="9">
        <f>'Fuel Diesel'!F18</f>
        <v>40</v>
      </c>
      <c r="J11" s="11">
        <f>'Fuel Diesel'!G18/'Fuel Diesel'!F18</f>
        <v>10700</v>
      </c>
      <c r="K11" s="9">
        <f>Water!E18+Water!G18+Water!I18</f>
        <v>279</v>
      </c>
      <c r="L11" s="10">
        <f>Water!K18/TOTAL!K11</f>
        <v>6541.4623655913974</v>
      </c>
      <c r="M11" s="9">
        <f>Electricity!C17</f>
        <v>49</v>
      </c>
      <c r="N11" s="9">
        <f>Electricity!D17</f>
        <v>234</v>
      </c>
    </row>
    <row r="12" spans="1:14" x14ac:dyDescent="0.25">
      <c r="A12" s="6" t="s">
        <v>14</v>
      </c>
      <c r="B12" s="7">
        <f t="shared" si="0"/>
        <v>11</v>
      </c>
      <c r="C12" s="8">
        <v>1</v>
      </c>
      <c r="D12" s="7">
        <v>2019</v>
      </c>
      <c r="E12" s="9">
        <f>Electricity!F18+Electricity!I18</f>
        <v>10180.000000000291</v>
      </c>
      <c r="F12" s="10">
        <f>Electricity!L18/TOTAL!E12</f>
        <v>1241.9896856581586</v>
      </c>
      <c r="G12" s="9">
        <f>Gas!F19+Gas!I19+Gas!L19+Gas!O19</f>
        <v>154.1402315733047</v>
      </c>
      <c r="H12" s="10">
        <f>Gas!Q19/TOTAL!G12</f>
        <v>15840.000000000004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274</v>
      </c>
      <c r="L12" s="10">
        <f>Water!K19/TOTAL!K12</f>
        <v>6343.0437956204378</v>
      </c>
      <c r="M12" s="9">
        <f>Electricity!C18</f>
        <v>45</v>
      </c>
      <c r="N12" s="9">
        <f>Electricity!D18</f>
        <v>275</v>
      </c>
    </row>
    <row r="13" spans="1:14" x14ac:dyDescent="0.25">
      <c r="A13" s="6" t="s">
        <v>14</v>
      </c>
      <c r="B13" s="7">
        <f t="shared" si="0"/>
        <v>12</v>
      </c>
      <c r="C13" s="8">
        <v>1</v>
      </c>
      <c r="D13" s="7">
        <v>2019</v>
      </c>
      <c r="E13" s="9">
        <f>Electricity!F19+Electricity!I19</f>
        <v>10659.9999999994</v>
      </c>
      <c r="F13" s="10">
        <f>Electricity!L19/TOTAL!E13</f>
        <v>1241.6286116322558</v>
      </c>
      <c r="G13" s="9">
        <f>Gas!F20+Gas!I20+Gas!L20+Gas!O20</f>
        <v>138.94323344947733</v>
      </c>
      <c r="H13" s="10">
        <f>Gas!Q20/TOTAL!G13</f>
        <v>15840.000000000005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281</v>
      </c>
      <c r="L13" s="10">
        <f>Water!K20/TOTAL!K13</f>
        <v>6114.1779359430602</v>
      </c>
      <c r="M13" s="9">
        <f>Electricity!C19</f>
        <v>48</v>
      </c>
      <c r="N13" s="9">
        <f>Electricity!D19</f>
        <v>247</v>
      </c>
    </row>
    <row r="14" spans="1:14" x14ac:dyDescent="0.25">
      <c r="A14" s="6" t="s">
        <v>14</v>
      </c>
      <c r="B14" s="7">
        <f t="shared" si="0"/>
        <v>13</v>
      </c>
      <c r="C14" s="8">
        <v>1</v>
      </c>
      <c r="D14" s="7">
        <v>2019</v>
      </c>
      <c r="E14" s="9">
        <f>Electricity!F20+Electricity!I20</f>
        <v>10300.000000001546</v>
      </c>
      <c r="F14" s="10">
        <f>Electricity!L20/TOTAL!E14</f>
        <v>1244.1080097087272</v>
      </c>
      <c r="G14" s="9">
        <f>Gas!F21+Gas!I21+Gas!L21+Gas!O21</f>
        <v>151.42648190833555</v>
      </c>
      <c r="H14" s="10">
        <f>Gas!Q21/TOTAL!G14</f>
        <v>15840.000000000004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256</v>
      </c>
      <c r="L14" s="10">
        <f>Water!K21/TOTAL!K14</f>
        <v>6956.9453125</v>
      </c>
      <c r="M14" s="9">
        <f>Electricity!C20</f>
        <v>51</v>
      </c>
      <c r="N14" s="9">
        <f>Electricity!D20</f>
        <v>270</v>
      </c>
    </row>
    <row r="15" spans="1:14" x14ac:dyDescent="0.25">
      <c r="A15" s="6" t="s">
        <v>14</v>
      </c>
      <c r="B15" s="7">
        <f t="shared" si="0"/>
        <v>14</v>
      </c>
      <c r="C15" s="8">
        <v>1</v>
      </c>
      <c r="D15" s="7">
        <v>2019</v>
      </c>
      <c r="E15" s="9">
        <f>Electricity!F21+Electricity!I21</f>
        <v>10299.999999999272</v>
      </c>
      <c r="F15" s="10">
        <f>Electricity!L21/TOTAL!E15</f>
        <v>1240.7903883495298</v>
      </c>
      <c r="G15" s="9">
        <f>Gas!F22+Gas!I22+Gas!L22+Gas!O22</f>
        <v>140.02873331546502</v>
      </c>
      <c r="H15" s="10">
        <f>Gas!Q22/TOTAL!G15</f>
        <v>15840.000000000004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223</v>
      </c>
      <c r="L15" s="10">
        <f>Water!K22/TOTAL!K15</f>
        <v>7179.6771300448427</v>
      </c>
      <c r="M15" s="9">
        <f>Electricity!C21</f>
        <v>43</v>
      </c>
      <c r="N15" s="9">
        <f>Electricity!D21</f>
        <v>249</v>
      </c>
    </row>
    <row r="16" spans="1:14" x14ac:dyDescent="0.25">
      <c r="A16" s="6" t="s">
        <v>14</v>
      </c>
      <c r="B16" s="7">
        <f t="shared" si="0"/>
        <v>15</v>
      </c>
      <c r="C16" s="8">
        <v>1</v>
      </c>
      <c r="D16" s="7">
        <v>2019</v>
      </c>
      <c r="E16" s="9">
        <f>Electricity!F22+Electricity!I22</f>
        <v>10060.0000000004</v>
      </c>
      <c r="F16" s="10">
        <f>Electricity!L22/TOTAL!E16</f>
        <v>1240.9530815109408</v>
      </c>
      <c r="G16" s="9">
        <f>Gas!F23+Gas!I23+Gas!L23+Gas!O23</f>
        <v>152.14123130528009</v>
      </c>
      <c r="H16" s="10">
        <f>Gas!Q23/TOTAL!G16</f>
        <v>15840.000000000004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223</v>
      </c>
      <c r="L16" s="10">
        <f>Water!K23/TOTAL!K16</f>
        <v>6835.9282511210758</v>
      </c>
      <c r="M16" s="9">
        <f>Electricity!C22</f>
        <v>39</v>
      </c>
      <c r="N16" s="9">
        <f>Electricity!D22</f>
        <v>279</v>
      </c>
    </row>
    <row r="17" spans="1:14" x14ac:dyDescent="0.25">
      <c r="A17" s="6" t="s">
        <v>14</v>
      </c>
      <c r="B17" s="7">
        <f t="shared" si="0"/>
        <v>16</v>
      </c>
      <c r="C17" s="8">
        <v>1</v>
      </c>
      <c r="D17" s="7">
        <v>2019</v>
      </c>
      <c r="E17" s="9">
        <f>Electricity!F23+Electricity!I23</f>
        <v>9799.9999999992724</v>
      </c>
      <c r="F17" s="10">
        <f>Electricity!L23/TOTAL!E17</f>
        <v>1240.1697448979542</v>
      </c>
      <c r="G17" s="9">
        <f>Gas!F24+Gas!I24+Gas!L24+Gas!O24</f>
        <v>138.40048351648349</v>
      </c>
      <c r="H17" s="10">
        <f>Gas!Q24/TOTAL!G17</f>
        <v>15840.000000000005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210</v>
      </c>
      <c r="L17" s="10">
        <f>Water!K24/TOTAL!K17</f>
        <v>7239.6285714285714</v>
      </c>
      <c r="M17" s="9">
        <f>Electricity!C23</f>
        <v>51</v>
      </c>
      <c r="N17" s="9">
        <f>Electricity!D23</f>
        <v>246</v>
      </c>
    </row>
    <row r="18" spans="1:14" x14ac:dyDescent="0.25">
      <c r="A18" s="6" t="s">
        <v>14</v>
      </c>
      <c r="B18" s="7">
        <f t="shared" si="0"/>
        <v>17</v>
      </c>
      <c r="C18" s="8">
        <v>1</v>
      </c>
      <c r="D18" s="7">
        <v>2019</v>
      </c>
      <c r="E18" s="9">
        <f>Electricity!F24+Electricity!I24</f>
        <v>9960.0000000004911</v>
      </c>
      <c r="F18" s="10">
        <f>Electricity!L24/TOTAL!E18</f>
        <v>1240.8325803212917</v>
      </c>
      <c r="G18" s="9">
        <f>Gas!F25+Gas!I25+Gas!L25+Gas!O25</f>
        <v>137.31498365049583</v>
      </c>
      <c r="H18" s="10">
        <f>Gas!Q25/TOTAL!G18</f>
        <v>15840</v>
      </c>
      <c r="I18" s="9">
        <f>'Fuel Diesel'!F25</f>
        <v>50</v>
      </c>
      <c r="J18" s="11">
        <f>'Fuel Diesel'!G25/'Fuel Diesel'!F25</f>
        <v>10700</v>
      </c>
      <c r="K18" s="9">
        <f>Water!E25+Water!G25+Water!I25</f>
        <v>212</v>
      </c>
      <c r="L18" s="10">
        <f>Water!K25/TOTAL!K18</f>
        <v>7028.2735849056608</v>
      </c>
      <c r="M18" s="9">
        <f>Electricity!C24</f>
        <v>48</v>
      </c>
      <c r="N18" s="9">
        <f>Electricity!D24</f>
        <v>244</v>
      </c>
    </row>
    <row r="19" spans="1:14" x14ac:dyDescent="0.25">
      <c r="A19" s="6" t="s">
        <v>14</v>
      </c>
      <c r="B19" s="7">
        <f t="shared" si="0"/>
        <v>18</v>
      </c>
      <c r="C19" s="8">
        <v>1</v>
      </c>
      <c r="D19" s="7">
        <v>2019</v>
      </c>
      <c r="E19" s="9">
        <f>Electricity!F25+Electricity!I25</f>
        <v>11180.000000000746</v>
      </c>
      <c r="F19" s="10">
        <f>Electricity!L25/TOTAL!E19</f>
        <v>1226.6692307692147</v>
      </c>
      <c r="G19" s="9">
        <f>Gas!F26+Gas!I26+Gas!L26+Gas!O26</f>
        <v>137.8577335834897</v>
      </c>
      <c r="H19" s="10">
        <f>Gas!Q26/TOTAL!G19</f>
        <v>15840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231</v>
      </c>
      <c r="L19" s="10">
        <f>Water!K26/TOTAL!K19</f>
        <v>6737.7142857142853</v>
      </c>
      <c r="M19" s="9">
        <f>Electricity!C25</f>
        <v>50</v>
      </c>
      <c r="N19" s="9">
        <f>Electricity!D25</f>
        <v>245</v>
      </c>
    </row>
    <row r="20" spans="1:14" x14ac:dyDescent="0.25">
      <c r="A20" s="6" t="s">
        <v>14</v>
      </c>
      <c r="B20" s="7">
        <f t="shared" si="0"/>
        <v>19</v>
      </c>
      <c r="C20" s="8">
        <v>1</v>
      </c>
      <c r="D20" s="7">
        <v>2019</v>
      </c>
      <c r="E20" s="9">
        <f>Electricity!F26+Electricity!I26</f>
        <v>8199.9999999993634</v>
      </c>
      <c r="F20" s="10">
        <f>Electricity!L26/TOTAL!E20</f>
        <v>1259.9004268292942</v>
      </c>
      <c r="G20" s="9">
        <f>Gas!F27+Gas!I27+Gas!L27+Gas!O27</f>
        <v>147.25648190833556</v>
      </c>
      <c r="H20" s="10">
        <f>Gas!Q27/TOTAL!G20</f>
        <v>15840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255</v>
      </c>
      <c r="L20" s="10">
        <f>Water!K27/TOTAL!K20</f>
        <v>6592.7764705882355</v>
      </c>
      <c r="M20" s="9">
        <f>Electricity!C26</f>
        <v>49</v>
      </c>
      <c r="N20" s="9">
        <f>Electricity!D26</f>
        <v>270</v>
      </c>
    </row>
    <row r="21" spans="1:14" x14ac:dyDescent="0.25">
      <c r="A21" s="6" t="s">
        <v>14</v>
      </c>
      <c r="B21" s="7">
        <f t="shared" si="0"/>
        <v>20</v>
      </c>
      <c r="C21" s="8">
        <v>1</v>
      </c>
      <c r="D21" s="7">
        <v>2019</v>
      </c>
      <c r="E21" s="9">
        <f>Electricity!F27+Electricity!I27</f>
        <v>9760.0000000002183</v>
      </c>
      <c r="F21" s="10">
        <f>Electricity!L27/TOTAL!E21</f>
        <v>1240.5841700819522</v>
      </c>
      <c r="G21" s="9">
        <f>Gas!F28+Gas!I28+Gas!L28+Gas!O28</f>
        <v>154.1402315733047</v>
      </c>
      <c r="H21" s="10">
        <f>Gas!Q28/TOTAL!G21</f>
        <v>15840.000000000004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256</v>
      </c>
      <c r="L21" s="10">
        <f>Water!K28/TOTAL!K21</f>
        <v>6470.359375</v>
      </c>
      <c r="M21" s="9">
        <f>Electricity!C27</f>
        <v>44</v>
      </c>
      <c r="N21" s="9">
        <f>Electricity!D27</f>
        <v>275</v>
      </c>
    </row>
    <row r="22" spans="1:14" x14ac:dyDescent="0.25">
      <c r="A22" s="6" t="s">
        <v>14</v>
      </c>
      <c r="B22" s="7">
        <f t="shared" si="0"/>
        <v>21</v>
      </c>
      <c r="C22" s="8">
        <v>1</v>
      </c>
      <c r="D22" s="7">
        <v>2019</v>
      </c>
      <c r="E22" s="9">
        <f>Electricity!F28+Electricity!I28</f>
        <v>9399.9999999991815</v>
      </c>
      <c r="F22" s="10">
        <f>Electricity!L28/TOTAL!E22</f>
        <v>1240.8374468085099</v>
      </c>
      <c r="G22" s="9">
        <f>Gas!F29+Gas!I29+Gas!L29+Gas!O29</f>
        <v>132.43023425355133</v>
      </c>
      <c r="H22" s="10">
        <f>Gas!Q29/TOTAL!G22</f>
        <v>15840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244</v>
      </c>
      <c r="L22" s="10">
        <f>Water!K29/TOTAL!K22</f>
        <v>6434.7704918032787</v>
      </c>
      <c r="M22" s="9">
        <f>Electricity!C28</f>
        <v>41</v>
      </c>
      <c r="N22" s="9">
        <f>Electricity!D28</f>
        <v>235</v>
      </c>
    </row>
    <row r="23" spans="1:14" x14ac:dyDescent="0.25">
      <c r="A23" s="6" t="s">
        <v>14</v>
      </c>
      <c r="B23" s="7">
        <f t="shared" si="0"/>
        <v>22</v>
      </c>
      <c r="C23" s="8">
        <v>1</v>
      </c>
      <c r="D23" s="7">
        <v>2019</v>
      </c>
      <c r="E23" s="9">
        <f>Electricity!F29+Electricity!I29</f>
        <v>9460.0000000009459</v>
      </c>
      <c r="F23" s="10">
        <f>Electricity!L29/TOTAL!E23</f>
        <v>1240.1918604651239</v>
      </c>
      <c r="G23" s="9">
        <f>Gas!F30+Gas!I30+Gas!L30+Gas!O30</f>
        <v>100.40798820691504</v>
      </c>
      <c r="H23" s="10">
        <f>Gas!Q30/TOTAL!G23</f>
        <v>15840.000000000002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217</v>
      </c>
      <c r="L23" s="10">
        <f>Water!K30/TOTAL!K23</f>
        <v>6870.1843317972352</v>
      </c>
      <c r="M23" s="9">
        <f>Electricity!C29</f>
        <v>38</v>
      </c>
      <c r="N23" s="9">
        <f>Electricity!D29</f>
        <v>176</v>
      </c>
    </row>
    <row r="24" spans="1:14" x14ac:dyDescent="0.25">
      <c r="A24" s="6" t="s">
        <v>14</v>
      </c>
      <c r="B24" s="7">
        <f t="shared" si="0"/>
        <v>23</v>
      </c>
      <c r="C24" s="8">
        <v>1</v>
      </c>
      <c r="D24" s="7">
        <v>2019</v>
      </c>
      <c r="E24" s="9">
        <f>Electricity!F30+Electricity!I30</f>
        <v>9959.9999999995816</v>
      </c>
      <c r="F24" s="10">
        <f>Electricity!L30/TOTAL!E24</f>
        <v>1241.9762048192661</v>
      </c>
      <c r="G24" s="9">
        <f>Gas!F31+Gas!I31+Gas!L31+Gas!O31</f>
        <v>104.20723773787188</v>
      </c>
      <c r="H24" s="10">
        <f>Gas!Q31/TOTAL!G24</f>
        <v>15840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236</v>
      </c>
      <c r="L24" s="10">
        <f>Water!K31/TOTAL!K24</f>
        <v>6679.7118644067796</v>
      </c>
      <c r="M24" s="9">
        <f>Electricity!C30</f>
        <v>41</v>
      </c>
      <c r="N24" s="9">
        <f>Electricity!D30</f>
        <v>183</v>
      </c>
    </row>
    <row r="25" spans="1:14" x14ac:dyDescent="0.25">
      <c r="A25" s="6" t="s">
        <v>14</v>
      </c>
      <c r="B25" s="7">
        <f t="shared" si="0"/>
        <v>24</v>
      </c>
      <c r="C25" s="8">
        <v>1</v>
      </c>
      <c r="D25" s="7">
        <v>2019</v>
      </c>
      <c r="E25" s="9">
        <f>Electricity!F31+Electricity!I31</f>
        <v>10120.000000000346</v>
      </c>
      <c r="F25" s="10">
        <f>Electricity!L31/TOTAL!E25</f>
        <v>1239.2233695652253</v>
      </c>
      <c r="G25" s="9">
        <f>Gas!F32+Gas!I32+Gas!L32+Gas!O32</f>
        <v>116.69048619673011</v>
      </c>
      <c r="H25" s="10">
        <f>Gas!Q32/TOTAL!G25</f>
        <v>15840.000000000002</v>
      </c>
      <c r="I25" s="9">
        <f>'Fuel Diesel'!F32</f>
        <v>50</v>
      </c>
      <c r="J25" s="11">
        <f>'Fuel Diesel'!G32/'Fuel Diesel'!F32</f>
        <v>0</v>
      </c>
      <c r="K25" s="9">
        <f>Water!E32+Water!G32+Water!I32</f>
        <v>259</v>
      </c>
      <c r="L25" s="10">
        <f>Water!K32/TOTAL!K25</f>
        <v>6441.7451737451738</v>
      </c>
      <c r="M25" s="9">
        <f>Electricity!C31</f>
        <v>40</v>
      </c>
      <c r="N25" s="9">
        <f>Electricity!D31</f>
        <v>206</v>
      </c>
    </row>
    <row r="26" spans="1:14" x14ac:dyDescent="0.25">
      <c r="A26" s="6" t="s">
        <v>14</v>
      </c>
      <c r="B26" s="7">
        <f>B25+1</f>
        <v>25</v>
      </c>
      <c r="C26" s="8">
        <v>1</v>
      </c>
      <c r="D26" s="7">
        <v>2019</v>
      </c>
      <c r="E26" s="9">
        <f>Electricity!F32+Electricity!I32</f>
        <v>9759.999999998854</v>
      </c>
      <c r="F26" s="10">
        <f>Electricity!L32/TOTAL!E26</f>
        <v>1244.0853483606522</v>
      </c>
      <c r="G26" s="9">
        <f>Gas!F33+Gas!I33+Gas!L33+Gas!O33</f>
        <v>120.48973572768695</v>
      </c>
      <c r="H26" s="10">
        <f>Gas!Q33/TOTAL!G26</f>
        <v>15840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251</v>
      </c>
      <c r="L26" s="10">
        <f>Water!K33/TOTAL!K26</f>
        <v>6595.9203187250996</v>
      </c>
      <c r="M26" s="9">
        <f>Electricity!C32</f>
        <v>46</v>
      </c>
      <c r="N26" s="9">
        <f>Electricity!D32</f>
        <v>213</v>
      </c>
    </row>
    <row r="27" spans="1:14" x14ac:dyDescent="0.25">
      <c r="A27" s="6" t="s">
        <v>14</v>
      </c>
      <c r="B27" s="7">
        <f t="shared" si="0"/>
        <v>26</v>
      </c>
      <c r="C27" s="8">
        <v>1</v>
      </c>
      <c r="D27" s="7">
        <v>2019</v>
      </c>
      <c r="E27" s="9">
        <f>Electricity!F33+Electricity!I33</f>
        <v>10019.999999999982</v>
      </c>
      <c r="F27" s="10">
        <f>Electricity!L33/TOTAL!E27</f>
        <v>1240.2231037924269</v>
      </c>
      <c r="G27" s="9">
        <f>Gas!F34+Gas!I34+Gas!L34+Gas!O34</f>
        <v>160.11048083623689</v>
      </c>
      <c r="H27" s="10">
        <f>Gas!Q34/TOTAL!G27</f>
        <v>15840.000000000004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318</v>
      </c>
      <c r="L27" s="10">
        <f>Water!K34/TOTAL!K27</f>
        <v>6018.8490566037735</v>
      </c>
      <c r="M27" s="9">
        <f>Electricity!C33</f>
        <v>47</v>
      </c>
      <c r="N27" s="9">
        <f>Electricity!D33</f>
        <v>286</v>
      </c>
    </row>
    <row r="28" spans="1:14" x14ac:dyDescent="0.25">
      <c r="A28" s="6" t="s">
        <v>14</v>
      </c>
      <c r="B28" s="7">
        <f t="shared" si="0"/>
        <v>27</v>
      </c>
      <c r="C28" s="8">
        <v>1</v>
      </c>
      <c r="D28" s="7">
        <v>2019</v>
      </c>
      <c r="E28" s="9">
        <f>Electricity!F34+Electricity!I34</f>
        <v>9880.0000000014734</v>
      </c>
      <c r="F28" s="10">
        <f>Electricity!L34/TOTAL!E28</f>
        <v>1243.9624999999937</v>
      </c>
      <c r="G28" s="9">
        <f>Gas!F35+Gas!I35+Gas!L35+Gas!O35</f>
        <v>161.73873063521842</v>
      </c>
      <c r="H28" s="10">
        <f>Gas!Q35/TOTAL!G28</f>
        <v>15840.000000000004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252</v>
      </c>
      <c r="L28" s="10">
        <f>Water!K35/TOTAL!K28</f>
        <v>6433.5238095238092</v>
      </c>
      <c r="M28" s="9">
        <f>Electricity!C34</f>
        <v>51</v>
      </c>
      <c r="N28" s="9">
        <f>Electricity!D34</f>
        <v>289</v>
      </c>
    </row>
    <row r="29" spans="1:14" x14ac:dyDescent="0.25">
      <c r="A29" s="6" t="s">
        <v>14</v>
      </c>
      <c r="B29" s="7">
        <f t="shared" si="0"/>
        <v>28</v>
      </c>
      <c r="C29" s="8">
        <v>1</v>
      </c>
      <c r="D29" s="7">
        <v>2019</v>
      </c>
      <c r="E29" s="9">
        <f>Electricity!F35+Electricity!I35</f>
        <v>9779.9999999988358</v>
      </c>
      <c r="F29" s="10">
        <f>Electricity!L35/TOTAL!E29</f>
        <v>1240.3765337423308</v>
      </c>
      <c r="G29" s="9">
        <f>Gas!F36+Gas!I36+Gas!L36+Gas!O36</f>
        <v>154.68298150629857</v>
      </c>
      <c r="H29" s="10">
        <f>Gas!Q36/TOTAL!G29</f>
        <v>15840.000000000002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242</v>
      </c>
      <c r="L29" s="10">
        <f>Water!K36/TOTAL!K29</f>
        <v>6692.4628099173551</v>
      </c>
      <c r="M29" s="9">
        <f>Electricity!C35</f>
        <v>54</v>
      </c>
      <c r="N29" s="9">
        <f>Electricity!D35</f>
        <v>276</v>
      </c>
    </row>
    <row r="30" spans="1:14" x14ac:dyDescent="0.25">
      <c r="A30" s="6" t="s">
        <v>14</v>
      </c>
      <c r="B30" s="7">
        <f t="shared" si="0"/>
        <v>29</v>
      </c>
      <c r="C30" s="8">
        <v>1</v>
      </c>
      <c r="D30" s="7">
        <v>2019</v>
      </c>
      <c r="E30" s="9">
        <f>Electricity!F36+Electricity!I36</f>
        <v>9300.0000000010914</v>
      </c>
      <c r="F30" s="10">
        <f>Electricity!L36/TOTAL!E30</f>
        <v>1241.9319354838769</v>
      </c>
      <c r="G30" s="9">
        <f>Gas!F37+Gas!I37+Gas!L37+Gas!O37</f>
        <v>155.22573143929242</v>
      </c>
      <c r="H30" s="10">
        <f>Gas!Q37/TOTAL!G30</f>
        <v>15840.000000000002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248</v>
      </c>
      <c r="L30" s="10">
        <f>Water!K37/TOTAL!K30</f>
        <v>6627.322580645161</v>
      </c>
      <c r="M30" s="9">
        <f>Electricity!C36</f>
        <v>48</v>
      </c>
      <c r="N30" s="9">
        <f>Electricity!D36</f>
        <v>277</v>
      </c>
    </row>
    <row r="31" spans="1:14" x14ac:dyDescent="0.25">
      <c r="A31" s="6" t="s">
        <v>14</v>
      </c>
      <c r="B31" s="7">
        <v>30</v>
      </c>
      <c r="C31" s="8">
        <v>1</v>
      </c>
      <c r="D31" s="7">
        <v>2019</v>
      </c>
      <c r="E31" s="9">
        <f>Electricity!F37+Electricity!I37</f>
        <v>8379.9999999996544</v>
      </c>
      <c r="F31" s="10">
        <f>Electricity!L37/TOTAL!E31</f>
        <v>1221.9641408114458</v>
      </c>
      <c r="G31" s="9">
        <f>Gas!F38+Gas!I38+Gas!L38+Gas!O38</f>
        <v>159.02498097024926</v>
      </c>
      <c r="H31" s="10">
        <f>Gas!Q38/TOTAL!G31</f>
        <v>15840.000000000004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234</v>
      </c>
      <c r="L31" s="10">
        <f>Water!K38/TOTAL!K31</f>
        <v>6620.7179487179483</v>
      </c>
      <c r="M31" s="9">
        <f>Electricity!C37</f>
        <v>44</v>
      </c>
      <c r="N31" s="9">
        <f>Electricity!D37</f>
        <v>284</v>
      </c>
    </row>
    <row r="32" spans="1:14" x14ac:dyDescent="0.25">
      <c r="A32" s="6" t="s">
        <v>14</v>
      </c>
      <c r="B32" s="7">
        <v>31</v>
      </c>
      <c r="C32" s="8">
        <v>1</v>
      </c>
      <c r="D32" s="7">
        <v>2019</v>
      </c>
      <c r="E32" s="9">
        <f>Electricity!F38+Electricity!I38</f>
        <v>0</v>
      </c>
      <c r="F32" s="10" t="e">
        <f>Electricity!L38/TOTAL!E32</f>
        <v>#DIV/0!</v>
      </c>
      <c r="G32" s="9">
        <f>Gas!F39+Gas!I39+Gas!L39+Gas!O39</f>
        <v>7.14</v>
      </c>
      <c r="H32" s="10">
        <f>Gas!Q39/TOTAL!G32</f>
        <v>15840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0</v>
      </c>
      <c r="L32" s="10" t="e">
        <f>Water!K39/TOTAL!K32</f>
        <v>#DIV/0!</v>
      </c>
      <c r="M32" s="9" t="str">
        <f>Electricity!C38</f>
        <v xml:space="preserve"> -   </v>
      </c>
      <c r="N32" s="9" t="str">
        <f>Electricity!D38</f>
        <v xml:space="preserve"> -   </v>
      </c>
    </row>
    <row r="33" spans="5:14" x14ac:dyDescent="0.25">
      <c r="E33" s="86">
        <f>SUM(E2:E32)</f>
        <v>301060.00000000041</v>
      </c>
      <c r="F33" s="86" t="e">
        <f>SUM(F2:F32)/31</f>
        <v>#DIV/0!</v>
      </c>
      <c r="G33" s="86">
        <f>SUM(G2:G32)</f>
        <v>4191.1499999999996</v>
      </c>
      <c r="H33" s="96">
        <f>SUM(H2:H32)/31</f>
        <v>15840</v>
      </c>
      <c r="I33" s="86">
        <f>SUM(I2:I32)</f>
        <v>190</v>
      </c>
      <c r="J33" s="96" t="e">
        <f>J26</f>
        <v>#DIV/0!</v>
      </c>
      <c r="K33" s="86">
        <f>SUM(K2:K32)</f>
        <v>7143</v>
      </c>
      <c r="L33" s="96" t="e">
        <f>SUM(L2:L32)/31</f>
        <v>#DIV/0!</v>
      </c>
      <c r="M33" s="86">
        <f t="shared" ref="M33:N33" si="1">SUM(M2:M32)</f>
        <v>1385</v>
      </c>
      <c r="N33" s="86">
        <f t="shared" si="1"/>
        <v>7462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selection activeCell="J17" sqref="J17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100" t="s">
        <v>15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3"/>
      <c r="N1" s="14"/>
    </row>
    <row r="2" spans="1:14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101">
        <v>43617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8"/>
    </row>
    <row r="5" spans="1:14" x14ac:dyDescent="0.25">
      <c r="A5" s="19"/>
      <c r="B5" s="99" t="s">
        <v>17</v>
      </c>
      <c r="C5" s="99" t="s">
        <v>18</v>
      </c>
      <c r="D5" s="99" t="s">
        <v>13</v>
      </c>
      <c r="E5" s="102" t="s">
        <v>19</v>
      </c>
      <c r="F5" s="102"/>
      <c r="G5" s="102"/>
      <c r="H5" s="103" t="s">
        <v>20</v>
      </c>
      <c r="I5" s="103"/>
      <c r="J5" s="103"/>
      <c r="K5" s="99" t="s">
        <v>21</v>
      </c>
      <c r="L5" s="99" t="s">
        <v>22</v>
      </c>
      <c r="M5" s="99" t="s">
        <v>23</v>
      </c>
      <c r="N5" s="20"/>
    </row>
    <row r="6" spans="1:14" s="21" customFormat="1" x14ac:dyDescent="0.25">
      <c r="A6" s="19"/>
      <c r="B6" s="99"/>
      <c r="C6" s="99"/>
      <c r="D6" s="99"/>
      <c r="E6" s="99" t="s">
        <v>24</v>
      </c>
      <c r="F6" s="99" t="s">
        <v>25</v>
      </c>
      <c r="G6" s="99" t="s">
        <v>26</v>
      </c>
      <c r="H6" s="99" t="s">
        <v>24</v>
      </c>
      <c r="I6" s="99" t="s">
        <v>25</v>
      </c>
      <c r="J6" s="99" t="s">
        <v>27</v>
      </c>
      <c r="K6" s="99"/>
      <c r="L6" s="99"/>
      <c r="M6" s="99"/>
      <c r="N6" s="20"/>
    </row>
    <row r="7" spans="1:14" x14ac:dyDescent="0.25">
      <c r="A7" s="22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23"/>
    </row>
    <row r="8" spans="1:14" x14ac:dyDescent="0.25">
      <c r="A8" s="22"/>
      <c r="B8" s="24">
        <v>1</v>
      </c>
      <c r="C8" s="25">
        <v>41</v>
      </c>
      <c r="D8" s="25">
        <v>214</v>
      </c>
      <c r="E8" s="26">
        <v>4.4399999999995998</v>
      </c>
      <c r="F8" s="27">
        <f t="shared" ref="F8:F38" si="0">E8*2000</f>
        <v>8879.9999999991996</v>
      </c>
      <c r="G8" s="28">
        <f t="shared" ref="G8:G38" si="1">F8*1035.5</f>
        <v>9195239.9999991711</v>
      </c>
      <c r="H8" s="26">
        <v>0.96000000000003638</v>
      </c>
      <c r="I8" s="27">
        <f t="shared" ref="I8:I38" si="2">H8*2000</f>
        <v>1920.0000000000728</v>
      </c>
      <c r="J8" s="28">
        <f t="shared" ref="J8:J38" si="3">I8*1553.25</f>
        <v>2982240.0000001132</v>
      </c>
      <c r="K8" s="26">
        <f t="shared" ref="K8:K38" si="4">G8+J8</f>
        <v>12177479.999999285</v>
      </c>
      <c r="L8" s="29">
        <f t="shared" ref="L8:L38" si="5">K8*1.1</f>
        <v>13395227.999999214</v>
      </c>
      <c r="M8" s="30">
        <f>L8/14381</f>
        <v>931.45316737356336</v>
      </c>
      <c r="N8" s="31"/>
    </row>
    <row r="9" spans="1:14" x14ac:dyDescent="0.25">
      <c r="A9" s="22"/>
      <c r="B9" s="24">
        <v>2</v>
      </c>
      <c r="C9" s="25">
        <v>42</v>
      </c>
      <c r="D9" s="25">
        <v>214</v>
      </c>
      <c r="E9" s="26">
        <v>4.1700000000000728</v>
      </c>
      <c r="F9" s="27">
        <f t="shared" si="0"/>
        <v>8340.0000000001455</v>
      </c>
      <c r="G9" s="28">
        <f t="shared" si="1"/>
        <v>8636070.0000001509</v>
      </c>
      <c r="H9" s="26">
        <v>0.91000000000008185</v>
      </c>
      <c r="I9" s="27">
        <f t="shared" si="2"/>
        <v>1820.0000000001637</v>
      </c>
      <c r="J9" s="28">
        <f t="shared" si="3"/>
        <v>2826915.0000002543</v>
      </c>
      <c r="K9" s="26">
        <f t="shared" si="4"/>
        <v>11462985.000000406</v>
      </c>
      <c r="L9" s="29">
        <f t="shared" si="5"/>
        <v>12609283.500000447</v>
      </c>
      <c r="M9" s="30">
        <f t="shared" ref="M9:M38" si="6">L9/14381</f>
        <v>876.80157847162559</v>
      </c>
      <c r="N9" s="31"/>
    </row>
    <row r="10" spans="1:14" x14ac:dyDescent="0.25">
      <c r="A10" s="22"/>
      <c r="B10" s="24">
        <v>3</v>
      </c>
      <c r="C10" s="25">
        <v>48</v>
      </c>
      <c r="D10" s="25">
        <v>248</v>
      </c>
      <c r="E10" s="26">
        <v>4.25</v>
      </c>
      <c r="F10" s="27">
        <f t="shared" si="0"/>
        <v>8500</v>
      </c>
      <c r="G10" s="28">
        <f t="shared" si="1"/>
        <v>8801750</v>
      </c>
      <c r="H10" s="26">
        <v>0.95000000000004547</v>
      </c>
      <c r="I10" s="27">
        <f t="shared" si="2"/>
        <v>1900.0000000000909</v>
      </c>
      <c r="J10" s="28">
        <f t="shared" si="3"/>
        <v>2951175.0000001411</v>
      </c>
      <c r="K10" s="26">
        <f t="shared" si="4"/>
        <v>11752925.000000142</v>
      </c>
      <c r="L10" s="29">
        <f t="shared" si="5"/>
        <v>12928217.500000156</v>
      </c>
      <c r="M10" s="30">
        <f t="shared" si="6"/>
        <v>898.97903483764389</v>
      </c>
      <c r="N10" s="31"/>
    </row>
    <row r="11" spans="1:14" x14ac:dyDescent="0.25">
      <c r="A11" s="22"/>
      <c r="B11" s="24">
        <v>4</v>
      </c>
      <c r="C11" s="25">
        <v>54</v>
      </c>
      <c r="D11" s="25">
        <v>282</v>
      </c>
      <c r="E11" s="26">
        <v>4.180000000000291</v>
      </c>
      <c r="F11" s="27">
        <f t="shared" si="0"/>
        <v>8360.0000000005821</v>
      </c>
      <c r="G11" s="28">
        <f t="shared" si="1"/>
        <v>8656780.0000006035</v>
      </c>
      <c r="H11" s="26">
        <v>0.90999999999985448</v>
      </c>
      <c r="I11" s="27">
        <f t="shared" si="2"/>
        <v>1819.999999999709</v>
      </c>
      <c r="J11" s="28">
        <f t="shared" si="3"/>
        <v>2826914.9999995478</v>
      </c>
      <c r="K11" s="26">
        <f t="shared" si="4"/>
        <v>11483695.000000151</v>
      </c>
      <c r="L11" s="29">
        <f t="shared" si="5"/>
        <v>12632064.500000168</v>
      </c>
      <c r="M11" s="30">
        <f t="shared" si="6"/>
        <v>878.38568249775176</v>
      </c>
      <c r="N11" s="31"/>
    </row>
    <row r="12" spans="1:14" x14ac:dyDescent="0.25">
      <c r="A12" s="22"/>
      <c r="B12" s="24">
        <v>5</v>
      </c>
      <c r="C12" s="25">
        <v>54</v>
      </c>
      <c r="D12" s="25">
        <v>269</v>
      </c>
      <c r="E12" s="26">
        <v>4.3100000000004002</v>
      </c>
      <c r="F12" s="27">
        <f t="shared" si="0"/>
        <v>8620.0000000008004</v>
      </c>
      <c r="G12" s="28">
        <f t="shared" si="1"/>
        <v>8926010.0000008289</v>
      </c>
      <c r="H12" s="26">
        <v>0.92000000000007276</v>
      </c>
      <c r="I12" s="27">
        <f t="shared" si="2"/>
        <v>1840.0000000001455</v>
      </c>
      <c r="J12" s="28">
        <f t="shared" si="3"/>
        <v>2857980.0000002258</v>
      </c>
      <c r="K12" s="26">
        <f t="shared" si="4"/>
        <v>11783990.000001054</v>
      </c>
      <c r="L12" s="29">
        <f t="shared" si="5"/>
        <v>12962389.00000116</v>
      </c>
      <c r="M12" s="30">
        <f t="shared" si="6"/>
        <v>901.35519087693206</v>
      </c>
      <c r="N12" s="31"/>
    </row>
    <row r="13" spans="1:14" x14ac:dyDescent="0.25">
      <c r="A13" s="22"/>
      <c r="B13" s="24">
        <v>6</v>
      </c>
      <c r="C13" s="25">
        <v>50</v>
      </c>
      <c r="D13" s="25">
        <v>258</v>
      </c>
      <c r="E13" s="26">
        <v>4.2100000000000364</v>
      </c>
      <c r="F13" s="27">
        <f t="shared" si="0"/>
        <v>8420.0000000000728</v>
      </c>
      <c r="G13" s="28">
        <f t="shared" si="1"/>
        <v>8718910.0000000745</v>
      </c>
      <c r="H13" s="26">
        <v>0.95000000000004547</v>
      </c>
      <c r="I13" s="27">
        <f t="shared" si="2"/>
        <v>1900.0000000000909</v>
      </c>
      <c r="J13" s="28">
        <f t="shared" si="3"/>
        <v>2951175.0000001411</v>
      </c>
      <c r="K13" s="26">
        <f t="shared" si="4"/>
        <v>11670085.000000216</v>
      </c>
      <c r="L13" s="29">
        <f t="shared" si="5"/>
        <v>12837093.500000238</v>
      </c>
      <c r="M13" s="30">
        <f t="shared" si="6"/>
        <v>892.64261873306714</v>
      </c>
      <c r="N13" s="31"/>
    </row>
    <row r="14" spans="1:14" x14ac:dyDescent="0.25">
      <c r="A14" s="22"/>
      <c r="B14" s="24">
        <v>7</v>
      </c>
      <c r="C14" s="25">
        <v>40</v>
      </c>
      <c r="D14" s="25">
        <v>240</v>
      </c>
      <c r="E14" s="26">
        <v>4.4299999999993815</v>
      </c>
      <c r="F14" s="27">
        <f t="shared" si="0"/>
        <v>8859.9999999987631</v>
      </c>
      <c r="G14" s="28">
        <f t="shared" si="1"/>
        <v>9174529.9999987185</v>
      </c>
      <c r="H14" s="26">
        <v>0.92999999999983629</v>
      </c>
      <c r="I14" s="27">
        <f t="shared" si="2"/>
        <v>1859.9999999996726</v>
      </c>
      <c r="J14" s="28">
        <f t="shared" si="3"/>
        <v>2889044.9999994915</v>
      </c>
      <c r="K14" s="26">
        <f t="shared" si="4"/>
        <v>12063574.99999821</v>
      </c>
      <c r="L14" s="29">
        <f t="shared" si="5"/>
        <v>13269932.499998031</v>
      </c>
      <c r="M14" s="30">
        <f t="shared" si="6"/>
        <v>922.74059522968025</v>
      </c>
      <c r="N14" s="31"/>
    </row>
    <row r="15" spans="1:14" x14ac:dyDescent="0.25">
      <c r="A15" s="22"/>
      <c r="B15" s="24">
        <v>8</v>
      </c>
      <c r="C15" s="25">
        <v>42</v>
      </c>
      <c r="D15" s="25">
        <v>244</v>
      </c>
      <c r="E15" s="26">
        <v>4.2899999999999636</v>
      </c>
      <c r="F15" s="27">
        <f t="shared" si="0"/>
        <v>8579.9999999999272</v>
      </c>
      <c r="G15" s="28">
        <f t="shared" si="1"/>
        <v>8884589.9999999255</v>
      </c>
      <c r="H15" s="26">
        <v>0.96000000000003638</v>
      </c>
      <c r="I15" s="27">
        <f t="shared" si="2"/>
        <v>1920.0000000000728</v>
      </c>
      <c r="J15" s="28">
        <f t="shared" si="3"/>
        <v>2982240.0000001132</v>
      </c>
      <c r="K15" s="26">
        <f t="shared" si="4"/>
        <v>11866830.000000039</v>
      </c>
      <c r="L15" s="29">
        <f t="shared" si="5"/>
        <v>13053513.000000045</v>
      </c>
      <c r="M15" s="30">
        <f t="shared" si="6"/>
        <v>907.69160698143696</v>
      </c>
      <c r="N15" s="31"/>
    </row>
    <row r="16" spans="1:14" x14ac:dyDescent="0.25">
      <c r="A16" s="22"/>
      <c r="B16" s="24">
        <v>9</v>
      </c>
      <c r="C16" s="25">
        <v>47</v>
      </c>
      <c r="D16" s="25">
        <v>234</v>
      </c>
      <c r="E16" s="26">
        <v>4.2100000000000364</v>
      </c>
      <c r="F16" s="27">
        <f t="shared" si="0"/>
        <v>8420.0000000000728</v>
      </c>
      <c r="G16" s="28">
        <f t="shared" si="1"/>
        <v>8718910.0000000745</v>
      </c>
      <c r="H16" s="26">
        <v>0.93000000000006366</v>
      </c>
      <c r="I16" s="27">
        <f t="shared" si="2"/>
        <v>1860.0000000001273</v>
      </c>
      <c r="J16" s="28">
        <f t="shared" si="3"/>
        <v>2889045.0000001979</v>
      </c>
      <c r="K16" s="26">
        <f t="shared" si="4"/>
        <v>11607955.000000272</v>
      </c>
      <c r="L16" s="29">
        <f t="shared" si="5"/>
        <v>12768750.5000003</v>
      </c>
      <c r="M16" s="30">
        <f t="shared" si="6"/>
        <v>887.89030665463463</v>
      </c>
      <c r="N16" s="31"/>
    </row>
    <row r="17" spans="1:14" x14ac:dyDescent="0.25">
      <c r="A17" s="22"/>
      <c r="B17" s="24">
        <v>10</v>
      </c>
      <c r="C17" s="25">
        <v>49</v>
      </c>
      <c r="D17" s="25">
        <v>234</v>
      </c>
      <c r="E17" s="26">
        <v>4.4099999999998545</v>
      </c>
      <c r="F17" s="27">
        <f t="shared" si="0"/>
        <v>8819.999999999709</v>
      </c>
      <c r="G17" s="28">
        <f t="shared" si="1"/>
        <v>9133109.9999996983</v>
      </c>
      <c r="H17" s="26">
        <v>0.98000000000001819</v>
      </c>
      <c r="I17" s="27">
        <f t="shared" si="2"/>
        <v>1960.0000000000364</v>
      </c>
      <c r="J17" s="28">
        <f t="shared" si="3"/>
        <v>3044370.0000000563</v>
      </c>
      <c r="K17" s="26">
        <f t="shared" si="4"/>
        <v>12177479.999999754</v>
      </c>
      <c r="L17" s="29">
        <f t="shared" si="5"/>
        <v>13395227.99999973</v>
      </c>
      <c r="M17" s="30">
        <f t="shared" si="6"/>
        <v>931.45316737359917</v>
      </c>
      <c r="N17" s="31"/>
    </row>
    <row r="18" spans="1:14" x14ac:dyDescent="0.25">
      <c r="A18" s="22"/>
      <c r="B18" s="24">
        <v>11</v>
      </c>
      <c r="C18" s="25">
        <v>45</v>
      </c>
      <c r="D18" s="25">
        <v>275</v>
      </c>
      <c r="E18" s="26">
        <v>4.1700000000000728</v>
      </c>
      <c r="F18" s="27">
        <f t="shared" si="0"/>
        <v>8340.0000000001455</v>
      </c>
      <c r="G18" s="28">
        <f t="shared" si="1"/>
        <v>8636070.0000001509</v>
      </c>
      <c r="H18" s="26">
        <v>0.92000000000007276</v>
      </c>
      <c r="I18" s="27">
        <f t="shared" si="2"/>
        <v>1840.0000000001455</v>
      </c>
      <c r="J18" s="28">
        <f t="shared" si="3"/>
        <v>2857980.0000002258</v>
      </c>
      <c r="K18" s="26">
        <f t="shared" si="4"/>
        <v>11494050.000000376</v>
      </c>
      <c r="L18" s="29">
        <f t="shared" si="5"/>
        <v>12643455.000000415</v>
      </c>
      <c r="M18" s="30">
        <f t="shared" si="6"/>
        <v>879.17773451084179</v>
      </c>
      <c r="N18" s="31"/>
    </row>
    <row r="19" spans="1:14" x14ac:dyDescent="0.25">
      <c r="A19" s="22"/>
      <c r="B19" s="24">
        <v>12</v>
      </c>
      <c r="C19" s="25">
        <v>48</v>
      </c>
      <c r="D19" s="25">
        <v>247</v>
      </c>
      <c r="E19" s="26">
        <v>4.3699999999998909</v>
      </c>
      <c r="F19" s="27">
        <f t="shared" si="0"/>
        <v>8739.9999999997817</v>
      </c>
      <c r="G19" s="28">
        <f t="shared" si="1"/>
        <v>9050269.9999997746</v>
      </c>
      <c r="H19" s="26">
        <v>0.95999999999980901</v>
      </c>
      <c r="I19" s="27">
        <f t="shared" si="2"/>
        <v>1919.999999999618</v>
      </c>
      <c r="J19" s="28">
        <f t="shared" si="3"/>
        <v>2982239.9999994067</v>
      </c>
      <c r="K19" s="26">
        <f t="shared" si="4"/>
        <v>12032509.99999918</v>
      </c>
      <c r="L19" s="29">
        <f t="shared" si="5"/>
        <v>13235760.9999991</v>
      </c>
      <c r="M19" s="30">
        <f t="shared" si="6"/>
        <v>920.36443919053613</v>
      </c>
      <c r="N19" s="31"/>
    </row>
    <row r="20" spans="1:14" x14ac:dyDescent="0.25">
      <c r="A20" s="22"/>
      <c r="B20" s="24">
        <v>13</v>
      </c>
      <c r="C20" s="25">
        <v>51</v>
      </c>
      <c r="D20" s="25">
        <v>270</v>
      </c>
      <c r="E20" s="26">
        <v>4.2000000000007276</v>
      </c>
      <c r="F20" s="27">
        <f t="shared" si="0"/>
        <v>8400.0000000014552</v>
      </c>
      <c r="G20" s="28">
        <f t="shared" si="1"/>
        <v>8698200.0000015069</v>
      </c>
      <c r="H20" s="26">
        <v>0.95000000000004547</v>
      </c>
      <c r="I20" s="27">
        <f t="shared" si="2"/>
        <v>1900.0000000000909</v>
      </c>
      <c r="J20" s="28">
        <f t="shared" si="3"/>
        <v>2951175.0000001411</v>
      </c>
      <c r="K20" s="26">
        <f t="shared" si="4"/>
        <v>11649375.000001648</v>
      </c>
      <c r="L20" s="29">
        <f t="shared" si="5"/>
        <v>12814312.500001814</v>
      </c>
      <c r="M20" s="30">
        <f t="shared" si="6"/>
        <v>891.05851470703112</v>
      </c>
      <c r="N20" s="31"/>
    </row>
    <row r="21" spans="1:14" x14ac:dyDescent="0.25">
      <c r="A21" s="22"/>
      <c r="B21" s="24">
        <v>14</v>
      </c>
      <c r="C21" s="25">
        <v>43</v>
      </c>
      <c r="D21" s="25">
        <v>249</v>
      </c>
      <c r="E21" s="26">
        <v>4.2299999999995634</v>
      </c>
      <c r="F21" s="27">
        <f t="shared" si="0"/>
        <v>8459.9999999991269</v>
      </c>
      <c r="G21" s="28">
        <f t="shared" si="1"/>
        <v>8760329.9999990966</v>
      </c>
      <c r="H21" s="26">
        <v>0.92000000000007276</v>
      </c>
      <c r="I21" s="27">
        <f t="shared" si="2"/>
        <v>1840.0000000001455</v>
      </c>
      <c r="J21" s="28">
        <f t="shared" si="3"/>
        <v>2857980.0000002258</v>
      </c>
      <c r="K21" s="26">
        <f t="shared" si="4"/>
        <v>11618309.999999322</v>
      </c>
      <c r="L21" s="29">
        <f t="shared" si="5"/>
        <v>12780140.999999255</v>
      </c>
      <c r="M21" s="30">
        <f t="shared" si="6"/>
        <v>888.68235866763473</v>
      </c>
      <c r="N21" s="31"/>
    </row>
    <row r="22" spans="1:14" x14ac:dyDescent="0.25">
      <c r="A22" s="22"/>
      <c r="B22" s="24">
        <v>15</v>
      </c>
      <c r="C22" s="25">
        <v>39</v>
      </c>
      <c r="D22" s="25">
        <v>279</v>
      </c>
      <c r="E22" s="26">
        <v>4.1300000000001091</v>
      </c>
      <c r="F22" s="27">
        <f t="shared" si="0"/>
        <v>8260.0000000002183</v>
      </c>
      <c r="G22" s="28">
        <f t="shared" si="1"/>
        <v>8553230.0000002254</v>
      </c>
      <c r="H22" s="26">
        <v>0.90000000000009095</v>
      </c>
      <c r="I22" s="27">
        <f t="shared" si="2"/>
        <v>1800.0000000001819</v>
      </c>
      <c r="J22" s="28">
        <f t="shared" si="3"/>
        <v>2795850.0000002827</v>
      </c>
      <c r="K22" s="26">
        <f t="shared" si="4"/>
        <v>11349080.000000509</v>
      </c>
      <c r="L22" s="29">
        <f t="shared" si="5"/>
        <v>12483988.000000561</v>
      </c>
      <c r="M22" s="30">
        <f t="shared" si="6"/>
        <v>868.08900632783264</v>
      </c>
      <c r="N22" s="31"/>
    </row>
    <row r="23" spans="1:14" x14ac:dyDescent="0.25">
      <c r="A23" s="22"/>
      <c r="B23" s="24">
        <v>16</v>
      </c>
      <c r="C23" s="25">
        <v>51</v>
      </c>
      <c r="D23" s="25">
        <v>246</v>
      </c>
      <c r="E23" s="26">
        <v>4.0299999999997453</v>
      </c>
      <c r="F23" s="27">
        <f t="shared" si="0"/>
        <v>8059.9999999994907</v>
      </c>
      <c r="G23" s="28">
        <f t="shared" si="1"/>
        <v>8346129.9999994729</v>
      </c>
      <c r="H23" s="26">
        <v>0.86999999999989086</v>
      </c>
      <c r="I23" s="27">
        <f t="shared" si="2"/>
        <v>1739.9999999997817</v>
      </c>
      <c r="J23" s="28">
        <f t="shared" si="3"/>
        <v>2702654.999999661</v>
      </c>
      <c r="K23" s="26">
        <f t="shared" si="4"/>
        <v>11048784.999999134</v>
      </c>
      <c r="L23" s="29">
        <f t="shared" si="5"/>
        <v>12153663.499999048</v>
      </c>
      <c r="M23" s="30">
        <f t="shared" si="6"/>
        <v>845.11949794861607</v>
      </c>
      <c r="N23" s="31"/>
    </row>
    <row r="24" spans="1:14" x14ac:dyDescent="0.25">
      <c r="A24" s="22"/>
      <c r="B24" s="24">
        <v>17</v>
      </c>
      <c r="C24" s="25">
        <v>48</v>
      </c>
      <c r="D24" s="25">
        <v>244</v>
      </c>
      <c r="E24" s="26">
        <v>4.0900000000001455</v>
      </c>
      <c r="F24" s="27">
        <f t="shared" si="0"/>
        <v>8180.000000000291</v>
      </c>
      <c r="G24" s="28">
        <f t="shared" si="1"/>
        <v>8470390.0000003017</v>
      </c>
      <c r="H24" s="26">
        <v>0.89000000000010004</v>
      </c>
      <c r="I24" s="27">
        <f t="shared" si="2"/>
        <v>1780.0000000002001</v>
      </c>
      <c r="J24" s="28">
        <f t="shared" si="3"/>
        <v>2764785.0000003106</v>
      </c>
      <c r="K24" s="26">
        <f t="shared" si="4"/>
        <v>11235175.000000613</v>
      </c>
      <c r="L24" s="29">
        <f t="shared" si="5"/>
        <v>12358692.500000674</v>
      </c>
      <c r="M24" s="30">
        <f t="shared" si="6"/>
        <v>859.37643418403968</v>
      </c>
      <c r="N24" s="31"/>
    </row>
    <row r="25" spans="1:14" x14ac:dyDescent="0.25">
      <c r="A25" s="22"/>
      <c r="B25" s="24">
        <v>18</v>
      </c>
      <c r="C25" s="25">
        <v>50</v>
      </c>
      <c r="D25" s="25">
        <v>245</v>
      </c>
      <c r="E25" s="26">
        <v>4.7300000000004729</v>
      </c>
      <c r="F25" s="27">
        <f t="shared" si="0"/>
        <v>9460.0000000009459</v>
      </c>
      <c r="G25" s="28">
        <f t="shared" si="1"/>
        <v>9795830.0000009798</v>
      </c>
      <c r="H25" s="26">
        <v>0.85999999999989996</v>
      </c>
      <c r="I25" s="27">
        <f t="shared" si="2"/>
        <v>1719.9999999997999</v>
      </c>
      <c r="J25" s="28">
        <f t="shared" si="3"/>
        <v>2671589.9999996894</v>
      </c>
      <c r="K25" s="26">
        <f t="shared" si="4"/>
        <v>12467420.000000669</v>
      </c>
      <c r="L25" s="29">
        <f t="shared" si="5"/>
        <v>13714162.000000736</v>
      </c>
      <c r="M25" s="30">
        <f t="shared" si="6"/>
        <v>953.63062373970763</v>
      </c>
      <c r="N25" s="31"/>
    </row>
    <row r="26" spans="1:14" x14ac:dyDescent="0.25">
      <c r="A26" s="22"/>
      <c r="B26" s="24">
        <v>19</v>
      </c>
      <c r="C26" s="25">
        <v>49</v>
      </c>
      <c r="D26" s="25">
        <v>270</v>
      </c>
      <c r="E26" s="26">
        <v>3.2299999999995634</v>
      </c>
      <c r="F26" s="27">
        <f t="shared" si="0"/>
        <v>6459.9999999991269</v>
      </c>
      <c r="G26" s="28">
        <f t="shared" si="1"/>
        <v>6689329.9999990957</v>
      </c>
      <c r="H26" s="26">
        <v>0.87000000000011823</v>
      </c>
      <c r="I26" s="27">
        <f t="shared" si="2"/>
        <v>1740.0000000002365</v>
      </c>
      <c r="J26" s="28">
        <f t="shared" si="3"/>
        <v>2702655.0000003674</v>
      </c>
      <c r="K26" s="26">
        <f t="shared" si="4"/>
        <v>9391984.9999994636</v>
      </c>
      <c r="L26" s="29">
        <f t="shared" si="5"/>
        <v>10331183.499999411</v>
      </c>
      <c r="M26" s="30">
        <f t="shared" si="6"/>
        <v>718.39117585699262</v>
      </c>
      <c r="N26" s="31"/>
    </row>
    <row r="27" spans="1:14" x14ac:dyDescent="0.25">
      <c r="A27" s="22"/>
      <c r="B27" s="24">
        <v>20</v>
      </c>
      <c r="C27" s="25">
        <v>44</v>
      </c>
      <c r="D27" s="25">
        <v>275</v>
      </c>
      <c r="E27" s="26">
        <v>4.0100000000002183</v>
      </c>
      <c r="F27" s="27">
        <f t="shared" si="0"/>
        <v>8020.0000000004366</v>
      </c>
      <c r="G27" s="28">
        <f t="shared" si="1"/>
        <v>8304710.0000004517</v>
      </c>
      <c r="H27" s="26">
        <v>0.86999999999989086</v>
      </c>
      <c r="I27" s="27">
        <f t="shared" si="2"/>
        <v>1739.9999999997817</v>
      </c>
      <c r="J27" s="28">
        <f t="shared" si="3"/>
        <v>2702654.999999661</v>
      </c>
      <c r="K27" s="26">
        <f t="shared" si="4"/>
        <v>11007365.000000112</v>
      </c>
      <c r="L27" s="29">
        <f t="shared" si="5"/>
        <v>12108101.500000125</v>
      </c>
      <c r="M27" s="30">
        <f t="shared" si="6"/>
        <v>841.95128989639977</v>
      </c>
      <c r="N27" s="31"/>
    </row>
    <row r="28" spans="1:14" x14ac:dyDescent="0.25">
      <c r="A28" s="22"/>
      <c r="B28" s="24">
        <v>21</v>
      </c>
      <c r="C28" s="25">
        <v>41</v>
      </c>
      <c r="D28" s="25">
        <v>235</v>
      </c>
      <c r="E28" s="26">
        <v>3.8599999999996726</v>
      </c>
      <c r="F28" s="27">
        <f t="shared" si="0"/>
        <v>7719.9999999993452</v>
      </c>
      <c r="G28" s="28">
        <f t="shared" si="1"/>
        <v>7994059.999999322</v>
      </c>
      <c r="H28" s="26">
        <v>0.83999999999991815</v>
      </c>
      <c r="I28" s="27">
        <f t="shared" si="2"/>
        <v>1679.9999999998363</v>
      </c>
      <c r="J28" s="28">
        <f t="shared" si="3"/>
        <v>2609459.9999997457</v>
      </c>
      <c r="K28" s="26">
        <f t="shared" si="4"/>
        <v>10603519.999999069</v>
      </c>
      <c r="L28" s="29">
        <f t="shared" si="5"/>
        <v>11663871.999998977</v>
      </c>
      <c r="M28" s="30">
        <f t="shared" si="6"/>
        <v>811.06126138648062</v>
      </c>
      <c r="N28" s="31"/>
    </row>
    <row r="29" spans="1:14" x14ac:dyDescent="0.25">
      <c r="A29" s="22"/>
      <c r="B29" s="24">
        <v>22</v>
      </c>
      <c r="C29" s="25">
        <v>38</v>
      </c>
      <c r="D29" s="25">
        <v>176</v>
      </c>
      <c r="E29" s="26">
        <v>3.8900000000003274</v>
      </c>
      <c r="F29" s="27">
        <f t="shared" si="0"/>
        <v>7780.0000000006548</v>
      </c>
      <c r="G29" s="28">
        <f t="shared" si="1"/>
        <v>8056190.000000678</v>
      </c>
      <c r="H29" s="26">
        <v>0.84000000000014552</v>
      </c>
      <c r="I29" s="27">
        <f t="shared" si="2"/>
        <v>1680.000000000291</v>
      </c>
      <c r="J29" s="28">
        <f t="shared" si="3"/>
        <v>2609460.0000004522</v>
      </c>
      <c r="K29" s="26">
        <f t="shared" si="4"/>
        <v>10665650.000001131</v>
      </c>
      <c r="L29" s="29">
        <f t="shared" si="5"/>
        <v>11732215.000001244</v>
      </c>
      <c r="M29" s="30">
        <f t="shared" si="6"/>
        <v>815.81357346507502</v>
      </c>
      <c r="N29" s="31"/>
    </row>
    <row r="30" spans="1:14" x14ac:dyDescent="0.25">
      <c r="A30" s="22"/>
      <c r="B30" s="24">
        <v>23</v>
      </c>
      <c r="C30" s="25">
        <v>41</v>
      </c>
      <c r="D30" s="25">
        <v>183</v>
      </c>
      <c r="E30" s="26">
        <v>4.0799999999999272</v>
      </c>
      <c r="F30" s="27">
        <f t="shared" si="0"/>
        <v>8159.9999999998545</v>
      </c>
      <c r="G30" s="28">
        <f t="shared" si="1"/>
        <v>8449679.9999998491</v>
      </c>
      <c r="H30" s="26">
        <v>0.89999999999986358</v>
      </c>
      <c r="I30" s="27">
        <f t="shared" si="2"/>
        <v>1799.9999999997272</v>
      </c>
      <c r="J30" s="28">
        <f t="shared" si="3"/>
        <v>2795849.9999995762</v>
      </c>
      <c r="K30" s="26">
        <f t="shared" si="4"/>
        <v>11245529.999999426</v>
      </c>
      <c r="L30" s="29">
        <f t="shared" si="5"/>
        <v>12370082.99999937</v>
      </c>
      <c r="M30" s="30">
        <f t="shared" si="6"/>
        <v>860.16848619702182</v>
      </c>
      <c r="N30" s="31"/>
    </row>
    <row r="31" spans="1:14" x14ac:dyDescent="0.25">
      <c r="A31" s="22"/>
      <c r="B31" s="24">
        <v>24</v>
      </c>
      <c r="C31" s="25">
        <v>40</v>
      </c>
      <c r="D31" s="25">
        <v>206</v>
      </c>
      <c r="E31" s="26">
        <v>4.1700000000000728</v>
      </c>
      <c r="F31" s="27">
        <f t="shared" si="0"/>
        <v>8340.0000000001455</v>
      </c>
      <c r="G31" s="28">
        <f t="shared" si="1"/>
        <v>8636070.0000001509</v>
      </c>
      <c r="H31" s="26">
        <v>0.89000000000010004</v>
      </c>
      <c r="I31" s="27">
        <f t="shared" si="2"/>
        <v>1780.0000000002001</v>
      </c>
      <c r="J31" s="28">
        <f t="shared" si="3"/>
        <v>2764785.0000003106</v>
      </c>
      <c r="K31" s="26">
        <f t="shared" si="4"/>
        <v>11400855.000000462</v>
      </c>
      <c r="L31" s="29">
        <f t="shared" si="5"/>
        <v>12540940.500000509</v>
      </c>
      <c r="M31" s="30">
        <f t="shared" si="6"/>
        <v>872.04926639319297</v>
      </c>
      <c r="N31" s="31"/>
    </row>
    <row r="32" spans="1:14" x14ac:dyDescent="0.25">
      <c r="A32" s="22"/>
      <c r="B32" s="24">
        <v>25</v>
      </c>
      <c r="C32" s="25">
        <v>46</v>
      </c>
      <c r="D32" s="25">
        <v>213</v>
      </c>
      <c r="E32" s="26">
        <v>3.9799999999995634</v>
      </c>
      <c r="F32" s="27">
        <f t="shared" si="0"/>
        <v>7959.9999999991269</v>
      </c>
      <c r="G32" s="28">
        <f t="shared" si="1"/>
        <v>8242579.9999990957</v>
      </c>
      <c r="H32" s="26">
        <v>0.89999999999986358</v>
      </c>
      <c r="I32" s="27">
        <f t="shared" si="2"/>
        <v>1799.9999999997272</v>
      </c>
      <c r="J32" s="28">
        <f t="shared" si="3"/>
        <v>2795849.9999995762</v>
      </c>
      <c r="K32" s="26">
        <f t="shared" si="4"/>
        <v>11038429.999998672</v>
      </c>
      <c r="L32" s="29">
        <f t="shared" si="5"/>
        <v>12142272.99999854</v>
      </c>
      <c r="M32" s="30">
        <f t="shared" si="6"/>
        <v>844.32744593550797</v>
      </c>
      <c r="N32" s="31"/>
    </row>
    <row r="33" spans="1:16" x14ac:dyDescent="0.25">
      <c r="A33" s="22"/>
      <c r="B33" s="24">
        <v>26</v>
      </c>
      <c r="C33" s="25">
        <v>47</v>
      </c>
      <c r="D33" s="25">
        <v>286</v>
      </c>
      <c r="E33" s="26">
        <v>4.1199999999998909</v>
      </c>
      <c r="F33" s="27">
        <f t="shared" si="0"/>
        <v>8239.9999999997817</v>
      </c>
      <c r="G33" s="28">
        <f t="shared" si="1"/>
        <v>8532519.9999997746</v>
      </c>
      <c r="H33" s="26">
        <v>0.89000000000010004</v>
      </c>
      <c r="I33" s="27">
        <f t="shared" si="2"/>
        <v>1780.0000000002001</v>
      </c>
      <c r="J33" s="28">
        <f t="shared" si="3"/>
        <v>2764785.0000003106</v>
      </c>
      <c r="K33" s="26">
        <f t="shared" si="4"/>
        <v>11297305.000000086</v>
      </c>
      <c r="L33" s="29">
        <f t="shared" si="5"/>
        <v>12427035.500000095</v>
      </c>
      <c r="M33" s="30">
        <f t="shared" si="6"/>
        <v>864.12874626243615</v>
      </c>
      <c r="N33" s="31"/>
    </row>
    <row r="34" spans="1:16" x14ac:dyDescent="0.25">
      <c r="A34" s="22"/>
      <c r="B34" s="24">
        <v>27</v>
      </c>
      <c r="C34" s="25">
        <v>51</v>
      </c>
      <c r="D34" s="25">
        <v>289</v>
      </c>
      <c r="E34" s="26">
        <v>4.0300000000006548</v>
      </c>
      <c r="F34" s="27">
        <f t="shared" si="0"/>
        <v>8060.0000000013097</v>
      </c>
      <c r="G34" s="28">
        <f t="shared" si="1"/>
        <v>8346130.000001356</v>
      </c>
      <c r="H34" s="26">
        <v>0.91000000000008185</v>
      </c>
      <c r="I34" s="27">
        <f t="shared" si="2"/>
        <v>1820.0000000001637</v>
      </c>
      <c r="J34" s="28">
        <f t="shared" si="3"/>
        <v>2826915.0000002543</v>
      </c>
      <c r="K34" s="26">
        <f t="shared" si="4"/>
        <v>11173045.000001609</v>
      </c>
      <c r="L34" s="29">
        <f t="shared" si="5"/>
        <v>12290349.500001771</v>
      </c>
      <c r="M34" s="30">
        <f t="shared" si="6"/>
        <v>854.62412210567913</v>
      </c>
      <c r="N34" s="31"/>
    </row>
    <row r="35" spans="1:16" x14ac:dyDescent="0.25">
      <c r="A35" s="22"/>
      <c r="B35" s="24">
        <v>28</v>
      </c>
      <c r="C35" s="25">
        <v>54</v>
      </c>
      <c r="D35" s="25">
        <v>276</v>
      </c>
      <c r="E35" s="26">
        <v>4.0199999999995271</v>
      </c>
      <c r="F35" s="27">
        <f t="shared" si="0"/>
        <v>8039.9999999990541</v>
      </c>
      <c r="G35" s="28">
        <f t="shared" si="1"/>
        <v>8325419.9999990202</v>
      </c>
      <c r="H35" s="26">
        <v>0.86999999999989086</v>
      </c>
      <c r="I35" s="27">
        <f t="shared" si="2"/>
        <v>1739.9999999997817</v>
      </c>
      <c r="J35" s="28">
        <f t="shared" si="3"/>
        <v>2702654.999999661</v>
      </c>
      <c r="K35" s="26">
        <f t="shared" si="4"/>
        <v>11028074.999998681</v>
      </c>
      <c r="L35" s="29">
        <f t="shared" si="5"/>
        <v>12130882.499998551</v>
      </c>
      <c r="M35" s="30">
        <f t="shared" si="6"/>
        <v>843.5353939224359</v>
      </c>
      <c r="N35" s="31"/>
    </row>
    <row r="36" spans="1:16" x14ac:dyDescent="0.25">
      <c r="A36" s="22"/>
      <c r="B36" s="24">
        <v>29</v>
      </c>
      <c r="C36" s="25">
        <v>48</v>
      </c>
      <c r="D36" s="25">
        <v>277</v>
      </c>
      <c r="E36" s="26">
        <v>3.8100000000004002</v>
      </c>
      <c r="F36" s="27">
        <f t="shared" si="0"/>
        <v>7620.0000000008004</v>
      </c>
      <c r="G36" s="28">
        <f t="shared" si="1"/>
        <v>7890510.0000008289</v>
      </c>
      <c r="H36" s="26">
        <v>0.84000000000014552</v>
      </c>
      <c r="I36" s="27">
        <f t="shared" si="2"/>
        <v>1680.000000000291</v>
      </c>
      <c r="J36" s="28">
        <f t="shared" si="3"/>
        <v>2609460.0000004522</v>
      </c>
      <c r="K36" s="26">
        <f t="shared" si="4"/>
        <v>10499970.000001281</v>
      </c>
      <c r="L36" s="29">
        <f t="shared" si="5"/>
        <v>11549967.00000141</v>
      </c>
      <c r="M36" s="30">
        <f t="shared" si="6"/>
        <v>803.14074125592174</v>
      </c>
      <c r="N36" s="31"/>
    </row>
    <row r="37" spans="1:16" x14ac:dyDescent="0.25">
      <c r="A37" s="22"/>
      <c r="B37" s="24">
        <v>30</v>
      </c>
      <c r="C37" s="25">
        <v>44</v>
      </c>
      <c r="D37" s="25">
        <v>284</v>
      </c>
      <c r="E37" s="26">
        <v>3.5799999999999272</v>
      </c>
      <c r="F37" s="27">
        <f t="shared" si="0"/>
        <v>7159.9999999998545</v>
      </c>
      <c r="G37" s="28">
        <f>F37*1035.5</f>
        <v>7414179.9999998491</v>
      </c>
      <c r="H37" s="26">
        <v>0.60999999999989996</v>
      </c>
      <c r="I37" s="27">
        <f t="shared" si="2"/>
        <v>1219.9999999997999</v>
      </c>
      <c r="J37" s="28">
        <f t="shared" si="3"/>
        <v>1894964.9999996892</v>
      </c>
      <c r="K37" s="26">
        <f t="shared" si="4"/>
        <v>9309144.9999995381</v>
      </c>
      <c r="L37" s="29">
        <f t="shared" si="5"/>
        <v>10240059.499999493</v>
      </c>
      <c r="M37" s="30">
        <f t="shared" si="6"/>
        <v>712.05475975241598</v>
      </c>
      <c r="N37" s="31"/>
    </row>
    <row r="38" spans="1:16" x14ac:dyDescent="0.25">
      <c r="A38" s="22"/>
      <c r="B38" s="24">
        <v>31</v>
      </c>
      <c r="C38" s="25" t="s">
        <v>60</v>
      </c>
      <c r="D38" s="25" t="s">
        <v>60</v>
      </c>
      <c r="E38" s="26"/>
      <c r="F38" s="27">
        <f t="shared" si="0"/>
        <v>0</v>
      </c>
      <c r="G38" s="28">
        <f t="shared" si="1"/>
        <v>0</v>
      </c>
      <c r="H38" s="26"/>
      <c r="I38" s="27">
        <f t="shared" si="2"/>
        <v>0</v>
      </c>
      <c r="J38" s="28">
        <f t="shared" si="3"/>
        <v>0</v>
      </c>
      <c r="K38" s="26">
        <f t="shared" si="4"/>
        <v>0</v>
      </c>
      <c r="L38" s="29">
        <f t="shared" si="5"/>
        <v>0</v>
      </c>
      <c r="M38" s="30">
        <f t="shared" si="6"/>
        <v>0</v>
      </c>
      <c r="N38" s="31"/>
    </row>
    <row r="39" spans="1:16" x14ac:dyDescent="0.25">
      <c r="C39" s="32">
        <f>SUM(C8:C38)</f>
        <v>1385</v>
      </c>
      <c r="D39" s="32">
        <f>SUM(D8:D38)</f>
        <v>7462</v>
      </c>
      <c r="E39" s="33">
        <v>3.2799999999999727</v>
      </c>
      <c r="F39" s="32">
        <f>SUM(F8:F38)</f>
        <v>247260.00000000015</v>
      </c>
      <c r="I39" s="32">
        <f>SUM(I8:I38)</f>
        <v>53800.000000000175</v>
      </c>
      <c r="L39" s="34">
        <f>SUM(L8:L38)</f>
        <v>373562838.00000072</v>
      </c>
      <c r="M39" s="35">
        <f>SUM(M8:M38)</f>
        <v>25976.137820735734</v>
      </c>
      <c r="N39" s="36"/>
      <c r="P39" s="37"/>
    </row>
    <row r="41" spans="1:16" x14ac:dyDescent="0.25">
      <c r="G41" s="89" t="s">
        <v>28</v>
      </c>
      <c r="H41" s="90"/>
      <c r="I41" s="91">
        <f>F39+I39</f>
        <v>301060.00000000035</v>
      </c>
      <c r="M41" s="38"/>
      <c r="P41" s="39"/>
    </row>
    <row r="42" spans="1:16" x14ac:dyDescent="0.25">
      <c r="M42" s="40"/>
    </row>
  </sheetData>
  <mergeCells count="17">
    <mergeCell ref="F6:F7"/>
    <mergeCell ref="G6:G7"/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workbookViewId="0">
      <selection activeCell="L9" sqref="L9:L3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100" t="s">
        <v>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21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4">
        <v>43617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8"/>
    </row>
    <row r="5" spans="1:21" x14ac:dyDescent="0.25">
      <c r="A5" s="19"/>
      <c r="B5" s="99" t="s">
        <v>17</v>
      </c>
      <c r="C5" s="99" t="s">
        <v>18</v>
      </c>
      <c r="D5" s="99" t="s">
        <v>13</v>
      </c>
      <c r="E5" s="105" t="s">
        <v>30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 t="s">
        <v>31</v>
      </c>
      <c r="R5" s="106"/>
      <c r="S5" s="20"/>
    </row>
    <row r="6" spans="1:21" s="21" customFormat="1" x14ac:dyDescent="0.25">
      <c r="A6" s="19"/>
      <c r="B6" s="99"/>
      <c r="C6" s="99"/>
      <c r="D6" s="99"/>
      <c r="E6" s="105" t="s">
        <v>32</v>
      </c>
      <c r="F6" s="105"/>
      <c r="G6" s="105"/>
      <c r="H6" s="105" t="s">
        <v>33</v>
      </c>
      <c r="I6" s="105"/>
      <c r="J6" s="105"/>
      <c r="K6" s="105" t="s">
        <v>34</v>
      </c>
      <c r="L6" s="105"/>
      <c r="M6" s="105"/>
      <c r="N6" s="107" t="s">
        <v>35</v>
      </c>
      <c r="O6" s="107"/>
      <c r="P6" s="107"/>
      <c r="Q6" s="106"/>
      <c r="R6" s="106"/>
      <c r="S6" s="20"/>
    </row>
    <row r="7" spans="1:21" ht="22.5" x14ac:dyDescent="0.25">
      <c r="A7" s="22"/>
      <c r="B7" s="99"/>
      <c r="C7" s="99"/>
      <c r="D7" s="99"/>
      <c r="E7" s="99" t="s">
        <v>36</v>
      </c>
      <c r="F7" s="108" t="s">
        <v>37</v>
      </c>
      <c r="G7" s="45" t="s">
        <v>38</v>
      </c>
      <c r="H7" s="99" t="s">
        <v>39</v>
      </c>
      <c r="I7" s="99" t="s">
        <v>37</v>
      </c>
      <c r="J7" s="45" t="s">
        <v>38</v>
      </c>
      <c r="K7" s="99" t="s">
        <v>36</v>
      </c>
      <c r="L7" s="99" t="s">
        <v>37</v>
      </c>
      <c r="M7" s="45" t="s">
        <v>40</v>
      </c>
      <c r="N7" s="99" t="s">
        <v>41</v>
      </c>
      <c r="O7" s="99" t="s">
        <v>37</v>
      </c>
      <c r="P7" s="45" t="s">
        <v>40</v>
      </c>
      <c r="Q7" s="106"/>
      <c r="R7" s="106"/>
      <c r="S7" s="23"/>
    </row>
    <row r="8" spans="1:21" ht="15.75" thickBot="1" x14ac:dyDescent="0.3">
      <c r="A8" s="22"/>
      <c r="B8" s="99"/>
      <c r="C8" s="99"/>
      <c r="D8" s="99"/>
      <c r="E8" s="99"/>
      <c r="F8" s="109"/>
      <c r="G8" s="46">
        <v>15840</v>
      </c>
      <c r="H8" s="99"/>
      <c r="I8" s="99"/>
      <c r="J8" s="46">
        <f>G8</f>
        <v>15840</v>
      </c>
      <c r="K8" s="99"/>
      <c r="L8" s="99"/>
      <c r="M8" s="46">
        <f>J8</f>
        <v>15840</v>
      </c>
      <c r="N8" s="99"/>
      <c r="O8" s="99"/>
      <c r="P8" s="46">
        <f>J8</f>
        <v>15840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41</v>
      </c>
      <c r="D9" s="49">
        <f>Electricity!D8</f>
        <v>214</v>
      </c>
      <c r="E9" s="84"/>
      <c r="F9" s="26">
        <v>73.148323773787183</v>
      </c>
      <c r="G9" s="51">
        <f>F9*$G$8</f>
        <v>1158669.4485767889</v>
      </c>
      <c r="H9" s="50"/>
      <c r="I9" s="97">
        <v>36.574161886893592</v>
      </c>
      <c r="J9" s="51">
        <f>I9*$J$8</f>
        <v>579334.72428839444</v>
      </c>
      <c r="K9" s="50"/>
      <c r="L9" s="26">
        <v>4.17</v>
      </c>
      <c r="M9" s="27">
        <f>L9*$M$8</f>
        <v>66052.800000000003</v>
      </c>
      <c r="N9" s="50"/>
      <c r="O9" s="26">
        <v>7.14</v>
      </c>
      <c r="P9" s="52">
        <f>O9*$P$8</f>
        <v>113097.59999999999</v>
      </c>
      <c r="Q9" s="53">
        <f>P9+G9+J9+M9</f>
        <v>1917154.5728651835</v>
      </c>
      <c r="R9" s="54">
        <f>Q9/14381</f>
        <v>133.31163151833553</v>
      </c>
      <c r="S9" s="23"/>
    </row>
    <row r="10" spans="1:21" x14ac:dyDescent="0.25">
      <c r="A10" s="22"/>
      <c r="B10" s="24">
        <v>2</v>
      </c>
      <c r="C10" s="48">
        <f>Electricity!C9</f>
        <v>42</v>
      </c>
      <c r="D10" s="49">
        <f>Electricity!D9</f>
        <v>214</v>
      </c>
      <c r="E10" s="84"/>
      <c r="F10" s="26">
        <v>73.148323773787183</v>
      </c>
      <c r="G10" s="51">
        <f>F10*$G$8</f>
        <v>1158669.4485767889</v>
      </c>
      <c r="H10" s="50"/>
      <c r="I10" s="52">
        <v>36.574161886893592</v>
      </c>
      <c r="J10" s="51">
        <f>I10*$J$8</f>
        <v>579334.72428839444</v>
      </c>
      <c r="K10" s="50"/>
      <c r="L10" s="26">
        <v>4.17</v>
      </c>
      <c r="M10" s="27">
        <f t="shared" ref="M10:M39" si="0">L10*$M$8</f>
        <v>66052.800000000003</v>
      </c>
      <c r="N10" s="50"/>
      <c r="O10" s="26">
        <v>7.14</v>
      </c>
      <c r="P10" s="52">
        <f>O10*$P$8</f>
        <v>113097.59999999999</v>
      </c>
      <c r="Q10" s="53">
        <f>J10+M10+G10+P10</f>
        <v>1917154.5728651835</v>
      </c>
      <c r="R10" s="54">
        <f t="shared" ref="R10:R39" si="1">Q10/14381</f>
        <v>133.31163151833553</v>
      </c>
      <c r="S10" s="23"/>
    </row>
    <row r="11" spans="1:21" x14ac:dyDescent="0.25">
      <c r="A11" s="22"/>
      <c r="B11" s="24">
        <v>3</v>
      </c>
      <c r="C11" s="48">
        <f>Electricity!C10</f>
        <v>48</v>
      </c>
      <c r="D11" s="49">
        <f>Electricity!D10</f>
        <v>248</v>
      </c>
      <c r="E11" s="84"/>
      <c r="F11" s="26">
        <v>85.450655588314135</v>
      </c>
      <c r="G11" s="51">
        <f t="shared" ref="G11:G39" si="2">F11*$G$8</f>
        <v>1353538.384518896</v>
      </c>
      <c r="H11" s="50"/>
      <c r="I11" s="52">
        <v>42.725327794157067</v>
      </c>
      <c r="J11" s="51">
        <f t="shared" ref="J11:J39" si="3">I11*$J$8</f>
        <v>676769.192259448</v>
      </c>
      <c r="K11" s="50"/>
      <c r="L11" s="26">
        <v>4.17</v>
      </c>
      <c r="M11" s="27">
        <f t="shared" si="0"/>
        <v>66052.800000000003</v>
      </c>
      <c r="N11" s="50"/>
      <c r="O11" s="26">
        <v>7.14</v>
      </c>
      <c r="P11" s="52">
        <f t="shared" ref="P11:P39" si="4">O11*$P$8</f>
        <v>113097.59999999999</v>
      </c>
      <c r="Q11" s="53">
        <f t="shared" ref="Q11:Q39" si="5">J11+M11+G11+P11</f>
        <v>2209457.9767783443</v>
      </c>
      <c r="R11" s="54">
        <f t="shared" si="1"/>
        <v>153.63729759949547</v>
      </c>
      <c r="S11" s="23"/>
    </row>
    <row r="12" spans="1:21" x14ac:dyDescent="0.25">
      <c r="A12" s="22"/>
      <c r="B12" s="24">
        <v>4</v>
      </c>
      <c r="C12" s="48">
        <f>Electricity!C11</f>
        <v>54</v>
      </c>
      <c r="D12" s="49">
        <f>Electricity!D11</f>
        <v>282</v>
      </c>
      <c r="E12" s="84"/>
      <c r="F12" s="26">
        <v>97.752987402841072</v>
      </c>
      <c r="G12" s="51">
        <f t="shared" si="2"/>
        <v>1548407.3204610026</v>
      </c>
      <c r="H12" s="50"/>
      <c r="I12" s="52">
        <v>48.876493701420536</v>
      </c>
      <c r="J12" s="51">
        <f t="shared" si="3"/>
        <v>774203.66023050132</v>
      </c>
      <c r="K12" s="50"/>
      <c r="L12" s="26">
        <v>4.17</v>
      </c>
      <c r="M12" s="27">
        <f t="shared" si="0"/>
        <v>66052.800000000003</v>
      </c>
      <c r="N12" s="50"/>
      <c r="O12" s="26">
        <v>7.14</v>
      </c>
      <c r="P12" s="52">
        <f t="shared" si="4"/>
        <v>113097.59999999999</v>
      </c>
      <c r="Q12" s="53">
        <f t="shared" si="5"/>
        <v>2501761.3806915041</v>
      </c>
      <c r="R12" s="54">
        <f t="shared" si="1"/>
        <v>173.96296368065532</v>
      </c>
      <c r="S12" s="23"/>
    </row>
    <row r="13" spans="1:21" x14ac:dyDescent="0.25">
      <c r="A13" s="22"/>
      <c r="B13" s="24">
        <v>5</v>
      </c>
      <c r="C13" s="48">
        <f>Electricity!C12</f>
        <v>54</v>
      </c>
      <c r="D13" s="49">
        <f>Electricity!D12</f>
        <v>269</v>
      </c>
      <c r="E13" s="84"/>
      <c r="F13" s="26">
        <v>93.04915465022782</v>
      </c>
      <c r="G13" s="51">
        <f t="shared" si="2"/>
        <v>1473898.6096596087</v>
      </c>
      <c r="H13" s="50"/>
      <c r="I13" s="52">
        <v>46.52457732511391</v>
      </c>
      <c r="J13" s="51">
        <f t="shared" si="3"/>
        <v>736949.30482980434</v>
      </c>
      <c r="K13" s="50"/>
      <c r="L13" s="26">
        <v>4.17</v>
      </c>
      <c r="M13" s="27">
        <f t="shared" si="0"/>
        <v>66052.800000000003</v>
      </c>
      <c r="N13" s="50"/>
      <c r="O13" s="26">
        <v>7.14</v>
      </c>
      <c r="P13" s="52">
        <f t="shared" si="4"/>
        <v>113097.59999999999</v>
      </c>
      <c r="Q13" s="53">
        <f t="shared" si="5"/>
        <v>2389998.3144894131</v>
      </c>
      <c r="R13" s="54">
        <f t="shared" si="1"/>
        <v>166.19138547315299</v>
      </c>
      <c r="S13" s="23"/>
    </row>
    <row r="14" spans="1:21" x14ac:dyDescent="0.25">
      <c r="A14" s="22"/>
      <c r="B14" s="24">
        <v>6</v>
      </c>
      <c r="C14" s="48">
        <f>Electricity!C13</f>
        <v>50</v>
      </c>
      <c r="D14" s="49">
        <f>Electricity!D13</f>
        <v>258</v>
      </c>
      <c r="E14" s="84"/>
      <c r="F14" s="26">
        <v>89.068988474939715</v>
      </c>
      <c r="G14" s="51">
        <f t="shared" si="2"/>
        <v>1410852.7774430451</v>
      </c>
      <c r="H14" s="50"/>
      <c r="I14" s="52">
        <v>44.534494237469858</v>
      </c>
      <c r="J14" s="51">
        <f t="shared" si="3"/>
        <v>705426.38872152253</v>
      </c>
      <c r="K14" s="50"/>
      <c r="L14" s="26">
        <v>4.17</v>
      </c>
      <c r="M14" s="27">
        <f t="shared" si="0"/>
        <v>66052.800000000003</v>
      </c>
      <c r="N14" s="50"/>
      <c r="O14" s="26">
        <v>7.14</v>
      </c>
      <c r="P14" s="52">
        <f t="shared" si="4"/>
        <v>113097.59999999999</v>
      </c>
      <c r="Q14" s="53">
        <f t="shared" si="5"/>
        <v>2295429.5661645676</v>
      </c>
      <c r="R14" s="54">
        <f t="shared" si="1"/>
        <v>159.61543468218952</v>
      </c>
      <c r="S14" s="23"/>
    </row>
    <row r="15" spans="1:21" x14ac:dyDescent="0.25">
      <c r="A15" s="22"/>
      <c r="B15" s="24">
        <v>7</v>
      </c>
      <c r="C15" s="48">
        <f>Electricity!C14</f>
        <v>40</v>
      </c>
      <c r="D15" s="49">
        <f>Electricity!D14</f>
        <v>240</v>
      </c>
      <c r="E15" s="84"/>
      <c r="F15" s="26">
        <v>82.555989279013673</v>
      </c>
      <c r="G15" s="51">
        <f t="shared" si="2"/>
        <v>1307686.8701795766</v>
      </c>
      <c r="H15" s="50"/>
      <c r="I15" s="52">
        <v>41.277994639506836</v>
      </c>
      <c r="J15" s="51">
        <f t="shared" si="3"/>
        <v>653843.43508978828</v>
      </c>
      <c r="K15" s="50"/>
      <c r="L15" s="26">
        <v>4.17</v>
      </c>
      <c r="M15" s="27">
        <f t="shared" si="0"/>
        <v>66052.800000000003</v>
      </c>
      <c r="N15" s="50"/>
      <c r="O15" s="26">
        <v>7.14</v>
      </c>
      <c r="P15" s="52">
        <f t="shared" si="4"/>
        <v>113097.59999999999</v>
      </c>
      <c r="Q15" s="53">
        <f t="shared" si="5"/>
        <v>2140680.7052693651</v>
      </c>
      <c r="R15" s="54">
        <f t="shared" si="1"/>
        <v>148.85478793334019</v>
      </c>
      <c r="S15" s="23"/>
    </row>
    <row r="16" spans="1:21" x14ac:dyDescent="0.25">
      <c r="A16" s="22"/>
      <c r="B16" s="24">
        <v>8</v>
      </c>
      <c r="C16" s="48">
        <f>Electricity!C15</f>
        <v>42</v>
      </c>
      <c r="D16" s="49">
        <f>Electricity!D15</f>
        <v>244</v>
      </c>
      <c r="E16" s="84"/>
      <c r="F16" s="26">
        <v>84.003322433663897</v>
      </c>
      <c r="G16" s="51">
        <f t="shared" si="2"/>
        <v>1330612.627349236</v>
      </c>
      <c r="H16" s="50"/>
      <c r="I16" s="52">
        <v>42.001661216831948</v>
      </c>
      <c r="J16" s="51">
        <f t="shared" si="3"/>
        <v>665306.31367461802</v>
      </c>
      <c r="K16" s="50"/>
      <c r="L16" s="26">
        <v>4.17</v>
      </c>
      <c r="M16" s="27">
        <f t="shared" si="0"/>
        <v>66052.800000000003</v>
      </c>
      <c r="N16" s="50"/>
      <c r="O16" s="26">
        <v>7.14</v>
      </c>
      <c r="P16" s="52">
        <f t="shared" si="4"/>
        <v>113097.59999999999</v>
      </c>
      <c r="Q16" s="53">
        <f t="shared" si="5"/>
        <v>2175069.341023854</v>
      </c>
      <c r="R16" s="54">
        <f t="shared" si="1"/>
        <v>151.24604276641776</v>
      </c>
      <c r="S16" s="23"/>
    </row>
    <row r="17" spans="1:19" x14ac:dyDescent="0.25">
      <c r="A17" s="22"/>
      <c r="B17" s="24">
        <v>9</v>
      </c>
      <c r="C17" s="48">
        <f>Electricity!C16</f>
        <v>47</v>
      </c>
      <c r="D17" s="49">
        <f>Electricity!D16</f>
        <v>234</v>
      </c>
      <c r="E17" s="85"/>
      <c r="F17" s="26">
        <v>80.38498954703833</v>
      </c>
      <c r="G17" s="51">
        <f t="shared" si="2"/>
        <v>1273298.2344250872</v>
      </c>
      <c r="H17" s="50"/>
      <c r="I17" s="52">
        <v>40.192494773519165</v>
      </c>
      <c r="J17" s="51">
        <f t="shared" si="3"/>
        <v>636649.11721254361</v>
      </c>
      <c r="K17" s="50"/>
      <c r="L17" s="26"/>
      <c r="M17" s="27">
        <f t="shared" si="0"/>
        <v>0</v>
      </c>
      <c r="N17" s="50"/>
      <c r="O17" s="26">
        <v>7.14</v>
      </c>
      <c r="P17" s="52">
        <f t="shared" si="4"/>
        <v>113097.59999999999</v>
      </c>
      <c r="Q17" s="53">
        <f t="shared" si="5"/>
        <v>2023044.9516376308</v>
      </c>
      <c r="R17" s="54">
        <f t="shared" si="1"/>
        <v>140.67484539584387</v>
      </c>
      <c r="S17" s="23"/>
    </row>
    <row r="18" spans="1:19" x14ac:dyDescent="0.25">
      <c r="A18" s="22"/>
      <c r="B18" s="24">
        <v>10</v>
      </c>
      <c r="C18" s="48">
        <f>Electricity!C17</f>
        <v>49</v>
      </c>
      <c r="D18" s="49">
        <f>Electricity!D17</f>
        <v>234</v>
      </c>
      <c r="E18" s="84"/>
      <c r="F18" s="26">
        <v>80.38498954703833</v>
      </c>
      <c r="G18" s="51">
        <f t="shared" si="2"/>
        <v>1273298.2344250872</v>
      </c>
      <c r="H18" s="50"/>
      <c r="I18" s="52">
        <v>40.192494773519165</v>
      </c>
      <c r="J18" s="51">
        <f t="shared" si="3"/>
        <v>636649.11721254361</v>
      </c>
      <c r="K18" s="50"/>
      <c r="L18" s="26">
        <v>4.17</v>
      </c>
      <c r="M18" s="27">
        <f t="shared" si="0"/>
        <v>66052.800000000003</v>
      </c>
      <c r="N18" s="50"/>
      <c r="O18" s="26">
        <v>7.14</v>
      </c>
      <c r="P18" s="52">
        <f t="shared" si="4"/>
        <v>113097.59999999999</v>
      </c>
      <c r="Q18" s="53">
        <f t="shared" si="5"/>
        <v>2089097.7516376311</v>
      </c>
      <c r="R18" s="54">
        <f t="shared" si="1"/>
        <v>145.26790568372374</v>
      </c>
      <c r="S18" s="23"/>
    </row>
    <row r="19" spans="1:19" x14ac:dyDescent="0.25">
      <c r="A19" s="22"/>
      <c r="B19" s="24">
        <v>11</v>
      </c>
      <c r="C19" s="48">
        <f>Electricity!C18</f>
        <v>45</v>
      </c>
      <c r="D19" s="49">
        <f>Electricity!D18</f>
        <v>275</v>
      </c>
      <c r="E19" s="84"/>
      <c r="F19" s="26">
        <v>95.220154382203162</v>
      </c>
      <c r="G19" s="51">
        <f t="shared" si="2"/>
        <v>1508287.245414098</v>
      </c>
      <c r="H19" s="50"/>
      <c r="I19" s="52">
        <v>47.610077191101581</v>
      </c>
      <c r="J19" s="51">
        <f t="shared" si="3"/>
        <v>754143.62270704901</v>
      </c>
      <c r="K19" s="50"/>
      <c r="L19" s="26">
        <v>4.17</v>
      </c>
      <c r="M19" s="27">
        <f t="shared" si="0"/>
        <v>66052.800000000003</v>
      </c>
      <c r="N19" s="50"/>
      <c r="O19" s="26">
        <v>7.14</v>
      </c>
      <c r="P19" s="52">
        <f t="shared" si="4"/>
        <v>113097.59999999999</v>
      </c>
      <c r="Q19" s="53">
        <f t="shared" si="5"/>
        <v>2441581.2681211471</v>
      </c>
      <c r="R19" s="54">
        <f t="shared" si="1"/>
        <v>169.77826772276941</v>
      </c>
      <c r="S19" s="23"/>
    </row>
    <row r="20" spans="1:19" x14ac:dyDescent="0.25">
      <c r="A20" s="22"/>
      <c r="B20" s="24">
        <v>12</v>
      </c>
      <c r="C20" s="48">
        <f>Electricity!C19</f>
        <v>48</v>
      </c>
      <c r="D20" s="49">
        <f>Electricity!D19</f>
        <v>247</v>
      </c>
      <c r="E20" s="84"/>
      <c r="F20" s="26">
        <v>85.088822299651568</v>
      </c>
      <c r="G20" s="51">
        <f t="shared" si="2"/>
        <v>1347806.945226481</v>
      </c>
      <c r="H20" s="50"/>
      <c r="I20" s="52">
        <v>42.544411149825784</v>
      </c>
      <c r="J20" s="51">
        <f t="shared" si="3"/>
        <v>673903.47261324048</v>
      </c>
      <c r="K20" s="50"/>
      <c r="L20" s="26">
        <v>4.17</v>
      </c>
      <c r="M20" s="27">
        <f t="shared" si="0"/>
        <v>66052.800000000003</v>
      </c>
      <c r="N20" s="50"/>
      <c r="O20" s="26">
        <v>7.14</v>
      </c>
      <c r="P20" s="52">
        <f t="shared" si="4"/>
        <v>113097.59999999999</v>
      </c>
      <c r="Q20" s="53">
        <f t="shared" si="5"/>
        <v>2200860.8178397217</v>
      </c>
      <c r="R20" s="54">
        <f t="shared" si="1"/>
        <v>153.03948389122604</v>
      </c>
      <c r="S20" s="23"/>
    </row>
    <row r="21" spans="1:19" x14ac:dyDescent="0.25">
      <c r="A21" s="22"/>
      <c r="B21" s="24">
        <v>13</v>
      </c>
      <c r="C21" s="48">
        <f>Electricity!C20</f>
        <v>51</v>
      </c>
      <c r="D21" s="49">
        <f>Electricity!D20</f>
        <v>270</v>
      </c>
      <c r="E21" s="84"/>
      <c r="F21" s="26">
        <v>93.410987938890372</v>
      </c>
      <c r="G21" s="51">
        <f t="shared" si="2"/>
        <v>1479630.0489520235</v>
      </c>
      <c r="H21" s="50"/>
      <c r="I21" s="52">
        <v>46.705493969445186</v>
      </c>
      <c r="J21" s="51">
        <f t="shared" si="3"/>
        <v>739815.02447601175</v>
      </c>
      <c r="K21" s="50"/>
      <c r="L21" s="26">
        <v>4.17</v>
      </c>
      <c r="M21" s="27">
        <f t="shared" si="0"/>
        <v>66052.800000000003</v>
      </c>
      <c r="N21" s="50"/>
      <c r="O21" s="26">
        <v>7.14</v>
      </c>
      <c r="P21" s="52">
        <f t="shared" si="4"/>
        <v>113097.59999999999</v>
      </c>
      <c r="Q21" s="53">
        <f t="shared" si="5"/>
        <v>2398595.4734280356</v>
      </c>
      <c r="R21" s="54">
        <f t="shared" si="1"/>
        <v>166.78919918142242</v>
      </c>
      <c r="S21" s="23"/>
    </row>
    <row r="22" spans="1:19" x14ac:dyDescent="0.25">
      <c r="A22" s="22"/>
      <c r="B22" s="24">
        <v>14</v>
      </c>
      <c r="C22" s="48">
        <f>Electricity!C21</f>
        <v>43</v>
      </c>
      <c r="D22" s="49">
        <f>Electricity!D21</f>
        <v>249</v>
      </c>
      <c r="E22" s="84"/>
      <c r="F22" s="26">
        <v>85.812488876976687</v>
      </c>
      <c r="G22" s="51">
        <f t="shared" si="2"/>
        <v>1359269.8238113108</v>
      </c>
      <c r="H22" s="50"/>
      <c r="I22" s="52">
        <v>42.906244438488343</v>
      </c>
      <c r="J22" s="51">
        <f t="shared" si="3"/>
        <v>679634.9119056554</v>
      </c>
      <c r="K22" s="50"/>
      <c r="L22" s="26">
        <v>4.17</v>
      </c>
      <c r="M22" s="27">
        <f t="shared" si="0"/>
        <v>66052.800000000003</v>
      </c>
      <c r="N22" s="50"/>
      <c r="O22" s="26">
        <v>7.14</v>
      </c>
      <c r="P22" s="52">
        <f t="shared" si="4"/>
        <v>113097.59999999999</v>
      </c>
      <c r="Q22" s="53">
        <f t="shared" si="5"/>
        <v>2218055.1357169664</v>
      </c>
      <c r="R22" s="54">
        <f t="shared" si="1"/>
        <v>154.23511130776484</v>
      </c>
      <c r="S22" s="23"/>
    </row>
    <row r="23" spans="1:19" x14ac:dyDescent="0.25">
      <c r="A23" s="22"/>
      <c r="B23" s="24">
        <v>15</v>
      </c>
      <c r="C23" s="48">
        <f>Electricity!C22</f>
        <v>39</v>
      </c>
      <c r="D23" s="49">
        <f>Electricity!D22</f>
        <v>279</v>
      </c>
      <c r="E23" s="84"/>
      <c r="F23" s="26">
        <v>96.6674875368534</v>
      </c>
      <c r="G23" s="51">
        <f t="shared" si="2"/>
        <v>1531213.002583758</v>
      </c>
      <c r="H23" s="50"/>
      <c r="I23" s="52">
        <v>48.3337437684267</v>
      </c>
      <c r="J23" s="51">
        <f t="shared" si="3"/>
        <v>765606.50129187899</v>
      </c>
      <c r="K23" s="50"/>
      <c r="L23" s="26"/>
      <c r="M23" s="27">
        <f t="shared" si="0"/>
        <v>0</v>
      </c>
      <c r="N23" s="50"/>
      <c r="O23" s="26">
        <v>7.14</v>
      </c>
      <c r="P23" s="52">
        <f t="shared" si="4"/>
        <v>113097.59999999999</v>
      </c>
      <c r="Q23" s="53">
        <f t="shared" si="5"/>
        <v>2409917.1038756371</v>
      </c>
      <c r="R23" s="54">
        <f t="shared" si="1"/>
        <v>167.57646226796726</v>
      </c>
      <c r="S23" s="23"/>
    </row>
    <row r="24" spans="1:19" x14ac:dyDescent="0.25">
      <c r="A24" s="22"/>
      <c r="B24" s="24">
        <v>16</v>
      </c>
      <c r="C24" s="48">
        <f>Electricity!C23</f>
        <v>51</v>
      </c>
      <c r="D24" s="49">
        <f>Electricity!D23</f>
        <v>246</v>
      </c>
      <c r="E24" s="84"/>
      <c r="F24" s="26">
        <v>84.726989010989016</v>
      </c>
      <c r="G24" s="51">
        <f t="shared" si="2"/>
        <v>1342075.5059340659</v>
      </c>
      <c r="H24" s="50"/>
      <c r="I24" s="52">
        <v>42.363494505494508</v>
      </c>
      <c r="J24" s="51">
        <f t="shared" si="3"/>
        <v>671037.75296703295</v>
      </c>
      <c r="K24" s="50"/>
      <c r="L24" s="26">
        <v>4.17</v>
      </c>
      <c r="M24" s="27">
        <f t="shared" si="0"/>
        <v>66052.800000000003</v>
      </c>
      <c r="N24" s="50"/>
      <c r="O24" s="26">
        <v>7.14</v>
      </c>
      <c r="P24" s="52">
        <f t="shared" si="4"/>
        <v>113097.59999999999</v>
      </c>
      <c r="Q24" s="53">
        <f t="shared" si="5"/>
        <v>2192263.6589010991</v>
      </c>
      <c r="R24" s="54">
        <f t="shared" si="1"/>
        <v>152.44167018295661</v>
      </c>
      <c r="S24" s="23"/>
    </row>
    <row r="25" spans="1:19" x14ac:dyDescent="0.25">
      <c r="A25" s="22"/>
      <c r="B25" s="24">
        <v>17</v>
      </c>
      <c r="C25" s="48">
        <f>Electricity!C24</f>
        <v>48</v>
      </c>
      <c r="D25" s="49">
        <f>Electricity!D24</f>
        <v>244</v>
      </c>
      <c r="E25" s="84"/>
      <c r="F25" s="26">
        <v>84.003322433663897</v>
      </c>
      <c r="G25" s="51">
        <f t="shared" si="2"/>
        <v>1330612.627349236</v>
      </c>
      <c r="H25" s="50"/>
      <c r="I25" s="52">
        <v>42.001661216831948</v>
      </c>
      <c r="J25" s="51">
        <f t="shared" si="3"/>
        <v>665306.31367461802</v>
      </c>
      <c r="K25" s="50"/>
      <c r="L25" s="26">
        <v>4.17</v>
      </c>
      <c r="M25" s="27">
        <f t="shared" si="0"/>
        <v>66052.800000000003</v>
      </c>
      <c r="N25" s="50"/>
      <c r="O25" s="26">
        <v>7.14</v>
      </c>
      <c r="P25" s="52">
        <f t="shared" si="4"/>
        <v>113097.59999999999</v>
      </c>
      <c r="Q25" s="53">
        <f t="shared" si="5"/>
        <v>2175069.341023854</v>
      </c>
      <c r="R25" s="54">
        <f t="shared" si="1"/>
        <v>151.24604276641776</v>
      </c>
      <c r="S25" s="23"/>
    </row>
    <row r="26" spans="1:19" x14ac:dyDescent="0.25">
      <c r="A26" s="22"/>
      <c r="B26" s="24">
        <v>18</v>
      </c>
      <c r="C26" s="48">
        <f>Electricity!C25</f>
        <v>50</v>
      </c>
      <c r="D26" s="49">
        <f>Electricity!D25</f>
        <v>245</v>
      </c>
      <c r="E26" s="84"/>
      <c r="F26" s="26">
        <v>84.365155722326477</v>
      </c>
      <c r="G26" s="51">
        <f t="shared" si="2"/>
        <v>1336344.0666416513</v>
      </c>
      <c r="H26" s="50"/>
      <c r="I26" s="52">
        <v>42.182577861163239</v>
      </c>
      <c r="J26" s="51">
        <f t="shared" si="3"/>
        <v>668172.03332082566</v>
      </c>
      <c r="K26" s="50"/>
      <c r="L26" s="26">
        <v>4.17</v>
      </c>
      <c r="M26" s="27">
        <f t="shared" si="0"/>
        <v>66052.800000000003</v>
      </c>
      <c r="N26" s="50"/>
      <c r="O26" s="26">
        <v>7.14</v>
      </c>
      <c r="P26" s="52">
        <f t="shared" si="4"/>
        <v>113097.59999999999</v>
      </c>
      <c r="Q26" s="53">
        <f t="shared" si="5"/>
        <v>2183666.499962477</v>
      </c>
      <c r="R26" s="54">
        <f t="shared" si="1"/>
        <v>151.84385647468721</v>
      </c>
      <c r="S26" s="23"/>
    </row>
    <row r="27" spans="1:19" x14ac:dyDescent="0.25">
      <c r="A27" s="22"/>
      <c r="B27" s="24">
        <v>19</v>
      </c>
      <c r="C27" s="48">
        <f>Electricity!C26</f>
        <v>49</v>
      </c>
      <c r="D27" s="49">
        <f>Electricity!D26</f>
        <v>270</v>
      </c>
      <c r="E27" s="84"/>
      <c r="F27" s="26">
        <v>93.410987938890372</v>
      </c>
      <c r="G27" s="51">
        <f t="shared" si="2"/>
        <v>1479630.0489520235</v>
      </c>
      <c r="H27" s="50"/>
      <c r="I27" s="52">
        <v>46.705493969445186</v>
      </c>
      <c r="J27" s="51">
        <f t="shared" si="3"/>
        <v>739815.02447601175</v>
      </c>
      <c r="K27" s="50"/>
      <c r="L27" s="26"/>
      <c r="M27" s="27">
        <f t="shared" si="0"/>
        <v>0</v>
      </c>
      <c r="N27" s="50"/>
      <c r="O27" s="26">
        <v>7.14</v>
      </c>
      <c r="P27" s="52">
        <f t="shared" si="4"/>
        <v>113097.59999999999</v>
      </c>
      <c r="Q27" s="53">
        <f t="shared" si="5"/>
        <v>2332542.6734280353</v>
      </c>
      <c r="R27" s="54">
        <f t="shared" si="1"/>
        <v>162.19613889354255</v>
      </c>
      <c r="S27" s="23"/>
    </row>
    <row r="28" spans="1:19" x14ac:dyDescent="0.25">
      <c r="A28" s="22"/>
      <c r="B28" s="24">
        <v>20</v>
      </c>
      <c r="C28" s="48">
        <f>Electricity!C27</f>
        <v>44</v>
      </c>
      <c r="D28" s="49">
        <f>Electricity!D27</f>
        <v>275</v>
      </c>
      <c r="E28" s="84"/>
      <c r="F28" s="26">
        <v>95.220154382203162</v>
      </c>
      <c r="G28" s="51">
        <f t="shared" si="2"/>
        <v>1508287.245414098</v>
      </c>
      <c r="H28" s="50"/>
      <c r="I28" s="52">
        <v>47.610077191101581</v>
      </c>
      <c r="J28" s="51">
        <f t="shared" si="3"/>
        <v>754143.62270704901</v>
      </c>
      <c r="K28" s="50"/>
      <c r="L28" s="26">
        <v>4.17</v>
      </c>
      <c r="M28" s="27">
        <f t="shared" si="0"/>
        <v>66052.800000000003</v>
      </c>
      <c r="N28" s="50"/>
      <c r="O28" s="26">
        <v>7.14</v>
      </c>
      <c r="P28" s="52">
        <f t="shared" si="4"/>
        <v>113097.59999999999</v>
      </c>
      <c r="Q28" s="53">
        <f t="shared" si="5"/>
        <v>2441581.2681211471</v>
      </c>
      <c r="R28" s="54">
        <f t="shared" si="1"/>
        <v>169.77826772276941</v>
      </c>
      <c r="S28" s="23"/>
    </row>
    <row r="29" spans="1:19" x14ac:dyDescent="0.25">
      <c r="A29" s="22"/>
      <c r="B29" s="24">
        <v>21</v>
      </c>
      <c r="C29" s="48">
        <f>Electricity!C28</f>
        <v>41</v>
      </c>
      <c r="D29" s="49">
        <f>Electricity!D28</f>
        <v>235</v>
      </c>
      <c r="E29" s="84"/>
      <c r="F29" s="26">
        <v>80.746822835700883</v>
      </c>
      <c r="G29" s="51">
        <f t="shared" si="2"/>
        <v>1279029.673717502</v>
      </c>
      <c r="H29" s="50"/>
      <c r="I29" s="52">
        <v>40.373411417850441</v>
      </c>
      <c r="J29" s="51">
        <f t="shared" si="3"/>
        <v>639514.83685875102</v>
      </c>
      <c r="K29" s="50"/>
      <c r="L29" s="26">
        <v>4.17</v>
      </c>
      <c r="M29" s="27">
        <f t="shared" si="0"/>
        <v>66052.800000000003</v>
      </c>
      <c r="N29" s="50"/>
      <c r="O29" s="26">
        <v>7.14</v>
      </c>
      <c r="P29" s="52">
        <f t="shared" si="4"/>
        <v>113097.59999999999</v>
      </c>
      <c r="Q29" s="53">
        <f t="shared" si="5"/>
        <v>2097694.9105762532</v>
      </c>
      <c r="R29" s="54">
        <f t="shared" si="1"/>
        <v>145.86571939199314</v>
      </c>
      <c r="S29" s="23"/>
    </row>
    <row r="30" spans="1:19" x14ac:dyDescent="0.25">
      <c r="A30" s="22"/>
      <c r="B30" s="24">
        <v>22</v>
      </c>
      <c r="C30" s="48">
        <f>Electricity!C29</f>
        <v>38</v>
      </c>
      <c r="D30" s="49">
        <f>Electricity!D29</f>
        <v>176</v>
      </c>
      <c r="E30" s="84"/>
      <c r="F30" s="26">
        <v>59.398658804610022</v>
      </c>
      <c r="G30" s="51">
        <f t="shared" si="2"/>
        <v>940874.75546502275</v>
      </c>
      <c r="H30" s="50"/>
      <c r="I30" s="52">
        <v>29.699329402305011</v>
      </c>
      <c r="J30" s="51">
        <f t="shared" si="3"/>
        <v>470437.37773251138</v>
      </c>
      <c r="K30" s="50"/>
      <c r="L30" s="26">
        <v>4.17</v>
      </c>
      <c r="M30" s="27">
        <f t="shared" si="0"/>
        <v>66052.800000000003</v>
      </c>
      <c r="N30" s="50"/>
      <c r="O30" s="26">
        <v>7.14</v>
      </c>
      <c r="P30" s="52">
        <f t="shared" si="4"/>
        <v>113097.59999999999</v>
      </c>
      <c r="Q30" s="53">
        <f t="shared" si="5"/>
        <v>1590462.5331975343</v>
      </c>
      <c r="R30" s="54">
        <f t="shared" si="1"/>
        <v>110.59471060409807</v>
      </c>
      <c r="S30" s="23"/>
    </row>
    <row r="31" spans="1:19" x14ac:dyDescent="0.25">
      <c r="A31" s="22"/>
      <c r="B31" s="24">
        <v>23</v>
      </c>
      <c r="C31" s="48">
        <f>Electricity!C30</f>
        <v>41</v>
      </c>
      <c r="D31" s="49">
        <f>Electricity!D30</f>
        <v>183</v>
      </c>
      <c r="E31" s="84"/>
      <c r="F31" s="26">
        <v>61.931491825247917</v>
      </c>
      <c r="G31" s="51">
        <f t="shared" si="2"/>
        <v>980994.83051192702</v>
      </c>
      <c r="H31" s="50"/>
      <c r="I31" s="52">
        <v>30.965745912623959</v>
      </c>
      <c r="J31" s="51">
        <f t="shared" si="3"/>
        <v>490497.41525596351</v>
      </c>
      <c r="K31" s="50"/>
      <c r="L31" s="26">
        <v>4.17</v>
      </c>
      <c r="M31" s="27">
        <f t="shared" si="0"/>
        <v>66052.800000000003</v>
      </c>
      <c r="N31" s="50"/>
      <c r="O31" s="26">
        <v>7.14</v>
      </c>
      <c r="P31" s="52">
        <f t="shared" si="4"/>
        <v>113097.59999999999</v>
      </c>
      <c r="Q31" s="53">
        <f t="shared" si="5"/>
        <v>1650642.6457678906</v>
      </c>
      <c r="R31" s="54">
        <f t="shared" si="1"/>
        <v>114.7794065619839</v>
      </c>
      <c r="S31" s="23"/>
    </row>
    <row r="32" spans="1:19" x14ac:dyDescent="0.25">
      <c r="A32" s="22"/>
      <c r="B32" s="24">
        <v>24</v>
      </c>
      <c r="C32" s="48">
        <f>Electricity!C31</f>
        <v>40</v>
      </c>
      <c r="D32" s="49">
        <f>Electricity!D31</f>
        <v>206</v>
      </c>
      <c r="E32" s="84"/>
      <c r="F32" s="83">
        <v>70.253657464486736</v>
      </c>
      <c r="G32" s="51">
        <f t="shared" si="2"/>
        <v>1112817.9342374699</v>
      </c>
      <c r="H32" s="50"/>
      <c r="I32" s="52">
        <v>35.126828732243368</v>
      </c>
      <c r="J32" s="51">
        <f t="shared" si="3"/>
        <v>556408.96711873496</v>
      </c>
      <c r="K32" s="50"/>
      <c r="L32" s="26">
        <v>4.17</v>
      </c>
      <c r="M32" s="27">
        <f t="shared" si="0"/>
        <v>66052.800000000003</v>
      </c>
      <c r="N32" s="50"/>
      <c r="O32" s="26">
        <v>7.14</v>
      </c>
      <c r="P32" s="52">
        <f t="shared" si="4"/>
        <v>113097.59999999999</v>
      </c>
      <c r="Q32" s="53">
        <f t="shared" si="5"/>
        <v>1848377.301356205</v>
      </c>
      <c r="R32" s="54">
        <f t="shared" si="1"/>
        <v>128.52912185218031</v>
      </c>
      <c r="S32" s="23"/>
    </row>
    <row r="33" spans="1:21" x14ac:dyDescent="0.25">
      <c r="A33" s="22"/>
      <c r="B33" s="24">
        <v>25</v>
      </c>
      <c r="C33" s="48">
        <f>Electricity!C32</f>
        <v>46</v>
      </c>
      <c r="D33" s="49">
        <f>Electricity!D32</f>
        <v>213</v>
      </c>
      <c r="E33" s="84"/>
      <c r="F33" s="83">
        <v>72.786490485124631</v>
      </c>
      <c r="G33" s="51">
        <f t="shared" si="2"/>
        <v>1152938.0092843741</v>
      </c>
      <c r="H33" s="50"/>
      <c r="I33" s="52">
        <v>36.393245242562315</v>
      </c>
      <c r="J33" s="51">
        <f t="shared" si="3"/>
        <v>576469.00464218704</v>
      </c>
      <c r="K33" s="50"/>
      <c r="L33" s="26">
        <v>4.17</v>
      </c>
      <c r="M33" s="27">
        <f t="shared" si="0"/>
        <v>66052.800000000003</v>
      </c>
      <c r="N33" s="50"/>
      <c r="O33" s="26">
        <v>7.14</v>
      </c>
      <c r="P33" s="52">
        <f t="shared" si="4"/>
        <v>113097.59999999999</v>
      </c>
      <c r="Q33" s="53">
        <f t="shared" si="5"/>
        <v>1908557.4139265614</v>
      </c>
      <c r="R33" s="54">
        <f t="shared" si="1"/>
        <v>132.71381781006616</v>
      </c>
      <c r="S33" s="23"/>
    </row>
    <row r="34" spans="1:21" x14ac:dyDescent="0.25">
      <c r="A34" s="22"/>
      <c r="B34" s="24">
        <v>26</v>
      </c>
      <c r="C34" s="48">
        <f>Electricity!C33</f>
        <v>47</v>
      </c>
      <c r="D34" s="49">
        <f>Electricity!D33</f>
        <v>286</v>
      </c>
      <c r="E34" s="84"/>
      <c r="F34" s="83">
        <v>99.200320557491281</v>
      </c>
      <c r="G34" s="51">
        <f t="shared" si="2"/>
        <v>1571333.0776306619</v>
      </c>
      <c r="H34" s="50"/>
      <c r="I34" s="52">
        <v>49.600160278745641</v>
      </c>
      <c r="J34" s="51">
        <f t="shared" si="3"/>
        <v>785666.53881533095</v>
      </c>
      <c r="K34" s="50"/>
      <c r="L34" s="26">
        <v>4.17</v>
      </c>
      <c r="M34" s="27">
        <f t="shared" si="0"/>
        <v>66052.800000000003</v>
      </c>
      <c r="N34" s="50"/>
      <c r="O34" s="26">
        <v>7.14</v>
      </c>
      <c r="P34" s="52">
        <f t="shared" si="4"/>
        <v>113097.59999999999</v>
      </c>
      <c r="Q34" s="53">
        <f t="shared" si="5"/>
        <v>2536150.016445993</v>
      </c>
      <c r="R34" s="54">
        <f t="shared" si="1"/>
        <v>176.35421851373292</v>
      </c>
      <c r="S34" s="23"/>
    </row>
    <row r="35" spans="1:21" x14ac:dyDescent="0.25">
      <c r="A35" s="22"/>
      <c r="B35" s="24">
        <v>27</v>
      </c>
      <c r="C35" s="48">
        <f>Electricity!C34</f>
        <v>51</v>
      </c>
      <c r="D35" s="49">
        <f>Electricity!D34</f>
        <v>289</v>
      </c>
      <c r="E35" s="84"/>
      <c r="F35" s="83">
        <v>100.28582042347897</v>
      </c>
      <c r="G35" s="51">
        <f t="shared" si="2"/>
        <v>1588527.3955079068</v>
      </c>
      <c r="H35" s="50"/>
      <c r="I35" s="52">
        <v>50.142910211739483</v>
      </c>
      <c r="J35" s="51">
        <f t="shared" si="3"/>
        <v>794263.6977539534</v>
      </c>
      <c r="K35" s="50"/>
      <c r="L35" s="26">
        <v>4.17</v>
      </c>
      <c r="M35" s="27">
        <f t="shared" si="0"/>
        <v>66052.800000000003</v>
      </c>
      <c r="N35" s="50"/>
      <c r="O35" s="26">
        <v>7.14</v>
      </c>
      <c r="P35" s="52">
        <f t="shared" si="4"/>
        <v>113097.59999999999</v>
      </c>
      <c r="Q35" s="53">
        <f t="shared" si="5"/>
        <v>2561941.4932618602</v>
      </c>
      <c r="R35" s="54">
        <f t="shared" si="1"/>
        <v>178.14765963854114</v>
      </c>
      <c r="S35" s="23"/>
    </row>
    <row r="36" spans="1:21" x14ac:dyDescent="0.25">
      <c r="A36" s="22"/>
      <c r="B36" s="24">
        <v>28</v>
      </c>
      <c r="C36" s="48">
        <f>Electricity!C35</f>
        <v>54</v>
      </c>
      <c r="D36" s="49">
        <f>Electricity!D35</f>
        <v>276</v>
      </c>
      <c r="E36" s="84"/>
      <c r="F36" s="83">
        <v>95.581987670865729</v>
      </c>
      <c r="G36" s="51">
        <f t="shared" si="2"/>
        <v>1514018.6847065131</v>
      </c>
      <c r="H36" s="50"/>
      <c r="I36" s="52">
        <v>47.790993835432865</v>
      </c>
      <c r="J36" s="51">
        <f t="shared" si="3"/>
        <v>757009.34235325654</v>
      </c>
      <c r="K36" s="50"/>
      <c r="L36" s="26">
        <v>4.17</v>
      </c>
      <c r="M36" s="27">
        <f t="shared" si="0"/>
        <v>66052.800000000003</v>
      </c>
      <c r="N36" s="50"/>
      <c r="O36" s="26">
        <v>7.14</v>
      </c>
      <c r="P36" s="52">
        <f t="shared" si="4"/>
        <v>113097.59999999999</v>
      </c>
      <c r="Q36" s="53">
        <f t="shared" si="5"/>
        <v>2450178.4270597696</v>
      </c>
      <c r="R36" s="54">
        <f t="shared" si="1"/>
        <v>170.37608143103884</v>
      </c>
      <c r="S36" s="23"/>
    </row>
    <row r="37" spans="1:21" x14ac:dyDescent="0.25">
      <c r="A37" s="22"/>
      <c r="B37" s="24">
        <v>29</v>
      </c>
      <c r="C37" s="48">
        <f>Electricity!C36</f>
        <v>48</v>
      </c>
      <c r="D37" s="49">
        <f>Electricity!D36</f>
        <v>277</v>
      </c>
      <c r="E37" s="82"/>
      <c r="F37" s="83">
        <v>95.943820959528296</v>
      </c>
      <c r="G37" s="51">
        <f t="shared" si="2"/>
        <v>1519750.1239989281</v>
      </c>
      <c r="H37" s="50"/>
      <c r="I37" s="52">
        <v>47.971910479764148</v>
      </c>
      <c r="J37" s="51">
        <f t="shared" si="3"/>
        <v>759875.06199946406</v>
      </c>
      <c r="K37" s="50"/>
      <c r="L37" s="26">
        <v>4.17</v>
      </c>
      <c r="M37" s="27">
        <f t="shared" si="0"/>
        <v>66052.800000000003</v>
      </c>
      <c r="N37" s="50"/>
      <c r="O37" s="26">
        <v>7.14</v>
      </c>
      <c r="P37" s="52">
        <f t="shared" si="4"/>
        <v>113097.59999999999</v>
      </c>
      <c r="Q37" s="53">
        <f t="shared" si="5"/>
        <v>2458775.5859983922</v>
      </c>
      <c r="R37" s="54">
        <f t="shared" si="1"/>
        <v>170.97389513930827</v>
      </c>
      <c r="S37" s="23"/>
    </row>
    <row r="38" spans="1:21" x14ac:dyDescent="0.25">
      <c r="A38" s="22"/>
      <c r="B38" s="24">
        <v>30</v>
      </c>
      <c r="C38" s="48">
        <f>Electricity!C37</f>
        <v>44</v>
      </c>
      <c r="D38" s="49">
        <f>Electricity!D37</f>
        <v>284</v>
      </c>
      <c r="E38" s="82"/>
      <c r="F38" s="83">
        <v>98.476653980166191</v>
      </c>
      <c r="G38" s="51">
        <f t="shared" si="2"/>
        <v>1559870.1990458325</v>
      </c>
      <c r="H38" s="50"/>
      <c r="I38" s="52">
        <v>49.238326990083095</v>
      </c>
      <c r="J38" s="51">
        <f t="shared" si="3"/>
        <v>779935.09952291625</v>
      </c>
      <c r="K38" s="50"/>
      <c r="L38" s="26">
        <v>4.17</v>
      </c>
      <c r="M38" s="27">
        <f t="shared" si="0"/>
        <v>66052.800000000003</v>
      </c>
      <c r="N38" s="50"/>
      <c r="O38" s="26">
        <v>7.14</v>
      </c>
      <c r="P38" s="52">
        <f t="shared" si="4"/>
        <v>113097.59999999999</v>
      </c>
      <c r="Q38" s="53">
        <f t="shared" si="5"/>
        <v>2518955.6985687488</v>
      </c>
      <c r="R38" s="54">
        <f t="shared" si="1"/>
        <v>175.15859109719412</v>
      </c>
      <c r="S38" s="23"/>
    </row>
    <row r="39" spans="1:21" ht="15.75" thickBot="1" x14ac:dyDescent="0.3">
      <c r="A39" s="22"/>
      <c r="B39" s="24">
        <v>31</v>
      </c>
      <c r="C39" s="48" t="str">
        <f>Electricity!C38</f>
        <v xml:space="preserve"> -   </v>
      </c>
      <c r="D39" s="49" t="str">
        <f>Electricity!D38</f>
        <v xml:space="preserve"> -   </v>
      </c>
      <c r="E39" s="82"/>
      <c r="F39" s="83"/>
      <c r="G39" s="51">
        <f t="shared" si="2"/>
        <v>0</v>
      </c>
      <c r="H39" s="50"/>
      <c r="I39" s="98"/>
      <c r="J39" s="51">
        <f t="shared" si="3"/>
        <v>0</v>
      </c>
      <c r="K39" s="50"/>
      <c r="L39" s="26"/>
      <c r="M39" s="27">
        <f t="shared" si="0"/>
        <v>0</v>
      </c>
      <c r="N39" s="50"/>
      <c r="O39" s="26">
        <v>7.14</v>
      </c>
      <c r="P39" s="52">
        <f t="shared" si="4"/>
        <v>113097.59999999999</v>
      </c>
      <c r="Q39" s="53">
        <f t="shared" si="5"/>
        <v>113097.59999999999</v>
      </c>
      <c r="R39" s="54">
        <f t="shared" si="1"/>
        <v>7.8643766080244761</v>
      </c>
      <c r="S39" s="23"/>
    </row>
    <row r="40" spans="1:21" s="12" customFormat="1" x14ac:dyDescent="0.25">
      <c r="C40" s="55">
        <f>SUM(C9:C39)</f>
        <v>1385</v>
      </c>
      <c r="D40" s="55">
        <f>SUM(D9:D39)</f>
        <v>7462</v>
      </c>
      <c r="E40" s="32"/>
      <c r="F40" s="32">
        <f>SUM(F9:F39)</f>
        <v>2571.48</v>
      </c>
      <c r="G40" s="42"/>
      <c r="H40" s="42"/>
      <c r="I40" s="32" t="s">
        <v>43</v>
      </c>
      <c r="J40" s="42"/>
      <c r="K40" s="42"/>
      <c r="L40" s="32" t="s">
        <v>43</v>
      </c>
      <c r="M40" s="42"/>
      <c r="N40" s="41"/>
      <c r="O40" s="32">
        <f>SUM(O9:O39)</f>
        <v>221.3399999999998</v>
      </c>
      <c r="P40" s="42"/>
      <c r="R40" s="95">
        <f>SUM(R9:R39)</f>
        <v>4616.3560253111737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44</v>
      </c>
      <c r="O41" s="65">
        <f>F40+O40</f>
        <v>2792.8199999999997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E7:E8"/>
    <mergeCell ref="F7:F8"/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K7" sqref="K7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100" t="s">
        <v>45</v>
      </c>
      <c r="C1" s="100"/>
      <c r="D1" s="100"/>
      <c r="E1" s="100"/>
      <c r="F1" s="100"/>
      <c r="G1" s="100"/>
      <c r="H1" s="100"/>
    </row>
    <row r="2" spans="1:9" ht="15.75" x14ac:dyDescent="0.25">
      <c r="B2" s="100" t="s">
        <v>16</v>
      </c>
      <c r="C2" s="100"/>
      <c r="D2" s="100"/>
      <c r="E2" s="100"/>
      <c r="F2" s="100"/>
      <c r="G2" s="100"/>
      <c r="H2" s="100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4">
        <v>43617</v>
      </c>
      <c r="C4" s="104"/>
      <c r="D4" s="104"/>
      <c r="E4" s="104"/>
      <c r="F4" s="104"/>
      <c r="G4" s="104"/>
      <c r="H4" s="104"/>
      <c r="I4" s="18"/>
    </row>
    <row r="5" spans="1:9" x14ac:dyDescent="0.25">
      <c r="A5" s="68"/>
      <c r="B5" s="99" t="s">
        <v>46</v>
      </c>
      <c r="C5" s="99" t="s">
        <v>18</v>
      </c>
      <c r="D5" s="99" t="s">
        <v>13</v>
      </c>
      <c r="E5" s="99" t="s">
        <v>47</v>
      </c>
      <c r="F5" s="99"/>
      <c r="G5" s="99"/>
      <c r="H5" s="99" t="s">
        <v>23</v>
      </c>
      <c r="I5" s="20"/>
    </row>
    <row r="6" spans="1:9" x14ac:dyDescent="0.25">
      <c r="A6" s="68"/>
      <c r="B6" s="99"/>
      <c r="C6" s="99"/>
      <c r="D6" s="99"/>
      <c r="E6" s="99"/>
      <c r="F6" s="99"/>
      <c r="G6" s="99"/>
      <c r="H6" s="99"/>
      <c r="I6" s="20"/>
    </row>
    <row r="7" spans="1:9" s="21" customFormat="1" ht="22.5" x14ac:dyDescent="0.25">
      <c r="A7" s="68"/>
      <c r="B7" s="99"/>
      <c r="C7" s="99"/>
      <c r="D7" s="99"/>
      <c r="E7" s="45" t="s">
        <v>36</v>
      </c>
      <c r="F7" s="110" t="s">
        <v>48</v>
      </c>
      <c r="G7" s="69" t="s">
        <v>40</v>
      </c>
      <c r="H7" s="99"/>
      <c r="I7" s="20"/>
    </row>
    <row r="8" spans="1:9" s="21" customFormat="1" x14ac:dyDescent="0.25">
      <c r="A8" s="68"/>
      <c r="B8" s="99"/>
      <c r="C8" s="99"/>
      <c r="D8" s="99"/>
      <c r="E8" s="70">
        <v>2745</v>
      </c>
      <c r="F8" s="110"/>
      <c r="G8" s="69">
        <v>10700</v>
      </c>
      <c r="H8" s="99"/>
      <c r="I8" s="20"/>
    </row>
    <row r="9" spans="1:9" x14ac:dyDescent="0.25">
      <c r="A9" s="71"/>
      <c r="B9" s="24">
        <v>1</v>
      </c>
      <c r="C9" s="25">
        <f>Gas!C9</f>
        <v>41</v>
      </c>
      <c r="D9" s="25">
        <f>Gas!D9</f>
        <v>214</v>
      </c>
      <c r="E9" s="72"/>
      <c r="F9" s="73"/>
      <c r="G9" s="73">
        <f t="shared" ref="G9:G39" si="0">F9*$G$8</f>
        <v>0</v>
      </c>
      <c r="H9" s="87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42</v>
      </c>
      <c r="D10" s="25">
        <f>Gas!D10</f>
        <v>214</v>
      </c>
      <c r="E10" s="72"/>
      <c r="F10" s="74"/>
      <c r="G10" s="73">
        <f>F10*$G$8</f>
        <v>0</v>
      </c>
      <c r="H10" s="87">
        <f t="shared" ref="H10:H39" si="1">G10/14381</f>
        <v>0</v>
      </c>
      <c r="I10" s="23"/>
    </row>
    <row r="11" spans="1:9" x14ac:dyDescent="0.25">
      <c r="A11" s="71"/>
      <c r="B11" s="24">
        <v>3</v>
      </c>
      <c r="C11" s="25">
        <f>Gas!C11</f>
        <v>48</v>
      </c>
      <c r="D11" s="25">
        <f>Gas!D11</f>
        <v>248</v>
      </c>
      <c r="E11" s="72"/>
      <c r="F11" s="74">
        <v>50</v>
      </c>
      <c r="G11" s="73">
        <f t="shared" si="0"/>
        <v>535000</v>
      </c>
      <c r="H11" s="87">
        <f t="shared" si="1"/>
        <v>37.201863569988177</v>
      </c>
      <c r="I11" s="23"/>
    </row>
    <row r="12" spans="1:9" x14ac:dyDescent="0.25">
      <c r="A12" s="71"/>
      <c r="B12" s="24">
        <v>4</v>
      </c>
      <c r="C12" s="25">
        <f>Gas!C12</f>
        <v>54</v>
      </c>
      <c r="D12" s="25">
        <f>Gas!D12</f>
        <v>282</v>
      </c>
      <c r="E12" s="72"/>
      <c r="F12" s="74"/>
      <c r="G12" s="73">
        <f t="shared" si="0"/>
        <v>0</v>
      </c>
      <c r="H12" s="87">
        <f t="shared" si="1"/>
        <v>0</v>
      </c>
      <c r="I12" s="23"/>
    </row>
    <row r="13" spans="1:9" x14ac:dyDescent="0.25">
      <c r="A13" s="71"/>
      <c r="B13" s="24">
        <v>5</v>
      </c>
      <c r="C13" s="25">
        <f>Gas!C13</f>
        <v>54</v>
      </c>
      <c r="D13" s="25">
        <f>Gas!D13</f>
        <v>269</v>
      </c>
      <c r="E13" s="72"/>
      <c r="F13" s="74"/>
      <c r="G13" s="73">
        <f t="shared" si="0"/>
        <v>0</v>
      </c>
      <c r="H13" s="87">
        <f t="shared" si="1"/>
        <v>0</v>
      </c>
      <c r="I13" s="23"/>
    </row>
    <row r="14" spans="1:9" x14ac:dyDescent="0.25">
      <c r="A14" s="71"/>
      <c r="B14" s="24">
        <v>6</v>
      </c>
      <c r="C14" s="25">
        <f>Gas!C14</f>
        <v>50</v>
      </c>
      <c r="D14" s="25">
        <f>Gas!D14</f>
        <v>258</v>
      </c>
      <c r="E14" s="72"/>
      <c r="F14" s="74"/>
      <c r="G14" s="73">
        <f t="shared" si="0"/>
        <v>0</v>
      </c>
      <c r="H14" s="87">
        <f t="shared" si="1"/>
        <v>0</v>
      </c>
      <c r="I14" s="23"/>
    </row>
    <row r="15" spans="1:9" x14ac:dyDescent="0.25">
      <c r="A15" s="71"/>
      <c r="B15" s="24">
        <v>7</v>
      </c>
      <c r="C15" s="25">
        <f>Gas!C15</f>
        <v>40</v>
      </c>
      <c r="D15" s="25">
        <f>Gas!D15</f>
        <v>240</v>
      </c>
      <c r="E15" s="72"/>
      <c r="F15" s="74"/>
      <c r="G15" s="73">
        <f t="shared" si="0"/>
        <v>0</v>
      </c>
      <c r="H15" s="87">
        <f t="shared" si="1"/>
        <v>0</v>
      </c>
      <c r="I15" s="23"/>
    </row>
    <row r="16" spans="1:9" x14ac:dyDescent="0.25">
      <c r="A16" s="71"/>
      <c r="B16" s="24">
        <v>8</v>
      </c>
      <c r="C16" s="25">
        <f>Gas!C16</f>
        <v>42</v>
      </c>
      <c r="D16" s="25">
        <f>Gas!D16</f>
        <v>244</v>
      </c>
      <c r="E16" s="72"/>
      <c r="F16" s="74"/>
      <c r="G16" s="73">
        <f t="shared" si="0"/>
        <v>0</v>
      </c>
      <c r="H16" s="87">
        <f t="shared" si="1"/>
        <v>0</v>
      </c>
      <c r="I16" s="23"/>
    </row>
    <row r="17" spans="1:9" x14ac:dyDescent="0.25">
      <c r="A17" s="71"/>
      <c r="B17" s="24">
        <v>9</v>
      </c>
      <c r="C17" s="25">
        <f>Gas!C17</f>
        <v>47</v>
      </c>
      <c r="D17" s="25">
        <f>Gas!D17</f>
        <v>234</v>
      </c>
      <c r="E17" s="72"/>
      <c r="F17" s="74"/>
      <c r="G17" s="73">
        <f t="shared" si="0"/>
        <v>0</v>
      </c>
      <c r="H17" s="87">
        <f t="shared" si="1"/>
        <v>0</v>
      </c>
      <c r="I17" s="23"/>
    </row>
    <row r="18" spans="1:9" x14ac:dyDescent="0.25">
      <c r="A18" s="71"/>
      <c r="B18" s="24">
        <v>10</v>
      </c>
      <c r="C18" s="25">
        <f>Gas!C18</f>
        <v>49</v>
      </c>
      <c r="D18" s="25">
        <f>Gas!D18</f>
        <v>234</v>
      </c>
      <c r="E18" s="72"/>
      <c r="F18" s="74">
        <v>40</v>
      </c>
      <c r="G18" s="73">
        <f t="shared" si="0"/>
        <v>428000</v>
      </c>
      <c r="H18" s="87">
        <f t="shared" si="1"/>
        <v>29.761490855990544</v>
      </c>
      <c r="I18" s="23"/>
    </row>
    <row r="19" spans="1:9" x14ac:dyDescent="0.25">
      <c r="A19" s="71"/>
      <c r="B19" s="24">
        <v>11</v>
      </c>
      <c r="C19" s="25">
        <f>Gas!C19</f>
        <v>45</v>
      </c>
      <c r="D19" s="25">
        <f>Gas!D19</f>
        <v>275</v>
      </c>
      <c r="E19" s="72"/>
      <c r="F19" s="74"/>
      <c r="G19" s="73">
        <f t="shared" si="0"/>
        <v>0</v>
      </c>
      <c r="H19" s="87">
        <f t="shared" si="1"/>
        <v>0</v>
      </c>
      <c r="I19" s="23"/>
    </row>
    <row r="20" spans="1:9" x14ac:dyDescent="0.25">
      <c r="A20" s="71"/>
      <c r="B20" s="24">
        <v>12</v>
      </c>
      <c r="C20" s="25">
        <f>Gas!C20</f>
        <v>48</v>
      </c>
      <c r="D20" s="25">
        <f>Gas!D20</f>
        <v>247</v>
      </c>
      <c r="E20" s="72"/>
      <c r="F20" s="74"/>
      <c r="G20" s="73">
        <f t="shared" si="0"/>
        <v>0</v>
      </c>
      <c r="H20" s="87">
        <f t="shared" si="1"/>
        <v>0</v>
      </c>
      <c r="I20" s="23"/>
    </row>
    <row r="21" spans="1:9" x14ac:dyDescent="0.25">
      <c r="A21" s="71"/>
      <c r="B21" s="24">
        <v>13</v>
      </c>
      <c r="C21" s="25">
        <f>Gas!C21</f>
        <v>51</v>
      </c>
      <c r="D21" s="25">
        <f>Gas!D21</f>
        <v>270</v>
      </c>
      <c r="E21" s="72"/>
      <c r="F21" s="74"/>
      <c r="G21" s="73">
        <f t="shared" si="0"/>
        <v>0</v>
      </c>
      <c r="H21" s="87">
        <f t="shared" si="1"/>
        <v>0</v>
      </c>
      <c r="I21" s="23"/>
    </row>
    <row r="22" spans="1:9" x14ac:dyDescent="0.25">
      <c r="A22" s="71"/>
      <c r="B22" s="24">
        <v>14</v>
      </c>
      <c r="C22" s="25">
        <f>Gas!C22</f>
        <v>43</v>
      </c>
      <c r="D22" s="25">
        <f>Gas!D22</f>
        <v>249</v>
      </c>
      <c r="E22" s="72"/>
      <c r="F22" s="74"/>
      <c r="G22" s="73">
        <f t="shared" si="0"/>
        <v>0</v>
      </c>
      <c r="H22" s="87">
        <f t="shared" si="1"/>
        <v>0</v>
      </c>
      <c r="I22" s="23"/>
    </row>
    <row r="23" spans="1:9" x14ac:dyDescent="0.25">
      <c r="A23" s="71"/>
      <c r="B23" s="24">
        <v>15</v>
      </c>
      <c r="C23" s="25">
        <f>Gas!C23</f>
        <v>39</v>
      </c>
      <c r="D23" s="25">
        <f>Gas!D23</f>
        <v>279</v>
      </c>
      <c r="E23" s="72"/>
      <c r="F23" s="74"/>
      <c r="G23" s="73">
        <f t="shared" si="0"/>
        <v>0</v>
      </c>
      <c r="H23" s="87">
        <f t="shared" si="1"/>
        <v>0</v>
      </c>
      <c r="I23" s="23"/>
    </row>
    <row r="24" spans="1:9" x14ac:dyDescent="0.25">
      <c r="A24" s="71"/>
      <c r="B24" s="24">
        <v>16</v>
      </c>
      <c r="C24" s="25">
        <f>Gas!C24</f>
        <v>51</v>
      </c>
      <c r="D24" s="25">
        <f>Gas!D24</f>
        <v>246</v>
      </c>
      <c r="E24" s="72"/>
      <c r="F24" s="74"/>
      <c r="G24" s="73">
        <f t="shared" si="0"/>
        <v>0</v>
      </c>
      <c r="H24" s="87">
        <f t="shared" si="1"/>
        <v>0</v>
      </c>
      <c r="I24" s="23"/>
    </row>
    <row r="25" spans="1:9" x14ac:dyDescent="0.25">
      <c r="A25" s="71"/>
      <c r="B25" s="24">
        <v>17</v>
      </c>
      <c r="C25" s="25">
        <f>Gas!C25</f>
        <v>48</v>
      </c>
      <c r="D25" s="25">
        <f>Gas!D25</f>
        <v>244</v>
      </c>
      <c r="E25" s="72"/>
      <c r="F25" s="74">
        <v>50</v>
      </c>
      <c r="G25" s="73">
        <f t="shared" si="0"/>
        <v>535000</v>
      </c>
      <c r="H25" s="87">
        <f t="shared" si="1"/>
        <v>37.201863569988177</v>
      </c>
      <c r="I25" s="23"/>
    </row>
    <row r="26" spans="1:9" x14ac:dyDescent="0.25">
      <c r="A26" s="71"/>
      <c r="B26" s="24">
        <v>18</v>
      </c>
      <c r="C26" s="25">
        <f>Gas!C26</f>
        <v>50</v>
      </c>
      <c r="D26" s="25">
        <f>Gas!D26</f>
        <v>245</v>
      </c>
      <c r="E26" s="72"/>
      <c r="F26" s="74"/>
      <c r="G26" s="73">
        <f t="shared" si="0"/>
        <v>0</v>
      </c>
      <c r="H26" s="87">
        <f t="shared" si="1"/>
        <v>0</v>
      </c>
      <c r="I26" s="23"/>
    </row>
    <row r="27" spans="1:9" x14ac:dyDescent="0.25">
      <c r="A27" s="71"/>
      <c r="B27" s="24">
        <v>19</v>
      </c>
      <c r="C27" s="25">
        <f>Gas!C27</f>
        <v>49</v>
      </c>
      <c r="D27" s="25">
        <f>Gas!D27</f>
        <v>270</v>
      </c>
      <c r="E27" s="72"/>
      <c r="F27" s="74"/>
      <c r="G27" s="73">
        <f t="shared" si="0"/>
        <v>0</v>
      </c>
      <c r="H27" s="87">
        <f t="shared" si="1"/>
        <v>0</v>
      </c>
      <c r="I27" s="23"/>
    </row>
    <row r="28" spans="1:9" x14ac:dyDescent="0.25">
      <c r="A28" s="71"/>
      <c r="B28" s="24">
        <v>20</v>
      </c>
      <c r="C28" s="25">
        <f>Gas!C28</f>
        <v>44</v>
      </c>
      <c r="D28" s="25">
        <f>Gas!D28</f>
        <v>275</v>
      </c>
      <c r="E28" s="72"/>
      <c r="F28" s="73"/>
      <c r="G28" s="73">
        <f t="shared" si="0"/>
        <v>0</v>
      </c>
      <c r="H28" s="87">
        <f t="shared" si="1"/>
        <v>0</v>
      </c>
      <c r="I28" s="23"/>
    </row>
    <row r="29" spans="1:9" x14ac:dyDescent="0.25">
      <c r="A29" s="71"/>
      <c r="B29" s="24">
        <v>21</v>
      </c>
      <c r="C29" s="25">
        <f>Gas!C29</f>
        <v>41</v>
      </c>
      <c r="D29" s="25">
        <f>Gas!D29</f>
        <v>235</v>
      </c>
      <c r="E29" s="72"/>
      <c r="F29" s="74"/>
      <c r="G29" s="73">
        <f t="shared" si="0"/>
        <v>0</v>
      </c>
      <c r="H29" s="87">
        <f t="shared" si="1"/>
        <v>0</v>
      </c>
      <c r="I29" s="23"/>
    </row>
    <row r="30" spans="1:9" x14ac:dyDescent="0.25">
      <c r="A30" s="71"/>
      <c r="B30" s="24">
        <v>22</v>
      </c>
      <c r="C30" s="25">
        <f>Gas!C30</f>
        <v>38</v>
      </c>
      <c r="D30" s="25">
        <f>Gas!D30</f>
        <v>176</v>
      </c>
      <c r="E30" s="72"/>
      <c r="F30" s="73"/>
      <c r="G30" s="73">
        <f t="shared" si="0"/>
        <v>0</v>
      </c>
      <c r="H30" s="87">
        <f t="shared" si="1"/>
        <v>0</v>
      </c>
      <c r="I30" s="23"/>
    </row>
    <row r="31" spans="1:9" x14ac:dyDescent="0.25">
      <c r="A31" s="71"/>
      <c r="B31" s="24">
        <v>23</v>
      </c>
      <c r="C31" s="25">
        <f>Gas!C31</f>
        <v>41</v>
      </c>
      <c r="D31" s="25">
        <f>Gas!D31</f>
        <v>183</v>
      </c>
      <c r="E31" s="72"/>
      <c r="F31" s="73"/>
      <c r="G31" s="73">
        <f t="shared" si="0"/>
        <v>0</v>
      </c>
      <c r="H31" s="87">
        <f t="shared" si="1"/>
        <v>0</v>
      </c>
      <c r="I31" s="23"/>
    </row>
    <row r="32" spans="1:9" x14ac:dyDescent="0.25">
      <c r="A32" s="71"/>
      <c r="B32" s="24">
        <v>24</v>
      </c>
      <c r="C32" s="25">
        <f>Gas!C32</f>
        <v>40</v>
      </c>
      <c r="D32" s="25">
        <f>Gas!D32</f>
        <v>206</v>
      </c>
      <c r="E32" s="72"/>
      <c r="F32" s="73">
        <v>50</v>
      </c>
      <c r="G32" s="73"/>
      <c r="H32" s="87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46</v>
      </c>
      <c r="D33" s="25">
        <f>Gas!D33</f>
        <v>213</v>
      </c>
      <c r="E33" s="72"/>
      <c r="F33" s="73"/>
      <c r="G33" s="73">
        <f t="shared" si="0"/>
        <v>0</v>
      </c>
      <c r="H33" s="87">
        <f t="shared" si="1"/>
        <v>0</v>
      </c>
      <c r="I33" s="23"/>
    </row>
    <row r="34" spans="1:11" x14ac:dyDescent="0.25">
      <c r="A34" s="71"/>
      <c r="B34" s="24">
        <v>26</v>
      </c>
      <c r="C34" s="25">
        <f>Gas!C34</f>
        <v>47</v>
      </c>
      <c r="D34" s="25">
        <f>Gas!D34</f>
        <v>286</v>
      </c>
      <c r="E34" s="72"/>
      <c r="F34" s="73"/>
      <c r="G34" s="73">
        <f t="shared" si="0"/>
        <v>0</v>
      </c>
      <c r="H34" s="87">
        <f t="shared" si="1"/>
        <v>0</v>
      </c>
      <c r="I34" s="23"/>
    </row>
    <row r="35" spans="1:11" x14ac:dyDescent="0.25">
      <c r="A35" s="71"/>
      <c r="B35" s="24">
        <v>27</v>
      </c>
      <c r="C35" s="25">
        <f>Gas!C35</f>
        <v>51</v>
      </c>
      <c r="D35" s="25">
        <f>Gas!D35</f>
        <v>289</v>
      </c>
      <c r="E35" s="72"/>
      <c r="F35" s="73"/>
      <c r="G35" s="73">
        <f t="shared" si="0"/>
        <v>0</v>
      </c>
      <c r="H35" s="87">
        <f t="shared" si="1"/>
        <v>0</v>
      </c>
      <c r="I35" s="23"/>
    </row>
    <row r="36" spans="1:11" x14ac:dyDescent="0.25">
      <c r="A36" s="71"/>
      <c r="B36" s="24">
        <v>28</v>
      </c>
      <c r="C36" s="25">
        <f>Gas!C36</f>
        <v>54</v>
      </c>
      <c r="D36" s="25">
        <f>Gas!D36</f>
        <v>276</v>
      </c>
      <c r="E36" s="72"/>
      <c r="F36" s="73"/>
      <c r="G36" s="73">
        <f t="shared" si="0"/>
        <v>0</v>
      </c>
      <c r="H36" s="87">
        <f t="shared" si="1"/>
        <v>0</v>
      </c>
      <c r="I36" s="23"/>
    </row>
    <row r="37" spans="1:11" x14ac:dyDescent="0.25">
      <c r="A37" s="71"/>
      <c r="B37" s="24">
        <v>29</v>
      </c>
      <c r="C37" s="25">
        <f>Gas!C37</f>
        <v>48</v>
      </c>
      <c r="D37" s="25">
        <f>Gas!D37</f>
        <v>277</v>
      </c>
      <c r="E37" s="72"/>
      <c r="F37" s="73"/>
      <c r="G37" s="73">
        <f t="shared" si="0"/>
        <v>0</v>
      </c>
      <c r="H37" s="87">
        <f t="shared" si="1"/>
        <v>0</v>
      </c>
      <c r="I37" s="23"/>
    </row>
    <row r="38" spans="1:11" x14ac:dyDescent="0.25">
      <c r="A38" s="71"/>
      <c r="B38" s="24">
        <v>30</v>
      </c>
      <c r="C38" s="25">
        <f>Gas!C38</f>
        <v>44</v>
      </c>
      <c r="D38" s="25">
        <f>Gas!D38</f>
        <v>284</v>
      </c>
      <c r="E38" s="72"/>
      <c r="F38" s="73"/>
      <c r="G38" s="73">
        <f t="shared" si="0"/>
        <v>0</v>
      </c>
      <c r="H38" s="87">
        <f t="shared" si="1"/>
        <v>0</v>
      </c>
      <c r="I38" s="23"/>
    </row>
    <row r="39" spans="1:11" x14ac:dyDescent="0.25">
      <c r="A39" s="71"/>
      <c r="B39" s="24">
        <v>31</v>
      </c>
      <c r="C39" s="25" t="str">
        <f>Gas!C39</f>
        <v xml:space="preserve"> -   </v>
      </c>
      <c r="D39" s="25" t="str">
        <f>Gas!D39</f>
        <v xml:space="preserve"> -   </v>
      </c>
      <c r="E39" s="72"/>
      <c r="F39" s="73"/>
      <c r="G39" s="73">
        <f t="shared" si="0"/>
        <v>0</v>
      </c>
      <c r="H39" s="87">
        <f t="shared" si="1"/>
        <v>0</v>
      </c>
      <c r="I39" s="23"/>
    </row>
    <row r="40" spans="1:11" s="12" customFormat="1" x14ac:dyDescent="0.25">
      <c r="C40" s="32">
        <f>SUM(C9:C39)</f>
        <v>1385</v>
      </c>
      <c r="D40" s="32">
        <f>SUM(D9:D39)</f>
        <v>7462</v>
      </c>
      <c r="E40" s="32"/>
      <c r="F40" s="32">
        <f>SUM(F9:F39)</f>
        <v>190</v>
      </c>
      <c r="G40" s="32"/>
      <c r="H40" s="75">
        <f>SUM(H9:H39)</f>
        <v>104.1652179959669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abSelected="1" topLeftCell="A4" workbookViewId="0">
      <selection activeCell="J24" sqref="J24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100" t="s">
        <v>49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3" ht="15.75" x14ac:dyDescent="0.25">
      <c r="B3" s="100" t="s">
        <v>16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101">
        <v>43617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8"/>
    </row>
    <row r="6" spans="1:13" x14ac:dyDescent="0.25">
      <c r="A6" s="19"/>
      <c r="B6" s="99" t="s">
        <v>17</v>
      </c>
      <c r="C6" s="99" t="s">
        <v>50</v>
      </c>
      <c r="D6" s="99" t="s">
        <v>13</v>
      </c>
      <c r="E6" s="105" t="s">
        <v>51</v>
      </c>
      <c r="F6" s="105"/>
      <c r="G6" s="107" t="s">
        <v>52</v>
      </c>
      <c r="H6" s="107"/>
      <c r="I6" s="107"/>
      <c r="J6" s="107"/>
      <c r="K6" s="99" t="s">
        <v>53</v>
      </c>
      <c r="L6" s="99" t="s">
        <v>54</v>
      </c>
      <c r="M6" s="20"/>
    </row>
    <row r="7" spans="1:13" s="21" customFormat="1" x14ac:dyDescent="0.25">
      <c r="A7" s="19"/>
      <c r="B7" s="99"/>
      <c r="C7" s="99"/>
      <c r="D7" s="99"/>
      <c r="E7" s="99" t="s">
        <v>55</v>
      </c>
      <c r="F7" s="99" t="s">
        <v>56</v>
      </c>
      <c r="G7" s="99" t="s">
        <v>55</v>
      </c>
      <c r="H7" s="99" t="s">
        <v>57</v>
      </c>
      <c r="I7" s="99" t="s">
        <v>55</v>
      </c>
      <c r="J7" s="99" t="s">
        <v>58</v>
      </c>
      <c r="K7" s="99"/>
      <c r="L7" s="99"/>
      <c r="M7" s="20"/>
    </row>
    <row r="8" spans="1:13" x14ac:dyDescent="0.25">
      <c r="A8" s="22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23"/>
    </row>
    <row r="9" spans="1:13" x14ac:dyDescent="0.25">
      <c r="A9" s="22"/>
      <c r="B9" s="24">
        <v>1</v>
      </c>
      <c r="C9" s="25">
        <f>'Fuel Diesel'!C9</f>
        <v>41</v>
      </c>
      <c r="D9" s="25">
        <f>'Fuel Diesel'!D9</f>
        <v>214</v>
      </c>
      <c r="E9" s="26">
        <v>10</v>
      </c>
      <c r="F9" s="28">
        <f>E9*13582</f>
        <v>135820</v>
      </c>
      <c r="G9" s="26">
        <v>167</v>
      </c>
      <c r="H9" s="28">
        <f>G9*4000</f>
        <v>668000</v>
      </c>
      <c r="I9" s="26">
        <v>5</v>
      </c>
      <c r="J9" s="28">
        <f>I9*4000</f>
        <v>20000</v>
      </c>
      <c r="K9" s="26">
        <f t="shared" ref="K9:K39" si="0">F9+H9+J9</f>
        <v>823820</v>
      </c>
      <c r="L9" s="79">
        <f>K9/14381</f>
        <v>57.285307002294694</v>
      </c>
      <c r="M9" s="23"/>
    </row>
    <row r="10" spans="1:13" x14ac:dyDescent="0.25">
      <c r="A10" s="22"/>
      <c r="B10" s="24">
        <v>2</v>
      </c>
      <c r="C10" s="25">
        <f>'Fuel Diesel'!C10</f>
        <v>42</v>
      </c>
      <c r="D10" s="25">
        <f>'Fuel Diesel'!D10</f>
        <v>214</v>
      </c>
      <c r="E10" s="26">
        <v>9</v>
      </c>
      <c r="F10" s="28">
        <f>E10*13582</f>
        <v>122238</v>
      </c>
      <c r="G10" s="26">
        <v>93</v>
      </c>
      <c r="H10" s="28">
        <f>G10*4000</f>
        <v>372000</v>
      </c>
      <c r="I10" s="26">
        <v>80</v>
      </c>
      <c r="J10" s="28">
        <f>I10*4000</f>
        <v>320000</v>
      </c>
      <c r="K10" s="26">
        <f t="shared" si="0"/>
        <v>814238</v>
      </c>
      <c r="L10" s="79">
        <f t="shared" ref="L10:L39" si="1">K10/14381</f>
        <v>56.619011195327168</v>
      </c>
      <c r="M10" s="23"/>
    </row>
    <row r="11" spans="1:13" x14ac:dyDescent="0.25">
      <c r="A11" s="22"/>
      <c r="B11" s="24">
        <v>3</v>
      </c>
      <c r="C11" s="25">
        <f>'Fuel Diesel'!C11</f>
        <v>48</v>
      </c>
      <c r="D11" s="25">
        <f>'Fuel Diesel'!D11</f>
        <v>248</v>
      </c>
      <c r="E11" s="26">
        <v>9</v>
      </c>
      <c r="F11" s="28">
        <f t="shared" ref="F11:F39" si="2">E11*13582</f>
        <v>122238</v>
      </c>
      <c r="G11" s="26">
        <v>53</v>
      </c>
      <c r="H11" s="28">
        <f t="shared" ref="H11:H39" si="3">G11*4000</f>
        <v>212000</v>
      </c>
      <c r="I11" s="26">
        <v>135</v>
      </c>
      <c r="J11" s="28">
        <f t="shared" ref="J11:J39" si="4">I11*4000</f>
        <v>540000</v>
      </c>
      <c r="K11" s="26">
        <f t="shared" si="0"/>
        <v>874238</v>
      </c>
      <c r="L11" s="79">
        <f t="shared" si="1"/>
        <v>60.791182810652948</v>
      </c>
      <c r="M11" s="23"/>
    </row>
    <row r="12" spans="1:13" x14ac:dyDescent="0.25">
      <c r="A12" s="22"/>
      <c r="B12" s="24">
        <v>4</v>
      </c>
      <c r="C12" s="25">
        <f>'Fuel Diesel'!C12</f>
        <v>54</v>
      </c>
      <c r="D12" s="25">
        <f>'Fuel Diesel'!D12</f>
        <v>282</v>
      </c>
      <c r="E12" s="26">
        <v>9</v>
      </c>
      <c r="F12" s="28">
        <f t="shared" si="2"/>
        <v>122238</v>
      </c>
      <c r="G12" s="26">
        <v>35</v>
      </c>
      <c r="H12" s="28">
        <f t="shared" si="3"/>
        <v>140000</v>
      </c>
      <c r="I12" s="26">
        <v>149</v>
      </c>
      <c r="J12" s="28">
        <f t="shared" si="4"/>
        <v>596000</v>
      </c>
      <c r="K12" s="26">
        <f t="shared" si="0"/>
        <v>858238</v>
      </c>
      <c r="L12" s="79">
        <f t="shared" si="1"/>
        <v>59.678603713232739</v>
      </c>
      <c r="M12" s="23"/>
    </row>
    <row r="13" spans="1:13" x14ac:dyDescent="0.25">
      <c r="A13" s="22"/>
      <c r="B13" s="24">
        <v>5</v>
      </c>
      <c r="C13" s="25">
        <f>'Fuel Diesel'!C13</f>
        <v>54</v>
      </c>
      <c r="D13" s="25">
        <f>'Fuel Diesel'!D13</f>
        <v>269</v>
      </c>
      <c r="E13" s="26">
        <v>14</v>
      </c>
      <c r="F13" s="28">
        <f t="shared" si="2"/>
        <v>190148</v>
      </c>
      <c r="G13" s="26">
        <v>82</v>
      </c>
      <c r="H13" s="28">
        <f t="shared" si="3"/>
        <v>328000</v>
      </c>
      <c r="I13" s="26">
        <v>125</v>
      </c>
      <c r="J13" s="28">
        <f t="shared" si="4"/>
        <v>500000</v>
      </c>
      <c r="K13" s="26">
        <f t="shared" si="0"/>
        <v>1018148</v>
      </c>
      <c r="L13" s="79">
        <f t="shared" si="1"/>
        <v>70.798136430011823</v>
      </c>
      <c r="M13" s="23"/>
    </row>
    <row r="14" spans="1:13" x14ac:dyDescent="0.25">
      <c r="A14" s="22"/>
      <c r="B14" s="24">
        <v>6</v>
      </c>
      <c r="C14" s="25">
        <f>'Fuel Diesel'!C14</f>
        <v>50</v>
      </c>
      <c r="D14" s="25">
        <f>'Fuel Diesel'!D14</f>
        <v>258</v>
      </c>
      <c r="E14" s="26">
        <v>24</v>
      </c>
      <c r="F14" s="28">
        <f t="shared" si="2"/>
        <v>325968</v>
      </c>
      <c r="G14" s="26">
        <v>122</v>
      </c>
      <c r="H14" s="28">
        <f t="shared" si="3"/>
        <v>488000</v>
      </c>
      <c r="I14" s="26">
        <v>83</v>
      </c>
      <c r="J14" s="28">
        <f t="shared" si="4"/>
        <v>332000</v>
      </c>
      <c r="K14" s="26">
        <f t="shared" si="0"/>
        <v>1145968</v>
      </c>
      <c r="L14" s="79">
        <f t="shared" si="1"/>
        <v>79.686252694527496</v>
      </c>
      <c r="M14" s="23"/>
    </row>
    <row r="15" spans="1:13" x14ac:dyDescent="0.25">
      <c r="A15" s="22"/>
      <c r="B15" s="24">
        <v>7</v>
      </c>
      <c r="C15" s="25">
        <f>'Fuel Diesel'!C15</f>
        <v>40</v>
      </c>
      <c r="D15" s="25">
        <f>'Fuel Diesel'!D15</f>
        <v>240</v>
      </c>
      <c r="E15" s="26">
        <v>41</v>
      </c>
      <c r="F15" s="28">
        <f t="shared" si="2"/>
        <v>556862</v>
      </c>
      <c r="G15" s="26">
        <v>107</v>
      </c>
      <c r="H15" s="28">
        <f t="shared" si="3"/>
        <v>428000</v>
      </c>
      <c r="I15" s="26">
        <v>113</v>
      </c>
      <c r="J15" s="28">
        <f t="shared" si="4"/>
        <v>452000</v>
      </c>
      <c r="K15" s="26">
        <f t="shared" si="0"/>
        <v>1436862</v>
      </c>
      <c r="L15" s="79">
        <f t="shared" si="1"/>
        <v>99.913914192337117</v>
      </c>
      <c r="M15" s="23"/>
    </row>
    <row r="16" spans="1:13" x14ac:dyDescent="0.25">
      <c r="A16" s="22"/>
      <c r="B16" s="24">
        <v>8</v>
      </c>
      <c r="C16" s="25">
        <f>'Fuel Diesel'!C16</f>
        <v>42</v>
      </c>
      <c r="D16" s="25">
        <f>'Fuel Diesel'!D16</f>
        <v>244</v>
      </c>
      <c r="E16" s="26">
        <v>86</v>
      </c>
      <c r="F16" s="28">
        <f t="shared" si="2"/>
        <v>1168052</v>
      </c>
      <c r="G16" s="26">
        <v>49</v>
      </c>
      <c r="H16" s="28">
        <f t="shared" si="3"/>
        <v>196000</v>
      </c>
      <c r="I16" s="26">
        <v>117</v>
      </c>
      <c r="J16" s="28">
        <f t="shared" si="4"/>
        <v>468000</v>
      </c>
      <c r="K16" s="26">
        <f t="shared" si="0"/>
        <v>1832052</v>
      </c>
      <c r="L16" s="79">
        <f t="shared" si="1"/>
        <v>127.39392253668034</v>
      </c>
      <c r="M16" s="23"/>
    </row>
    <row r="17" spans="1:13" x14ac:dyDescent="0.25">
      <c r="A17" s="22"/>
      <c r="B17" s="24">
        <v>9</v>
      </c>
      <c r="C17" s="25">
        <f>'Fuel Diesel'!C17</f>
        <v>47</v>
      </c>
      <c r="D17" s="25">
        <f>'Fuel Diesel'!D17</f>
        <v>234</v>
      </c>
      <c r="E17" s="26">
        <v>66</v>
      </c>
      <c r="F17" s="28">
        <f t="shared" si="2"/>
        <v>896412</v>
      </c>
      <c r="G17" s="26">
        <v>57</v>
      </c>
      <c r="H17" s="28">
        <f t="shared" si="3"/>
        <v>228000</v>
      </c>
      <c r="I17" s="26">
        <v>102</v>
      </c>
      <c r="J17" s="28">
        <f t="shared" si="4"/>
        <v>408000</v>
      </c>
      <c r="K17" s="26">
        <f t="shared" si="0"/>
        <v>1532412</v>
      </c>
      <c r="L17" s="79">
        <f t="shared" si="1"/>
        <v>106.55809748974342</v>
      </c>
      <c r="M17" s="23"/>
    </row>
    <row r="18" spans="1:13" x14ac:dyDescent="0.25">
      <c r="A18" s="22"/>
      <c r="B18" s="24">
        <v>10</v>
      </c>
      <c r="C18" s="25">
        <f>'Fuel Diesel'!C18</f>
        <v>49</v>
      </c>
      <c r="D18" s="25">
        <f>'Fuel Diesel'!D18</f>
        <v>234</v>
      </c>
      <c r="E18" s="26">
        <v>74</v>
      </c>
      <c r="F18" s="28">
        <f t="shared" si="2"/>
        <v>1005068</v>
      </c>
      <c r="G18" s="26">
        <v>121</v>
      </c>
      <c r="H18" s="28">
        <f t="shared" si="3"/>
        <v>484000</v>
      </c>
      <c r="I18" s="26">
        <v>84</v>
      </c>
      <c r="J18" s="28">
        <f t="shared" si="4"/>
        <v>336000</v>
      </c>
      <c r="K18" s="26">
        <f t="shared" si="0"/>
        <v>1825068</v>
      </c>
      <c r="L18" s="79">
        <f t="shared" si="1"/>
        <v>126.90828176065642</v>
      </c>
      <c r="M18" s="23"/>
    </row>
    <row r="19" spans="1:13" x14ac:dyDescent="0.25">
      <c r="A19" s="22"/>
      <c r="B19" s="24">
        <v>11</v>
      </c>
      <c r="C19" s="25">
        <f>'Fuel Diesel'!C19</f>
        <v>45</v>
      </c>
      <c r="D19" s="25">
        <f>'Fuel Diesel'!D19</f>
        <v>275</v>
      </c>
      <c r="E19" s="26">
        <v>67</v>
      </c>
      <c r="F19" s="28">
        <f t="shared" si="2"/>
        <v>909994</v>
      </c>
      <c r="G19" s="26">
        <v>129</v>
      </c>
      <c r="H19" s="28">
        <f t="shared" si="3"/>
        <v>516000</v>
      </c>
      <c r="I19" s="26">
        <v>78</v>
      </c>
      <c r="J19" s="28">
        <f t="shared" si="4"/>
        <v>312000</v>
      </c>
      <c r="K19" s="26">
        <f t="shared" si="0"/>
        <v>1737994</v>
      </c>
      <c r="L19" s="79">
        <f t="shared" si="1"/>
        <v>120.85348724010848</v>
      </c>
      <c r="M19" s="23"/>
    </row>
    <row r="20" spans="1:13" x14ac:dyDescent="0.25">
      <c r="A20" s="22"/>
      <c r="B20" s="24">
        <v>12</v>
      </c>
      <c r="C20" s="25">
        <f>'Fuel Diesel'!C20</f>
        <v>48</v>
      </c>
      <c r="D20" s="25">
        <f>'Fuel Diesel'!D20</f>
        <v>247</v>
      </c>
      <c r="E20" s="26">
        <v>62</v>
      </c>
      <c r="F20" s="28">
        <f t="shared" si="2"/>
        <v>842084</v>
      </c>
      <c r="G20" s="26">
        <v>131</v>
      </c>
      <c r="H20" s="28">
        <f>G20*4000</f>
        <v>524000</v>
      </c>
      <c r="I20" s="26">
        <v>88</v>
      </c>
      <c r="J20" s="28">
        <f t="shared" si="4"/>
        <v>352000</v>
      </c>
      <c r="K20" s="26">
        <f t="shared" si="0"/>
        <v>1718084</v>
      </c>
      <c r="L20" s="79">
        <f t="shared" si="1"/>
        <v>119.46902162575621</v>
      </c>
      <c r="M20" s="23"/>
    </row>
    <row r="21" spans="1:13" x14ac:dyDescent="0.25">
      <c r="A21" s="22"/>
      <c r="B21" s="24">
        <v>13</v>
      </c>
      <c r="C21" s="25">
        <f>'Fuel Diesel'!C21</f>
        <v>51</v>
      </c>
      <c r="D21" s="25">
        <f>'Fuel Diesel'!D21</f>
        <v>270</v>
      </c>
      <c r="E21" s="26">
        <v>79</v>
      </c>
      <c r="F21" s="28">
        <f t="shared" si="2"/>
        <v>1072978</v>
      </c>
      <c r="G21" s="26">
        <v>12</v>
      </c>
      <c r="H21" s="28">
        <f t="shared" si="3"/>
        <v>48000</v>
      </c>
      <c r="I21" s="26">
        <v>165</v>
      </c>
      <c r="J21" s="28">
        <f t="shared" si="4"/>
        <v>660000</v>
      </c>
      <c r="K21" s="26">
        <f t="shared" si="0"/>
        <v>1780978</v>
      </c>
      <c r="L21" s="79">
        <f t="shared" si="1"/>
        <v>123.84243098532787</v>
      </c>
      <c r="M21" s="23"/>
    </row>
    <row r="22" spans="1:13" x14ac:dyDescent="0.25">
      <c r="A22" s="22"/>
      <c r="B22" s="24">
        <v>14</v>
      </c>
      <c r="C22" s="25">
        <f>'Fuel Diesel'!C22</f>
        <v>43</v>
      </c>
      <c r="D22" s="25">
        <f>'Fuel Diesel'!D22</f>
        <v>249</v>
      </c>
      <c r="E22" s="26">
        <v>74</v>
      </c>
      <c r="F22" s="28">
        <f t="shared" si="2"/>
        <v>1005068</v>
      </c>
      <c r="G22" s="26">
        <v>0</v>
      </c>
      <c r="H22" s="28">
        <f t="shared" si="3"/>
        <v>0</v>
      </c>
      <c r="I22" s="26">
        <v>149</v>
      </c>
      <c r="J22" s="28">
        <f t="shared" si="4"/>
        <v>596000</v>
      </c>
      <c r="K22" s="26">
        <f t="shared" si="0"/>
        <v>1601068</v>
      </c>
      <c r="L22" s="79">
        <f t="shared" si="1"/>
        <v>111.33217439677352</v>
      </c>
      <c r="M22" s="23"/>
    </row>
    <row r="23" spans="1:13" x14ac:dyDescent="0.25">
      <c r="A23" s="22"/>
      <c r="B23" s="24">
        <v>15</v>
      </c>
      <c r="C23" s="25">
        <f>'Fuel Diesel'!C23</f>
        <v>39</v>
      </c>
      <c r="D23" s="25">
        <f>'Fuel Diesel'!D23</f>
        <v>279</v>
      </c>
      <c r="E23" s="26">
        <v>66</v>
      </c>
      <c r="F23" s="28">
        <f t="shared" si="2"/>
        <v>896412</v>
      </c>
      <c r="G23" s="26">
        <v>86</v>
      </c>
      <c r="H23" s="28">
        <f t="shared" si="3"/>
        <v>344000</v>
      </c>
      <c r="I23" s="26">
        <v>71</v>
      </c>
      <c r="J23" s="28">
        <f t="shared" si="4"/>
        <v>284000</v>
      </c>
      <c r="K23" s="26">
        <f t="shared" si="0"/>
        <v>1524412</v>
      </c>
      <c r="L23" s="79">
        <f t="shared" si="1"/>
        <v>106.00180794103331</v>
      </c>
      <c r="M23" s="23"/>
    </row>
    <row r="24" spans="1:13" x14ac:dyDescent="0.25">
      <c r="A24" s="22"/>
      <c r="B24" s="24">
        <v>16</v>
      </c>
      <c r="C24" s="25">
        <f>'Fuel Diesel'!C24</f>
        <v>51</v>
      </c>
      <c r="D24" s="25">
        <f>'Fuel Diesel'!D24</f>
        <v>246</v>
      </c>
      <c r="E24" s="26">
        <v>71</v>
      </c>
      <c r="F24" s="28">
        <f t="shared" si="2"/>
        <v>964322</v>
      </c>
      <c r="G24" s="26">
        <v>0</v>
      </c>
      <c r="H24" s="28">
        <f t="shared" si="3"/>
        <v>0</v>
      </c>
      <c r="I24" s="26">
        <v>139</v>
      </c>
      <c r="J24" s="28">
        <f t="shared" si="4"/>
        <v>556000</v>
      </c>
      <c r="K24" s="26">
        <f t="shared" si="0"/>
        <v>1520322</v>
      </c>
      <c r="L24" s="79">
        <f t="shared" si="1"/>
        <v>105.71740490925527</v>
      </c>
      <c r="M24" s="23"/>
    </row>
    <row r="25" spans="1:13" x14ac:dyDescent="0.25">
      <c r="A25" s="22"/>
      <c r="B25" s="24">
        <v>17</v>
      </c>
      <c r="C25" s="25">
        <f>'Fuel Diesel'!C25</f>
        <v>48</v>
      </c>
      <c r="D25" s="25">
        <f>'Fuel Diesel'!D25</f>
        <v>244</v>
      </c>
      <c r="E25" s="26">
        <v>67</v>
      </c>
      <c r="F25" s="28">
        <f t="shared" si="2"/>
        <v>909994</v>
      </c>
      <c r="G25" s="26">
        <v>0</v>
      </c>
      <c r="H25" s="28">
        <f t="shared" si="3"/>
        <v>0</v>
      </c>
      <c r="I25" s="26">
        <v>145</v>
      </c>
      <c r="J25" s="28">
        <f t="shared" si="4"/>
        <v>580000</v>
      </c>
      <c r="K25" s="26">
        <f t="shared" si="0"/>
        <v>1489994</v>
      </c>
      <c r="L25" s="79">
        <f t="shared" si="1"/>
        <v>103.60851123009526</v>
      </c>
      <c r="M25" s="23"/>
    </row>
    <row r="26" spans="1:13" x14ac:dyDescent="0.25">
      <c r="A26" s="22"/>
      <c r="B26" s="24">
        <v>18</v>
      </c>
      <c r="C26" s="25">
        <f>'Fuel Diesel'!C26</f>
        <v>50</v>
      </c>
      <c r="D26" s="25">
        <f>'Fuel Diesel'!D26</f>
        <v>245</v>
      </c>
      <c r="E26" s="26">
        <v>66</v>
      </c>
      <c r="F26" s="28">
        <f t="shared" si="2"/>
        <v>896412</v>
      </c>
      <c r="G26" s="26">
        <v>0</v>
      </c>
      <c r="H26" s="28">
        <f t="shared" si="3"/>
        <v>0</v>
      </c>
      <c r="I26" s="26">
        <v>165</v>
      </c>
      <c r="J26" s="28">
        <f t="shared" si="4"/>
        <v>660000</v>
      </c>
      <c r="K26" s="26">
        <f t="shared" si="0"/>
        <v>1556412</v>
      </c>
      <c r="L26" s="79">
        <f t="shared" si="1"/>
        <v>108.22696613587372</v>
      </c>
      <c r="M26" s="23"/>
    </row>
    <row r="27" spans="1:13" x14ac:dyDescent="0.25">
      <c r="A27" s="22"/>
      <c r="B27" s="24">
        <v>19</v>
      </c>
      <c r="C27" s="25">
        <f>'Fuel Diesel'!C27</f>
        <v>49</v>
      </c>
      <c r="D27" s="25">
        <f>'Fuel Diesel'!D27</f>
        <v>270</v>
      </c>
      <c r="E27" s="26">
        <v>69</v>
      </c>
      <c r="F27" s="28">
        <f t="shared" si="2"/>
        <v>937158</v>
      </c>
      <c r="G27" s="26">
        <v>84</v>
      </c>
      <c r="H27" s="28">
        <f t="shared" si="3"/>
        <v>336000</v>
      </c>
      <c r="I27" s="26">
        <v>102</v>
      </c>
      <c r="J27" s="28">
        <f t="shared" si="4"/>
        <v>408000</v>
      </c>
      <c r="K27" s="26">
        <f t="shared" si="0"/>
        <v>1681158</v>
      </c>
      <c r="L27" s="79">
        <f t="shared" si="1"/>
        <v>116.90132814129754</v>
      </c>
      <c r="M27" s="23"/>
    </row>
    <row r="28" spans="1:13" x14ac:dyDescent="0.25">
      <c r="A28" s="22"/>
      <c r="B28" s="24">
        <v>20</v>
      </c>
      <c r="C28" s="25">
        <f>'Fuel Diesel'!C28</f>
        <v>44</v>
      </c>
      <c r="D28" s="25">
        <f>'Fuel Diesel'!D28</f>
        <v>275</v>
      </c>
      <c r="E28" s="26">
        <v>66</v>
      </c>
      <c r="F28" s="28">
        <f t="shared" si="2"/>
        <v>896412</v>
      </c>
      <c r="G28" s="26">
        <v>115</v>
      </c>
      <c r="H28" s="28">
        <f t="shared" si="3"/>
        <v>460000</v>
      </c>
      <c r="I28" s="26">
        <v>75</v>
      </c>
      <c r="J28" s="28">
        <f t="shared" si="4"/>
        <v>300000</v>
      </c>
      <c r="K28" s="26">
        <f t="shared" si="0"/>
        <v>1656412</v>
      </c>
      <c r="L28" s="79">
        <f t="shared" si="1"/>
        <v>115.18058549475002</v>
      </c>
      <c r="M28" s="23"/>
    </row>
    <row r="29" spans="1:13" x14ac:dyDescent="0.25">
      <c r="A29" s="22"/>
      <c r="B29" s="24">
        <v>21</v>
      </c>
      <c r="C29" s="25">
        <f>'Fuel Diesel'!C29</f>
        <v>41</v>
      </c>
      <c r="D29" s="25">
        <f>'Fuel Diesel'!D29</f>
        <v>235</v>
      </c>
      <c r="E29" s="26">
        <v>62</v>
      </c>
      <c r="F29" s="28">
        <f t="shared" si="2"/>
        <v>842084</v>
      </c>
      <c r="G29" s="26">
        <v>94</v>
      </c>
      <c r="H29" s="28">
        <f t="shared" si="3"/>
        <v>376000</v>
      </c>
      <c r="I29" s="26">
        <v>88</v>
      </c>
      <c r="J29" s="28">
        <f t="shared" si="4"/>
        <v>352000</v>
      </c>
      <c r="K29" s="26">
        <f t="shared" si="0"/>
        <v>1570084</v>
      </c>
      <c r="L29" s="79">
        <f t="shared" si="1"/>
        <v>109.17766497461929</v>
      </c>
      <c r="M29" s="23"/>
    </row>
    <row r="30" spans="1:13" x14ac:dyDescent="0.25">
      <c r="A30" s="22"/>
      <c r="B30" s="24">
        <v>22</v>
      </c>
      <c r="C30" s="25">
        <f>'Fuel Diesel'!C30</f>
        <v>38</v>
      </c>
      <c r="D30" s="25">
        <f>'Fuel Diesel'!D30</f>
        <v>176</v>
      </c>
      <c r="E30" s="26">
        <v>65</v>
      </c>
      <c r="F30" s="28">
        <f t="shared" si="2"/>
        <v>882830</v>
      </c>
      <c r="G30" s="26">
        <v>17</v>
      </c>
      <c r="H30" s="28">
        <f t="shared" si="3"/>
        <v>68000</v>
      </c>
      <c r="I30" s="26">
        <v>135</v>
      </c>
      <c r="J30" s="28">
        <f t="shared" si="4"/>
        <v>540000</v>
      </c>
      <c r="K30" s="26">
        <f t="shared" si="0"/>
        <v>1490830</v>
      </c>
      <c r="L30" s="79">
        <f t="shared" si="1"/>
        <v>103.66664348793547</v>
      </c>
      <c r="M30" s="23"/>
    </row>
    <row r="31" spans="1:13" x14ac:dyDescent="0.25">
      <c r="A31" s="22"/>
      <c r="B31" s="24">
        <v>23</v>
      </c>
      <c r="C31" s="25">
        <f>'Fuel Diesel'!C31</f>
        <v>41</v>
      </c>
      <c r="D31" s="25">
        <f>'Fuel Diesel'!D31</f>
        <v>183</v>
      </c>
      <c r="E31" s="26">
        <v>66</v>
      </c>
      <c r="F31" s="28">
        <f t="shared" si="2"/>
        <v>896412</v>
      </c>
      <c r="G31" s="26">
        <v>28</v>
      </c>
      <c r="H31" s="28">
        <f t="shared" si="3"/>
        <v>112000</v>
      </c>
      <c r="I31" s="26">
        <v>142</v>
      </c>
      <c r="J31" s="28">
        <f t="shared" si="4"/>
        <v>568000</v>
      </c>
      <c r="K31" s="26">
        <f t="shared" si="0"/>
        <v>1576412</v>
      </c>
      <c r="L31" s="79">
        <f t="shared" si="1"/>
        <v>109.61769000764897</v>
      </c>
      <c r="M31" s="23"/>
    </row>
    <row r="32" spans="1:13" x14ac:dyDescent="0.25">
      <c r="A32" s="22"/>
      <c r="B32" s="24">
        <v>24</v>
      </c>
      <c r="C32" s="25">
        <f>'Fuel Diesel'!C32</f>
        <v>40</v>
      </c>
      <c r="D32" s="25">
        <f>'Fuel Diesel'!D32</f>
        <v>206</v>
      </c>
      <c r="E32" s="26">
        <v>66</v>
      </c>
      <c r="F32" s="28">
        <f t="shared" si="2"/>
        <v>896412</v>
      </c>
      <c r="G32" s="26">
        <v>34</v>
      </c>
      <c r="H32" s="28">
        <f t="shared" si="3"/>
        <v>136000</v>
      </c>
      <c r="I32" s="26">
        <v>159</v>
      </c>
      <c r="J32" s="28">
        <f t="shared" si="4"/>
        <v>636000</v>
      </c>
      <c r="K32" s="26">
        <f t="shared" si="0"/>
        <v>1668412</v>
      </c>
      <c r="L32" s="79">
        <f t="shared" si="1"/>
        <v>116.01501981781517</v>
      </c>
      <c r="M32" s="23"/>
    </row>
    <row r="33" spans="1:15" x14ac:dyDescent="0.25">
      <c r="A33" s="22"/>
      <c r="B33" s="24">
        <v>25</v>
      </c>
      <c r="C33" s="25">
        <f>'Fuel Diesel'!C33</f>
        <v>46</v>
      </c>
      <c r="D33" s="25">
        <f>'Fuel Diesel'!D33</f>
        <v>213</v>
      </c>
      <c r="E33" s="26">
        <v>68</v>
      </c>
      <c r="F33" s="28">
        <f t="shared" si="2"/>
        <v>923576</v>
      </c>
      <c r="G33" s="26">
        <v>72</v>
      </c>
      <c r="H33" s="28">
        <f t="shared" si="3"/>
        <v>288000</v>
      </c>
      <c r="I33" s="26">
        <v>111</v>
      </c>
      <c r="J33" s="28">
        <f t="shared" si="4"/>
        <v>444000</v>
      </c>
      <c r="K33" s="26">
        <f t="shared" si="0"/>
        <v>1655576</v>
      </c>
      <c r="L33" s="79">
        <f t="shared" si="1"/>
        <v>115.12245323690981</v>
      </c>
      <c r="M33" s="23"/>
    </row>
    <row r="34" spans="1:15" x14ac:dyDescent="0.25">
      <c r="A34" s="22"/>
      <c r="B34" s="24">
        <v>26</v>
      </c>
      <c r="C34" s="25">
        <f>'Fuel Diesel'!C34</f>
        <v>47</v>
      </c>
      <c r="D34" s="25">
        <f>'Fuel Diesel'!D34</f>
        <v>286</v>
      </c>
      <c r="E34" s="26">
        <v>67</v>
      </c>
      <c r="F34" s="28">
        <f t="shared" si="2"/>
        <v>909994</v>
      </c>
      <c r="G34" s="26">
        <v>113</v>
      </c>
      <c r="H34" s="28">
        <f t="shared" si="3"/>
        <v>452000</v>
      </c>
      <c r="I34" s="26">
        <v>138</v>
      </c>
      <c r="J34" s="28">
        <f t="shared" si="4"/>
        <v>552000</v>
      </c>
      <c r="K34" s="26">
        <f t="shared" si="0"/>
        <v>1913994</v>
      </c>
      <c r="L34" s="79">
        <f t="shared" si="1"/>
        <v>133.09185731173076</v>
      </c>
      <c r="M34" s="23"/>
    </row>
    <row r="35" spans="1:15" x14ac:dyDescent="0.25">
      <c r="A35" s="22"/>
      <c r="B35" s="24">
        <v>27</v>
      </c>
      <c r="C35" s="25">
        <f>'Fuel Diesel'!C35</f>
        <v>51</v>
      </c>
      <c r="D35" s="25">
        <f>'Fuel Diesel'!D35</f>
        <v>289</v>
      </c>
      <c r="E35" s="26">
        <v>64</v>
      </c>
      <c r="F35" s="28">
        <f t="shared" si="2"/>
        <v>869248</v>
      </c>
      <c r="G35" s="26">
        <v>24</v>
      </c>
      <c r="H35" s="28">
        <f t="shared" si="3"/>
        <v>96000</v>
      </c>
      <c r="I35" s="26">
        <v>164</v>
      </c>
      <c r="J35" s="28">
        <f t="shared" si="4"/>
        <v>656000</v>
      </c>
      <c r="K35" s="26">
        <f t="shared" si="0"/>
        <v>1621248</v>
      </c>
      <c r="L35" s="79">
        <f t="shared" si="1"/>
        <v>112.73541478339476</v>
      </c>
      <c r="M35" s="23"/>
    </row>
    <row r="36" spans="1:15" x14ac:dyDescent="0.25">
      <c r="A36" s="22"/>
      <c r="B36" s="24">
        <v>28</v>
      </c>
      <c r="C36" s="25">
        <f>'Fuel Diesel'!C36</f>
        <v>54</v>
      </c>
      <c r="D36" s="25">
        <f>'Fuel Diesel'!D36</f>
        <v>276</v>
      </c>
      <c r="E36" s="26">
        <v>68</v>
      </c>
      <c r="F36" s="28">
        <f t="shared" si="2"/>
        <v>923576</v>
      </c>
      <c r="G36" s="26">
        <v>109</v>
      </c>
      <c r="H36" s="28">
        <f t="shared" si="3"/>
        <v>436000</v>
      </c>
      <c r="I36" s="26">
        <v>65</v>
      </c>
      <c r="J36" s="28">
        <f t="shared" si="4"/>
        <v>260000</v>
      </c>
      <c r="K36" s="26">
        <f t="shared" si="0"/>
        <v>1619576</v>
      </c>
      <c r="L36" s="79">
        <f t="shared" si="1"/>
        <v>112.61915026771435</v>
      </c>
      <c r="M36" s="23"/>
    </row>
    <row r="37" spans="1:15" x14ac:dyDescent="0.25">
      <c r="A37" s="22"/>
      <c r="B37" s="24">
        <v>29</v>
      </c>
      <c r="C37" s="25">
        <f>'Fuel Diesel'!C37</f>
        <v>48</v>
      </c>
      <c r="D37" s="25">
        <f>'Fuel Diesel'!D37</f>
        <v>277</v>
      </c>
      <c r="E37" s="26">
        <v>68</v>
      </c>
      <c r="F37" s="28">
        <f t="shared" si="2"/>
        <v>923576</v>
      </c>
      <c r="G37" s="26">
        <v>94</v>
      </c>
      <c r="H37" s="28">
        <f t="shared" si="3"/>
        <v>376000</v>
      </c>
      <c r="I37" s="26">
        <v>86</v>
      </c>
      <c r="J37" s="28">
        <f t="shared" si="4"/>
        <v>344000</v>
      </c>
      <c r="K37" s="26">
        <f t="shared" si="0"/>
        <v>1643576</v>
      </c>
      <c r="L37" s="79">
        <f t="shared" si="1"/>
        <v>114.28801891384465</v>
      </c>
      <c r="M37" s="23"/>
    </row>
    <row r="38" spans="1:15" x14ac:dyDescent="0.25">
      <c r="A38" s="22"/>
      <c r="B38" s="24">
        <v>30</v>
      </c>
      <c r="C38" s="25">
        <f>'Fuel Diesel'!C38</f>
        <v>44</v>
      </c>
      <c r="D38" s="25">
        <f>'Fuel Diesel'!D38</f>
        <v>284</v>
      </c>
      <c r="E38" s="26">
        <v>64</v>
      </c>
      <c r="F38" s="28">
        <f t="shared" si="2"/>
        <v>869248</v>
      </c>
      <c r="G38" s="26">
        <v>1</v>
      </c>
      <c r="H38" s="28">
        <f t="shared" si="3"/>
        <v>4000</v>
      </c>
      <c r="I38" s="26">
        <v>169</v>
      </c>
      <c r="J38" s="28">
        <f t="shared" si="4"/>
        <v>676000</v>
      </c>
      <c r="K38" s="26">
        <f t="shared" si="0"/>
        <v>1549248</v>
      </c>
      <c r="L38" s="79">
        <f t="shared" si="1"/>
        <v>107.72880884500383</v>
      </c>
      <c r="M38" s="23"/>
    </row>
    <row r="39" spans="1:15" x14ac:dyDescent="0.25">
      <c r="A39" s="22"/>
      <c r="B39" s="24">
        <v>31</v>
      </c>
      <c r="C39" s="25" t="str">
        <f>'Fuel Diesel'!C39</f>
        <v xml:space="preserve"> -   </v>
      </c>
      <c r="D39" s="25" t="str">
        <f>'Fuel Diesel'!D39</f>
        <v xml:space="preserve"> -   </v>
      </c>
      <c r="E39" s="26"/>
      <c r="F39" s="28">
        <f t="shared" si="2"/>
        <v>0</v>
      </c>
      <c r="G39" s="26"/>
      <c r="H39" s="28">
        <f t="shared" si="3"/>
        <v>0</v>
      </c>
      <c r="I39" s="26"/>
      <c r="J39" s="28">
        <f t="shared" si="4"/>
        <v>0</v>
      </c>
      <c r="K39" s="26">
        <f t="shared" si="0"/>
        <v>0</v>
      </c>
      <c r="L39" s="79">
        <f t="shared" si="1"/>
        <v>0</v>
      </c>
      <c r="M39" s="23"/>
    </row>
    <row r="40" spans="1:15" x14ac:dyDescent="0.25">
      <c r="C40" s="32">
        <f>SUM(C9:C39)</f>
        <v>1385</v>
      </c>
      <c r="D40" s="32">
        <f>SUM(D9:D39)</f>
        <v>7462</v>
      </c>
      <c r="E40" s="32">
        <v>0</v>
      </c>
      <c r="G40" s="32">
        <f>SUM(G9:G39)</f>
        <v>2029</v>
      </c>
      <c r="I40" s="32">
        <f>SUM(I9:I39)</f>
        <v>3427</v>
      </c>
      <c r="J40" s="94">
        <f>G40+I40</f>
        <v>5456</v>
      </c>
      <c r="K40" s="80"/>
      <c r="L40" s="88">
        <f>SUM(L9:L39)</f>
        <v>3110.8291495723515</v>
      </c>
      <c r="O40" s="37"/>
    </row>
    <row r="41" spans="1:15" x14ac:dyDescent="0.25">
      <c r="H41" s="93" t="s">
        <v>59</v>
      </c>
      <c r="I41" s="92">
        <f>G40+I40</f>
        <v>5456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D9319F-D8DA-4DEC-917C-A19EA9EBC2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E7C3EE-387F-490E-B8F3-8C46524F4F71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0F90D190-23A8-484E-A6DE-2D42FDF3E6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Gek Amy</cp:lastModifiedBy>
  <dcterms:created xsi:type="dcterms:W3CDTF">2022-01-19T02:48:06Z</dcterms:created>
  <dcterms:modified xsi:type="dcterms:W3CDTF">2022-06-05T06:35:31Z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