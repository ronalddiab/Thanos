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35" windowHeight="10530" tabRatio="584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L14" i="3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I18"/>
  <c r="M18" s="1"/>
  <c r="K16"/>
  <c r="I16"/>
  <c r="G16"/>
  <c r="C16"/>
  <c r="K14"/>
  <c r="I14"/>
  <c r="G14"/>
  <c r="C14"/>
  <c r="L13" i="3"/>
  <c r="AE15" i="1"/>
  <c r="AI14"/>
  <c r="C18" i="76" l="1"/>
  <c r="G18"/>
  <c r="K18"/>
  <c r="N18" s="1"/>
  <c r="K17"/>
  <c r="N17" s="1"/>
  <c r="G17"/>
  <c r="C17"/>
  <c r="S12" i="3"/>
  <c r="I19" i="76" l="1"/>
  <c r="M19" s="1"/>
  <c r="D17"/>
  <c r="E17" s="1"/>
  <c r="L17"/>
  <c r="K19"/>
  <c r="N19" s="1"/>
  <c r="D18"/>
  <c r="E18" s="1"/>
  <c r="L18"/>
  <c r="C19"/>
  <c r="G19"/>
  <c r="AQ11" i="1"/>
  <c r="Y5" i="2"/>
  <c r="W5"/>
  <c r="H6" i="77"/>
  <c r="I20" i="76" l="1"/>
  <c r="M20" s="1"/>
  <c r="G20"/>
  <c r="D19"/>
  <c r="E19" s="1"/>
  <c r="L19"/>
  <c r="C20"/>
  <c r="K20"/>
  <c r="N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I21" i="76" l="1"/>
  <c r="M21" s="1"/>
  <c r="H22"/>
  <c r="B22"/>
  <c r="C21"/>
  <c r="F22"/>
  <c r="G21"/>
  <c r="J22"/>
  <c r="K21"/>
  <c r="N21" s="1"/>
  <c r="D20"/>
  <c r="E20" s="1"/>
  <c r="L20"/>
  <c r="C19" i="77"/>
  <c r="C18"/>
  <c r="C17"/>
  <c r="C16"/>
  <c r="C15"/>
  <c r="C14"/>
  <c r="H23" i="76" l="1"/>
  <c r="I22"/>
  <c r="M22" s="1"/>
  <c r="D21"/>
  <c r="E21" s="1"/>
  <c r="L21"/>
  <c r="B23"/>
  <c r="C22"/>
  <c r="F23"/>
  <c r="G22"/>
  <c r="J23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H24"/>
  <c r="X39" i="74"/>
  <c r="X10"/>
  <c r="X27"/>
  <c r="X28"/>
  <c r="K23" i="76"/>
  <c r="N23" s="1"/>
  <c r="J24"/>
  <c r="G23"/>
  <c r="F24"/>
  <c r="L22"/>
  <c r="D22"/>
  <c r="E22" s="1"/>
  <c r="C23"/>
  <c r="B24"/>
  <c r="W10" i="74"/>
  <c r="W39"/>
  <c r="W38"/>
  <c r="X38" s="1"/>
  <c r="W37"/>
  <c r="X37" s="1"/>
  <c r="W36"/>
  <c r="X36" s="1"/>
  <c r="W35"/>
  <c r="X35" s="1"/>
  <c r="W34"/>
  <c r="X34" s="1"/>
  <c r="W33"/>
  <c r="X33" s="1"/>
  <c r="W32"/>
  <c r="X32" s="1"/>
  <c r="W31"/>
  <c r="X31" s="1"/>
  <c r="W30"/>
  <c r="X30" s="1"/>
  <c r="W29"/>
  <c r="X29" s="1"/>
  <c r="W28"/>
  <c r="W27"/>
  <c r="W26"/>
  <c r="X26" s="1"/>
  <c r="W25"/>
  <c r="X25" s="1"/>
  <c r="W24"/>
  <c r="X24" s="1"/>
  <c r="W23"/>
  <c r="X23" s="1"/>
  <c r="W22"/>
  <c r="X22" s="1"/>
  <c r="W21"/>
  <c r="X21" s="1"/>
  <c r="W20"/>
  <c r="X20" s="1"/>
  <c r="W19"/>
  <c r="X19" s="1"/>
  <c r="W18"/>
  <c r="X18" s="1"/>
  <c r="W17"/>
  <c r="X17" s="1"/>
  <c r="W16"/>
  <c r="X16" s="1"/>
  <c r="W15"/>
  <c r="X15" s="1"/>
  <c r="W14"/>
  <c r="X14" s="1"/>
  <c r="W13"/>
  <c r="X13" s="1"/>
  <c r="W12"/>
  <c r="X12" s="1"/>
  <c r="W11"/>
  <c r="X11" s="1"/>
  <c r="AK37" i="5"/>
  <c r="A32" i="76"/>
  <c r="H25" l="1"/>
  <c r="I24"/>
  <c r="M24" s="1"/>
  <c r="K24"/>
  <c r="N24" s="1"/>
  <c r="J25"/>
  <c r="D23"/>
  <c r="E23" s="1"/>
  <c r="L23"/>
  <c r="C24"/>
  <c r="B25"/>
  <c r="G24"/>
  <c r="F25"/>
  <c r="G30" i="73"/>
  <c r="D30"/>
  <c r="H26" i="76" l="1"/>
  <c r="I25"/>
  <c r="M25" s="1"/>
  <c r="F26"/>
  <c r="G25"/>
  <c r="B26"/>
  <c r="C25"/>
  <c r="D24"/>
  <c r="E24" s="1"/>
  <c r="L24"/>
  <c r="J26"/>
  <c r="K25"/>
  <c r="N25" s="1"/>
  <c r="F14"/>
  <c r="T16" i="3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10" s="1"/>
  <c r="G11" s="1"/>
  <c r="G12" s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11" s="1"/>
  <c r="X19" s="1"/>
  <c r="X20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12"/>
  <c r="AG21" s="1"/>
  <c r="AG23" s="1"/>
  <c r="AG24" s="1"/>
  <c r="AG25" s="1"/>
  <c r="AG26" s="1"/>
  <c r="AG27" s="1"/>
  <c r="AG28" s="1"/>
  <c r="AG29" s="1"/>
  <c r="AG30" s="1"/>
  <c r="AG31" s="1"/>
  <c r="AT6"/>
  <c r="AT11" s="1"/>
  <c r="AT12" s="1"/>
  <c r="AT18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23"/>
  <c r="AV24" s="1"/>
  <c r="AV25" s="1"/>
  <c r="AV26" s="1"/>
  <c r="AV27" s="1"/>
  <c r="AV28" s="1"/>
  <c r="AV29" s="1"/>
  <c r="AV30" s="1"/>
  <c r="AV31" s="1"/>
  <c r="AV32" s="1"/>
  <c r="AV33" s="1"/>
  <c r="AV34" s="1"/>
  <c r="AV35" s="1"/>
  <c r="AX23"/>
  <c r="AX24" s="1"/>
  <c r="AX25" s="1"/>
  <c r="AX26" s="1"/>
  <c r="AX27" s="1"/>
  <c r="AX28" s="1"/>
  <c r="AX29" s="1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20" i="2"/>
  <c r="F21" s="1"/>
  <c r="F22" s="1"/>
  <c r="F23" s="1"/>
  <c r="F24" s="1"/>
  <c r="F25" s="1"/>
  <c r="F26" s="1"/>
  <c r="F27" s="1"/>
  <c r="F28" s="1"/>
  <c r="F29" s="1"/>
  <c r="F30" s="1"/>
  <c r="F31" s="1"/>
  <c r="F32" s="1"/>
  <c r="H20"/>
  <c r="H21" s="1"/>
  <c r="H22" s="1"/>
  <c r="H23" s="1"/>
  <c r="H24" s="1"/>
  <c r="H25" s="1"/>
  <c r="H26" s="1"/>
  <c r="H27" s="1"/>
  <c r="H28" s="1"/>
  <c r="H29" s="1"/>
  <c r="H30" s="1"/>
  <c r="H31" s="1"/>
  <c r="H32" s="1"/>
  <c r="J20"/>
  <c r="J21" s="1"/>
  <c r="J22" s="1"/>
  <c r="J23" s="1"/>
  <c r="J24" s="1"/>
  <c r="J25" s="1"/>
  <c r="J26" s="1"/>
  <c r="J27" s="1"/>
  <c r="J28" s="1"/>
  <c r="J29" s="1"/>
  <c r="J30" s="1"/>
  <c r="J31" s="1"/>
  <c r="J32" s="1"/>
  <c r="L20"/>
  <c r="L21" s="1"/>
  <c r="L22" s="1"/>
  <c r="L23" s="1"/>
  <c r="L24" s="1"/>
  <c r="L25" s="1"/>
  <c r="L26" s="1"/>
  <c r="L27" s="1"/>
  <c r="L28" s="1"/>
  <c r="L29" s="1"/>
  <c r="L30" s="1"/>
  <c r="L31" s="1"/>
  <c r="L32" s="1"/>
  <c r="P20"/>
  <c r="P21" s="1"/>
  <c r="P22" s="1"/>
  <c r="P23" s="1"/>
  <c r="P24" s="1"/>
  <c r="P25" s="1"/>
  <c r="P26" s="1"/>
  <c r="P27" s="1"/>
  <c r="P28" s="1"/>
  <c r="P29" s="1"/>
  <c r="P30" s="1"/>
  <c r="P31" s="1"/>
  <c r="P32" s="1"/>
  <c r="S20"/>
  <c r="S21" s="1"/>
  <c r="S22" s="1"/>
  <c r="S23" s="1"/>
  <c r="S24" s="1"/>
  <c r="S25" s="1"/>
  <c r="S26" s="1"/>
  <c r="S27" s="1"/>
  <c r="S28" s="1"/>
  <c r="S29" s="1"/>
  <c r="S30" s="1"/>
  <c r="S31" s="1"/>
  <c r="S32" s="1"/>
  <c r="U18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8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7" s="1"/>
  <c r="AC10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20"/>
  <c r="D21" s="1"/>
  <c r="D22" s="1"/>
  <c r="D23" s="1"/>
  <c r="D24" s="1"/>
  <c r="D25" s="1"/>
  <c r="D26" s="1"/>
  <c r="D27" s="1"/>
  <c r="D28" s="1"/>
  <c r="D29" s="1"/>
  <c r="D30" s="1"/>
  <c r="D31" s="1"/>
  <c r="D32" s="1"/>
  <c r="A2"/>
  <c r="C22" i="1"/>
  <c r="C23" s="1"/>
  <c r="C24" s="1"/>
  <c r="C25" s="1"/>
  <c r="C26" s="1"/>
  <c r="C27" s="1"/>
  <c r="C28" s="1"/>
  <c r="C29" s="1"/>
  <c r="C30" s="1"/>
  <c r="C31" s="1"/>
  <c r="C32" s="1"/>
  <c r="C33" s="1"/>
  <c r="C34" s="1"/>
  <c r="F16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16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8" s="1"/>
  <c r="K1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5"/>
  <c r="M8" s="1"/>
  <c r="M1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6"/>
  <c r="P9" s="1"/>
  <c r="P10" s="1"/>
  <c r="P11" s="1"/>
  <c r="P12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17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9"/>
  <c r="AN18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9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R11"/>
  <c r="AR18" s="1"/>
  <c r="AR21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X4"/>
  <c r="B22"/>
  <c r="B23" s="1"/>
  <c r="B24" s="1"/>
  <c r="B25" s="1"/>
  <c r="B26" s="1"/>
  <c r="B27" s="1"/>
  <c r="B28" s="1"/>
  <c r="B29" s="1"/>
  <c r="B30" s="1"/>
  <c r="B31" s="1"/>
  <c r="B32" s="1"/>
  <c r="B33" s="1"/>
  <c r="B34" s="1"/>
  <c r="H27" i="76" l="1"/>
  <c r="I26"/>
  <c r="M26" s="1"/>
  <c r="F27"/>
  <c r="G26"/>
  <c r="D25"/>
  <c r="E25" s="1"/>
  <c r="L25"/>
  <c r="J27"/>
  <c r="K26"/>
  <c r="N26" s="1"/>
  <c r="B27"/>
  <c r="C26"/>
  <c r="Z9" i="1"/>
  <c r="Z10" s="1"/>
  <c r="Z11" s="1"/>
  <c r="Z12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I27" i="76" l="1"/>
  <c r="M27" s="1"/>
  <c r="H28"/>
  <c r="K27"/>
  <c r="N27" s="1"/>
  <c r="J28"/>
  <c r="G27"/>
  <c r="F28"/>
  <c r="C27"/>
  <c r="B28"/>
  <c r="D26"/>
  <c r="E26" s="1"/>
  <c r="L26"/>
  <c r="U9" i="5"/>
  <c r="I28" i="76" l="1"/>
  <c r="M28" s="1"/>
  <c r="H29"/>
  <c r="C28"/>
  <c r="B29"/>
  <c r="F29"/>
  <c r="G28"/>
  <c r="K28"/>
  <c r="N28" s="1"/>
  <c r="J29"/>
  <c r="D27"/>
  <c r="E27" s="1"/>
  <c r="L27"/>
  <c r="T22" i="5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U10"/>
  <c r="H30" i="76" l="1"/>
  <c r="I29"/>
  <c r="M29" s="1"/>
  <c r="F30"/>
  <c r="G29"/>
  <c r="J30"/>
  <c r="K29"/>
  <c r="N29" s="1"/>
  <c r="D28"/>
  <c r="E28" s="1"/>
  <c r="L28"/>
  <c r="B30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7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7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I30" i="76" l="1"/>
  <c r="M30" s="1"/>
  <c r="H31"/>
  <c r="B31"/>
  <c r="C30"/>
  <c r="G30"/>
  <c r="F31"/>
  <c r="D29"/>
  <c r="E29" s="1"/>
  <c r="L29"/>
  <c r="J31"/>
  <c r="K30"/>
  <c r="N30" s="1"/>
  <c r="M6" i="79"/>
  <c r="I6" s="1"/>
  <c r="J4" i="3"/>
  <c r="H32" i="76" l="1"/>
  <c r="I31"/>
  <c r="M31" s="1"/>
  <c r="G31"/>
  <c r="F32"/>
  <c r="K31"/>
  <c r="N31" s="1"/>
  <c r="J32"/>
  <c r="C31"/>
  <c r="B32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AA14" s="1"/>
  <c r="N43"/>
  <c r="AA13" s="1"/>
  <c r="J43"/>
  <c r="F43"/>
  <c r="AA12" s="1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AB14" i="74"/>
  <c r="AB13"/>
  <c r="AB12"/>
  <c r="AB11"/>
  <c r="AB10"/>
  <c r="AA11"/>
  <c r="J19" i="3" l="1"/>
  <c r="M21" i="79"/>
  <c r="O20"/>
  <c r="K19" i="5"/>
  <c r="I19" i="79"/>
  <c r="W18" i="76"/>
  <c r="M22" i="79" l="1"/>
  <c r="O21"/>
  <c r="J20" i="3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AA10" s="1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C10" i="5" l="1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T22" s="1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T23" s="1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T24" s="1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T25" s="1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T26" s="1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T27" s="1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T28" s="1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T29" s="1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T30" s="1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T31" s="1"/>
  <c r="I23" i="3"/>
  <c r="H24"/>
  <c r="I24" s="1"/>
  <c r="H32"/>
  <c r="I31"/>
  <c r="BC22" i="7"/>
  <c r="AS22"/>
  <c r="AX22" s="1"/>
  <c r="Q21" i="76" s="1"/>
  <c r="AN27" i="7"/>
  <c r="AR23"/>
  <c r="BC23" s="1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T32" s="1"/>
  <c r="AQ23" i="7"/>
  <c r="AS23"/>
  <c r="AX23" s="1"/>
  <c r="I32" i="3"/>
  <c r="X24" i="7"/>
  <c r="AR24"/>
  <c r="BC24" s="1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AN29" s="1"/>
  <c r="Y25"/>
  <c r="AR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O31" l="1"/>
  <c r="S33" i="76"/>
  <c r="T33" s="1"/>
  <c r="AY23" i="7"/>
  <c r="Q22" i="76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Q24"/>
  <c r="AS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AR26"/>
  <c r="BC26" s="1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S26" i="7"/>
  <c r="AQ26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Q27" i="76" s="1"/>
  <c r="U30" i="7"/>
  <c r="V30"/>
  <c r="W30" s="1"/>
  <c r="Y29"/>
  <c r="AR29" s="1"/>
  <c r="AQ27"/>
  <c r="BC28"/>
  <c r="AS27"/>
  <c r="AX27" s="1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S29"/>
  <c r="AX29" s="1"/>
  <c r="Q28" i="76" s="1"/>
  <c r="AQ29" i="7"/>
  <c r="BC29"/>
  <c r="V32"/>
  <c r="W32" s="1"/>
  <c r="U32"/>
  <c r="AS30" l="1"/>
  <c r="AX30" s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S39" i="7" l="1"/>
  <c r="AY35"/>
  <c r="AY36" l="1"/>
  <c r="AX36"/>
  <c r="Z42" i="76" s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T19" s="1"/>
  <c r="O23"/>
  <c r="P23" s="1"/>
  <c r="R23" s="1"/>
  <c r="O27"/>
  <c r="P27" s="1"/>
  <c r="R27" s="1"/>
  <c r="O31"/>
  <c r="P31" s="1"/>
  <c r="R31" s="1"/>
  <c r="O21"/>
  <c r="P21" s="1"/>
  <c r="R21" s="1"/>
  <c r="T21" s="1"/>
  <c r="O29"/>
  <c r="P29" s="1"/>
  <c r="R29" s="1"/>
  <c r="O30"/>
  <c r="P30" s="1"/>
  <c r="R30" s="1"/>
  <c r="O20"/>
  <c r="P20" s="1"/>
  <c r="R20" s="1"/>
  <c r="T20" s="1"/>
  <c r="F17" i="81" s="1"/>
  <c r="O24" i="76"/>
  <c r="P24" s="1"/>
  <c r="R24" s="1"/>
  <c r="O28"/>
  <c r="P28" s="1"/>
  <c r="R28" s="1"/>
  <c r="O32"/>
  <c r="P32" s="1"/>
  <c r="R32" s="1"/>
  <c r="O25"/>
  <c r="P25" s="1"/>
  <c r="R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R22" s="1"/>
  <c r="O26"/>
  <c r="P26" s="1"/>
  <c r="R26" s="1"/>
  <c r="O12"/>
  <c r="P12" s="1"/>
  <c r="R12" s="1"/>
  <c r="T12" s="1"/>
  <c r="F10" i="81" s="1"/>
  <c r="F26"/>
  <c r="O10" i="76"/>
  <c r="P10" s="1"/>
  <c r="R10" s="1"/>
  <c r="T10" s="1"/>
  <c r="F8" i="81" s="1"/>
  <c r="F16"/>
  <c r="F22"/>
  <c r="O14" i="76"/>
  <c r="AB36"/>
  <c r="AB37" s="1"/>
  <c r="O4"/>
  <c r="P4" s="1"/>
  <c r="R4" s="1"/>
  <c r="T4" s="1"/>
  <c r="F2" i="81" s="1"/>
  <c r="F19"/>
  <c r="F20"/>
  <c r="F29"/>
  <c r="O5" i="76"/>
  <c r="P5" s="1"/>
  <c r="R5" s="1"/>
  <c r="T5" s="1"/>
  <c r="F3" i="81" s="1"/>
  <c r="O11" i="76"/>
  <c r="P11" s="1"/>
  <c r="R11" s="1"/>
  <c r="T11" s="1"/>
  <c r="F9" i="81" s="1"/>
  <c r="F24"/>
  <c r="O16" i="76"/>
  <c r="P16" s="1"/>
  <c r="R16" s="1"/>
  <c r="T16" s="1"/>
  <c r="F13" i="81" s="1"/>
  <c r="O9" i="76"/>
  <c r="P9" s="1"/>
  <c r="R9" s="1"/>
  <c r="T9" s="1"/>
  <c r="F7" i="81" s="1"/>
  <c r="F31"/>
  <c r="F25"/>
  <c r="O8" i="76"/>
  <c r="P8" s="1"/>
  <c r="R8" s="1"/>
  <c r="T8" s="1"/>
  <c r="F6" i="81" s="1"/>
  <c r="F23"/>
  <c r="O6" i="76"/>
  <c r="P6" s="1"/>
  <c r="R6" s="1"/>
  <c r="T6" s="1"/>
  <c r="F4" i="81" s="1"/>
  <c r="F27"/>
  <c r="F28"/>
  <c r="O13" i="76"/>
  <c r="P13" s="1"/>
  <c r="R13" s="1"/>
  <c r="T13" s="1"/>
  <c r="F11" i="81" s="1"/>
  <c r="F30"/>
  <c r="O7" i="76"/>
  <c r="P7" s="1"/>
  <c r="R7" s="1"/>
  <c r="T7" s="1"/>
  <c r="F5" i="81" s="1"/>
  <c r="F21"/>
  <c r="F18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Z43" s="1"/>
  <c r="Z45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<sst xmlns="http://schemas.openxmlformats.org/spreadsheetml/2006/main" count="673" uniqueCount="417">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</sst>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/>
    <xf numFmtId="0" fontId="0" fillId="22" borderId="1" xfId="0" applyFill="1" applyBorder="1" applyAlignment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384000"/>
        <c:axId val="128717568"/>
      </c:lineChart>
      <c:catAx>
        <c:axId val="1283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17568"/>
        <c:crosses val="autoZero"/>
        <c:auto val="1"/>
        <c:lblAlgn val="ctr"/>
        <c:lblOffset val="100"/>
      </c:catAx>
      <c:valAx>
        <c:axId val="128717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956"/>
          <c:w val="0.11899800868449698"/>
          <c:h val="4.49826989619434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8733952"/>
        <c:axId val="128735488"/>
      </c:lineChart>
      <c:catAx>
        <c:axId val="12873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35488"/>
        <c:crosses val="autoZero"/>
        <c:auto val="1"/>
        <c:lblAlgn val="ctr"/>
        <c:lblOffset val="100"/>
      </c:catAx>
      <c:valAx>
        <c:axId val="12873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3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96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755584"/>
        <c:axId val="128757120"/>
      </c:lineChart>
      <c:catAx>
        <c:axId val="12875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57120"/>
        <c:crosses val="autoZero"/>
        <c:auto val="1"/>
        <c:lblAlgn val="ctr"/>
        <c:lblOffset val="100"/>
      </c:catAx>
      <c:valAx>
        <c:axId val="1287571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5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206"/>
          <c:y val="0.62975887529633956"/>
          <c:w val="7.9124755870162669E-2"/>
          <c:h val="4.49826989619434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9907712"/>
        <c:axId val="129917696"/>
      </c:lineChart>
      <c:catAx>
        <c:axId val="12990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17696"/>
        <c:crosses val="autoZero"/>
        <c:auto val="1"/>
        <c:lblAlgn val="ctr"/>
        <c:lblOffset val="100"/>
      </c:catAx>
      <c:valAx>
        <c:axId val="129917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892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9958272"/>
        <c:axId val="129959808"/>
      </c:lineChart>
      <c:catAx>
        <c:axId val="12995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59808"/>
        <c:crosses val="autoZero"/>
        <c:auto val="1"/>
        <c:lblAlgn val="ctr"/>
        <c:lblOffset val="100"/>
      </c:catAx>
      <c:valAx>
        <c:axId val="1299598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5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1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361216"/>
        <c:axId val="130362752"/>
      </c:lineChart>
      <c:catAx>
        <c:axId val="1303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62752"/>
        <c:crosses val="autoZero"/>
        <c:auto val="1"/>
        <c:lblAlgn val="ctr"/>
        <c:lblOffset val="100"/>
      </c:catAx>
      <c:valAx>
        <c:axId val="13036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395136"/>
        <c:axId val="130405120"/>
      </c:lineChart>
      <c:catAx>
        <c:axId val="13039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05120"/>
        <c:crosses val="autoZero"/>
        <c:auto val="1"/>
        <c:lblAlgn val="ctr"/>
        <c:lblOffset val="100"/>
      </c:catAx>
      <c:valAx>
        <c:axId val="13040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9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433024"/>
        <c:axId val="130434560"/>
      </c:lineChart>
      <c:catAx>
        <c:axId val="1304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4560"/>
        <c:crosses val="autoZero"/>
        <c:auto val="1"/>
        <c:lblAlgn val="ctr"/>
        <c:lblOffset val="100"/>
      </c:catAx>
      <c:valAx>
        <c:axId val="13043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466944"/>
        <c:axId val="130468480"/>
      </c:lineChart>
      <c:catAx>
        <c:axId val="13046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8480"/>
        <c:crosses val="autoZero"/>
        <c:auto val="1"/>
        <c:lblAlgn val="ctr"/>
        <c:lblOffset val="100"/>
      </c:catAx>
      <c:valAx>
        <c:axId val="130468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544"/>
          <c:w val="0.1272403315177169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033920"/>
        <c:axId val="130039808"/>
      </c:lineChart>
      <c:catAx>
        <c:axId val="13003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39808"/>
        <c:crosses val="autoZero"/>
        <c:auto val="1"/>
        <c:lblAlgn val="ctr"/>
        <c:lblOffset val="100"/>
      </c:catAx>
      <c:valAx>
        <c:axId val="13003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3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352</c:v>
                </c:pt>
                <c:pt idx="16">
                  <c:v>346</c:v>
                </c:pt>
                <c:pt idx="17">
                  <c:v>312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620800"/>
        <c:axId val="130638976"/>
      </c:lineChart>
      <c:catAx>
        <c:axId val="13062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8976"/>
        <c:crosses val="autoZero"/>
        <c:auto val="1"/>
        <c:lblAlgn val="ctr"/>
        <c:lblOffset val="100"/>
      </c:catAx>
      <c:valAx>
        <c:axId val="130638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2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544"/>
          <c:w val="0.135416885389342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120</c:v>
                </c:pt>
                <c:pt idx="15">
                  <c:v>90</c:v>
                </c:pt>
                <c:pt idx="16">
                  <c:v>0</c:v>
                </c:pt>
                <c:pt idx="17">
                  <c:v>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71360"/>
        <c:axId val="130672896"/>
      </c:lineChart>
      <c:catAx>
        <c:axId val="13067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72896"/>
        <c:crosses val="autoZero"/>
        <c:auto val="1"/>
        <c:lblAlgn val="ctr"/>
        <c:lblOffset val="100"/>
      </c:catAx>
      <c:valAx>
        <c:axId val="130672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54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705664"/>
        <c:axId val="130719744"/>
      </c:lineChart>
      <c:catAx>
        <c:axId val="13070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9744"/>
        <c:crosses val="autoZero"/>
        <c:auto val="1"/>
        <c:lblAlgn val="ctr"/>
        <c:lblOffset val="100"/>
      </c:catAx>
      <c:valAx>
        <c:axId val="130719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956"/>
          <c:w val="0.12291688538932598"/>
          <c:h val="4.49826989619434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0743680"/>
        <c:axId val="130749568"/>
      </c:lineChart>
      <c:catAx>
        <c:axId val="13074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9568"/>
        <c:crosses val="autoZero"/>
        <c:auto val="1"/>
        <c:lblAlgn val="ctr"/>
        <c:lblOffset val="100"/>
      </c:catAx>
      <c:valAx>
        <c:axId val="13074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544"/>
          <c:w val="0.135416885389342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773760"/>
        <c:axId val="130775296"/>
      </c:lineChart>
      <c:catAx>
        <c:axId val="13077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5296"/>
        <c:crosses val="autoZero"/>
        <c:auto val="1"/>
        <c:lblAlgn val="ctr"/>
        <c:lblOffset val="100"/>
      </c:catAx>
      <c:valAx>
        <c:axId val="130775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009"/>
          <c:y val="0.54325368498487869"/>
          <c:w val="0.11458355205599259"/>
          <c:h val="4.498269896194291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-1553.0967741935456</c:v>
                </c:pt>
                <c:pt idx="15">
                  <c:v>-1840.0645161290377</c:v>
                </c:pt>
                <c:pt idx="16">
                  <c:v>-217.38709677419683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11776"/>
        <c:axId val="130813312"/>
      </c:lineChart>
      <c:catAx>
        <c:axId val="13081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13312"/>
        <c:crosses val="autoZero"/>
        <c:auto val="1"/>
        <c:lblAlgn val="ctr"/>
        <c:lblOffset val="100"/>
      </c:catAx>
      <c:valAx>
        <c:axId val="130813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41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25600"/>
        <c:axId val="130847872"/>
      </c:lineChart>
      <c:catAx>
        <c:axId val="13082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7872"/>
        <c:crosses val="autoZero"/>
        <c:auto val="1"/>
        <c:lblAlgn val="ctr"/>
        <c:lblOffset val="100"/>
      </c:catAx>
      <c:valAx>
        <c:axId val="13084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881"/>
          <c:y val="0.62975887529633956"/>
          <c:w val="0.13541688538934243"/>
          <c:h val="4.49826989619434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76160"/>
        <c:axId val="130877696"/>
      </c:lineChart>
      <c:catAx>
        <c:axId val="13087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7696"/>
        <c:crosses val="autoZero"/>
        <c:auto val="1"/>
        <c:lblAlgn val="ctr"/>
        <c:lblOffset val="100"/>
      </c:catAx>
      <c:valAx>
        <c:axId val="130877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956"/>
          <c:w val="9.730870597697025E-2"/>
          <c:h val="4.49826989619434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69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926464"/>
        <c:axId val="130928000"/>
      </c:lineChart>
      <c:catAx>
        <c:axId val="13092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8000"/>
        <c:crosses val="autoZero"/>
        <c:auto val="1"/>
        <c:lblAlgn val="ctr"/>
        <c:lblOffset val="100"/>
      </c:catAx>
      <c:valAx>
        <c:axId val="130928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4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140608"/>
        <c:axId val="131150592"/>
      </c:lineChart>
      <c:catAx>
        <c:axId val="13114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50592"/>
        <c:crosses val="autoZero"/>
        <c:auto val="1"/>
        <c:lblAlgn val="ctr"/>
        <c:lblOffset val="100"/>
      </c:catAx>
      <c:valAx>
        <c:axId val="13115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4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713"/>
          <c:y val="0.62975887529633956"/>
          <c:w val="0.13250539334757044"/>
          <c:h val="4.49826989619434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191168"/>
        <c:axId val="131192704"/>
      </c:lineChart>
      <c:catAx>
        <c:axId val="13119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92704"/>
        <c:crosses val="autoZero"/>
        <c:auto val="1"/>
        <c:lblAlgn val="ctr"/>
        <c:lblOffset val="100"/>
      </c:catAx>
      <c:valAx>
        <c:axId val="13119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9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54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024384"/>
        <c:axId val="131025920"/>
      </c:lineChart>
      <c:catAx>
        <c:axId val="1310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5920"/>
        <c:crosses val="autoZero"/>
        <c:auto val="1"/>
        <c:lblAlgn val="ctr"/>
        <c:lblOffset val="100"/>
      </c:catAx>
      <c:valAx>
        <c:axId val="13102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8926"/>
          <c:w val="0.123431181980922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-256.20000000000005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81.90000000000002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31059072"/>
        <c:axId val="131069056"/>
      </c:lineChart>
      <c:catAx>
        <c:axId val="1310590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9056"/>
        <c:crosses val="autoZero"/>
        <c:auto val="1"/>
        <c:lblAlgn val="ctr"/>
        <c:lblOffset val="100"/>
      </c:catAx>
      <c:valAx>
        <c:axId val="1310690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5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71"/>
          <c:y val="0.45486256926220936"/>
          <c:w val="0.1569039853282077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223936"/>
        <c:axId val="131225472"/>
      </c:lineChart>
      <c:catAx>
        <c:axId val="13122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5472"/>
        <c:crosses val="autoZero"/>
        <c:auto val="1"/>
        <c:lblAlgn val="ctr"/>
        <c:lblOffset val="100"/>
      </c:catAx>
      <c:valAx>
        <c:axId val="131225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956"/>
          <c:w val="0.14853578449138896"/>
          <c:h val="4.49826989619437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299200"/>
        <c:axId val="131300736"/>
      </c:lineChart>
      <c:catAx>
        <c:axId val="1312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00736"/>
        <c:crosses val="autoZero"/>
        <c:auto val="1"/>
        <c:lblAlgn val="ctr"/>
        <c:lblOffset val="100"/>
      </c:catAx>
      <c:valAx>
        <c:axId val="13130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535"/>
          <c:y val="0.62975887529633956"/>
          <c:w val="0.12164948453608219"/>
          <c:h val="4.49826989619437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192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678208"/>
        <c:axId val="131679744"/>
      </c:lineChart>
      <c:catAx>
        <c:axId val="13167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9744"/>
        <c:crosses val="autoZero"/>
        <c:auto val="1"/>
        <c:lblAlgn val="ctr"/>
        <c:lblOffset val="100"/>
      </c:catAx>
      <c:valAx>
        <c:axId val="131679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1982464"/>
        <c:axId val="131984000"/>
      </c:lineChart>
      <c:catAx>
        <c:axId val="1319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84000"/>
        <c:crosses val="autoZero"/>
        <c:auto val="1"/>
        <c:lblAlgn val="ctr"/>
        <c:lblOffset val="100"/>
      </c:catAx>
      <c:valAx>
        <c:axId val="13198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8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-256.20000000000005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81.90000000000002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33164416"/>
        <c:axId val="133166208"/>
      </c:lineChart>
      <c:catAx>
        <c:axId val="133164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66208"/>
        <c:crosses val="autoZero"/>
        <c:auto val="1"/>
        <c:lblAlgn val="ctr"/>
        <c:lblOffset val="100"/>
      </c:catAx>
      <c:valAx>
        <c:axId val="1331662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93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B12">
            <v>0</v>
          </cell>
        </row>
        <row r="13">
          <cell r="AB13">
            <v>33.199999999999989</v>
          </cell>
        </row>
        <row r="14">
          <cell r="AB14">
            <v>151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6.0741194517391538E-2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5.409818852246142E-2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7.1001827262074713E-2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1.8393271487636021E-2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6.4324954136740969E-2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5.7497180363537362E-2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6.3250901299013132E-2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5.7219473201048039E-2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6.1501327125147082E-2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6.39549019565923E-2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8.4219380969471069E-2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6.4755061987663107E-2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6.5191796570110497E-2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6.9374183418724686E-2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15381</v>
      </c>
      <c r="F16" s="340">
        <f>SUM('EDl log'!T19)</f>
        <v>5.789296306857597E-2</v>
      </c>
      <c r="G16" s="207">
        <f>-tanks!AW20</f>
        <v>352</v>
      </c>
      <c r="H16" s="340">
        <f>SUM(tanks!AV20)</f>
        <v>0.36</v>
      </c>
      <c r="I16" s="10">
        <f>('B5'!AU19)*0.51</f>
        <v>61.2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15463</v>
      </c>
      <c r="F17" s="340">
        <f>SUM('EDl log'!T20)</f>
        <v>6.9291330782332572E-2</v>
      </c>
      <c r="G17" s="207">
        <f>-tanks!AW21</f>
        <v>346</v>
      </c>
      <c r="H17" s="340">
        <f>SUM(tanks!AV21)</f>
        <v>0.36</v>
      </c>
      <c r="I17" s="10">
        <f>('B5'!AU20)*0.51</f>
        <v>45.9</v>
      </c>
      <c r="J17" s="319">
        <f>'B5'!AX20/0.51</f>
        <v>1.3725490196078429</v>
      </c>
      <c r="K17" s="207">
        <f>WATER!I21</f>
        <v>80</v>
      </c>
      <c r="L17" s="341">
        <f>SUM(WATER!J21)</f>
        <v>3.125</v>
      </c>
      <c r="M17" s="341">
        <f>WATER!Q21</f>
        <v>0</v>
      </c>
      <c r="N17" s="517">
        <v>0.6</v>
      </c>
      <c r="O17" s="10">
        <f>ELEC!B18</f>
        <v>4.9910000000000005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14854</v>
      </c>
      <c r="F18" s="340">
        <f>SUM('EDl log'!T21)</f>
        <v>4.1129544923989861E-2</v>
      </c>
      <c r="G18" s="207">
        <f>-tanks!AW22</f>
        <v>312</v>
      </c>
      <c r="H18" s="340">
        <f>SUM(tanks!AV22)</f>
        <v>0.39300000000000002</v>
      </c>
      <c r="I18" s="10">
        <f>('B5'!AU21)*0.51</f>
        <v>0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4.0019999999999998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0</v>
      </c>
      <c r="F19" s="340">
        <f>SUM('EDl log'!T22)</f>
        <v>0</v>
      </c>
      <c r="G19" s="207">
        <f>-tanks!AW23</f>
        <v>0</v>
      </c>
      <c r="H19" s="340">
        <f>SUM(tanks!AV23)</f>
        <v>0.39300000000000002</v>
      </c>
      <c r="I19" s="10">
        <f>('B5'!AU22)*0.51</f>
        <v>45.9</v>
      </c>
      <c r="J19" s="319">
        <f>'B5'!AX22/0.51</f>
        <v>1.3725490196078429</v>
      </c>
      <c r="K19" s="207">
        <f>WATER!I23</f>
        <v>0</v>
      </c>
      <c r="L19" s="341">
        <f>SUM(WATER!J23)</f>
        <v>0</v>
      </c>
      <c r="M19" s="341">
        <f>WATER!Q23</f>
        <v>0</v>
      </c>
      <c r="N19" s="517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0</v>
      </c>
      <c r="F20" s="340">
        <f>SUM('EDl log'!T23)</f>
        <v>0</v>
      </c>
      <c r="G20" s="207">
        <f>-tanks!AW24</f>
        <v>0</v>
      </c>
      <c r="H20" s="340">
        <f>SUM(tanks!AV24)</f>
        <v>0.39300000000000002</v>
      </c>
      <c r="I20" s="10">
        <f>('B5'!AU23)*0.51</f>
        <v>0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0</v>
      </c>
      <c r="F21" s="340">
        <f>SUM('EDl log'!T24)</f>
        <v>0</v>
      </c>
      <c r="G21" s="207">
        <f>-tanks!AW25</f>
        <v>0</v>
      </c>
      <c r="H21" s="340">
        <f>SUM(tanks!AV25)</f>
        <v>0.39300000000000002</v>
      </c>
      <c r="I21" s="10">
        <f>('B5'!AU24)*0.51</f>
        <v>0</v>
      </c>
      <c r="J21" s="319">
        <f>'B5'!AX24/0.51</f>
        <v>1.3725490196078429</v>
      </c>
      <c r="K21" s="207">
        <f>WATER!I25</f>
        <v>0</v>
      </c>
      <c r="L21" s="341">
        <f>SUM(WATER!J25)</f>
        <v>0</v>
      </c>
      <c r="M21" s="341">
        <f>WATER!Q25</f>
        <v>0</v>
      </c>
      <c r="N21" s="517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0</v>
      </c>
      <c r="F22" s="340">
        <f>SUM('EDl log'!T25)</f>
        <v>0</v>
      </c>
      <c r="G22" s="207">
        <f>-tanks!AW26</f>
        <v>0</v>
      </c>
      <c r="H22" s="340">
        <f>SUM(tanks!AV26)</f>
        <v>0.39300000000000002</v>
      </c>
      <c r="I22" s="10">
        <f>('B5'!AU25)*0.51</f>
        <v>0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0</v>
      </c>
      <c r="F23" s="340">
        <f>SUM('EDl log'!T26)</f>
        <v>0</v>
      </c>
      <c r="G23" s="207">
        <f>-tanks!AW27</f>
        <v>0</v>
      </c>
      <c r="H23" s="340">
        <f>SUM(tanks!AV27)</f>
        <v>0.39300000000000002</v>
      </c>
      <c r="I23" s="10">
        <f>('B5'!AU26)*0.51</f>
        <v>0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0</v>
      </c>
      <c r="F24" s="340">
        <f>SUM('EDl log'!T27)</f>
        <v>0</v>
      </c>
      <c r="G24" s="207">
        <f>-tanks!AW28</f>
        <v>0</v>
      </c>
      <c r="H24" s="340">
        <f>SUM(tanks!AV28)</f>
        <v>0.39300000000000002</v>
      </c>
      <c r="I24" s="10">
        <f>('B5'!AU27)*0.51</f>
        <v>0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log'!T28)</f>
        <v>0</v>
      </c>
      <c r="G25" s="207">
        <f>-tanks!AW29</f>
        <v>0</v>
      </c>
      <c r="H25" s="340">
        <f>SUM(tanks!AV29)</f>
        <v>0.39300000000000002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log'!T29)</f>
        <v>0</v>
      </c>
      <c r="G26" s="207">
        <f>-tanks!AW30</f>
        <v>0</v>
      </c>
      <c r="H26" s="340">
        <f>SUM(tanks!AV30)</f>
        <v>0.39300000000000002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log'!T30)</f>
        <v>0</v>
      </c>
      <c r="G27" s="207">
        <f>-tanks!AW31</f>
        <v>0</v>
      </c>
      <c r="H27" s="340">
        <f>SUM(tanks!AV31)</f>
        <v>0.39300000000000002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log'!T31)</f>
        <v>0</v>
      </c>
      <c r="G28" s="207">
        <f>-tanks!AW32</f>
        <v>0</v>
      </c>
      <c r="H28" s="340">
        <f>SUM(tanks!AV32)</f>
        <v>0.39300000000000002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log'!T32)</f>
        <v>0</v>
      </c>
      <c r="G29" s="207">
        <f>-tanks!AW33</f>
        <v>0</v>
      </c>
      <c r="H29" s="340">
        <f>SUM(tanks!AV33)</f>
        <v>0.39300000000000002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0.39300000000000002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0.39300000000000002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>
      <selection activeCell="F23" sqref="F22:F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5210</v>
      </c>
      <c r="F16" s="207">
        <f>ELEC!K17</f>
        <v>2726</v>
      </c>
      <c r="G16" s="207">
        <f>ELEC!I17</f>
        <v>1932</v>
      </c>
      <c r="H16" s="207">
        <f>ELEC!E17</f>
        <v>3824</v>
      </c>
      <c r="I16" s="207">
        <f>ELEC!G17</f>
        <v>1689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6306</v>
      </c>
      <c r="F17" s="207">
        <f>ELEC!K18</f>
        <v>2512</v>
      </c>
      <c r="G17" s="207">
        <f>ELEC!I18</f>
        <v>1736</v>
      </c>
      <c r="H17" s="207">
        <f>ELEC!E18</f>
        <v>3276</v>
      </c>
      <c r="I17" s="207">
        <f>ELEC!G18</f>
        <v>1633</v>
      </c>
      <c r="J17" s="207">
        <f>WATER!Y21</f>
        <v>2</v>
      </c>
      <c r="K17" s="207">
        <f>WATER!AJ21</f>
        <v>19</v>
      </c>
      <c r="L17" s="10">
        <f>ELEC!B18</f>
        <v>4.9910000000000005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5496</v>
      </c>
      <c r="F18" s="207">
        <f>ELEC!K19</f>
        <v>2280</v>
      </c>
      <c r="G18" s="207">
        <f>ELEC!I19</f>
        <v>1652</v>
      </c>
      <c r="H18" s="207">
        <f>ELEC!E19</f>
        <v>3844</v>
      </c>
      <c r="I18" s="207">
        <f>ELEC!G19</f>
        <v>1582</v>
      </c>
      <c r="J18" s="207">
        <f>WATER!Y22</f>
        <v>134</v>
      </c>
      <c r="K18" s="207">
        <f>WATER!AJ22</f>
        <v>48</v>
      </c>
      <c r="L18" s="10">
        <f>ELEC!B19</f>
        <v>4.0019999999999998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AC19" sqref="AC19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5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5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5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5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5">
        <v>625865</v>
      </c>
      <c r="Z3" s="476">
        <f>Y3-Y2</f>
        <v>0</v>
      </c>
      <c r="AA3" s="461">
        <v>35119</v>
      </c>
      <c r="AB3" s="476">
        <f>AA3-AA2</f>
        <v>0</v>
      </c>
      <c r="AC3" s="585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5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5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5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5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5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5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5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5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5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1.2999999999999999E-2</v>
      </c>
      <c r="B17" s="467">
        <f t="shared" si="6"/>
        <v>2.9899999999999998</v>
      </c>
      <c r="C17" s="474">
        <v>43997</v>
      </c>
      <c r="D17" s="461">
        <v>31795582</v>
      </c>
      <c r="E17" s="321">
        <f t="shared" si="10"/>
        <v>3824</v>
      </c>
      <c r="F17" s="461">
        <v>3716824</v>
      </c>
      <c r="G17" s="322">
        <f t="shared" si="0"/>
        <v>1689</v>
      </c>
      <c r="H17" s="461">
        <v>17496382</v>
      </c>
      <c r="I17" s="322">
        <f t="shared" si="11"/>
        <v>1932</v>
      </c>
      <c r="J17" s="461">
        <v>28486266</v>
      </c>
      <c r="K17" s="322">
        <f t="shared" si="12"/>
        <v>2726</v>
      </c>
      <c r="L17" s="461">
        <v>23144096</v>
      </c>
      <c r="M17" s="322">
        <f t="shared" si="13"/>
        <v>5210</v>
      </c>
      <c r="N17" s="320">
        <f t="shared" si="14"/>
        <v>15381</v>
      </c>
      <c r="O17" s="483">
        <f t="shared" si="21"/>
        <v>5144.1471571906359</v>
      </c>
      <c r="P17" s="461">
        <v>15597</v>
      </c>
      <c r="Q17" s="465">
        <f t="shared" si="23"/>
        <v>6000</v>
      </c>
      <c r="R17" s="465">
        <f t="shared" si="18"/>
        <v>9381</v>
      </c>
      <c r="S17" s="461">
        <v>8717</v>
      </c>
      <c r="T17" s="485">
        <f t="shared" si="3"/>
        <v>7</v>
      </c>
      <c r="U17" s="461">
        <v>100987</v>
      </c>
      <c r="V17" s="465">
        <f t="shared" si="15"/>
        <v>1578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v>35159</v>
      </c>
      <c r="AB17" s="465">
        <f t="shared" si="16"/>
        <v>4</v>
      </c>
      <c r="AC17" s="461">
        <v>799323</v>
      </c>
      <c r="AD17" s="465">
        <f t="shared" ref="AD17:AD32" si="24">AC17-AC16</f>
        <v>893</v>
      </c>
      <c r="AE17" s="488">
        <f t="shared" si="8"/>
        <v>11</v>
      </c>
      <c r="AF17" s="489">
        <f t="shared" si="9"/>
        <v>2471</v>
      </c>
      <c r="AG17" s="481">
        <f t="shared" si="22"/>
        <v>224.63636363636363</v>
      </c>
      <c r="AI17" s="482">
        <f>R17-'EDl log'!B16</f>
        <v>1647</v>
      </c>
    </row>
    <row r="18" spans="1:35">
      <c r="A18" s="473">
        <f>'General information '!F21</f>
        <v>2.1700000000000001E-2</v>
      </c>
      <c r="B18" s="467">
        <f t="shared" si="6"/>
        <v>4.9910000000000005</v>
      </c>
      <c r="C18" s="474">
        <v>43998</v>
      </c>
      <c r="D18" s="461">
        <v>31798858</v>
      </c>
      <c r="E18" s="321">
        <f t="shared" si="10"/>
        <v>3276</v>
      </c>
      <c r="F18" s="461">
        <v>3718457</v>
      </c>
      <c r="G18" s="322">
        <f t="shared" si="0"/>
        <v>1633</v>
      </c>
      <c r="H18" s="461">
        <v>17498118</v>
      </c>
      <c r="I18" s="322">
        <f t="shared" si="11"/>
        <v>1736</v>
      </c>
      <c r="J18" s="461">
        <v>28488778</v>
      </c>
      <c r="K18" s="322">
        <f t="shared" si="12"/>
        <v>2512</v>
      </c>
      <c r="L18" s="461">
        <v>23150402</v>
      </c>
      <c r="M18" s="322">
        <f t="shared" si="13"/>
        <v>6306</v>
      </c>
      <c r="N18" s="320">
        <f t="shared" si="14"/>
        <v>15463</v>
      </c>
      <c r="O18" s="483">
        <f t="shared" si="21"/>
        <v>3098.1767180925663</v>
      </c>
      <c r="P18" s="461">
        <v>15602</v>
      </c>
      <c r="Q18" s="465">
        <f t="shared" si="23"/>
        <v>5000</v>
      </c>
      <c r="R18" s="465">
        <f t="shared" si="18"/>
        <v>10463</v>
      </c>
      <c r="S18" s="461">
        <v>8729</v>
      </c>
      <c r="T18" s="485">
        <f t="shared" si="3"/>
        <v>12</v>
      </c>
      <c r="U18" s="461">
        <f t="shared" si="7"/>
        <v>100987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35159</v>
      </c>
      <c r="AB18" s="465">
        <f t="shared" si="16"/>
        <v>0</v>
      </c>
      <c r="AC18" s="461">
        <f t="shared" si="7"/>
        <v>799323</v>
      </c>
      <c r="AD18" s="465">
        <f t="shared" si="24"/>
        <v>0</v>
      </c>
      <c r="AE18" s="488">
        <f t="shared" si="8"/>
        <v>12</v>
      </c>
      <c r="AF18" s="489">
        <f t="shared" si="9"/>
        <v>0</v>
      </c>
      <c r="AG18" s="481">
        <f t="shared" si="22"/>
        <v>0</v>
      </c>
      <c r="AI18" s="482">
        <f>R18-'EDl log'!B17</f>
        <v>-1651</v>
      </c>
    </row>
    <row r="19" spans="1:35">
      <c r="A19" s="473">
        <f>'General information '!F22</f>
        <v>1.7399999999999999E-2</v>
      </c>
      <c r="B19" s="467">
        <f t="shared" si="6"/>
        <v>4.0019999999999998</v>
      </c>
      <c r="C19" s="474">
        <v>43999</v>
      </c>
      <c r="D19" s="461">
        <v>31802702</v>
      </c>
      <c r="E19" s="321">
        <f t="shared" si="10"/>
        <v>3844</v>
      </c>
      <c r="F19" s="585">
        <v>3720039</v>
      </c>
      <c r="G19" s="322">
        <f t="shared" si="0"/>
        <v>1582</v>
      </c>
      <c r="H19" s="461">
        <v>17499770</v>
      </c>
      <c r="I19" s="322">
        <f t="shared" si="11"/>
        <v>1652</v>
      </c>
      <c r="J19" s="585">
        <v>28491058</v>
      </c>
      <c r="K19" s="322">
        <f t="shared" si="12"/>
        <v>2280</v>
      </c>
      <c r="L19" s="461">
        <v>23155898</v>
      </c>
      <c r="M19" s="322">
        <f t="shared" si="13"/>
        <v>5496</v>
      </c>
      <c r="N19" s="320">
        <f t="shared" si="14"/>
        <v>14854</v>
      </c>
      <c r="O19" s="483">
        <f t="shared" si="21"/>
        <v>3711.6441779110446</v>
      </c>
      <c r="P19" s="585">
        <v>15605</v>
      </c>
      <c r="Q19" s="465">
        <f>(P19-P18)*1000</f>
        <v>3000</v>
      </c>
      <c r="R19" s="465">
        <f t="shared" si="18"/>
        <v>11854</v>
      </c>
      <c r="S19" s="461">
        <v>8738</v>
      </c>
      <c r="T19" s="485">
        <f t="shared" si="3"/>
        <v>9</v>
      </c>
      <c r="U19" s="585">
        <v>105996</v>
      </c>
      <c r="V19" s="465">
        <f t="shared" si="15"/>
        <v>5009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v>35162</v>
      </c>
      <c r="AB19" s="465">
        <f t="shared" si="16"/>
        <v>3</v>
      </c>
      <c r="AC19" s="585">
        <v>799844</v>
      </c>
      <c r="AD19" s="465">
        <f t="shared" si="24"/>
        <v>521</v>
      </c>
      <c r="AE19" s="488">
        <f t="shared" si="8"/>
        <v>12</v>
      </c>
      <c r="AF19" s="489">
        <f t="shared" si="9"/>
        <v>5530</v>
      </c>
      <c r="AG19" s="481">
        <f t="shared" si="22"/>
        <v>460.83333333333331</v>
      </c>
      <c r="AI19" s="482">
        <f>R19-'EDl log'!B18</f>
        <v>-6258</v>
      </c>
    </row>
    <row r="20" spans="1:35">
      <c r="A20" s="473">
        <f>'General information '!F23</f>
        <v>0</v>
      </c>
      <c r="B20" s="467">
        <f t="shared" si="6"/>
        <v>0</v>
      </c>
      <c r="C20" s="474">
        <v>44000</v>
      </c>
      <c r="D20" s="461">
        <f t="shared" ref="D19:L32" si="25">D19</f>
        <v>31802702</v>
      </c>
      <c r="E20" s="321">
        <f t="shared" si="10"/>
        <v>0</v>
      </c>
      <c r="F20" s="461">
        <f t="shared" si="25"/>
        <v>3720039</v>
      </c>
      <c r="G20" s="322">
        <f t="shared" si="0"/>
        <v>0</v>
      </c>
      <c r="H20" s="461">
        <f t="shared" si="25"/>
        <v>17499770</v>
      </c>
      <c r="I20" s="322">
        <f t="shared" si="11"/>
        <v>0</v>
      </c>
      <c r="J20" s="461">
        <f t="shared" si="25"/>
        <v>28491058</v>
      </c>
      <c r="K20" s="322">
        <f t="shared" si="12"/>
        <v>0</v>
      </c>
      <c r="L20" s="461">
        <f t="shared" si="25"/>
        <v>23155898</v>
      </c>
      <c r="M20" s="322">
        <f t="shared" si="13"/>
        <v>0</v>
      </c>
      <c r="N20" s="320">
        <f t="shared" si="14"/>
        <v>0</v>
      </c>
      <c r="O20" s="483">
        <f t="shared" si="21"/>
        <v>0</v>
      </c>
      <c r="P20" s="461">
        <f t="shared" ref="P19:P32" si="26">P19</f>
        <v>15605</v>
      </c>
      <c r="Q20" s="465">
        <f t="shared" si="23"/>
        <v>0</v>
      </c>
      <c r="R20" s="465">
        <f t="shared" si="18"/>
        <v>0</v>
      </c>
      <c r="S20" s="461">
        <f t="shared" si="7"/>
        <v>8738</v>
      </c>
      <c r="T20" s="485">
        <f t="shared" si="3"/>
        <v>0</v>
      </c>
      <c r="U20" s="461">
        <f t="shared" si="7"/>
        <v>105996</v>
      </c>
      <c r="V20" s="465">
        <f t="shared" si="15"/>
        <v>0</v>
      </c>
      <c r="W20" s="461">
        <f t="shared" si="7"/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f t="shared" si="7"/>
        <v>35162</v>
      </c>
      <c r="AB20" s="465">
        <f t="shared" si="16"/>
        <v>0</v>
      </c>
      <c r="AC20" s="461">
        <f t="shared" si="7"/>
        <v>799844</v>
      </c>
      <c r="AD20" s="465">
        <f t="shared" si="24"/>
        <v>0</v>
      </c>
      <c r="AE20" s="488">
        <f t="shared" si="8"/>
        <v>0</v>
      </c>
      <c r="AF20" s="489">
        <f t="shared" si="9"/>
        <v>0</v>
      </c>
      <c r="AG20" s="481">
        <f t="shared" si="22"/>
        <v>0</v>
      </c>
      <c r="AI20" s="482">
        <f>R20-'EDl log'!B19</f>
        <v>-22998</v>
      </c>
    </row>
    <row r="21" spans="1:35">
      <c r="A21" s="473">
        <f>'General information '!F24</f>
        <v>0</v>
      </c>
      <c r="B21" s="467">
        <f t="shared" si="6"/>
        <v>0</v>
      </c>
      <c r="C21" s="474">
        <v>44001</v>
      </c>
      <c r="D21" s="461">
        <f t="shared" si="25"/>
        <v>31802702</v>
      </c>
      <c r="E21" s="321">
        <f t="shared" si="10"/>
        <v>0</v>
      </c>
      <c r="F21" s="461">
        <f t="shared" si="25"/>
        <v>3720039</v>
      </c>
      <c r="G21" s="322">
        <f t="shared" si="0"/>
        <v>0</v>
      </c>
      <c r="H21" s="461">
        <f t="shared" si="25"/>
        <v>17499770</v>
      </c>
      <c r="I21" s="322">
        <f t="shared" si="11"/>
        <v>0</v>
      </c>
      <c r="J21" s="461">
        <f t="shared" si="25"/>
        <v>28491058</v>
      </c>
      <c r="K21" s="322">
        <f t="shared" si="12"/>
        <v>0</v>
      </c>
      <c r="L21" s="461">
        <f t="shared" si="25"/>
        <v>23155898</v>
      </c>
      <c r="M21" s="322">
        <f t="shared" si="13"/>
        <v>0</v>
      </c>
      <c r="N21" s="320">
        <f t="shared" si="14"/>
        <v>0</v>
      </c>
      <c r="O21" s="483">
        <f t="shared" si="21"/>
        <v>0</v>
      </c>
      <c r="P21" s="461">
        <f t="shared" si="26"/>
        <v>15605</v>
      </c>
      <c r="Q21" s="465">
        <f>(P21-P20)*1000</f>
        <v>0</v>
      </c>
      <c r="R21" s="465">
        <f t="shared" si="18"/>
        <v>0</v>
      </c>
      <c r="S21" s="461">
        <f t="shared" si="7"/>
        <v>8738</v>
      </c>
      <c r="T21" s="485">
        <f t="shared" si="3"/>
        <v>0</v>
      </c>
      <c r="U21" s="461">
        <f t="shared" si="7"/>
        <v>105996</v>
      </c>
      <c r="V21" s="465">
        <f t="shared" si="15"/>
        <v>0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35162</v>
      </c>
      <c r="AB21" s="465">
        <f t="shared" si="16"/>
        <v>0</v>
      </c>
      <c r="AC21" s="461">
        <f t="shared" si="7"/>
        <v>799844</v>
      </c>
      <c r="AD21" s="465">
        <f t="shared" si="24"/>
        <v>0</v>
      </c>
      <c r="AE21" s="488">
        <f t="shared" si="8"/>
        <v>0</v>
      </c>
      <c r="AF21" s="489">
        <f t="shared" si="9"/>
        <v>0</v>
      </c>
      <c r="AG21" s="481">
        <f t="shared" si="22"/>
        <v>0</v>
      </c>
      <c r="AI21" s="482">
        <f>R21-'EDl log'!B20</f>
        <v>-28479</v>
      </c>
    </row>
    <row r="22" spans="1:35">
      <c r="A22" s="473">
        <f>'General information '!F25</f>
        <v>0</v>
      </c>
      <c r="B22" s="467">
        <f t="shared" si="6"/>
        <v>0</v>
      </c>
      <c r="C22" s="474">
        <v>44002</v>
      </c>
      <c r="D22" s="461">
        <f t="shared" si="25"/>
        <v>31802702</v>
      </c>
      <c r="E22" s="321">
        <f t="shared" si="10"/>
        <v>0</v>
      </c>
      <c r="F22" s="461">
        <f t="shared" si="25"/>
        <v>3720039</v>
      </c>
      <c r="G22" s="322">
        <f t="shared" si="0"/>
        <v>0</v>
      </c>
      <c r="H22" s="461">
        <f t="shared" si="25"/>
        <v>17499770</v>
      </c>
      <c r="I22" s="322">
        <f t="shared" si="11"/>
        <v>0</v>
      </c>
      <c r="J22" s="461">
        <f t="shared" si="25"/>
        <v>28491058</v>
      </c>
      <c r="K22" s="322">
        <f t="shared" si="12"/>
        <v>0</v>
      </c>
      <c r="L22" s="461">
        <f t="shared" si="25"/>
        <v>23155898</v>
      </c>
      <c r="M22" s="322">
        <f t="shared" si="13"/>
        <v>0</v>
      </c>
      <c r="N22" s="320">
        <f t="shared" si="14"/>
        <v>0</v>
      </c>
      <c r="O22" s="483">
        <f t="shared" si="21"/>
        <v>0</v>
      </c>
      <c r="P22" s="461">
        <f t="shared" si="26"/>
        <v>15605</v>
      </c>
      <c r="Q22" s="465">
        <f t="shared" si="23"/>
        <v>0</v>
      </c>
      <c r="R22" s="465">
        <f t="shared" si="18"/>
        <v>0</v>
      </c>
      <c r="S22" s="461">
        <f t="shared" si="7"/>
        <v>8738</v>
      </c>
      <c r="T22" s="485">
        <f t="shared" si="3"/>
        <v>0</v>
      </c>
      <c r="U22" s="461">
        <f t="shared" si="7"/>
        <v>105996</v>
      </c>
      <c r="V22" s="465">
        <f t="shared" si="15"/>
        <v>0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f t="shared" si="7"/>
        <v>35162</v>
      </c>
      <c r="AB22" s="465">
        <f t="shared" si="16"/>
        <v>0</v>
      </c>
      <c r="AC22" s="461">
        <f t="shared" si="7"/>
        <v>799844</v>
      </c>
      <c r="AD22" s="465">
        <f t="shared" si="24"/>
        <v>0</v>
      </c>
      <c r="AE22" s="488">
        <f t="shared" si="8"/>
        <v>0</v>
      </c>
      <c r="AF22" s="489">
        <f t="shared" si="9"/>
        <v>0</v>
      </c>
      <c r="AG22" s="481">
        <f t="shared" si="22"/>
        <v>0</v>
      </c>
      <c r="AI22" s="482">
        <f>R22-'EDl log'!B21</f>
        <v>-34439</v>
      </c>
    </row>
    <row r="23" spans="1:35">
      <c r="A23" s="473">
        <f>'General information '!F26</f>
        <v>0</v>
      </c>
      <c r="B23" s="467">
        <f t="shared" si="6"/>
        <v>0</v>
      </c>
      <c r="C23" s="474">
        <v>44003</v>
      </c>
      <c r="D23" s="461">
        <f t="shared" si="25"/>
        <v>31802702</v>
      </c>
      <c r="E23" s="321">
        <f t="shared" si="10"/>
        <v>0</v>
      </c>
      <c r="F23" s="461">
        <f t="shared" si="25"/>
        <v>3720039</v>
      </c>
      <c r="G23" s="322">
        <f t="shared" si="0"/>
        <v>0</v>
      </c>
      <c r="H23" s="461">
        <f t="shared" si="25"/>
        <v>17499770</v>
      </c>
      <c r="I23" s="454">
        <f t="shared" si="11"/>
        <v>0</v>
      </c>
      <c r="J23" s="461">
        <f t="shared" si="25"/>
        <v>28491058</v>
      </c>
      <c r="K23" s="322">
        <f t="shared" si="12"/>
        <v>0</v>
      </c>
      <c r="L23" s="461">
        <f t="shared" si="25"/>
        <v>23155898</v>
      </c>
      <c r="M23" s="322">
        <f t="shared" si="13"/>
        <v>0</v>
      </c>
      <c r="N23" s="320">
        <f t="shared" si="14"/>
        <v>0</v>
      </c>
      <c r="O23" s="483">
        <f t="shared" si="21"/>
        <v>0</v>
      </c>
      <c r="P23" s="461">
        <f t="shared" si="26"/>
        <v>15605</v>
      </c>
      <c r="Q23" s="465">
        <f t="shared" si="23"/>
        <v>0</v>
      </c>
      <c r="R23" s="465">
        <f t="shared" si="18"/>
        <v>0</v>
      </c>
      <c r="S23" s="461">
        <f t="shared" si="7"/>
        <v>8738</v>
      </c>
      <c r="T23" s="485">
        <f t="shared" si="3"/>
        <v>0</v>
      </c>
      <c r="U23" s="461">
        <f t="shared" si="7"/>
        <v>105996</v>
      </c>
      <c r="V23" s="465">
        <f t="shared" si="15"/>
        <v>0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f t="shared" si="7"/>
        <v>35162</v>
      </c>
      <c r="AB23" s="465">
        <f t="shared" si="16"/>
        <v>0</v>
      </c>
      <c r="AC23" s="461">
        <f t="shared" si="7"/>
        <v>799844</v>
      </c>
      <c r="AD23" s="465">
        <f t="shared" si="24"/>
        <v>0</v>
      </c>
      <c r="AE23" s="488">
        <f t="shared" si="8"/>
        <v>0</v>
      </c>
      <c r="AF23" s="489">
        <f t="shared" si="9"/>
        <v>0</v>
      </c>
      <c r="AG23" s="481">
        <f t="shared" si="22"/>
        <v>0</v>
      </c>
      <c r="AI23" s="482">
        <f>R23-'EDl log'!B22</f>
        <v>-34439</v>
      </c>
    </row>
    <row r="24" spans="1:35">
      <c r="A24" s="473">
        <f>'General information '!F27</f>
        <v>0</v>
      </c>
      <c r="B24" s="467">
        <f t="shared" si="6"/>
        <v>0</v>
      </c>
      <c r="C24" s="474">
        <v>44004</v>
      </c>
      <c r="D24" s="461">
        <f t="shared" si="25"/>
        <v>31802702</v>
      </c>
      <c r="E24" s="321">
        <f t="shared" si="10"/>
        <v>0</v>
      </c>
      <c r="F24" s="461">
        <f t="shared" si="25"/>
        <v>3720039</v>
      </c>
      <c r="G24" s="322">
        <f t="shared" si="0"/>
        <v>0</v>
      </c>
      <c r="H24" s="461">
        <f t="shared" si="25"/>
        <v>17499770</v>
      </c>
      <c r="I24" s="322">
        <f t="shared" si="11"/>
        <v>0</v>
      </c>
      <c r="J24" s="461">
        <f t="shared" si="25"/>
        <v>28491058</v>
      </c>
      <c r="K24" s="322">
        <f t="shared" si="12"/>
        <v>0</v>
      </c>
      <c r="L24" s="461">
        <f t="shared" si="25"/>
        <v>23155898</v>
      </c>
      <c r="M24" s="322">
        <f t="shared" si="13"/>
        <v>0</v>
      </c>
      <c r="N24" s="320">
        <f t="shared" si="14"/>
        <v>0</v>
      </c>
      <c r="O24" s="483">
        <f t="shared" si="21"/>
        <v>0</v>
      </c>
      <c r="P24" s="461">
        <f t="shared" si="26"/>
        <v>15605</v>
      </c>
      <c r="Q24" s="465">
        <f t="shared" si="23"/>
        <v>0</v>
      </c>
      <c r="R24" s="465">
        <f t="shared" si="18"/>
        <v>0</v>
      </c>
      <c r="S24" s="461">
        <f t="shared" si="7"/>
        <v>8738</v>
      </c>
      <c r="T24" s="485">
        <f t="shared" si="3"/>
        <v>0</v>
      </c>
      <c r="U24" s="461">
        <f t="shared" si="7"/>
        <v>105996</v>
      </c>
      <c r="V24" s="465">
        <f t="shared" si="15"/>
        <v>0</v>
      </c>
      <c r="W24" s="461">
        <f t="shared" si="7"/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f t="shared" si="7"/>
        <v>35162</v>
      </c>
      <c r="AB24" s="465">
        <f t="shared" si="16"/>
        <v>0</v>
      </c>
      <c r="AC24" s="461">
        <f t="shared" si="7"/>
        <v>799844</v>
      </c>
      <c r="AD24" s="465">
        <f t="shared" si="24"/>
        <v>0</v>
      </c>
      <c r="AE24" s="488">
        <f t="shared" si="8"/>
        <v>0</v>
      </c>
      <c r="AF24" s="489">
        <f t="shared" si="9"/>
        <v>0</v>
      </c>
      <c r="AG24" s="481">
        <f t="shared" si="22"/>
        <v>0</v>
      </c>
      <c r="AI24" s="482">
        <f>R24-'EDl log'!B23</f>
        <v>-34439</v>
      </c>
    </row>
    <row r="25" spans="1:35">
      <c r="A25" s="473">
        <f>'General information '!F28</f>
        <v>0</v>
      </c>
      <c r="B25" s="467">
        <f t="shared" si="6"/>
        <v>0</v>
      </c>
      <c r="C25" s="474">
        <v>44005</v>
      </c>
      <c r="D25" s="461">
        <f t="shared" si="25"/>
        <v>31802702</v>
      </c>
      <c r="E25" s="321">
        <f t="shared" si="10"/>
        <v>0</v>
      </c>
      <c r="F25" s="461">
        <f t="shared" si="25"/>
        <v>3720039</v>
      </c>
      <c r="G25" s="322">
        <f t="shared" si="0"/>
        <v>0</v>
      </c>
      <c r="H25" s="461">
        <f t="shared" si="25"/>
        <v>17499770</v>
      </c>
      <c r="I25" s="322">
        <f t="shared" si="11"/>
        <v>0</v>
      </c>
      <c r="J25" s="461">
        <f t="shared" si="25"/>
        <v>28491058</v>
      </c>
      <c r="K25" s="322">
        <f t="shared" si="12"/>
        <v>0</v>
      </c>
      <c r="L25" s="461">
        <f t="shared" si="25"/>
        <v>23155898</v>
      </c>
      <c r="M25" s="322">
        <f t="shared" si="13"/>
        <v>0</v>
      </c>
      <c r="N25" s="320">
        <f t="shared" si="14"/>
        <v>0</v>
      </c>
      <c r="O25" s="483">
        <f t="shared" si="21"/>
        <v>0</v>
      </c>
      <c r="P25" s="461">
        <f t="shared" si="26"/>
        <v>15605</v>
      </c>
      <c r="Q25" s="465">
        <f t="shared" si="23"/>
        <v>0</v>
      </c>
      <c r="R25" s="465">
        <f t="shared" si="18"/>
        <v>0</v>
      </c>
      <c r="S25" s="461">
        <f t="shared" si="7"/>
        <v>8738</v>
      </c>
      <c r="T25" s="485">
        <f t="shared" si="3"/>
        <v>0</v>
      </c>
      <c r="U25" s="461">
        <f t="shared" si="7"/>
        <v>105996</v>
      </c>
      <c r="V25" s="465">
        <f t="shared" si="15"/>
        <v>0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f t="shared" si="7"/>
        <v>35162</v>
      </c>
      <c r="AB25" s="465">
        <f t="shared" si="16"/>
        <v>0</v>
      </c>
      <c r="AC25" s="461">
        <f t="shared" si="7"/>
        <v>799844</v>
      </c>
      <c r="AD25" s="465">
        <f t="shared" si="24"/>
        <v>0</v>
      </c>
      <c r="AE25" s="488">
        <f t="shared" si="8"/>
        <v>0</v>
      </c>
      <c r="AF25" s="489">
        <f t="shared" si="9"/>
        <v>0</v>
      </c>
      <c r="AG25" s="481">
        <f t="shared" si="22"/>
        <v>0</v>
      </c>
      <c r="AI25" s="482">
        <f>R25-'EDl log'!B24</f>
        <v>-34439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si="25"/>
        <v>31802702</v>
      </c>
      <c r="E26" s="321">
        <f t="shared" si="10"/>
        <v>0</v>
      </c>
      <c r="F26" s="461">
        <f t="shared" si="25"/>
        <v>3720039</v>
      </c>
      <c r="G26" s="322">
        <f t="shared" si="0"/>
        <v>0</v>
      </c>
      <c r="H26" s="461">
        <f t="shared" si="25"/>
        <v>17499770</v>
      </c>
      <c r="I26" s="322">
        <f t="shared" si="11"/>
        <v>0</v>
      </c>
      <c r="J26" s="461">
        <f t="shared" si="25"/>
        <v>28491058</v>
      </c>
      <c r="K26" s="322">
        <f t="shared" si="12"/>
        <v>0</v>
      </c>
      <c r="L26" s="461">
        <f t="shared" si="25"/>
        <v>23155898</v>
      </c>
      <c r="M26" s="322">
        <f t="shared" si="13"/>
        <v>0</v>
      </c>
      <c r="N26" s="320">
        <f t="shared" si="14"/>
        <v>0</v>
      </c>
      <c r="O26" s="483">
        <f t="shared" si="21"/>
        <v>0</v>
      </c>
      <c r="P26" s="461">
        <f t="shared" si="26"/>
        <v>15605</v>
      </c>
      <c r="Q26" s="465">
        <f t="shared" si="23"/>
        <v>0</v>
      </c>
      <c r="R26" s="490">
        <f>N26-Q26</f>
        <v>0</v>
      </c>
      <c r="S26" s="461">
        <f t="shared" si="7"/>
        <v>8738</v>
      </c>
      <c r="T26" s="485">
        <f t="shared" si="3"/>
        <v>0</v>
      </c>
      <c r="U26" s="461">
        <f t="shared" si="7"/>
        <v>105996</v>
      </c>
      <c r="V26" s="465">
        <f t="shared" si="15"/>
        <v>0</v>
      </c>
      <c r="W26" s="461">
        <f t="shared" si="7"/>
        <v>31853</v>
      </c>
      <c r="X26" s="465">
        <f t="shared" si="20"/>
        <v>0</v>
      </c>
      <c r="Y26" s="461">
        <f t="shared" si="7"/>
        <v>625865</v>
      </c>
      <c r="Z26" s="465">
        <f t="shared" si="19"/>
        <v>0</v>
      </c>
      <c r="AA26" s="461">
        <f t="shared" si="7"/>
        <v>35162</v>
      </c>
      <c r="AB26" s="465">
        <f t="shared" si="16"/>
        <v>0</v>
      </c>
      <c r="AC26" s="461">
        <f t="shared" si="7"/>
        <v>799844</v>
      </c>
      <c r="AD26" s="465">
        <f t="shared" si="24"/>
        <v>0</v>
      </c>
      <c r="AE26" s="488">
        <f t="shared" si="8"/>
        <v>0</v>
      </c>
      <c r="AF26" s="489">
        <f t="shared" si="9"/>
        <v>0</v>
      </c>
      <c r="AG26" s="481">
        <f t="shared" si="22"/>
        <v>0</v>
      </c>
      <c r="AI26" s="482">
        <f>R26-'EDl log'!B25</f>
        <v>-34439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25"/>
        <v>31802702</v>
      </c>
      <c r="E27" s="321">
        <f t="shared" si="10"/>
        <v>0</v>
      </c>
      <c r="F27" s="461">
        <f t="shared" si="25"/>
        <v>3720039</v>
      </c>
      <c r="G27" s="322">
        <f>F27-F26</f>
        <v>0</v>
      </c>
      <c r="H27" s="461">
        <f t="shared" si="25"/>
        <v>17499770</v>
      </c>
      <c r="I27" s="322">
        <f t="shared" si="11"/>
        <v>0</v>
      </c>
      <c r="J27" s="461">
        <f t="shared" si="25"/>
        <v>28491058</v>
      </c>
      <c r="K27" s="322">
        <f t="shared" si="12"/>
        <v>0</v>
      </c>
      <c r="L27" s="461">
        <f t="shared" si="25"/>
        <v>23155898</v>
      </c>
      <c r="M27" s="322">
        <f t="shared" si="13"/>
        <v>0</v>
      </c>
      <c r="N27" s="320">
        <f t="shared" si="14"/>
        <v>0</v>
      </c>
      <c r="O27" s="483">
        <f t="shared" si="21"/>
        <v>0</v>
      </c>
      <c r="P27" s="461">
        <f t="shared" si="26"/>
        <v>15605</v>
      </c>
      <c r="Q27" s="465">
        <f t="shared" si="23"/>
        <v>0</v>
      </c>
      <c r="R27" s="465">
        <f t="shared" si="18"/>
        <v>0</v>
      </c>
      <c r="S27" s="461">
        <f t="shared" si="7"/>
        <v>8738</v>
      </c>
      <c r="T27" s="485">
        <f t="shared" si="3"/>
        <v>0</v>
      </c>
      <c r="U27" s="461">
        <f t="shared" si="7"/>
        <v>105996</v>
      </c>
      <c r="V27" s="465">
        <f t="shared" si="15"/>
        <v>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35162</v>
      </c>
      <c r="AB27" s="465">
        <f t="shared" si="16"/>
        <v>0</v>
      </c>
      <c r="AC27" s="461">
        <f t="shared" si="7"/>
        <v>799844</v>
      </c>
      <c r="AD27" s="465">
        <f t="shared" si="24"/>
        <v>0</v>
      </c>
      <c r="AE27" s="488">
        <f t="shared" si="8"/>
        <v>0</v>
      </c>
      <c r="AF27" s="489">
        <f t="shared" si="9"/>
        <v>0</v>
      </c>
      <c r="AG27" s="481">
        <f t="shared" si="22"/>
        <v>0</v>
      </c>
      <c r="AI27" s="482">
        <f>R27-'EDl log'!B26</f>
        <v>-34439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25"/>
        <v>31802702</v>
      </c>
      <c r="E28" s="321">
        <f t="shared" si="10"/>
        <v>0</v>
      </c>
      <c r="F28" s="461">
        <f t="shared" si="25"/>
        <v>3720039</v>
      </c>
      <c r="G28" s="322">
        <f t="shared" si="0"/>
        <v>0</v>
      </c>
      <c r="H28" s="461">
        <f t="shared" si="25"/>
        <v>17499770</v>
      </c>
      <c r="I28" s="322">
        <f t="shared" si="11"/>
        <v>0</v>
      </c>
      <c r="J28" s="461">
        <f t="shared" si="25"/>
        <v>28491058</v>
      </c>
      <c r="K28" s="322">
        <f t="shared" si="12"/>
        <v>0</v>
      </c>
      <c r="L28" s="461">
        <f t="shared" si="25"/>
        <v>23155898</v>
      </c>
      <c r="M28" s="322">
        <f t="shared" si="13"/>
        <v>0</v>
      </c>
      <c r="N28" s="320">
        <f t="shared" si="14"/>
        <v>0</v>
      </c>
      <c r="O28" s="483">
        <f t="shared" si="21"/>
        <v>0</v>
      </c>
      <c r="P28" s="461">
        <f t="shared" si="26"/>
        <v>15605</v>
      </c>
      <c r="Q28" s="465">
        <f t="shared" si="23"/>
        <v>0</v>
      </c>
      <c r="R28" s="465">
        <f>N28-Q28</f>
        <v>0</v>
      </c>
      <c r="S28" s="461">
        <f t="shared" si="7"/>
        <v>8738</v>
      </c>
      <c r="T28" s="485">
        <f t="shared" si="3"/>
        <v>0</v>
      </c>
      <c r="U28" s="461">
        <f t="shared" si="7"/>
        <v>105996</v>
      </c>
      <c r="V28" s="465">
        <f t="shared" si="15"/>
        <v>0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f t="shared" si="7"/>
        <v>35162</v>
      </c>
      <c r="AB28" s="465">
        <f t="shared" si="16"/>
        <v>0</v>
      </c>
      <c r="AC28" s="461">
        <f t="shared" si="7"/>
        <v>799844</v>
      </c>
      <c r="AD28" s="465">
        <f t="shared" si="24"/>
        <v>0</v>
      </c>
      <c r="AE28" s="488">
        <f t="shared" si="8"/>
        <v>0</v>
      </c>
      <c r="AF28" s="489">
        <f t="shared" si="9"/>
        <v>0</v>
      </c>
      <c r="AG28" s="481">
        <f t="shared" si="22"/>
        <v>0</v>
      </c>
      <c r="AI28" s="482">
        <f>R28-'EDl log'!B27</f>
        <v>-34439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25"/>
        <v>31802702</v>
      </c>
      <c r="E29" s="321">
        <f t="shared" si="10"/>
        <v>0</v>
      </c>
      <c r="F29" s="461">
        <f t="shared" si="25"/>
        <v>3720039</v>
      </c>
      <c r="G29" s="322">
        <f t="shared" si="0"/>
        <v>0</v>
      </c>
      <c r="H29" s="461">
        <f t="shared" si="25"/>
        <v>17499770</v>
      </c>
      <c r="I29" s="322">
        <f t="shared" si="11"/>
        <v>0</v>
      </c>
      <c r="J29" s="461">
        <f t="shared" si="25"/>
        <v>28491058</v>
      </c>
      <c r="K29" s="322">
        <f t="shared" si="12"/>
        <v>0</v>
      </c>
      <c r="L29" s="461">
        <f t="shared" si="25"/>
        <v>23155898</v>
      </c>
      <c r="M29" s="322">
        <f t="shared" si="13"/>
        <v>0</v>
      </c>
      <c r="N29" s="320">
        <f t="shared" si="14"/>
        <v>0</v>
      </c>
      <c r="O29" s="483">
        <f t="shared" si="21"/>
        <v>0</v>
      </c>
      <c r="P29" s="461">
        <f t="shared" si="26"/>
        <v>15605</v>
      </c>
      <c r="Q29" s="465">
        <f t="shared" si="23"/>
        <v>0</v>
      </c>
      <c r="R29" s="465">
        <f t="shared" si="18"/>
        <v>0</v>
      </c>
      <c r="S29" s="461">
        <f t="shared" si="7"/>
        <v>8738</v>
      </c>
      <c r="T29" s="485">
        <f t="shared" si="3"/>
        <v>0</v>
      </c>
      <c r="U29" s="461">
        <f t="shared" si="7"/>
        <v>105996</v>
      </c>
      <c r="V29" s="465">
        <f t="shared" si="15"/>
        <v>0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f t="shared" si="7"/>
        <v>35162</v>
      </c>
      <c r="AB29" s="465">
        <f t="shared" si="16"/>
        <v>0</v>
      </c>
      <c r="AC29" s="461">
        <f t="shared" si="7"/>
        <v>799844</v>
      </c>
      <c r="AD29" s="465">
        <f t="shared" si="24"/>
        <v>0</v>
      </c>
      <c r="AE29" s="488">
        <f t="shared" si="8"/>
        <v>0</v>
      </c>
      <c r="AF29" s="489">
        <f t="shared" si="9"/>
        <v>0</v>
      </c>
      <c r="AG29" s="481">
        <f t="shared" si="22"/>
        <v>0</v>
      </c>
      <c r="AI29" s="482">
        <f>R29-'EDl log'!B28</f>
        <v>-34439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25"/>
        <v>31802702</v>
      </c>
      <c r="E30" s="321">
        <f t="shared" si="10"/>
        <v>0</v>
      </c>
      <c r="F30" s="461">
        <f t="shared" si="25"/>
        <v>3720039</v>
      </c>
      <c r="G30" s="322">
        <f t="shared" si="0"/>
        <v>0</v>
      </c>
      <c r="H30" s="461">
        <f t="shared" si="25"/>
        <v>17499770</v>
      </c>
      <c r="I30" s="322">
        <f t="shared" si="11"/>
        <v>0</v>
      </c>
      <c r="J30" s="461">
        <f t="shared" si="25"/>
        <v>28491058</v>
      </c>
      <c r="K30" s="322">
        <f t="shared" si="12"/>
        <v>0</v>
      </c>
      <c r="L30" s="461">
        <f t="shared" si="25"/>
        <v>23155898</v>
      </c>
      <c r="M30" s="322">
        <f t="shared" si="13"/>
        <v>0</v>
      </c>
      <c r="N30" s="320">
        <f t="shared" si="14"/>
        <v>0</v>
      </c>
      <c r="O30" s="483">
        <f t="shared" si="21"/>
        <v>0</v>
      </c>
      <c r="P30" s="461">
        <f t="shared" si="26"/>
        <v>15605</v>
      </c>
      <c r="Q30" s="465">
        <f t="shared" si="23"/>
        <v>0</v>
      </c>
      <c r="R30" s="465">
        <f t="shared" si="18"/>
        <v>0</v>
      </c>
      <c r="S30" s="461">
        <f t="shared" si="7"/>
        <v>8738</v>
      </c>
      <c r="T30" s="485">
        <f t="shared" si="3"/>
        <v>0</v>
      </c>
      <c r="U30" s="461">
        <f t="shared" si="7"/>
        <v>105996</v>
      </c>
      <c r="V30" s="465">
        <f t="shared" si="15"/>
        <v>0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f t="shared" si="7"/>
        <v>35162</v>
      </c>
      <c r="AB30" s="465">
        <f t="shared" si="16"/>
        <v>0</v>
      </c>
      <c r="AC30" s="461">
        <f t="shared" si="7"/>
        <v>799844</v>
      </c>
      <c r="AD30" s="465">
        <f t="shared" si="24"/>
        <v>0</v>
      </c>
      <c r="AE30" s="488">
        <f t="shared" si="8"/>
        <v>0</v>
      </c>
      <c r="AF30" s="489">
        <f t="shared" si="9"/>
        <v>0</v>
      </c>
      <c r="AG30" s="481">
        <f t="shared" si="22"/>
        <v>0</v>
      </c>
      <c r="AI30" s="482">
        <f>R30-'EDl log'!B29</f>
        <v>-34439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25"/>
        <v>31802702</v>
      </c>
      <c r="E31" s="321">
        <f t="shared" si="10"/>
        <v>0</v>
      </c>
      <c r="F31" s="461">
        <f t="shared" si="25"/>
        <v>3720039</v>
      </c>
      <c r="G31" s="322">
        <f t="shared" si="0"/>
        <v>0</v>
      </c>
      <c r="H31" s="461">
        <f t="shared" si="25"/>
        <v>17499770</v>
      </c>
      <c r="I31" s="322">
        <f t="shared" si="11"/>
        <v>0</v>
      </c>
      <c r="J31" s="461">
        <f t="shared" si="25"/>
        <v>28491058</v>
      </c>
      <c r="K31" s="322">
        <f t="shared" si="12"/>
        <v>0</v>
      </c>
      <c r="L31" s="461">
        <f t="shared" si="25"/>
        <v>23155898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si="26"/>
        <v>15605</v>
      </c>
      <c r="Q31" s="465">
        <f t="shared" si="23"/>
        <v>0</v>
      </c>
      <c r="R31" s="465">
        <f t="shared" si="18"/>
        <v>0</v>
      </c>
      <c r="S31" s="461">
        <f t="shared" si="7"/>
        <v>8738</v>
      </c>
      <c r="T31" s="485">
        <f t="shared" si="3"/>
        <v>0</v>
      </c>
      <c r="U31" s="461">
        <f t="shared" si="7"/>
        <v>105996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35162</v>
      </c>
      <c r="AB31" s="465">
        <f t="shared" si="16"/>
        <v>0</v>
      </c>
      <c r="AC31" s="461">
        <f t="shared" si="7"/>
        <v>799844</v>
      </c>
      <c r="AD31" s="465">
        <f t="shared" si="24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-34439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5"/>
        <v>31802702</v>
      </c>
      <c r="E32" s="321">
        <f t="shared" si="10"/>
        <v>0</v>
      </c>
      <c r="F32" s="461">
        <f t="shared" si="25"/>
        <v>3720039</v>
      </c>
      <c r="G32" s="322">
        <f>F32-F31</f>
        <v>0</v>
      </c>
      <c r="H32" s="461">
        <f t="shared" si="25"/>
        <v>17499770</v>
      </c>
      <c r="I32" s="322">
        <f>H32-H31</f>
        <v>0</v>
      </c>
      <c r="J32" s="461">
        <f t="shared" si="25"/>
        <v>28491058</v>
      </c>
      <c r="K32" s="322">
        <f>J32-J31</f>
        <v>0</v>
      </c>
      <c r="L32" s="461">
        <f t="shared" si="25"/>
        <v>23155898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6"/>
        <v>15605</v>
      </c>
      <c r="Q32" s="465">
        <f>(P32-P31)*1000</f>
        <v>0</v>
      </c>
      <c r="R32" s="465">
        <f>N32-Q32</f>
        <v>0</v>
      </c>
      <c r="S32" s="461">
        <f t="shared" si="7"/>
        <v>8738</v>
      </c>
      <c r="T32" s="485">
        <f t="shared" si="3"/>
        <v>0</v>
      </c>
      <c r="U32" s="461">
        <f t="shared" si="7"/>
        <v>105996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35162</v>
      </c>
      <c r="AB32" s="465">
        <f t="shared" si="16"/>
        <v>0</v>
      </c>
      <c r="AC32" s="461">
        <f t="shared" si="7"/>
        <v>799844</v>
      </c>
      <c r="AD32" s="465">
        <f t="shared" si="24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-34439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K1" zoomScale="90" zoomScaleNormal="90" workbookViewId="0">
      <pane ySplit="1" topLeftCell="A2" activePane="bottomLeft" state="frozen"/>
      <selection activeCell="K1" sqref="K1"/>
      <selection pane="bottomLeft" activeCell="AT27" sqref="AT2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08" t="s">
        <v>2</v>
      </c>
      <c r="G1" s="609"/>
      <c r="H1" s="609"/>
      <c r="I1" s="610"/>
      <c r="J1" s="292">
        <f>J35</f>
        <v>70.44047619047619</v>
      </c>
      <c r="K1" s="611" t="s">
        <v>4</v>
      </c>
      <c r="L1" s="612"/>
      <c r="M1" s="612"/>
      <c r="N1" s="612"/>
      <c r="O1" s="613"/>
      <c r="P1" s="602" t="s">
        <v>6</v>
      </c>
      <c r="Q1" s="603"/>
      <c r="R1" s="603"/>
      <c r="S1" s="603"/>
      <c r="T1" s="604"/>
      <c r="U1" s="410"/>
      <c r="V1" s="27" t="s">
        <v>104</v>
      </c>
      <c r="W1" s="411"/>
      <c r="X1" s="602" t="s">
        <v>8</v>
      </c>
      <c r="Y1" s="603"/>
      <c r="Z1" s="603"/>
      <c r="AA1" s="603"/>
      <c r="AB1" s="603"/>
      <c r="AC1" s="605" t="s">
        <v>10</v>
      </c>
      <c r="AD1" s="606"/>
      <c r="AE1" s="606"/>
      <c r="AF1" s="607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0"/>
      <c r="R2" s="601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352.20238095238096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281.76190476190476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281.76190476190476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v>172</v>
      </c>
      <c r="C19" s="64">
        <v>178</v>
      </c>
      <c r="D19" s="45">
        <f t="shared" si="0"/>
        <v>-22</v>
      </c>
      <c r="E19" s="45">
        <f t="shared" si="16"/>
        <v>-184.36</v>
      </c>
      <c r="F19" s="64"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v>2005</v>
      </c>
      <c r="L19" s="52">
        <f t="shared" si="3"/>
        <v>5</v>
      </c>
      <c r="M19" s="64">
        <v>147032</v>
      </c>
      <c r="N19" s="409">
        <f t="shared" si="5"/>
        <v>352</v>
      </c>
      <c r="O19" s="67">
        <f t="shared" si="6"/>
        <v>352.20238095238096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5</v>
      </c>
      <c r="V19" s="62">
        <f t="shared" si="20"/>
        <v>352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352</v>
      </c>
      <c r="AJ19" s="328">
        <f>-tanks!AW20</f>
        <v>352</v>
      </c>
      <c r="AK19" s="328">
        <f t="shared" si="25"/>
        <v>0</v>
      </c>
      <c r="AL19" s="328">
        <f>S19+L20+G19</f>
        <v>5</v>
      </c>
      <c r="AM19" s="328">
        <f t="shared" si="26"/>
        <v>0</v>
      </c>
      <c r="AN19" s="64">
        <v>67</v>
      </c>
      <c r="AO19" s="330">
        <f t="shared" si="27"/>
        <v>2010.0000000000002</v>
      </c>
      <c r="AP19" s="64">
        <v>67</v>
      </c>
      <c r="AQ19" s="330">
        <f t="shared" si="28"/>
        <v>2010.0000000000002</v>
      </c>
      <c r="AR19" s="64">
        <v>58</v>
      </c>
      <c r="AS19" s="330">
        <f t="shared" si="34"/>
        <v>1739.9999999999998</v>
      </c>
      <c r="AT19" s="330">
        <f t="shared" si="35"/>
        <v>5760</v>
      </c>
      <c r="AU19" s="330">
        <f t="shared" si="36"/>
        <v>120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v>166</v>
      </c>
      <c r="C20" s="64">
        <v>172</v>
      </c>
      <c r="D20" s="45">
        <f>C19-C20</f>
        <v>6</v>
      </c>
      <c r="E20" s="45">
        <f t="shared" si="16"/>
        <v>50.28</v>
      </c>
      <c r="F20" s="64">
        <f t="shared" si="42"/>
        <v>1596</v>
      </c>
      <c r="G20" s="52">
        <f t="shared" si="1"/>
        <v>0</v>
      </c>
      <c r="H20" s="64">
        <v>353837</v>
      </c>
      <c r="I20" s="409">
        <f t="shared" si="2"/>
        <v>0</v>
      </c>
      <c r="J20" s="66">
        <f t="shared" si="17"/>
        <v>0</v>
      </c>
      <c r="K20" s="64">
        <v>2010</v>
      </c>
      <c r="L20" s="52">
        <f t="shared" si="3"/>
        <v>5</v>
      </c>
      <c r="M20" s="64">
        <v>147378</v>
      </c>
      <c r="N20" s="409">
        <f t="shared" si="5"/>
        <v>346</v>
      </c>
      <c r="O20" s="67">
        <f t="shared" si="6"/>
        <v>352.20238095238096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5</v>
      </c>
      <c r="V20" s="62">
        <f t="shared" si="20"/>
        <v>346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346</v>
      </c>
      <c r="AJ20" s="328">
        <f>-tanks!AW21</f>
        <v>346</v>
      </c>
      <c r="AK20" s="328">
        <f t="shared" si="25"/>
        <v>0</v>
      </c>
      <c r="AL20" s="328">
        <f>S20+L21+G20</f>
        <v>4</v>
      </c>
      <c r="AM20" s="328">
        <f t="shared" si="26"/>
        <v>0</v>
      </c>
      <c r="AN20" s="64">
        <v>66</v>
      </c>
      <c r="AO20" s="330">
        <f t="shared" si="27"/>
        <v>1980</v>
      </c>
      <c r="AP20" s="64">
        <v>66</v>
      </c>
      <c r="AQ20" s="330">
        <f t="shared" si="28"/>
        <v>1980</v>
      </c>
      <c r="AR20" s="64">
        <v>57</v>
      </c>
      <c r="AS20" s="330">
        <f t="shared" si="34"/>
        <v>1709.9999999999998</v>
      </c>
      <c r="AT20" s="330">
        <f t="shared" si="35"/>
        <v>5670</v>
      </c>
      <c r="AU20" s="330">
        <f t="shared" si="36"/>
        <v>90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v>192</v>
      </c>
      <c r="C21" s="64">
        <v>198</v>
      </c>
      <c r="D21" s="45">
        <f t="shared" ref="D21:D31" si="45">C20-C21</f>
        <v>-26</v>
      </c>
      <c r="E21" s="45">
        <f t="shared" si="16"/>
        <v>-217.88000000000002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v>2014</v>
      </c>
      <c r="L21" s="52">
        <f t="shared" si="3"/>
        <v>4</v>
      </c>
      <c r="M21" s="64">
        <v>147690</v>
      </c>
      <c r="N21" s="409">
        <f t="shared" si="5"/>
        <v>312</v>
      </c>
      <c r="O21" s="67">
        <f t="shared" si="6"/>
        <v>281.76190476190476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4</v>
      </c>
      <c r="V21" s="62">
        <f t="shared" si="20"/>
        <v>312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312</v>
      </c>
      <c r="AJ21" s="328">
        <f>-tanks!AW22</f>
        <v>312</v>
      </c>
      <c r="AK21" s="328">
        <f t="shared" si="25"/>
        <v>0</v>
      </c>
      <c r="AL21" s="328">
        <f t="shared" ref="AL21:AL34" si="46">S21+L21+G21</f>
        <v>4</v>
      </c>
      <c r="AM21" s="328">
        <f t="shared" si="26"/>
        <v>0</v>
      </c>
      <c r="AN21" s="64">
        <f t="shared" si="38"/>
        <v>66</v>
      </c>
      <c r="AO21" s="330">
        <f t="shared" si="27"/>
        <v>1980</v>
      </c>
      <c r="AP21" s="64">
        <f t="shared" si="39"/>
        <v>66</v>
      </c>
      <c r="AQ21" s="330">
        <f t="shared" si="28"/>
        <v>1980</v>
      </c>
      <c r="AR21" s="64">
        <f t="shared" si="41"/>
        <v>57</v>
      </c>
      <c r="AS21" s="330">
        <f t="shared" si="34"/>
        <v>1709.9999999999998</v>
      </c>
      <c r="AT21" s="330">
        <f t="shared" si="35"/>
        <v>5670</v>
      </c>
      <c r="AU21" s="330">
        <f t="shared" si="36"/>
        <v>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f t="shared" ref="B21:C34" si="47">B21</f>
        <v>192</v>
      </c>
      <c r="C22" s="64">
        <f t="shared" si="47"/>
        <v>198</v>
      </c>
      <c r="D22" s="45">
        <f t="shared" si="45"/>
        <v>0</v>
      </c>
      <c r="E22" s="45">
        <f t="shared" si="16"/>
        <v>0</v>
      </c>
      <c r="F22" s="64">
        <f t="shared" si="42"/>
        <v>1596</v>
      </c>
      <c r="G22" s="52">
        <f t="shared" si="1"/>
        <v>0</v>
      </c>
      <c r="H22" s="64">
        <f t="shared" si="42"/>
        <v>353837</v>
      </c>
      <c r="I22" s="409">
        <f t="shared" si="2"/>
        <v>0</v>
      </c>
      <c r="J22" s="66">
        <f t="shared" si="17"/>
        <v>0</v>
      </c>
      <c r="K22" s="64">
        <f t="shared" si="37"/>
        <v>2014</v>
      </c>
      <c r="L22" s="52">
        <f t="shared" si="3"/>
        <v>0</v>
      </c>
      <c r="M22" s="64">
        <f t="shared" si="4"/>
        <v>147690</v>
      </c>
      <c r="N22" s="409">
        <f t="shared" si="5"/>
        <v>0</v>
      </c>
      <c r="O22" s="67">
        <f t="shared" si="6"/>
        <v>0</v>
      </c>
      <c r="P22" s="64">
        <f t="shared" si="18"/>
        <v>1803</v>
      </c>
      <c r="Q22" s="64">
        <f t="shared" si="43"/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0</v>
      </c>
      <c r="V22" s="62">
        <f t="shared" si="20"/>
        <v>0</v>
      </c>
      <c r="W22" s="413"/>
      <c r="X22" s="64">
        <f t="shared" si="9"/>
        <v>2418</v>
      </c>
      <c r="Y22" s="52">
        <f t="shared" si="22"/>
        <v>0</v>
      </c>
      <c r="Z22" s="64">
        <f t="shared" si="10"/>
        <v>135964.1</v>
      </c>
      <c r="AA22" s="65">
        <f t="shared" si="11"/>
        <v>0</v>
      </c>
      <c r="AB22" s="294">
        <f t="shared" si="44"/>
        <v>0</v>
      </c>
      <c r="AC22" s="64">
        <f t="shared" si="12"/>
        <v>1848</v>
      </c>
      <c r="AD22" s="45">
        <f t="shared" si="13"/>
        <v>0</v>
      </c>
      <c r="AE22" s="64">
        <f t="shared" si="14"/>
        <v>360299.4</v>
      </c>
      <c r="AF22" s="316">
        <f t="shared" si="23"/>
        <v>0</v>
      </c>
      <c r="AG22" s="213">
        <f t="shared" si="32"/>
        <v>0</v>
      </c>
      <c r="AH22" s="62">
        <f t="shared" si="33"/>
        <v>0</v>
      </c>
      <c r="AI22" s="328">
        <f t="shared" si="24"/>
        <v>0</v>
      </c>
      <c r="AJ22" s="328">
        <f>-tanks!AW23</f>
        <v>0</v>
      </c>
      <c r="AK22" s="328">
        <f t="shared" si="25"/>
        <v>0</v>
      </c>
      <c r="AL22" s="328">
        <f t="shared" si="46"/>
        <v>0</v>
      </c>
      <c r="AM22" s="328">
        <f t="shared" si="26"/>
        <v>0</v>
      </c>
      <c r="AN22" s="64">
        <f t="shared" si="38"/>
        <v>66</v>
      </c>
      <c r="AO22" s="330">
        <f t="shared" si="27"/>
        <v>1980</v>
      </c>
      <c r="AP22" s="64">
        <f t="shared" si="39"/>
        <v>66</v>
      </c>
      <c r="AQ22" s="330">
        <f t="shared" si="28"/>
        <v>1980</v>
      </c>
      <c r="AR22" s="64">
        <v>54</v>
      </c>
      <c r="AS22" s="330">
        <f t="shared" si="34"/>
        <v>1620</v>
      </c>
      <c r="AT22" s="330">
        <f t="shared" si="35"/>
        <v>5580</v>
      </c>
      <c r="AU22" s="330">
        <f t="shared" si="36"/>
        <v>90</v>
      </c>
      <c r="AV22" s="276"/>
      <c r="AW22" s="276"/>
      <c r="AX22" s="323">
        <f t="shared" si="29"/>
        <v>0.7</v>
      </c>
    </row>
    <row r="23" spans="1:50">
      <c r="A23" s="63">
        <f>ELEC!C21</f>
        <v>44001</v>
      </c>
      <c r="B23" s="64">
        <f t="shared" si="47"/>
        <v>192</v>
      </c>
      <c r="C23" s="64">
        <f t="shared" si="47"/>
        <v>198</v>
      </c>
      <c r="D23" s="45">
        <f t="shared" si="45"/>
        <v>0</v>
      </c>
      <c r="E23" s="45">
        <f t="shared" si="16"/>
        <v>0</v>
      </c>
      <c r="F23" s="64">
        <f t="shared" si="42"/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f t="shared" si="37"/>
        <v>2014</v>
      </c>
      <c r="L23" s="52">
        <f t="shared" si="3"/>
        <v>0</v>
      </c>
      <c r="M23" s="64">
        <f t="shared" si="4"/>
        <v>147690</v>
      </c>
      <c r="N23" s="409">
        <f t="shared" si="5"/>
        <v>0</v>
      </c>
      <c r="O23" s="67">
        <f t="shared" si="6"/>
        <v>0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0</v>
      </c>
      <c r="V23" s="62">
        <f t="shared" si="20"/>
        <v>0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1848</v>
      </c>
      <c r="AD23" s="45">
        <f t="shared" si="13"/>
        <v>0</v>
      </c>
      <c r="AE23" s="64">
        <f t="shared" si="14"/>
        <v>360299.4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0</v>
      </c>
      <c r="AJ23" s="328">
        <f>-tanks!AW24</f>
        <v>0</v>
      </c>
      <c r="AK23" s="328">
        <f t="shared" si="25"/>
        <v>0</v>
      </c>
      <c r="AL23" s="328">
        <f t="shared" si="46"/>
        <v>0</v>
      </c>
      <c r="AM23" s="328">
        <f t="shared" si="26"/>
        <v>0</v>
      </c>
      <c r="AN23" s="64">
        <f t="shared" si="38"/>
        <v>66</v>
      </c>
      <c r="AO23" s="330">
        <f t="shared" si="27"/>
        <v>1980</v>
      </c>
      <c r="AP23" s="64">
        <f t="shared" si="39"/>
        <v>66</v>
      </c>
      <c r="AQ23" s="330">
        <f t="shared" si="28"/>
        <v>1980</v>
      </c>
      <c r="AR23" s="64">
        <f t="shared" si="41"/>
        <v>54</v>
      </c>
      <c r="AS23" s="330">
        <f t="shared" si="34"/>
        <v>1620</v>
      </c>
      <c r="AT23" s="330">
        <f t="shared" si="35"/>
        <v>5580</v>
      </c>
      <c r="AU23" s="330">
        <f t="shared" si="36"/>
        <v>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f t="shared" si="47"/>
        <v>192</v>
      </c>
      <c r="C24" s="64">
        <f t="shared" si="47"/>
        <v>198</v>
      </c>
      <c r="D24" s="45">
        <f t="shared" si="45"/>
        <v>0</v>
      </c>
      <c r="E24" s="45">
        <f t="shared" si="16"/>
        <v>0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f t="shared" si="37"/>
        <v>2014</v>
      </c>
      <c r="L24" s="52">
        <f t="shared" si="3"/>
        <v>0</v>
      </c>
      <c r="M24" s="64">
        <f t="shared" si="4"/>
        <v>147690</v>
      </c>
      <c r="N24" s="409">
        <f t="shared" si="5"/>
        <v>0</v>
      </c>
      <c r="O24" s="67">
        <f t="shared" si="6"/>
        <v>0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0</v>
      </c>
      <c r="V24" s="62">
        <f t="shared" si="20"/>
        <v>0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8">SUM(Y24*$AB$2)</f>
        <v>0</v>
      </c>
      <c r="AC24" s="64">
        <f t="shared" si="12"/>
        <v>1848</v>
      </c>
      <c r="AD24" s="45">
        <f t="shared" si="13"/>
        <v>0</v>
      </c>
      <c r="AE24" s="64">
        <f t="shared" si="14"/>
        <v>360299.4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0</v>
      </c>
      <c r="AJ24" s="328">
        <f>-tanks!AW25</f>
        <v>0</v>
      </c>
      <c r="AK24" s="328">
        <f t="shared" si="25"/>
        <v>0</v>
      </c>
      <c r="AL24" s="328">
        <f t="shared" si="46"/>
        <v>0</v>
      </c>
      <c r="AM24" s="328">
        <f t="shared" si="26"/>
        <v>0</v>
      </c>
      <c r="AN24" s="64">
        <f t="shared" si="38"/>
        <v>66</v>
      </c>
      <c r="AO24" s="330">
        <f t="shared" si="27"/>
        <v>1980</v>
      </c>
      <c r="AP24" s="64">
        <f t="shared" si="39"/>
        <v>66</v>
      </c>
      <c r="AQ24" s="330">
        <f t="shared" si="28"/>
        <v>1980</v>
      </c>
      <c r="AR24" s="64">
        <f t="shared" si="41"/>
        <v>54</v>
      </c>
      <c r="AS24" s="330">
        <f t="shared" si="34"/>
        <v>1620</v>
      </c>
      <c r="AT24" s="330">
        <f t="shared" ref="AT24:AT34" si="49">SUM(AO24+AQ24+AS24)</f>
        <v>5580</v>
      </c>
      <c r="AU24" s="330">
        <f t="shared" si="36"/>
        <v>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f t="shared" si="47"/>
        <v>192</v>
      </c>
      <c r="C25" s="64">
        <f t="shared" si="47"/>
        <v>198</v>
      </c>
      <c r="D25" s="45">
        <f t="shared" si="45"/>
        <v>0</v>
      </c>
      <c r="E25" s="45">
        <f t="shared" si="16"/>
        <v>0</v>
      </c>
      <c r="F25" s="64">
        <f t="shared" si="42"/>
        <v>1596</v>
      </c>
      <c r="G25" s="52">
        <f t="shared" si="1"/>
        <v>0</v>
      </c>
      <c r="H25" s="64">
        <f t="shared" si="42"/>
        <v>353837</v>
      </c>
      <c r="I25" s="409">
        <f t="shared" si="2"/>
        <v>0</v>
      </c>
      <c r="J25" s="66">
        <f t="shared" si="17"/>
        <v>0</v>
      </c>
      <c r="K25" s="64">
        <f t="shared" si="37"/>
        <v>2014</v>
      </c>
      <c r="L25" s="52">
        <f t="shared" si="3"/>
        <v>0</v>
      </c>
      <c r="M25" s="64">
        <f t="shared" si="4"/>
        <v>147690</v>
      </c>
      <c r="N25" s="409">
        <f t="shared" si="5"/>
        <v>0</v>
      </c>
      <c r="O25" s="67">
        <f t="shared" si="6"/>
        <v>0</v>
      </c>
      <c r="P25" s="64">
        <f t="shared" si="18"/>
        <v>1803</v>
      </c>
      <c r="Q25" s="64">
        <f t="shared" si="43"/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0</v>
      </c>
      <c r="V25" s="62">
        <f t="shared" si="20"/>
        <v>0</v>
      </c>
      <c r="W25" s="413"/>
      <c r="X25" s="64">
        <f t="shared" si="9"/>
        <v>2418</v>
      </c>
      <c r="Y25" s="52">
        <f t="shared" si="22"/>
        <v>0</v>
      </c>
      <c r="Z25" s="64">
        <f t="shared" si="10"/>
        <v>135964.1</v>
      </c>
      <c r="AA25" s="65">
        <f t="shared" si="11"/>
        <v>0</v>
      </c>
      <c r="AB25" s="294">
        <f t="shared" si="48"/>
        <v>0</v>
      </c>
      <c r="AC25" s="64">
        <f t="shared" si="12"/>
        <v>1848</v>
      </c>
      <c r="AD25" s="45">
        <f t="shared" si="13"/>
        <v>0</v>
      </c>
      <c r="AE25" s="64">
        <f t="shared" si="14"/>
        <v>360299.4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0</v>
      </c>
      <c r="AJ25" s="328">
        <f>-tanks!AW26</f>
        <v>0</v>
      </c>
      <c r="AK25" s="328">
        <f t="shared" si="25"/>
        <v>0</v>
      </c>
      <c r="AL25" s="328">
        <f t="shared" si="46"/>
        <v>0</v>
      </c>
      <c r="AM25" s="328">
        <f t="shared" si="26"/>
        <v>0</v>
      </c>
      <c r="AN25" s="64">
        <f t="shared" si="38"/>
        <v>66</v>
      </c>
      <c r="AO25" s="330">
        <f t="shared" si="27"/>
        <v>1980</v>
      </c>
      <c r="AP25" s="64">
        <f t="shared" si="39"/>
        <v>66</v>
      </c>
      <c r="AQ25" s="330">
        <f t="shared" ref="AQ25:AQ34" si="50">(AP25/100)*3000</f>
        <v>1980</v>
      </c>
      <c r="AR25" s="64">
        <f t="shared" si="41"/>
        <v>54</v>
      </c>
      <c r="AS25" s="330">
        <f t="shared" si="34"/>
        <v>1620</v>
      </c>
      <c r="AT25" s="330">
        <f t="shared" si="49"/>
        <v>5580</v>
      </c>
      <c r="AU25" s="330">
        <f t="shared" si="36"/>
        <v>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f t="shared" si="47"/>
        <v>192</v>
      </c>
      <c r="C26" s="64">
        <f t="shared" si="47"/>
        <v>198</v>
      </c>
      <c r="D26" s="45">
        <f t="shared" si="45"/>
        <v>0</v>
      </c>
      <c r="E26" s="45">
        <f t="shared" si="16"/>
        <v>0</v>
      </c>
      <c r="F26" s="64">
        <f t="shared" si="42"/>
        <v>1596</v>
      </c>
      <c r="G26" s="52">
        <f t="shared" si="1"/>
        <v>0</v>
      </c>
      <c r="H26" s="64">
        <f t="shared" si="42"/>
        <v>353837</v>
      </c>
      <c r="I26" s="409">
        <f t="shared" si="2"/>
        <v>0</v>
      </c>
      <c r="J26" s="66">
        <f t="shared" si="17"/>
        <v>0</v>
      </c>
      <c r="K26" s="64">
        <f t="shared" si="37"/>
        <v>2014</v>
      </c>
      <c r="L26" s="52">
        <f t="shared" si="3"/>
        <v>0</v>
      </c>
      <c r="M26" s="64">
        <f t="shared" si="4"/>
        <v>147690</v>
      </c>
      <c r="N26" s="409">
        <f t="shared" si="5"/>
        <v>0</v>
      </c>
      <c r="O26" s="67">
        <f t="shared" si="6"/>
        <v>0</v>
      </c>
      <c r="P26" s="64">
        <f t="shared" si="18"/>
        <v>1803</v>
      </c>
      <c r="Q26" s="64">
        <f t="shared" si="43"/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0</v>
      </c>
      <c r="V26" s="62">
        <f t="shared" si="20"/>
        <v>0</v>
      </c>
      <c r="W26" s="413"/>
      <c r="X26" s="64">
        <f t="shared" si="9"/>
        <v>2418</v>
      </c>
      <c r="Y26" s="52">
        <f t="shared" si="22"/>
        <v>0</v>
      </c>
      <c r="Z26" s="64">
        <f t="shared" si="10"/>
        <v>135964.1</v>
      </c>
      <c r="AA26" s="65">
        <f t="shared" si="11"/>
        <v>0</v>
      </c>
      <c r="AB26" s="294">
        <f t="shared" si="48"/>
        <v>0</v>
      </c>
      <c r="AC26" s="64">
        <f t="shared" si="12"/>
        <v>1848</v>
      </c>
      <c r="AD26" s="45">
        <f t="shared" si="13"/>
        <v>0</v>
      </c>
      <c r="AE26" s="64">
        <f t="shared" si="14"/>
        <v>360299.4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0</v>
      </c>
      <c r="AJ26" s="328">
        <f>-tanks!AW27</f>
        <v>0</v>
      </c>
      <c r="AK26" s="328">
        <f t="shared" si="25"/>
        <v>0</v>
      </c>
      <c r="AL26" s="328">
        <f t="shared" si="46"/>
        <v>0</v>
      </c>
      <c r="AM26" s="328">
        <f t="shared" si="26"/>
        <v>0</v>
      </c>
      <c r="AN26" s="64">
        <f t="shared" si="38"/>
        <v>66</v>
      </c>
      <c r="AO26" s="330">
        <f t="shared" si="27"/>
        <v>1980</v>
      </c>
      <c r="AP26" s="64">
        <f t="shared" si="39"/>
        <v>66</v>
      </c>
      <c r="AQ26" s="330">
        <f t="shared" si="50"/>
        <v>1980</v>
      </c>
      <c r="AR26" s="64">
        <f t="shared" si="41"/>
        <v>54</v>
      </c>
      <c r="AS26" s="330">
        <f t="shared" si="34"/>
        <v>1620</v>
      </c>
      <c r="AT26" s="330">
        <f t="shared" si="49"/>
        <v>5580</v>
      </c>
      <c r="AU26" s="330">
        <f t="shared" si="36"/>
        <v>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f t="shared" si="47"/>
        <v>192</v>
      </c>
      <c r="C27" s="64">
        <f t="shared" si="47"/>
        <v>198</v>
      </c>
      <c r="D27" s="45">
        <f t="shared" si="45"/>
        <v>0</v>
      </c>
      <c r="E27" s="45">
        <f t="shared" si="16"/>
        <v>0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64">
        <f t="shared" si="37"/>
        <v>2014</v>
      </c>
      <c r="L27" s="52">
        <f t="shared" si="3"/>
        <v>0</v>
      </c>
      <c r="M27" s="64">
        <f t="shared" si="4"/>
        <v>147690</v>
      </c>
      <c r="N27" s="409">
        <f t="shared" si="5"/>
        <v>0</v>
      </c>
      <c r="O27" s="67">
        <f t="shared" si="6"/>
        <v>0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0</v>
      </c>
      <c r="V27" s="62">
        <f t="shared" si="20"/>
        <v>0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8"/>
        <v>0</v>
      </c>
      <c r="AC27" s="64">
        <f t="shared" si="12"/>
        <v>1848</v>
      </c>
      <c r="AD27" s="45">
        <f t="shared" si="13"/>
        <v>0</v>
      </c>
      <c r="AE27" s="64">
        <f t="shared" si="14"/>
        <v>360299.4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0</v>
      </c>
      <c r="AJ27" s="328">
        <f>-tanks!AW28</f>
        <v>0</v>
      </c>
      <c r="AK27" s="328">
        <f t="shared" si="25"/>
        <v>0</v>
      </c>
      <c r="AL27" s="328">
        <f t="shared" si="46"/>
        <v>0</v>
      </c>
      <c r="AM27" s="328">
        <f t="shared" si="26"/>
        <v>0</v>
      </c>
      <c r="AN27" s="64">
        <f t="shared" si="38"/>
        <v>66</v>
      </c>
      <c r="AO27" s="330">
        <f>(AN27/100)*3000</f>
        <v>1980</v>
      </c>
      <c r="AP27" s="64">
        <f t="shared" si="39"/>
        <v>66</v>
      </c>
      <c r="AQ27" s="330">
        <f t="shared" si="50"/>
        <v>1980</v>
      </c>
      <c r="AR27" s="64">
        <f t="shared" si="41"/>
        <v>54</v>
      </c>
      <c r="AS27" s="330">
        <f t="shared" si="34"/>
        <v>1620</v>
      </c>
      <c r="AT27" s="330">
        <f t="shared" si="49"/>
        <v>5580</v>
      </c>
      <c r="AU27" s="330">
        <f t="shared" si="36"/>
        <v>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f t="shared" si="47"/>
        <v>192</v>
      </c>
      <c r="C28" s="64">
        <f t="shared" si="47"/>
        <v>198</v>
      </c>
      <c r="D28" s="45">
        <f t="shared" si="45"/>
        <v>0</v>
      </c>
      <c r="E28" s="45">
        <f t="shared" si="16"/>
        <v>0</v>
      </c>
      <c r="F28" s="64">
        <f t="shared" si="42"/>
        <v>1596</v>
      </c>
      <c r="G28" s="52">
        <f t="shared" si="1"/>
        <v>0</v>
      </c>
      <c r="H28" s="64">
        <f t="shared" si="42"/>
        <v>353837</v>
      </c>
      <c r="I28" s="409">
        <f t="shared" si="2"/>
        <v>0</v>
      </c>
      <c r="J28" s="66">
        <f t="shared" si="17"/>
        <v>0</v>
      </c>
      <c r="K28" s="64">
        <f t="shared" si="37"/>
        <v>2014</v>
      </c>
      <c r="L28" s="52">
        <f t="shared" si="3"/>
        <v>0</v>
      </c>
      <c r="M28" s="64">
        <f t="shared" si="4"/>
        <v>147690</v>
      </c>
      <c r="N28" s="409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3"/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0</v>
      </c>
      <c r="V28" s="62">
        <f t="shared" si="20"/>
        <v>0</v>
      </c>
      <c r="W28" s="413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4">
        <f t="shared" si="48"/>
        <v>0</v>
      </c>
      <c r="AC28" s="64">
        <f t="shared" si="12"/>
        <v>1848</v>
      </c>
      <c r="AD28" s="45">
        <f t="shared" si="13"/>
        <v>0</v>
      </c>
      <c r="AE28" s="64">
        <f t="shared" si="14"/>
        <v>360299.4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0</v>
      </c>
      <c r="AJ28" s="328">
        <f>-tanks!AW29</f>
        <v>0</v>
      </c>
      <c r="AK28" s="328">
        <f t="shared" si="25"/>
        <v>0</v>
      </c>
      <c r="AL28" s="328">
        <f t="shared" si="46"/>
        <v>0</v>
      </c>
      <c r="AM28" s="328">
        <f t="shared" si="26"/>
        <v>0</v>
      </c>
      <c r="AN28" s="64">
        <f t="shared" si="38"/>
        <v>66</v>
      </c>
      <c r="AO28" s="330">
        <f t="shared" ref="AO28:AO34" si="51">(AN28/100)*3000</f>
        <v>1980</v>
      </c>
      <c r="AP28" s="64">
        <f t="shared" si="39"/>
        <v>66</v>
      </c>
      <c r="AQ28" s="330">
        <f t="shared" si="50"/>
        <v>1980</v>
      </c>
      <c r="AR28" s="64">
        <f t="shared" si="41"/>
        <v>54</v>
      </c>
      <c r="AS28" s="330">
        <f t="shared" si="34"/>
        <v>1620</v>
      </c>
      <c r="AT28" s="330">
        <f t="shared" si="49"/>
        <v>5580</v>
      </c>
      <c r="AU28" s="330">
        <f t="shared" si="36"/>
        <v>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f t="shared" si="47"/>
        <v>192</v>
      </c>
      <c r="C29" s="64">
        <f t="shared" si="47"/>
        <v>198</v>
      </c>
      <c r="D29" s="45">
        <f t="shared" si="45"/>
        <v>0</v>
      </c>
      <c r="E29" s="45">
        <f t="shared" si="16"/>
        <v>0</v>
      </c>
      <c r="F29" s="64">
        <f t="shared" si="42"/>
        <v>1596</v>
      </c>
      <c r="G29" s="52">
        <f t="shared" si="1"/>
        <v>0</v>
      </c>
      <c r="H29" s="64">
        <f t="shared" si="42"/>
        <v>353837</v>
      </c>
      <c r="I29" s="409">
        <f t="shared" si="2"/>
        <v>0</v>
      </c>
      <c r="J29" s="66">
        <f t="shared" si="17"/>
        <v>0</v>
      </c>
      <c r="K29" s="64">
        <f t="shared" si="37"/>
        <v>2014</v>
      </c>
      <c r="L29" s="52">
        <f t="shared" si="3"/>
        <v>0</v>
      </c>
      <c r="M29" s="64">
        <f t="shared" si="4"/>
        <v>147690</v>
      </c>
      <c r="N29" s="409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0</v>
      </c>
      <c r="V29" s="62">
        <f t="shared" si="20"/>
        <v>0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8"/>
        <v>0</v>
      </c>
      <c r="AC29" s="64">
        <f t="shared" si="12"/>
        <v>1848</v>
      </c>
      <c r="AD29" s="45">
        <f t="shared" si="13"/>
        <v>0</v>
      </c>
      <c r="AE29" s="64">
        <f t="shared" si="14"/>
        <v>360299.4</v>
      </c>
      <c r="AF29" s="316">
        <f t="shared" si="23"/>
        <v>0</v>
      </c>
      <c r="AG29" s="213">
        <f t="shared" si="32"/>
        <v>0</v>
      </c>
      <c r="AH29" s="62">
        <f t="shared" si="33"/>
        <v>0</v>
      </c>
      <c r="AI29" s="328">
        <f t="shared" si="24"/>
        <v>0</v>
      </c>
      <c r="AJ29" s="328">
        <f>-tanks!AW30</f>
        <v>0</v>
      </c>
      <c r="AK29" s="328">
        <f t="shared" si="25"/>
        <v>0</v>
      </c>
      <c r="AL29" s="328">
        <f t="shared" si="46"/>
        <v>0</v>
      </c>
      <c r="AM29" s="328">
        <f t="shared" si="26"/>
        <v>0</v>
      </c>
      <c r="AN29" s="64">
        <f t="shared" si="38"/>
        <v>66</v>
      </c>
      <c r="AO29" s="330">
        <f t="shared" si="51"/>
        <v>1980</v>
      </c>
      <c r="AP29" s="64">
        <f t="shared" si="39"/>
        <v>66</v>
      </c>
      <c r="AQ29" s="330">
        <f t="shared" si="50"/>
        <v>1980</v>
      </c>
      <c r="AR29" s="64">
        <f t="shared" si="41"/>
        <v>54</v>
      </c>
      <c r="AS29" s="330">
        <f t="shared" si="34"/>
        <v>1620</v>
      </c>
      <c r="AT29" s="330">
        <f>SUM(AO29+AQ29+AS29)</f>
        <v>5580</v>
      </c>
      <c r="AU29" s="330">
        <f>AT28-AT29+AV29</f>
        <v>0</v>
      </c>
      <c r="AV29" s="276"/>
      <c r="AW29" s="276"/>
      <c r="AX29" s="323">
        <f t="shared" si="29"/>
        <v>0.7</v>
      </c>
    </row>
    <row r="30" spans="1:50">
      <c r="A30" s="63">
        <f>ELEC!C28</f>
        <v>44008</v>
      </c>
      <c r="B30" s="64">
        <f t="shared" si="47"/>
        <v>192</v>
      </c>
      <c r="C30" s="64">
        <f t="shared" si="47"/>
        <v>198</v>
      </c>
      <c r="D30" s="45">
        <f t="shared" si="45"/>
        <v>0</v>
      </c>
      <c r="E30" s="45">
        <f t="shared" si="16"/>
        <v>0</v>
      </c>
      <c r="F30" s="64">
        <f t="shared" si="42"/>
        <v>1596</v>
      </c>
      <c r="G30" s="52">
        <f t="shared" si="1"/>
        <v>0</v>
      </c>
      <c r="H30" s="64">
        <f t="shared" si="42"/>
        <v>353837</v>
      </c>
      <c r="I30" s="409">
        <f t="shared" si="2"/>
        <v>0</v>
      </c>
      <c r="J30" s="66">
        <f t="shared" si="17"/>
        <v>0</v>
      </c>
      <c r="K30" s="64">
        <f t="shared" si="37"/>
        <v>2014</v>
      </c>
      <c r="L30" s="52">
        <f t="shared" si="3"/>
        <v>0</v>
      </c>
      <c r="M30" s="64">
        <f t="shared" si="4"/>
        <v>147690</v>
      </c>
      <c r="N30" s="409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3"/>
        <v>152974</v>
      </c>
      <c r="R30" s="408">
        <f t="shared" si="40"/>
        <v>0</v>
      </c>
      <c r="S30" s="52">
        <f t="shared" si="8"/>
        <v>0</v>
      </c>
      <c r="T30" s="68">
        <f t="shared" si="30"/>
        <v>0</v>
      </c>
      <c r="U30" s="415">
        <f t="shared" si="19"/>
        <v>0</v>
      </c>
      <c r="V30" s="62">
        <f t="shared" si="20"/>
        <v>0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8"/>
        <v>0</v>
      </c>
      <c r="AC30" s="64">
        <f t="shared" si="12"/>
        <v>1848</v>
      </c>
      <c r="AD30" s="45">
        <f t="shared" si="13"/>
        <v>0</v>
      </c>
      <c r="AE30" s="64">
        <f t="shared" si="14"/>
        <v>360299.4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0</v>
      </c>
      <c r="AJ30" s="328">
        <f>-tanks!AW31</f>
        <v>0</v>
      </c>
      <c r="AK30" s="328">
        <f t="shared" si="25"/>
        <v>0</v>
      </c>
      <c r="AL30" s="328">
        <f t="shared" si="46"/>
        <v>0</v>
      </c>
      <c r="AM30" s="328">
        <f t="shared" si="26"/>
        <v>0</v>
      </c>
      <c r="AN30" s="64">
        <f t="shared" si="38"/>
        <v>66</v>
      </c>
      <c r="AO30" s="330">
        <f t="shared" si="51"/>
        <v>1980</v>
      </c>
      <c r="AP30" s="64">
        <f t="shared" si="39"/>
        <v>66</v>
      </c>
      <c r="AQ30" s="330">
        <f t="shared" si="50"/>
        <v>1980</v>
      </c>
      <c r="AR30" s="64">
        <f t="shared" si="41"/>
        <v>54</v>
      </c>
      <c r="AS30" s="330">
        <f t="shared" si="34"/>
        <v>1620</v>
      </c>
      <c r="AT30" s="330">
        <f t="shared" si="49"/>
        <v>5580</v>
      </c>
      <c r="AU30" s="330">
        <f t="shared" si="36"/>
        <v>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f t="shared" si="47"/>
        <v>192</v>
      </c>
      <c r="C31" s="64">
        <f t="shared" si="47"/>
        <v>198</v>
      </c>
      <c r="D31" s="45">
        <f t="shared" si="45"/>
        <v>0</v>
      </c>
      <c r="E31" s="45">
        <f t="shared" si="16"/>
        <v>0</v>
      </c>
      <c r="F31" s="64">
        <f t="shared" si="42"/>
        <v>1596</v>
      </c>
      <c r="G31" s="52">
        <f t="shared" si="1"/>
        <v>0</v>
      </c>
      <c r="H31" s="64">
        <f t="shared" si="42"/>
        <v>353837</v>
      </c>
      <c r="I31" s="409">
        <f t="shared" si="2"/>
        <v>0</v>
      </c>
      <c r="J31" s="66">
        <f t="shared" si="17"/>
        <v>0</v>
      </c>
      <c r="K31" s="64">
        <f t="shared" si="37"/>
        <v>2014</v>
      </c>
      <c r="L31" s="52">
        <f t="shared" si="3"/>
        <v>0</v>
      </c>
      <c r="M31" s="64">
        <f t="shared" si="4"/>
        <v>147690</v>
      </c>
      <c r="N31" s="409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3"/>
        <v>152974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0</v>
      </c>
      <c r="V31" s="62">
        <f t="shared" si="20"/>
        <v>0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8"/>
        <v>0</v>
      </c>
      <c r="AC31" s="64">
        <f t="shared" si="12"/>
        <v>1848</v>
      </c>
      <c r="AD31" s="276">
        <f t="shared" si="13"/>
        <v>0</v>
      </c>
      <c r="AE31" s="64">
        <f t="shared" si="14"/>
        <v>360299.4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0</v>
      </c>
      <c r="AJ31" s="328">
        <f>-tanks!AW32</f>
        <v>0</v>
      </c>
      <c r="AK31" s="328">
        <f t="shared" si="25"/>
        <v>0</v>
      </c>
      <c r="AL31" s="328">
        <f t="shared" si="46"/>
        <v>0</v>
      </c>
      <c r="AM31" s="328">
        <f t="shared" si="26"/>
        <v>0</v>
      </c>
      <c r="AN31" s="64">
        <f t="shared" si="38"/>
        <v>66</v>
      </c>
      <c r="AO31" s="330">
        <f t="shared" si="51"/>
        <v>1980</v>
      </c>
      <c r="AP31" s="64">
        <f t="shared" si="39"/>
        <v>66</v>
      </c>
      <c r="AQ31" s="330">
        <f t="shared" si="50"/>
        <v>1980</v>
      </c>
      <c r="AR31" s="64">
        <f t="shared" si="41"/>
        <v>54</v>
      </c>
      <c r="AS31" s="330">
        <f t="shared" si="34"/>
        <v>1620</v>
      </c>
      <c r="AT31" s="330">
        <f t="shared" si="49"/>
        <v>5580</v>
      </c>
      <c r="AU31" s="330">
        <f t="shared" si="36"/>
        <v>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f t="shared" si="47"/>
        <v>192</v>
      </c>
      <c r="C32" s="64">
        <f t="shared" si="47"/>
        <v>198</v>
      </c>
      <c r="D32" s="45">
        <f t="shared" si="0"/>
        <v>0</v>
      </c>
      <c r="E32" s="45">
        <f t="shared" ref="E32:E34" si="52">D32*8.38</f>
        <v>0</v>
      </c>
      <c r="F32" s="64">
        <f t="shared" si="42"/>
        <v>1596</v>
      </c>
      <c r="G32" s="52">
        <f t="shared" si="1"/>
        <v>0</v>
      </c>
      <c r="H32" s="64">
        <f t="shared" si="42"/>
        <v>353837</v>
      </c>
      <c r="I32" s="409">
        <f t="shared" si="2"/>
        <v>0</v>
      </c>
      <c r="J32" s="66">
        <f t="shared" si="17"/>
        <v>0</v>
      </c>
      <c r="K32" s="64">
        <f t="shared" si="37"/>
        <v>2014</v>
      </c>
      <c r="L32" s="52">
        <f t="shared" si="3"/>
        <v>0</v>
      </c>
      <c r="M32" s="64">
        <f t="shared" si="4"/>
        <v>147690</v>
      </c>
      <c r="N32" s="409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3"/>
        <v>152974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0</v>
      </c>
      <c r="V32" s="62">
        <f t="shared" si="20"/>
        <v>0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8"/>
        <v>0</v>
      </c>
      <c r="AC32" s="64">
        <f t="shared" si="12"/>
        <v>1848</v>
      </c>
      <c r="AD32" s="276">
        <f t="shared" si="13"/>
        <v>0</v>
      </c>
      <c r="AE32" s="64">
        <f t="shared" si="14"/>
        <v>360299.4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0</v>
      </c>
      <c r="AJ32" s="328">
        <f>-tanks!AW33</f>
        <v>0</v>
      </c>
      <c r="AK32" s="328">
        <f t="shared" si="25"/>
        <v>0</v>
      </c>
      <c r="AL32" s="328">
        <f t="shared" si="46"/>
        <v>0</v>
      </c>
      <c r="AM32" s="328">
        <f t="shared" si="26"/>
        <v>0</v>
      </c>
      <c r="AN32" s="64">
        <f t="shared" si="38"/>
        <v>66</v>
      </c>
      <c r="AO32" s="330">
        <f t="shared" si="51"/>
        <v>1980</v>
      </c>
      <c r="AP32" s="64">
        <f t="shared" si="39"/>
        <v>66</v>
      </c>
      <c r="AQ32" s="330">
        <f t="shared" si="50"/>
        <v>1980</v>
      </c>
      <c r="AR32" s="64">
        <f t="shared" si="41"/>
        <v>54</v>
      </c>
      <c r="AS32" s="330">
        <f t="shared" si="34"/>
        <v>1620</v>
      </c>
      <c r="AT32" s="330">
        <f t="shared" si="49"/>
        <v>5580</v>
      </c>
      <c r="AU32" s="330">
        <f t="shared" si="36"/>
        <v>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si="47"/>
        <v>192</v>
      </c>
      <c r="C33" s="64">
        <f t="shared" si="47"/>
        <v>198</v>
      </c>
      <c r="D33" s="45">
        <f t="shared" si="0"/>
        <v>0</v>
      </c>
      <c r="E33" s="45">
        <f t="shared" si="52"/>
        <v>0</v>
      </c>
      <c r="F33" s="64">
        <f t="shared" si="42"/>
        <v>1596</v>
      </c>
      <c r="G33" s="52">
        <f t="shared" si="1"/>
        <v>0</v>
      </c>
      <c r="H33" s="64">
        <f t="shared" si="42"/>
        <v>353837</v>
      </c>
      <c r="I33" s="409">
        <f t="shared" si="2"/>
        <v>0</v>
      </c>
      <c r="J33" s="66">
        <f t="shared" si="17"/>
        <v>0</v>
      </c>
      <c r="K33" s="64">
        <f t="shared" si="37"/>
        <v>2014</v>
      </c>
      <c r="L33" s="52">
        <f t="shared" si="3"/>
        <v>0</v>
      </c>
      <c r="M33" s="64">
        <f t="shared" si="4"/>
        <v>147690</v>
      </c>
      <c r="N33" s="409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3"/>
        <v>152974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8"/>
        <v>0</v>
      </c>
      <c r="AC33" s="64">
        <f t="shared" si="12"/>
        <v>1848</v>
      </c>
      <c r="AD33" s="45">
        <f t="shared" si="13"/>
        <v>0</v>
      </c>
      <c r="AE33" s="64">
        <f t="shared" si="14"/>
        <v>360299.4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6"/>
        <v>0</v>
      </c>
      <c r="AM33" s="328">
        <f t="shared" si="26"/>
        <v>0</v>
      </c>
      <c r="AN33" s="64">
        <f t="shared" si="38"/>
        <v>66</v>
      </c>
      <c r="AO33" s="330">
        <f t="shared" si="51"/>
        <v>1980</v>
      </c>
      <c r="AP33" s="64">
        <f t="shared" si="39"/>
        <v>66</v>
      </c>
      <c r="AQ33" s="330">
        <f t="shared" si="50"/>
        <v>1980</v>
      </c>
      <c r="AR33" s="64">
        <f t="shared" si="41"/>
        <v>54</v>
      </c>
      <c r="AS33" s="330">
        <f t="shared" si="34"/>
        <v>1620</v>
      </c>
      <c r="AT33" s="330">
        <f t="shared" si="49"/>
        <v>5580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47"/>
        <v>192</v>
      </c>
      <c r="C34" s="64">
        <f t="shared" si="47"/>
        <v>198</v>
      </c>
      <c r="D34" s="45">
        <f t="shared" si="0"/>
        <v>0</v>
      </c>
      <c r="E34" s="45">
        <f t="shared" si="52"/>
        <v>0</v>
      </c>
      <c r="F34" s="64">
        <f t="shared" si="42"/>
        <v>1596</v>
      </c>
      <c r="G34" s="52">
        <f t="shared" si="1"/>
        <v>0</v>
      </c>
      <c r="H34" s="64">
        <f t="shared" si="42"/>
        <v>353837</v>
      </c>
      <c r="I34" s="409">
        <f t="shared" si="2"/>
        <v>0</v>
      </c>
      <c r="J34" s="66">
        <f t="shared" si="17"/>
        <v>0</v>
      </c>
      <c r="K34" s="64">
        <f t="shared" si="37"/>
        <v>2014</v>
      </c>
      <c r="L34" s="52">
        <f t="shared" si="3"/>
        <v>0</v>
      </c>
      <c r="M34" s="64">
        <f t="shared" si="4"/>
        <v>147690</v>
      </c>
      <c r="N34" s="409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3"/>
        <v>152974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8"/>
        <v>0</v>
      </c>
      <c r="AC34" s="64">
        <f t="shared" si="12"/>
        <v>1848</v>
      </c>
      <c r="AD34" s="45">
        <f t="shared" si="13"/>
        <v>0</v>
      </c>
      <c r="AE34" s="64">
        <f t="shared" si="14"/>
        <v>360299.4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6"/>
        <v>0</v>
      </c>
      <c r="AM34" s="328">
        <f>Y34+AD34</f>
        <v>0</v>
      </c>
      <c r="AN34" s="64">
        <f t="shared" si="38"/>
        <v>66</v>
      </c>
      <c r="AO34" s="330">
        <f t="shared" si="51"/>
        <v>1980</v>
      </c>
      <c r="AP34" s="64">
        <f t="shared" si="39"/>
        <v>66</v>
      </c>
      <c r="AQ34" s="330">
        <f t="shared" si="50"/>
        <v>1980</v>
      </c>
      <c r="AR34" s="64">
        <f t="shared" si="41"/>
        <v>54</v>
      </c>
      <c r="AS34" s="330">
        <f t="shared" si="34"/>
        <v>1620</v>
      </c>
      <c r="AT34" s="330">
        <f t="shared" si="49"/>
        <v>5580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70.44047619047619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1</v>
      </c>
      <c r="AT35" s="323"/>
      <c r="AU35" s="323">
        <f>SUM(AU5:AU34)</f>
        <v>2120</v>
      </c>
      <c r="AV35" s="72">
        <f>SUM(AV5:AV34)</f>
        <v>1100</v>
      </c>
      <c r="AW35" s="323">
        <f>SUM(AW5:AW34)/AS35</f>
        <v>0.7</v>
      </c>
    </row>
    <row r="36" spans="1:50">
      <c r="AH36" s="62">
        <f>AF36+AA36</f>
        <v>0</v>
      </c>
      <c r="AI36" s="331">
        <f>SUM(AI5:AI34)</f>
        <v>6442.1000000000058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1081.2</v>
      </c>
      <c r="AV37" s="323">
        <f>AV35/0.51</f>
        <v>2156.8627450980393</v>
      </c>
      <c r="AW37" s="323">
        <f>SUM(AW5:AW34)/AS35</f>
        <v>0.7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561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P1" zoomScaleNormal="100" workbookViewId="0">
      <pane ySplit="3" topLeftCell="A9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8997435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17" t="s">
        <v>95</v>
      </c>
      <c r="AS2" s="618"/>
      <c r="AT2" s="618"/>
      <c r="AU2" s="618"/>
      <c r="AV2" s="619"/>
      <c r="AW2" s="617" t="s">
        <v>96</v>
      </c>
      <c r="AX2" s="618"/>
      <c r="AY2" s="619"/>
      <c r="AZ2" s="617" t="s">
        <v>98</v>
      </c>
      <c r="BA2" s="618"/>
      <c r="BB2" s="619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14" t="s">
        <v>126</v>
      </c>
      <c r="AO3" s="615"/>
      <c r="AP3" s="616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7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6280</v>
      </c>
      <c r="L20" s="84">
        <f t="shared" si="33"/>
        <v>2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v>4861</v>
      </c>
      <c r="U20" s="5">
        <f t="shared" si="4"/>
        <v>2</v>
      </c>
      <c r="V20" s="5">
        <v>409</v>
      </c>
      <c r="W20" s="334">
        <f t="shared" si="17"/>
        <v>1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v>159.22</v>
      </c>
      <c r="AF20" s="84">
        <f t="shared" si="21"/>
        <v>0.19999999999998863</v>
      </c>
      <c r="AG20" s="5">
        <v>1647</v>
      </c>
      <c r="AH20" s="84">
        <f t="shared" si="22"/>
        <v>3</v>
      </c>
      <c r="AI20" s="84">
        <f t="shared" si="23"/>
        <v>3.1999999999999886</v>
      </c>
      <c r="AJ20" s="336">
        <f t="shared" si="24"/>
        <v>0</v>
      </c>
      <c r="AK20" s="337">
        <f t="shared" si="5"/>
        <v>-2</v>
      </c>
      <c r="AL20" s="337">
        <f t="shared" si="25"/>
        <v>-1</v>
      </c>
      <c r="AM20" s="337">
        <f>'General information '!D20</f>
        <v>23</v>
      </c>
      <c r="AN20" s="85">
        <f>'General information '!H20</f>
        <v>0</v>
      </c>
      <c r="AO20" s="85"/>
      <c r="AP20" s="85">
        <f>'General information '!J20</f>
        <v>158</v>
      </c>
      <c r="AQ20" s="82"/>
      <c r="AR20" s="285">
        <f t="shared" si="26"/>
        <v>43997</v>
      </c>
      <c r="AS20" s="438">
        <f t="shared" si="6"/>
        <v>0.9</v>
      </c>
      <c r="AT20" s="205">
        <v>161</v>
      </c>
      <c r="AU20" s="439">
        <f t="shared" si="34"/>
        <v>1.1000000000000001</v>
      </c>
      <c r="AV20" s="205">
        <v>66</v>
      </c>
      <c r="AW20" s="5">
        <v>2.9</v>
      </c>
      <c r="AX20" s="205">
        <v>89</v>
      </c>
      <c r="AY20" s="442">
        <f t="shared" si="7"/>
        <v>144.9</v>
      </c>
      <c r="AZ20" s="442">
        <f t="shared" si="27"/>
        <v>72.600000000000009</v>
      </c>
      <c r="BA20" s="442">
        <f t="shared" si="28"/>
        <v>258.09999999999997</v>
      </c>
      <c r="BB20" s="21">
        <f t="shared" si="29"/>
        <v>-14.400000000000006</v>
      </c>
      <c r="BC20" s="21">
        <f t="shared" si="30"/>
        <v>-25.299999999999997</v>
      </c>
      <c r="BD20" s="21">
        <f t="shared" si="30"/>
        <v>-20.300000000000011</v>
      </c>
      <c r="BE20" s="24">
        <f t="shared" si="31"/>
        <v>-60.000000000000014</v>
      </c>
      <c r="BF20" s="97">
        <f t="shared" si="8"/>
        <v>60.000000000000014</v>
      </c>
      <c r="BG20" s="83">
        <f t="shared" si="9"/>
        <v>-60.000000000000014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v>599829</v>
      </c>
      <c r="H21" s="5">
        <f t="shared" si="14"/>
        <v>80</v>
      </c>
      <c r="I21" s="5">
        <f t="shared" si="0"/>
        <v>80</v>
      </c>
      <c r="J21" s="344">
        <f t="shared" si="1"/>
        <v>3.125</v>
      </c>
      <c r="K21" s="5">
        <f>'Swimming Pool quality check '!H21</f>
        <v>6288</v>
      </c>
      <c r="L21" s="84">
        <f t="shared" si="33"/>
        <v>8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v>4864</v>
      </c>
      <c r="U21" s="5">
        <f t="shared" si="4"/>
        <v>3</v>
      </c>
      <c r="V21" s="5">
        <f t="shared" si="18"/>
        <v>409</v>
      </c>
      <c r="W21" s="334">
        <f t="shared" si="17"/>
        <v>0</v>
      </c>
      <c r="X21" s="5">
        <v>143985</v>
      </c>
      <c r="Y21" s="334">
        <f>SUM(X21-X20)</f>
        <v>2</v>
      </c>
      <c r="Z21" s="5">
        <v>95030</v>
      </c>
      <c r="AA21" s="84">
        <f t="shared" si="20"/>
        <v>19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159.22</v>
      </c>
      <c r="AF21" s="84">
        <f t="shared" si="21"/>
        <v>0</v>
      </c>
      <c r="AG21" s="5">
        <f t="shared" si="18"/>
        <v>1647</v>
      </c>
      <c r="AH21" s="84">
        <f t="shared" si="22"/>
        <v>0</v>
      </c>
      <c r="AI21" s="84">
        <f t="shared" si="23"/>
        <v>0</v>
      </c>
      <c r="AJ21" s="336">
        <f t="shared" si="24"/>
        <v>19</v>
      </c>
      <c r="AK21" s="337">
        <f t="shared" si="5"/>
        <v>-6</v>
      </c>
      <c r="AL21" s="337">
        <f t="shared" si="25"/>
        <v>19</v>
      </c>
      <c r="AM21" s="337">
        <f>'General information '!D21</f>
        <v>23.5</v>
      </c>
      <c r="AN21" s="85">
        <f>'General information '!H21</f>
        <v>0</v>
      </c>
      <c r="AO21" s="85"/>
      <c r="AP21" s="85">
        <f>'General information '!J21</f>
        <v>228</v>
      </c>
      <c r="AQ21" s="82"/>
      <c r="AR21" s="285">
        <f t="shared" si="26"/>
        <v>43998</v>
      </c>
      <c r="AS21" s="438">
        <f t="shared" si="6"/>
        <v>0.9</v>
      </c>
      <c r="AT21" s="205">
        <v>163</v>
      </c>
      <c r="AU21" s="439">
        <f t="shared" si="34"/>
        <v>1.1000000000000001</v>
      </c>
      <c r="AV21" s="205">
        <v>80</v>
      </c>
      <c r="AW21" s="5">
        <v>2.9</v>
      </c>
      <c r="AX21" s="205">
        <v>79</v>
      </c>
      <c r="AY21" s="442">
        <f t="shared" si="7"/>
        <v>146.70000000000002</v>
      </c>
      <c r="AZ21" s="442">
        <f t="shared" si="27"/>
        <v>88</v>
      </c>
      <c r="BA21" s="442">
        <f t="shared" si="28"/>
        <v>229.1</v>
      </c>
      <c r="BB21" s="21">
        <f t="shared" si="29"/>
        <v>1.8000000000000114</v>
      </c>
      <c r="BC21" s="21">
        <f t="shared" si="30"/>
        <v>15.399999999999991</v>
      </c>
      <c r="BD21" s="21">
        <f t="shared" si="30"/>
        <v>-28.999999999999972</v>
      </c>
      <c r="BE21" s="24">
        <f t="shared" si="31"/>
        <v>-11.799999999999969</v>
      </c>
      <c r="BF21" s="97">
        <f t="shared" si="8"/>
        <v>91.799999999999969</v>
      </c>
      <c r="BG21" s="83">
        <f t="shared" si="9"/>
        <v>-11.799999999999969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599829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6292</v>
      </c>
      <c r="L22" s="84">
        <f t="shared" si="33"/>
        <v>4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4864</v>
      </c>
      <c r="U22" s="5">
        <f t="shared" si="4"/>
        <v>0</v>
      </c>
      <c r="V22" s="5">
        <f t="shared" si="18"/>
        <v>409</v>
      </c>
      <c r="W22" s="334">
        <f t="shared" si="17"/>
        <v>0</v>
      </c>
      <c r="X22" s="723">
        <v>144119</v>
      </c>
      <c r="Y22" s="334">
        <f t="shared" si="19"/>
        <v>134</v>
      </c>
      <c r="Z22" s="5">
        <v>95078</v>
      </c>
      <c r="AA22" s="84">
        <f t="shared" si="20"/>
        <v>48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159.22</v>
      </c>
      <c r="AF22" s="84">
        <f t="shared" si="21"/>
        <v>0</v>
      </c>
      <c r="AG22" s="5">
        <v>1649</v>
      </c>
      <c r="AH22" s="84">
        <f t="shared" si="22"/>
        <v>2</v>
      </c>
      <c r="AI22" s="84">
        <f t="shared" si="23"/>
        <v>2</v>
      </c>
      <c r="AJ22" s="336">
        <f t="shared" si="24"/>
        <v>48</v>
      </c>
      <c r="AK22" s="337">
        <f t="shared" si="5"/>
        <v>130</v>
      </c>
      <c r="AL22" s="337">
        <f t="shared" si="25"/>
        <v>48</v>
      </c>
      <c r="AM22" s="337">
        <f>'General information '!D22</f>
        <v>24.5</v>
      </c>
      <c r="AN22" s="85">
        <f>'General information '!H22</f>
        <v>0</v>
      </c>
      <c r="AO22" s="85"/>
      <c r="AP22" s="85">
        <f>'General information '!J22</f>
        <v>234</v>
      </c>
      <c r="AR22" s="285">
        <f t="shared" si="26"/>
        <v>43999</v>
      </c>
      <c r="AS22" s="438">
        <f t="shared" ref="AS22:AT35" si="38">AS21</f>
        <v>0.9</v>
      </c>
      <c r="AT22" s="205">
        <v>0</v>
      </c>
      <c r="AU22" s="439">
        <f t="shared" si="34"/>
        <v>1.1000000000000001</v>
      </c>
      <c r="AV22" s="205">
        <v>105</v>
      </c>
      <c r="AW22" s="5">
        <v>2.9</v>
      </c>
      <c r="AX22" s="205">
        <v>100</v>
      </c>
      <c r="AY22" s="442">
        <f t="shared" si="7"/>
        <v>0</v>
      </c>
      <c r="AZ22" s="442">
        <f t="shared" si="27"/>
        <v>115.50000000000001</v>
      </c>
      <c r="BA22" s="442">
        <f t="shared" si="28"/>
        <v>290</v>
      </c>
      <c r="BB22" s="21">
        <f>AY22-AY21</f>
        <v>-146.70000000000002</v>
      </c>
      <c r="BC22" s="21">
        <f t="shared" si="29"/>
        <v>27.500000000000014</v>
      </c>
      <c r="BD22" s="21">
        <f t="shared" si="29"/>
        <v>60.900000000000006</v>
      </c>
      <c r="BE22" s="24">
        <f t="shared" si="31"/>
        <v>-58.3</v>
      </c>
      <c r="BF22" s="97">
        <f t="shared" si="8"/>
        <v>58.3</v>
      </c>
      <c r="BG22" s="83">
        <f t="shared" si="9"/>
        <v>-58.3</v>
      </c>
    </row>
    <row r="23" spans="1:61" ht="15.75" thickBot="1">
      <c r="A23" s="6">
        <f>ELEC!C20</f>
        <v>44000</v>
      </c>
      <c r="B23" s="5">
        <f t="shared" si="10"/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f t="shared" si="13"/>
        <v>599829</v>
      </c>
      <c r="H23" s="5">
        <f t="shared" si="14"/>
        <v>0</v>
      </c>
      <c r="I23" s="5">
        <f t="shared" si="0"/>
        <v>0</v>
      </c>
      <c r="J23" s="344">
        <f t="shared" si="1"/>
        <v>0</v>
      </c>
      <c r="K23" s="5">
        <f>'Swimming Pool quality check '!H23</f>
        <v>6292</v>
      </c>
      <c r="L23" s="282">
        <f t="shared" si="33"/>
        <v>0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f t="shared" si="18"/>
        <v>4864</v>
      </c>
      <c r="U23" s="5">
        <f t="shared" si="4"/>
        <v>0</v>
      </c>
      <c r="V23" s="5">
        <f t="shared" si="18"/>
        <v>409</v>
      </c>
      <c r="W23" s="334">
        <f t="shared" si="17"/>
        <v>0</v>
      </c>
      <c r="X23" s="5">
        <f t="shared" si="18"/>
        <v>144119</v>
      </c>
      <c r="Y23" s="334">
        <f t="shared" si="19"/>
        <v>0</v>
      </c>
      <c r="Z23" s="5">
        <f t="shared" si="18"/>
        <v>95078</v>
      </c>
      <c r="AA23" s="84">
        <f t="shared" si="20"/>
        <v>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f t="shared" si="18"/>
        <v>159.22</v>
      </c>
      <c r="AF23" s="84">
        <f t="shared" si="21"/>
        <v>0</v>
      </c>
      <c r="AG23" s="5">
        <f t="shared" si="18"/>
        <v>1649</v>
      </c>
      <c r="AH23" s="84">
        <f t="shared" si="22"/>
        <v>0</v>
      </c>
      <c r="AI23" s="84">
        <f t="shared" si="23"/>
        <v>0</v>
      </c>
      <c r="AJ23" s="336">
        <f t="shared" si="24"/>
        <v>0</v>
      </c>
      <c r="AK23" s="337">
        <f t="shared" si="5"/>
        <v>0</v>
      </c>
      <c r="AL23" s="337">
        <f t="shared" si="25"/>
        <v>0</v>
      </c>
      <c r="AM23" s="337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5">
        <f t="shared" si="26"/>
        <v>44000</v>
      </c>
      <c r="AS23" s="438">
        <f t="shared" si="38"/>
        <v>0.9</v>
      </c>
      <c r="AT23" s="205">
        <f t="shared" si="38"/>
        <v>0</v>
      </c>
      <c r="AU23" s="439">
        <f t="shared" si="34"/>
        <v>1.1000000000000001</v>
      </c>
      <c r="AV23" s="205">
        <f t="shared" si="34"/>
        <v>105</v>
      </c>
      <c r="AW23" s="5">
        <v>2.9</v>
      </c>
      <c r="AX23" s="205">
        <f t="shared" ref="AX23" si="39">AX22</f>
        <v>100</v>
      </c>
      <c r="AY23" s="442">
        <f t="shared" si="7"/>
        <v>0</v>
      </c>
      <c r="AZ23" s="442">
        <f t="shared" si="27"/>
        <v>115.50000000000001</v>
      </c>
      <c r="BA23" s="442">
        <f t="shared" si="28"/>
        <v>290</v>
      </c>
      <c r="BB23" s="21">
        <f t="shared" si="29"/>
        <v>0</v>
      </c>
      <c r="BC23" s="21">
        <f t="shared" si="29"/>
        <v>0</v>
      </c>
      <c r="BD23" s="21">
        <f t="shared" si="29"/>
        <v>0</v>
      </c>
      <c r="BE23" s="24">
        <f t="shared" si="31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599829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6292</v>
      </c>
      <c r="L24" s="282">
        <f t="shared" si="33"/>
        <v>0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f t="shared" si="18"/>
        <v>4864</v>
      </c>
      <c r="U24" s="5">
        <f t="shared" si="4"/>
        <v>0</v>
      </c>
      <c r="V24" s="5">
        <f t="shared" si="18"/>
        <v>409</v>
      </c>
      <c r="W24" s="334">
        <f t="shared" si="17"/>
        <v>0</v>
      </c>
      <c r="X24" s="5">
        <f t="shared" si="18"/>
        <v>144119</v>
      </c>
      <c r="Y24" s="334">
        <f t="shared" si="19"/>
        <v>0</v>
      </c>
      <c r="Z24" s="5">
        <f t="shared" si="18"/>
        <v>95078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159.22</v>
      </c>
      <c r="AF24" s="84">
        <f t="shared" si="21"/>
        <v>0</v>
      </c>
      <c r="AG24" s="5">
        <f t="shared" si="18"/>
        <v>1649</v>
      </c>
      <c r="AH24" s="84">
        <f t="shared" si="22"/>
        <v>0</v>
      </c>
      <c r="AI24" s="84">
        <f t="shared" si="23"/>
        <v>0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5">
        <f t="shared" si="26"/>
        <v>44001</v>
      </c>
      <c r="AS24" s="438">
        <f t="shared" si="38"/>
        <v>0.9</v>
      </c>
      <c r="AT24" s="205">
        <f t="shared" si="38"/>
        <v>0</v>
      </c>
      <c r="AU24" s="439">
        <f t="shared" si="34"/>
        <v>1.1000000000000001</v>
      </c>
      <c r="AV24" s="205">
        <f t="shared" si="34"/>
        <v>105</v>
      </c>
      <c r="AW24" s="5">
        <v>2.9</v>
      </c>
      <c r="AX24" s="205">
        <f t="shared" ref="AX24" si="40">AX23</f>
        <v>100</v>
      </c>
      <c r="AY24" s="442">
        <f t="shared" si="7"/>
        <v>0</v>
      </c>
      <c r="AZ24" s="442">
        <f t="shared" si="27"/>
        <v>115.50000000000001</v>
      </c>
      <c r="BA24" s="442">
        <f t="shared" si="28"/>
        <v>290</v>
      </c>
      <c r="BB24" s="21">
        <f t="shared" si="29"/>
        <v>0</v>
      </c>
      <c r="BC24" s="21">
        <f t="shared" si="29"/>
        <v>0</v>
      </c>
      <c r="BD24" s="21">
        <f t="shared" si="29"/>
        <v>0</v>
      </c>
      <c r="BE24" s="24">
        <f t="shared" si="31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f t="shared" si="13"/>
        <v>599829</v>
      </c>
      <c r="H25" s="5">
        <f t="shared" si="14"/>
        <v>0</v>
      </c>
      <c r="I25" s="5">
        <f t="shared" si="0"/>
        <v>0</v>
      </c>
      <c r="J25" s="344">
        <f t="shared" si="1"/>
        <v>0</v>
      </c>
      <c r="K25" s="5">
        <f>'Swimming Pool quality check '!H25</f>
        <v>6292</v>
      </c>
      <c r="L25" s="282">
        <f t="shared" si="33"/>
        <v>0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f t="shared" si="18"/>
        <v>4864</v>
      </c>
      <c r="U25" s="5">
        <f t="shared" si="4"/>
        <v>0</v>
      </c>
      <c r="V25" s="5">
        <f t="shared" si="18"/>
        <v>409</v>
      </c>
      <c r="W25" s="334">
        <f t="shared" si="17"/>
        <v>0</v>
      </c>
      <c r="X25" s="5">
        <f t="shared" si="18"/>
        <v>144119</v>
      </c>
      <c r="Y25" s="334">
        <f t="shared" si="19"/>
        <v>0</v>
      </c>
      <c r="Z25" s="5">
        <f t="shared" si="18"/>
        <v>95078</v>
      </c>
      <c r="AA25" s="84">
        <f t="shared" si="20"/>
        <v>0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159.22</v>
      </c>
      <c r="AF25" s="84">
        <f t="shared" si="21"/>
        <v>0</v>
      </c>
      <c r="AG25" s="5">
        <f t="shared" si="18"/>
        <v>1649</v>
      </c>
      <c r="AH25" s="84">
        <f t="shared" si="22"/>
        <v>0</v>
      </c>
      <c r="AI25" s="84">
        <f t="shared" si="23"/>
        <v>0</v>
      </c>
      <c r="AJ25" s="336">
        <f t="shared" si="24"/>
        <v>0</v>
      </c>
      <c r="AK25" s="337">
        <f t="shared" si="5"/>
        <v>0</v>
      </c>
      <c r="AL25" s="337">
        <f t="shared" si="25"/>
        <v>0</v>
      </c>
      <c r="AM25" s="337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5">
        <f t="shared" si="26"/>
        <v>44002</v>
      </c>
      <c r="AS25" s="438">
        <f t="shared" si="38"/>
        <v>0.9</v>
      </c>
      <c r="AT25" s="205">
        <f t="shared" si="38"/>
        <v>0</v>
      </c>
      <c r="AU25" s="439">
        <f t="shared" si="34"/>
        <v>1.1000000000000001</v>
      </c>
      <c r="AV25" s="205">
        <f t="shared" si="34"/>
        <v>105</v>
      </c>
      <c r="AW25" s="5">
        <v>2.9</v>
      </c>
      <c r="AX25" s="205">
        <f t="shared" ref="AX25" si="41">AX24</f>
        <v>100</v>
      </c>
      <c r="AY25" s="442">
        <f t="shared" si="7"/>
        <v>0</v>
      </c>
      <c r="AZ25" s="442">
        <f t="shared" si="27"/>
        <v>115.50000000000001</v>
      </c>
      <c r="BA25" s="442">
        <f t="shared" si="28"/>
        <v>290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f t="shared" si="13"/>
        <v>599829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6292</v>
      </c>
      <c r="L26" s="282">
        <f t="shared" si="33"/>
        <v>0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f t="shared" si="18"/>
        <v>4864</v>
      </c>
      <c r="U26" s="5">
        <f t="shared" si="4"/>
        <v>0</v>
      </c>
      <c r="V26" s="5">
        <f t="shared" si="18"/>
        <v>409</v>
      </c>
      <c r="W26" s="334">
        <f t="shared" si="17"/>
        <v>0</v>
      </c>
      <c r="X26" s="5">
        <f t="shared" si="18"/>
        <v>144119</v>
      </c>
      <c r="Y26" s="334">
        <f t="shared" si="19"/>
        <v>0</v>
      </c>
      <c r="Z26" s="5">
        <f t="shared" si="18"/>
        <v>95078</v>
      </c>
      <c r="AA26" s="84">
        <f t="shared" si="20"/>
        <v>0</v>
      </c>
      <c r="AB26" s="5">
        <f t="shared" si="18"/>
        <v>268</v>
      </c>
      <c r="AC26" s="5">
        <f t="shared" si="18"/>
        <v>670</v>
      </c>
      <c r="AD26" s="84">
        <f t="shared" si="32"/>
        <v>0</v>
      </c>
      <c r="AE26" s="5">
        <f t="shared" si="18"/>
        <v>159.22</v>
      </c>
      <c r="AF26" s="84">
        <f t="shared" si="21"/>
        <v>0</v>
      </c>
      <c r="AG26" s="5">
        <f t="shared" si="18"/>
        <v>1649</v>
      </c>
      <c r="AH26" s="84">
        <f t="shared" si="22"/>
        <v>0</v>
      </c>
      <c r="AI26" s="84">
        <f t="shared" si="23"/>
        <v>0</v>
      </c>
      <c r="AJ26" s="336">
        <f t="shared" si="24"/>
        <v>0</v>
      </c>
      <c r="AK26" s="337">
        <f t="shared" si="5"/>
        <v>0</v>
      </c>
      <c r="AL26" s="337">
        <f>SUM(AJ26-W26)</f>
        <v>0</v>
      </c>
      <c r="AM26" s="337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5">
        <f t="shared" si="26"/>
        <v>44003</v>
      </c>
      <c r="AS26" s="438">
        <f t="shared" si="38"/>
        <v>0.9</v>
      </c>
      <c r="AT26" s="205">
        <f t="shared" si="38"/>
        <v>0</v>
      </c>
      <c r="AU26" s="439">
        <f t="shared" si="34"/>
        <v>1.1000000000000001</v>
      </c>
      <c r="AV26" s="205">
        <f t="shared" si="34"/>
        <v>105</v>
      </c>
      <c r="AW26" s="5">
        <v>2.9</v>
      </c>
      <c r="AX26" s="205">
        <f t="shared" ref="AX26" si="42">AX25</f>
        <v>100</v>
      </c>
      <c r="AY26" s="442">
        <f t="shared" si="7"/>
        <v>0</v>
      </c>
      <c r="AZ26" s="442">
        <f t="shared" si="27"/>
        <v>115.50000000000001</v>
      </c>
      <c r="BA26" s="442">
        <f t="shared" si="28"/>
        <v>290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353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f t="shared" si="13"/>
        <v>599829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6292</v>
      </c>
      <c r="L27" s="282">
        <f t="shared" si="33"/>
        <v>0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f t="shared" si="18"/>
        <v>4864</v>
      </c>
      <c r="U27" s="5">
        <f t="shared" si="4"/>
        <v>0</v>
      </c>
      <c r="V27" s="5">
        <f t="shared" si="18"/>
        <v>409</v>
      </c>
      <c r="W27" s="334">
        <f t="shared" si="17"/>
        <v>0</v>
      </c>
      <c r="X27" s="5">
        <f t="shared" si="18"/>
        <v>144119</v>
      </c>
      <c r="Y27" s="334">
        <f>SUM(X27-X26)</f>
        <v>0</v>
      </c>
      <c r="Z27" s="5">
        <f t="shared" si="18"/>
        <v>95078</v>
      </c>
      <c r="AA27" s="84">
        <f t="shared" si="20"/>
        <v>0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 t="shared" si="18"/>
        <v>159.22</v>
      </c>
      <c r="AF27" s="84">
        <f t="shared" si="21"/>
        <v>0</v>
      </c>
      <c r="AG27" s="5">
        <f t="shared" si="18"/>
        <v>1649</v>
      </c>
      <c r="AH27" s="84">
        <f t="shared" si="22"/>
        <v>0</v>
      </c>
      <c r="AI27" s="84">
        <f t="shared" si="23"/>
        <v>0</v>
      </c>
      <c r="AJ27" s="336">
        <f t="shared" si="24"/>
        <v>0</v>
      </c>
      <c r="AK27" s="337">
        <f t="shared" si="5"/>
        <v>0</v>
      </c>
      <c r="AL27" s="337">
        <f t="shared" si="25"/>
        <v>0</v>
      </c>
      <c r="AM27" s="337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5">
        <f t="shared" si="26"/>
        <v>44004</v>
      </c>
      <c r="AS27" s="438">
        <f t="shared" si="38"/>
        <v>0.9</v>
      </c>
      <c r="AT27" s="205">
        <f t="shared" si="38"/>
        <v>0</v>
      </c>
      <c r="AU27" s="439">
        <f t="shared" si="34"/>
        <v>1.1000000000000001</v>
      </c>
      <c r="AV27" s="205">
        <f t="shared" si="34"/>
        <v>105</v>
      </c>
      <c r="AW27" s="5">
        <v>2.9</v>
      </c>
      <c r="AX27" s="205">
        <f t="shared" ref="AX27" si="43">AX26</f>
        <v>100</v>
      </c>
      <c r="AY27" s="442">
        <f t="shared" si="7"/>
        <v>0</v>
      </c>
      <c r="AZ27" s="442">
        <f t="shared" si="27"/>
        <v>115.50000000000001</v>
      </c>
      <c r="BA27" s="442">
        <f t="shared" si="28"/>
        <v>290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599829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6292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f t="shared" si="18"/>
        <v>4864</v>
      </c>
      <c r="U28" s="5">
        <f t="shared" si="4"/>
        <v>0</v>
      </c>
      <c r="V28" s="5">
        <f t="shared" si="18"/>
        <v>409</v>
      </c>
      <c r="W28" s="334">
        <f t="shared" si="17"/>
        <v>0</v>
      </c>
      <c r="X28" s="5">
        <f t="shared" si="18"/>
        <v>144119</v>
      </c>
      <c r="Y28" s="334">
        <f t="shared" si="19"/>
        <v>0</v>
      </c>
      <c r="Z28" s="5">
        <f t="shared" si="18"/>
        <v>95078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159.22</v>
      </c>
      <c r="AF28" s="84">
        <f t="shared" si="21"/>
        <v>0</v>
      </c>
      <c r="AG28" s="5">
        <f t="shared" si="18"/>
        <v>1649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5">
        <f t="shared" si="26"/>
        <v>44005</v>
      </c>
      <c r="AS28" s="438">
        <f t="shared" si="38"/>
        <v>0.9</v>
      </c>
      <c r="AT28" s="205">
        <f t="shared" si="38"/>
        <v>0</v>
      </c>
      <c r="AU28" s="439">
        <f t="shared" si="34"/>
        <v>1.1000000000000001</v>
      </c>
      <c r="AV28" s="205">
        <f t="shared" si="34"/>
        <v>105</v>
      </c>
      <c r="AW28" s="5">
        <v>2.9</v>
      </c>
      <c r="AX28" s="205">
        <f t="shared" ref="AX28" si="44">AX27</f>
        <v>100</v>
      </c>
      <c r="AY28" s="442">
        <f t="shared" si="7"/>
        <v>0</v>
      </c>
      <c r="AZ28" s="442">
        <f t="shared" si="27"/>
        <v>115.50000000000001</v>
      </c>
      <c r="BA28" s="442">
        <f t="shared" si="28"/>
        <v>290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f t="shared" si="13"/>
        <v>599829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6292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f t="shared" si="18"/>
        <v>4864</v>
      </c>
      <c r="U29" s="5">
        <f t="shared" si="4"/>
        <v>0</v>
      </c>
      <c r="V29" s="5">
        <f t="shared" si="18"/>
        <v>409</v>
      </c>
      <c r="W29" s="334">
        <f t="shared" si="17"/>
        <v>0</v>
      </c>
      <c r="X29" s="5">
        <f t="shared" si="18"/>
        <v>144119</v>
      </c>
      <c r="Y29" s="334">
        <f t="shared" si="19"/>
        <v>0</v>
      </c>
      <c r="Z29" s="5">
        <f t="shared" si="18"/>
        <v>95078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159.22</v>
      </c>
      <c r="AF29" s="84">
        <f t="shared" si="21"/>
        <v>0</v>
      </c>
      <c r="AG29" s="5">
        <f t="shared" si="18"/>
        <v>1649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38"/>
        <v>0.9</v>
      </c>
      <c r="AT29" s="205">
        <f t="shared" si="38"/>
        <v>0</v>
      </c>
      <c r="AU29" s="439">
        <f t="shared" si="34"/>
        <v>1.1000000000000001</v>
      </c>
      <c r="AV29" s="205">
        <f t="shared" si="34"/>
        <v>105</v>
      </c>
      <c r="AW29" s="5">
        <v>2.9</v>
      </c>
      <c r="AX29" s="205">
        <f t="shared" ref="AX29" si="45">AX28</f>
        <v>100</v>
      </c>
      <c r="AY29" s="442">
        <f t="shared" si="7"/>
        <v>0</v>
      </c>
      <c r="AZ29" s="442">
        <f t="shared" si="27"/>
        <v>115.50000000000001</v>
      </c>
      <c r="BA29" s="442">
        <f t="shared" si="28"/>
        <v>290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599829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6292</v>
      </c>
      <c r="L30" s="282">
        <f t="shared" si="33"/>
        <v>0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f t="shared" si="18"/>
        <v>4864</v>
      </c>
      <c r="U30" s="5">
        <f t="shared" si="4"/>
        <v>0</v>
      </c>
      <c r="V30" s="5">
        <f t="shared" si="18"/>
        <v>409</v>
      </c>
      <c r="W30" s="334">
        <f t="shared" si="17"/>
        <v>0</v>
      </c>
      <c r="X30" s="5">
        <f t="shared" si="18"/>
        <v>144119</v>
      </c>
      <c r="Y30" s="334">
        <f t="shared" si="19"/>
        <v>0</v>
      </c>
      <c r="Z30" s="5">
        <f t="shared" si="18"/>
        <v>95078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159.22</v>
      </c>
      <c r="AF30" s="84">
        <f t="shared" si="21"/>
        <v>0</v>
      </c>
      <c r="AG30" s="5">
        <f t="shared" si="18"/>
        <v>1649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38"/>
        <v>0.9</v>
      </c>
      <c r="AT30" s="205">
        <f t="shared" si="38"/>
        <v>0</v>
      </c>
      <c r="AU30" s="439">
        <f t="shared" si="34"/>
        <v>1.1000000000000001</v>
      </c>
      <c r="AV30" s="205">
        <f t="shared" si="34"/>
        <v>105</v>
      </c>
      <c r="AW30" s="5">
        <v>2.9</v>
      </c>
      <c r="AX30" s="205">
        <f t="shared" ref="AX30" si="46">AX29</f>
        <v>100</v>
      </c>
      <c r="AY30" s="442">
        <f t="shared" si="7"/>
        <v>0</v>
      </c>
      <c r="AZ30" s="442">
        <f t="shared" si="27"/>
        <v>115.50000000000001</v>
      </c>
      <c r="BA30" s="442">
        <f t="shared" si="28"/>
        <v>290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log'!$A$39))</f>
        <v>250</v>
      </c>
      <c r="F31" s="337"/>
      <c r="G31" s="5">
        <f t="shared" si="13"/>
        <v>599829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6292</v>
      </c>
      <c r="L31" s="282">
        <f t="shared" si="33"/>
        <v>0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f t="shared" si="18"/>
        <v>4864</v>
      </c>
      <c r="U31" s="5">
        <f t="shared" si="4"/>
        <v>0</v>
      </c>
      <c r="V31" s="5">
        <f t="shared" si="18"/>
        <v>409</v>
      </c>
      <c r="W31" s="334">
        <f t="shared" si="17"/>
        <v>0</v>
      </c>
      <c r="X31" s="5">
        <f t="shared" si="18"/>
        <v>144119</v>
      </c>
      <c r="Y31" s="334">
        <f t="shared" si="19"/>
        <v>0</v>
      </c>
      <c r="Z31" s="5">
        <f t="shared" si="18"/>
        <v>95078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159.22</v>
      </c>
      <c r="AF31" s="84">
        <f t="shared" si="21"/>
        <v>0</v>
      </c>
      <c r="AG31" s="5">
        <f t="shared" si="18"/>
        <v>1649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38"/>
        <v>0.9</v>
      </c>
      <c r="AT31" s="205">
        <f t="shared" si="38"/>
        <v>0</v>
      </c>
      <c r="AU31" s="439">
        <f t="shared" si="34"/>
        <v>1.1000000000000001</v>
      </c>
      <c r="AV31" s="205">
        <f t="shared" si="34"/>
        <v>105</v>
      </c>
      <c r="AW31" s="5">
        <v>2.9</v>
      </c>
      <c r="AX31" s="205">
        <f t="shared" ref="AX31" si="47">AX30</f>
        <v>100</v>
      </c>
      <c r="AY31" s="442">
        <f t="shared" si="7"/>
        <v>0</v>
      </c>
      <c r="AZ31" s="442">
        <f t="shared" si="27"/>
        <v>115.50000000000001</v>
      </c>
      <c r="BA31" s="442">
        <f t="shared" si="28"/>
        <v>290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599829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6292</v>
      </c>
      <c r="L32" s="282">
        <f t="shared" si="33"/>
        <v>0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f t="shared" si="18"/>
        <v>4864</v>
      </c>
      <c r="U32" s="5">
        <f t="shared" si="4"/>
        <v>0</v>
      </c>
      <c r="V32" s="5">
        <f t="shared" si="18"/>
        <v>409</v>
      </c>
      <c r="W32" s="334">
        <f t="shared" si="17"/>
        <v>0</v>
      </c>
      <c r="X32" s="5">
        <f t="shared" si="18"/>
        <v>144119</v>
      </c>
      <c r="Y32" s="334">
        <f t="shared" si="19"/>
        <v>0</v>
      </c>
      <c r="Z32" s="5">
        <f t="shared" si="18"/>
        <v>95078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159.22</v>
      </c>
      <c r="AF32" s="84">
        <f t="shared" si="21"/>
        <v>0</v>
      </c>
      <c r="AG32" s="5">
        <f t="shared" si="18"/>
        <v>1649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38"/>
        <v>0.9</v>
      </c>
      <c r="AT32" s="205">
        <f t="shared" si="38"/>
        <v>0</v>
      </c>
      <c r="AU32" s="439">
        <f t="shared" si="34"/>
        <v>1.1000000000000001</v>
      </c>
      <c r="AV32" s="205">
        <f t="shared" si="34"/>
        <v>105</v>
      </c>
      <c r="AW32" s="5">
        <v>2.9</v>
      </c>
      <c r="AX32" s="205">
        <f t="shared" ref="AX32" si="48">AX31</f>
        <v>100</v>
      </c>
      <c r="AY32" s="442">
        <f t="shared" si="7"/>
        <v>0</v>
      </c>
      <c r="AZ32" s="442">
        <f t="shared" si="27"/>
        <v>115.50000000000001</v>
      </c>
      <c r="BA32" s="442">
        <f t="shared" si="28"/>
        <v>290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f t="shared" si="13"/>
        <v>599829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6292</v>
      </c>
      <c r="L33" s="282">
        <f t="shared" si="33"/>
        <v>0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f t="shared" si="18"/>
        <v>4864</v>
      </c>
      <c r="U33" s="5">
        <f t="shared" si="4"/>
        <v>0</v>
      </c>
      <c r="V33" s="5">
        <f t="shared" si="18"/>
        <v>409</v>
      </c>
      <c r="W33" s="334">
        <f t="shared" si="17"/>
        <v>0</v>
      </c>
      <c r="X33" s="5">
        <f t="shared" si="18"/>
        <v>144119</v>
      </c>
      <c r="Y33" s="334">
        <f t="shared" si="19"/>
        <v>0</v>
      </c>
      <c r="Z33" s="5">
        <f t="shared" si="18"/>
        <v>95078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159.22</v>
      </c>
      <c r="AF33" s="84">
        <f>AE33-AE32</f>
        <v>0</v>
      </c>
      <c r="AG33" s="5">
        <f t="shared" si="18"/>
        <v>1649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38"/>
        <v>0.9</v>
      </c>
      <c r="AT33" s="205">
        <f t="shared" si="38"/>
        <v>0</v>
      </c>
      <c r="AU33" s="439">
        <f t="shared" si="34"/>
        <v>1.1000000000000001</v>
      </c>
      <c r="AV33" s="205">
        <f t="shared" si="34"/>
        <v>105</v>
      </c>
      <c r="AW33" s="5">
        <v>2.9</v>
      </c>
      <c r="AX33" s="205">
        <f t="shared" ref="AX33" si="49">AX32</f>
        <v>100</v>
      </c>
      <c r="AY33" s="442">
        <f t="shared" si="7"/>
        <v>0</v>
      </c>
      <c r="AZ33" s="442">
        <f t="shared" si="27"/>
        <v>115.50000000000001</v>
      </c>
      <c r="BA33" s="442">
        <f t="shared" si="28"/>
        <v>290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599829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6292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4864</v>
      </c>
      <c r="U34" s="5">
        <f t="shared" si="4"/>
        <v>0</v>
      </c>
      <c r="V34" s="5">
        <f t="shared" si="18"/>
        <v>409</v>
      </c>
      <c r="W34" s="334">
        <f t="shared" si="17"/>
        <v>0</v>
      </c>
      <c r="X34" s="5">
        <f t="shared" si="18"/>
        <v>144119</v>
      </c>
      <c r="Y34" s="334">
        <f t="shared" si="19"/>
        <v>0</v>
      </c>
      <c r="Z34" s="5">
        <f t="shared" si="18"/>
        <v>95078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159.22</v>
      </c>
      <c r="AF34" s="84">
        <f t="shared" si="21"/>
        <v>0</v>
      </c>
      <c r="AG34" s="5">
        <f t="shared" si="18"/>
        <v>1649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38"/>
        <v>0.9</v>
      </c>
      <c r="AT34" s="205">
        <f t="shared" si="38"/>
        <v>0</v>
      </c>
      <c r="AU34" s="440">
        <f t="shared" si="34"/>
        <v>1.1000000000000001</v>
      </c>
      <c r="AV34" s="205">
        <f t="shared" si="34"/>
        <v>105</v>
      </c>
      <c r="AW34" s="5">
        <v>2.9</v>
      </c>
      <c r="AX34" s="205">
        <f t="shared" ref="AX34" si="50">AX33</f>
        <v>100</v>
      </c>
      <c r="AY34" s="442">
        <f t="shared" si="7"/>
        <v>0</v>
      </c>
      <c r="AZ34" s="442">
        <f t="shared" si="27"/>
        <v>115.50000000000001</v>
      </c>
      <c r="BA34" s="442">
        <f t="shared" si="28"/>
        <v>290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599829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6292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4864</v>
      </c>
      <c r="U35" s="5">
        <f t="shared" si="4"/>
        <v>0</v>
      </c>
      <c r="V35" s="5">
        <f t="shared" si="18"/>
        <v>409</v>
      </c>
      <c r="W35" s="334">
        <f t="shared" si="17"/>
        <v>0</v>
      </c>
      <c r="X35" s="5">
        <f t="shared" si="18"/>
        <v>144119</v>
      </c>
      <c r="Y35" s="334">
        <f t="shared" si="19"/>
        <v>0</v>
      </c>
      <c r="Z35" s="5">
        <f t="shared" si="18"/>
        <v>95078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159.22</v>
      </c>
      <c r="AF35" s="84">
        <f t="shared" si="21"/>
        <v>0</v>
      </c>
      <c r="AG35" s="5">
        <f t="shared" si="18"/>
        <v>1649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38"/>
        <v>0.9</v>
      </c>
      <c r="AT35" s="205">
        <f t="shared" si="38"/>
        <v>0</v>
      </c>
      <c r="AU35" s="441">
        <f t="shared" si="34"/>
        <v>1.1000000000000001</v>
      </c>
      <c r="AV35" s="205">
        <f t="shared" si="34"/>
        <v>105</v>
      </c>
      <c r="AW35" s="5">
        <v>2.9</v>
      </c>
      <c r="AX35" s="205">
        <f t="shared" ref="AX35" si="51">AX34</f>
        <v>100</v>
      </c>
      <c r="AY35" s="442">
        <f t="shared" si="7"/>
        <v>0</v>
      </c>
      <c r="AZ35" s="442">
        <f t="shared" si="27"/>
        <v>115.50000000000001</v>
      </c>
      <c r="BA35" s="442">
        <f t="shared" si="28"/>
        <v>290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855</v>
      </c>
      <c r="I36" s="426">
        <f>SUM(I6:I35)</f>
        <v>855</v>
      </c>
      <c r="L36" s="275">
        <f>SUM(L7:L35)</f>
        <v>80</v>
      </c>
      <c r="Q36" s="514">
        <f>SUM(Q5:Q35)</f>
        <v>0</v>
      </c>
      <c r="U36" s="423">
        <f>SUM(U6:U35)</f>
        <v>34</v>
      </c>
      <c r="X36" s="333"/>
      <c r="Y36" s="332" t="e">
        <f>SUM(Y35,Y33,Y31,Y29,Y27,Y25,Y23,Y21,Y19,Y17,Y15,Y13,Y11,Y9,Y7+#REF!)</f>
        <v>#REF!</v>
      </c>
      <c r="AJ36" s="332">
        <f>SUM(AJ6:AJ35)</f>
        <v>280</v>
      </c>
      <c r="AK36" s="337" t="e">
        <f t="shared" si="5"/>
        <v>#REF!</v>
      </c>
      <c r="AL36" s="332">
        <f>SUM(AL6:AL35)</f>
        <v>278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8.167017543859649E-2</v>
      </c>
      <c r="L37" s="158"/>
      <c r="O37" s="511">
        <f>SUM(Q36+I36)</f>
        <v>855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855</v>
      </c>
      <c r="H38" s="1">
        <f>SUM(H37+C37)</f>
        <v>7500</v>
      </c>
      <c r="K38" s="1">
        <f>SUM(H38/G38)</f>
        <v>8.7719298245614041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J23" sqref="J23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0" t="s">
        <v>193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2"/>
    </row>
    <row r="2" spans="1:15" ht="15.75" customHeight="1" thickBot="1">
      <c r="A2" s="623"/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5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>
        <v>26</v>
      </c>
      <c r="C20" s="37">
        <v>20</v>
      </c>
      <c r="D20" s="26">
        <f t="shared" si="3"/>
        <v>23</v>
      </c>
      <c r="E20" s="350">
        <v>0.62</v>
      </c>
      <c r="F20" s="350">
        <v>1.2999999999999999E-2</v>
      </c>
      <c r="G20" s="246">
        <f t="shared" si="4"/>
        <v>2.9899999999999998</v>
      </c>
      <c r="H20" s="3">
        <v>0</v>
      </c>
      <c r="I20" s="3"/>
      <c r="J20" s="37">
        <v>158</v>
      </c>
      <c r="K20" s="270">
        <f t="shared" si="2"/>
        <v>158</v>
      </c>
      <c r="L20" s="3"/>
      <c r="M20" s="3"/>
      <c r="N20" s="156"/>
      <c r="O20" s="3"/>
    </row>
    <row r="21" spans="1:15">
      <c r="A21" s="501">
        <f>ELEC!C18</f>
        <v>43998</v>
      </c>
      <c r="B21" s="37">
        <v>26</v>
      </c>
      <c r="C21" s="37">
        <v>21</v>
      </c>
      <c r="D21" s="26">
        <f>(C21+B21)/2</f>
        <v>23.5</v>
      </c>
      <c r="E21" s="350">
        <v>0.65</v>
      </c>
      <c r="F21" s="350">
        <v>2.1700000000000001E-2</v>
      </c>
      <c r="G21" s="246">
        <f t="shared" si="4"/>
        <v>4.9910000000000005</v>
      </c>
      <c r="H21" s="3">
        <v>0</v>
      </c>
      <c r="I21" s="3"/>
      <c r="J21" s="37">
        <v>228</v>
      </c>
      <c r="K21" s="270">
        <f t="shared" si="2"/>
        <v>228</v>
      </c>
      <c r="L21" s="3"/>
      <c r="M21" s="3"/>
      <c r="N21" s="156"/>
      <c r="O21" s="3"/>
    </row>
    <row r="22" spans="1:15">
      <c r="A22" s="501">
        <f>ELEC!C19</f>
        <v>43999</v>
      </c>
      <c r="B22" s="37">
        <v>27</v>
      </c>
      <c r="C22" s="37">
        <v>22</v>
      </c>
      <c r="D22" s="26">
        <f t="shared" si="3"/>
        <v>24.5</v>
      </c>
      <c r="E22" s="350">
        <v>0.72</v>
      </c>
      <c r="F22" s="407">
        <v>1.7399999999999999E-2</v>
      </c>
      <c r="G22" s="246">
        <f t="shared" si="4"/>
        <v>4.0019999999999998</v>
      </c>
      <c r="H22" s="3">
        <v>0</v>
      </c>
      <c r="I22" s="3"/>
      <c r="J22" s="37">
        <v>234</v>
      </c>
      <c r="K22" s="270">
        <f t="shared" si="2"/>
        <v>234</v>
      </c>
      <c r="L22" s="3"/>
      <c r="M22" s="3"/>
      <c r="N22" s="156"/>
      <c r="O22" s="3"/>
    </row>
    <row r="23" spans="1:15">
      <c r="A23" s="501">
        <f>ELEC!C20</f>
        <v>44000</v>
      </c>
      <c r="B23" s="37"/>
      <c r="C23" s="37"/>
      <c r="D23" s="26">
        <f>(C23+B23)/2</f>
        <v>0</v>
      </c>
      <c r="E23" s="350"/>
      <c r="F23" s="350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1">
        <f>ELEC!C21</f>
        <v>44001</v>
      </c>
      <c r="B24" s="37"/>
      <c r="C24" s="37"/>
      <c r="D24" s="26">
        <f t="shared" si="3"/>
        <v>0</v>
      </c>
      <c r="E24" s="350"/>
      <c r="F24" s="350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1">
        <f>ELEC!C22</f>
        <v>44002</v>
      </c>
      <c r="B25" s="37"/>
      <c r="C25" s="37"/>
      <c r="D25" s="26">
        <f t="shared" si="3"/>
        <v>0</v>
      </c>
      <c r="E25" s="350"/>
      <c r="F25" s="350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1">
        <f>ELEC!C23</f>
        <v>44003</v>
      </c>
      <c r="B26" s="37"/>
      <c r="C26" s="37"/>
      <c r="D26" s="26">
        <f>(C26+B26)/2</f>
        <v>0</v>
      </c>
      <c r="E26" s="350"/>
      <c r="F26" s="350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1">
        <f>ELEC!C24</f>
        <v>44004</v>
      </c>
      <c r="B27" s="37"/>
      <c r="C27" s="37"/>
      <c r="D27" s="26">
        <f t="shared" si="3"/>
        <v>0</v>
      </c>
      <c r="E27" s="350"/>
      <c r="F27" s="350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1">
        <f>ELEC!C25</f>
        <v>44005</v>
      </c>
      <c r="B28" s="37"/>
      <c r="C28" s="37"/>
      <c r="D28" s="26">
        <f t="shared" si="3"/>
        <v>0</v>
      </c>
      <c r="E28" s="350"/>
      <c r="F28" s="350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1.7858823529411764E-2</v>
      </c>
      <c r="G36" s="207">
        <f>SUM(G6:G35)</f>
        <v>69.828000000000003</v>
      </c>
    </row>
    <row r="37" spans="1:15">
      <c r="D37" s="268">
        <f>SUM(D6:D35)/'EDl log'!A37</f>
        <v>23.117647058823529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O1" activePane="topRight" state="frozen"/>
      <selection pane="topRight" activeCell="AU23" sqref="AU2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8" t="s">
        <v>108</v>
      </c>
      <c r="AS3" s="628" t="s">
        <v>234</v>
      </c>
      <c r="AT3" s="626" t="s">
        <v>302</v>
      </c>
      <c r="AU3" s="627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29"/>
      <c r="AS4" s="629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7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1544.3037974683546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172</v>
      </c>
      <c r="C20" s="207">
        <f t="shared" si="18"/>
        <v>3700.7741935483868</v>
      </c>
      <c r="D20">
        <f t="shared" si="19"/>
        <v>172</v>
      </c>
      <c r="E20" s="207">
        <f t="shared" si="18"/>
        <v>3700.7741935483868</v>
      </c>
      <c r="F20">
        <f t="shared" si="20"/>
        <v>172</v>
      </c>
      <c r="G20" s="207">
        <f t="shared" si="1"/>
        <v>3700.7741935483868</v>
      </c>
      <c r="H20" s="207">
        <f t="shared" si="21"/>
        <v>172</v>
      </c>
      <c r="I20" s="207">
        <f t="shared" si="2"/>
        <v>3700.7741935483868</v>
      </c>
      <c r="J20" s="207">
        <f t="shared" si="22"/>
        <v>172</v>
      </c>
      <c r="K20" s="207">
        <f t="shared" si="3"/>
        <v>3700.7741935483868</v>
      </c>
      <c r="L20" s="207">
        <f t="shared" si="23"/>
        <v>172</v>
      </c>
      <c r="M20" s="207">
        <f t="shared" si="4"/>
        <v>3700.7741935483868</v>
      </c>
      <c r="N20" s="207">
        <f t="shared" si="24"/>
        <v>172</v>
      </c>
      <c r="O20" s="207">
        <f t="shared" si="5"/>
        <v>3700.7741935483868</v>
      </c>
      <c r="P20" s="207">
        <f t="shared" si="25"/>
        <v>172</v>
      </c>
      <c r="Q20" s="207">
        <f t="shared" si="6"/>
        <v>3700.7741935483868</v>
      </c>
      <c r="R20" s="207">
        <f t="shared" si="26"/>
        <v>172</v>
      </c>
      <c r="S20" s="207">
        <f t="shared" si="7"/>
        <v>3700.7741935483868</v>
      </c>
      <c r="T20" s="207">
        <f t="shared" si="27"/>
        <v>172</v>
      </c>
      <c r="U20" s="207">
        <f t="shared" si="8"/>
        <v>3700.7741935483868</v>
      </c>
      <c r="V20" s="207">
        <f t="shared" si="28"/>
        <v>172</v>
      </c>
      <c r="W20" s="207">
        <f t="shared" si="9"/>
        <v>3700.7741935483868</v>
      </c>
      <c r="X20" s="35">
        <f t="shared" si="10"/>
        <v>0.55483870967741933</v>
      </c>
      <c r="Y20" s="36">
        <f t="shared" si="29"/>
        <v>40708.516129032258</v>
      </c>
      <c r="Z20" s="207">
        <f>'B5'!C19</f>
        <v>178</v>
      </c>
      <c r="AA20" s="207">
        <f t="shared" si="30"/>
        <v>1780</v>
      </c>
      <c r="AB20" s="207">
        <f t="shared" si="31"/>
        <v>178</v>
      </c>
      <c r="AC20" s="207">
        <f t="shared" si="30"/>
        <v>1780</v>
      </c>
      <c r="AD20" s="207">
        <f t="shared" si="32"/>
        <v>178</v>
      </c>
      <c r="AE20" s="207">
        <f t="shared" si="11"/>
        <v>1780</v>
      </c>
      <c r="AF20" s="207">
        <f t="shared" si="33"/>
        <v>178</v>
      </c>
      <c r="AG20" s="207">
        <f t="shared" si="12"/>
        <v>1780</v>
      </c>
      <c r="AH20" s="207">
        <f t="shared" si="34"/>
        <v>178</v>
      </c>
      <c r="AI20" s="207">
        <f t="shared" si="13"/>
        <v>1780</v>
      </c>
      <c r="AJ20" s="207">
        <f t="shared" si="35"/>
        <v>178</v>
      </c>
      <c r="AK20" s="207">
        <f t="shared" si="14"/>
        <v>1780</v>
      </c>
      <c r="AL20" s="207">
        <f t="shared" si="36"/>
        <v>178</v>
      </c>
      <c r="AM20" s="207">
        <f t="shared" si="15"/>
        <v>1780</v>
      </c>
      <c r="AN20" s="35">
        <f t="shared" si="16"/>
        <v>0.63571428571428568</v>
      </c>
      <c r="AO20" s="36">
        <f t="shared" si="17"/>
        <v>12460</v>
      </c>
      <c r="AQ20" s="227">
        <f t="shared" si="37"/>
        <v>0.57188895481372759</v>
      </c>
      <c r="AR20" s="38">
        <f t="shared" si="41"/>
        <v>53168.516129032258</v>
      </c>
      <c r="AS20" s="201">
        <f t="shared" si="38"/>
        <v>-1553.0967741935456</v>
      </c>
      <c r="AT20" s="278">
        <v>8300</v>
      </c>
      <c r="AU20" s="452">
        <v>0.36</v>
      </c>
      <c r="AV20" s="539">
        <f t="shared" si="42"/>
        <v>0.36</v>
      </c>
      <c r="AW20" s="300">
        <f>-SUM('B5'!AI19)</f>
        <v>-352</v>
      </c>
      <c r="AX20" s="300">
        <f t="shared" si="39"/>
        <v>-1201.0967741935456</v>
      </c>
      <c r="AY20" s="37">
        <f t="shared" si="40"/>
        <v>-1553.0967741935456</v>
      </c>
      <c r="AZ20" s="101">
        <f>ELEC!A17</f>
        <v>1.2999999999999999E-2</v>
      </c>
      <c r="BA20" s="119">
        <f>'General information '!D20</f>
        <v>23</v>
      </c>
      <c r="BB20" s="407">
        <f>SUM('General information '!E20)</f>
        <v>0.62</v>
      </c>
      <c r="BC20" s="3">
        <f t="shared" si="43"/>
        <v>1</v>
      </c>
      <c r="BD20" s="103">
        <v>19222</v>
      </c>
      <c r="BE20" s="14">
        <f>(305/1185)*ELEC!Q18</f>
        <v>1286.9198312236288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166</v>
      </c>
      <c r="C21" s="207">
        <f t="shared" si="18"/>
        <v>3571.6774193548385</v>
      </c>
      <c r="D21">
        <f t="shared" si="19"/>
        <v>166</v>
      </c>
      <c r="E21" s="207">
        <f t="shared" si="18"/>
        <v>3571.6774193548385</v>
      </c>
      <c r="F21">
        <f t="shared" si="20"/>
        <v>166</v>
      </c>
      <c r="G21" s="207">
        <f t="shared" si="1"/>
        <v>3571.6774193548385</v>
      </c>
      <c r="H21" s="207">
        <f t="shared" si="21"/>
        <v>166</v>
      </c>
      <c r="I21" s="207">
        <f t="shared" si="2"/>
        <v>3571.6774193548385</v>
      </c>
      <c r="J21" s="207">
        <f t="shared" si="22"/>
        <v>166</v>
      </c>
      <c r="K21" s="207">
        <f t="shared" si="3"/>
        <v>3571.6774193548385</v>
      </c>
      <c r="L21" s="207">
        <f t="shared" si="23"/>
        <v>166</v>
      </c>
      <c r="M21" s="207">
        <f t="shared" si="4"/>
        <v>3571.6774193548385</v>
      </c>
      <c r="N21" s="207">
        <f t="shared" si="24"/>
        <v>166</v>
      </c>
      <c r="O21" s="207">
        <f t="shared" si="5"/>
        <v>3571.6774193548385</v>
      </c>
      <c r="P21" s="207">
        <f t="shared" si="25"/>
        <v>166</v>
      </c>
      <c r="Q21" s="207">
        <f t="shared" si="6"/>
        <v>3571.6774193548385</v>
      </c>
      <c r="R21" s="207">
        <f t="shared" si="26"/>
        <v>166</v>
      </c>
      <c r="S21" s="207">
        <f t="shared" si="7"/>
        <v>3571.6774193548385</v>
      </c>
      <c r="T21" s="207">
        <f t="shared" si="27"/>
        <v>166</v>
      </c>
      <c r="U21" s="207">
        <f t="shared" si="8"/>
        <v>3571.6774193548385</v>
      </c>
      <c r="V21" s="207">
        <f t="shared" si="28"/>
        <v>166</v>
      </c>
      <c r="W21" s="207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7">
        <f>'B5'!C20</f>
        <v>172</v>
      </c>
      <c r="AA21" s="207">
        <f t="shared" si="30"/>
        <v>1720</v>
      </c>
      <c r="AB21" s="207">
        <f t="shared" si="31"/>
        <v>172</v>
      </c>
      <c r="AC21" s="207">
        <f t="shared" si="30"/>
        <v>1720</v>
      </c>
      <c r="AD21" s="207">
        <f t="shared" si="32"/>
        <v>172</v>
      </c>
      <c r="AE21" s="207">
        <f t="shared" si="11"/>
        <v>1720</v>
      </c>
      <c r="AF21" s="207">
        <f t="shared" si="33"/>
        <v>172</v>
      </c>
      <c r="AG21" s="207">
        <f t="shared" si="12"/>
        <v>1720</v>
      </c>
      <c r="AH21" s="207">
        <f t="shared" si="34"/>
        <v>172</v>
      </c>
      <c r="AI21" s="207">
        <f t="shared" si="13"/>
        <v>1720</v>
      </c>
      <c r="AJ21" s="207">
        <f t="shared" si="35"/>
        <v>172</v>
      </c>
      <c r="AK21" s="207">
        <f t="shared" si="14"/>
        <v>1720</v>
      </c>
      <c r="AL21" s="207">
        <f t="shared" si="36"/>
        <v>172</v>
      </c>
      <c r="AM21" s="207">
        <f t="shared" si="15"/>
        <v>1720</v>
      </c>
      <c r="AN21" s="35">
        <f t="shared" si="16"/>
        <v>0.61428571428571432</v>
      </c>
      <c r="AO21" s="36">
        <f t="shared" si="17"/>
        <v>12040</v>
      </c>
      <c r="AQ21" s="227">
        <f t="shared" si="37"/>
        <v>0.55209693033132434</v>
      </c>
      <c r="AR21" s="38">
        <f t="shared" si="41"/>
        <v>51328.45161290322</v>
      </c>
      <c r="AS21" s="201">
        <f>SUM(AR21-AR20-AT21)</f>
        <v>-1840.0645161290377</v>
      </c>
      <c r="AT21" s="278"/>
      <c r="AU21" s="452"/>
      <c r="AV21" s="539">
        <f t="shared" si="42"/>
        <v>0.36</v>
      </c>
      <c r="AW21" s="300">
        <f>-SUM('B5'!AI20)</f>
        <v>-346</v>
      </c>
      <c r="AX21" s="300">
        <f t="shared" si="39"/>
        <v>-1494.0645161290377</v>
      </c>
      <c r="AY21" s="37">
        <f t="shared" si="40"/>
        <v>-1840.0645161290377</v>
      </c>
      <c r="AZ21" s="101">
        <f>ELEC!A18</f>
        <v>2.1700000000000001E-2</v>
      </c>
      <c r="BA21" s="119">
        <f>'General information '!D21</f>
        <v>23.5</v>
      </c>
      <c r="BB21" s="407">
        <f>SUM('General information '!E21)</f>
        <v>0.65</v>
      </c>
      <c r="BC21" s="3">
        <f t="shared" si="43"/>
        <v>0</v>
      </c>
      <c r="BD21" s="103">
        <v>19222</v>
      </c>
      <c r="BE21" s="14">
        <f>(305/1185)*ELEC!Q19</f>
        <v>772.15189873417728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192</v>
      </c>
      <c r="C22" s="207">
        <f t="shared" si="18"/>
        <v>4131.0967741935483</v>
      </c>
      <c r="D22">
        <f t="shared" si="19"/>
        <v>192</v>
      </c>
      <c r="E22" s="207">
        <f t="shared" si="18"/>
        <v>4131.0967741935483</v>
      </c>
      <c r="F22">
        <f t="shared" si="20"/>
        <v>192</v>
      </c>
      <c r="G22" s="207">
        <f t="shared" si="1"/>
        <v>4131.0967741935483</v>
      </c>
      <c r="H22" s="207">
        <f t="shared" si="21"/>
        <v>192</v>
      </c>
      <c r="I22" s="207">
        <f t="shared" si="2"/>
        <v>4131.0967741935483</v>
      </c>
      <c r="J22" s="207">
        <f t="shared" si="22"/>
        <v>192</v>
      </c>
      <c r="K22" s="207">
        <f t="shared" si="3"/>
        <v>4131.0967741935483</v>
      </c>
      <c r="L22" s="207">
        <f t="shared" si="23"/>
        <v>192</v>
      </c>
      <c r="M22" s="207">
        <f t="shared" si="4"/>
        <v>4131.0967741935483</v>
      </c>
      <c r="N22" s="207">
        <f t="shared" si="24"/>
        <v>192</v>
      </c>
      <c r="O22" s="207">
        <f t="shared" si="5"/>
        <v>4131.0967741935483</v>
      </c>
      <c r="P22" s="207">
        <f t="shared" si="25"/>
        <v>192</v>
      </c>
      <c r="Q22" s="207">
        <f t="shared" si="6"/>
        <v>4131.0967741935483</v>
      </c>
      <c r="R22" s="207">
        <f t="shared" si="26"/>
        <v>192</v>
      </c>
      <c r="S22" s="207">
        <f t="shared" si="7"/>
        <v>4131.0967741935483</v>
      </c>
      <c r="T22" s="207">
        <f t="shared" si="27"/>
        <v>192</v>
      </c>
      <c r="U22" s="207">
        <f t="shared" si="8"/>
        <v>4131.0967741935483</v>
      </c>
      <c r="V22" s="207">
        <f t="shared" si="28"/>
        <v>192</v>
      </c>
      <c r="W22" s="207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7">
        <f>'B5'!C21</f>
        <v>198</v>
      </c>
      <c r="AA22" s="207">
        <f t="shared" si="30"/>
        <v>1980</v>
      </c>
      <c r="AB22" s="207">
        <f t="shared" si="31"/>
        <v>198</v>
      </c>
      <c r="AC22" s="207">
        <f t="shared" si="30"/>
        <v>1980</v>
      </c>
      <c r="AD22" s="207">
        <f t="shared" si="32"/>
        <v>198</v>
      </c>
      <c r="AE22" s="207">
        <f t="shared" si="11"/>
        <v>1980</v>
      </c>
      <c r="AF22" s="207">
        <f t="shared" si="33"/>
        <v>198</v>
      </c>
      <c r="AG22" s="207">
        <f t="shared" si="12"/>
        <v>1980</v>
      </c>
      <c r="AH22" s="207">
        <f t="shared" si="34"/>
        <v>198</v>
      </c>
      <c r="AI22" s="207">
        <f t="shared" si="13"/>
        <v>1980</v>
      </c>
      <c r="AJ22" s="207">
        <f t="shared" si="35"/>
        <v>198</v>
      </c>
      <c r="AK22" s="207">
        <f t="shared" si="14"/>
        <v>1980</v>
      </c>
      <c r="AL22" s="207">
        <f t="shared" si="36"/>
        <v>198</v>
      </c>
      <c r="AM22" s="207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7">
        <f t="shared" si="37"/>
        <v>0.63786236975507182</v>
      </c>
      <c r="AR22" s="38">
        <f t="shared" si="41"/>
        <v>59302.064516129023</v>
      </c>
      <c r="AS22" s="201">
        <f t="shared" si="38"/>
        <v>-217.38709677419683</v>
      </c>
      <c r="AT22" s="278">
        <v>8191</v>
      </c>
      <c r="AU22" s="452">
        <v>0.39300000000000002</v>
      </c>
      <c r="AV22" s="539">
        <f t="shared" si="42"/>
        <v>0.39300000000000002</v>
      </c>
      <c r="AW22" s="300">
        <f>-SUM('B5'!AI21)</f>
        <v>-312</v>
      </c>
      <c r="AX22" s="300">
        <f t="shared" si="39"/>
        <v>94.612903225803166</v>
      </c>
      <c r="AY22" s="37">
        <f t="shared" si="40"/>
        <v>-217.38709677419683</v>
      </c>
      <c r="AZ22" s="101">
        <f>ELEC!A19</f>
        <v>1.7399999999999999E-2</v>
      </c>
      <c r="BA22" s="119">
        <f>'General information '!D22</f>
        <v>24.5</v>
      </c>
      <c r="BB22" s="407">
        <f>SUM('General information '!E22)</f>
        <v>0.72</v>
      </c>
      <c r="BC22" s="3">
        <f t="shared" si="43"/>
        <v>1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192</v>
      </c>
      <c r="C23" s="207">
        <f t="shared" si="18"/>
        <v>4131.0967741935483</v>
      </c>
      <c r="D23">
        <f t="shared" si="19"/>
        <v>192</v>
      </c>
      <c r="E23" s="207">
        <f t="shared" si="18"/>
        <v>4131.0967741935483</v>
      </c>
      <c r="F23">
        <f t="shared" si="20"/>
        <v>192</v>
      </c>
      <c r="G23" s="207">
        <f t="shared" si="1"/>
        <v>4131.0967741935483</v>
      </c>
      <c r="H23" s="207">
        <f t="shared" si="21"/>
        <v>192</v>
      </c>
      <c r="I23" s="207">
        <f t="shared" si="2"/>
        <v>4131.0967741935483</v>
      </c>
      <c r="J23" s="207">
        <f t="shared" si="22"/>
        <v>192</v>
      </c>
      <c r="K23" s="207">
        <f t="shared" si="3"/>
        <v>4131.0967741935483</v>
      </c>
      <c r="L23" s="207">
        <f t="shared" si="23"/>
        <v>192</v>
      </c>
      <c r="M23" s="207">
        <f t="shared" si="4"/>
        <v>4131.0967741935483</v>
      </c>
      <c r="N23" s="207">
        <f t="shared" si="24"/>
        <v>192</v>
      </c>
      <c r="O23" s="207">
        <f t="shared" si="5"/>
        <v>4131.0967741935483</v>
      </c>
      <c r="P23" s="207">
        <f t="shared" si="25"/>
        <v>192</v>
      </c>
      <c r="Q23" s="207">
        <f t="shared" si="6"/>
        <v>4131.0967741935483</v>
      </c>
      <c r="R23" s="207">
        <f t="shared" si="26"/>
        <v>192</v>
      </c>
      <c r="S23" s="207">
        <f t="shared" si="7"/>
        <v>4131.0967741935483</v>
      </c>
      <c r="T23" s="207">
        <f t="shared" si="27"/>
        <v>192</v>
      </c>
      <c r="U23" s="207">
        <f t="shared" si="8"/>
        <v>4131.0967741935483</v>
      </c>
      <c r="V23" s="207">
        <f t="shared" si="28"/>
        <v>192</v>
      </c>
      <c r="W23" s="207">
        <f t="shared" si="9"/>
        <v>4131.0967741935483</v>
      </c>
      <c r="X23" s="35">
        <f t="shared" si="10"/>
        <v>0.61935483870967734</v>
      </c>
      <c r="Y23" s="36">
        <f t="shared" si="29"/>
        <v>45442.064516129023</v>
      </c>
      <c r="Z23" s="207">
        <f>'B5'!C22</f>
        <v>198</v>
      </c>
      <c r="AA23" s="207">
        <f t="shared" si="30"/>
        <v>1980</v>
      </c>
      <c r="AB23" s="207">
        <f t="shared" si="31"/>
        <v>198</v>
      </c>
      <c r="AC23" s="207">
        <f t="shared" si="30"/>
        <v>1980</v>
      </c>
      <c r="AD23" s="207">
        <f t="shared" si="32"/>
        <v>198</v>
      </c>
      <c r="AE23" s="207">
        <f t="shared" si="11"/>
        <v>1980</v>
      </c>
      <c r="AF23" s="207">
        <f t="shared" si="33"/>
        <v>198</v>
      </c>
      <c r="AG23" s="207">
        <f t="shared" si="12"/>
        <v>1980</v>
      </c>
      <c r="AH23" s="207">
        <f t="shared" si="34"/>
        <v>198</v>
      </c>
      <c r="AI23" s="207">
        <f t="shared" si="13"/>
        <v>1980</v>
      </c>
      <c r="AJ23" s="207">
        <f t="shared" si="35"/>
        <v>198</v>
      </c>
      <c r="AK23" s="207">
        <f t="shared" si="14"/>
        <v>1980</v>
      </c>
      <c r="AL23" s="207">
        <f t="shared" si="36"/>
        <v>198</v>
      </c>
      <c r="AM23" s="207">
        <f t="shared" si="15"/>
        <v>1980</v>
      </c>
      <c r="AN23" s="35">
        <f t="shared" si="16"/>
        <v>0.70714285714285718</v>
      </c>
      <c r="AO23" s="36">
        <f t="shared" si="17"/>
        <v>13860</v>
      </c>
      <c r="AQ23" s="227">
        <f t="shared" si="37"/>
        <v>0.63786236975507182</v>
      </c>
      <c r="AR23" s="38">
        <f t="shared" si="41"/>
        <v>59302.064516129023</v>
      </c>
      <c r="AS23" s="201">
        <f t="shared" si="38"/>
        <v>0</v>
      </c>
      <c r="AT23" s="278"/>
      <c r="AU23" s="452"/>
      <c r="AV23" s="539">
        <f t="shared" si="42"/>
        <v>0.39300000000000002</v>
      </c>
      <c r="AW23" s="300">
        <f>-SUM('B5'!AI22)</f>
        <v>0</v>
      </c>
      <c r="AX23" s="300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07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192</v>
      </c>
      <c r="C24" s="207">
        <f t="shared" si="18"/>
        <v>4131.0967741935483</v>
      </c>
      <c r="D24">
        <f t="shared" si="19"/>
        <v>192</v>
      </c>
      <c r="E24" s="207">
        <f t="shared" si="18"/>
        <v>4131.0967741935483</v>
      </c>
      <c r="F24">
        <f t="shared" si="20"/>
        <v>192</v>
      </c>
      <c r="G24" s="207">
        <f t="shared" si="1"/>
        <v>4131.0967741935483</v>
      </c>
      <c r="H24" s="207">
        <f t="shared" si="21"/>
        <v>192</v>
      </c>
      <c r="I24" s="207">
        <f t="shared" si="2"/>
        <v>4131.0967741935483</v>
      </c>
      <c r="J24" s="207">
        <f t="shared" si="22"/>
        <v>192</v>
      </c>
      <c r="K24" s="207">
        <f t="shared" si="3"/>
        <v>4131.0967741935483</v>
      </c>
      <c r="L24" s="207">
        <f t="shared" si="23"/>
        <v>192</v>
      </c>
      <c r="M24" s="207">
        <f t="shared" si="4"/>
        <v>4131.0967741935483</v>
      </c>
      <c r="N24" s="207">
        <f t="shared" si="24"/>
        <v>192</v>
      </c>
      <c r="O24" s="207">
        <f t="shared" si="5"/>
        <v>4131.0967741935483</v>
      </c>
      <c r="P24" s="207">
        <f t="shared" si="25"/>
        <v>192</v>
      </c>
      <c r="Q24" s="207">
        <f t="shared" si="6"/>
        <v>4131.0967741935483</v>
      </c>
      <c r="R24" s="207">
        <f t="shared" si="26"/>
        <v>192</v>
      </c>
      <c r="S24" s="207">
        <f t="shared" si="7"/>
        <v>4131.0967741935483</v>
      </c>
      <c r="T24" s="207">
        <f t="shared" si="27"/>
        <v>192</v>
      </c>
      <c r="U24" s="207">
        <f t="shared" si="8"/>
        <v>4131.0967741935483</v>
      </c>
      <c r="V24" s="207">
        <f t="shared" si="28"/>
        <v>192</v>
      </c>
      <c r="W24" s="207">
        <f t="shared" si="9"/>
        <v>4131.0967741935483</v>
      </c>
      <c r="X24" s="35">
        <f t="shared" si="10"/>
        <v>0.61935483870967734</v>
      </c>
      <c r="Y24" s="36">
        <f t="shared" si="29"/>
        <v>45442.064516129023</v>
      </c>
      <c r="Z24" s="207">
        <f>'B5'!C23</f>
        <v>198</v>
      </c>
      <c r="AA24" s="207">
        <f t="shared" si="30"/>
        <v>1980</v>
      </c>
      <c r="AB24" s="207">
        <f t="shared" si="31"/>
        <v>198</v>
      </c>
      <c r="AC24" s="207">
        <f t="shared" si="30"/>
        <v>1980</v>
      </c>
      <c r="AD24" s="207">
        <f t="shared" si="32"/>
        <v>198</v>
      </c>
      <c r="AE24" s="207">
        <f t="shared" si="11"/>
        <v>1980</v>
      </c>
      <c r="AF24" s="207">
        <f t="shared" si="33"/>
        <v>198</v>
      </c>
      <c r="AG24" s="207">
        <f t="shared" si="12"/>
        <v>1980</v>
      </c>
      <c r="AH24" s="207">
        <f t="shared" si="34"/>
        <v>198</v>
      </c>
      <c r="AI24" s="207">
        <f t="shared" si="13"/>
        <v>1980</v>
      </c>
      <c r="AJ24" s="207">
        <f t="shared" si="35"/>
        <v>198</v>
      </c>
      <c r="AK24" s="207">
        <f t="shared" si="14"/>
        <v>1980</v>
      </c>
      <c r="AL24" s="207">
        <f t="shared" si="36"/>
        <v>198</v>
      </c>
      <c r="AM24" s="207">
        <f t="shared" si="15"/>
        <v>1980</v>
      </c>
      <c r="AN24" s="35">
        <f t="shared" si="16"/>
        <v>0.70714285714285718</v>
      </c>
      <c r="AO24" s="36">
        <f t="shared" si="17"/>
        <v>13860</v>
      </c>
      <c r="AQ24" s="227">
        <f t="shared" si="37"/>
        <v>0.63786236975507182</v>
      </c>
      <c r="AR24" s="38">
        <f t="shared" si="41"/>
        <v>59302.064516129023</v>
      </c>
      <c r="AS24" s="201">
        <f t="shared" si="38"/>
        <v>0</v>
      </c>
      <c r="AT24" s="278"/>
      <c r="AU24" s="452"/>
      <c r="AV24" s="539">
        <f t="shared" si="42"/>
        <v>0.39300000000000002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07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192</v>
      </c>
      <c r="C25" s="207">
        <f t="shared" si="18"/>
        <v>4131.0967741935483</v>
      </c>
      <c r="D25">
        <f t="shared" si="19"/>
        <v>192</v>
      </c>
      <c r="E25" s="207">
        <f t="shared" si="18"/>
        <v>4131.0967741935483</v>
      </c>
      <c r="F25">
        <f t="shared" si="20"/>
        <v>192</v>
      </c>
      <c r="G25" s="207">
        <f t="shared" si="1"/>
        <v>4131.0967741935483</v>
      </c>
      <c r="H25" s="207">
        <f t="shared" si="21"/>
        <v>192</v>
      </c>
      <c r="I25" s="207">
        <f t="shared" si="2"/>
        <v>4131.0967741935483</v>
      </c>
      <c r="J25" s="207">
        <f t="shared" si="22"/>
        <v>192</v>
      </c>
      <c r="K25" s="207">
        <f t="shared" si="3"/>
        <v>4131.0967741935483</v>
      </c>
      <c r="L25" s="207">
        <f t="shared" si="23"/>
        <v>192</v>
      </c>
      <c r="M25" s="207">
        <f t="shared" si="4"/>
        <v>4131.0967741935483</v>
      </c>
      <c r="N25" s="207">
        <f t="shared" si="24"/>
        <v>192</v>
      </c>
      <c r="O25" s="207">
        <f t="shared" si="5"/>
        <v>4131.0967741935483</v>
      </c>
      <c r="P25" s="207">
        <f t="shared" si="25"/>
        <v>192</v>
      </c>
      <c r="Q25" s="207">
        <f t="shared" si="6"/>
        <v>4131.0967741935483</v>
      </c>
      <c r="R25" s="207">
        <f t="shared" si="26"/>
        <v>192</v>
      </c>
      <c r="S25" s="207">
        <f t="shared" si="7"/>
        <v>4131.0967741935483</v>
      </c>
      <c r="T25" s="207">
        <f t="shared" si="27"/>
        <v>192</v>
      </c>
      <c r="U25" s="207">
        <f t="shared" si="8"/>
        <v>4131.0967741935483</v>
      </c>
      <c r="V25" s="207">
        <f t="shared" si="28"/>
        <v>192</v>
      </c>
      <c r="W25" s="207">
        <f t="shared" si="9"/>
        <v>4131.0967741935483</v>
      </c>
      <c r="X25" s="35">
        <f t="shared" si="10"/>
        <v>0.61935483870967734</v>
      </c>
      <c r="Y25" s="36">
        <f t="shared" si="29"/>
        <v>45442.064516129023</v>
      </c>
      <c r="Z25" s="207">
        <f>'B5'!C24</f>
        <v>198</v>
      </c>
      <c r="AA25" s="207">
        <f t="shared" si="30"/>
        <v>1980</v>
      </c>
      <c r="AB25" s="207">
        <f t="shared" si="31"/>
        <v>198</v>
      </c>
      <c r="AC25" s="207">
        <f t="shared" si="30"/>
        <v>1980</v>
      </c>
      <c r="AD25" s="207">
        <f t="shared" si="32"/>
        <v>198</v>
      </c>
      <c r="AE25" s="207">
        <f t="shared" si="11"/>
        <v>1980</v>
      </c>
      <c r="AF25" s="207">
        <f t="shared" si="33"/>
        <v>198</v>
      </c>
      <c r="AG25" s="207">
        <f t="shared" si="12"/>
        <v>1980</v>
      </c>
      <c r="AH25" s="207">
        <f t="shared" si="34"/>
        <v>198</v>
      </c>
      <c r="AI25" s="207">
        <f t="shared" si="13"/>
        <v>1980</v>
      </c>
      <c r="AJ25" s="207">
        <f t="shared" si="35"/>
        <v>198</v>
      </c>
      <c r="AK25" s="207">
        <f t="shared" si="14"/>
        <v>1980</v>
      </c>
      <c r="AL25" s="207">
        <f t="shared" si="36"/>
        <v>198</v>
      </c>
      <c r="AM25" s="207">
        <f t="shared" si="15"/>
        <v>1980</v>
      </c>
      <c r="AN25" s="35">
        <f t="shared" si="16"/>
        <v>0.70714285714285718</v>
      </c>
      <c r="AO25" s="36">
        <f t="shared" si="17"/>
        <v>13860</v>
      </c>
      <c r="AQ25" s="227">
        <f t="shared" si="37"/>
        <v>0.63786236975507182</v>
      </c>
      <c r="AR25" s="38">
        <f t="shared" si="41"/>
        <v>59302.064516129023</v>
      </c>
      <c r="AS25" s="201">
        <f t="shared" si="38"/>
        <v>0</v>
      </c>
      <c r="AT25" s="278"/>
      <c r="AU25" s="452"/>
      <c r="AV25" s="539">
        <f t="shared" si="42"/>
        <v>0.39300000000000002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7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192</v>
      </c>
      <c r="C26" s="207">
        <f t="shared" si="18"/>
        <v>4131.0967741935483</v>
      </c>
      <c r="D26">
        <f t="shared" si="19"/>
        <v>192</v>
      </c>
      <c r="E26" s="207">
        <f t="shared" si="18"/>
        <v>4131.0967741935483</v>
      </c>
      <c r="F26">
        <f t="shared" si="20"/>
        <v>192</v>
      </c>
      <c r="G26" s="207">
        <f t="shared" si="1"/>
        <v>4131.0967741935483</v>
      </c>
      <c r="H26" s="207">
        <f t="shared" si="21"/>
        <v>192</v>
      </c>
      <c r="I26" s="207">
        <f t="shared" si="2"/>
        <v>4131.0967741935483</v>
      </c>
      <c r="J26" s="207">
        <f t="shared" si="22"/>
        <v>192</v>
      </c>
      <c r="K26" s="207">
        <f t="shared" si="3"/>
        <v>4131.0967741935483</v>
      </c>
      <c r="L26" s="207">
        <f t="shared" si="23"/>
        <v>192</v>
      </c>
      <c r="M26" s="207">
        <f t="shared" si="4"/>
        <v>4131.0967741935483</v>
      </c>
      <c r="N26" s="207">
        <f t="shared" si="24"/>
        <v>192</v>
      </c>
      <c r="O26" s="207">
        <f t="shared" si="5"/>
        <v>4131.0967741935483</v>
      </c>
      <c r="P26" s="207">
        <f t="shared" si="25"/>
        <v>192</v>
      </c>
      <c r="Q26" s="207">
        <f t="shared" si="6"/>
        <v>4131.0967741935483</v>
      </c>
      <c r="R26" s="207">
        <f t="shared" si="26"/>
        <v>192</v>
      </c>
      <c r="S26" s="207">
        <f t="shared" si="7"/>
        <v>4131.0967741935483</v>
      </c>
      <c r="T26" s="207">
        <f t="shared" si="27"/>
        <v>192</v>
      </c>
      <c r="U26" s="207">
        <f t="shared" si="8"/>
        <v>4131.0967741935483</v>
      </c>
      <c r="V26" s="207">
        <f t="shared" si="28"/>
        <v>192</v>
      </c>
      <c r="W26" s="207">
        <f t="shared" si="9"/>
        <v>4131.0967741935483</v>
      </c>
      <c r="X26" s="35">
        <f t="shared" si="10"/>
        <v>0.61935483870967734</v>
      </c>
      <c r="Y26" s="36">
        <f t="shared" si="29"/>
        <v>45442.064516129023</v>
      </c>
      <c r="Z26" s="207">
        <f>'B5'!C25</f>
        <v>198</v>
      </c>
      <c r="AA26" s="207">
        <f t="shared" si="30"/>
        <v>1980</v>
      </c>
      <c r="AB26" s="207">
        <f t="shared" si="31"/>
        <v>198</v>
      </c>
      <c r="AC26" s="207">
        <f t="shared" si="30"/>
        <v>1980</v>
      </c>
      <c r="AD26" s="207">
        <f t="shared" si="32"/>
        <v>198</v>
      </c>
      <c r="AE26" s="207">
        <f t="shared" si="11"/>
        <v>1980</v>
      </c>
      <c r="AF26" s="207">
        <f t="shared" si="33"/>
        <v>198</v>
      </c>
      <c r="AG26" s="207">
        <f t="shared" si="12"/>
        <v>1980</v>
      </c>
      <c r="AH26" s="207">
        <f t="shared" si="34"/>
        <v>198</v>
      </c>
      <c r="AI26" s="207">
        <f t="shared" si="13"/>
        <v>1980</v>
      </c>
      <c r="AJ26" s="207">
        <f t="shared" si="35"/>
        <v>198</v>
      </c>
      <c r="AK26" s="207">
        <f t="shared" si="14"/>
        <v>1980</v>
      </c>
      <c r="AL26" s="207">
        <f t="shared" si="36"/>
        <v>198</v>
      </c>
      <c r="AM26" s="207">
        <f t="shared" si="15"/>
        <v>1980</v>
      </c>
      <c r="AN26" s="35">
        <f t="shared" si="16"/>
        <v>0.70714285714285718</v>
      </c>
      <c r="AO26" s="36">
        <f t="shared" si="17"/>
        <v>13860</v>
      </c>
      <c r="AQ26" s="227">
        <f t="shared" si="37"/>
        <v>0.63786236975507182</v>
      </c>
      <c r="AR26" s="38">
        <f t="shared" si="41"/>
        <v>59302.064516129023</v>
      </c>
      <c r="AS26" s="201">
        <f t="shared" si="38"/>
        <v>0</v>
      </c>
      <c r="AT26" s="278"/>
      <c r="AU26" s="452"/>
      <c r="AV26" s="539">
        <f t="shared" si="42"/>
        <v>0.39300000000000002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7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192</v>
      </c>
      <c r="C27" s="207">
        <f t="shared" si="18"/>
        <v>4131.0967741935483</v>
      </c>
      <c r="D27">
        <f t="shared" si="19"/>
        <v>192</v>
      </c>
      <c r="E27" s="207">
        <f t="shared" si="18"/>
        <v>4131.0967741935483</v>
      </c>
      <c r="F27">
        <f t="shared" si="20"/>
        <v>192</v>
      </c>
      <c r="G27" s="207">
        <f t="shared" si="1"/>
        <v>4131.0967741935483</v>
      </c>
      <c r="H27" s="207">
        <f t="shared" si="21"/>
        <v>192</v>
      </c>
      <c r="I27" s="207">
        <f t="shared" si="2"/>
        <v>4131.0967741935483</v>
      </c>
      <c r="J27" s="207">
        <f t="shared" si="22"/>
        <v>192</v>
      </c>
      <c r="K27" s="207">
        <f t="shared" si="3"/>
        <v>4131.0967741935483</v>
      </c>
      <c r="L27" s="207">
        <f t="shared" si="23"/>
        <v>192</v>
      </c>
      <c r="M27" s="207">
        <f t="shared" si="4"/>
        <v>4131.0967741935483</v>
      </c>
      <c r="N27" s="207">
        <f t="shared" si="24"/>
        <v>192</v>
      </c>
      <c r="O27" s="207">
        <f t="shared" si="5"/>
        <v>4131.0967741935483</v>
      </c>
      <c r="P27" s="207">
        <f t="shared" si="25"/>
        <v>192</v>
      </c>
      <c r="Q27" s="207">
        <f t="shared" si="6"/>
        <v>4131.0967741935483</v>
      </c>
      <c r="R27" s="207">
        <f t="shared" si="26"/>
        <v>192</v>
      </c>
      <c r="S27" s="207">
        <f t="shared" si="7"/>
        <v>4131.0967741935483</v>
      </c>
      <c r="T27" s="207">
        <f t="shared" si="27"/>
        <v>192</v>
      </c>
      <c r="U27" s="207">
        <f t="shared" si="8"/>
        <v>4131.0967741935483</v>
      </c>
      <c r="V27" s="207">
        <f t="shared" si="28"/>
        <v>192</v>
      </c>
      <c r="W27" s="207">
        <f t="shared" si="9"/>
        <v>4131.0967741935483</v>
      </c>
      <c r="X27" s="35">
        <f t="shared" si="10"/>
        <v>0.61935483870967734</v>
      </c>
      <c r="Y27" s="36">
        <f t="shared" si="29"/>
        <v>45442.064516129023</v>
      </c>
      <c r="Z27" s="207">
        <f>'B5'!C26</f>
        <v>198</v>
      </c>
      <c r="AA27" s="207">
        <f t="shared" si="30"/>
        <v>1980</v>
      </c>
      <c r="AB27" s="207">
        <f t="shared" si="31"/>
        <v>198</v>
      </c>
      <c r="AC27" s="207">
        <f t="shared" si="30"/>
        <v>1980</v>
      </c>
      <c r="AD27" s="207">
        <f t="shared" si="32"/>
        <v>198</v>
      </c>
      <c r="AE27" s="207">
        <f t="shared" si="11"/>
        <v>1980</v>
      </c>
      <c r="AF27" s="207">
        <f t="shared" si="33"/>
        <v>198</v>
      </c>
      <c r="AG27" s="207">
        <f t="shared" si="12"/>
        <v>1980</v>
      </c>
      <c r="AH27" s="207">
        <f t="shared" si="34"/>
        <v>198</v>
      </c>
      <c r="AI27" s="207">
        <f t="shared" si="13"/>
        <v>1980</v>
      </c>
      <c r="AJ27" s="207">
        <f t="shared" si="35"/>
        <v>198</v>
      </c>
      <c r="AK27" s="207">
        <f t="shared" si="14"/>
        <v>1980</v>
      </c>
      <c r="AL27" s="207">
        <f t="shared" si="36"/>
        <v>198</v>
      </c>
      <c r="AM27" s="207">
        <f t="shared" si="15"/>
        <v>1980</v>
      </c>
      <c r="AN27" s="35">
        <f t="shared" si="16"/>
        <v>0.70714285714285718</v>
      </c>
      <c r="AO27" s="36">
        <f t="shared" si="17"/>
        <v>13860</v>
      </c>
      <c r="AQ27" s="227">
        <f t="shared" si="37"/>
        <v>0.63786236975507182</v>
      </c>
      <c r="AR27" s="38">
        <f t="shared" si="41"/>
        <v>59302.064516129023</v>
      </c>
      <c r="AS27" s="201">
        <f t="shared" si="38"/>
        <v>0</v>
      </c>
      <c r="AT27" s="278"/>
      <c r="AU27" s="452"/>
      <c r="AV27" s="539">
        <f t="shared" si="42"/>
        <v>0.39300000000000002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7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192</v>
      </c>
      <c r="C28" s="207">
        <f t="shared" si="18"/>
        <v>4131.0967741935483</v>
      </c>
      <c r="D28">
        <f t="shared" si="19"/>
        <v>192</v>
      </c>
      <c r="E28" s="207">
        <f t="shared" si="18"/>
        <v>4131.0967741935483</v>
      </c>
      <c r="F28">
        <f t="shared" si="20"/>
        <v>192</v>
      </c>
      <c r="G28" s="207">
        <f t="shared" si="1"/>
        <v>4131.0967741935483</v>
      </c>
      <c r="H28" s="207">
        <f t="shared" si="21"/>
        <v>192</v>
      </c>
      <c r="I28" s="207">
        <f t="shared" si="2"/>
        <v>4131.0967741935483</v>
      </c>
      <c r="J28" s="207">
        <f t="shared" si="22"/>
        <v>192</v>
      </c>
      <c r="K28" s="207">
        <f t="shared" si="3"/>
        <v>4131.0967741935483</v>
      </c>
      <c r="L28" s="207">
        <f t="shared" si="23"/>
        <v>192</v>
      </c>
      <c r="M28" s="207">
        <f t="shared" si="4"/>
        <v>4131.0967741935483</v>
      </c>
      <c r="N28" s="207">
        <f t="shared" si="24"/>
        <v>192</v>
      </c>
      <c r="O28" s="207">
        <f t="shared" si="5"/>
        <v>4131.0967741935483</v>
      </c>
      <c r="P28" s="207">
        <f t="shared" si="25"/>
        <v>192</v>
      </c>
      <c r="Q28" s="207">
        <f t="shared" si="6"/>
        <v>4131.0967741935483</v>
      </c>
      <c r="R28" s="207">
        <f t="shared" si="26"/>
        <v>192</v>
      </c>
      <c r="S28" s="207">
        <f t="shared" si="7"/>
        <v>4131.0967741935483</v>
      </c>
      <c r="T28" s="207">
        <f t="shared" si="27"/>
        <v>192</v>
      </c>
      <c r="U28" s="207">
        <f t="shared" si="8"/>
        <v>4131.0967741935483</v>
      </c>
      <c r="V28" s="207">
        <f t="shared" si="28"/>
        <v>192</v>
      </c>
      <c r="W28" s="207">
        <f t="shared" si="9"/>
        <v>4131.0967741935483</v>
      </c>
      <c r="X28" s="35">
        <f t="shared" si="10"/>
        <v>0.61935483870967734</v>
      </c>
      <c r="Y28" s="36">
        <f t="shared" si="29"/>
        <v>45442.064516129023</v>
      </c>
      <c r="Z28" s="207">
        <f>'B5'!C27</f>
        <v>198</v>
      </c>
      <c r="AA28" s="207">
        <f t="shared" si="30"/>
        <v>1980</v>
      </c>
      <c r="AB28" s="207">
        <f t="shared" si="31"/>
        <v>198</v>
      </c>
      <c r="AC28" s="207">
        <f t="shared" si="30"/>
        <v>1980</v>
      </c>
      <c r="AD28" s="207">
        <f t="shared" si="32"/>
        <v>198</v>
      </c>
      <c r="AE28" s="207">
        <f t="shared" si="11"/>
        <v>1980</v>
      </c>
      <c r="AF28" s="207">
        <f t="shared" si="33"/>
        <v>198</v>
      </c>
      <c r="AG28" s="207">
        <f t="shared" si="12"/>
        <v>1980</v>
      </c>
      <c r="AH28" s="207">
        <f t="shared" si="34"/>
        <v>198</v>
      </c>
      <c r="AI28" s="207">
        <f t="shared" si="13"/>
        <v>1980</v>
      </c>
      <c r="AJ28" s="207">
        <f t="shared" si="35"/>
        <v>198</v>
      </c>
      <c r="AK28" s="207">
        <f t="shared" si="14"/>
        <v>1980</v>
      </c>
      <c r="AL28" s="207">
        <f t="shared" si="36"/>
        <v>198</v>
      </c>
      <c r="AM28" s="207">
        <f t="shared" si="15"/>
        <v>1980</v>
      </c>
      <c r="AN28" s="35">
        <f t="shared" si="16"/>
        <v>0.70714285714285718</v>
      </c>
      <c r="AO28" s="36">
        <f t="shared" si="17"/>
        <v>13860</v>
      </c>
      <c r="AQ28" s="227">
        <f t="shared" si="37"/>
        <v>0.63786236975507182</v>
      </c>
      <c r="AR28" s="38">
        <f t="shared" si="41"/>
        <v>59302.064516129023</v>
      </c>
      <c r="AS28" s="201">
        <f t="shared" si="38"/>
        <v>0</v>
      </c>
      <c r="AT28" s="368"/>
      <c r="AU28" s="452"/>
      <c r="AV28" s="539">
        <f t="shared" si="42"/>
        <v>0.39300000000000002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7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192</v>
      </c>
      <c r="C29" s="207">
        <f t="shared" si="18"/>
        <v>4131.0967741935483</v>
      </c>
      <c r="D29">
        <f t="shared" si="19"/>
        <v>192</v>
      </c>
      <c r="E29" s="207">
        <f t="shared" si="18"/>
        <v>4131.0967741935483</v>
      </c>
      <c r="F29">
        <f t="shared" si="20"/>
        <v>192</v>
      </c>
      <c r="G29" s="207">
        <f t="shared" si="1"/>
        <v>4131.0967741935483</v>
      </c>
      <c r="H29" s="207">
        <f t="shared" si="21"/>
        <v>192</v>
      </c>
      <c r="I29" s="207">
        <f t="shared" si="2"/>
        <v>4131.0967741935483</v>
      </c>
      <c r="J29" s="207">
        <f t="shared" si="22"/>
        <v>192</v>
      </c>
      <c r="K29" s="207">
        <f t="shared" si="3"/>
        <v>4131.0967741935483</v>
      </c>
      <c r="L29" s="207">
        <f t="shared" si="23"/>
        <v>192</v>
      </c>
      <c r="M29" s="207">
        <f t="shared" si="4"/>
        <v>4131.0967741935483</v>
      </c>
      <c r="N29" s="207">
        <f t="shared" si="24"/>
        <v>192</v>
      </c>
      <c r="O29" s="207">
        <f t="shared" si="5"/>
        <v>4131.0967741935483</v>
      </c>
      <c r="P29" s="207">
        <f t="shared" si="25"/>
        <v>192</v>
      </c>
      <c r="Q29" s="207">
        <f t="shared" si="6"/>
        <v>4131.0967741935483</v>
      </c>
      <c r="R29" s="207">
        <f t="shared" si="26"/>
        <v>192</v>
      </c>
      <c r="S29" s="207">
        <f t="shared" si="7"/>
        <v>4131.0967741935483</v>
      </c>
      <c r="T29" s="207">
        <f t="shared" si="27"/>
        <v>192</v>
      </c>
      <c r="U29" s="207">
        <f t="shared" si="8"/>
        <v>4131.0967741935483</v>
      </c>
      <c r="V29" s="207">
        <f t="shared" si="28"/>
        <v>192</v>
      </c>
      <c r="W29" s="207">
        <f t="shared" si="9"/>
        <v>4131.0967741935483</v>
      </c>
      <c r="X29" s="35">
        <f t="shared" si="10"/>
        <v>0.61935483870967734</v>
      </c>
      <c r="Y29" s="36">
        <f t="shared" si="29"/>
        <v>45442.064516129023</v>
      </c>
      <c r="Z29" s="207">
        <f>'B5'!C28</f>
        <v>198</v>
      </c>
      <c r="AA29" s="207">
        <f t="shared" si="30"/>
        <v>1980</v>
      </c>
      <c r="AB29" s="207">
        <f t="shared" si="31"/>
        <v>198</v>
      </c>
      <c r="AC29" s="207">
        <f t="shared" si="30"/>
        <v>1980</v>
      </c>
      <c r="AD29" s="207">
        <f t="shared" si="32"/>
        <v>198</v>
      </c>
      <c r="AE29" s="207">
        <f t="shared" si="11"/>
        <v>1980</v>
      </c>
      <c r="AF29" s="207">
        <f t="shared" si="33"/>
        <v>198</v>
      </c>
      <c r="AG29" s="207">
        <f t="shared" si="12"/>
        <v>1980</v>
      </c>
      <c r="AH29" s="207">
        <f t="shared" si="34"/>
        <v>198</v>
      </c>
      <c r="AI29" s="207">
        <f t="shared" si="13"/>
        <v>1980</v>
      </c>
      <c r="AJ29" s="207">
        <f t="shared" si="35"/>
        <v>198</v>
      </c>
      <c r="AK29" s="207">
        <f t="shared" si="14"/>
        <v>1980</v>
      </c>
      <c r="AL29" s="207">
        <f t="shared" si="36"/>
        <v>198</v>
      </c>
      <c r="AM29" s="207">
        <f t="shared" si="15"/>
        <v>1980</v>
      </c>
      <c r="AN29" s="35">
        <f t="shared" si="16"/>
        <v>0.70714285714285718</v>
      </c>
      <c r="AO29" s="36">
        <f t="shared" si="17"/>
        <v>13860</v>
      </c>
      <c r="AQ29" s="227">
        <f t="shared" si="37"/>
        <v>0.63786236975507182</v>
      </c>
      <c r="AR29" s="38">
        <f t="shared" si="41"/>
        <v>59302.064516129023</v>
      </c>
      <c r="AS29" s="201">
        <f t="shared" si="38"/>
        <v>0</v>
      </c>
      <c r="AT29" s="368"/>
      <c r="AU29" s="452"/>
      <c r="AV29" s="539">
        <f t="shared" si="42"/>
        <v>0.39300000000000002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192</v>
      </c>
      <c r="C30" s="207">
        <f t="shared" si="18"/>
        <v>4131.0967741935483</v>
      </c>
      <c r="D30">
        <f t="shared" ref="D30:D35" si="44">SUM(B30)</f>
        <v>192</v>
      </c>
      <c r="E30" s="207">
        <f t="shared" si="18"/>
        <v>4131.0967741935483</v>
      </c>
      <c r="F30">
        <f t="shared" ref="F30:F35" si="45">SUM(D30)</f>
        <v>192</v>
      </c>
      <c r="G30" s="207">
        <f t="shared" si="1"/>
        <v>4131.0967741935483</v>
      </c>
      <c r="H30" s="207">
        <f t="shared" ref="H30:H35" si="46">SUM(F30)</f>
        <v>192</v>
      </c>
      <c r="I30" s="207">
        <f t="shared" si="2"/>
        <v>4131.0967741935483</v>
      </c>
      <c r="J30" s="207">
        <f t="shared" ref="J30:J35" si="47">SUM(H30)</f>
        <v>192</v>
      </c>
      <c r="K30" s="207">
        <f t="shared" si="3"/>
        <v>4131.0967741935483</v>
      </c>
      <c r="L30" s="207">
        <f t="shared" ref="L30:L35" si="48">SUM(J30)</f>
        <v>192</v>
      </c>
      <c r="M30" s="207">
        <f t="shared" si="4"/>
        <v>4131.0967741935483</v>
      </c>
      <c r="N30" s="207">
        <f t="shared" ref="N30:N35" si="49">SUM(L30)</f>
        <v>192</v>
      </c>
      <c r="O30" s="207">
        <f t="shared" si="5"/>
        <v>4131.0967741935483</v>
      </c>
      <c r="P30" s="207">
        <f t="shared" ref="P30:P35" si="50">SUM(N30)</f>
        <v>192</v>
      </c>
      <c r="Q30" s="207">
        <f t="shared" si="6"/>
        <v>4131.0967741935483</v>
      </c>
      <c r="R30" s="207">
        <f t="shared" ref="R30:R35" si="51">SUM(P30)</f>
        <v>192</v>
      </c>
      <c r="S30" s="207">
        <f t="shared" si="7"/>
        <v>4131.0967741935483</v>
      </c>
      <c r="T30" s="207">
        <f t="shared" ref="T30:T35" si="52">SUM(R30)</f>
        <v>192</v>
      </c>
      <c r="U30" s="207">
        <f t="shared" si="8"/>
        <v>4131.0967741935483</v>
      </c>
      <c r="V30" s="207">
        <f t="shared" ref="V30:V35" si="53">SUM(T30)</f>
        <v>192</v>
      </c>
      <c r="W30" s="207">
        <f t="shared" si="9"/>
        <v>4131.0967741935483</v>
      </c>
      <c r="X30" s="35">
        <f t="shared" ref="X30:X35" si="54">SUM(Y30/73370)</f>
        <v>0.61935483870967734</v>
      </c>
      <c r="Y30" s="36">
        <f t="shared" ref="Y30:Y35" si="55">SUM(C30+E30+G30+I30+K30+M30+O30+Q30+S30+U30+W30)</f>
        <v>45442.064516129023</v>
      </c>
      <c r="Z30" s="207">
        <f>'B5'!C29</f>
        <v>198</v>
      </c>
      <c r="AA30" s="207">
        <f t="shared" si="30"/>
        <v>1980</v>
      </c>
      <c r="AB30" s="207">
        <f t="shared" ref="AB30:AB35" si="56">SUM(Z30)</f>
        <v>198</v>
      </c>
      <c r="AC30" s="207">
        <f t="shared" si="30"/>
        <v>1980</v>
      </c>
      <c r="AD30" s="207">
        <f t="shared" ref="AD30:AD35" si="57">SUM(AB30)</f>
        <v>198</v>
      </c>
      <c r="AE30" s="207">
        <f t="shared" si="11"/>
        <v>1980</v>
      </c>
      <c r="AF30" s="207">
        <f t="shared" ref="AF30:AF35" si="58">SUM(AD30)</f>
        <v>198</v>
      </c>
      <c r="AG30" s="207">
        <f t="shared" si="12"/>
        <v>1980</v>
      </c>
      <c r="AH30" s="207">
        <f t="shared" ref="AH30:AH35" si="59">SUM(AF30)</f>
        <v>198</v>
      </c>
      <c r="AI30" s="207">
        <f t="shared" si="13"/>
        <v>1980</v>
      </c>
      <c r="AJ30" s="207">
        <f t="shared" ref="AJ30:AJ35" si="60">SUM(AH30)</f>
        <v>198</v>
      </c>
      <c r="AK30" s="207">
        <f t="shared" si="14"/>
        <v>1980</v>
      </c>
      <c r="AL30" s="207">
        <f t="shared" ref="AL30:AL35" si="61">SUM(AJ30)</f>
        <v>198</v>
      </c>
      <c r="AM30" s="207">
        <f t="shared" si="15"/>
        <v>1980</v>
      </c>
      <c r="AN30" s="35">
        <f t="shared" ref="AN30:AN35" si="62">SUM(AO30/19600)</f>
        <v>0.70714285714285718</v>
      </c>
      <c r="AO30" s="36">
        <f t="shared" ref="AO30:AO35" si="63">SUM(AA30+AC30+AE30+AG30+AI30+AK30+AM30)</f>
        <v>13860</v>
      </c>
      <c r="AQ30" s="227">
        <f t="shared" si="37"/>
        <v>0.63786236975507182</v>
      </c>
      <c r="AR30" s="38">
        <f t="shared" si="41"/>
        <v>59302.064516129023</v>
      </c>
      <c r="AS30" s="201">
        <f t="shared" si="38"/>
        <v>0</v>
      </c>
      <c r="AT30" s="368"/>
      <c r="AU30" s="452"/>
      <c r="AV30" s="539">
        <f t="shared" si="42"/>
        <v>0.39300000000000002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192</v>
      </c>
      <c r="C31" s="207">
        <f t="shared" si="18"/>
        <v>4131.0967741935483</v>
      </c>
      <c r="D31">
        <f t="shared" si="44"/>
        <v>192</v>
      </c>
      <c r="E31" s="207">
        <f t="shared" si="18"/>
        <v>4131.0967741935483</v>
      </c>
      <c r="F31">
        <f t="shared" si="45"/>
        <v>192</v>
      </c>
      <c r="G31" s="207">
        <f t="shared" si="1"/>
        <v>4131.0967741935483</v>
      </c>
      <c r="H31" s="207">
        <f t="shared" si="46"/>
        <v>192</v>
      </c>
      <c r="I31" s="207">
        <f t="shared" si="2"/>
        <v>4131.0967741935483</v>
      </c>
      <c r="J31" s="207">
        <f t="shared" si="47"/>
        <v>192</v>
      </c>
      <c r="K31" s="207">
        <f t="shared" si="3"/>
        <v>4131.0967741935483</v>
      </c>
      <c r="L31" s="207">
        <f t="shared" si="48"/>
        <v>192</v>
      </c>
      <c r="M31" s="207">
        <f t="shared" si="4"/>
        <v>4131.0967741935483</v>
      </c>
      <c r="N31" s="207">
        <f t="shared" si="49"/>
        <v>192</v>
      </c>
      <c r="O31" s="207">
        <f t="shared" si="5"/>
        <v>4131.0967741935483</v>
      </c>
      <c r="P31" s="207">
        <f t="shared" si="50"/>
        <v>192</v>
      </c>
      <c r="Q31" s="207">
        <f t="shared" si="6"/>
        <v>4131.0967741935483</v>
      </c>
      <c r="R31" s="207">
        <f t="shared" si="51"/>
        <v>192</v>
      </c>
      <c r="S31" s="207">
        <f t="shared" si="7"/>
        <v>4131.0967741935483</v>
      </c>
      <c r="T31" s="207">
        <f t="shared" si="52"/>
        <v>192</v>
      </c>
      <c r="U31" s="207">
        <f t="shared" si="8"/>
        <v>4131.0967741935483</v>
      </c>
      <c r="V31" s="207">
        <f t="shared" si="53"/>
        <v>192</v>
      </c>
      <c r="W31" s="207">
        <f t="shared" si="9"/>
        <v>4131.0967741935483</v>
      </c>
      <c r="X31" s="35">
        <f t="shared" si="54"/>
        <v>0.61935483870967734</v>
      </c>
      <c r="Y31" s="36">
        <f t="shared" si="55"/>
        <v>45442.064516129023</v>
      </c>
      <c r="Z31" s="207">
        <f>'B5'!C30</f>
        <v>198</v>
      </c>
      <c r="AA31" s="207">
        <f t="shared" si="30"/>
        <v>1980</v>
      </c>
      <c r="AB31" s="207">
        <f t="shared" si="56"/>
        <v>198</v>
      </c>
      <c r="AC31" s="207">
        <f t="shared" si="30"/>
        <v>1980</v>
      </c>
      <c r="AD31" s="207">
        <f t="shared" si="57"/>
        <v>198</v>
      </c>
      <c r="AE31" s="207">
        <f t="shared" si="11"/>
        <v>1980</v>
      </c>
      <c r="AF31" s="207">
        <f t="shared" si="58"/>
        <v>198</v>
      </c>
      <c r="AG31" s="207">
        <f t="shared" si="12"/>
        <v>1980</v>
      </c>
      <c r="AH31" s="207">
        <f t="shared" si="59"/>
        <v>198</v>
      </c>
      <c r="AI31" s="207">
        <f t="shared" si="13"/>
        <v>1980</v>
      </c>
      <c r="AJ31" s="207">
        <f t="shared" si="60"/>
        <v>198</v>
      </c>
      <c r="AK31" s="207">
        <f t="shared" si="14"/>
        <v>1980</v>
      </c>
      <c r="AL31" s="207">
        <f t="shared" si="61"/>
        <v>198</v>
      </c>
      <c r="AM31" s="207">
        <f t="shared" si="15"/>
        <v>1980</v>
      </c>
      <c r="AN31" s="35">
        <f t="shared" si="62"/>
        <v>0.70714285714285718</v>
      </c>
      <c r="AO31" s="36">
        <f t="shared" si="63"/>
        <v>13860</v>
      </c>
      <c r="AQ31" s="227">
        <f t="shared" si="37"/>
        <v>0.63786236975507182</v>
      </c>
      <c r="AR31" s="38">
        <f t="shared" si="41"/>
        <v>59302.064516129023</v>
      </c>
      <c r="AS31" s="201">
        <f>SUM(AR31-AR30-AT31)</f>
        <v>0</v>
      </c>
      <c r="AT31" s="368"/>
      <c r="AU31" s="452"/>
      <c r="AV31" s="539">
        <f t="shared" si="42"/>
        <v>0.39300000000000002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192</v>
      </c>
      <c r="C32" s="207">
        <f t="shared" si="18"/>
        <v>4131.0967741935483</v>
      </c>
      <c r="D32">
        <f t="shared" si="44"/>
        <v>192</v>
      </c>
      <c r="E32" s="207">
        <f t="shared" si="18"/>
        <v>4131.0967741935483</v>
      </c>
      <c r="F32">
        <f t="shared" si="45"/>
        <v>192</v>
      </c>
      <c r="G32" s="207">
        <f t="shared" si="1"/>
        <v>4131.0967741935483</v>
      </c>
      <c r="H32" s="207">
        <f t="shared" si="46"/>
        <v>192</v>
      </c>
      <c r="I32" s="207">
        <f t="shared" si="2"/>
        <v>4131.0967741935483</v>
      </c>
      <c r="J32" s="207">
        <f t="shared" si="47"/>
        <v>192</v>
      </c>
      <c r="K32" s="207">
        <f t="shared" si="3"/>
        <v>4131.0967741935483</v>
      </c>
      <c r="L32" s="207">
        <f t="shared" si="48"/>
        <v>192</v>
      </c>
      <c r="M32" s="207">
        <f t="shared" si="4"/>
        <v>4131.0967741935483</v>
      </c>
      <c r="N32" s="207">
        <f t="shared" si="49"/>
        <v>192</v>
      </c>
      <c r="O32" s="207">
        <f t="shared" si="5"/>
        <v>4131.0967741935483</v>
      </c>
      <c r="P32" s="207">
        <f t="shared" si="50"/>
        <v>192</v>
      </c>
      <c r="Q32" s="207">
        <f t="shared" si="6"/>
        <v>4131.0967741935483</v>
      </c>
      <c r="R32" s="207">
        <f t="shared" si="51"/>
        <v>192</v>
      </c>
      <c r="S32" s="207">
        <f t="shared" si="7"/>
        <v>4131.0967741935483</v>
      </c>
      <c r="T32" s="207">
        <f t="shared" si="52"/>
        <v>192</v>
      </c>
      <c r="U32" s="207">
        <f t="shared" si="8"/>
        <v>4131.0967741935483</v>
      </c>
      <c r="V32" s="207">
        <f t="shared" si="53"/>
        <v>192</v>
      </c>
      <c r="W32" s="207">
        <f t="shared" si="9"/>
        <v>4131.0967741935483</v>
      </c>
      <c r="X32" s="35">
        <f t="shared" si="54"/>
        <v>0.61935483870967734</v>
      </c>
      <c r="Y32" s="36">
        <f t="shared" si="55"/>
        <v>45442.064516129023</v>
      </c>
      <c r="Z32" s="207">
        <f>'B5'!C31</f>
        <v>198</v>
      </c>
      <c r="AA32" s="207">
        <f t="shared" si="30"/>
        <v>1980</v>
      </c>
      <c r="AB32" s="207">
        <f t="shared" si="56"/>
        <v>198</v>
      </c>
      <c r="AC32" s="207">
        <f t="shared" si="30"/>
        <v>1980</v>
      </c>
      <c r="AD32" s="207">
        <f t="shared" si="57"/>
        <v>198</v>
      </c>
      <c r="AE32" s="207">
        <f t="shared" si="11"/>
        <v>1980</v>
      </c>
      <c r="AF32" s="207">
        <f t="shared" si="58"/>
        <v>198</v>
      </c>
      <c r="AG32" s="207">
        <f t="shared" si="12"/>
        <v>1980</v>
      </c>
      <c r="AH32" s="207">
        <f t="shared" si="59"/>
        <v>198</v>
      </c>
      <c r="AI32" s="207">
        <f t="shared" si="13"/>
        <v>1980</v>
      </c>
      <c r="AJ32" s="207">
        <f t="shared" si="60"/>
        <v>198</v>
      </c>
      <c r="AK32" s="207">
        <f t="shared" si="14"/>
        <v>1980</v>
      </c>
      <c r="AL32" s="207">
        <f t="shared" si="61"/>
        <v>198</v>
      </c>
      <c r="AM32" s="207">
        <f t="shared" si="15"/>
        <v>1980</v>
      </c>
      <c r="AN32" s="35">
        <f t="shared" si="62"/>
        <v>0.70714285714285718</v>
      </c>
      <c r="AO32" s="36">
        <f t="shared" si="63"/>
        <v>13860</v>
      </c>
      <c r="AQ32" s="227">
        <f t="shared" si="37"/>
        <v>0.63786236975507182</v>
      </c>
      <c r="AR32" s="38">
        <f t="shared" si="41"/>
        <v>59302.064516129023</v>
      </c>
      <c r="AS32" s="201">
        <f t="shared" si="38"/>
        <v>0</v>
      </c>
      <c r="AT32" s="368"/>
      <c r="AU32" s="452"/>
      <c r="AV32" s="539">
        <f>IF(AT32&gt;0,AU32,AV31)</f>
        <v>0.39300000000000002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192</v>
      </c>
      <c r="C33" s="207">
        <f t="shared" si="18"/>
        <v>4131.0967741935483</v>
      </c>
      <c r="D33">
        <f t="shared" si="44"/>
        <v>192</v>
      </c>
      <c r="E33" s="207">
        <f t="shared" si="18"/>
        <v>4131.0967741935483</v>
      </c>
      <c r="F33">
        <f t="shared" si="45"/>
        <v>192</v>
      </c>
      <c r="G33" s="207">
        <f t="shared" si="1"/>
        <v>4131.0967741935483</v>
      </c>
      <c r="H33" s="207">
        <f t="shared" si="46"/>
        <v>192</v>
      </c>
      <c r="I33" s="207">
        <f t="shared" si="2"/>
        <v>4131.0967741935483</v>
      </c>
      <c r="J33" s="207">
        <f t="shared" si="47"/>
        <v>192</v>
      </c>
      <c r="K33" s="207">
        <f t="shared" si="3"/>
        <v>4131.0967741935483</v>
      </c>
      <c r="L33" s="207">
        <f t="shared" si="48"/>
        <v>192</v>
      </c>
      <c r="M33" s="207">
        <f t="shared" si="4"/>
        <v>4131.0967741935483</v>
      </c>
      <c r="N33" s="207">
        <f t="shared" si="49"/>
        <v>192</v>
      </c>
      <c r="O33" s="207">
        <f t="shared" si="5"/>
        <v>4131.0967741935483</v>
      </c>
      <c r="P33" s="207">
        <f t="shared" si="50"/>
        <v>192</v>
      </c>
      <c r="Q33" s="207">
        <f t="shared" si="6"/>
        <v>4131.0967741935483</v>
      </c>
      <c r="R33" s="207">
        <f t="shared" si="51"/>
        <v>192</v>
      </c>
      <c r="S33" s="207">
        <f t="shared" si="7"/>
        <v>4131.0967741935483</v>
      </c>
      <c r="T33" s="207">
        <f t="shared" si="52"/>
        <v>192</v>
      </c>
      <c r="U33" s="207">
        <f t="shared" si="8"/>
        <v>4131.0967741935483</v>
      </c>
      <c r="V33" s="207">
        <f t="shared" si="53"/>
        <v>192</v>
      </c>
      <c r="W33" s="207">
        <f t="shared" si="9"/>
        <v>4131.0967741935483</v>
      </c>
      <c r="X33" s="35">
        <f t="shared" si="54"/>
        <v>0.61935483870967734</v>
      </c>
      <c r="Y33" s="36">
        <f t="shared" si="55"/>
        <v>45442.064516129023</v>
      </c>
      <c r="Z33" s="207">
        <f>'B5'!C32</f>
        <v>198</v>
      </c>
      <c r="AA33" s="207">
        <f t="shared" si="30"/>
        <v>1980</v>
      </c>
      <c r="AB33" s="207">
        <f t="shared" si="56"/>
        <v>198</v>
      </c>
      <c r="AC33" s="207">
        <f t="shared" si="30"/>
        <v>1980</v>
      </c>
      <c r="AD33" s="207">
        <f t="shared" si="57"/>
        <v>198</v>
      </c>
      <c r="AE33" s="207">
        <f t="shared" si="11"/>
        <v>1980</v>
      </c>
      <c r="AF33" s="207">
        <f t="shared" si="58"/>
        <v>198</v>
      </c>
      <c r="AG33" s="207">
        <f t="shared" si="12"/>
        <v>1980</v>
      </c>
      <c r="AH33" s="207">
        <f t="shared" si="59"/>
        <v>198</v>
      </c>
      <c r="AI33" s="207">
        <f t="shared" si="13"/>
        <v>1980</v>
      </c>
      <c r="AJ33" s="207">
        <f t="shared" si="60"/>
        <v>198</v>
      </c>
      <c r="AK33" s="207">
        <f t="shared" si="14"/>
        <v>1980</v>
      </c>
      <c r="AL33" s="207">
        <f t="shared" si="61"/>
        <v>198</v>
      </c>
      <c r="AM33" s="207">
        <f t="shared" si="15"/>
        <v>1980</v>
      </c>
      <c r="AN33" s="35">
        <f t="shared" si="62"/>
        <v>0.70714285714285718</v>
      </c>
      <c r="AO33" s="36">
        <f t="shared" si="63"/>
        <v>13860</v>
      </c>
      <c r="AQ33" s="227">
        <f t="shared" si="37"/>
        <v>0.63786236975507182</v>
      </c>
      <c r="AR33" s="38">
        <f t="shared" si="41"/>
        <v>59302.064516129023</v>
      </c>
      <c r="AS33" s="201">
        <f t="shared" si="38"/>
        <v>0</v>
      </c>
      <c r="AT33" s="368"/>
      <c r="AU33" s="452"/>
      <c r="AV33" s="539">
        <f>IF(AT33&gt;0,AU33,AV32)</f>
        <v>0.39300000000000002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192</v>
      </c>
      <c r="C34" s="207">
        <f t="shared" si="18"/>
        <v>4131.0967741935483</v>
      </c>
      <c r="D34">
        <f t="shared" si="44"/>
        <v>192</v>
      </c>
      <c r="E34" s="207">
        <f t="shared" si="18"/>
        <v>4131.0967741935483</v>
      </c>
      <c r="F34">
        <f t="shared" si="45"/>
        <v>192</v>
      </c>
      <c r="G34" s="207">
        <f t="shared" si="1"/>
        <v>4131.0967741935483</v>
      </c>
      <c r="H34" s="207">
        <f t="shared" si="46"/>
        <v>192</v>
      </c>
      <c r="I34" s="207">
        <f t="shared" si="2"/>
        <v>4131.0967741935483</v>
      </c>
      <c r="J34" s="207">
        <f t="shared" si="47"/>
        <v>192</v>
      </c>
      <c r="K34" s="207">
        <f t="shared" si="3"/>
        <v>4131.0967741935483</v>
      </c>
      <c r="L34" s="207">
        <f t="shared" si="48"/>
        <v>192</v>
      </c>
      <c r="M34" s="207">
        <f t="shared" si="4"/>
        <v>4131.0967741935483</v>
      </c>
      <c r="N34" s="207">
        <f t="shared" si="49"/>
        <v>192</v>
      </c>
      <c r="O34" s="207">
        <f t="shared" si="5"/>
        <v>4131.0967741935483</v>
      </c>
      <c r="P34" s="207">
        <f t="shared" si="50"/>
        <v>192</v>
      </c>
      <c r="Q34" s="207">
        <f t="shared" si="6"/>
        <v>4131.0967741935483</v>
      </c>
      <c r="R34" s="207">
        <f t="shared" si="51"/>
        <v>192</v>
      </c>
      <c r="S34" s="207">
        <f t="shared" si="7"/>
        <v>4131.0967741935483</v>
      </c>
      <c r="T34" s="207">
        <f t="shared" si="52"/>
        <v>192</v>
      </c>
      <c r="U34" s="207">
        <f t="shared" si="8"/>
        <v>4131.0967741935483</v>
      </c>
      <c r="V34" s="207">
        <f t="shared" si="53"/>
        <v>192</v>
      </c>
      <c r="W34" s="207">
        <f t="shared" si="9"/>
        <v>4131.0967741935483</v>
      </c>
      <c r="X34" s="35">
        <f t="shared" si="54"/>
        <v>0.61935483870967734</v>
      </c>
      <c r="Y34" s="36">
        <f t="shared" si="55"/>
        <v>45442.064516129023</v>
      </c>
      <c r="Z34" s="207">
        <f>'B5'!C33</f>
        <v>198</v>
      </c>
      <c r="AA34" s="207">
        <f t="shared" si="30"/>
        <v>1980</v>
      </c>
      <c r="AB34" s="207">
        <f t="shared" si="56"/>
        <v>198</v>
      </c>
      <c r="AC34" s="207">
        <f t="shared" si="30"/>
        <v>1980</v>
      </c>
      <c r="AD34" s="207">
        <f t="shared" si="57"/>
        <v>198</v>
      </c>
      <c r="AE34" s="207">
        <f t="shared" si="11"/>
        <v>1980</v>
      </c>
      <c r="AF34" s="207">
        <f t="shared" si="58"/>
        <v>198</v>
      </c>
      <c r="AG34" s="207">
        <f t="shared" si="12"/>
        <v>1980</v>
      </c>
      <c r="AH34" s="207">
        <f t="shared" si="59"/>
        <v>198</v>
      </c>
      <c r="AI34" s="207">
        <f t="shared" si="13"/>
        <v>1980</v>
      </c>
      <c r="AJ34" s="207">
        <f t="shared" si="60"/>
        <v>198</v>
      </c>
      <c r="AK34" s="207">
        <f t="shared" si="14"/>
        <v>1980</v>
      </c>
      <c r="AL34" s="207">
        <f t="shared" si="61"/>
        <v>198</v>
      </c>
      <c r="AM34" s="207">
        <f t="shared" si="15"/>
        <v>1980</v>
      </c>
      <c r="AN34" s="35">
        <f t="shared" si="62"/>
        <v>0.70714285714285718</v>
      </c>
      <c r="AO34" s="36">
        <f t="shared" si="63"/>
        <v>13860</v>
      </c>
      <c r="AQ34" s="227">
        <f>SUM(AR34/92970)</f>
        <v>0.63786236975507182</v>
      </c>
      <c r="AR34" s="38">
        <f t="shared" si="41"/>
        <v>59302.064516129023</v>
      </c>
      <c r="AS34" s="201">
        <f t="shared" si="38"/>
        <v>0</v>
      </c>
      <c r="AT34" s="368"/>
      <c r="AU34" s="452"/>
      <c r="AV34" s="539">
        <f t="shared" si="42"/>
        <v>0.39300000000000002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192</v>
      </c>
      <c r="C35" s="207">
        <f t="shared" si="18"/>
        <v>4131.0967741935483</v>
      </c>
      <c r="D35">
        <f t="shared" si="44"/>
        <v>192</v>
      </c>
      <c r="E35" s="207">
        <f t="shared" si="18"/>
        <v>4131.0967741935483</v>
      </c>
      <c r="F35">
        <f t="shared" si="45"/>
        <v>192</v>
      </c>
      <c r="G35" s="207">
        <f t="shared" si="1"/>
        <v>4131.0967741935483</v>
      </c>
      <c r="H35" s="207">
        <f t="shared" si="46"/>
        <v>192</v>
      </c>
      <c r="I35" s="207">
        <f t="shared" si="2"/>
        <v>4131.0967741935483</v>
      </c>
      <c r="J35" s="207">
        <f t="shared" si="47"/>
        <v>192</v>
      </c>
      <c r="K35" s="207">
        <f t="shared" si="3"/>
        <v>4131.0967741935483</v>
      </c>
      <c r="L35" s="207">
        <f t="shared" si="48"/>
        <v>192</v>
      </c>
      <c r="M35" s="207">
        <f t="shared" si="4"/>
        <v>4131.0967741935483</v>
      </c>
      <c r="N35" s="207">
        <f t="shared" si="49"/>
        <v>192</v>
      </c>
      <c r="O35" s="207">
        <f t="shared" si="5"/>
        <v>4131.0967741935483</v>
      </c>
      <c r="P35" s="207">
        <f t="shared" si="50"/>
        <v>192</v>
      </c>
      <c r="Q35" s="207">
        <f t="shared" si="6"/>
        <v>4131.0967741935483</v>
      </c>
      <c r="R35" s="207">
        <f t="shared" si="51"/>
        <v>192</v>
      </c>
      <c r="S35" s="207">
        <f t="shared" si="7"/>
        <v>4131.0967741935483</v>
      </c>
      <c r="T35" s="207">
        <f t="shared" si="52"/>
        <v>192</v>
      </c>
      <c r="U35" s="207">
        <f t="shared" si="8"/>
        <v>4131.0967741935483</v>
      </c>
      <c r="V35" s="207">
        <f t="shared" si="53"/>
        <v>192</v>
      </c>
      <c r="W35" s="207">
        <f t="shared" si="9"/>
        <v>4131.0967741935483</v>
      </c>
      <c r="X35" s="35">
        <f t="shared" si="54"/>
        <v>0.61935483870967734</v>
      </c>
      <c r="Y35" s="36">
        <f t="shared" si="55"/>
        <v>45442.064516129023</v>
      </c>
      <c r="Z35" s="207">
        <f>'B5'!C34</f>
        <v>198</v>
      </c>
      <c r="AA35" s="207">
        <f t="shared" si="30"/>
        <v>1980</v>
      </c>
      <c r="AB35" s="207">
        <f t="shared" si="56"/>
        <v>198</v>
      </c>
      <c r="AC35" s="207">
        <f t="shared" si="30"/>
        <v>1980</v>
      </c>
      <c r="AD35" s="207">
        <f t="shared" si="57"/>
        <v>198</v>
      </c>
      <c r="AE35" s="207">
        <f t="shared" si="11"/>
        <v>1980</v>
      </c>
      <c r="AF35" s="207">
        <f t="shared" si="58"/>
        <v>198</v>
      </c>
      <c r="AG35" s="207">
        <f t="shared" si="12"/>
        <v>1980</v>
      </c>
      <c r="AH35" s="207">
        <f t="shared" si="59"/>
        <v>198</v>
      </c>
      <c r="AI35" s="207">
        <f t="shared" si="13"/>
        <v>1980</v>
      </c>
      <c r="AJ35" s="207">
        <f t="shared" si="60"/>
        <v>198</v>
      </c>
      <c r="AK35" s="207">
        <f t="shared" si="14"/>
        <v>1980</v>
      </c>
      <c r="AL35" s="207">
        <f t="shared" si="61"/>
        <v>198</v>
      </c>
      <c r="AM35" s="207">
        <f t="shared" si="15"/>
        <v>1980</v>
      </c>
      <c r="AN35" s="35">
        <f t="shared" si="62"/>
        <v>0.70714285714285718</v>
      </c>
      <c r="AO35" s="36">
        <f t="shared" si="63"/>
        <v>13860</v>
      </c>
      <c r="AQ35" s="227">
        <f>SUM(AR35/92970)</f>
        <v>0.63786236975507182</v>
      </c>
      <c r="AR35" s="38">
        <f t="shared" si="41"/>
        <v>59302.064516129023</v>
      </c>
      <c r="AS35" s="201">
        <f t="shared" si="38"/>
        <v>0</v>
      </c>
      <c r="AT35" s="368"/>
      <c r="AU35" s="452"/>
      <c r="AV35" s="539">
        <f>IF(AT35&gt;0,AU35,AV34)</f>
        <v>0.39300000000000002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4</v>
      </c>
      <c r="AT36" s="207">
        <f>SUM(AT6:AT35)</f>
        <v>26844.1</v>
      </c>
      <c r="AU36">
        <f>SUM(AU6:AU35)/AS36</f>
        <v>0.29825000000000002</v>
      </c>
      <c r="AX36" s="207">
        <f>SUM(AX6:AX35)</f>
        <v>-16485.193548387106</v>
      </c>
      <c r="AY36" s="207">
        <f>SUM(AY6:AY35)</f>
        <v>-22927.293548387112</v>
      </c>
    </row>
    <row r="37" spans="1:60">
      <c r="AS37" s="210"/>
      <c r="AT37">
        <f>+AT36*AU36</f>
        <v>8006.2528249999996</v>
      </c>
    </row>
    <row r="39" spans="1:60">
      <c r="AS39" s="166">
        <f>SUM(AS6:AS35)/'EDl log'!A37</f>
        <v>-1348.6643263757123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R1" zoomScaleNormal="100" workbookViewId="0">
      <pane ySplit="1" topLeftCell="A2" activePane="bottomLeft" state="frozen"/>
      <selection pane="bottomLeft" activeCell="D19" sqref="D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3">
        <v>8659</v>
      </c>
      <c r="C3" s="297">
        <f>B3-B2</f>
        <v>4</v>
      </c>
      <c r="D3" s="584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4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4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4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4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1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1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1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1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1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1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1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v>8697</v>
      </c>
      <c r="C17" s="297">
        <f t="shared" si="11"/>
        <v>8</v>
      </c>
      <c r="D17" s="277">
        <v>160634</v>
      </c>
      <c r="E17" s="297">
        <f t="shared" si="12"/>
        <v>1143</v>
      </c>
      <c r="F17" s="297">
        <f t="shared" si="0"/>
        <v>142.875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8</v>
      </c>
      <c r="AA17" s="297">
        <f t="shared" si="20"/>
        <v>1143</v>
      </c>
      <c r="AB17" s="297">
        <f t="shared" si="21"/>
        <v>142.875</v>
      </c>
      <c r="AC17" s="297">
        <f t="shared" si="22"/>
        <v>142.875</v>
      </c>
      <c r="AD17" s="74">
        <f>ELEC!Q17</f>
        <v>6000</v>
      </c>
      <c r="AE17" s="74">
        <f t="shared" si="24"/>
        <v>750</v>
      </c>
      <c r="AF17" s="416">
        <f t="shared" si="25"/>
        <v>0.46875</v>
      </c>
      <c r="AG17" s="417">
        <f t="shared" si="26"/>
        <v>150</v>
      </c>
      <c r="AH17" s="417">
        <f t="shared" si="23"/>
        <v>-7.125</v>
      </c>
      <c r="AI17" s="74">
        <f t="shared" si="27"/>
        <v>1544.3037974683546</v>
      </c>
      <c r="AJ17" s="299">
        <f t="shared" si="9"/>
        <v>0.25738396624472576</v>
      </c>
      <c r="AK17" s="299">
        <f t="shared" ref="AK17:AK32" si="30">IF(Z17&gt;0,AI17/Z17,0)</f>
        <v>193.03797468354432</v>
      </c>
    </row>
    <row r="18" spans="1:37">
      <c r="A18" s="4">
        <f>ELEC!C18</f>
        <v>43998</v>
      </c>
      <c r="B18" s="277">
        <v>8704</v>
      </c>
      <c r="C18" s="297">
        <f t="shared" si="11"/>
        <v>7</v>
      </c>
      <c r="D18" s="277">
        <v>161446</v>
      </c>
      <c r="E18" s="297">
        <f t="shared" si="12"/>
        <v>812</v>
      </c>
      <c r="F18" s="297">
        <f t="shared" si="0"/>
        <v>116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7</v>
      </c>
      <c r="AA18" s="297">
        <f t="shared" si="20"/>
        <v>812</v>
      </c>
      <c r="AB18" s="297">
        <f t="shared" si="21"/>
        <v>116</v>
      </c>
      <c r="AC18" s="297">
        <f t="shared" si="22"/>
        <v>116</v>
      </c>
      <c r="AD18" s="74">
        <f>ELEC!Q18</f>
        <v>5000</v>
      </c>
      <c r="AE18" s="74">
        <f t="shared" si="24"/>
        <v>714.28571428571433</v>
      </c>
      <c r="AF18" s="416">
        <f t="shared" si="25"/>
        <v>0.44642857142857145</v>
      </c>
      <c r="AG18" s="417">
        <f t="shared" si="26"/>
        <v>142.85714285714286</v>
      </c>
      <c r="AH18" s="417">
        <f t="shared" si="23"/>
        <v>-26.857142857142861</v>
      </c>
      <c r="AI18" s="74">
        <f t="shared" si="27"/>
        <v>1286.9198312236288</v>
      </c>
      <c r="AJ18" s="299">
        <f t="shared" si="9"/>
        <v>0.25738396624472576</v>
      </c>
      <c r="AK18" s="299">
        <f t="shared" si="30"/>
        <v>183.8456901748041</v>
      </c>
    </row>
    <row r="19" spans="1:37">
      <c r="A19" s="4">
        <f>ELEC!C19</f>
        <v>43999</v>
      </c>
      <c r="B19" s="591">
        <v>8709</v>
      </c>
      <c r="C19" s="297">
        <f t="shared" si="11"/>
        <v>5</v>
      </c>
      <c r="D19" s="277">
        <v>162454</v>
      </c>
      <c r="E19" s="297">
        <f t="shared" si="12"/>
        <v>1008</v>
      </c>
      <c r="F19" s="297">
        <f t="shared" si="0"/>
        <v>201.6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5</v>
      </c>
      <c r="AA19" s="297">
        <f t="shared" si="20"/>
        <v>1008</v>
      </c>
      <c r="AB19" s="297">
        <f t="shared" si="21"/>
        <v>201.6</v>
      </c>
      <c r="AC19" s="297">
        <f t="shared" si="22"/>
        <v>201.6</v>
      </c>
      <c r="AD19" s="74">
        <f>ELEC!Q19</f>
        <v>3000</v>
      </c>
      <c r="AE19" s="74">
        <f t="shared" si="24"/>
        <v>600</v>
      </c>
      <c r="AF19" s="416">
        <f t="shared" si="25"/>
        <v>0.375</v>
      </c>
      <c r="AG19" s="417">
        <f t="shared" si="26"/>
        <v>120</v>
      </c>
      <c r="AH19" s="417">
        <f t="shared" si="23"/>
        <v>81.599999999999994</v>
      </c>
      <c r="AI19" s="74">
        <f t="shared" si="27"/>
        <v>772.15189873417728</v>
      </c>
      <c r="AJ19" s="299">
        <f t="shared" si="9"/>
        <v>0.25738396624472576</v>
      </c>
      <c r="AK19" s="299">
        <f t="shared" si="30"/>
        <v>154.43037974683546</v>
      </c>
    </row>
    <row r="20" spans="1:37">
      <c r="A20" s="4">
        <f>ELEC!C20</f>
        <v>44000</v>
      </c>
      <c r="B20" s="277">
        <f t="shared" si="28"/>
        <v>8709</v>
      </c>
      <c r="C20" s="297">
        <f>B20-B19</f>
        <v>0</v>
      </c>
      <c r="D20" s="277">
        <f t="shared" si="28"/>
        <v>162454</v>
      </c>
      <c r="E20" s="297">
        <f t="shared" si="12"/>
        <v>0</v>
      </c>
      <c r="F20" s="297">
        <f t="shared" si="0"/>
        <v>0</v>
      </c>
      <c r="G20" s="200"/>
      <c r="H20" s="298">
        <f t="shared" si="13"/>
        <v>8770</v>
      </c>
      <c r="I20" s="297" t="str">
        <f t="shared" si="1"/>
        <v>ok</v>
      </c>
      <c r="J20" s="277">
        <f t="shared" si="14"/>
        <v>10698</v>
      </c>
      <c r="K20" s="297">
        <f t="shared" si="2"/>
        <v>0</v>
      </c>
      <c r="L20" s="277">
        <f t="shared" si="14"/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f t="shared" si="17"/>
        <v>11226</v>
      </c>
      <c r="S20" s="297">
        <f t="shared" si="5"/>
        <v>0</v>
      </c>
      <c r="T20" s="277">
        <f t="shared" si="17"/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0</v>
      </c>
      <c r="AA20" s="297">
        <f t="shared" si="20"/>
        <v>0</v>
      </c>
      <c r="AB20" s="297">
        <f t="shared" si="21"/>
        <v>0</v>
      </c>
      <c r="AC20" s="297">
        <f t="shared" si="22"/>
        <v>0</v>
      </c>
      <c r="AD20" s="74">
        <f>ELEC!Q20</f>
        <v>0</v>
      </c>
      <c r="AE20" s="74" t="e">
        <f t="shared" si="24"/>
        <v>#DIV/0!</v>
      </c>
      <c r="AF20" s="416" t="e">
        <f t="shared" si="25"/>
        <v>#DIV/0!</v>
      </c>
      <c r="AG20" s="417" t="e">
        <f t="shared" si="26"/>
        <v>#DIV/0!</v>
      </c>
      <c r="AH20" s="417" t="e">
        <f t="shared" si="23"/>
        <v>#DIV/0!</v>
      </c>
      <c r="AI20" s="74">
        <f>AD20*AJ20</f>
        <v>0</v>
      </c>
      <c r="AJ20" s="299">
        <f t="shared" si="9"/>
        <v>0.25738396624472576</v>
      </c>
      <c r="AK20" s="299">
        <f t="shared" si="30"/>
        <v>0</v>
      </c>
    </row>
    <row r="21" spans="1:37">
      <c r="A21" s="4">
        <f>ELEC!C21</f>
        <v>44001</v>
      </c>
      <c r="B21" s="277">
        <f t="shared" si="28"/>
        <v>8709</v>
      </c>
      <c r="C21" s="297">
        <f t="shared" si="11"/>
        <v>0</v>
      </c>
      <c r="D21" s="277">
        <f t="shared" si="28"/>
        <v>162454</v>
      </c>
      <c r="E21" s="297">
        <f t="shared" si="12"/>
        <v>0</v>
      </c>
      <c r="F21" s="297">
        <f t="shared" si="0"/>
        <v>0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0</v>
      </c>
      <c r="AA21" s="297">
        <f t="shared" si="20"/>
        <v>0</v>
      </c>
      <c r="AB21" s="297">
        <f t="shared" si="21"/>
        <v>0</v>
      </c>
      <c r="AC21" s="297">
        <f t="shared" si="22"/>
        <v>0</v>
      </c>
      <c r="AD21" s="74">
        <f>ELEC!Q21</f>
        <v>0</v>
      </c>
      <c r="AE21" s="74" t="e">
        <f t="shared" si="24"/>
        <v>#DIV/0!</v>
      </c>
      <c r="AF21" s="416" t="e">
        <f t="shared" si="25"/>
        <v>#DIV/0!</v>
      </c>
      <c r="AG21" s="417" t="e">
        <f t="shared" si="26"/>
        <v>#DIV/0!</v>
      </c>
      <c r="AH21" s="417" t="e">
        <f t="shared" si="23"/>
        <v>#DIV/0!</v>
      </c>
      <c r="AI21" s="74">
        <f t="shared" si="27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44002</v>
      </c>
      <c r="B22" s="277">
        <f t="shared" si="28"/>
        <v>8709</v>
      </c>
      <c r="C22" s="297">
        <f t="shared" si="11"/>
        <v>0</v>
      </c>
      <c r="D22" s="277">
        <f t="shared" si="28"/>
        <v>162454</v>
      </c>
      <c r="E22" s="297">
        <f t="shared" si="12"/>
        <v>0</v>
      </c>
      <c r="F22" s="297">
        <f t="shared" si="0"/>
        <v>0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f t="shared" si="17"/>
        <v>11226</v>
      </c>
      <c r="S22" s="297">
        <f t="shared" si="5"/>
        <v>0</v>
      </c>
      <c r="T22" s="277">
        <f t="shared" si="17"/>
        <v>259153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16" t="e">
        <f t="shared" si="25"/>
        <v>#DIV/0!</v>
      </c>
      <c r="AG22" s="417" t="e">
        <f t="shared" si="26"/>
        <v>#DIV/0!</v>
      </c>
      <c r="AH22" s="417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44003</v>
      </c>
      <c r="B23" s="277">
        <f t="shared" si="28"/>
        <v>8709</v>
      </c>
      <c r="C23" s="297">
        <f t="shared" si="11"/>
        <v>0</v>
      </c>
      <c r="D23" s="277">
        <f t="shared" si="28"/>
        <v>162454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f t="shared" si="14"/>
        <v>10698</v>
      </c>
      <c r="K23" s="297">
        <f t="shared" si="2"/>
        <v>0</v>
      </c>
      <c r="L23" s="277">
        <f t="shared" si="14"/>
        <v>238479</v>
      </c>
      <c r="M23" s="297">
        <f t="shared" si="3"/>
        <v>0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f t="shared" si="17"/>
        <v>11226</v>
      </c>
      <c r="S23" s="297">
        <f t="shared" si="5"/>
        <v>0</v>
      </c>
      <c r="T23" s="277">
        <f t="shared" si="17"/>
        <v>259153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16" t="e">
        <f t="shared" si="25"/>
        <v>#DIV/0!</v>
      </c>
      <c r="AG23" s="417" t="e">
        <f t="shared" si="26"/>
        <v>#DIV/0!</v>
      </c>
      <c r="AH23" s="417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44004</v>
      </c>
      <c r="B24" s="277">
        <f t="shared" si="28"/>
        <v>8709</v>
      </c>
      <c r="C24" s="297">
        <f t="shared" si="11"/>
        <v>0</v>
      </c>
      <c r="D24" s="277">
        <f t="shared" si="28"/>
        <v>162454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238479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17"/>
        <v>11226</v>
      </c>
      <c r="S24" s="297">
        <f t="shared" si="5"/>
        <v>0</v>
      </c>
      <c r="T24" s="277">
        <f t="shared" si="17"/>
        <v>259153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16" t="e">
        <f t="shared" si="25"/>
        <v>#DIV/0!</v>
      </c>
      <c r="AG24" s="417" t="e">
        <f t="shared" si="26"/>
        <v>#DIV/0!</v>
      </c>
      <c r="AH24" s="417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44005</v>
      </c>
      <c r="B25" s="277">
        <f t="shared" si="28"/>
        <v>8709</v>
      </c>
      <c r="C25" s="297">
        <f t="shared" si="11"/>
        <v>0</v>
      </c>
      <c r="D25" s="277">
        <f t="shared" si="28"/>
        <v>162454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238479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277">
        <f t="shared" si="17"/>
        <v>11226</v>
      </c>
      <c r="S25" s="297">
        <f t="shared" si="5"/>
        <v>0</v>
      </c>
      <c r="T25" s="277">
        <f t="shared" si="17"/>
        <v>259153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16" t="e">
        <f t="shared" si="25"/>
        <v>#DIV/0!</v>
      </c>
      <c r="AG25" s="417" t="e">
        <f t="shared" si="26"/>
        <v>#DIV/0!</v>
      </c>
      <c r="AH25" s="417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44006</v>
      </c>
      <c r="B26" s="277">
        <f t="shared" si="28"/>
        <v>8709</v>
      </c>
      <c r="C26" s="297">
        <f t="shared" si="11"/>
        <v>0</v>
      </c>
      <c r="D26" s="277">
        <f t="shared" si="28"/>
        <v>162454</v>
      </c>
      <c r="E26" s="297">
        <f t="shared" si="12"/>
        <v>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f t="shared" si="14"/>
        <v>10698</v>
      </c>
      <c r="K26" s="297">
        <f t="shared" si="2"/>
        <v>0</v>
      </c>
      <c r="L26" s="277">
        <f t="shared" si="14"/>
        <v>238479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f t="shared" si="17"/>
        <v>11226</v>
      </c>
      <c r="S26" s="297">
        <f t="shared" si="5"/>
        <v>0</v>
      </c>
      <c r="T26" s="277">
        <f t="shared" si="17"/>
        <v>259153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16" t="e">
        <f t="shared" si="25"/>
        <v>#DIV/0!</v>
      </c>
      <c r="AG26" s="417" t="e">
        <f t="shared" si="26"/>
        <v>#DIV/0!</v>
      </c>
      <c r="AH26" s="417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28"/>
        <v>8709</v>
      </c>
      <c r="C27" s="297">
        <f t="shared" si="11"/>
        <v>0</v>
      </c>
      <c r="D27" s="277">
        <f t="shared" si="28"/>
        <v>162454</v>
      </c>
      <c r="E27" s="297">
        <f t="shared" si="12"/>
        <v>0</v>
      </c>
      <c r="F27" s="297">
        <f t="shared" si="0"/>
        <v>0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238479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277">
        <f t="shared" si="17"/>
        <v>11226</v>
      </c>
      <c r="S27" s="297">
        <f t="shared" si="5"/>
        <v>0</v>
      </c>
      <c r="T27" s="277">
        <f t="shared" si="17"/>
        <v>259153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16" t="e">
        <f t="shared" si="25"/>
        <v>#DIV/0!</v>
      </c>
      <c r="AG27" s="417" t="e">
        <f t="shared" si="26"/>
        <v>#DIV/0!</v>
      </c>
      <c r="AH27" s="417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28"/>
        <v>8709</v>
      </c>
      <c r="C28" s="297">
        <f t="shared" si="11"/>
        <v>0</v>
      </c>
      <c r="D28" s="277">
        <f t="shared" si="28"/>
        <v>162454</v>
      </c>
      <c r="E28" s="297">
        <f t="shared" si="12"/>
        <v>0</v>
      </c>
      <c r="F28" s="297">
        <f t="shared" si="0"/>
        <v>0</v>
      </c>
      <c r="G28" s="295"/>
      <c r="H28" s="298">
        <f t="shared" si="13"/>
        <v>8770</v>
      </c>
      <c r="I28" s="297" t="str">
        <f t="shared" si="1"/>
        <v>ok</v>
      </c>
      <c r="J28" s="277">
        <f t="shared" si="14"/>
        <v>10698</v>
      </c>
      <c r="K28" s="297">
        <f t="shared" si="2"/>
        <v>0</v>
      </c>
      <c r="L28" s="277">
        <f t="shared" si="14"/>
        <v>238479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11226</v>
      </c>
      <c r="S28" s="297">
        <f t="shared" si="5"/>
        <v>0</v>
      </c>
      <c r="T28" s="277">
        <f t="shared" si="17"/>
        <v>259153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16" t="e">
        <f t="shared" si="25"/>
        <v>#DIV/0!</v>
      </c>
      <c r="AG28" s="417" t="e">
        <f t="shared" si="26"/>
        <v>#DIV/0!</v>
      </c>
      <c r="AH28" s="417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28"/>
        <v>8709</v>
      </c>
      <c r="C29" s="297">
        <f t="shared" si="11"/>
        <v>0</v>
      </c>
      <c r="D29" s="277">
        <f t="shared" si="28"/>
        <v>162454</v>
      </c>
      <c r="E29" s="297">
        <f>SUM(D29-D28)</f>
        <v>0</v>
      </c>
      <c r="F29" s="297">
        <f t="shared" si="0"/>
        <v>0</v>
      </c>
      <c r="G29" s="200"/>
      <c r="H29" s="298">
        <f t="shared" si="13"/>
        <v>8770</v>
      </c>
      <c r="I29" s="297" t="str">
        <f t="shared" si="1"/>
        <v>ok</v>
      </c>
      <c r="J29" s="277">
        <f t="shared" si="14"/>
        <v>10698</v>
      </c>
      <c r="K29" s="297">
        <f t="shared" si="2"/>
        <v>0</v>
      </c>
      <c r="L29" s="277">
        <f t="shared" si="14"/>
        <v>238479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11226</v>
      </c>
      <c r="S29" s="297">
        <f t="shared" si="5"/>
        <v>0</v>
      </c>
      <c r="T29" s="277">
        <f t="shared" si="17"/>
        <v>259153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16" t="e">
        <f t="shared" si="25"/>
        <v>#DIV/0!</v>
      </c>
      <c r="AG29" s="417" t="e">
        <f t="shared" si="26"/>
        <v>#DIV/0!</v>
      </c>
      <c r="AH29" s="417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28"/>
        <v>8709</v>
      </c>
      <c r="C30" s="297">
        <f t="shared" si="11"/>
        <v>0</v>
      </c>
      <c r="D30" s="277">
        <f t="shared" si="28"/>
        <v>162454</v>
      </c>
      <c r="E30" s="297">
        <f t="shared" si="12"/>
        <v>0</v>
      </c>
      <c r="F30" s="297">
        <f t="shared" si="0"/>
        <v>0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238479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11226</v>
      </c>
      <c r="S30" s="297">
        <f t="shared" si="5"/>
        <v>0</v>
      </c>
      <c r="T30" s="277">
        <f t="shared" si="17"/>
        <v>259153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16" t="e">
        <f t="shared" si="25"/>
        <v>#DIV/0!</v>
      </c>
      <c r="AG30" s="417" t="e">
        <f t="shared" si="26"/>
        <v>#DIV/0!</v>
      </c>
      <c r="AH30" s="417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28"/>
        <v>8709</v>
      </c>
      <c r="C31" s="297">
        <f t="shared" si="11"/>
        <v>0</v>
      </c>
      <c r="D31" s="277">
        <f t="shared" si="28"/>
        <v>162454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238479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11226</v>
      </c>
      <c r="S31" s="297">
        <f t="shared" si="5"/>
        <v>0</v>
      </c>
      <c r="T31" s="277">
        <f t="shared" si="17"/>
        <v>259153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8709</v>
      </c>
      <c r="C32" s="297">
        <f t="shared" si="11"/>
        <v>0</v>
      </c>
      <c r="D32" s="277">
        <f t="shared" si="28"/>
        <v>162454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238479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11226</v>
      </c>
      <c r="S32" s="297">
        <f t="shared" si="5"/>
        <v>0</v>
      </c>
      <c r="T32" s="277">
        <f t="shared" si="17"/>
        <v>259153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88</v>
      </c>
      <c r="V33" s="40"/>
      <c r="X33">
        <v>341</v>
      </c>
      <c r="Z33" s="435">
        <f>SUM(Z3:Z32)</f>
        <v>88</v>
      </c>
    </row>
    <row r="34" spans="3:26">
      <c r="C34" s="40">
        <f>SUM(C3:C32)</f>
        <v>54</v>
      </c>
      <c r="K34" s="40">
        <f>SUM(K3:K32)</f>
        <v>9</v>
      </c>
      <c r="S34" s="40">
        <f>SUM(S3:S32)</f>
        <v>25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13633</v>
      </c>
      <c r="E6" s="3">
        <f>ELEC!Q24</f>
        <v>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11</v>
      </c>
      <c r="B16" s="3">
        <f>ELEC!AF17</f>
        <v>2471</v>
      </c>
      <c r="C16" s="3">
        <f>ELEC!N17</f>
        <v>15381</v>
      </c>
      <c r="D16" s="3">
        <f t="shared" si="0"/>
        <v>9381</v>
      </c>
      <c r="E16" s="3">
        <f>ELEC!Q17</f>
        <v>6000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-90.30000000000004</v>
      </c>
      <c r="J16" s="9">
        <f>'B5'!A18</f>
        <v>43996</v>
      </c>
    </row>
    <row r="17" spans="1:10">
      <c r="A17" s="3">
        <f>ELEC!T18+ELEC!X18+ELEC!AB18</f>
        <v>12</v>
      </c>
      <c r="B17" s="3">
        <f>ELEC!AF18</f>
        <v>0</v>
      </c>
      <c r="C17" s="3">
        <f>ELEC!N18</f>
        <v>15463</v>
      </c>
      <c r="D17" s="3">
        <f t="shared" si="0"/>
        <v>10463</v>
      </c>
      <c r="E17" s="3">
        <f>ELEC!Q18</f>
        <v>5000</v>
      </c>
      <c r="F17" s="3">
        <f>GEN!Z17</f>
        <v>8</v>
      </c>
      <c r="G17" s="3">
        <f>WATER!C20+WATER!H20</f>
        <v>0</v>
      </c>
      <c r="H17" s="3">
        <f>WATER!L20</f>
        <v>2</v>
      </c>
      <c r="I17" s="15">
        <f>WATER!BC20+WATER!BD20+WATER!BE21-Sheet1!G17</f>
        <v>-57.399999999999977</v>
      </c>
      <c r="J17" s="9">
        <f>'B5'!A19</f>
        <v>43997</v>
      </c>
    </row>
    <row r="18" spans="1:10">
      <c r="A18" s="3">
        <f>ELEC!T19+ELEC!X19+ELEC!AB19</f>
        <v>12</v>
      </c>
      <c r="B18" s="3">
        <f>ELEC!AF19</f>
        <v>5530</v>
      </c>
      <c r="C18" s="3">
        <f>ELEC!N19</f>
        <v>14854</v>
      </c>
      <c r="D18" s="3">
        <f t="shared" si="0"/>
        <v>11854</v>
      </c>
      <c r="E18" s="3">
        <f>ELEC!Q19</f>
        <v>3000</v>
      </c>
      <c r="F18" s="3">
        <f>GEN!Z18</f>
        <v>7</v>
      </c>
      <c r="G18" s="3">
        <f>WATER!C21+WATER!H21</f>
        <v>80</v>
      </c>
      <c r="H18" s="3">
        <f>WATER!L21</f>
        <v>8</v>
      </c>
      <c r="I18" s="15">
        <f>WATER!BC21+WATER!BD21+WATER!BE22-Sheet1!G18</f>
        <v>-151.89999999999998</v>
      </c>
      <c r="J18" s="9">
        <f>'B5'!A20</f>
        <v>43998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5</v>
      </c>
      <c r="G19" s="3">
        <f>WATER!C22+WATER!H22</f>
        <v>0</v>
      </c>
      <c r="H19" s="3">
        <f>WATER!L22</f>
        <v>4</v>
      </c>
      <c r="I19" s="15">
        <f>WATER!BC22+WATER!BD22+WATER!BE23-Sheet1!G19</f>
        <v>88.40000000000002</v>
      </c>
      <c r="J19" s="9">
        <f>'B5'!A21</f>
        <v>43999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6"/>
      <c r="B1" s="634" t="s">
        <v>119</v>
      </c>
      <c r="C1" s="634" t="s">
        <v>118</v>
      </c>
      <c r="D1" s="638" t="s">
        <v>113</v>
      </c>
      <c r="E1" s="638" t="s">
        <v>114</v>
      </c>
      <c r="F1" s="639" t="s">
        <v>120</v>
      </c>
      <c r="G1" s="640" t="s">
        <v>75</v>
      </c>
      <c r="H1" s="631" t="s">
        <v>115</v>
      </c>
      <c r="I1" s="632" t="s">
        <v>116</v>
      </c>
      <c r="J1" s="631" t="s">
        <v>117</v>
      </c>
      <c r="K1" s="630" t="s">
        <v>121</v>
      </c>
      <c r="L1" s="630" t="s">
        <v>122</v>
      </c>
      <c r="M1" s="630" t="s">
        <v>123</v>
      </c>
      <c r="N1" s="630" t="s">
        <v>124</v>
      </c>
    </row>
    <row r="2" spans="1:14">
      <c r="A2" s="637"/>
      <c r="B2" s="635"/>
      <c r="C2" s="635"/>
      <c r="D2" s="638"/>
      <c r="E2" s="638"/>
      <c r="F2" s="639"/>
      <c r="G2" s="640"/>
      <c r="H2" s="631"/>
      <c r="I2" s="633"/>
      <c r="J2" s="631"/>
      <c r="K2" s="630"/>
      <c r="L2" s="630"/>
      <c r="M2" s="630"/>
      <c r="N2" s="630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352</v>
      </c>
      <c r="C19" s="77">
        <f>'B5'!AH19</f>
        <v>0</v>
      </c>
      <c r="D19" s="77">
        <f>GEN!AI17</f>
        <v>1544.3037974683546</v>
      </c>
      <c r="E19" s="248">
        <f t="shared" si="0"/>
        <v>1896.3037974683546</v>
      </c>
      <c r="F19" s="76">
        <f>WATER!L19</f>
        <v>12</v>
      </c>
      <c r="G19" s="79">
        <f>WATER!BG19</f>
        <v>-29.40000000000002</v>
      </c>
      <c r="H19" s="80">
        <f>ELEC!AF17</f>
        <v>2471</v>
      </c>
      <c r="I19" s="80">
        <f>ELEC!Q17</f>
        <v>6000</v>
      </c>
      <c r="J19" s="80">
        <f>ELEC!R17</f>
        <v>9381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346</v>
      </c>
      <c r="C20" s="77">
        <f>'B5'!AH20</f>
        <v>0</v>
      </c>
      <c r="D20" s="77">
        <f>GEN!AI18</f>
        <v>1286.9198312236288</v>
      </c>
      <c r="E20" s="248">
        <f t="shared" si="0"/>
        <v>1632.9198312236288</v>
      </c>
      <c r="F20" s="76">
        <f>WATER!L20</f>
        <v>2</v>
      </c>
      <c r="G20" s="79">
        <f>WATER!BG20</f>
        <v>-60.000000000000014</v>
      </c>
      <c r="H20" s="80">
        <f>ELEC!AF18</f>
        <v>0</v>
      </c>
      <c r="I20" s="80">
        <f>ELEC!Q18</f>
        <v>5000</v>
      </c>
      <c r="J20" s="80">
        <f>ELEC!R18</f>
        <v>10463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312</v>
      </c>
      <c r="C21" s="77">
        <f>'B5'!AH21</f>
        <v>0</v>
      </c>
      <c r="D21" s="77">
        <f>GEN!AI19</f>
        <v>772.15189873417728</v>
      </c>
      <c r="E21" s="248">
        <f t="shared" si="0"/>
        <v>1084.1518987341774</v>
      </c>
      <c r="F21" s="76">
        <f>WATER!L21</f>
        <v>8</v>
      </c>
      <c r="G21" s="79">
        <f>WATER!BG21</f>
        <v>-11.799999999999969</v>
      </c>
      <c r="H21" s="80">
        <f>ELEC!AF19</f>
        <v>5530</v>
      </c>
      <c r="I21" s="80">
        <f>ELEC!Q19</f>
        <v>3000</v>
      </c>
      <c r="J21" s="80">
        <f>ELEC!R19</f>
        <v>11854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4</v>
      </c>
      <c r="G22" s="79">
        <f>WATER!BG22</f>
        <v>-58.3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1" t="s">
        <v>151</v>
      </c>
      <c r="U3" s="641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zoomScale="80" zoomScaleNormal="80" workbookViewId="0">
      <selection activeCell="J21" sqref="J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0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0">
        <v>8029660</v>
      </c>
      <c r="G4" s="161">
        <f t="shared" ref="G4:G33" si="0">F4-F3</f>
        <v>897</v>
      </c>
      <c r="H4" s="580">
        <v>24627769</v>
      </c>
      <c r="I4" s="162">
        <f t="shared" ref="I4:I34" si="1">H4-H3</f>
        <v>3020</v>
      </c>
      <c r="J4" s="582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90.645779251888683</v>
      </c>
      <c r="P4" s="307">
        <f>SUM(L4:O4)</f>
        <v>637.08690694674772</v>
      </c>
      <c r="Q4" s="307">
        <f>SUM(-tanks!AX6*tanks!$AU$36)</f>
        <v>231.08698629032943</v>
      </c>
      <c r="R4" s="307">
        <f>SUM(P4:Q4)</f>
        <v>868.17389323707721</v>
      </c>
      <c r="S4" s="309">
        <f>SUM(ELEC!N3)</f>
        <v>14293</v>
      </c>
      <c r="T4" s="346">
        <f>IF(S4&gt;0,R4/S4,0)</f>
        <v>6.0741194517391538E-2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73"/>
      <c r="AC4" s="674"/>
    </row>
    <row r="5" spans="1:30">
      <c r="A5" s="164">
        <f>ELEC!C4</f>
        <v>43984</v>
      </c>
      <c r="B5" s="578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8">
        <v>8030570</v>
      </c>
      <c r="G5" s="161">
        <f t="shared" si="0"/>
        <v>910</v>
      </c>
      <c r="H5" s="578">
        <v>24630940</v>
      </c>
      <c r="I5" s="162">
        <f t="shared" si="1"/>
        <v>3171</v>
      </c>
      <c r="J5" s="586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90.645779251888683</v>
      </c>
      <c r="P5" s="307">
        <f t="shared" ref="P5:P33" si="9">SUM(L5:O5)</f>
        <v>627.1313513911922</v>
      </c>
      <c r="Q5" s="307">
        <f>SUM(-tanks!AX7*tanks!$AU$36)</f>
        <v>115.52858064515821</v>
      </c>
      <c r="R5" s="307">
        <f t="shared" ref="R5:R33" si="10">SUM(P5:Q5)</f>
        <v>742.65993203635037</v>
      </c>
      <c r="S5" s="309">
        <f>SUM(ELEC!N4)</f>
        <v>13728</v>
      </c>
      <c r="T5" s="346">
        <f>IF(S5&gt;0,R5/S5,0)</f>
        <v>5.409818852246142E-2</v>
      </c>
      <c r="U5" s="256"/>
      <c r="V5" s="667"/>
      <c r="W5" s="668"/>
      <c r="X5" s="668"/>
      <c r="Y5" s="669"/>
      <c r="Z5" s="26" t="s">
        <v>203</v>
      </c>
      <c r="AA5" s="271">
        <f>'[2]EDl log'!AA22</f>
        <v>5000</v>
      </c>
      <c r="AB5" s="675"/>
      <c r="AC5" s="676"/>
    </row>
    <row r="6" spans="1:30">
      <c r="A6" s="164">
        <f>ELEC!C5</f>
        <v>43985</v>
      </c>
      <c r="B6" s="566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6">
        <v>8031383</v>
      </c>
      <c r="G6" s="161">
        <f t="shared" si="0"/>
        <v>813</v>
      </c>
      <c r="H6" s="566">
        <v>24635178</v>
      </c>
      <c r="I6" s="162">
        <f t="shared" si="1"/>
        <v>4238</v>
      </c>
      <c r="J6" s="566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90.645779251888683</v>
      </c>
      <c r="P6" s="307">
        <f t="shared" si="9"/>
        <v>655.88359019716233</v>
      </c>
      <c r="Q6" s="307">
        <f>SUM(-tanks!AX8*tanks!$AU$36)</f>
        <v>367.67875161290681</v>
      </c>
      <c r="R6" s="307">
        <f t="shared" si="10"/>
        <v>1023.5623418100691</v>
      </c>
      <c r="S6" s="309">
        <f>SUM(ELEC!N5)</f>
        <v>14416</v>
      </c>
      <c r="T6" s="346">
        <f t="shared" ref="T6:T33" si="12">IF(S6&gt;0,R6/S6,0)</f>
        <v>7.1001827262074713E-2</v>
      </c>
      <c r="V6" s="670"/>
      <c r="W6" s="671"/>
      <c r="X6" s="671"/>
      <c r="Y6" s="672"/>
      <c r="Z6" s="3"/>
      <c r="AA6" s="3"/>
      <c r="AB6" s="675"/>
      <c r="AC6" s="676"/>
    </row>
    <row r="7" spans="1:30" ht="15" customHeight="1">
      <c r="A7" s="164">
        <f>ELEC!C6</f>
        <v>43986</v>
      </c>
      <c r="B7" s="588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8">
        <v>8032171</v>
      </c>
      <c r="G7" s="161">
        <f t="shared" si="0"/>
        <v>788</v>
      </c>
      <c r="H7" s="588">
        <v>24638023</v>
      </c>
      <c r="I7" s="162">
        <f t="shared" si="1"/>
        <v>2845</v>
      </c>
      <c r="J7" s="586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90.645779251888683</v>
      </c>
      <c r="P7" s="307">
        <f t="shared" si="9"/>
        <v>571.65407112585217</v>
      </c>
      <c r="Q7" s="307">
        <f>SUM(-tanks!AX9*tanks!$AU$36)</f>
        <v>-342.60266129032078</v>
      </c>
      <c r="R7" s="307">
        <f t="shared" si="10"/>
        <v>229.05140983553139</v>
      </c>
      <c r="S7" s="309">
        <f>SUM(ELEC!N6)</f>
        <v>12453</v>
      </c>
      <c r="T7" s="346">
        <f t="shared" si="12"/>
        <v>1.8393271487636021E-2</v>
      </c>
      <c r="V7" s="663" t="s">
        <v>204</v>
      </c>
      <c r="W7" s="664"/>
      <c r="X7" s="665" t="s">
        <v>205</v>
      </c>
      <c r="Y7" s="666"/>
      <c r="Z7" s="664"/>
      <c r="AA7" s="26"/>
      <c r="AB7" s="677"/>
      <c r="AC7" s="678"/>
    </row>
    <row r="8" spans="1:30" ht="15.75" customHeight="1">
      <c r="A8" s="164">
        <f>ELEC!C7</f>
        <v>43987</v>
      </c>
      <c r="B8" s="566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6">
        <v>8032954</v>
      </c>
      <c r="G8" s="161">
        <f t="shared" si="0"/>
        <v>783</v>
      </c>
      <c r="H8" s="566">
        <v>24641021</v>
      </c>
      <c r="I8" s="162">
        <f t="shared" si="1"/>
        <v>2998</v>
      </c>
      <c r="J8" s="566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90.645779251888683</v>
      </c>
      <c r="P8" s="307">
        <f t="shared" si="9"/>
        <v>589.81393845586877</v>
      </c>
      <c r="Q8" s="307">
        <f>SUM(-tanks!AX10*tanks!$AU$36)</f>
        <v>287.12816129032075</v>
      </c>
      <c r="R8" s="307">
        <f t="shared" si="10"/>
        <v>876.94209974618957</v>
      </c>
      <c r="S8" s="309">
        <f>SUM(ELEC!N7)</f>
        <v>13633</v>
      </c>
      <c r="T8" s="346">
        <f>IF(S8&gt;0,R8/S8,0)</f>
        <v>6.4324954136740969E-2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6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6">
        <v>8033888</v>
      </c>
      <c r="G9" s="161">
        <f t="shared" si="0"/>
        <v>934</v>
      </c>
      <c r="H9" s="566">
        <v>24644340</v>
      </c>
      <c r="I9" s="162">
        <f t="shared" si="1"/>
        <v>3319</v>
      </c>
      <c r="J9" s="566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90.645779251888683</v>
      </c>
      <c r="P9" s="307">
        <f t="shared" si="9"/>
        <v>634.41228008107612</v>
      </c>
      <c r="Q9" s="307">
        <f>SUM(-tanks!AX11*tanks!$AU$36)</f>
        <v>157.78387096774168</v>
      </c>
      <c r="R9" s="307">
        <f>SUM(P9:Q9)</f>
        <v>792.1961510488178</v>
      </c>
      <c r="S9" s="309">
        <f>SUM(ELEC!N8)</f>
        <v>13778</v>
      </c>
      <c r="T9" s="346">
        <f t="shared" si="12"/>
        <v>5.7497180363537362E-2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6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6">
        <v>8035096</v>
      </c>
      <c r="G10" s="161">
        <f t="shared" si="0"/>
        <v>1208</v>
      </c>
      <c r="H10" s="566">
        <v>24648943</v>
      </c>
      <c r="I10" s="162">
        <f t="shared" si="1"/>
        <v>4603</v>
      </c>
      <c r="J10" s="566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90.645779251888683</v>
      </c>
      <c r="P10" s="307">
        <f t="shared" si="9"/>
        <v>767.37944426018066</v>
      </c>
      <c r="Q10" s="307">
        <f>SUM(-tanks!AX12*tanks!$AU$36)</f>
        <v>257.60141129032729</v>
      </c>
      <c r="R10" s="307">
        <f t="shared" si="10"/>
        <v>1024.9808555505078</v>
      </c>
      <c r="S10" s="309">
        <f>SUM(ELEC!N9)</f>
        <v>16205</v>
      </c>
      <c r="T10" s="346">
        <f t="shared" si="12"/>
        <v>6.3250901299013132E-2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89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89">
        <v>8036024</v>
      </c>
      <c r="G11" s="161">
        <f t="shared" si="0"/>
        <v>928</v>
      </c>
      <c r="H11" s="589">
        <v>24652464</v>
      </c>
      <c r="I11" s="162">
        <f t="shared" si="1"/>
        <v>3521</v>
      </c>
      <c r="J11" s="586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90.645779251888683</v>
      </c>
      <c r="P11" s="307">
        <f t="shared" si="9"/>
        <v>684.17944426018062</v>
      </c>
      <c r="Q11" s="307">
        <f>SUM(-tanks!AX13*tanks!$AU$36)</f>
        <v>216.74116129032078</v>
      </c>
      <c r="R11" s="307">
        <f t="shared" si="10"/>
        <v>900.92060555050136</v>
      </c>
      <c r="S11" s="309">
        <f>SUM(ELEC!N10)</f>
        <v>15745</v>
      </c>
      <c r="T11" s="346">
        <f t="shared" si="12"/>
        <v>5.7219473201048039E-2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6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6">
        <v>8037265</v>
      </c>
      <c r="G12" s="161">
        <f t="shared" si="0"/>
        <v>1241</v>
      </c>
      <c r="H12" s="566">
        <v>24655859</v>
      </c>
      <c r="I12" s="162">
        <f t="shared" si="1"/>
        <v>3395</v>
      </c>
      <c r="J12" s="566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90.645779251888683</v>
      </c>
      <c r="P12" s="307">
        <f t="shared" si="9"/>
        <v>728.25771955039613</v>
      </c>
      <c r="Q12" s="307">
        <f>SUM(-tanks!AX14*tanks!$AU$36)</f>
        <v>211.66706290322671</v>
      </c>
      <c r="R12" s="307">
        <f t="shared" si="10"/>
        <v>939.92478245362281</v>
      </c>
      <c r="S12" s="309">
        <f>SUM(ELEC!N11)</f>
        <v>15283</v>
      </c>
      <c r="T12" s="346">
        <f t="shared" si="12"/>
        <v>6.1501327125147082E-2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6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6">
        <v>8037688</v>
      </c>
      <c r="G13" s="161">
        <f t="shared" si="0"/>
        <v>423</v>
      </c>
      <c r="H13" s="566">
        <v>24658386</v>
      </c>
      <c r="I13" s="162">
        <f t="shared" si="1"/>
        <v>2527</v>
      </c>
      <c r="J13" s="566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90.645779251888683</v>
      </c>
      <c r="P13" s="307">
        <f t="shared" si="9"/>
        <v>515.33831656532152</v>
      </c>
      <c r="Q13" s="307">
        <f>SUM(-tanks!AX15*tanks!$AU$36)</f>
        <v>548.48752258063462</v>
      </c>
      <c r="R13" s="307">
        <f t="shared" si="10"/>
        <v>1063.8258391459563</v>
      </c>
      <c r="S13" s="309">
        <f>SUM(ELEC!N12)</f>
        <v>16634</v>
      </c>
      <c r="T13" s="346">
        <f t="shared" si="12"/>
        <v>6.39549019565923E-2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58">
        <f>ELEC!C13</f>
        <v>43993</v>
      </c>
      <c r="B14" s="566">
        <v>50054654</v>
      </c>
      <c r="C14" s="656">
        <f>SUM(B15+B14-B13)</f>
        <v>6667</v>
      </c>
      <c r="D14" s="660">
        <f t="shared" si="8"/>
        <v>6668</v>
      </c>
      <c r="E14" s="660">
        <f t="shared" si="11"/>
        <v>50058818</v>
      </c>
      <c r="F14" s="592">
        <f t="shared" ref="F14:J34" si="13">F13</f>
        <v>8037688</v>
      </c>
      <c r="G14" s="650">
        <f>F15+F14-F13</f>
        <v>413</v>
      </c>
      <c r="H14" s="592">
        <v>24659259</v>
      </c>
      <c r="I14" s="652">
        <f>H15+H14-H13</f>
        <v>2785</v>
      </c>
      <c r="J14" s="592">
        <v>17357710</v>
      </c>
      <c r="K14" s="654">
        <f>J15+J14-J13</f>
        <v>3470</v>
      </c>
      <c r="L14" s="648">
        <f t="shared" si="3"/>
        <v>87.668325041459369</v>
      </c>
      <c r="M14" s="648">
        <f t="shared" si="4"/>
        <v>206.91210613598673</v>
      </c>
      <c r="N14" s="648">
        <f t="shared" si="5"/>
        <v>184.14593698175787</v>
      </c>
      <c r="O14" s="648">
        <f t="shared" si="6"/>
        <v>90.645779251888683</v>
      </c>
      <c r="P14" s="642">
        <f>SUM(L14:O15)</f>
        <v>569.37214741109267</v>
      </c>
      <c r="Q14" s="642">
        <f>SUM(-tanks!AX16*tanks!$AU$36)</f>
        <v>646.50305564516123</v>
      </c>
      <c r="R14" s="642">
        <f>SUM(P14:Q15)</f>
        <v>1215.8752030562539</v>
      </c>
      <c r="S14" s="644">
        <f>SUM(ELEC!N13)</f>
        <v>14437</v>
      </c>
      <c r="T14" s="646">
        <f t="shared" si="12"/>
        <v>8.4219380969471069E-2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59"/>
      <c r="B15" s="592">
        <v>4163</v>
      </c>
      <c r="C15" s="657"/>
      <c r="D15" s="661"/>
      <c r="E15" s="662"/>
      <c r="F15" s="592">
        <v>413</v>
      </c>
      <c r="G15" s="651"/>
      <c r="H15" s="592">
        <v>1912</v>
      </c>
      <c r="I15" s="653"/>
      <c r="J15" s="592">
        <v>1838</v>
      </c>
      <c r="K15" s="655"/>
      <c r="L15" s="649"/>
      <c r="M15" s="649"/>
      <c r="N15" s="649"/>
      <c r="O15" s="649"/>
      <c r="P15" s="643"/>
      <c r="Q15" s="643"/>
      <c r="R15" s="643"/>
      <c r="S15" s="645"/>
      <c r="T15" s="647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6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6">
        <v>1332</v>
      </c>
      <c r="G16" s="161">
        <f>F16-F15</f>
        <v>919</v>
      </c>
      <c r="H16" s="566">
        <v>3574</v>
      </c>
      <c r="I16" s="162">
        <f>H16-H15</f>
        <v>1662</v>
      </c>
      <c r="J16" s="566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90.645779251888683</v>
      </c>
      <c r="P16" s="307">
        <f t="shared" si="9"/>
        <v>461.26203132485716</v>
      </c>
      <c r="Q16" s="307">
        <f>SUM(-tanks!AX17*tanks!$AU$36)</f>
        <v>566.4008024193563</v>
      </c>
      <c r="R16" s="307">
        <f t="shared" si="10"/>
        <v>1027.6628337442135</v>
      </c>
      <c r="S16" s="309">
        <f>SUM(ELEC!N14)</f>
        <v>15870</v>
      </c>
      <c r="T16" s="346">
        <f t="shared" si="12"/>
        <v>6.4755061987663107E-2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6">
        <v>12114</v>
      </c>
      <c r="C17" s="271">
        <f t="shared" si="7"/>
        <v>4380</v>
      </c>
      <c r="D17" s="318">
        <f t="shared" si="8"/>
        <v>4391</v>
      </c>
      <c r="E17" s="318">
        <f t="shared" si="11"/>
        <v>12125</v>
      </c>
      <c r="F17" s="566">
        <v>1960</v>
      </c>
      <c r="G17" s="161">
        <f t="shared" si="0"/>
        <v>628</v>
      </c>
      <c r="H17" s="566">
        <v>5810</v>
      </c>
      <c r="I17" s="162">
        <f t="shared" si="1"/>
        <v>2236</v>
      </c>
      <c r="J17" s="566">
        <v>4346</v>
      </c>
      <c r="K17" s="163">
        <f t="shared" si="2"/>
        <v>1527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81.03482587064677</v>
      </c>
      <c r="O17" s="306">
        <f t="shared" si="17"/>
        <v>90.645779251888683</v>
      </c>
      <c r="P17" s="307">
        <f t="shared" si="9"/>
        <v>471.11145089367972</v>
      </c>
      <c r="Q17" s="307">
        <f>SUM(-tanks!AX18*tanks!$AU$36)</f>
        <v>509.82951209677287</v>
      </c>
      <c r="R17" s="307">
        <f t="shared" si="10"/>
        <v>980.94096299045259</v>
      </c>
      <c r="S17" s="309">
        <f>SUM(ELEC!N15)</f>
        <v>15047</v>
      </c>
      <c r="T17" s="346">
        <f t="shared" si="12"/>
        <v>6.5191796570110497E-2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6">
        <v>18112</v>
      </c>
      <c r="C18" s="271">
        <f t="shared" si="7"/>
        <v>5998</v>
      </c>
      <c r="D18" s="318">
        <f t="shared" si="8"/>
        <v>5996</v>
      </c>
      <c r="E18" s="318">
        <f t="shared" si="11"/>
        <v>18110</v>
      </c>
      <c r="F18" s="596">
        <v>2978</v>
      </c>
      <c r="G18" s="161">
        <f t="shared" si="0"/>
        <v>1018</v>
      </c>
      <c r="H18" s="596">
        <v>8675</v>
      </c>
      <c r="I18" s="162">
        <f t="shared" si="1"/>
        <v>2865</v>
      </c>
      <c r="J18" s="586">
        <v>6459</v>
      </c>
      <c r="K18" s="163">
        <f t="shared" si="2"/>
        <v>2113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112.13266998341625</v>
      </c>
      <c r="O18" s="306">
        <f t="shared" si="17"/>
        <v>90.645779251888683</v>
      </c>
      <c r="P18" s="307">
        <f t="shared" si="9"/>
        <v>631.72703961673119</v>
      </c>
      <c r="Q18" s="307">
        <f>SUM(-tanks!AX19*tanks!$AU$36)</f>
        <v>367.26120161290424</v>
      </c>
      <c r="R18" s="307">
        <f t="shared" si="10"/>
        <v>998.98824122963538</v>
      </c>
      <c r="S18" s="309">
        <f>SUM(ELEC!N16)</f>
        <v>14400</v>
      </c>
      <c r="T18" s="346">
        <f t="shared" si="12"/>
        <v>6.9374183418724686E-2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6">
        <v>22998</v>
      </c>
      <c r="C19" s="271">
        <f t="shared" si="7"/>
        <v>4886</v>
      </c>
      <c r="D19" s="318">
        <f t="shared" si="8"/>
        <v>4887</v>
      </c>
      <c r="E19" s="318">
        <f t="shared" si="11"/>
        <v>22999</v>
      </c>
      <c r="F19" s="566">
        <v>3808</v>
      </c>
      <c r="G19" s="161">
        <f t="shared" si="0"/>
        <v>830</v>
      </c>
      <c r="H19" s="566">
        <v>11035</v>
      </c>
      <c r="I19" s="162">
        <f t="shared" si="1"/>
        <v>2360</v>
      </c>
      <c r="J19" s="566">
        <v>8156</v>
      </c>
      <c r="K19" s="163">
        <f t="shared" si="2"/>
        <v>1697</v>
      </c>
      <c r="L19" s="306">
        <f t="shared" si="14"/>
        <v>176.18573797678275</v>
      </c>
      <c r="M19" s="306">
        <f t="shared" si="15"/>
        <v>175.33665008291874</v>
      </c>
      <c r="N19" s="306">
        <f t="shared" si="16"/>
        <v>90.056384742951906</v>
      </c>
      <c r="O19" s="306">
        <f t="shared" si="17"/>
        <v>90.645779251888683</v>
      </c>
      <c r="P19" s="307">
        <f t="shared" si="9"/>
        <v>532.22455205454207</v>
      </c>
      <c r="Q19" s="307">
        <f>SUM(-tanks!AX20*tanks!$AU$36)</f>
        <v>358.22711290322496</v>
      </c>
      <c r="R19" s="307">
        <f t="shared" si="10"/>
        <v>890.45166495776698</v>
      </c>
      <c r="S19" s="309">
        <f>SUM(ELEC!N17)</f>
        <v>15381</v>
      </c>
      <c r="T19" s="346">
        <f t="shared" si="12"/>
        <v>5.789296306857597E-2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6">
        <v>28479</v>
      </c>
      <c r="C20" s="271">
        <f t="shared" si="7"/>
        <v>5481</v>
      </c>
      <c r="D20" s="318">
        <f t="shared" si="8"/>
        <v>5482</v>
      </c>
      <c r="E20" s="318">
        <f t="shared" si="11"/>
        <v>28480</v>
      </c>
      <c r="F20" s="566">
        <v>5078</v>
      </c>
      <c r="G20" s="161">
        <f>F20-F19</f>
        <v>1270</v>
      </c>
      <c r="H20" s="566">
        <v>13018</v>
      </c>
      <c r="I20" s="162">
        <f t="shared" si="1"/>
        <v>1983</v>
      </c>
      <c r="J20" s="566">
        <v>10385</v>
      </c>
      <c r="K20" s="163">
        <f t="shared" si="2"/>
        <v>2229</v>
      </c>
      <c r="L20" s="306">
        <f t="shared" si="14"/>
        <v>269.58540630182421</v>
      </c>
      <c r="M20" s="306">
        <f t="shared" si="15"/>
        <v>147.32736318407962</v>
      </c>
      <c r="N20" s="306">
        <f t="shared" si="16"/>
        <v>118.28855721393035</v>
      </c>
      <c r="O20" s="306">
        <f t="shared" si="17"/>
        <v>90.645779251888683</v>
      </c>
      <c r="P20" s="307">
        <f t="shared" si="9"/>
        <v>625.84710595172294</v>
      </c>
      <c r="Q20" s="307">
        <f>SUM(-tanks!AX21*tanks!$AU$36)</f>
        <v>445.60474193548549</v>
      </c>
      <c r="R20" s="307">
        <f t="shared" si="10"/>
        <v>1071.4518478872085</v>
      </c>
      <c r="S20" s="309">
        <f>SUM(ELEC!N18)</f>
        <v>15463</v>
      </c>
      <c r="T20" s="346">
        <f t="shared" si="12"/>
        <v>6.9291330782332572E-2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97">
        <v>34439</v>
      </c>
      <c r="C21" s="271">
        <f t="shared" si="7"/>
        <v>5960</v>
      </c>
      <c r="D21" s="318">
        <f t="shared" si="8"/>
        <v>5958</v>
      </c>
      <c r="E21" s="318">
        <f t="shared" si="11"/>
        <v>34437</v>
      </c>
      <c r="F21" s="597">
        <v>6146</v>
      </c>
      <c r="G21" s="161">
        <f t="shared" si="0"/>
        <v>1068</v>
      </c>
      <c r="H21" s="597">
        <v>15953</v>
      </c>
      <c r="I21" s="162">
        <f t="shared" si="1"/>
        <v>2935</v>
      </c>
      <c r="J21" s="586">
        <v>12340</v>
      </c>
      <c r="K21" s="163">
        <f t="shared" si="2"/>
        <v>1955</v>
      </c>
      <c r="L21" s="306">
        <f t="shared" si="14"/>
        <v>226.70646766169153</v>
      </c>
      <c r="M21" s="306">
        <f t="shared" si="15"/>
        <v>218.05638474295191</v>
      </c>
      <c r="N21" s="306">
        <f t="shared" si="16"/>
        <v>103.74792703150912</v>
      </c>
      <c r="O21" s="306">
        <f t="shared" si="17"/>
        <v>90.645779251888683</v>
      </c>
      <c r="P21" s="307">
        <f t="shared" si="9"/>
        <v>639.15655868804129</v>
      </c>
      <c r="Q21" s="307">
        <f>SUM(-tanks!AX22*tanks!$AU$36)</f>
        <v>-28.218298387095796</v>
      </c>
      <c r="R21" s="307">
        <f t="shared" si="10"/>
        <v>610.93826030094544</v>
      </c>
      <c r="S21" s="309">
        <f>SUM(ELEC!N19)</f>
        <v>14854</v>
      </c>
      <c r="T21" s="346">
        <f t="shared" si="12"/>
        <v>4.1129544923989861E-2</v>
      </c>
      <c r="V21" t="s">
        <v>416</v>
      </c>
      <c r="AB21" s="271"/>
    </row>
    <row r="22" spans="1:32">
      <c r="A22" s="164">
        <f>ELEC!C20</f>
        <v>44000</v>
      </c>
      <c r="B22" s="566">
        <f t="shared" ref="B21:B34" si="18">B21</f>
        <v>34439</v>
      </c>
      <c r="C22" s="271">
        <f t="shared" si="7"/>
        <v>0</v>
      </c>
      <c r="D22" s="318">
        <f t="shared" si="8"/>
        <v>0</v>
      </c>
      <c r="E22" s="318">
        <f t="shared" si="11"/>
        <v>34439</v>
      </c>
      <c r="F22" s="566">
        <f t="shared" si="13"/>
        <v>6146</v>
      </c>
      <c r="G22" s="161">
        <f t="shared" si="0"/>
        <v>0</v>
      </c>
      <c r="H22" s="566">
        <f t="shared" si="13"/>
        <v>15953</v>
      </c>
      <c r="I22" s="162">
        <f t="shared" si="1"/>
        <v>0</v>
      </c>
      <c r="J22" s="566">
        <f t="shared" si="13"/>
        <v>12340</v>
      </c>
      <c r="K22" s="163">
        <f t="shared" si="2"/>
        <v>0</v>
      </c>
      <c r="L22" s="306">
        <f t="shared" si="14"/>
        <v>0</v>
      </c>
      <c r="M22" s="306">
        <f t="shared" si="15"/>
        <v>0</v>
      </c>
      <c r="N22" s="306">
        <f t="shared" si="16"/>
        <v>0</v>
      </c>
      <c r="O22" s="306">
        <f t="shared" si="17"/>
        <v>90.645779251888683</v>
      </c>
      <c r="P22" s="307">
        <f t="shared" si="9"/>
        <v>90.645779251888683</v>
      </c>
      <c r="Q22" s="307">
        <f>SUM(-tanks!AX23*tanks!$AU$36)</f>
        <v>0</v>
      </c>
      <c r="R22" s="307">
        <f t="shared" si="10"/>
        <v>90.645779251888683</v>
      </c>
      <c r="S22" s="309">
        <f>SUM(ELEC!N20)</f>
        <v>0</v>
      </c>
      <c r="T22" s="346">
        <f t="shared" si="12"/>
        <v>0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73"/>
      <c r="AC22" s="674"/>
    </row>
    <row r="23" spans="1:32">
      <c r="A23" s="164">
        <f>ELEC!C21</f>
        <v>44001</v>
      </c>
      <c r="B23" s="566">
        <f t="shared" si="18"/>
        <v>34439</v>
      </c>
      <c r="C23" s="271">
        <f t="shared" si="7"/>
        <v>0</v>
      </c>
      <c r="D23" s="318">
        <f t="shared" si="8"/>
        <v>0</v>
      </c>
      <c r="E23" s="318">
        <f t="shared" si="11"/>
        <v>34439</v>
      </c>
      <c r="F23" s="566">
        <f t="shared" si="13"/>
        <v>6146</v>
      </c>
      <c r="G23" s="161">
        <f t="shared" si="0"/>
        <v>0</v>
      </c>
      <c r="H23" s="566">
        <f t="shared" si="13"/>
        <v>15953</v>
      </c>
      <c r="I23" s="162">
        <f t="shared" si="1"/>
        <v>0</v>
      </c>
      <c r="J23" s="566">
        <f t="shared" si="13"/>
        <v>12340</v>
      </c>
      <c r="K23" s="163">
        <f t="shared" si="2"/>
        <v>0</v>
      </c>
      <c r="L23" s="306">
        <f t="shared" si="14"/>
        <v>0</v>
      </c>
      <c r="M23" s="306">
        <f t="shared" si="15"/>
        <v>0</v>
      </c>
      <c r="N23" s="306">
        <f t="shared" si="16"/>
        <v>0</v>
      </c>
      <c r="O23" s="306">
        <f t="shared" si="17"/>
        <v>90.645779251888683</v>
      </c>
      <c r="P23" s="307">
        <f t="shared" si="9"/>
        <v>90.645779251888683</v>
      </c>
      <c r="Q23" s="307">
        <f>SUM(-tanks!AX24*tanks!$AU$36)</f>
        <v>0</v>
      </c>
      <c r="R23" s="307">
        <f t="shared" si="10"/>
        <v>90.645779251888683</v>
      </c>
      <c r="S23" s="309">
        <f>SUM(ELEC!N21)</f>
        <v>0</v>
      </c>
      <c r="T23" s="346">
        <f t="shared" si="12"/>
        <v>0</v>
      </c>
      <c r="V23" s="679"/>
      <c r="W23" s="680"/>
      <c r="X23" s="680"/>
      <c r="Y23" s="681"/>
      <c r="Z23" s="26" t="s">
        <v>203</v>
      </c>
      <c r="AA23" s="26">
        <v>5000</v>
      </c>
      <c r="AB23" s="675"/>
      <c r="AC23" s="676"/>
    </row>
    <row r="24" spans="1:32">
      <c r="A24" s="164">
        <f>ELEC!C22</f>
        <v>44002</v>
      </c>
      <c r="B24" s="566">
        <f t="shared" si="18"/>
        <v>34439</v>
      </c>
      <c r="C24" s="271">
        <f t="shared" si="7"/>
        <v>0</v>
      </c>
      <c r="D24" s="318">
        <f t="shared" si="8"/>
        <v>0</v>
      </c>
      <c r="E24" s="318">
        <f t="shared" si="11"/>
        <v>34439</v>
      </c>
      <c r="F24" s="566">
        <f t="shared" si="13"/>
        <v>6146</v>
      </c>
      <c r="G24" s="161">
        <f t="shared" si="0"/>
        <v>0</v>
      </c>
      <c r="H24" s="566">
        <f t="shared" si="13"/>
        <v>15953</v>
      </c>
      <c r="I24" s="162">
        <f t="shared" si="1"/>
        <v>0</v>
      </c>
      <c r="J24" s="566">
        <f t="shared" si="13"/>
        <v>12340</v>
      </c>
      <c r="K24" s="163">
        <f t="shared" si="2"/>
        <v>0</v>
      </c>
      <c r="L24" s="306">
        <f t="shared" si="14"/>
        <v>0</v>
      </c>
      <c r="M24" s="306">
        <f t="shared" si="15"/>
        <v>0</v>
      </c>
      <c r="N24" s="306">
        <f t="shared" si="16"/>
        <v>0</v>
      </c>
      <c r="O24" s="306">
        <f t="shared" si="17"/>
        <v>90.645779251888683</v>
      </c>
      <c r="P24" s="307">
        <f t="shared" si="9"/>
        <v>90.645779251888683</v>
      </c>
      <c r="Q24" s="307">
        <f>SUM(-tanks!AX25*tanks!$AU$36)</f>
        <v>0</v>
      </c>
      <c r="R24" s="307">
        <f t="shared" si="10"/>
        <v>90.645779251888683</v>
      </c>
      <c r="S24" s="309">
        <f>SUM(ELEC!N22)</f>
        <v>0</v>
      </c>
      <c r="T24" s="346">
        <f t="shared" si="12"/>
        <v>0</v>
      </c>
      <c r="V24" s="682"/>
      <c r="W24" s="683"/>
      <c r="X24" s="683"/>
      <c r="Y24" s="684"/>
      <c r="Z24" s="685"/>
      <c r="AA24" s="686"/>
      <c r="AB24" s="675"/>
      <c r="AC24" s="676"/>
    </row>
    <row r="25" spans="1:32" ht="15" customHeight="1">
      <c r="A25" s="164">
        <f>ELEC!C23</f>
        <v>44003</v>
      </c>
      <c r="B25" s="566">
        <f t="shared" si="18"/>
        <v>34439</v>
      </c>
      <c r="C25" s="271">
        <f t="shared" si="7"/>
        <v>0</v>
      </c>
      <c r="D25" s="318">
        <f t="shared" si="8"/>
        <v>0</v>
      </c>
      <c r="E25" s="318">
        <f t="shared" si="11"/>
        <v>34439</v>
      </c>
      <c r="F25" s="566">
        <f t="shared" si="13"/>
        <v>6146</v>
      </c>
      <c r="G25" s="161">
        <f t="shared" si="0"/>
        <v>0</v>
      </c>
      <c r="H25" s="566">
        <f t="shared" si="13"/>
        <v>15953</v>
      </c>
      <c r="I25" s="162">
        <f t="shared" si="1"/>
        <v>0</v>
      </c>
      <c r="J25" s="566">
        <f t="shared" si="13"/>
        <v>12340</v>
      </c>
      <c r="K25" s="163">
        <f t="shared" si="2"/>
        <v>0</v>
      </c>
      <c r="L25" s="306">
        <f t="shared" si="14"/>
        <v>0</v>
      </c>
      <c r="M25" s="306">
        <f t="shared" si="15"/>
        <v>0</v>
      </c>
      <c r="N25" s="306">
        <f t="shared" si="16"/>
        <v>0</v>
      </c>
      <c r="O25" s="306">
        <f t="shared" si="17"/>
        <v>90.645779251888683</v>
      </c>
      <c r="P25" s="307">
        <f t="shared" si="9"/>
        <v>90.645779251888683</v>
      </c>
      <c r="Q25" s="307">
        <f>SUM(-tanks!AX26*tanks!$AU$36)</f>
        <v>0</v>
      </c>
      <c r="R25" s="307">
        <f t="shared" si="10"/>
        <v>90.645779251888683</v>
      </c>
      <c r="S25" s="309">
        <f>SUM(ELEC!N23)</f>
        <v>0</v>
      </c>
      <c r="T25" s="346">
        <f t="shared" si="12"/>
        <v>0</v>
      </c>
      <c r="V25" s="687" t="s">
        <v>204</v>
      </c>
      <c r="W25" s="688"/>
      <c r="X25" s="689" t="s">
        <v>205</v>
      </c>
      <c r="Y25" s="690"/>
      <c r="Z25" s="691"/>
      <c r="AA25" s="171"/>
      <c r="AB25" s="677"/>
      <c r="AC25" s="678"/>
    </row>
    <row r="26" spans="1:32" ht="17.25" customHeight="1">
      <c r="A26" s="164">
        <f>ELEC!C24</f>
        <v>44004</v>
      </c>
      <c r="B26" s="566">
        <f t="shared" si="18"/>
        <v>34439</v>
      </c>
      <c r="C26" s="271">
        <f t="shared" si="7"/>
        <v>0</v>
      </c>
      <c r="D26" s="318">
        <f t="shared" si="8"/>
        <v>0</v>
      </c>
      <c r="E26" s="318">
        <f t="shared" si="11"/>
        <v>34439</v>
      </c>
      <c r="F26" s="566">
        <f t="shared" si="13"/>
        <v>6146</v>
      </c>
      <c r="G26" s="161">
        <f t="shared" si="0"/>
        <v>0</v>
      </c>
      <c r="H26" s="566">
        <f t="shared" si="13"/>
        <v>15953</v>
      </c>
      <c r="I26" s="162">
        <f t="shared" si="1"/>
        <v>0</v>
      </c>
      <c r="J26" s="566">
        <f t="shared" si="13"/>
        <v>12340</v>
      </c>
      <c r="K26" s="163">
        <f t="shared" si="2"/>
        <v>0</v>
      </c>
      <c r="L26" s="306">
        <f t="shared" si="14"/>
        <v>0</v>
      </c>
      <c r="M26" s="306">
        <f t="shared" si="15"/>
        <v>0</v>
      </c>
      <c r="N26" s="306">
        <f t="shared" si="16"/>
        <v>0</v>
      </c>
      <c r="O26" s="306">
        <f t="shared" si="17"/>
        <v>90.645779251888683</v>
      </c>
      <c r="P26" s="307">
        <f t="shared" si="9"/>
        <v>90.645779251888683</v>
      </c>
      <c r="Q26" s="307">
        <f>SUM(-tanks!AX27*tanks!$AU$36)</f>
        <v>0</v>
      </c>
      <c r="R26" s="307">
        <f t="shared" si="10"/>
        <v>90.645779251888683</v>
      </c>
      <c r="S26" s="309">
        <f>SUM(ELEC!N24)</f>
        <v>0</v>
      </c>
      <c r="T26" s="346">
        <f t="shared" si="12"/>
        <v>0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566">
        <f t="shared" si="18"/>
        <v>34439</v>
      </c>
      <c r="C27" s="271">
        <f t="shared" si="7"/>
        <v>0</v>
      </c>
      <c r="D27" s="318">
        <f t="shared" si="8"/>
        <v>0</v>
      </c>
      <c r="E27" s="318">
        <f t="shared" si="11"/>
        <v>34439</v>
      </c>
      <c r="F27" s="566">
        <f t="shared" si="13"/>
        <v>6146</v>
      </c>
      <c r="G27" s="161">
        <f t="shared" si="0"/>
        <v>0</v>
      </c>
      <c r="H27" s="566">
        <f t="shared" si="13"/>
        <v>15953</v>
      </c>
      <c r="I27" s="162">
        <f t="shared" si="1"/>
        <v>0</v>
      </c>
      <c r="J27" s="566">
        <f t="shared" si="13"/>
        <v>12340</v>
      </c>
      <c r="K27" s="163">
        <f t="shared" si="2"/>
        <v>0</v>
      </c>
      <c r="L27" s="306">
        <f t="shared" si="14"/>
        <v>0</v>
      </c>
      <c r="M27" s="306">
        <f t="shared" si="15"/>
        <v>0</v>
      </c>
      <c r="N27" s="306">
        <f t="shared" si="16"/>
        <v>0</v>
      </c>
      <c r="O27" s="306">
        <f t="shared" si="17"/>
        <v>90.645779251888683</v>
      </c>
      <c r="P27" s="307">
        <f t="shared" si="9"/>
        <v>90.645779251888683</v>
      </c>
      <c r="Q27" s="307">
        <f>SUM(-tanks!AX28*tanks!$AU$36)</f>
        <v>0</v>
      </c>
      <c r="R27" s="307">
        <f t="shared" si="10"/>
        <v>90.645779251888683</v>
      </c>
      <c r="S27" s="309">
        <f>SUM(ELEC!N25)</f>
        <v>0</v>
      </c>
      <c r="T27" s="346">
        <f t="shared" si="12"/>
        <v>0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0.34755727242858991</v>
      </c>
    </row>
    <row r="28" spans="1:32">
      <c r="A28" s="164">
        <f>ELEC!C26</f>
        <v>44006</v>
      </c>
      <c r="B28" s="566">
        <f t="shared" si="18"/>
        <v>34439</v>
      </c>
      <c r="C28" s="271">
        <f t="shared" si="7"/>
        <v>0</v>
      </c>
      <c r="D28" s="318">
        <f t="shared" si="8"/>
        <v>0</v>
      </c>
      <c r="E28" s="318">
        <f t="shared" si="11"/>
        <v>34439</v>
      </c>
      <c r="F28" s="566">
        <f t="shared" si="13"/>
        <v>6146</v>
      </c>
      <c r="G28" s="161">
        <f t="shared" si="0"/>
        <v>0</v>
      </c>
      <c r="H28" s="566">
        <f t="shared" si="13"/>
        <v>15953</v>
      </c>
      <c r="I28" s="162">
        <f t="shared" si="1"/>
        <v>0</v>
      </c>
      <c r="J28" s="566">
        <f t="shared" si="13"/>
        <v>12340</v>
      </c>
      <c r="K28" s="163">
        <f t="shared" si="2"/>
        <v>0</v>
      </c>
      <c r="L28" s="306">
        <f t="shared" si="14"/>
        <v>0</v>
      </c>
      <c r="M28" s="306">
        <f t="shared" si="15"/>
        <v>0</v>
      </c>
      <c r="N28" s="306">
        <f t="shared" si="16"/>
        <v>0</v>
      </c>
      <c r="O28" s="306">
        <f t="shared" si="17"/>
        <v>90.645779251888683</v>
      </c>
      <c r="P28" s="307">
        <f t="shared" si="9"/>
        <v>90.645779251888683</v>
      </c>
      <c r="Q28" s="307">
        <f>SUM(-tanks!AX29*tanks!$AU$36)</f>
        <v>0</v>
      </c>
      <c r="R28" s="307">
        <f t="shared" si="10"/>
        <v>90.645779251888683</v>
      </c>
      <c r="S28" s="309">
        <f>SUM(ELEC!N26)</f>
        <v>0</v>
      </c>
      <c r="T28" s="346">
        <f t="shared" si="12"/>
        <v>0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0.50241435270457291</v>
      </c>
    </row>
    <row r="29" spans="1:32">
      <c r="A29" s="164">
        <f>ELEC!C27</f>
        <v>44007</v>
      </c>
      <c r="B29" s="566">
        <f t="shared" si="18"/>
        <v>34439</v>
      </c>
      <c r="C29" s="271">
        <f t="shared" si="7"/>
        <v>0</v>
      </c>
      <c r="D29" s="318">
        <f t="shared" si="8"/>
        <v>0</v>
      </c>
      <c r="E29" s="318">
        <f t="shared" si="11"/>
        <v>34439</v>
      </c>
      <c r="F29" s="566">
        <f t="shared" si="13"/>
        <v>6146</v>
      </c>
      <c r="G29" s="161">
        <f t="shared" si="0"/>
        <v>0</v>
      </c>
      <c r="H29" s="566">
        <f t="shared" si="13"/>
        <v>15953</v>
      </c>
      <c r="I29" s="162">
        <f t="shared" si="1"/>
        <v>0</v>
      </c>
      <c r="J29" s="566">
        <f t="shared" si="13"/>
        <v>12340</v>
      </c>
      <c r="K29" s="163">
        <f t="shared" si="2"/>
        <v>0</v>
      </c>
      <c r="L29" s="306">
        <f t="shared" si="14"/>
        <v>0</v>
      </c>
      <c r="M29" s="306">
        <f t="shared" si="15"/>
        <v>0</v>
      </c>
      <c r="N29" s="306">
        <f t="shared" si="16"/>
        <v>0</v>
      </c>
      <c r="O29" s="306">
        <f t="shared" si="17"/>
        <v>90.645779251888683</v>
      </c>
      <c r="P29" s="307">
        <f t="shared" si="9"/>
        <v>90.645779251888683</v>
      </c>
      <c r="Q29" s="307">
        <f>SUM(-tanks!AX30*tanks!$AU$36)</f>
        <v>0</v>
      </c>
      <c r="R29" s="307">
        <f t="shared" si="10"/>
        <v>90.645779251888683</v>
      </c>
      <c r="S29" s="309">
        <f>SUM(ELEC!N27)</f>
        <v>0</v>
      </c>
      <c r="T29" s="346">
        <f t="shared" si="12"/>
        <v>0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0.15004828705409146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6">
        <f t="shared" si="18"/>
        <v>34439</v>
      </c>
      <c r="C30" s="271">
        <f t="shared" si="7"/>
        <v>0</v>
      </c>
      <c r="D30" s="318">
        <f t="shared" si="8"/>
        <v>0</v>
      </c>
      <c r="E30" s="318">
        <f t="shared" si="11"/>
        <v>34439</v>
      </c>
      <c r="F30" s="566">
        <f t="shared" si="13"/>
        <v>6146</v>
      </c>
      <c r="G30" s="161">
        <f t="shared" si="0"/>
        <v>0</v>
      </c>
      <c r="H30" s="566">
        <f t="shared" si="13"/>
        <v>15953</v>
      </c>
      <c r="I30" s="162">
        <f t="shared" si="1"/>
        <v>0</v>
      </c>
      <c r="J30" s="566">
        <f t="shared" si="13"/>
        <v>12340</v>
      </c>
      <c r="K30" s="163">
        <f t="shared" si="2"/>
        <v>0</v>
      </c>
      <c r="L30" s="306">
        <f t="shared" si="14"/>
        <v>0</v>
      </c>
      <c r="M30" s="306">
        <f t="shared" si="15"/>
        <v>0</v>
      </c>
      <c r="N30" s="306">
        <f t="shared" si="16"/>
        <v>0</v>
      </c>
      <c r="O30" s="306">
        <f t="shared" si="17"/>
        <v>90.645779251888683</v>
      </c>
      <c r="P30" s="307">
        <f t="shared" si="9"/>
        <v>90.645779251888683</v>
      </c>
      <c r="Q30" s="307">
        <f>SUM(-tanks!AX31*tanks!$AU$36)</f>
        <v>0</v>
      </c>
      <c r="R30" s="307">
        <f t="shared" si="10"/>
        <v>90.645779251888683</v>
      </c>
      <c r="S30" s="309">
        <f>SUM(ELEC!N28)</f>
        <v>0</v>
      </c>
      <c r="T30" s="346">
        <f t="shared" si="12"/>
        <v>0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6">
        <f t="shared" si="18"/>
        <v>34439</v>
      </c>
      <c r="C31" s="271">
        <f t="shared" si="7"/>
        <v>0</v>
      </c>
      <c r="D31" s="318">
        <f t="shared" si="8"/>
        <v>0</v>
      </c>
      <c r="E31" s="318">
        <f t="shared" si="11"/>
        <v>34439</v>
      </c>
      <c r="F31" s="566">
        <f t="shared" si="13"/>
        <v>6146</v>
      </c>
      <c r="G31" s="161">
        <f t="shared" si="0"/>
        <v>0</v>
      </c>
      <c r="H31" s="566">
        <f t="shared" si="13"/>
        <v>15953</v>
      </c>
      <c r="I31" s="162">
        <f t="shared" si="1"/>
        <v>0</v>
      </c>
      <c r="J31" s="566">
        <f t="shared" si="13"/>
        <v>12340</v>
      </c>
      <c r="K31" s="163">
        <f t="shared" si="2"/>
        <v>0</v>
      </c>
      <c r="L31" s="306">
        <f t="shared" si="14"/>
        <v>0</v>
      </c>
      <c r="M31" s="306">
        <f t="shared" si="15"/>
        <v>0</v>
      </c>
      <c r="N31" s="306">
        <f t="shared" si="16"/>
        <v>0</v>
      </c>
      <c r="O31" s="306">
        <f t="shared" si="17"/>
        <v>90.645779251888683</v>
      </c>
      <c r="P31" s="307">
        <f t="shared" si="9"/>
        <v>90.645779251888683</v>
      </c>
      <c r="Q31" s="307">
        <f>SUM(-tanks!AX32*tanks!$AU$36)</f>
        <v>0</v>
      </c>
      <c r="R31" s="307">
        <f t="shared" si="10"/>
        <v>90.645779251888683</v>
      </c>
      <c r="S31" s="309">
        <f>SUM(ELEC!N29)</f>
        <v>0</v>
      </c>
      <c r="T31" s="346">
        <f t="shared" si="12"/>
        <v>0</v>
      </c>
      <c r="V31" s="220" t="s">
        <v>317</v>
      </c>
      <c r="W31" s="459">
        <f>'General information '!F36</f>
        <v>1.7858823529411764E-2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4099455.3666666662</v>
      </c>
    </row>
    <row r="32" spans="1:32">
      <c r="A32" s="164">
        <f>ELEC!C30</f>
        <v>44010</v>
      </c>
      <c r="B32" s="566">
        <f t="shared" si="18"/>
        <v>34439</v>
      </c>
      <c r="C32" s="271">
        <f t="shared" si="7"/>
        <v>0</v>
      </c>
      <c r="D32" s="318">
        <f t="shared" si="8"/>
        <v>0</v>
      </c>
      <c r="E32" s="318">
        <f t="shared" si="11"/>
        <v>34439</v>
      </c>
      <c r="F32" s="566">
        <f t="shared" si="13"/>
        <v>6146</v>
      </c>
      <c r="G32" s="161">
        <f t="shared" si="0"/>
        <v>0</v>
      </c>
      <c r="H32" s="566">
        <f t="shared" si="13"/>
        <v>15953</v>
      </c>
      <c r="I32" s="162">
        <f t="shared" si="1"/>
        <v>0</v>
      </c>
      <c r="J32" s="566">
        <f t="shared" si="13"/>
        <v>12340</v>
      </c>
      <c r="K32" s="163">
        <f t="shared" si="2"/>
        <v>0</v>
      </c>
      <c r="L32" s="306">
        <f t="shared" si="14"/>
        <v>0</v>
      </c>
      <c r="M32" s="306">
        <f t="shared" si="15"/>
        <v>0</v>
      </c>
      <c r="N32" s="306">
        <f t="shared" si="16"/>
        <v>0</v>
      </c>
      <c r="O32" s="306">
        <f t="shared" si="17"/>
        <v>90.645779251888683</v>
      </c>
      <c r="P32" s="307">
        <f t="shared" si="9"/>
        <v>90.645779251888683</v>
      </c>
      <c r="Q32" s="307">
        <f>SUM(-tanks!AX33*tanks!$AU$36)</f>
        <v>0</v>
      </c>
      <c r="R32" s="307">
        <f t="shared" si="10"/>
        <v>90.645779251888683</v>
      </c>
      <c r="S32" s="309">
        <f>SUM(ELEC!N30)</f>
        <v>0</v>
      </c>
      <c r="T32" s="346">
        <f t="shared" si="12"/>
        <v>0</v>
      </c>
      <c r="V32" s="220" t="s">
        <v>318</v>
      </c>
      <c r="W32" s="221">
        <f>SUM(GEN!U33)</f>
        <v>88</v>
      </c>
      <c r="X32" s="226">
        <f>SUM(W32/A37)</f>
        <v>5.1764705882352944</v>
      </c>
      <c r="Y32" s="267">
        <f>SUM(X32/2)</f>
        <v>2.5882352941176472</v>
      </c>
      <c r="Z32" s="3"/>
      <c r="AA32" s="3"/>
      <c r="AB32" s="593">
        <f>SUM(AB31+AC32)+AB56</f>
        <v>17366751.366666667</v>
      </c>
      <c r="AC32" s="255">
        <f>SUM(AC31)</f>
        <v>4099455.3666666662</v>
      </c>
    </row>
    <row r="33" spans="1:29">
      <c r="A33" s="164">
        <f>ELEC!C31</f>
        <v>44011</v>
      </c>
      <c r="B33" s="566">
        <f t="shared" si="18"/>
        <v>34439</v>
      </c>
      <c r="C33" s="271">
        <f t="shared" si="7"/>
        <v>0</v>
      </c>
      <c r="D33" s="318">
        <f t="shared" si="8"/>
        <v>0</v>
      </c>
      <c r="E33" s="318">
        <f t="shared" si="11"/>
        <v>34439</v>
      </c>
      <c r="F33" s="566">
        <f t="shared" si="13"/>
        <v>6146</v>
      </c>
      <c r="G33" s="161">
        <f t="shared" si="0"/>
        <v>0</v>
      </c>
      <c r="H33" s="566">
        <f t="shared" si="13"/>
        <v>15953</v>
      </c>
      <c r="I33" s="162">
        <f t="shared" si="1"/>
        <v>0</v>
      </c>
      <c r="J33" s="566">
        <f t="shared" si="13"/>
        <v>12340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90.645779251888683</v>
      </c>
      <c r="P33" s="307">
        <f t="shared" si="9"/>
        <v>90.645779251888683</v>
      </c>
      <c r="Q33" s="307">
        <f>SUM(-tanks!AX34*tanks!$AU$36)</f>
        <v>0</v>
      </c>
      <c r="R33" s="307">
        <f t="shared" si="10"/>
        <v>90.645779251888683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6">
        <f t="shared" si="18"/>
        <v>34439</v>
      </c>
      <c r="C34" s="271">
        <f t="shared" si="7"/>
        <v>0</v>
      </c>
      <c r="D34" s="318">
        <f t="shared" si="8"/>
        <v>0</v>
      </c>
      <c r="E34" s="318">
        <f t="shared" si="11"/>
        <v>34439</v>
      </c>
      <c r="F34" s="566">
        <f t="shared" si="13"/>
        <v>6146</v>
      </c>
      <c r="G34" s="161">
        <f>F34-F33</f>
        <v>0</v>
      </c>
      <c r="H34" s="566">
        <f t="shared" si="13"/>
        <v>15953</v>
      </c>
      <c r="I34" s="162">
        <f t="shared" si="1"/>
        <v>0</v>
      </c>
      <c r="J34" s="566">
        <f t="shared" si="13"/>
        <v>12340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90.645779251888683</v>
      </c>
      <c r="P34" s="307">
        <f>SUM(L34:O34)</f>
        <v>90.645779251888683</v>
      </c>
      <c r="Q34" s="307">
        <f>SUM(-tanks!AX35*tanks!$AU$36)</f>
        <v>0</v>
      </c>
      <c r="R34" s="307">
        <f>SUM(P34:Q34)</f>
        <v>90.645779251888683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69"/>
      <c r="B35" s="570"/>
      <c r="C35" s="571"/>
      <c r="D35" s="570"/>
      <c r="E35" s="570"/>
      <c r="F35" s="570"/>
      <c r="G35" s="570"/>
      <c r="H35" s="570"/>
      <c r="I35" s="570"/>
      <c r="J35" s="570"/>
      <c r="K35" s="570"/>
      <c r="L35" s="572"/>
      <c r="M35" s="572"/>
      <c r="N35" s="572"/>
      <c r="O35" s="572"/>
      <c r="P35" s="573"/>
      <c r="Q35" s="573"/>
      <c r="R35" s="573"/>
      <c r="S35" s="574"/>
      <c r="T35" s="575"/>
      <c r="V35" s="220"/>
      <c r="W35" s="221"/>
      <c r="X35" s="221"/>
      <c r="Y35" s="221"/>
      <c r="Z35" s="3"/>
      <c r="AA35" s="3"/>
      <c r="AB35" s="3"/>
      <c r="AC35" s="247"/>
    </row>
    <row r="36" spans="1:29">
      <c r="A36" s="569"/>
      <c r="B36" s="570"/>
      <c r="C36" s="571"/>
      <c r="D36" s="571"/>
      <c r="E36" s="571"/>
      <c r="F36" s="570"/>
      <c r="G36" s="570"/>
      <c r="H36" s="570"/>
      <c r="I36" s="570"/>
      <c r="J36" s="570"/>
      <c r="K36" s="576"/>
      <c r="L36" s="573"/>
      <c r="M36" s="573"/>
      <c r="N36" s="573"/>
      <c r="O36" s="573"/>
      <c r="P36" s="574"/>
      <c r="Q36" s="574"/>
      <c r="R36" s="574"/>
      <c r="S36" s="574"/>
      <c r="T36" s="575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1910342.6503333333</v>
      </c>
      <c r="AC36" s="288"/>
    </row>
    <row r="37" spans="1:29" ht="15.75" thickBot="1">
      <c r="A37" s="568">
        <f>A39-COUNTIF(C4:C35,0)</f>
        <v>17</v>
      </c>
      <c r="C37" s="177">
        <f>SUM(C4:C35)/A37</f>
        <v>5908.2941176470586</v>
      </c>
      <c r="D37" s="177"/>
      <c r="E37" s="177"/>
      <c r="G37" s="177">
        <f>SUM(G4:G35)/A37</f>
        <v>886.52941176470586</v>
      </c>
      <c r="I37" s="177">
        <f>SUM(I4:I35)/A37</f>
        <v>2968.4117647058824</v>
      </c>
      <c r="K37" s="177">
        <f>SUM(K4:K36)/A37</f>
        <v>2053.4705882352941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19277094.017000001</v>
      </c>
      <c r="AC37" s="288"/>
    </row>
    <row r="38" spans="1:29" ht="15.75" thickBot="1">
      <c r="A38" s="214"/>
      <c r="C38" s="216">
        <f>SUM(G38:K38)</f>
        <v>1.0000199121872542</v>
      </c>
      <c r="G38" s="229">
        <f>IF(C37&gt;0,G37/C37,0)</f>
        <v>0.15004828705409146</v>
      </c>
      <c r="H38" s="216"/>
      <c r="I38" s="229">
        <f>SUM(I37/C37)</f>
        <v>0.50241435270457291</v>
      </c>
      <c r="J38" s="216"/>
      <c r="K38" s="229">
        <f>SUM(K37/C37)</f>
        <v>0.34755727242858991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11520.2330790492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2719.3733775566607</v>
      </c>
      <c r="Z40" s="40"/>
      <c r="AA40" s="302" t="s">
        <v>215</v>
      </c>
      <c r="AB40" s="303">
        <f>SUM(AB38)</f>
        <v>11520.2330790492</v>
      </c>
    </row>
    <row r="41" spans="1:29">
      <c r="V41" s="221"/>
      <c r="W41" s="83">
        <f>(AB31+AB56)/1507.5</f>
        <v>8800.8597014925381</v>
      </c>
      <c r="X41" s="594"/>
      <c r="Z41" s="304">
        <f>SUM(AB40)</f>
        <v>11520.2330790492</v>
      </c>
      <c r="AA41" s="303"/>
      <c r="AB41" s="303"/>
    </row>
    <row r="42" spans="1:29">
      <c r="V42" s="17"/>
      <c r="W42" s="83">
        <f>SUM(W40:W41)</f>
        <v>11520.233079049198</v>
      </c>
      <c r="X42" s="594"/>
      <c r="Y42" s="83"/>
      <c r="Z42" s="304">
        <f>SUM(-tanks!AX36)*tanks!AU36</f>
        <v>4916.7089758064549</v>
      </c>
      <c r="AA42" s="102">
        <f>SUM(AB32/A37)</f>
        <v>1021573.6098039215</v>
      </c>
      <c r="AB42" s="361">
        <f>SUM(AA42*A39)</f>
        <v>30647208.294117644</v>
      </c>
    </row>
    <row r="43" spans="1:29" ht="18.75">
      <c r="W43" s="83">
        <f>(AB31+AB56)/1507.5</f>
        <v>8800.8597014925381</v>
      </c>
      <c r="Z43" s="284">
        <f>SUM(Z41:Z42)</f>
        <v>16436.942054855655</v>
      </c>
      <c r="AA43" s="303">
        <f>SUM(AA42/1507.5)</f>
        <v>677.66076935583521</v>
      </c>
      <c r="AB43" s="360">
        <f>SUM(AB42/1507.5)</f>
        <v>20329.823080675054</v>
      </c>
    </row>
    <row r="44" spans="1:29">
      <c r="D44" s="540"/>
      <c r="E44" s="540"/>
      <c r="F44" s="540"/>
      <c r="W44" s="83">
        <f>SUM(W42:W43)</f>
        <v>20321.092780541738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73"/>
      <c r="AC47" s="674"/>
    </row>
    <row r="48" spans="1:29">
      <c r="V48" s="679"/>
      <c r="W48" s="680"/>
      <c r="X48" s="680"/>
      <c r="Y48" s="681"/>
      <c r="Z48" s="26" t="s">
        <v>203</v>
      </c>
      <c r="AA48" s="26">
        <v>5000</v>
      </c>
      <c r="AB48" s="675"/>
      <c r="AC48" s="676"/>
    </row>
    <row r="49" spans="22:32">
      <c r="V49" s="682"/>
      <c r="W49" s="683"/>
      <c r="X49" s="683"/>
      <c r="Y49" s="684"/>
      <c r="Z49" s="685"/>
      <c r="AA49" s="686"/>
      <c r="AB49" s="675"/>
      <c r="AC49" s="676"/>
    </row>
    <row r="50" spans="22:32">
      <c r="V50" s="687" t="s">
        <v>204</v>
      </c>
      <c r="W50" s="688"/>
      <c r="X50" s="689" t="s">
        <v>205</v>
      </c>
      <c r="Y50" s="690"/>
      <c r="Z50" s="691"/>
      <c r="AA50" s="171"/>
      <c r="AB50" s="677"/>
      <c r="AC50" s="678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12340</v>
      </c>
      <c r="X52" s="173" t="s">
        <v>199</v>
      </c>
      <c r="Y52" s="173">
        <v>80</v>
      </c>
      <c r="Z52" s="173">
        <v>1</v>
      </c>
      <c r="AA52" s="348">
        <f>(W52-V52)*Z52</f>
        <v>12340</v>
      </c>
      <c r="AB52" s="348">
        <f>AA52*Y52</f>
        <v>987200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15953</v>
      </c>
      <c r="X53" s="173" t="s">
        <v>213</v>
      </c>
      <c r="Y53" s="173">
        <v>112</v>
      </c>
      <c r="Z53" s="173">
        <v>1</v>
      </c>
      <c r="AA53" s="348">
        <f>(W53-V53)*Z53</f>
        <v>15953</v>
      </c>
      <c r="AB53" s="348">
        <f>SUM(AA53*Y53)</f>
        <v>1786736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6146</v>
      </c>
      <c r="X54" s="173" t="s">
        <v>197</v>
      </c>
      <c r="Y54" s="173">
        <v>320</v>
      </c>
      <c r="Z54" s="173">
        <v>1</v>
      </c>
      <c r="AA54" s="348">
        <f>(W54-V54)*Z54</f>
        <v>6146</v>
      </c>
      <c r="AB54" s="348">
        <f>SUM(AA54*Y54)</f>
        <v>1966720</v>
      </c>
      <c r="AC54" s="255">
        <f t="shared" si="19"/>
        <v>1000</v>
      </c>
      <c r="AD54" s="216">
        <f>SUM(G63)</f>
        <v>0</v>
      </c>
      <c r="AE54" s="40">
        <f>SUM(AB54*5%)</f>
        <v>98336</v>
      </c>
      <c r="AF54" s="83">
        <f>SUM(AE54/7)*31</f>
        <v>435488</v>
      </c>
    </row>
    <row r="55" spans="22:32">
      <c r="V55" s="217"/>
      <c r="W55" s="218"/>
      <c r="X55" s="218"/>
      <c r="Y55" s="219"/>
      <c r="Z55" s="3"/>
      <c r="AA55" s="348">
        <f>SUM(AA52:AA54)</f>
        <v>34439</v>
      </c>
      <c r="AB55" s="348"/>
      <c r="AC55" s="255"/>
    </row>
    <row r="56" spans="22:32">
      <c r="V56" s="220" t="s">
        <v>317</v>
      </c>
      <c r="W56" s="459">
        <f>'General information '!F36</f>
        <v>1.7858823529411764E-2</v>
      </c>
      <c r="X56" s="221"/>
      <c r="Y56" s="222" t="s">
        <v>333</v>
      </c>
      <c r="Z56" s="3"/>
      <c r="AA56" s="348"/>
      <c r="AB56" s="593">
        <f>SUM(AB52:AB55)</f>
        <v>4740656</v>
      </c>
      <c r="AC56" s="255">
        <f>SUM(AC52:AC55)/A39*A37</f>
        <v>4099455.3666666662</v>
      </c>
    </row>
    <row r="57" spans="22:32">
      <c r="V57" s="220" t="s">
        <v>318</v>
      </c>
      <c r="W57" s="221">
        <f>GEN!Z33</f>
        <v>88</v>
      </c>
      <c r="X57" s="226">
        <f>SUM(W57/A37)</f>
        <v>5.1764705882352944</v>
      </c>
      <c r="Y57" s="267">
        <f>SUM(X57/2)</f>
        <v>2.5882352941176472</v>
      </c>
      <c r="Z57" s="3"/>
      <c r="AA57" s="3"/>
      <c r="AB57" s="348">
        <f>SUM(AB56+AC57)</f>
        <v>8840111.3666666672</v>
      </c>
      <c r="AC57" s="255">
        <f>SUM(AC56)</f>
        <v>4099455.3666666662</v>
      </c>
    </row>
    <row r="58" spans="22:32">
      <c r="V58" s="220" t="s">
        <v>319</v>
      </c>
      <c r="W58" s="221">
        <f>'Degree Days 2020'!V43</f>
        <v>-256.20000000000005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81.90000000000002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972412.25033333339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9812523.6170000006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5864.0871420674412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2732.9702444444442</v>
      </c>
      <c r="Z65" s="40"/>
      <c r="AA65" s="370" t="s">
        <v>215</v>
      </c>
      <c r="AB65" s="303">
        <f>SUM(AB63)</f>
        <v>5864.0871420674412</v>
      </c>
    </row>
    <row r="66" spans="22:28">
      <c r="V66" s="221"/>
      <c r="W66" s="83">
        <f>AB56/1500</f>
        <v>3160.4373333333333</v>
      </c>
      <c r="Z66" s="304">
        <f>SUM(AB65)</f>
        <v>5864.0871420674412</v>
      </c>
      <c r="AA66" s="303"/>
      <c r="AB66" s="303"/>
    </row>
    <row r="67" spans="22:28">
      <c r="V67" s="17"/>
      <c r="W67" s="83">
        <f>SUM(W65:W66)</f>
        <v>5893.407577777778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3160.4373333333333</v>
      </c>
      <c r="Z68" s="284">
        <f>SUM(Z66:Z67)</f>
        <v>5864.0871420674412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9053.8449111111113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G14:G15"/>
    <mergeCell ref="I14:I15"/>
    <mergeCell ref="K14:K15"/>
    <mergeCell ref="C14:C15"/>
    <mergeCell ref="A14:A15"/>
    <mergeCell ref="D14:D15"/>
    <mergeCell ref="E14:E15"/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4" activePane="bottomLeft" state="frozen"/>
      <selection pane="bottomLeft" activeCell="F23" sqref="F2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321</v>
      </c>
      <c r="C1" s="705"/>
      <c r="D1" s="707"/>
      <c r="E1" s="704" t="s">
        <v>322</v>
      </c>
      <c r="F1" s="705"/>
      <c r="G1" s="706"/>
      <c r="H1" s="701" t="s">
        <v>327</v>
      </c>
      <c r="I1" s="698" t="s">
        <v>328</v>
      </c>
      <c r="J1" s="695" t="s">
        <v>43</v>
      </c>
    </row>
    <row r="2" spans="1:18" ht="38.25" thickBot="1">
      <c r="A2" s="693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2"/>
      <c r="I2" s="699"/>
      <c r="J2" s="696"/>
    </row>
    <row r="3" spans="1:18" ht="24" customHeight="1" thickBot="1">
      <c r="A3" s="694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3"/>
      <c r="I3" s="700"/>
      <c r="J3" s="697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79">
        <v>5.5</v>
      </c>
      <c r="C6" s="580">
        <v>7.84</v>
      </c>
      <c r="D6" s="581">
        <v>29</v>
      </c>
      <c r="E6" s="581">
        <v>4</v>
      </c>
      <c r="F6" s="581">
        <v>8</v>
      </c>
      <c r="G6" s="581">
        <v>35</v>
      </c>
      <c r="H6" s="581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8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7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7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8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7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7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7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89">
        <v>7.8</v>
      </c>
      <c r="D13" s="171">
        <v>28</v>
      </c>
      <c r="E13" s="171">
        <v>1.4</v>
      </c>
      <c r="F13" s="171">
        <v>8</v>
      </c>
      <c r="G13" s="171">
        <v>35</v>
      </c>
      <c r="H13" s="590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7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7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7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5">
        <v>7.8</v>
      </c>
      <c r="D17" s="528">
        <v>27</v>
      </c>
      <c r="E17" s="528">
        <v>1</v>
      </c>
      <c r="F17" s="528">
        <v>8</v>
      </c>
      <c r="G17" s="528">
        <v>37</v>
      </c>
      <c r="H17" s="577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7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6">
        <v>7.7</v>
      </c>
      <c r="D19" s="171">
        <v>29</v>
      </c>
      <c r="E19" s="171">
        <v>3</v>
      </c>
      <c r="F19" s="171">
        <v>8</v>
      </c>
      <c r="G19" s="171">
        <v>35</v>
      </c>
      <c r="H19" s="590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>
        <v>2.9</v>
      </c>
      <c r="C20" s="528">
        <v>7.8</v>
      </c>
      <c r="D20" s="528">
        <v>27</v>
      </c>
      <c r="E20" s="528">
        <v>1</v>
      </c>
      <c r="F20" s="528">
        <v>8</v>
      </c>
      <c r="G20" s="528">
        <v>35</v>
      </c>
      <c r="H20" s="577">
        <v>6280</v>
      </c>
      <c r="I20" s="528">
        <f t="shared" si="2"/>
        <v>2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99">
        <v>3.6</v>
      </c>
      <c r="C21" s="528">
        <v>7.8</v>
      </c>
      <c r="D21" s="528">
        <v>29</v>
      </c>
      <c r="E21" s="599">
        <v>4</v>
      </c>
      <c r="F21" s="598">
        <v>8.6999999999999993</v>
      </c>
      <c r="G21" s="528">
        <v>36</v>
      </c>
      <c r="H21" s="577">
        <v>6288</v>
      </c>
      <c r="I21" s="528">
        <f t="shared" si="2"/>
        <v>8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>
        <v>2.8</v>
      </c>
      <c r="C22" s="597">
        <v>7.8</v>
      </c>
      <c r="D22" s="171">
        <v>29</v>
      </c>
      <c r="E22" s="171">
        <v>3</v>
      </c>
      <c r="F22" s="171">
        <v>8.1</v>
      </c>
      <c r="G22" s="171">
        <v>38</v>
      </c>
      <c r="H22" s="590">
        <v>6292</v>
      </c>
      <c r="I22" s="528">
        <f t="shared" si="2"/>
        <v>4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/>
      <c r="C23" s="171"/>
      <c r="D23" s="171"/>
      <c r="E23" s="171"/>
      <c r="F23" s="171"/>
      <c r="G23" s="171"/>
      <c r="H23" s="577">
        <f t="shared" si="4"/>
        <v>6292</v>
      </c>
      <c r="I23" s="528">
        <f t="shared" si="2"/>
        <v>0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/>
      <c r="C24" s="528"/>
      <c r="D24" s="528"/>
      <c r="E24" s="528"/>
      <c r="F24" s="528"/>
      <c r="G24" s="528"/>
      <c r="H24" s="577">
        <f t="shared" si="4"/>
        <v>6292</v>
      </c>
      <c r="I24" s="528">
        <f t="shared" si="2"/>
        <v>0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/>
      <c r="C25" s="528"/>
      <c r="D25" s="528"/>
      <c r="E25" s="528"/>
      <c r="F25" s="528"/>
      <c r="G25" s="528"/>
      <c r="H25" s="577">
        <f t="shared" si="4"/>
        <v>6292</v>
      </c>
      <c r="I25" s="528">
        <f t="shared" si="2"/>
        <v>0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/>
      <c r="C26" s="528"/>
      <c r="D26" s="528"/>
      <c r="E26" s="528"/>
      <c r="F26" s="528"/>
      <c r="G26" s="528"/>
      <c r="H26" s="577">
        <f t="shared" si="4"/>
        <v>6292</v>
      </c>
      <c r="I26" s="528">
        <f t="shared" si="2"/>
        <v>0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/>
      <c r="C27" s="528"/>
      <c r="D27" s="528"/>
      <c r="E27" s="528"/>
      <c r="F27" s="528"/>
      <c r="G27" s="528"/>
      <c r="H27" s="577">
        <f t="shared" si="4"/>
        <v>6292</v>
      </c>
      <c r="I27" s="528">
        <f t="shared" si="2"/>
        <v>0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528"/>
      <c r="C28" s="528"/>
      <c r="D28" s="528"/>
      <c r="E28" s="528"/>
      <c r="F28" s="528"/>
      <c r="G28" s="528"/>
      <c r="H28" s="577">
        <f t="shared" si="4"/>
        <v>6292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7">
        <f t="shared" si="4"/>
        <v>6292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5"/>
      <c r="D30" s="171"/>
      <c r="E30" s="171"/>
      <c r="F30" s="171"/>
      <c r="G30" s="171"/>
      <c r="H30" s="577">
        <f t="shared" si="4"/>
        <v>6292</v>
      </c>
      <c r="I30" s="528">
        <f t="shared" si="2"/>
        <v>0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5"/>
      <c r="D31" s="171"/>
      <c r="E31" s="171"/>
      <c r="F31" s="171"/>
      <c r="G31" s="171"/>
      <c r="H31" s="577">
        <f t="shared" si="4"/>
        <v>6292</v>
      </c>
      <c r="I31" s="528">
        <f t="shared" si="2"/>
        <v>0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7">
        <f t="shared" si="4"/>
        <v>6292</v>
      </c>
      <c r="I32" s="528">
        <f t="shared" si="2"/>
        <v>0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7">
        <f t="shared" si="4"/>
        <v>6292</v>
      </c>
      <c r="I33" s="528">
        <f t="shared" si="2"/>
        <v>0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7">
        <f t="shared" si="4"/>
        <v>6292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7">
        <f t="shared" si="4"/>
        <v>6292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AB16" sqref="AB16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20" t="s">
        <v>412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F43</f>
        <v>-153.49999999999997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-256.20000000000005</v>
      </c>
      <c r="AB15" s="279">
        <f>W43</f>
        <v>81.90000000000002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-687.60000000000014</v>
      </c>
      <c r="AB23" s="135">
        <f>SUM(AB10:AB22)</f>
        <v>289.40000000000003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26</v>
      </c>
      <c r="W24" s="279">
        <f>'General information '!C20</f>
        <v>20</v>
      </c>
      <c r="X24" s="279">
        <f t="shared" si="5"/>
        <v>4.6999999999999993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26</v>
      </c>
      <c r="W25" s="279">
        <f>'General information '!C21</f>
        <v>21</v>
      </c>
      <c r="X25" s="279">
        <f t="shared" si="5"/>
        <v>5.1999999999999993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27</v>
      </c>
      <c r="W26" s="279">
        <f>'General information '!C22</f>
        <v>22</v>
      </c>
      <c r="X26" s="279">
        <f t="shared" si="5"/>
        <v>6.1999999999999993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0</v>
      </c>
      <c r="W27" s="279">
        <f>'General information '!C23</f>
        <v>0</v>
      </c>
      <c r="X27" s="279">
        <f t="shared" si="5"/>
        <v>-18.3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0</v>
      </c>
      <c r="W28" s="279">
        <f>'General information '!C24</f>
        <v>0</v>
      </c>
      <c r="X28" s="279">
        <f t="shared" si="5"/>
        <v>-18.3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0</v>
      </c>
      <c r="W29" s="279">
        <f>'General information '!C25</f>
        <v>0</v>
      </c>
      <c r="X29" s="279">
        <f t="shared" si="5"/>
        <v>-18.3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0</v>
      </c>
      <c r="W30" s="279">
        <f>'General information '!C26</f>
        <v>0</v>
      </c>
      <c r="X30" s="279">
        <f t="shared" si="5"/>
        <v>-18.3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0</v>
      </c>
      <c r="W31" s="279">
        <f>'General information '!C27</f>
        <v>0</v>
      </c>
      <c r="X31" s="279">
        <f t="shared" si="5"/>
        <v>-18.3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0</v>
      </c>
      <c r="W32" s="279">
        <f>'General information '!C28</f>
        <v>0</v>
      </c>
      <c r="X32" s="279">
        <f t="shared" si="5"/>
        <v>-18.3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0</v>
      </c>
      <c r="W33" s="279">
        <f>'General information '!C29</f>
        <v>0</v>
      </c>
      <c r="X33" s="279">
        <f t="shared" si="5"/>
        <v>-18.3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0</v>
      </c>
      <c r="W34" s="279">
        <f>'General information '!C30</f>
        <v>0</v>
      </c>
      <c r="X34" s="279">
        <f t="shared" si="5"/>
        <v>-18.3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0</v>
      </c>
      <c r="W35" s="279">
        <f>'General information '!C31</f>
        <v>0</v>
      </c>
      <c r="X35" s="279">
        <f t="shared" si="5"/>
        <v>-18.3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0</v>
      </c>
      <c r="W36" s="279">
        <f>'General information '!C32</f>
        <v>0</v>
      </c>
      <c r="X36" s="279">
        <f t="shared" si="5"/>
        <v>-18.3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0</v>
      </c>
      <c r="W37" s="279">
        <f>'General information '!C33</f>
        <v>0</v>
      </c>
      <c r="X37" s="279">
        <f t="shared" si="5"/>
        <v>-18.3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-256.20000000000005</v>
      </c>
      <c r="W43" s="120">
        <f>SUMIF(X10:X40,"&gt;0")</f>
        <v>81.90000000000002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26</v>
      </c>
      <c r="C62" s="279">
        <f>'General information '!C20</f>
        <v>20</v>
      </c>
      <c r="D62" s="120">
        <f t="shared" si="14"/>
        <v>4.6999999999999993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26</v>
      </c>
      <c r="C63" s="279">
        <f>'General information '!C21</f>
        <v>21</v>
      </c>
      <c r="D63" s="120">
        <f t="shared" si="14"/>
        <v>5.1999999999999993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27</v>
      </c>
      <c r="C64" s="279">
        <f>'General information '!C22</f>
        <v>22</v>
      </c>
      <c r="D64" s="120">
        <f t="shared" si="14"/>
        <v>6.1999999999999993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0</v>
      </c>
      <c r="C65" s="279">
        <f>'General information '!C23</f>
        <v>0</v>
      </c>
      <c r="D65" s="120">
        <f t="shared" si="14"/>
        <v>-18.3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0</v>
      </c>
      <c r="C66" s="279">
        <f>'General information '!C24</f>
        <v>0</v>
      </c>
      <c r="D66" s="120">
        <f t="shared" si="14"/>
        <v>-18.3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0</v>
      </c>
      <c r="C67" s="279">
        <f>'General information '!C25</f>
        <v>0</v>
      </c>
      <c r="D67" s="120">
        <f t="shared" si="14"/>
        <v>-18.3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0</v>
      </c>
      <c r="C68" s="279">
        <f>'General information '!C26</f>
        <v>0</v>
      </c>
      <c r="D68" s="120">
        <f t="shared" si="14"/>
        <v>-18.3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0</v>
      </c>
      <c r="C69" s="279">
        <f>'General information '!C27</f>
        <v>0</v>
      </c>
      <c r="D69" s="120">
        <f t="shared" si="14"/>
        <v>-18.3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0</v>
      </c>
      <c r="C70" s="279">
        <f>'General information '!C28</f>
        <v>0</v>
      </c>
      <c r="D70" s="120">
        <f t="shared" si="14"/>
        <v>-18.3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14"/>
        <v>-18.3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14"/>
        <v>-18.3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14"/>
        <v>-18.3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14"/>
        <v>-18.3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14"/>
        <v>-18.3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-256.20000000000005</v>
      </c>
      <c r="C81" s="120">
        <f>SUMIF(D48:D78,"&gt;0")</f>
        <v>81.90000000000002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14" t="s">
        <v>174</v>
      </c>
      <c r="O84" s="714" t="s">
        <v>175</v>
      </c>
      <c r="P84" s="135"/>
      <c r="T84" s="135"/>
      <c r="X84" s="135"/>
    </row>
    <row r="85" spans="1:24" ht="20.25" thickBot="1">
      <c r="D85" s="135"/>
      <c r="I85" s="716" t="s">
        <v>182</v>
      </c>
      <c r="J85" s="717"/>
      <c r="K85" s="717"/>
      <c r="L85" s="717"/>
      <c r="N85" s="715"/>
      <c r="O85" s="715"/>
      <c r="P85" s="135"/>
      <c r="R85" s="17"/>
      <c r="S85" s="17"/>
      <c r="T85" s="141"/>
      <c r="U85" s="142"/>
      <c r="X85" s="135"/>
    </row>
    <row r="86" spans="1:24" ht="18.75" thickBot="1">
      <c r="D86" s="135"/>
      <c r="I86" s="718" t="s">
        <v>183</v>
      </c>
      <c r="J86" s="718"/>
      <c r="K86" s="718"/>
      <c r="L86" s="718"/>
      <c r="N86" s="143">
        <f>B43+F43+J43+N43+R43+V43+B81+F81+J81+N81+R81+V81</f>
        <v>-3713.5000000000005</v>
      </c>
      <c r="O86" s="143">
        <f>C43+G43+K43+O43+S43+W43+C81+G81+K81+O81+S81+W81</f>
        <v>332.80000000000007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13" workbookViewId="0">
      <pane xSplit="1" topLeftCell="B1" activePane="topRight" state="frozen"/>
      <selection pane="topRight" activeCell="B14" sqref="B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216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17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855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4250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26844.1</v>
      </c>
      <c r="C8" s="512">
        <f>SUM(tanks!AU36)</f>
        <v>0.29825000000000002</v>
      </c>
      <c r="D8" s="195">
        <f>SUM(B8*C8)*D4</f>
        <v>12069426.1336875</v>
      </c>
      <c r="E8" s="196">
        <f>SUM(D8/D4/F4)</f>
        <v>470.95604852941176</v>
      </c>
      <c r="F8" s="196">
        <f>SUM(E8*F4)</f>
        <v>8006.2528249999996</v>
      </c>
      <c r="G8" s="529">
        <f>E8*$G$4</f>
        <v>14128.681455882353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1100</v>
      </c>
      <c r="C9" s="362">
        <v>0.7</v>
      </c>
      <c r="D9" s="192">
        <f>SUM(B9*C9)*D4</f>
        <v>1160775</v>
      </c>
      <c r="E9" s="193">
        <f>SUM(C9*B9)/F4</f>
        <v>45.294117647058826</v>
      </c>
      <c r="F9" s="193">
        <f>SUM(E9*F4)</f>
        <v>770</v>
      </c>
      <c r="G9" s="529">
        <f>E9*$G$4</f>
        <v>1358.8235294117649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17366751.366666667</v>
      </c>
      <c r="E10" s="186">
        <f>SUM(D10/D4/F4)</f>
        <v>677.66076935583533</v>
      </c>
      <c r="F10" s="186">
        <f>SUM(E10*F4)</f>
        <v>11520.233079049201</v>
      </c>
      <c r="G10" s="529">
        <f>E10*$G$4</f>
        <v>20329.823080675058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1443.9109355323058</v>
      </c>
      <c r="F12" s="184">
        <f>SUM(F6:F10)</f>
        <v>24546.485904049201</v>
      </c>
      <c r="G12" s="183">
        <f>SUM(G6:G10)</f>
        <v>43317.328065969181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81.90000000000002</v>
      </c>
      <c r="C14" s="448">
        <f>'[8]Utility Cost '!C14</f>
        <v>151</v>
      </c>
      <c r="D14" s="171"/>
      <c r="E14" s="171">
        <f t="shared" ref="E14:E18" si="0">B14-C14</f>
        <v>-69.09999999999998</v>
      </c>
      <c r="F14" s="528">
        <v>0</v>
      </c>
      <c r="G14" s="436"/>
      <c r="H14" s="437">
        <f>SUM(G12-H12)</f>
        <v>-17618.179784030814</v>
      </c>
      <c r="I14" s="437">
        <f>SUM(G12-I12)</f>
        <v>-37182.671934030819</v>
      </c>
    </row>
    <row r="15" spans="1:11">
      <c r="A15" s="465" t="s">
        <v>304</v>
      </c>
      <c r="B15" s="98">
        <f>'Degree Days 2020'!AA15</f>
        <v>-256.20000000000005</v>
      </c>
      <c r="C15" s="448">
        <f>'[8]Utility Cost '!C15</f>
        <v>-18.3</v>
      </c>
      <c r="D15" s="171"/>
      <c r="E15" s="171">
        <f t="shared" si="0"/>
        <v>-237.90000000000003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23.117647058823529</v>
      </c>
      <c r="C16" s="448">
        <f>'[8]Utility Cost '!C16</f>
        <v>26.483333333333334</v>
      </c>
      <c r="D16" s="448"/>
      <c r="E16" s="449">
        <f t="shared" si="0"/>
        <v>-3.3656862745098053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1.7858823529411764E-2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-0.76835117647058815</v>
      </c>
      <c r="F17" s="548">
        <f>B17-D17</f>
        <v>-0.5757411764705882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88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-137</v>
      </c>
      <c r="F18" s="549">
        <f>B18-D18</f>
        <v>-129</v>
      </c>
    </row>
    <row r="19" spans="1:10">
      <c r="A19" s="543" t="s">
        <v>414</v>
      </c>
      <c r="B19" s="541">
        <f>SUM(B18/$F$4)</f>
        <v>5.1764705882352944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2020-06-18T03:44:39Z</dcterms:modified>
</cp:coreProperties>
</file>