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<sst xmlns="http://schemas.openxmlformats.org/spreadsheetml/2006/main" count="128" uniqueCount="49">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</sst>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73040</v>
      </c>
      <c r="F9" s="11">
        <v>5.0000000000000001E-3</v>
      </c>
      <c r="G9" s="12">
        <f>Submetering!R9</f>
        <v>1022.8177819999999</v>
      </c>
      <c r="H9" s="11">
        <v>0.52800000000000002</v>
      </c>
      <c r="I9" s="12">
        <f>Hotel!B14</f>
        <v>85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69890</v>
      </c>
      <c r="F10" s="11">
        <v>5.0000000000000001E-3</v>
      </c>
      <c r="G10" s="12">
        <f>Submetering!R10</f>
        <v>970.57912399999998</v>
      </c>
      <c r="H10" s="11">
        <v>0.52800000000000002</v>
      </c>
      <c r="I10" s="12">
        <f>Hotel!B15</f>
        <v>139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72590</v>
      </c>
      <c r="F11" s="11">
        <v>5.0000000000000001E-3</v>
      </c>
      <c r="G11" s="12">
        <f>Submetering!R11</f>
        <v>1000.1053219999999</v>
      </c>
      <c r="H11" s="11">
        <v>0.52800000000000002</v>
      </c>
      <c r="I11" s="12">
        <f>Hotel!B16</f>
        <v>152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72380</v>
      </c>
      <c r="F12" s="11">
        <v>5.0000000000000001E-3</v>
      </c>
      <c r="G12" s="12">
        <f>Submetering!R12</f>
        <v>820.29834699999992</v>
      </c>
      <c r="H12" s="11">
        <v>0.52800000000000002</v>
      </c>
      <c r="I12" s="12">
        <f>Hotel!B17</f>
        <v>84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>
        <f>Hotel!Q14</f>
        <v>11360</v>
      </c>
      <c r="F9" s="4">
        <f>Hotel!R14</f>
        <v>14350</v>
      </c>
      <c r="G9" s="4">
        <f>Hotel!S14</f>
        <v>160</v>
      </c>
      <c r="H9" s="4">
        <f>Hotel!T14</f>
        <v>1800</v>
      </c>
      <c r="I9" s="4">
        <f>Hotel!U14</f>
        <v>4130</v>
      </c>
      <c r="J9" s="4">
        <f>Hotel!V14</f>
        <v>3910</v>
      </c>
      <c r="K9" s="4">
        <f>Hotel!W14</f>
        <v>2460</v>
      </c>
      <c r="L9" s="4">
        <f>Hotel!X14</f>
        <v>4900</v>
      </c>
      <c r="M9" s="4">
        <f>Hotel!Y14</f>
        <v>5840</v>
      </c>
      <c r="N9" s="4">
        <f>Hotel!Z14</f>
        <v>2620</v>
      </c>
      <c r="O9" s="4">
        <f>Hotel!AA14</f>
        <v>3120</v>
      </c>
      <c r="P9" s="4">
        <f>Hotel!AB14</f>
        <v>7540</v>
      </c>
      <c r="Q9" s="4">
        <f>Hotel!AC14</f>
        <v>10850</v>
      </c>
      <c r="R9" s="4">
        <f>Hotel!AV14*0.00378541*100</f>
        <v>1022.8177819999999</v>
      </c>
      <c r="S9" s="4">
        <f>Hotel!B14</f>
        <v>85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10580</v>
      </c>
      <c r="F10" s="4">
        <f>Hotel!R15</f>
        <v>13350</v>
      </c>
      <c r="G10" s="4">
        <f>Hotel!S15</f>
        <v>150</v>
      </c>
      <c r="H10" s="4">
        <f>Hotel!T15</f>
        <v>1660</v>
      </c>
      <c r="I10" s="4">
        <f>Hotel!U15</f>
        <v>4000</v>
      </c>
      <c r="J10" s="4">
        <f>Hotel!V15</f>
        <v>3790</v>
      </c>
      <c r="K10" s="4">
        <f>Hotel!W15</f>
        <v>2310</v>
      </c>
      <c r="L10" s="4">
        <f>Hotel!X15</f>
        <v>4910</v>
      </c>
      <c r="M10" s="4">
        <f>Hotel!Y15</f>
        <v>5630</v>
      </c>
      <c r="N10" s="4">
        <f>Hotel!Z15</f>
        <v>2630</v>
      </c>
      <c r="O10" s="4">
        <f>Hotel!AA15</f>
        <v>2990</v>
      </c>
      <c r="P10" s="4">
        <f>Hotel!AB15</f>
        <v>7040</v>
      </c>
      <c r="Q10" s="4">
        <f>Hotel!AC15</f>
        <v>10850</v>
      </c>
      <c r="R10" s="4">
        <f>Hotel!AV15*0.00378541*100</f>
        <v>970.57912399999998</v>
      </c>
      <c r="S10" s="4">
        <f>Hotel!B15</f>
        <v>139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10960</v>
      </c>
      <c r="F11" s="4">
        <f>Hotel!R16</f>
        <v>13850</v>
      </c>
      <c r="G11" s="4">
        <f>Hotel!S16</f>
        <v>150</v>
      </c>
      <c r="H11" s="4">
        <f>Hotel!T16</f>
        <v>1740</v>
      </c>
      <c r="I11" s="4">
        <f>Hotel!U16</f>
        <v>4340</v>
      </c>
      <c r="J11" s="4">
        <f>Hotel!V16</f>
        <v>3970</v>
      </c>
      <c r="K11" s="4">
        <f>Hotel!W16</f>
        <v>2440</v>
      </c>
      <c r="L11" s="4">
        <f>Hotel!X16</f>
        <v>4850</v>
      </c>
      <c r="M11" s="4">
        <f>Hotel!Y16</f>
        <v>6080</v>
      </c>
      <c r="N11" s="4">
        <f>Hotel!Z16</f>
        <v>2950</v>
      </c>
      <c r="O11" s="4">
        <f>Hotel!AA16</f>
        <v>3230</v>
      </c>
      <c r="P11" s="4">
        <f>Hotel!AB16</f>
        <v>7490</v>
      </c>
      <c r="Q11" s="4">
        <f>Hotel!AC16</f>
        <v>10540</v>
      </c>
      <c r="R11" s="4">
        <f>Hotel!AV16*0.00378541*100</f>
        <v>1000.1053219999999</v>
      </c>
      <c r="S11" s="4">
        <f>Hotel!B16</f>
        <v>152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10500</v>
      </c>
      <c r="F12" s="4">
        <f>Hotel!R17</f>
        <v>13400</v>
      </c>
      <c r="G12" s="4">
        <f>Hotel!S17</f>
        <v>140</v>
      </c>
      <c r="H12" s="4">
        <f>Hotel!T17</f>
        <v>2950</v>
      </c>
      <c r="I12" s="4">
        <f>Hotel!U17</f>
        <v>4160</v>
      </c>
      <c r="J12" s="4">
        <f>Hotel!V17</f>
        <v>3770</v>
      </c>
      <c r="K12" s="4">
        <f>Hotel!W17</f>
        <v>2300</v>
      </c>
      <c r="L12" s="4">
        <f>Hotel!X17</f>
        <v>4890</v>
      </c>
      <c r="M12" s="4">
        <f>Hotel!Y17</f>
        <v>5880</v>
      </c>
      <c r="N12" s="4">
        <f>Hotel!Z17</f>
        <v>2870</v>
      </c>
      <c r="O12" s="4">
        <f>Hotel!AA17</f>
        <v>3160</v>
      </c>
      <c r="P12" s="4">
        <f>Hotel!AB17</f>
        <v>7480</v>
      </c>
      <c r="Q12" s="4">
        <f>Hotel!AC17</f>
        <v>10880</v>
      </c>
      <c r="R12" s="4">
        <f>Hotel!AV17*0.00378541*100</f>
        <v>820.29834699999992</v>
      </c>
      <c r="S12" s="4">
        <f>Hotel!B17</f>
        <v>84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 t="str">
        <f>Hotel!Q18</f>
        <v>0</v>
      </c>
      <c r="F13" s="4" t="str">
        <f>Hotel!R18</f>
        <v>0</v>
      </c>
      <c r="G13" s="4" t="str">
        <f>Hotel!S18</f>
        <v>0</v>
      </c>
      <c r="H13" s="4" t="str">
        <f>Hotel!T18</f>
        <v>0</v>
      </c>
      <c r="I13" s="4" t="str">
        <f>Hotel!U18</f>
        <v>0</v>
      </c>
      <c r="J13" s="4" t="str">
        <f>Hotel!V18</f>
        <v>0</v>
      </c>
      <c r="K13" s="4" t="str">
        <f>Hotel!W18</f>
        <v>0</v>
      </c>
      <c r="L13" s="4" t="str">
        <f>Hotel!X18</f>
        <v>0</v>
      </c>
      <c r="M13" s="4" t="str">
        <f>Hotel!Y18</f>
        <v>0</v>
      </c>
      <c r="N13" s="4" t="str">
        <f>Hotel!Z18</f>
        <v>0</v>
      </c>
      <c r="O13" s="4" t="str">
        <f>Hotel!AA18</f>
        <v>0</v>
      </c>
      <c r="P13" s="4" t="str">
        <f>Hotel!AB18</f>
        <v>0</v>
      </c>
      <c r="Q13" s="4" t="str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U1" zoomScale="93" zoomScaleNormal="93" workbookViewId="0">
      <selection activeCell="AS24" sqref="AS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>
        <v>85</v>
      </c>
      <c r="C14" s="24">
        <v>6864380</v>
      </c>
      <c r="D14" s="24">
        <v>16903970</v>
      </c>
      <c r="E14" s="24">
        <v>3054230</v>
      </c>
      <c r="F14" s="24">
        <v>3639560</v>
      </c>
      <c r="G14" s="24">
        <v>10770780</v>
      </c>
      <c r="H14" s="24">
        <v>5829230</v>
      </c>
      <c r="I14" s="24">
        <v>5295610</v>
      </c>
      <c r="J14" s="24">
        <v>6286690</v>
      </c>
      <c r="K14" s="24">
        <v>9660940</v>
      </c>
      <c r="L14" s="24">
        <v>4067840</v>
      </c>
      <c r="M14" s="24">
        <v>8181450</v>
      </c>
      <c r="N14" s="24">
        <v>12686720</v>
      </c>
      <c r="O14" s="24">
        <v>17473540</v>
      </c>
      <c r="P14" s="53"/>
      <c r="Q14" s="37">
        <f t="shared" si="17"/>
        <v>11360</v>
      </c>
      <c r="R14" s="37">
        <f t="shared" si="18"/>
        <v>14350</v>
      </c>
      <c r="S14" s="37">
        <f t="shared" si="16"/>
        <v>160</v>
      </c>
      <c r="T14" s="37">
        <f t="shared" si="32"/>
        <v>1800</v>
      </c>
      <c r="U14" s="37">
        <f t="shared" si="32"/>
        <v>4130</v>
      </c>
      <c r="V14" s="37">
        <f t="shared" si="32"/>
        <v>3910</v>
      </c>
      <c r="W14" s="37">
        <f t="shared" si="32"/>
        <v>2460</v>
      </c>
      <c r="X14" s="37">
        <f t="shared" si="23"/>
        <v>4900</v>
      </c>
      <c r="Y14" s="37">
        <f t="shared" si="24"/>
        <v>5840</v>
      </c>
      <c r="Z14" s="37">
        <f>IF((L14-L13&lt;0), "0",L14-L13)</f>
        <v>2620</v>
      </c>
      <c r="AA14" s="37">
        <f t="shared" si="26"/>
        <v>3120</v>
      </c>
      <c r="AB14" s="37">
        <f t="shared" si="27"/>
        <v>7540</v>
      </c>
      <c r="AC14" s="37">
        <f t="shared" si="28"/>
        <v>10850</v>
      </c>
      <c r="AD14" s="35">
        <f t="shared" si="29"/>
        <v>73040</v>
      </c>
      <c r="AF14" s="20">
        <f t="shared" si="1"/>
        <v>56.800000000000004</v>
      </c>
      <c r="AG14" s="20">
        <f t="shared" si="2"/>
        <v>71.75</v>
      </c>
      <c r="AH14" s="20">
        <f t="shared" si="3"/>
        <v>0.8</v>
      </c>
      <c r="AI14" s="20">
        <f t="shared" si="4"/>
        <v>9</v>
      </c>
      <c r="AJ14" s="20">
        <f t="shared" si="5"/>
        <v>20.650000000000002</v>
      </c>
      <c r="AK14" s="20">
        <f t="shared" si="6"/>
        <v>19.55</v>
      </c>
      <c r="AL14" s="20">
        <f t="shared" si="7"/>
        <v>12.3</v>
      </c>
      <c r="AM14" s="20">
        <f t="shared" si="8"/>
        <v>24.5</v>
      </c>
      <c r="AN14" s="20">
        <f t="shared" si="9"/>
        <v>29.2</v>
      </c>
      <c r="AO14" s="20">
        <f t="shared" si="10"/>
        <v>13.1</v>
      </c>
      <c r="AP14" s="20">
        <f t="shared" si="11"/>
        <v>15.6</v>
      </c>
      <c r="AQ14" s="20">
        <f t="shared" si="12"/>
        <v>37.700000000000003</v>
      </c>
      <c r="AR14" s="20">
        <f t="shared" si="13"/>
        <v>54.25</v>
      </c>
      <c r="AS14" s="35">
        <f t="shared" si="30"/>
        <v>365.20000000000005</v>
      </c>
      <c r="AU14" s="47">
        <v>215104</v>
      </c>
      <c r="AV14" s="37">
        <f t="shared" si="31"/>
        <v>2702</v>
      </c>
      <c r="AW14" s="35">
        <f t="shared" si="14"/>
        <v>5.4039999999999999</v>
      </c>
    </row>
    <row r="15" spans="1:49" x14ac:dyDescent="0.25">
      <c r="A15" s="23">
        <v>44448</v>
      </c>
      <c r="B15" s="40">
        <v>139</v>
      </c>
      <c r="C15" s="24">
        <v>6874960</v>
      </c>
      <c r="D15" s="24">
        <v>16917320</v>
      </c>
      <c r="E15" s="24">
        <v>3054380</v>
      </c>
      <c r="F15" s="24">
        <v>3641220</v>
      </c>
      <c r="G15" s="24">
        <v>10774780</v>
      </c>
      <c r="H15" s="24">
        <v>5833020</v>
      </c>
      <c r="I15" s="24">
        <v>5297920</v>
      </c>
      <c r="J15" s="24">
        <v>6291600</v>
      </c>
      <c r="K15" s="24">
        <v>9666570</v>
      </c>
      <c r="L15" s="24">
        <v>4070470</v>
      </c>
      <c r="M15" s="24">
        <v>8184440</v>
      </c>
      <c r="N15" s="24">
        <v>12693760</v>
      </c>
      <c r="O15" s="24">
        <v>17484390</v>
      </c>
      <c r="Q15" s="37">
        <f t="shared" si="17"/>
        <v>10580</v>
      </c>
      <c r="R15" s="37">
        <f t="shared" si="18"/>
        <v>13350</v>
      </c>
      <c r="S15" s="37">
        <f t="shared" si="16"/>
        <v>150</v>
      </c>
      <c r="T15" s="37">
        <f t="shared" si="19"/>
        <v>1660</v>
      </c>
      <c r="U15" s="37">
        <f t="shared" si="20"/>
        <v>4000</v>
      </c>
      <c r="V15" s="37">
        <f t="shared" si="21"/>
        <v>3790</v>
      </c>
      <c r="W15" s="37">
        <f t="shared" si="22"/>
        <v>2310</v>
      </c>
      <c r="X15" s="37">
        <f t="shared" si="23"/>
        <v>4910</v>
      </c>
      <c r="Y15" s="37">
        <f t="shared" si="24"/>
        <v>5630</v>
      </c>
      <c r="Z15" s="37">
        <f t="shared" si="25"/>
        <v>2630</v>
      </c>
      <c r="AA15" s="37">
        <f t="shared" si="26"/>
        <v>2990</v>
      </c>
      <c r="AB15" s="37">
        <f t="shared" si="27"/>
        <v>7040</v>
      </c>
      <c r="AC15" s="37">
        <f t="shared" si="28"/>
        <v>10850</v>
      </c>
      <c r="AD15" s="35">
        <f t="shared" si="29"/>
        <v>69890</v>
      </c>
      <c r="AF15" s="20">
        <f t="shared" si="1"/>
        <v>52.9</v>
      </c>
      <c r="AG15" s="20">
        <f t="shared" si="2"/>
        <v>66.75</v>
      </c>
      <c r="AH15" s="20">
        <f t="shared" si="3"/>
        <v>0.75</v>
      </c>
      <c r="AI15" s="20">
        <f t="shared" si="4"/>
        <v>8.3000000000000007</v>
      </c>
      <c r="AJ15" s="20">
        <f t="shared" si="5"/>
        <v>20</v>
      </c>
      <c r="AK15" s="20">
        <f t="shared" si="6"/>
        <v>18.95</v>
      </c>
      <c r="AL15" s="20">
        <f t="shared" si="7"/>
        <v>11.55</v>
      </c>
      <c r="AM15" s="20">
        <f t="shared" si="8"/>
        <v>24.55</v>
      </c>
      <c r="AN15" s="20">
        <f t="shared" si="9"/>
        <v>28.150000000000002</v>
      </c>
      <c r="AO15" s="20">
        <f t="shared" si="10"/>
        <v>13.15</v>
      </c>
      <c r="AP15" s="20">
        <f t="shared" si="11"/>
        <v>14.950000000000001</v>
      </c>
      <c r="AQ15" s="20">
        <f t="shared" si="12"/>
        <v>35.200000000000003</v>
      </c>
      <c r="AR15" s="20">
        <f t="shared" si="13"/>
        <v>54.25</v>
      </c>
      <c r="AS15" s="35">
        <f t="shared" si="30"/>
        <v>349.45000000000005</v>
      </c>
      <c r="AU15" s="47">
        <v>217668</v>
      </c>
      <c r="AV15" s="37">
        <f t="shared" si="31"/>
        <v>2564</v>
      </c>
      <c r="AW15" s="35">
        <f t="shared" si="14"/>
        <v>5.1280000000000001</v>
      </c>
    </row>
    <row r="16" spans="1:49" x14ac:dyDescent="0.25">
      <c r="A16" s="23">
        <v>44449</v>
      </c>
      <c r="B16" s="40">
        <v>152</v>
      </c>
      <c r="C16" s="24">
        <v>6885920</v>
      </c>
      <c r="D16" s="24">
        <v>16931170</v>
      </c>
      <c r="E16" s="24">
        <v>3054530</v>
      </c>
      <c r="F16" s="24">
        <v>3642960</v>
      </c>
      <c r="G16" s="24">
        <v>10779120</v>
      </c>
      <c r="H16" s="24">
        <v>5836990</v>
      </c>
      <c r="I16" s="24">
        <v>5300360</v>
      </c>
      <c r="J16" s="24">
        <v>6296450</v>
      </c>
      <c r="K16" s="24">
        <v>9672650</v>
      </c>
      <c r="L16" s="24">
        <v>4073420</v>
      </c>
      <c r="M16" s="24">
        <v>8187670</v>
      </c>
      <c r="N16" s="24">
        <v>12701250</v>
      </c>
      <c r="O16" s="24">
        <v>17494930</v>
      </c>
      <c r="Q16" s="37">
        <f t="shared" si="17"/>
        <v>10960</v>
      </c>
      <c r="R16" s="37">
        <f t="shared" si="18"/>
        <v>13850</v>
      </c>
      <c r="S16" s="37">
        <f t="shared" si="16"/>
        <v>150</v>
      </c>
      <c r="T16" s="37">
        <f t="shared" si="19"/>
        <v>1740</v>
      </c>
      <c r="U16" s="37">
        <f t="shared" si="20"/>
        <v>4340</v>
      </c>
      <c r="V16" s="37">
        <f t="shared" si="21"/>
        <v>3970</v>
      </c>
      <c r="W16" s="37">
        <f t="shared" si="22"/>
        <v>2440</v>
      </c>
      <c r="X16" s="37">
        <f t="shared" si="23"/>
        <v>4850</v>
      </c>
      <c r="Y16" s="37">
        <f t="shared" si="24"/>
        <v>6080</v>
      </c>
      <c r="Z16" s="37">
        <f t="shared" si="25"/>
        <v>2950</v>
      </c>
      <c r="AA16" s="37">
        <f t="shared" si="26"/>
        <v>3230</v>
      </c>
      <c r="AB16" s="37">
        <f t="shared" si="27"/>
        <v>7490</v>
      </c>
      <c r="AC16" s="37">
        <f t="shared" si="28"/>
        <v>10540</v>
      </c>
      <c r="AD16" s="35">
        <f t="shared" si="29"/>
        <v>72590</v>
      </c>
      <c r="AF16" s="20">
        <f t="shared" si="1"/>
        <v>54.800000000000004</v>
      </c>
      <c r="AG16" s="20">
        <f t="shared" si="2"/>
        <v>69.25</v>
      </c>
      <c r="AH16" s="20">
        <f t="shared" si="3"/>
        <v>0.75</v>
      </c>
      <c r="AI16" s="20">
        <f t="shared" si="4"/>
        <v>8.7000000000000011</v>
      </c>
      <c r="AJ16" s="20">
        <f t="shared" si="5"/>
        <v>21.7</v>
      </c>
      <c r="AK16" s="20">
        <f t="shared" si="6"/>
        <v>19.850000000000001</v>
      </c>
      <c r="AL16" s="20">
        <f t="shared" si="7"/>
        <v>12.200000000000001</v>
      </c>
      <c r="AM16" s="20">
        <f t="shared" si="8"/>
        <v>24.25</v>
      </c>
      <c r="AN16" s="20">
        <f t="shared" si="9"/>
        <v>30.400000000000002</v>
      </c>
      <c r="AO16" s="20">
        <f t="shared" si="10"/>
        <v>14.75</v>
      </c>
      <c r="AP16" s="20">
        <f t="shared" si="11"/>
        <v>16.149999999999999</v>
      </c>
      <c r="AQ16" s="20">
        <f t="shared" si="12"/>
        <v>37.450000000000003</v>
      </c>
      <c r="AR16" s="20">
        <f t="shared" si="13"/>
        <v>52.7</v>
      </c>
      <c r="AS16" s="35">
        <f t="shared" si="30"/>
        <v>362.94999999999993</v>
      </c>
      <c r="AU16" s="47">
        <v>220310</v>
      </c>
      <c r="AV16" s="37">
        <f t="shared" si="31"/>
        <v>2642</v>
      </c>
      <c r="AW16" s="35">
        <f t="shared" si="14"/>
        <v>5.2839999999999998</v>
      </c>
    </row>
    <row r="17" spans="1:49" x14ac:dyDescent="0.25">
      <c r="A17" s="23">
        <v>44450</v>
      </c>
      <c r="B17" s="40">
        <v>84</v>
      </c>
      <c r="C17" s="24">
        <v>6896420</v>
      </c>
      <c r="D17" s="24">
        <v>16944570</v>
      </c>
      <c r="E17" s="24">
        <v>3054670</v>
      </c>
      <c r="F17" s="24">
        <v>3645910</v>
      </c>
      <c r="G17" s="24">
        <v>10783280</v>
      </c>
      <c r="H17" s="24">
        <v>5840760</v>
      </c>
      <c r="I17" s="24">
        <v>5302660</v>
      </c>
      <c r="J17" s="24">
        <v>6301340</v>
      </c>
      <c r="K17" s="24">
        <v>9678530</v>
      </c>
      <c r="L17" s="24">
        <v>4076290</v>
      </c>
      <c r="M17" s="24">
        <v>8190830</v>
      </c>
      <c r="N17" s="24">
        <v>12708730</v>
      </c>
      <c r="O17" s="24">
        <v>17505810</v>
      </c>
      <c r="Q17" s="37">
        <f t="shared" si="17"/>
        <v>10500</v>
      </c>
      <c r="R17" s="37">
        <f t="shared" si="18"/>
        <v>13400</v>
      </c>
      <c r="S17" s="37">
        <f t="shared" si="16"/>
        <v>140</v>
      </c>
      <c r="T17" s="37">
        <f t="shared" si="19"/>
        <v>2950</v>
      </c>
      <c r="U17" s="37">
        <f t="shared" si="20"/>
        <v>4160</v>
      </c>
      <c r="V17" s="37">
        <f t="shared" si="21"/>
        <v>3770</v>
      </c>
      <c r="W17" s="37">
        <f t="shared" si="22"/>
        <v>2300</v>
      </c>
      <c r="X17" s="37">
        <f t="shared" si="23"/>
        <v>4890</v>
      </c>
      <c r="Y17" s="37">
        <f t="shared" si="24"/>
        <v>5880</v>
      </c>
      <c r="Z17" s="37">
        <f t="shared" si="25"/>
        <v>2870</v>
      </c>
      <c r="AA17" s="37">
        <f t="shared" si="26"/>
        <v>3160</v>
      </c>
      <c r="AB17" s="37">
        <f t="shared" si="27"/>
        <v>7480</v>
      </c>
      <c r="AC17" s="37">
        <f t="shared" si="28"/>
        <v>10880</v>
      </c>
      <c r="AD17" s="35">
        <f t="shared" si="29"/>
        <v>72380</v>
      </c>
      <c r="AF17" s="20">
        <f t="shared" si="1"/>
        <v>52.5</v>
      </c>
      <c r="AG17" s="20">
        <f t="shared" si="2"/>
        <v>67</v>
      </c>
      <c r="AH17" s="20">
        <f t="shared" si="3"/>
        <v>0.70000000000000007</v>
      </c>
      <c r="AI17" s="20">
        <f t="shared" si="4"/>
        <v>14.75</v>
      </c>
      <c r="AJ17" s="20">
        <f t="shared" si="5"/>
        <v>20.8</v>
      </c>
      <c r="AK17" s="20">
        <f t="shared" si="6"/>
        <v>18.850000000000001</v>
      </c>
      <c r="AL17" s="20">
        <f t="shared" si="7"/>
        <v>11.5</v>
      </c>
      <c r="AM17" s="20">
        <f t="shared" si="8"/>
        <v>24.45</v>
      </c>
      <c r="AN17" s="20">
        <f t="shared" si="9"/>
        <v>29.400000000000002</v>
      </c>
      <c r="AO17" s="20">
        <f t="shared" si="10"/>
        <v>14.35</v>
      </c>
      <c r="AP17" s="20">
        <f t="shared" si="11"/>
        <v>15.8</v>
      </c>
      <c r="AQ17" s="20">
        <f t="shared" si="12"/>
        <v>37.4</v>
      </c>
      <c r="AR17" s="20">
        <f t="shared" si="13"/>
        <v>54.4</v>
      </c>
      <c r="AS17" s="35">
        <f t="shared" si="30"/>
        <v>361.89999999999992</v>
      </c>
      <c r="AU17" s="47">
        <v>222477</v>
      </c>
      <c r="AV17" s="37">
        <f t="shared" si="31"/>
        <v>2167</v>
      </c>
      <c r="AW17" s="35">
        <f t="shared" si="14"/>
        <v>4.3340000000000005</v>
      </c>
    </row>
    <row r="18" spans="1:49" x14ac:dyDescent="0.25">
      <c r="A18" s="23">
        <v>44451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 t="str">
        <f t="shared" si="17"/>
        <v>0</v>
      </c>
      <c r="R18" s="37" t="str">
        <f t="shared" si="18"/>
        <v>0</v>
      </c>
      <c r="S18" s="37" t="str">
        <f t="shared" si="16"/>
        <v>0</v>
      </c>
      <c r="T18" s="37" t="str">
        <f t="shared" si="19"/>
        <v>0</v>
      </c>
      <c r="U18" s="37" t="str">
        <f t="shared" si="20"/>
        <v>0</v>
      </c>
      <c r="V18" s="37" t="str">
        <f t="shared" si="21"/>
        <v>0</v>
      </c>
      <c r="W18" s="37" t="str">
        <f t="shared" si="22"/>
        <v>0</v>
      </c>
      <c r="X18" s="37" t="str">
        <f t="shared" si="23"/>
        <v>0</v>
      </c>
      <c r="Y18" s="37" t="str">
        <f t="shared" si="24"/>
        <v>0</v>
      </c>
      <c r="Z18" s="37" t="str">
        <f t="shared" si="25"/>
        <v>0</v>
      </c>
      <c r="AA18" s="37" t="str">
        <f t="shared" si="26"/>
        <v>0</v>
      </c>
      <c r="AB18" s="37" t="str">
        <f t="shared" si="27"/>
        <v>0</v>
      </c>
      <c r="AC18" s="37" t="str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 t="str">
        <f t="shared" si="31"/>
        <v>0</v>
      </c>
      <c r="AW18" s="35">
        <f t="shared" si="14"/>
        <v>0</v>
      </c>
    </row>
    <row r="19" spans="1:49" x14ac:dyDescent="0.25">
      <c r="A19" s="23">
        <v>44452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44453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44454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44455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44456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44457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44458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116640</v>
      </c>
      <c r="R38" s="38">
        <f t="shared" ref="R38:AD38" si="62">SUM(R7:R37)</f>
        <v>150500</v>
      </c>
      <c r="S38" s="38">
        <f t="shared" si="62"/>
        <v>10700</v>
      </c>
      <c r="T38" s="38">
        <f t="shared" si="62"/>
        <v>19790</v>
      </c>
      <c r="U38" s="38">
        <f t="shared" si="62"/>
        <v>44010</v>
      </c>
      <c r="V38" s="38">
        <f t="shared" si="62"/>
        <v>40190</v>
      </c>
      <c r="W38" s="38">
        <f t="shared" si="62"/>
        <v>25220</v>
      </c>
      <c r="X38" s="38">
        <f t="shared" si="62"/>
        <v>50510</v>
      </c>
      <c r="Y38" s="38">
        <f t="shared" si="62"/>
        <v>60350</v>
      </c>
      <c r="Z38" s="38">
        <f t="shared" si="62"/>
        <v>29040</v>
      </c>
      <c r="AA38" s="38">
        <f t="shared" si="62"/>
        <v>33430</v>
      </c>
      <c r="AB38" s="38">
        <f t="shared" si="62"/>
        <v>78600</v>
      </c>
      <c r="AC38" s="38">
        <f t="shared" si="62"/>
        <v>103770</v>
      </c>
      <c r="AD38" s="38">
        <f t="shared" si="62"/>
        <v>762750</v>
      </c>
      <c r="AF38" s="35">
        <f>SUM(AF7:AF37)</f>
        <v>583.19999999999993</v>
      </c>
      <c r="AG38" s="35">
        <f t="shared" ref="AG38:AS38" si="63">SUM(AG7:AG37)</f>
        <v>752.5</v>
      </c>
      <c r="AH38" s="35">
        <f t="shared" si="63"/>
        <v>53.5</v>
      </c>
      <c r="AI38" s="35">
        <f t="shared" si="63"/>
        <v>98.95</v>
      </c>
      <c r="AJ38" s="35">
        <f t="shared" si="63"/>
        <v>220.05</v>
      </c>
      <c r="AK38" s="35">
        <f t="shared" si="63"/>
        <v>200.95</v>
      </c>
      <c r="AL38" s="35">
        <f t="shared" si="63"/>
        <v>126.1</v>
      </c>
      <c r="AM38" s="35">
        <f t="shared" si="63"/>
        <v>252.55</v>
      </c>
      <c r="AN38" s="35">
        <f t="shared" si="63"/>
        <v>301.74999999999994</v>
      </c>
      <c r="AO38" s="35">
        <f t="shared" si="63"/>
        <v>145.19999999999999</v>
      </c>
      <c r="AP38" s="35">
        <f t="shared" si="63"/>
        <v>167.15</v>
      </c>
      <c r="AQ38" s="35">
        <f t="shared" si="63"/>
        <v>392.99999999999994</v>
      </c>
      <c r="AR38" s="35">
        <f t="shared" si="63"/>
        <v>518.85</v>
      </c>
      <c r="AS38" s="35">
        <f t="shared" si="63"/>
        <v>3813.7499999999995</v>
      </c>
      <c r="AU38" s="48"/>
      <c r="AV38" s="34">
        <f>SUM(AV7:AV37)</f>
        <v>27575</v>
      </c>
      <c r="AW38" s="35">
        <f>SUM(AW7:AW37)</f>
        <v>55.15</v>
      </c>
    </row>
    <row r="39" spans="1:49" x14ac:dyDescent="0.25">
      <c r="D39">
        <v>5.0000000000000001E-3</v>
      </c>
      <c r="AV39" s="36">
        <f>AV38*0.00378541*1000</f>
        <v>104382.68074999998</v>
      </c>
    </row>
    <row r="40" spans="1:49" x14ac:dyDescent="0.25">
      <c r="D40">
        <v>2E-3</v>
      </c>
      <c r="AV40">
        <f>AV39/31</f>
        <v>3367.1832499999996</v>
      </c>
    </row>
    <row r="41" spans="1:49" x14ac:dyDescent="0.25">
      <c r="AV41">
        <f>AV38*0.00378541</f>
        <v>104.38268074999999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2021-09-12T03:58:51Z</dcterms:modified>
</cp:coreProperties>
</file>