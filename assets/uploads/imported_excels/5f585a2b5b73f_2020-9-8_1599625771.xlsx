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9 - 2020" sheetId="1" r:id="rId3"/>
  </sheets>
  <definedNames>
    <definedName name="_xlnm.Print_Area" localSheetId="2">'09 - 2020'!$A$1:$J$36</definedName>
  </definedNames>
  <calcPr calcId="162913"/>
</workbook>
</file>

<file path=xl/calcChain.xml><?xml version="1.0" encoding="utf-8"?>
<calcChain xmlns="http://schemas.openxmlformats.org/spreadsheetml/2006/main"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I39" i="1" l="1"/>
  <c r="K38" i="1"/>
  <c r="J38" i="1"/>
  <c r="I38" i="1"/>
  <c r="H38" i="1"/>
  <c r="H39" i="1" s="1"/>
  <c r="G38" i="1"/>
  <c r="F38" i="1"/>
  <c r="E38" i="1"/>
  <c r="C38" i="1"/>
  <c r="B38" i="1"/>
  <c r="I28" i="3" l="1"/>
  <c r="G28" i="3"/>
  <c r="E28" i="3"/>
  <c r="J31" i="2"/>
  <c r="I31" i="2"/>
  <c r="H31" i="2"/>
  <c r="F31" i="2"/>
  <c r="E31" i="2"/>
  <c r="J30" i="2"/>
  <c r="I30" i="2"/>
  <c r="H30" i="2"/>
  <c r="F30" i="2"/>
  <c r="E30" i="2"/>
  <c r="J29" i="2"/>
  <c r="I29" i="2"/>
  <c r="H29" i="2"/>
  <c r="F29" i="2"/>
  <c r="E29" i="2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J23" i="2"/>
  <c r="I23" i="2"/>
  <c r="H23" i="2"/>
  <c r="F23" i="2"/>
  <c r="E23" i="2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L12" i="3"/>
  <c r="K12" i="3"/>
  <c r="I12" i="3"/>
  <c r="G12" i="3"/>
  <c r="E12" i="3"/>
  <c r="J12" i="2"/>
  <c r="I12" i="2"/>
  <c r="H12" i="2"/>
  <c r="F12" i="2"/>
  <c r="E12" i="2"/>
  <c r="L2" i="3" l="1"/>
  <c r="K2" i="3"/>
  <c r="I2" i="3"/>
  <c r="G2" i="3"/>
  <c r="E2" i="3"/>
  <c r="J2" i="2"/>
  <c r="I2" i="2"/>
  <c r="H2" i="2"/>
  <c r="F2" i="2"/>
  <c r="E2" i="2"/>
  <c r="I40" i="1" l="1"/>
  <c r="H40" i="1"/>
  <c r="L31" i="3" l="1"/>
  <c r="K31" i="3"/>
  <c r="I31" i="3"/>
  <c r="G31" i="3"/>
  <c r="E31" i="3"/>
  <c r="L19" i="3" l="1"/>
  <c r="K19" i="3"/>
  <c r="I19" i="3"/>
  <c r="G19" i="3"/>
  <c r="E19" i="3"/>
  <c r="J19" i="2"/>
  <c r="I19" i="2"/>
  <c r="H19" i="2"/>
  <c r="F19" i="2"/>
  <c r="E19" i="2"/>
  <c r="J17" i="2" l="1"/>
  <c r="I17" i="2"/>
  <c r="H17" i="2"/>
  <c r="F17" i="2"/>
  <c r="E17" i="2"/>
  <c r="L29" i="3" l="1"/>
  <c r="K29" i="3"/>
  <c r="I29" i="3"/>
  <c r="G29" i="3"/>
  <c r="E29" i="3"/>
  <c r="J13" i="2" l="1"/>
  <c r="I13" i="2"/>
  <c r="H13" i="2"/>
  <c r="F13" i="2"/>
  <c r="E13" i="2"/>
  <c r="J16" i="2" l="1"/>
  <c r="I16" i="2"/>
  <c r="H16" i="2"/>
  <c r="F16" i="2"/>
  <c r="E16" i="2"/>
  <c r="J14" i="2" l="1"/>
  <c r="I14" i="2"/>
  <c r="H14" i="2"/>
  <c r="F14" i="2"/>
  <c r="E14" i="2"/>
  <c r="L6" i="3" l="1"/>
  <c r="K6" i="3"/>
  <c r="I6" i="3"/>
  <c r="G6" i="3"/>
  <c r="E6" i="3"/>
  <c r="J6" i="2"/>
  <c r="I6" i="2"/>
  <c r="H6" i="2"/>
  <c r="F6" i="2"/>
  <c r="E6" i="2"/>
  <c r="L30" i="3" l="1"/>
  <c r="K30" i="3"/>
  <c r="I30" i="3"/>
  <c r="G30" i="3"/>
  <c r="E30" i="3" l="1"/>
  <c r="J15" i="2" l="1"/>
  <c r="I15" i="2"/>
  <c r="H15" i="2"/>
  <c r="F15" i="2" l="1"/>
  <c r="E15" i="2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<sst xmlns="http://schemas.openxmlformats.org/spreadsheetml/2006/main" count="105" uniqueCount="38">
  <si>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</si>
  <si>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</si>
  <si>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</si>
  <si>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</si>
  <si>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</si>
  <si>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</si>
  <si>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</si>
  <si>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</si>
  <si>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</si>
  <si>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</si>
  <si>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</si>
  <si>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</si>
  <si>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</si>
  <si>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</si>
  <si>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</si>
  <si>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</si>
  <si>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</si>
  <si>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</si>
  <si>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</si>
  <si>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</si>
  <si>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</si>
  <si>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</si>
  <si>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</si>
  <si>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</si>
  <si>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</si>
  <si>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</si>
  <si>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</si>
  <si>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</si>
  <si>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</si>
  <si>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</si>
  <si>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</si>
  <si>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</si>
  <si>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</si>
  <si>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</si>
  <si>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</si>
  <si>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</si>
  <si>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</si>
  <si>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SEPTEMBER'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</si>
</sst>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R15" sqref="R1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9</v>
      </c>
      <c r="D2">
        <v>2020</v>
      </c>
      <c r="E2" s="24">
        <f>'09 - 2020'!B8-'09 - 2020'!B7+'09 - 2020'!C8-'09 - 2020'!C7</f>
        <v>7304</v>
      </c>
      <c r="F2" s="22">
        <v>0.11799999999999999</v>
      </c>
      <c r="G2" s="24">
        <f>(('09 - 2020'!E8-'09 - 2020'!E7)+('09 - 2020'!F8-'09 - 2020'!F7)+('09 - 2020'!G8-'09 - 2020'!G7))*1.81</f>
        <v>83.60390000000092</v>
      </c>
      <c r="H2" s="22">
        <v>0.99</v>
      </c>
      <c r="I2" s="24">
        <f>'09 - 2020'!J8-'09 - 2020'!J7</f>
        <v>24301</v>
      </c>
      <c r="J2" s="22">
        <v>8.1000000000000003E-2</v>
      </c>
      <c r="K2" s="56">
        <f>'09 - 2020'!H8-'09 - 2020'!H7</f>
        <v>0</v>
      </c>
      <c r="L2" s="24">
        <f>'09 - 2020'!I8-'09 - 2020'!I7</f>
        <v>47</v>
      </c>
      <c r="M2" s="23">
        <v>4.393629424766913</v>
      </c>
      <c r="N2" s="48">
        <v>0</v>
      </c>
    </row>
    <row r="3" spans="1:15" x14ac:dyDescent="0.25">
      <c r="A3" t="s">
        <v>27</v>
      </c>
      <c r="B3">
        <f>B2+1</f>
        <v>2</v>
      </c>
      <c r="C3" s="22">
        <v>9</v>
      </c>
      <c r="D3" s="22">
        <v>2020</v>
      </c>
      <c r="E3" s="24">
        <f>'09 - 2020'!B9-'09 - 2020'!B8+'09 - 2020'!C9-'09 - 2020'!C8</f>
        <v>8142</v>
      </c>
      <c r="F3" s="22">
        <v>0.11799999999999999</v>
      </c>
      <c r="G3" s="24">
        <f>(('09 - 2020'!E9-'09 - 2020'!E8)+('09 - 2020'!F9-'09 - 2020'!F8)+('09 - 2020'!G9-'09 - 2020'!G8))*1.81</f>
        <v>92.31</v>
      </c>
      <c r="H3" s="22">
        <v>0.99</v>
      </c>
      <c r="I3" s="24">
        <f>'09 - 2020'!J9-'09 - 2020'!J8</f>
        <v>28071</v>
      </c>
      <c r="J3" s="22">
        <v>8.1000000000000003E-2</v>
      </c>
      <c r="K3" s="56">
        <f>'09 - 2020'!H9-'09 - 2020'!H8</f>
        <v>0</v>
      </c>
      <c r="L3" s="24">
        <f>'09 - 2020'!I9-'09 - 2020'!I8</f>
        <v>62</v>
      </c>
      <c r="M3" s="23">
        <v>4.393629424766913</v>
      </c>
      <c r="N3" s="48">
        <v>13</v>
      </c>
    </row>
    <row r="4" spans="1:15" x14ac:dyDescent="0.25">
      <c r="A4" t="s">
        <v>27</v>
      </c>
      <c r="B4">
        <f t="shared" ref="B4:B31" si="0">B3+1</f>
        <v>3</v>
      </c>
      <c r="C4" s="22">
        <v>9</v>
      </c>
      <c r="D4" s="22">
        <v>2020</v>
      </c>
      <c r="E4" s="24">
        <f>'09 - 2020'!B10-'09 - 2020'!B9+'09 - 2020'!C10-'09 - 2020'!C9</f>
        <v>8431</v>
      </c>
      <c r="F4" s="22">
        <v>0.11799999999999999</v>
      </c>
      <c r="G4" s="24">
        <f>(('09 - 2020'!E10-'09 - 2020'!E9)+('09 - 2020'!F10-'09 - 2020'!F9)+('09 - 2020'!G10-'09 - 2020'!G9))*1.81</f>
        <v>95.93</v>
      </c>
      <c r="H4" s="22">
        <v>0.99</v>
      </c>
      <c r="I4" s="24">
        <f>'09 - 2020'!J10-'09 - 2020'!J9</f>
        <v>31410</v>
      </c>
      <c r="J4" s="22">
        <v>8.1000000000000003E-2</v>
      </c>
      <c r="K4" s="56">
        <f>'09 - 2020'!H10-'09 - 2020'!H9</f>
        <v>0</v>
      </c>
      <c r="L4" s="24">
        <f>'09 - 2020'!I10-'09 - 2020'!I9</f>
        <v>58</v>
      </c>
      <c r="M4" s="23">
        <v>4.393629424766913</v>
      </c>
      <c r="N4" s="48">
        <v>15</v>
      </c>
    </row>
    <row r="5" spans="1:15" x14ac:dyDescent="0.25">
      <c r="A5" t="s">
        <v>27</v>
      </c>
      <c r="B5">
        <f t="shared" si="0"/>
        <v>4</v>
      </c>
      <c r="C5" s="22">
        <v>9</v>
      </c>
      <c r="D5" s="22">
        <v>2020</v>
      </c>
      <c r="E5" s="24">
        <f>'09 - 2020'!B11-'09 - 2020'!B10+'09 - 2020'!C11-'09 - 2020'!C10</f>
        <v>8566</v>
      </c>
      <c r="F5" s="22">
        <v>0.11799999999999999</v>
      </c>
      <c r="G5" s="24">
        <f>(('09 - 2020'!E11-'09 - 2020'!E10)+('09 - 2020'!F11-'09 - 2020'!F10)+('09 - 2020'!G11-'09 - 2020'!G10))*1.81</f>
        <v>101.36</v>
      </c>
      <c r="H5" s="22">
        <v>0.99</v>
      </c>
      <c r="I5" s="24">
        <f>'09 - 2020'!J11-'09 - 2020'!J10</f>
        <v>31046</v>
      </c>
      <c r="J5" s="22">
        <v>8.1000000000000003E-2</v>
      </c>
      <c r="K5" s="56">
        <f>'09 - 2020'!H11-'09 - 2020'!H10</f>
        <v>0</v>
      </c>
      <c r="L5" s="24">
        <f>'09 - 2020'!I11-'09 - 2020'!I10</f>
        <v>66</v>
      </c>
      <c r="M5" s="23">
        <v>4.393629424766913</v>
      </c>
      <c r="N5" s="48">
        <v>14</v>
      </c>
    </row>
    <row r="6" spans="1:15" x14ac:dyDescent="0.25">
      <c r="A6" t="s">
        <v>27</v>
      </c>
      <c r="B6">
        <f t="shared" si="0"/>
        <v>5</v>
      </c>
      <c r="C6" s="22">
        <v>9</v>
      </c>
      <c r="D6" s="22">
        <v>2020</v>
      </c>
      <c r="E6" s="24">
        <f>'09 - 2020'!B12-'09 - 2020'!B11+'09 - 2020'!C12-'09 - 2020'!C11</f>
        <v>8477</v>
      </c>
      <c r="F6" s="22">
        <v>0.11799999999999999</v>
      </c>
      <c r="G6" s="24">
        <f>(('09 - 2020'!E12-'09 - 2020'!E11)+('09 - 2020'!F12-'09 - 2020'!F11)+('09 - 2020'!G12-'09 - 2020'!G11))*1.81</f>
        <v>99.55</v>
      </c>
      <c r="H6" s="22">
        <v>0.99</v>
      </c>
      <c r="I6" s="24">
        <f>'09 - 2020'!J12-'09 - 2020'!J11</f>
        <v>31477</v>
      </c>
      <c r="J6" s="22">
        <v>8.1000000000000003E-2</v>
      </c>
      <c r="K6" s="56">
        <f>'09 - 2020'!H12-'09 - 2020'!H11</f>
        <v>0</v>
      </c>
      <c r="L6" s="24">
        <f>'09 - 2020'!I12-'09 - 2020'!I11</f>
        <v>67</v>
      </c>
      <c r="M6" s="23">
        <v>4.3936294247669103</v>
      </c>
      <c r="N6" s="48">
        <v>25</v>
      </c>
    </row>
    <row r="7" spans="1:15" x14ac:dyDescent="0.25">
      <c r="A7" t="s">
        <v>27</v>
      </c>
      <c r="B7">
        <f t="shared" si="0"/>
        <v>6</v>
      </c>
      <c r="C7" s="22">
        <v>9</v>
      </c>
      <c r="D7" s="22">
        <v>2020</v>
      </c>
      <c r="E7" s="24">
        <f>'09 - 2020'!B13-'09 - 2020'!B12+'09 - 2020'!C13-'09 - 2020'!C12</f>
        <v>8298</v>
      </c>
      <c r="F7" s="22">
        <v>0.11799999999999999</v>
      </c>
      <c r="G7" s="24">
        <f>(('09 - 2020'!E13-'09 - 2020'!E12)+('09 - 2020'!F13-'09 - 2020'!F12)+('09 - 2020'!G13-'09 - 2020'!G12))*1.81</f>
        <v>92.31</v>
      </c>
      <c r="H7" s="22">
        <v>0.99</v>
      </c>
      <c r="I7" s="24">
        <f>'09 - 2020'!J13-'09 - 2020'!J12</f>
        <v>29666</v>
      </c>
      <c r="J7" s="22">
        <v>8.1000000000000003E-2</v>
      </c>
      <c r="K7" s="56">
        <f>'09 - 2020'!H13-'09 - 2020'!H12</f>
        <v>0</v>
      </c>
      <c r="L7" s="24">
        <f>'09 - 2020'!I13-'09 - 2020'!I12</f>
        <v>62</v>
      </c>
      <c r="M7" s="23">
        <v>4.3936294247669103</v>
      </c>
      <c r="N7" s="48">
        <v>20</v>
      </c>
    </row>
    <row r="8" spans="1:15" x14ac:dyDescent="0.25">
      <c r="A8" t="s">
        <v>27</v>
      </c>
      <c r="B8">
        <f t="shared" si="0"/>
        <v>7</v>
      </c>
      <c r="C8" s="22">
        <v>9</v>
      </c>
      <c r="D8" s="22">
        <v>2020</v>
      </c>
      <c r="E8" s="24">
        <f>'09 - 2020'!B14-'09 - 2020'!B13+'09 - 2020'!C14-'09 - 2020'!C13</f>
        <v>8373</v>
      </c>
      <c r="F8" s="22">
        <v>0.11799999999999999</v>
      </c>
      <c r="G8" s="24">
        <f>(('09 - 2020'!E14-'09 - 2020'!E13)+('09 - 2020'!F14-'09 - 2020'!F13)+('09 - 2020'!G14-'09 - 2020'!G13))*1.81</f>
        <v>101.36</v>
      </c>
      <c r="H8" s="22">
        <v>0.99</v>
      </c>
      <c r="I8" s="24">
        <f>'09 - 2020'!J14-'09 - 2020'!J13</f>
        <v>32608</v>
      </c>
      <c r="J8" s="22">
        <v>8.1000000000000003E-2</v>
      </c>
      <c r="K8" s="56">
        <f>'09 - 2020'!H14-'09 - 2020'!H13</f>
        <v>0</v>
      </c>
      <c r="L8" s="24">
        <f>'09 - 2020'!I14-'09 - 2020'!I13</f>
        <v>43</v>
      </c>
      <c r="M8" s="23">
        <v>4.3936294247669103</v>
      </c>
      <c r="N8" s="48">
        <v>26</v>
      </c>
      <c r="O8" s="24"/>
    </row>
    <row r="9" spans="1:15" x14ac:dyDescent="0.25">
      <c r="A9" t="s">
        <v>27</v>
      </c>
      <c r="B9">
        <f t="shared" si="0"/>
        <v>8</v>
      </c>
      <c r="C9" s="22">
        <v>9</v>
      </c>
      <c r="D9" s="22">
        <v>2020</v>
      </c>
      <c r="E9" s="24">
        <f>'09 - 2020'!B15-'09 - 2020'!B14+'09 - 2020'!C15-'09 - 2020'!C14</f>
        <v>8312</v>
      </c>
      <c r="F9" s="22">
        <v>0.11799999999999999</v>
      </c>
      <c r="G9" s="24">
        <f>(('09 - 2020'!E15-'09 - 2020'!E14)+('09 - 2020'!F15-'09 - 2020'!F14)+('09 - 2020'!G15-'09 - 2020'!G14))*1.81</f>
        <v>97.794299999997079</v>
      </c>
      <c r="H9" s="22">
        <v>0.99</v>
      </c>
      <c r="I9" s="24">
        <f>'09 - 2020'!J15-'09 - 2020'!J14</f>
        <v>35885</v>
      </c>
      <c r="J9" s="22">
        <v>8.1000000000000003E-2</v>
      </c>
      <c r="K9" s="56">
        <f>'09 - 2020'!H15-'09 - 2020'!H14</f>
        <v>0</v>
      </c>
      <c r="L9" s="24">
        <f>'09 - 2020'!I15-'09 - 2020'!I14</f>
        <v>59</v>
      </c>
      <c r="M9" s="23">
        <v>4.3936294247669103</v>
      </c>
      <c r="N9" s="48">
        <v>31</v>
      </c>
    </row>
    <row r="10" spans="1:15" x14ac:dyDescent="0.25">
      <c r="A10" t="s">
        <v>27</v>
      </c>
      <c r="B10">
        <f t="shared" si="0"/>
        <v>9</v>
      </c>
      <c r="C10" s="22">
        <v>9</v>
      </c>
      <c r="D10" s="22">
        <v>2020</v>
      </c>
      <c r="E10" s="24">
        <f>'09 - 2020'!B16-'09 - 2020'!B15+'09 - 2020'!C16-'09 - 2020'!C15</f>
        <v>8594</v>
      </c>
      <c r="F10" s="22">
        <v>0.11799999999999999</v>
      </c>
      <c r="G10" s="24">
        <f>(('09 - 2020'!E16-'09 - 2020'!E15)+('09 - 2020'!F16-'09 - 2020'!F15)+('09 - 2020'!G16-'09 - 2020'!G15))*1.81</f>
        <v>88.635700000002927</v>
      </c>
      <c r="H10" s="22">
        <v>0.99</v>
      </c>
      <c r="I10" s="24">
        <f>'09 - 2020'!J16-'09 - 2020'!J15</f>
        <v>38285</v>
      </c>
      <c r="J10" s="22">
        <v>8.1000000000000003E-2</v>
      </c>
      <c r="K10" s="56">
        <f>'09 - 2020'!H16-'09 - 2020'!H15</f>
        <v>0</v>
      </c>
      <c r="L10" s="24">
        <f>'09 - 2020'!I16-'09 - 2020'!I15</f>
        <v>66</v>
      </c>
      <c r="M10" s="23">
        <v>4.3936294247669103</v>
      </c>
      <c r="N10" s="48">
        <v>30</v>
      </c>
    </row>
    <row r="11" spans="1:15" x14ac:dyDescent="0.25">
      <c r="A11" t="s">
        <v>27</v>
      </c>
      <c r="B11">
        <f t="shared" si="0"/>
        <v>10</v>
      </c>
      <c r="C11" s="22">
        <v>9</v>
      </c>
      <c r="D11" s="22">
        <v>2020</v>
      </c>
      <c r="E11" s="24">
        <v>0</v>
      </c>
      <c r="F11" s="22">
        <v>0.11799999999999999</v>
      </c>
      <c r="G11" s="24">
        <v>0</v>
      </c>
      <c r="H11" s="22">
        <v>0.99</v>
      </c>
      <c r="I11" s="24">
        <v>0</v>
      </c>
      <c r="J11" s="22">
        <v>8.1000000000000003E-2</v>
      </c>
      <c r="K11" s="56">
        <v>0</v>
      </c>
      <c r="L11" s="24">
        <v>0</v>
      </c>
      <c r="M11" s="23">
        <v>4.3936294247669103</v>
      </c>
      <c r="N11" s="48">
        <v>0</v>
      </c>
    </row>
    <row r="12" spans="1:15" x14ac:dyDescent="0.25">
      <c r="A12" t="s">
        <v>27</v>
      </c>
      <c r="B12">
        <f t="shared" si="0"/>
        <v>11</v>
      </c>
      <c r="C12" s="22">
        <v>9</v>
      </c>
      <c r="D12" s="22">
        <v>2020</v>
      </c>
      <c r="E12" s="24">
        <f>'09 - 2020'!B18-'09 - 2020'!B17+'09 - 2020'!C18-'09 - 2020'!C17</f>
        <v>0</v>
      </c>
      <c r="F12" s="22">
        <v>0.11799999999999999</v>
      </c>
      <c r="G12" s="24">
        <f>(('09 - 2020'!E18-'09 - 2020'!E17)+('09 - 2020'!F18-'09 - 2020'!F17)+('09 - 2020'!G18-'09 - 2020'!G17))*1.81</f>
        <v>0</v>
      </c>
      <c r="H12" s="22">
        <v>0.99</v>
      </c>
      <c r="I12" s="24">
        <f>'09 - 2020'!J18-'09 - 2020'!J17</f>
        <v>0</v>
      </c>
      <c r="J12" s="22">
        <v>8.1000000000000003E-2</v>
      </c>
      <c r="K12" s="56">
        <f>'09 - 2020'!H18-'09 - 2020'!H17</f>
        <v>0</v>
      </c>
      <c r="L12" s="24">
        <f>'09 - 2020'!I18-'09 - 2020'!I17</f>
        <v>0</v>
      </c>
      <c r="M12" s="23">
        <v>4.3936294247669103</v>
      </c>
      <c r="N12" s="24">
        <v>0</v>
      </c>
    </row>
    <row r="13" spans="1:15" x14ac:dyDescent="0.25">
      <c r="A13" t="s">
        <v>27</v>
      </c>
      <c r="B13">
        <f t="shared" si="0"/>
        <v>12</v>
      </c>
      <c r="C13" s="22">
        <v>9</v>
      </c>
      <c r="D13" s="22">
        <v>2020</v>
      </c>
      <c r="E13" s="24">
        <f>'09 - 2020'!B19-'09 - 2020'!B18+'09 - 2020'!C19-'09 - 2020'!C18</f>
        <v>0</v>
      </c>
      <c r="F13" s="22">
        <v>0.11799999999999999</v>
      </c>
      <c r="G13" s="24">
        <f>(('09 - 2020'!E19-'09 - 2020'!E18)+('09 - 2020'!F19-'09 - 2020'!F18)+('09 - 2020'!G19-'09 - 2020'!G18))*1.81</f>
        <v>0</v>
      </c>
      <c r="H13" s="22">
        <v>0.99</v>
      </c>
      <c r="I13" s="24">
        <f>'09 - 2020'!J19-'09 - 2020'!J18</f>
        <v>0</v>
      </c>
      <c r="J13" s="22">
        <v>8.1000000000000003E-2</v>
      </c>
      <c r="K13" s="56">
        <f>'09 - 2020'!H19-'09 - 2020'!H18</f>
        <v>0</v>
      </c>
      <c r="L13" s="24">
        <f>'09 - 2020'!I19-'09 - 2020'!I18</f>
        <v>0</v>
      </c>
      <c r="M13" s="23">
        <v>4.3936294247669103</v>
      </c>
      <c r="N13" s="24">
        <v>0</v>
      </c>
    </row>
    <row r="14" spans="1:15" x14ac:dyDescent="0.25">
      <c r="A14" t="s">
        <v>27</v>
      </c>
      <c r="B14">
        <f t="shared" si="0"/>
        <v>13</v>
      </c>
      <c r="C14" s="22">
        <v>9</v>
      </c>
      <c r="D14" s="22">
        <v>2020</v>
      </c>
      <c r="E14" s="24">
        <f>'09 - 2020'!B20-'09 - 2020'!B19+'09 - 2020'!C20-'09 - 2020'!C19</f>
        <v>0</v>
      </c>
      <c r="F14" s="22">
        <v>0.11799999999999999</v>
      </c>
      <c r="G14" s="24">
        <f>(('09 - 2020'!E20-'09 - 2020'!E19)+('09 - 2020'!F20-'09 - 2020'!F19)+('09 - 2020'!G20-'09 - 2020'!G19))*1.81</f>
        <v>0</v>
      </c>
      <c r="H14" s="22">
        <v>0.99</v>
      </c>
      <c r="I14" s="24">
        <f>'09 - 2020'!J20-'09 - 2020'!J19</f>
        <v>0</v>
      </c>
      <c r="J14" s="22">
        <v>8.1000000000000003E-2</v>
      </c>
      <c r="K14" s="56">
        <f>'09 - 2020'!H20-'09 - 2020'!H19</f>
        <v>0</v>
      </c>
      <c r="L14" s="24">
        <f>'09 - 2020'!I20-'09 - 2020'!I19</f>
        <v>0</v>
      </c>
      <c r="M14" s="23">
        <v>4.3936294247669103</v>
      </c>
      <c r="N14" s="24">
        <v>0</v>
      </c>
      <c r="O14" s="24"/>
    </row>
    <row r="15" spans="1:15" x14ac:dyDescent="0.25">
      <c r="A15" t="s">
        <v>27</v>
      </c>
      <c r="B15">
        <f t="shared" si="0"/>
        <v>14</v>
      </c>
      <c r="C15" s="22">
        <v>9</v>
      </c>
      <c r="D15" s="22">
        <v>2020</v>
      </c>
      <c r="E15" s="24">
        <f>'09 - 2020'!B21-'09 - 2020'!B20+'09 - 2020'!C21-'09 - 2020'!C20</f>
        <v>0</v>
      </c>
      <c r="F15" s="22">
        <v>0.11799999999999999</v>
      </c>
      <c r="G15" s="24">
        <f>(('09 - 2020'!E21-'09 - 2020'!E20)+('09 - 2020'!F21-'09 - 2020'!F20)+('09 - 2020'!G21-'09 - 2020'!G20))*1.81</f>
        <v>0</v>
      </c>
      <c r="H15" s="22">
        <v>0.99</v>
      </c>
      <c r="I15" s="24">
        <f>'09 - 2020'!J21-'09 - 2020'!J20</f>
        <v>0</v>
      </c>
      <c r="J15" s="22">
        <v>8.1000000000000003E-2</v>
      </c>
      <c r="K15" s="56">
        <f>'09 - 2020'!H21-'09 - 2020'!H20</f>
        <v>0</v>
      </c>
      <c r="L15" s="24">
        <f>'09 - 2020'!I21-'09 - 2020'!I20</f>
        <v>0</v>
      </c>
      <c r="M15" s="23">
        <v>4.3936294247669103</v>
      </c>
      <c r="N15" s="24">
        <v>0</v>
      </c>
    </row>
    <row r="16" spans="1:15" x14ac:dyDescent="0.25">
      <c r="A16" t="s">
        <v>27</v>
      </c>
      <c r="B16">
        <f t="shared" si="0"/>
        <v>15</v>
      </c>
      <c r="C16" s="22">
        <v>9</v>
      </c>
      <c r="D16" s="22">
        <v>2020</v>
      </c>
      <c r="E16" s="24">
        <f>'09 - 2020'!B22-'09 - 2020'!B21+'09 - 2020'!C22-'09 - 2020'!C21</f>
        <v>0</v>
      </c>
      <c r="F16" s="22">
        <v>0.11799999999999999</v>
      </c>
      <c r="G16" s="24">
        <f>(('09 - 2020'!E22-'09 - 2020'!E21)+('09 - 2020'!F22-'09 - 2020'!F21)+('09 - 2020'!G22-'09 - 2020'!G21))*1.81</f>
        <v>0</v>
      </c>
      <c r="H16" s="22">
        <v>0.99</v>
      </c>
      <c r="I16" s="24">
        <f>'09 - 2020'!J22-'09 - 2020'!J21</f>
        <v>0</v>
      </c>
      <c r="J16" s="22">
        <v>8.1000000000000003E-2</v>
      </c>
      <c r="K16" s="56">
        <f>'09 - 2020'!H22-'09 - 2020'!H21</f>
        <v>0</v>
      </c>
      <c r="L16" s="24">
        <f>'09 - 2020'!I22-'09 - 2020'!I21</f>
        <v>0</v>
      </c>
      <c r="M16" s="23">
        <v>4.3936294247669103</v>
      </c>
      <c r="N16" s="24">
        <v>0</v>
      </c>
    </row>
    <row r="17" spans="1:16" x14ac:dyDescent="0.25">
      <c r="A17" t="s">
        <v>27</v>
      </c>
      <c r="B17">
        <f t="shared" si="0"/>
        <v>16</v>
      </c>
      <c r="C17" s="22">
        <v>9</v>
      </c>
      <c r="D17" s="22">
        <v>2020</v>
      </c>
      <c r="E17" s="24">
        <f>'09 - 2020'!B23-'09 - 2020'!B22+'09 - 2020'!C23-'09 - 2020'!C22</f>
        <v>0</v>
      </c>
      <c r="F17" s="22">
        <v>0.11799999999999999</v>
      </c>
      <c r="G17" s="24">
        <f>(('09 - 2020'!E23-'09 - 2020'!E22)+('09 - 2020'!F23-'09 - 2020'!F22)+('09 - 2020'!G23-'09 - 2020'!G22))*1.81</f>
        <v>0</v>
      </c>
      <c r="H17" s="22">
        <v>0.99</v>
      </c>
      <c r="I17" s="24">
        <f>'09 - 2020'!J23-'09 - 2020'!J22</f>
        <v>0</v>
      </c>
      <c r="J17" s="22">
        <v>8.1000000000000003E-2</v>
      </c>
      <c r="K17" s="56">
        <f>'09 - 2020'!H23-'09 - 2020'!H22</f>
        <v>0</v>
      </c>
      <c r="L17" s="24">
        <f>'09 - 2020'!I23-'09 - 2020'!I22</f>
        <v>0</v>
      </c>
      <c r="M17" s="23">
        <v>4.3936294247669103</v>
      </c>
      <c r="N17" s="24">
        <v>0</v>
      </c>
    </row>
    <row r="18" spans="1:16" x14ac:dyDescent="0.25">
      <c r="A18" t="s">
        <v>27</v>
      </c>
      <c r="B18">
        <f t="shared" si="0"/>
        <v>17</v>
      </c>
      <c r="C18" s="22">
        <v>9</v>
      </c>
      <c r="D18" s="22">
        <v>2020</v>
      </c>
      <c r="E18" s="24">
        <f>'09 - 2020'!B24-'09 - 2020'!B23+'09 - 2020'!C24-'09 - 2020'!C23</f>
        <v>0</v>
      </c>
      <c r="F18" s="22">
        <v>0.11799999999999999</v>
      </c>
      <c r="G18" s="24">
        <f>(('09 - 2020'!E24-'09 - 2020'!E23)+('09 - 2020'!F24-'09 - 2020'!F23)+('09 - 2020'!G24-'09 - 2020'!G23))*1.81</f>
        <v>0</v>
      </c>
      <c r="H18" s="22">
        <v>0.99</v>
      </c>
      <c r="I18" s="24">
        <f>'09 - 2020'!J24-'09 - 2020'!J23</f>
        <v>0</v>
      </c>
      <c r="J18" s="22">
        <v>8.1000000000000003E-2</v>
      </c>
      <c r="K18" s="56">
        <f>'09 - 2020'!H24-'09 - 2020'!H23</f>
        <v>0</v>
      </c>
      <c r="L18" s="24">
        <f>'09 - 2020'!I24-'09 - 2020'!I23</f>
        <v>0</v>
      </c>
      <c r="M18" s="23">
        <v>4.3936294247669103</v>
      </c>
      <c r="N18" s="24">
        <v>0</v>
      </c>
    </row>
    <row r="19" spans="1:16" x14ac:dyDescent="0.25">
      <c r="A19" t="s">
        <v>27</v>
      </c>
      <c r="B19">
        <f>B18+1</f>
        <v>18</v>
      </c>
      <c r="C19" s="22">
        <v>9</v>
      </c>
      <c r="D19" s="22">
        <v>2020</v>
      </c>
      <c r="E19" s="24">
        <f>'09 - 2020'!B25-'09 - 2020'!B24+'09 - 2020'!C25-'09 - 2020'!C24</f>
        <v>0</v>
      </c>
      <c r="F19" s="22">
        <v>0.11799999999999999</v>
      </c>
      <c r="G19" s="24">
        <f>(('09 - 2020'!E25-'09 - 2020'!E24)+('09 - 2020'!F25-'09 - 2020'!F24)+('09 - 2020'!G25-'09 - 2020'!G24))*1.81</f>
        <v>0</v>
      </c>
      <c r="H19" s="22">
        <v>0.99</v>
      </c>
      <c r="I19" s="24">
        <f>'09 - 2020'!J25-'09 - 2020'!J24</f>
        <v>0</v>
      </c>
      <c r="J19" s="22">
        <v>8.1000000000000003E-2</v>
      </c>
      <c r="K19" s="56">
        <f>'09 - 2020'!H25-'09 - 2020'!H24</f>
        <v>0</v>
      </c>
      <c r="L19" s="24">
        <f>'09 - 2020'!I25-'09 - 2020'!I24</f>
        <v>0</v>
      </c>
      <c r="M19" s="23">
        <v>4.3936294247669103</v>
      </c>
      <c r="N19" s="49">
        <v>0</v>
      </c>
    </row>
    <row r="20" spans="1:16" x14ac:dyDescent="0.25">
      <c r="A20" t="s">
        <v>27</v>
      </c>
      <c r="B20">
        <f t="shared" si="0"/>
        <v>19</v>
      </c>
      <c r="C20" s="22">
        <v>9</v>
      </c>
      <c r="D20" s="22">
        <v>2020</v>
      </c>
      <c r="E20" s="24">
        <f>'09 - 2020'!B26-'09 - 2020'!B25+'09 - 2020'!C26-'09 - 2020'!C25</f>
        <v>0</v>
      </c>
      <c r="F20" s="22">
        <v>0.11799999999999999</v>
      </c>
      <c r="G20" s="24">
        <f>(('09 - 2020'!E26-'09 - 2020'!E25)+('09 - 2020'!F26-'09 - 2020'!F25)+('09 - 2020'!G26-'09 - 2020'!G25))*1.81</f>
        <v>0</v>
      </c>
      <c r="H20" s="22">
        <v>0.99</v>
      </c>
      <c r="I20" s="24">
        <f>'09 - 2020'!J26-'09 - 2020'!J25</f>
        <v>0</v>
      </c>
      <c r="J20" s="22">
        <v>8.1000000000000003E-2</v>
      </c>
      <c r="K20" s="56">
        <f>'09 - 2020'!H26-'09 - 2020'!H25</f>
        <v>0</v>
      </c>
      <c r="L20" s="24">
        <f>'09 - 2020'!I26-'09 - 2020'!I25</f>
        <v>0</v>
      </c>
      <c r="M20" s="23">
        <v>4.3936294247669103</v>
      </c>
      <c r="N20" s="49">
        <v>0</v>
      </c>
    </row>
    <row r="21" spans="1:16" x14ac:dyDescent="0.25">
      <c r="A21" t="s">
        <v>27</v>
      </c>
      <c r="B21">
        <f t="shared" si="0"/>
        <v>20</v>
      </c>
      <c r="C21" s="22">
        <v>9</v>
      </c>
      <c r="D21" s="22">
        <v>2020</v>
      </c>
      <c r="E21" s="24">
        <f>'09 - 2020'!B27-'09 - 2020'!B26+'09 - 2020'!C27-'09 - 2020'!C26</f>
        <v>0</v>
      </c>
      <c r="F21" s="22">
        <v>0.11799999999999999</v>
      </c>
      <c r="G21" s="24">
        <f>(('09 - 2020'!E27-'09 - 2020'!E26)+('09 - 2020'!F27-'09 - 2020'!F26)+('09 - 2020'!G27-'09 - 2020'!G26))*1.81</f>
        <v>0</v>
      </c>
      <c r="H21" s="22">
        <v>0.99</v>
      </c>
      <c r="I21" s="24">
        <f>'09 - 2020'!J27-'09 - 2020'!J26</f>
        <v>0</v>
      </c>
      <c r="J21" s="22">
        <v>8.1000000000000003E-2</v>
      </c>
      <c r="K21" s="56">
        <f>'09 - 2020'!H27-'09 - 2020'!H26</f>
        <v>0</v>
      </c>
      <c r="L21" s="24">
        <f>'09 - 2020'!I27-'09 - 2020'!I26</f>
        <v>0</v>
      </c>
      <c r="M21" s="23">
        <v>4.3936294247669103</v>
      </c>
      <c r="N21" s="49">
        <v>0</v>
      </c>
    </row>
    <row r="22" spans="1:16" x14ac:dyDescent="0.25">
      <c r="A22" t="s">
        <v>27</v>
      </c>
      <c r="B22">
        <f t="shared" si="0"/>
        <v>21</v>
      </c>
      <c r="C22" s="22">
        <v>9</v>
      </c>
      <c r="D22" s="22">
        <v>2020</v>
      </c>
      <c r="E22" s="24">
        <f>'09 - 2020'!B28-'09 - 2020'!B27+'09 - 2020'!C28-'09 - 2020'!C27</f>
        <v>0</v>
      </c>
      <c r="F22" s="22">
        <v>0.11799999999999999</v>
      </c>
      <c r="G22" s="24">
        <f>(('09 - 2020'!E28-'09 - 2020'!E27)+('09 - 2020'!F28-'09 - 2020'!F27)+('09 - 2020'!G28-'09 - 2020'!G27))*1.81</f>
        <v>0</v>
      </c>
      <c r="H22" s="22">
        <v>0.99</v>
      </c>
      <c r="I22" s="24">
        <f>'09 - 2020'!J28-'09 - 2020'!J27</f>
        <v>0</v>
      </c>
      <c r="J22" s="22">
        <v>8.1000000000000003E-2</v>
      </c>
      <c r="K22" s="56">
        <f>'09 - 2020'!H28-'09 - 2020'!H27</f>
        <v>0</v>
      </c>
      <c r="L22" s="24">
        <f>'09 - 2020'!I28-'09 - 2020'!I27</f>
        <v>0</v>
      </c>
      <c r="M22" s="23">
        <v>4.3936294247669103</v>
      </c>
      <c r="N22" s="49">
        <v>0</v>
      </c>
    </row>
    <row r="23" spans="1:16" x14ac:dyDescent="0.25">
      <c r="A23" t="s">
        <v>27</v>
      </c>
      <c r="B23">
        <f t="shared" si="0"/>
        <v>22</v>
      </c>
      <c r="C23" s="22">
        <v>9</v>
      </c>
      <c r="D23" s="22">
        <v>2020</v>
      </c>
      <c r="E23" s="24">
        <f>'09 - 2020'!B29-'09 - 2020'!B28+'09 - 2020'!C29-'09 - 2020'!C28</f>
        <v>0</v>
      </c>
      <c r="F23" s="22">
        <v>0.11799999999999999</v>
      </c>
      <c r="G23" s="24">
        <f>(('09 - 2020'!E29-'09 - 2020'!E28)+('09 - 2020'!F29-'09 - 2020'!F28)+('09 - 2020'!G29-'09 - 2020'!G28))*1.81</f>
        <v>0</v>
      </c>
      <c r="H23" s="22">
        <v>0.99</v>
      </c>
      <c r="I23" s="24">
        <f>'09 - 2020'!J29-'09 - 2020'!J28</f>
        <v>0</v>
      </c>
      <c r="J23" s="22">
        <v>8.1000000000000003E-2</v>
      </c>
      <c r="K23" s="56">
        <f>'09 - 2020'!H29-'09 - 2020'!H28</f>
        <v>0</v>
      </c>
      <c r="L23" s="24">
        <f>'09 - 2020'!I29-'09 - 2020'!I28</f>
        <v>0</v>
      </c>
      <c r="M23" s="23">
        <v>4.3936294247669103</v>
      </c>
      <c r="N23" s="49">
        <v>0</v>
      </c>
    </row>
    <row r="24" spans="1:16" x14ac:dyDescent="0.25">
      <c r="A24" t="s">
        <v>27</v>
      </c>
      <c r="B24">
        <f t="shared" si="0"/>
        <v>23</v>
      </c>
      <c r="C24" s="22">
        <v>9</v>
      </c>
      <c r="D24" s="22">
        <v>2020</v>
      </c>
      <c r="E24" s="24">
        <f>'09 - 2020'!B30-'09 - 2020'!B29+'09 - 2020'!C30-'09 - 2020'!C29</f>
        <v>0</v>
      </c>
      <c r="F24" s="22">
        <v>0.11799999999999999</v>
      </c>
      <c r="G24" s="24">
        <f>(('09 - 2020'!E30-'09 - 2020'!E29)+('09 - 2020'!F30-'09 - 2020'!F29)+('09 - 2020'!G30-'09 - 2020'!G29))*1.81</f>
        <v>0</v>
      </c>
      <c r="H24" s="22">
        <v>0.99</v>
      </c>
      <c r="I24" s="24">
        <f>'09 - 2020'!J30-'09 - 2020'!J29</f>
        <v>0</v>
      </c>
      <c r="J24" s="22">
        <v>8.1000000000000003E-2</v>
      </c>
      <c r="K24" s="56">
        <f>'09 - 2020'!H30-'09 - 2020'!H29</f>
        <v>0</v>
      </c>
      <c r="L24" s="24">
        <f>'09 - 2020'!I30-'09 - 2020'!I29</f>
        <v>0</v>
      </c>
      <c r="M24" s="23">
        <v>4.3936294247669103</v>
      </c>
      <c r="N24" s="49">
        <v>0</v>
      </c>
    </row>
    <row r="25" spans="1:16" x14ac:dyDescent="0.25">
      <c r="A25" t="s">
        <v>27</v>
      </c>
      <c r="B25">
        <f t="shared" si="0"/>
        <v>24</v>
      </c>
      <c r="C25" s="22">
        <v>9</v>
      </c>
      <c r="D25" s="22">
        <v>2020</v>
      </c>
      <c r="E25" s="24">
        <f>'09 - 2020'!B31-'09 - 2020'!B30+'09 - 2020'!C31-'09 - 2020'!C30</f>
        <v>0</v>
      </c>
      <c r="F25" s="22">
        <v>0.11799999999999999</v>
      </c>
      <c r="G25" s="24">
        <f>(('09 - 2020'!E31-'09 - 2020'!E30)+('09 - 2020'!F31-'09 - 2020'!F30)+('09 - 2020'!G31-'09 - 2020'!G30))*1.81</f>
        <v>0</v>
      </c>
      <c r="H25" s="22">
        <v>0.99</v>
      </c>
      <c r="I25" s="24">
        <f>'09 - 2020'!J31-'09 - 2020'!J30</f>
        <v>0</v>
      </c>
      <c r="J25" s="22">
        <v>8.1000000000000003E-2</v>
      </c>
      <c r="K25" s="56">
        <f>'09 - 2020'!H31-'09 - 2020'!H30</f>
        <v>0</v>
      </c>
      <c r="L25" s="24">
        <f>'09 - 2020'!I31-'09 - 2020'!I30</f>
        <v>0</v>
      </c>
      <c r="M25" s="23">
        <v>4.3936294247669103</v>
      </c>
      <c r="N25" s="49">
        <v>0</v>
      </c>
      <c r="P25" s="14"/>
    </row>
    <row r="26" spans="1:16" x14ac:dyDescent="0.25">
      <c r="A26" t="s">
        <v>27</v>
      </c>
      <c r="B26">
        <f>B25+1</f>
        <v>25</v>
      </c>
      <c r="C26" s="22">
        <v>9</v>
      </c>
      <c r="D26" s="22">
        <v>2020</v>
      </c>
      <c r="E26" s="24">
        <f>'09 - 2020'!B32-'09 - 2020'!B31+'09 - 2020'!C32-'09 - 2020'!C31</f>
        <v>0</v>
      </c>
      <c r="F26" s="22">
        <v>0.11799999999999999</v>
      </c>
      <c r="G26" s="24">
        <f>(('09 - 2020'!E32-'09 - 2020'!E31)+('09 - 2020'!F32-'09 - 2020'!F31)+('09 - 2020'!G32-'09 - 2020'!G31))*1.81</f>
        <v>0</v>
      </c>
      <c r="H26" s="22">
        <v>0.99</v>
      </c>
      <c r="I26" s="24">
        <f>'09 - 2020'!J32-'09 - 2020'!J31</f>
        <v>0</v>
      </c>
      <c r="J26" s="22">
        <v>8.1000000000000003E-2</v>
      </c>
      <c r="K26" s="56">
        <f>'09 - 2020'!H32-'09 - 2020'!H31</f>
        <v>0</v>
      </c>
      <c r="L26" s="24">
        <f>'09 - 2020'!I32-'09 - 2020'!I31</f>
        <v>0</v>
      </c>
      <c r="M26" s="23">
        <v>4.3936294247669103</v>
      </c>
      <c r="N26" s="49">
        <v>0</v>
      </c>
    </row>
    <row r="27" spans="1:16" x14ac:dyDescent="0.25">
      <c r="A27" t="s">
        <v>27</v>
      </c>
      <c r="B27">
        <f t="shared" si="0"/>
        <v>26</v>
      </c>
      <c r="C27" s="22">
        <v>9</v>
      </c>
      <c r="D27" s="22">
        <v>2020</v>
      </c>
      <c r="E27" s="24">
        <f>'09 - 2020'!B33-'09 - 2020'!B32+'09 - 2020'!C33-'09 - 2020'!C32</f>
        <v>0</v>
      </c>
      <c r="F27" s="22">
        <v>0.11799999999999999</v>
      </c>
      <c r="G27" s="24">
        <f>(('09 - 2020'!E33-'09 - 2020'!E32)+('09 - 2020'!F33-'09 - 2020'!F32)+('09 - 2020'!G33-'09 - 2020'!G32))*1.81</f>
        <v>0</v>
      </c>
      <c r="H27" s="22">
        <v>0.99</v>
      </c>
      <c r="I27" s="24">
        <f>'09 - 2020'!J33-'09 - 2020'!J32</f>
        <v>0</v>
      </c>
      <c r="J27" s="22">
        <v>8.1000000000000003E-2</v>
      </c>
      <c r="K27" s="56">
        <f>'09 - 2020'!H33-'09 - 2020'!H32</f>
        <v>0</v>
      </c>
      <c r="L27" s="24">
        <f>'09 - 2020'!I33-'09 - 2020'!I32</f>
        <v>0</v>
      </c>
      <c r="M27" s="23">
        <v>4.3936294247669103</v>
      </c>
      <c r="N27" s="49">
        <v>0</v>
      </c>
    </row>
    <row r="28" spans="1:16" x14ac:dyDescent="0.25">
      <c r="A28" t="s">
        <v>27</v>
      </c>
      <c r="B28">
        <f t="shared" si="0"/>
        <v>27</v>
      </c>
      <c r="C28" s="22">
        <v>9</v>
      </c>
      <c r="D28" s="22">
        <v>2020</v>
      </c>
      <c r="E28" s="24">
        <f>'09 - 2020'!B34-'09 - 2020'!B33+'09 - 2020'!C34-'09 - 2020'!C33</f>
        <v>0</v>
      </c>
      <c r="F28" s="22">
        <v>0.11799999999999999</v>
      </c>
      <c r="G28" s="24">
        <f>(('09 - 2020'!E34-'09 - 2020'!E33)+('09 - 2020'!F34-'09 - 2020'!F33)+('09 - 2020'!G34-'09 - 2020'!G33))*1.81</f>
        <v>0</v>
      </c>
      <c r="H28" s="22">
        <v>0.99</v>
      </c>
      <c r="I28" s="24">
        <f>'09 - 2020'!J34-'09 - 2020'!J33</f>
        <v>0</v>
      </c>
      <c r="J28" s="22">
        <v>8.1000000000000003E-2</v>
      </c>
      <c r="K28" s="56">
        <v>0</v>
      </c>
      <c r="L28" s="24">
        <v>0</v>
      </c>
      <c r="M28" s="23">
        <v>4.3936294247669103</v>
      </c>
      <c r="N28" s="49">
        <v>0</v>
      </c>
    </row>
    <row r="29" spans="1:16" x14ac:dyDescent="0.25">
      <c r="A29" t="s">
        <v>27</v>
      </c>
      <c r="B29">
        <f t="shared" si="0"/>
        <v>28</v>
      </c>
      <c r="C29" s="22">
        <v>9</v>
      </c>
      <c r="D29" s="22">
        <v>2020</v>
      </c>
      <c r="E29" s="24">
        <f>'09 - 2020'!B35-'09 - 2020'!B34+'09 - 2020'!C35-'09 - 2020'!C34</f>
        <v>0</v>
      </c>
      <c r="F29" s="22">
        <v>0.11799999999999999</v>
      </c>
      <c r="G29" s="24">
        <f>(('09 - 2020'!E35-'09 - 2020'!E34)+('09 - 2020'!F35-'09 - 2020'!F34)+('09 - 2020'!G35-'09 - 2020'!G34))*1.81</f>
        <v>0</v>
      </c>
      <c r="H29" s="22">
        <v>0.99</v>
      </c>
      <c r="I29" s="24">
        <f>'09 - 2020'!J35-'09 - 2020'!J34</f>
        <v>0</v>
      </c>
      <c r="J29" s="22">
        <v>8.1000000000000003E-2</v>
      </c>
      <c r="K29" s="56">
        <f>'09 - 2020'!H35-'09 - 2020'!H34</f>
        <v>0</v>
      </c>
      <c r="L29" s="24">
        <f>'09 - 2020'!I35-'09 - 2020'!I34</f>
        <v>0</v>
      </c>
      <c r="M29" s="23">
        <v>4.3936294247669103</v>
      </c>
      <c r="N29" s="49">
        <v>0</v>
      </c>
    </row>
    <row r="30" spans="1:16" x14ac:dyDescent="0.25">
      <c r="A30" t="s">
        <v>27</v>
      </c>
      <c r="B30">
        <f t="shared" si="0"/>
        <v>29</v>
      </c>
      <c r="C30" s="22">
        <v>9</v>
      </c>
      <c r="D30" s="22">
        <v>2020</v>
      </c>
      <c r="E30" s="24">
        <f>'09 - 2020'!B36-'09 - 2020'!B35+'09 - 2020'!C36-'09 - 2020'!C35</f>
        <v>0</v>
      </c>
      <c r="F30" s="22">
        <v>0.11799999999999999</v>
      </c>
      <c r="G30" s="24">
        <f>(('09 - 2020'!E36-'09 - 2020'!E35)+('09 - 2020'!F36-'09 - 2020'!F35)+('09 - 2020'!G36-'09 - 2020'!G35))*1.81</f>
        <v>0</v>
      </c>
      <c r="H30" s="22">
        <v>0.99</v>
      </c>
      <c r="I30" s="24">
        <f>'09 - 2020'!J36-'09 - 2020'!J35</f>
        <v>0</v>
      </c>
      <c r="J30" s="22">
        <v>8.1000000000000003E-2</v>
      </c>
      <c r="K30" s="56">
        <f>'09 - 2020'!H36-'09 - 2020'!H35</f>
        <v>0</v>
      </c>
      <c r="L30" s="24">
        <f>'09 - 2020'!I36-'09 - 2020'!I35</f>
        <v>0</v>
      </c>
      <c r="M30" s="23">
        <v>4.3936294247669103</v>
      </c>
      <c r="N30" s="49">
        <v>0</v>
      </c>
    </row>
    <row r="31" spans="1:16" x14ac:dyDescent="0.25">
      <c r="A31" s="22" t="s">
        <v>27</v>
      </c>
      <c r="B31" s="22">
        <f t="shared" si="0"/>
        <v>30</v>
      </c>
      <c r="C31" s="22">
        <v>9</v>
      </c>
      <c r="D31" s="22">
        <v>2020</v>
      </c>
      <c r="E31" s="24">
        <f>'09 - 2020'!B37-'09 - 2020'!B36+'09 - 2020'!C37-'09 - 2020'!C36</f>
        <v>0</v>
      </c>
      <c r="F31" s="22">
        <v>0.11799999999999999</v>
      </c>
      <c r="G31" s="24">
        <f>(('09 - 2020'!E37-'09 - 2020'!E36)+('09 - 2020'!F37-'09 - 2020'!F36)+('09 - 2020'!G37-'09 - 2020'!G36))*1.81</f>
        <v>0</v>
      </c>
      <c r="H31" s="22">
        <v>0.99</v>
      </c>
      <c r="I31" s="24">
        <f>'09 - 2020'!J37-'09 - 2020'!J36</f>
        <v>0</v>
      </c>
      <c r="J31" s="22">
        <v>8.1000000000000003E-2</v>
      </c>
      <c r="K31" s="56">
        <f>'09 - 2020'!H37-'09 - 2020'!H36</f>
        <v>0</v>
      </c>
      <c r="L31" s="24">
        <f>'09 - 2020'!I37-'09 - 2020'!I36</f>
        <v>0</v>
      </c>
      <c r="M31" s="23">
        <v>4.3936294247669103</v>
      </c>
      <c r="N31" s="50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Q19" sqref="Q1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9</v>
      </c>
      <c r="D2">
        <v>2020</v>
      </c>
      <c r="E2" s="24">
        <f>'09 - 2020'!B8-'09 - 2020'!B7</f>
        <v>2556</v>
      </c>
      <c r="F2" s="24">
        <f>'09 - 2020'!C8-'09 - 2020'!C7</f>
        <v>4748</v>
      </c>
      <c r="G2" s="22">
        <v>0.11799999999999999</v>
      </c>
      <c r="H2" s="24">
        <f>'09 - 2020'!E8-'09 - 2020'!E7</f>
        <v>16.389999999999418</v>
      </c>
      <c r="I2" s="24">
        <f>'09 - 2020'!F8-'09 - 2020'!F7</f>
        <v>4.2600000000002183</v>
      </c>
      <c r="J2" s="24">
        <f>'09 - 2020'!G8-'09 - 2020'!G7</f>
        <v>25.540000000000873</v>
      </c>
      <c r="K2" s="22">
        <v>0.74</v>
      </c>
      <c r="L2" s="24">
        <v>0</v>
      </c>
      <c r="M2" s="12"/>
    </row>
    <row r="3" spans="1:13" x14ac:dyDescent="0.25">
      <c r="A3" t="s">
        <v>27</v>
      </c>
      <c r="B3">
        <f>B2+1</f>
        <v>2</v>
      </c>
      <c r="C3" s="22">
        <v>9</v>
      </c>
      <c r="D3" s="22">
        <v>2020</v>
      </c>
      <c r="E3" s="24">
        <f>'09 - 2020'!B9-'09 - 2020'!B8</f>
        <v>2876</v>
      </c>
      <c r="F3" s="24">
        <f>'09 - 2020'!C9-'09 - 2020'!C8</f>
        <v>5266</v>
      </c>
      <c r="G3" s="22">
        <v>0.11799999999999999</v>
      </c>
      <c r="H3" s="24">
        <f>'09 - 2020'!E9-'09 - 2020'!E8</f>
        <v>20</v>
      </c>
      <c r="I3" s="24">
        <f>'09 - 2020'!F9-'09 - 2020'!F8</f>
        <v>4</v>
      </c>
      <c r="J3" s="24">
        <f>'09 - 2020'!G9-'09 - 2020'!G8</f>
        <v>27</v>
      </c>
      <c r="K3" s="22">
        <v>0.74</v>
      </c>
      <c r="L3" s="48">
        <v>13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9</v>
      </c>
      <c r="D4" s="22">
        <v>2020</v>
      </c>
      <c r="E4" s="24">
        <f>'09 - 2020'!B10-'09 - 2020'!B9</f>
        <v>2961</v>
      </c>
      <c r="F4" s="24">
        <f>'09 - 2020'!C10-'09 - 2020'!C9</f>
        <v>5470</v>
      </c>
      <c r="G4" s="22">
        <v>0.11799999999999999</v>
      </c>
      <c r="H4" s="24">
        <f>'09 - 2020'!E10-'09 - 2020'!E9</f>
        <v>21</v>
      </c>
      <c r="I4" s="24">
        <f>'09 - 2020'!F10-'09 - 2020'!F9</f>
        <v>5</v>
      </c>
      <c r="J4" s="24">
        <f>'09 - 2020'!G10-'09 - 2020'!G9</f>
        <v>27</v>
      </c>
      <c r="K4" s="22">
        <v>0.74</v>
      </c>
      <c r="L4" s="48">
        <v>15</v>
      </c>
      <c r="M4" s="12"/>
    </row>
    <row r="5" spans="1:13" x14ac:dyDescent="0.25">
      <c r="A5" t="s">
        <v>27</v>
      </c>
      <c r="B5">
        <f t="shared" si="0"/>
        <v>4</v>
      </c>
      <c r="C5" s="22">
        <v>9</v>
      </c>
      <c r="D5" s="22">
        <v>2020</v>
      </c>
      <c r="E5" s="24">
        <f>'09 - 2020'!B11-'09 - 2020'!B10</f>
        <v>2879</v>
      </c>
      <c r="F5" s="24">
        <f>'09 - 2020'!C11-'09 - 2020'!C10</f>
        <v>5687</v>
      </c>
      <c r="G5" s="22">
        <v>0.11799999999999999</v>
      </c>
      <c r="H5" s="24">
        <f>'09 - 2020'!E11-'09 - 2020'!E10</f>
        <v>22</v>
      </c>
      <c r="I5" s="24">
        <f>'09 - 2020'!F11-'09 - 2020'!F10</f>
        <v>5</v>
      </c>
      <c r="J5" s="24">
        <f>'09 - 2020'!G11-'09 - 2020'!G10</f>
        <v>29</v>
      </c>
      <c r="K5" s="22">
        <v>0.74</v>
      </c>
      <c r="L5" s="48">
        <v>14</v>
      </c>
      <c r="M5" s="12"/>
    </row>
    <row r="6" spans="1:13" x14ac:dyDescent="0.25">
      <c r="A6" t="s">
        <v>27</v>
      </c>
      <c r="B6">
        <f t="shared" si="0"/>
        <v>5</v>
      </c>
      <c r="C6" s="22">
        <v>9</v>
      </c>
      <c r="D6" s="22">
        <v>2020</v>
      </c>
      <c r="E6" s="24">
        <f>'09 - 2020'!B12-'09 - 2020'!B11</f>
        <v>2916</v>
      </c>
      <c r="F6" s="24">
        <f>'09 - 2020'!C12-'09 - 2020'!C11</f>
        <v>5561</v>
      </c>
      <c r="G6" s="22">
        <v>0.11799999999999999</v>
      </c>
      <c r="H6" s="24">
        <f>'09 - 2020'!E12-'09 - 2020'!E11</f>
        <v>21</v>
      </c>
      <c r="I6" s="24">
        <f>'09 - 2020'!F12-'09 - 2020'!F11</f>
        <v>5</v>
      </c>
      <c r="J6" s="24">
        <f>'09 - 2020'!G12-'09 - 2020'!G11</f>
        <v>29</v>
      </c>
      <c r="K6" s="22">
        <v>0.74</v>
      </c>
      <c r="L6" s="48">
        <v>25</v>
      </c>
      <c r="M6" s="13"/>
    </row>
    <row r="7" spans="1:13" x14ac:dyDescent="0.25">
      <c r="A7" t="s">
        <v>27</v>
      </c>
      <c r="B7">
        <f t="shared" si="0"/>
        <v>6</v>
      </c>
      <c r="C7" s="22">
        <v>9</v>
      </c>
      <c r="D7" s="22">
        <v>2020</v>
      </c>
      <c r="E7" s="24">
        <f>'09 - 2020'!B13-'09 - 2020'!B12</f>
        <v>2783</v>
      </c>
      <c r="F7" s="24">
        <f>'09 - 2020'!C13-'09 - 2020'!C12</f>
        <v>5515</v>
      </c>
      <c r="G7" s="22">
        <v>0.11799999999999999</v>
      </c>
      <c r="H7" s="24">
        <f>'09 - 2020'!E13-'09 - 2020'!E12</f>
        <v>21</v>
      </c>
      <c r="I7" s="24">
        <f>'09 - 2020'!F13-'09 - 2020'!F12</f>
        <v>0</v>
      </c>
      <c r="J7" s="24">
        <f>'09 - 2020'!G13-'09 - 2020'!G12</f>
        <v>30</v>
      </c>
      <c r="K7" s="22">
        <v>0.74</v>
      </c>
      <c r="L7" s="48">
        <v>20</v>
      </c>
      <c r="M7" s="13"/>
    </row>
    <row r="8" spans="1:13" x14ac:dyDescent="0.25">
      <c r="A8" t="s">
        <v>27</v>
      </c>
      <c r="B8">
        <f t="shared" si="0"/>
        <v>7</v>
      </c>
      <c r="C8" s="22">
        <v>9</v>
      </c>
      <c r="D8" s="22">
        <v>2020</v>
      </c>
      <c r="E8" s="24">
        <f>'09 - 2020'!B14-'09 - 2020'!B13</f>
        <v>2850</v>
      </c>
      <c r="F8" s="24">
        <f>'09 - 2020'!C14-'09 - 2020'!C13</f>
        <v>5523</v>
      </c>
      <c r="G8" s="22">
        <v>0.11799999999999999</v>
      </c>
      <c r="H8" s="24">
        <f>'09 - 2020'!E14-'09 - 2020'!E13</f>
        <v>23</v>
      </c>
      <c r="I8" s="24">
        <f>'09 - 2020'!F14-'09 - 2020'!F13</f>
        <v>5</v>
      </c>
      <c r="J8" s="24">
        <f>'09 - 2020'!G14-'09 - 2020'!G13</f>
        <v>28</v>
      </c>
      <c r="K8" s="22">
        <v>0.74</v>
      </c>
      <c r="L8" s="48">
        <v>26</v>
      </c>
      <c r="M8" s="13"/>
    </row>
    <row r="9" spans="1:13" x14ac:dyDescent="0.25">
      <c r="A9" t="s">
        <v>27</v>
      </c>
      <c r="B9">
        <f t="shared" si="0"/>
        <v>8</v>
      </c>
      <c r="C9" s="22">
        <v>9</v>
      </c>
      <c r="D9" s="22">
        <v>2020</v>
      </c>
      <c r="E9" s="24">
        <f>'09 - 2020'!B15-'09 - 2020'!B14</f>
        <v>2775</v>
      </c>
      <c r="F9" s="24">
        <f>'09 - 2020'!C15-'09 - 2020'!C14</f>
        <v>5537</v>
      </c>
      <c r="G9" s="22">
        <v>0.11799999999999999</v>
      </c>
      <c r="H9" s="24">
        <f>'09 - 2020'!E15-'09 - 2020'!E14</f>
        <v>22.159999999999854</v>
      </c>
      <c r="I9" s="24">
        <f>'09 - 2020'!F15-'09 - 2020'!F14</f>
        <v>5.1799999999998363</v>
      </c>
      <c r="J9" s="24">
        <f>'09 - 2020'!G15-'09 - 2020'!G14</f>
        <v>26.68999999999869</v>
      </c>
      <c r="K9" s="22">
        <v>0.74</v>
      </c>
      <c r="L9" s="48">
        <v>31</v>
      </c>
      <c r="M9" s="13"/>
    </row>
    <row r="10" spans="1:13" x14ac:dyDescent="0.25">
      <c r="A10" t="s">
        <v>27</v>
      </c>
      <c r="B10">
        <f t="shared" si="0"/>
        <v>9</v>
      </c>
      <c r="C10" s="22">
        <v>9</v>
      </c>
      <c r="D10" s="22">
        <v>2020</v>
      </c>
      <c r="E10" s="24">
        <f>'09 - 2020'!B16-'09 - 2020'!B15</f>
        <v>2889</v>
      </c>
      <c r="F10" s="24">
        <f>'09 - 2020'!C16-'09 - 2020'!C15</f>
        <v>5705</v>
      </c>
      <c r="G10" s="22">
        <v>0.11799999999999999</v>
      </c>
      <c r="H10" s="24">
        <f>'09 - 2020'!E16-'09 - 2020'!E15</f>
        <v>17.840000000000146</v>
      </c>
      <c r="I10" s="24">
        <f>'09 - 2020'!F16-'09 - 2020'!F15</f>
        <v>4.8200000000001637</v>
      </c>
      <c r="J10" s="24">
        <f>'09 - 2020'!G16-'09 - 2020'!G15</f>
        <v>26.31000000000131</v>
      </c>
      <c r="K10" s="22">
        <v>0.74</v>
      </c>
      <c r="L10" s="48">
        <v>30</v>
      </c>
      <c r="M10" s="13"/>
    </row>
    <row r="11" spans="1:13" x14ac:dyDescent="0.25">
      <c r="A11" t="s">
        <v>27</v>
      </c>
      <c r="B11">
        <f t="shared" si="0"/>
        <v>10</v>
      </c>
      <c r="C11" s="22">
        <v>9</v>
      </c>
      <c r="D11" s="22">
        <v>2020</v>
      </c>
      <c r="E11" s="24">
        <v>0</v>
      </c>
      <c r="F11" s="24">
        <v>0</v>
      </c>
      <c r="G11" s="22">
        <v>0.11799999999999999</v>
      </c>
      <c r="H11" s="24">
        <v>0</v>
      </c>
      <c r="I11" s="24">
        <v>0</v>
      </c>
      <c r="J11" s="24">
        <v>0</v>
      </c>
      <c r="K11" s="22">
        <v>0.74</v>
      </c>
      <c r="L11" s="48">
        <v>0</v>
      </c>
      <c r="M11" s="13"/>
    </row>
    <row r="12" spans="1:13" x14ac:dyDescent="0.25">
      <c r="A12" t="s">
        <v>27</v>
      </c>
      <c r="B12">
        <f t="shared" si="0"/>
        <v>11</v>
      </c>
      <c r="C12" s="22">
        <v>9</v>
      </c>
      <c r="D12" s="22">
        <v>2020</v>
      </c>
      <c r="E12" s="24">
        <f>'09 - 2020'!B18-'09 - 2020'!B17</f>
        <v>0</v>
      </c>
      <c r="F12" s="24">
        <f>'09 - 2020'!C18-'09 - 2020'!C17</f>
        <v>0</v>
      </c>
      <c r="G12" s="22">
        <v>0.11799999999999999</v>
      </c>
      <c r="H12" s="24">
        <f>'09 - 2020'!E18-'09 - 2020'!E17</f>
        <v>0</v>
      </c>
      <c r="I12" s="24">
        <f>'09 - 2020'!F18-'09 - 2020'!F17</f>
        <v>0</v>
      </c>
      <c r="J12" s="24">
        <f>'09 - 2020'!G18-'09 - 2020'!G17</f>
        <v>0</v>
      </c>
      <c r="K12" s="22">
        <v>0.74</v>
      </c>
      <c r="L12" s="24">
        <v>0</v>
      </c>
      <c r="M12" s="13"/>
    </row>
    <row r="13" spans="1:13" x14ac:dyDescent="0.25">
      <c r="A13" t="s">
        <v>27</v>
      </c>
      <c r="B13">
        <f t="shared" si="0"/>
        <v>12</v>
      </c>
      <c r="C13" s="22">
        <v>9</v>
      </c>
      <c r="D13" s="22">
        <v>2020</v>
      </c>
      <c r="E13" s="24">
        <f>'09 - 2020'!B19-'09 - 2020'!B18</f>
        <v>0</v>
      </c>
      <c r="F13" s="24">
        <f>'09 - 2020'!C19-'09 - 2020'!C18</f>
        <v>0</v>
      </c>
      <c r="G13" s="22">
        <v>0.11799999999999999</v>
      </c>
      <c r="H13" s="24">
        <f>'09 - 2020'!E19-'09 - 2020'!E18</f>
        <v>0</v>
      </c>
      <c r="I13" s="24">
        <f>'09 - 2020'!F19-'09 - 2020'!F18</f>
        <v>0</v>
      </c>
      <c r="J13" s="24">
        <f>'09 - 2020'!G19-'09 - 2020'!G18</f>
        <v>0</v>
      </c>
      <c r="K13" s="22">
        <v>0.74</v>
      </c>
      <c r="L13" s="24">
        <v>0</v>
      </c>
      <c r="M13" s="13"/>
    </row>
    <row r="14" spans="1:13" x14ac:dyDescent="0.25">
      <c r="A14" t="s">
        <v>27</v>
      </c>
      <c r="B14">
        <f t="shared" si="0"/>
        <v>13</v>
      </c>
      <c r="C14" s="22">
        <v>9</v>
      </c>
      <c r="D14" s="22">
        <v>2020</v>
      </c>
      <c r="E14" s="24">
        <f>'09 - 2020'!B20-'09 - 2020'!B19</f>
        <v>0</v>
      </c>
      <c r="F14" s="24">
        <f>'09 - 2020'!C20-'09 - 2020'!C19</f>
        <v>0</v>
      </c>
      <c r="G14" s="22">
        <v>0.11799999999999999</v>
      </c>
      <c r="H14" s="24">
        <f>'09 - 2020'!E20-'09 - 2020'!E19</f>
        <v>0</v>
      </c>
      <c r="I14" s="24">
        <f>'09 - 2020'!F20-'09 - 2020'!F19</f>
        <v>0</v>
      </c>
      <c r="J14" s="24">
        <f>'09 - 2020'!G20-'09 - 2020'!G19</f>
        <v>0</v>
      </c>
      <c r="K14" s="22">
        <v>0.74</v>
      </c>
      <c r="L14" s="24">
        <v>0</v>
      </c>
      <c r="M14" s="13"/>
    </row>
    <row r="15" spans="1:13" x14ac:dyDescent="0.25">
      <c r="A15" t="s">
        <v>27</v>
      </c>
      <c r="B15">
        <f t="shared" si="0"/>
        <v>14</v>
      </c>
      <c r="C15" s="22">
        <v>9</v>
      </c>
      <c r="D15" s="22">
        <v>2020</v>
      </c>
      <c r="E15" s="24">
        <f>'09 - 2020'!B21-'09 - 2020'!B20</f>
        <v>0</v>
      </c>
      <c r="F15" s="24">
        <f>'09 - 2020'!C21-'09 - 2020'!C20</f>
        <v>0</v>
      </c>
      <c r="G15" s="22">
        <v>0.11799999999999999</v>
      </c>
      <c r="H15" s="24">
        <f>'09 - 2020'!E21-'09 - 2020'!E20</f>
        <v>0</v>
      </c>
      <c r="I15" s="24">
        <f>'09 - 2020'!F21-'09 - 2020'!F20</f>
        <v>0</v>
      </c>
      <c r="J15" s="24">
        <f>'09 - 2020'!G21-'09 - 2020'!G20</f>
        <v>0</v>
      </c>
      <c r="K15" s="22">
        <v>0.74</v>
      </c>
      <c r="L15" s="24">
        <v>0</v>
      </c>
      <c r="M15" s="13"/>
    </row>
    <row r="16" spans="1:13" x14ac:dyDescent="0.25">
      <c r="A16" t="s">
        <v>27</v>
      </c>
      <c r="B16">
        <f t="shared" si="0"/>
        <v>15</v>
      </c>
      <c r="C16" s="22">
        <v>9</v>
      </c>
      <c r="D16" s="22">
        <v>2020</v>
      </c>
      <c r="E16" s="24">
        <f>'09 - 2020'!B22-'09 - 2020'!B21</f>
        <v>0</v>
      </c>
      <c r="F16" s="24">
        <f>'09 - 2020'!C22-'09 - 2020'!C21</f>
        <v>0</v>
      </c>
      <c r="G16" s="22">
        <v>0.11799999999999999</v>
      </c>
      <c r="H16" s="24">
        <f>'09 - 2020'!E22-'09 - 2020'!E21</f>
        <v>0</v>
      </c>
      <c r="I16" s="24">
        <f>'09 - 2020'!F22-'09 - 2020'!F21</f>
        <v>0</v>
      </c>
      <c r="J16" s="24">
        <f>'09 - 2020'!G22-'09 - 2020'!G21</f>
        <v>0</v>
      </c>
      <c r="K16" s="22">
        <v>0.74</v>
      </c>
      <c r="L16" s="24">
        <v>0</v>
      </c>
      <c r="M16" s="13"/>
    </row>
    <row r="17" spans="1:13" x14ac:dyDescent="0.25">
      <c r="A17" t="s">
        <v>27</v>
      </c>
      <c r="B17">
        <f t="shared" si="0"/>
        <v>16</v>
      </c>
      <c r="C17" s="22">
        <v>9</v>
      </c>
      <c r="D17" s="22">
        <v>2020</v>
      </c>
      <c r="E17" s="24">
        <f>'09 - 2020'!B23-'09 - 2020'!B22</f>
        <v>0</v>
      </c>
      <c r="F17" s="24">
        <f>'09 - 2020'!C23-'09 - 2020'!C22</f>
        <v>0</v>
      </c>
      <c r="G17" s="22">
        <v>0.11799999999999999</v>
      </c>
      <c r="H17" s="24">
        <f>'09 - 2020'!E23-'09 - 2020'!E22</f>
        <v>0</v>
      </c>
      <c r="I17" s="24">
        <f>'09 - 2020'!F23-'09 - 2020'!F22</f>
        <v>0</v>
      </c>
      <c r="J17" s="24">
        <f>'09 - 2020'!G23-'09 - 2020'!G22</f>
        <v>0</v>
      </c>
      <c r="K17" s="22">
        <v>0.74</v>
      </c>
      <c r="L17" s="24">
        <v>0</v>
      </c>
      <c r="M17" s="13"/>
    </row>
    <row r="18" spans="1:13" x14ac:dyDescent="0.25">
      <c r="A18" t="s">
        <v>27</v>
      </c>
      <c r="B18">
        <f t="shared" si="0"/>
        <v>17</v>
      </c>
      <c r="C18" s="22">
        <v>9</v>
      </c>
      <c r="D18" s="22">
        <v>2020</v>
      </c>
      <c r="E18" s="24">
        <f>'09 - 2020'!B24-'09 - 2020'!B23</f>
        <v>0</v>
      </c>
      <c r="F18" s="24">
        <f>'09 - 2020'!C24-'09 - 2020'!C23</f>
        <v>0</v>
      </c>
      <c r="G18" s="22">
        <v>0.11799999999999999</v>
      </c>
      <c r="H18" s="24">
        <f>'09 - 2020'!E24-'09 - 2020'!E23</f>
        <v>0</v>
      </c>
      <c r="I18" s="24">
        <f>'09 - 2020'!F24-'09 - 2020'!F23</f>
        <v>0</v>
      </c>
      <c r="J18" s="24">
        <f>'09 - 2020'!G24-'09 - 2020'!G23</f>
        <v>0</v>
      </c>
      <c r="K18" s="22">
        <v>0.74</v>
      </c>
      <c r="L18" s="24">
        <v>0</v>
      </c>
      <c r="M18" s="13"/>
    </row>
    <row r="19" spans="1:13" x14ac:dyDescent="0.25">
      <c r="A19" t="s">
        <v>27</v>
      </c>
      <c r="B19">
        <f>B18+1</f>
        <v>18</v>
      </c>
      <c r="C19" s="22">
        <v>9</v>
      </c>
      <c r="D19" s="22">
        <v>2020</v>
      </c>
      <c r="E19" s="24">
        <f>'09 - 2020'!B25-'09 - 2020'!B24</f>
        <v>0</v>
      </c>
      <c r="F19" s="24">
        <f>'09 - 2020'!C25-'09 - 2020'!C24</f>
        <v>0</v>
      </c>
      <c r="G19" s="22">
        <v>0.11799999999999999</v>
      </c>
      <c r="H19" s="24">
        <f>'09 - 2020'!E25-'09 - 2020'!E24</f>
        <v>0</v>
      </c>
      <c r="I19" s="24">
        <f>'09 - 2020'!F25-'09 - 2020'!F24</f>
        <v>0</v>
      </c>
      <c r="J19" s="24">
        <f>'09 - 2020'!G25-'09 - 2020'!G24</f>
        <v>0</v>
      </c>
      <c r="K19" s="22">
        <v>0.74</v>
      </c>
      <c r="L19" s="24">
        <v>0</v>
      </c>
      <c r="M19" s="13"/>
    </row>
    <row r="20" spans="1:13" x14ac:dyDescent="0.25">
      <c r="A20" t="s">
        <v>27</v>
      </c>
      <c r="B20">
        <f t="shared" si="0"/>
        <v>19</v>
      </c>
      <c r="C20" s="22">
        <v>9</v>
      </c>
      <c r="D20" s="22">
        <v>2020</v>
      </c>
      <c r="E20" s="24">
        <f>'09 - 2020'!B26-'09 - 2020'!B25</f>
        <v>0</v>
      </c>
      <c r="F20" s="24">
        <f>'09 - 2020'!C26-'09 - 2020'!C25</f>
        <v>0</v>
      </c>
      <c r="G20" s="22">
        <v>0.11799999999999999</v>
      </c>
      <c r="H20" s="24">
        <f>'09 - 2020'!E26-'09 - 2020'!E25</f>
        <v>0</v>
      </c>
      <c r="I20" s="24">
        <f>'09 - 2020'!F26-'09 - 2020'!F25</f>
        <v>0</v>
      </c>
      <c r="J20" s="24">
        <f>'09 - 2020'!G26-'09 - 2020'!G25</f>
        <v>0</v>
      </c>
      <c r="K20" s="22">
        <v>0.74</v>
      </c>
      <c r="L20" s="6">
        <v>0</v>
      </c>
      <c r="M20" s="13"/>
    </row>
    <row r="21" spans="1:13" x14ac:dyDescent="0.25">
      <c r="A21" t="s">
        <v>27</v>
      </c>
      <c r="B21">
        <f t="shared" si="0"/>
        <v>20</v>
      </c>
      <c r="C21" s="22">
        <v>9</v>
      </c>
      <c r="D21" s="22">
        <v>2020</v>
      </c>
      <c r="E21" s="24">
        <f>'09 - 2020'!B27-'09 - 2020'!B26</f>
        <v>0</v>
      </c>
      <c r="F21" s="24">
        <f>'09 - 2020'!C27-'09 - 2020'!C26</f>
        <v>0</v>
      </c>
      <c r="G21" s="22">
        <v>0.11799999999999999</v>
      </c>
      <c r="H21" s="24">
        <f>'09 - 2020'!E27-'09 - 2020'!E26</f>
        <v>0</v>
      </c>
      <c r="I21" s="24">
        <f>'09 - 2020'!F27-'09 - 2020'!F26</f>
        <v>0</v>
      </c>
      <c r="J21" s="24">
        <f>'09 - 2020'!G27-'09 - 2020'!G26</f>
        <v>0</v>
      </c>
      <c r="K21" s="22">
        <v>0.74</v>
      </c>
      <c r="L21" s="6">
        <v>0</v>
      </c>
      <c r="M21" s="13"/>
    </row>
    <row r="22" spans="1:13" x14ac:dyDescent="0.25">
      <c r="A22" t="s">
        <v>27</v>
      </c>
      <c r="B22">
        <f t="shared" si="0"/>
        <v>21</v>
      </c>
      <c r="C22" s="22">
        <v>9</v>
      </c>
      <c r="D22" s="22">
        <v>2020</v>
      </c>
      <c r="E22" s="24">
        <f>'09 - 2020'!B28-'09 - 2020'!B27</f>
        <v>0</v>
      </c>
      <c r="F22" s="24">
        <f>'09 - 2020'!C28-'09 - 2020'!C27</f>
        <v>0</v>
      </c>
      <c r="G22" s="22">
        <v>0.11799999999999999</v>
      </c>
      <c r="H22" s="24">
        <f>'09 - 2020'!E28-'09 - 2020'!E27</f>
        <v>0</v>
      </c>
      <c r="I22" s="24">
        <f>'09 - 2020'!F28-'09 - 2020'!F27</f>
        <v>0</v>
      </c>
      <c r="J22" s="24">
        <f>'09 - 2020'!G28-'09 - 2020'!G27</f>
        <v>0</v>
      </c>
      <c r="K22" s="22">
        <v>0.74</v>
      </c>
      <c r="L22" s="24">
        <v>0</v>
      </c>
      <c r="M22" s="13"/>
    </row>
    <row r="23" spans="1:13" x14ac:dyDescent="0.25">
      <c r="A23" t="s">
        <v>27</v>
      </c>
      <c r="B23">
        <f t="shared" si="0"/>
        <v>22</v>
      </c>
      <c r="C23" s="22">
        <v>9</v>
      </c>
      <c r="D23" s="22">
        <v>2020</v>
      </c>
      <c r="E23" s="24">
        <f>'09 - 2020'!B29-'09 - 2020'!B28</f>
        <v>0</v>
      </c>
      <c r="F23" s="24">
        <f>'09 - 2020'!C29-'09 - 2020'!C28</f>
        <v>0</v>
      </c>
      <c r="G23" s="22">
        <v>0.11799999999999999</v>
      </c>
      <c r="H23" s="24">
        <f>'09 - 2020'!E29-'09 - 2020'!E28</f>
        <v>0</v>
      </c>
      <c r="I23" s="24">
        <f>'09 - 2020'!F29-'09 - 2020'!F28</f>
        <v>0</v>
      </c>
      <c r="J23" s="24">
        <f>'09 - 2020'!G29-'09 - 2020'!G28</f>
        <v>0</v>
      </c>
      <c r="K23" s="22">
        <v>0.74</v>
      </c>
      <c r="L23" s="24">
        <v>0</v>
      </c>
      <c r="M23" s="13"/>
    </row>
    <row r="24" spans="1:13" x14ac:dyDescent="0.25">
      <c r="A24" t="s">
        <v>27</v>
      </c>
      <c r="B24">
        <f t="shared" si="0"/>
        <v>23</v>
      </c>
      <c r="C24" s="22">
        <v>9</v>
      </c>
      <c r="D24" s="22">
        <v>2020</v>
      </c>
      <c r="E24" s="24">
        <f>'09 - 2020'!B30-'09 - 2020'!B29</f>
        <v>0</v>
      </c>
      <c r="F24" s="24">
        <f>'09 - 2020'!C30-'09 - 2020'!C29</f>
        <v>0</v>
      </c>
      <c r="G24" s="22">
        <v>0.11799999999999999</v>
      </c>
      <c r="H24" s="24">
        <f>'09 - 2020'!E30-'09 - 2020'!E29</f>
        <v>0</v>
      </c>
      <c r="I24" s="24">
        <f>'09 - 2020'!F30-'09 - 2020'!F29</f>
        <v>0</v>
      </c>
      <c r="J24" s="24">
        <f>'09 - 2020'!G30-'09 - 2020'!G29</f>
        <v>0</v>
      </c>
      <c r="K24" s="22">
        <v>0.74</v>
      </c>
      <c r="L24" s="24">
        <v>0</v>
      </c>
      <c r="M24" s="13"/>
    </row>
    <row r="25" spans="1:13" x14ac:dyDescent="0.25">
      <c r="A25" t="s">
        <v>27</v>
      </c>
      <c r="B25">
        <f t="shared" si="0"/>
        <v>24</v>
      </c>
      <c r="C25" s="22">
        <v>9</v>
      </c>
      <c r="D25" s="22">
        <v>2020</v>
      </c>
      <c r="E25" s="24">
        <f>'09 - 2020'!B31-'09 - 2020'!B30</f>
        <v>0</v>
      </c>
      <c r="F25" s="24">
        <f>'09 - 2020'!C31-'09 - 2020'!C30</f>
        <v>0</v>
      </c>
      <c r="G25" s="22">
        <v>0.11799999999999999</v>
      </c>
      <c r="H25" s="24">
        <f>'09 - 2020'!E31-'09 - 2020'!E30</f>
        <v>0</v>
      </c>
      <c r="I25" s="24">
        <f>'09 - 2020'!F31-'09 - 2020'!F30</f>
        <v>0</v>
      </c>
      <c r="J25" s="24">
        <f>'09 - 2020'!G31-'09 - 2020'!G30</f>
        <v>0</v>
      </c>
      <c r="K25" s="22">
        <v>0.74</v>
      </c>
      <c r="L25" s="6">
        <v>0</v>
      </c>
      <c r="M25" s="13"/>
    </row>
    <row r="26" spans="1:13" x14ac:dyDescent="0.25">
      <c r="A26" t="s">
        <v>27</v>
      </c>
      <c r="B26">
        <f>B25+1</f>
        <v>25</v>
      </c>
      <c r="C26" s="22">
        <v>9</v>
      </c>
      <c r="D26" s="22">
        <v>2020</v>
      </c>
      <c r="E26" s="24">
        <f>'09 - 2020'!B32-'09 - 2020'!B31</f>
        <v>0</v>
      </c>
      <c r="F26" s="24">
        <f>'09 - 2020'!C32-'09 - 2020'!C31</f>
        <v>0</v>
      </c>
      <c r="G26" s="22">
        <v>0.11799999999999999</v>
      </c>
      <c r="H26" s="24">
        <f>'09 - 2020'!E32-'09 - 2020'!E31</f>
        <v>0</v>
      </c>
      <c r="I26" s="24">
        <f>'09 - 2020'!F32-'09 - 2020'!F31</f>
        <v>0</v>
      </c>
      <c r="J26" s="24">
        <f>'09 - 2020'!G32-'09 - 2020'!G31</f>
        <v>0</v>
      </c>
      <c r="K26" s="22">
        <v>0.74</v>
      </c>
      <c r="L26" s="6">
        <v>0</v>
      </c>
      <c r="M26" s="13"/>
    </row>
    <row r="27" spans="1:13" x14ac:dyDescent="0.25">
      <c r="A27" t="s">
        <v>27</v>
      </c>
      <c r="B27">
        <f t="shared" si="0"/>
        <v>26</v>
      </c>
      <c r="C27" s="22">
        <v>9</v>
      </c>
      <c r="D27" s="22">
        <v>2020</v>
      </c>
      <c r="E27" s="24">
        <f>'09 - 2020'!B33-'09 - 2020'!B32</f>
        <v>0</v>
      </c>
      <c r="F27" s="24">
        <f>'09 - 2020'!C33-'09 - 2020'!C32</f>
        <v>0</v>
      </c>
      <c r="G27" s="22">
        <v>0.11799999999999999</v>
      </c>
      <c r="H27" s="24">
        <f>'09 - 2020'!E33-'09 - 2020'!E32</f>
        <v>0</v>
      </c>
      <c r="I27" s="24">
        <f>'09 - 2020'!F33-'09 - 2020'!F32</f>
        <v>0</v>
      </c>
      <c r="J27" s="24">
        <f>'09 - 2020'!G33-'09 - 2020'!G32</f>
        <v>0</v>
      </c>
      <c r="K27" s="22">
        <v>0.74</v>
      </c>
      <c r="L27" s="24">
        <v>0</v>
      </c>
      <c r="M27" s="13"/>
    </row>
    <row r="28" spans="1:13" x14ac:dyDescent="0.25">
      <c r="A28" t="s">
        <v>27</v>
      </c>
      <c r="B28">
        <f t="shared" si="0"/>
        <v>27</v>
      </c>
      <c r="C28" s="22">
        <v>9</v>
      </c>
      <c r="D28" s="22">
        <v>2020</v>
      </c>
      <c r="E28" s="24">
        <f>'09 - 2020'!B34-'09 - 2020'!B33</f>
        <v>0</v>
      </c>
      <c r="F28" s="24">
        <f>'09 - 2020'!C34-'09 - 2020'!C33</f>
        <v>0</v>
      </c>
      <c r="G28" s="22">
        <v>0.11799999999999999</v>
      </c>
      <c r="H28" s="24">
        <f>'09 - 2020'!E34-'09 - 2020'!E33</f>
        <v>0</v>
      </c>
      <c r="I28" s="24">
        <f>'09 - 2020'!F34-'09 - 2020'!F33</f>
        <v>0</v>
      </c>
      <c r="J28" s="24">
        <f>'09 - 2020'!G34-'09 - 2020'!G33</f>
        <v>0</v>
      </c>
      <c r="K28" s="22">
        <v>0.74</v>
      </c>
      <c r="L28" s="6">
        <v>0</v>
      </c>
      <c r="M28" s="13"/>
    </row>
    <row r="29" spans="1:13" x14ac:dyDescent="0.25">
      <c r="A29" t="s">
        <v>27</v>
      </c>
      <c r="B29">
        <f t="shared" si="0"/>
        <v>28</v>
      </c>
      <c r="C29" s="22">
        <v>9</v>
      </c>
      <c r="D29" s="22">
        <v>2020</v>
      </c>
      <c r="E29" s="24">
        <f>'09 - 2020'!B35-'09 - 2020'!B34</f>
        <v>0</v>
      </c>
      <c r="F29" s="24">
        <f>'09 - 2020'!C35-'09 - 2020'!C34</f>
        <v>0</v>
      </c>
      <c r="G29" s="22">
        <v>0.11799999999999999</v>
      </c>
      <c r="H29" s="24">
        <f>'09 - 2020'!E35-'09 - 2020'!E34</f>
        <v>0</v>
      </c>
      <c r="I29" s="24">
        <f>'09 - 2020'!F35-'09 - 2020'!F34</f>
        <v>0</v>
      </c>
      <c r="J29" s="24">
        <f>'09 - 2020'!G35-'09 - 2020'!G34</f>
        <v>0</v>
      </c>
      <c r="K29" s="22">
        <v>0.74</v>
      </c>
      <c r="L29" s="6">
        <v>0</v>
      </c>
      <c r="M29" s="13"/>
    </row>
    <row r="30" spans="1:13" x14ac:dyDescent="0.25">
      <c r="A30" t="s">
        <v>27</v>
      </c>
      <c r="B30">
        <f t="shared" si="0"/>
        <v>29</v>
      </c>
      <c r="C30" s="22">
        <v>9</v>
      </c>
      <c r="D30" s="22">
        <v>2020</v>
      </c>
      <c r="E30" s="24">
        <f>'09 - 2020'!B36-'09 - 2020'!B35</f>
        <v>0</v>
      </c>
      <c r="F30" s="24">
        <f>'09 - 2020'!C36-'09 - 2020'!C35</f>
        <v>0</v>
      </c>
      <c r="G30" s="22">
        <v>0.11799999999999999</v>
      </c>
      <c r="H30" s="24">
        <f>'09 - 2020'!E36-'09 - 2020'!E35</f>
        <v>0</v>
      </c>
      <c r="I30" s="24">
        <f>'09 - 2020'!F36-'09 - 2020'!F35</f>
        <v>0</v>
      </c>
      <c r="J30" s="24">
        <f>'09 - 2020'!G36-'09 - 2020'!G35</f>
        <v>0</v>
      </c>
      <c r="K30" s="22">
        <v>0.74</v>
      </c>
      <c r="L30" s="6">
        <v>0</v>
      </c>
    </row>
    <row r="31" spans="1:13" x14ac:dyDescent="0.25">
      <c r="A31" s="22" t="s">
        <v>27</v>
      </c>
      <c r="B31" s="22">
        <v>30</v>
      </c>
      <c r="C31" s="22">
        <v>9</v>
      </c>
      <c r="D31" s="22">
        <v>2020</v>
      </c>
      <c r="E31" s="24">
        <f>'09 - 2020'!B37-'09 - 2020'!B36</f>
        <v>0</v>
      </c>
      <c r="F31" s="24">
        <f>'09 - 2020'!C37-'09 - 2020'!C36</f>
        <v>0</v>
      </c>
      <c r="G31" s="22">
        <v>0.11799999999999999</v>
      </c>
      <c r="H31" s="24">
        <f>'09 - 2020'!E37-'09 - 2020'!E36</f>
        <v>0</v>
      </c>
      <c r="I31" s="24">
        <f>'09 - 2020'!F37-'09 - 2020'!F36</f>
        <v>0</v>
      </c>
      <c r="J31" s="24">
        <f>'09 - 2020'!G37-'09 - 2020'!G36</f>
        <v>0</v>
      </c>
      <c r="K31" s="22">
        <v>0.74</v>
      </c>
      <c r="L31" s="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J28" sqref="J28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0" t="s">
        <v>30</v>
      </c>
      <c r="B3" s="70"/>
      <c r="C3" s="70"/>
      <c r="D3" s="70"/>
      <c r="E3" s="70"/>
      <c r="F3" s="70"/>
      <c r="G3" s="70"/>
      <c r="H3" s="70"/>
      <c r="I3" s="70"/>
      <c r="J3" s="70"/>
      <c r="K3" s="22"/>
      <c r="L3" s="22"/>
      <c r="M3" s="22"/>
    </row>
    <row r="4" spans="1:15" ht="16.5" thickBot="1" x14ac:dyDescent="0.3">
      <c r="A4" s="63" t="s">
        <v>37</v>
      </c>
      <c r="B4" s="63"/>
      <c r="C4" s="63"/>
      <c r="D4" s="63"/>
      <c r="E4" s="63"/>
      <c r="F4" s="63"/>
      <c r="G4" s="63"/>
      <c r="H4" s="63"/>
      <c r="I4" s="63"/>
      <c r="J4" s="63"/>
      <c r="K4" s="22"/>
      <c r="L4" s="22"/>
      <c r="M4" s="22"/>
    </row>
    <row r="5" spans="1:15" ht="16.5" thickBot="1" x14ac:dyDescent="0.3">
      <c r="A5" s="2"/>
      <c r="B5" s="64" t="s">
        <v>36</v>
      </c>
      <c r="C5" s="65"/>
      <c r="D5" s="64" t="s">
        <v>0</v>
      </c>
      <c r="E5" s="66"/>
      <c r="F5" s="66"/>
      <c r="G5" s="67"/>
      <c r="H5" s="68" t="s">
        <v>1</v>
      </c>
      <c r="I5" s="69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44074</v>
      </c>
      <c r="B7" s="15">
        <v>818063</v>
      </c>
      <c r="C7" s="15">
        <v>1274305</v>
      </c>
      <c r="D7" s="16">
        <v>0.32</v>
      </c>
      <c r="E7" s="17">
        <v>11739.61</v>
      </c>
      <c r="F7" s="17">
        <v>2319.7399999999998</v>
      </c>
      <c r="G7" s="17">
        <v>20932.46</v>
      </c>
      <c r="H7" s="15">
        <v>14528</v>
      </c>
      <c r="I7" s="15">
        <v>97129</v>
      </c>
      <c r="J7" s="15">
        <v>41159898</v>
      </c>
      <c r="K7" s="52"/>
      <c r="L7" s="53"/>
      <c r="M7" s="46"/>
    </row>
    <row r="8" spans="1:15" ht="12.75" customHeight="1" x14ac:dyDescent="0.25">
      <c r="A8" s="45">
        <v>44075</v>
      </c>
      <c r="B8" s="34">
        <v>820619</v>
      </c>
      <c r="C8" s="35">
        <v>1279053</v>
      </c>
      <c r="D8" s="36">
        <v>0.25</v>
      </c>
      <c r="E8" s="37">
        <v>11756</v>
      </c>
      <c r="F8" s="37">
        <v>2324</v>
      </c>
      <c r="G8" s="37">
        <v>20958</v>
      </c>
      <c r="H8" s="38">
        <v>14528</v>
      </c>
      <c r="I8" s="38">
        <v>97176</v>
      </c>
      <c r="J8" s="38">
        <v>41184199</v>
      </c>
      <c r="K8" s="39">
        <v>3850</v>
      </c>
      <c r="L8" s="40"/>
      <c r="M8" s="46"/>
    </row>
    <row r="9" spans="1:15" ht="12.75" customHeight="1" x14ac:dyDescent="0.25">
      <c r="A9" s="45">
        <v>44076</v>
      </c>
      <c r="B9" s="25">
        <v>823495</v>
      </c>
      <c r="C9" s="19">
        <v>1284319</v>
      </c>
      <c r="D9" s="36">
        <v>0.75</v>
      </c>
      <c r="E9" s="21">
        <v>11776</v>
      </c>
      <c r="F9" s="21">
        <v>2328</v>
      </c>
      <c r="G9" s="21">
        <v>20985</v>
      </c>
      <c r="H9" s="19">
        <v>14528</v>
      </c>
      <c r="I9" s="15">
        <v>97238</v>
      </c>
      <c r="J9" s="15">
        <v>41212270</v>
      </c>
      <c r="K9" s="18"/>
      <c r="L9" s="30"/>
      <c r="M9" s="46"/>
    </row>
    <row r="10" spans="1:15" ht="12.75" customHeight="1" x14ac:dyDescent="0.25">
      <c r="A10" s="45">
        <v>44077</v>
      </c>
      <c r="B10" s="15">
        <v>826456</v>
      </c>
      <c r="C10" s="15">
        <v>1289789</v>
      </c>
      <c r="D10" s="16">
        <v>0.7</v>
      </c>
      <c r="E10" s="21">
        <v>11797</v>
      </c>
      <c r="F10" s="21">
        <v>2333</v>
      </c>
      <c r="G10" s="21">
        <v>21012</v>
      </c>
      <c r="H10" s="19">
        <v>14528</v>
      </c>
      <c r="I10" s="15">
        <v>97296</v>
      </c>
      <c r="J10" s="61">
        <v>41243680</v>
      </c>
      <c r="K10" s="18"/>
      <c r="L10" s="30"/>
      <c r="M10" s="46"/>
    </row>
    <row r="11" spans="1:15" ht="12.75" customHeight="1" x14ac:dyDescent="0.25">
      <c r="A11" s="45">
        <v>44078</v>
      </c>
      <c r="B11" s="15">
        <v>829335</v>
      </c>
      <c r="C11" s="15">
        <v>1295476</v>
      </c>
      <c r="D11" s="16">
        <v>0.65</v>
      </c>
      <c r="E11" s="21">
        <v>11819</v>
      </c>
      <c r="F11" s="21">
        <v>2338</v>
      </c>
      <c r="G11" s="21">
        <v>21041</v>
      </c>
      <c r="H11" s="19">
        <v>14528</v>
      </c>
      <c r="I11" s="15">
        <v>97362</v>
      </c>
      <c r="J11" s="15">
        <v>41274726</v>
      </c>
      <c r="K11" s="18"/>
      <c r="L11" s="30"/>
      <c r="M11" s="46"/>
    </row>
    <row r="12" spans="1:15" ht="12.75" customHeight="1" x14ac:dyDescent="0.25">
      <c r="A12" s="45">
        <v>44079</v>
      </c>
      <c r="B12" s="15">
        <v>832251</v>
      </c>
      <c r="C12" s="15">
        <v>1301037</v>
      </c>
      <c r="D12" s="16">
        <v>0.59</v>
      </c>
      <c r="E12" s="21">
        <v>11840</v>
      </c>
      <c r="F12" s="21">
        <v>2343</v>
      </c>
      <c r="G12" s="21">
        <v>21070</v>
      </c>
      <c r="H12" s="15">
        <v>14528</v>
      </c>
      <c r="I12" s="15">
        <v>97429</v>
      </c>
      <c r="J12" s="15">
        <v>41306203</v>
      </c>
      <c r="K12" s="18"/>
      <c r="L12" s="30"/>
      <c r="M12" s="46"/>
    </row>
    <row r="13" spans="1:15" ht="12.75" customHeight="1" x14ac:dyDescent="0.25">
      <c r="A13" s="45">
        <v>44080</v>
      </c>
      <c r="B13" s="15">
        <v>835034</v>
      </c>
      <c r="C13" s="15">
        <v>1306552</v>
      </c>
      <c r="D13" s="16">
        <v>0.53</v>
      </c>
      <c r="E13" s="21">
        <v>11861</v>
      </c>
      <c r="F13" s="21">
        <v>2343</v>
      </c>
      <c r="G13" s="21">
        <v>21100</v>
      </c>
      <c r="H13" s="15">
        <v>14528</v>
      </c>
      <c r="I13" s="17">
        <v>97491</v>
      </c>
      <c r="J13" s="17">
        <v>41335869</v>
      </c>
      <c r="K13" s="18"/>
      <c r="L13" s="30"/>
      <c r="M13" s="46"/>
    </row>
    <row r="14" spans="1:15" ht="12.75" customHeight="1" x14ac:dyDescent="0.25">
      <c r="A14" s="45">
        <v>44081</v>
      </c>
      <c r="B14" s="15">
        <v>837884</v>
      </c>
      <c r="C14" s="15">
        <v>1312075</v>
      </c>
      <c r="D14" s="16">
        <v>0.48</v>
      </c>
      <c r="E14" s="21">
        <v>11884</v>
      </c>
      <c r="F14" s="21">
        <v>2348</v>
      </c>
      <c r="G14" s="17">
        <v>21128</v>
      </c>
      <c r="H14" s="15">
        <v>14528</v>
      </c>
      <c r="I14" s="15">
        <v>97534</v>
      </c>
      <c r="J14" s="15">
        <v>41368477</v>
      </c>
      <c r="K14" s="25"/>
      <c r="L14" s="30"/>
      <c r="M14" s="46"/>
      <c r="O14" s="24"/>
    </row>
    <row r="15" spans="1:15" ht="12.75" customHeight="1" x14ac:dyDescent="0.25">
      <c r="A15" s="45">
        <v>44082</v>
      </c>
      <c r="B15" s="19">
        <v>840659</v>
      </c>
      <c r="C15" s="15">
        <v>1317612</v>
      </c>
      <c r="D15" s="16">
        <v>0.4</v>
      </c>
      <c r="E15" s="21">
        <v>11906.16</v>
      </c>
      <c r="F15" s="21">
        <v>2353.1799999999998</v>
      </c>
      <c r="G15" s="17">
        <v>21154.69</v>
      </c>
      <c r="H15" s="15">
        <v>14528</v>
      </c>
      <c r="I15" s="15">
        <v>97593</v>
      </c>
      <c r="J15" s="15">
        <v>41404362</v>
      </c>
      <c r="K15" s="18"/>
      <c r="L15" s="30"/>
      <c r="M15" s="46"/>
      <c r="O15" s="24"/>
    </row>
    <row r="16" spans="1:15" ht="12.75" customHeight="1" x14ac:dyDescent="0.25">
      <c r="A16" s="45">
        <v>44083</v>
      </c>
      <c r="B16" s="46">
        <v>843548</v>
      </c>
      <c r="C16" s="15">
        <v>1323317</v>
      </c>
      <c r="D16" s="16">
        <v>0.35</v>
      </c>
      <c r="E16" s="21">
        <v>11924</v>
      </c>
      <c r="F16" s="21">
        <v>2358</v>
      </c>
      <c r="G16" s="17">
        <v>21181</v>
      </c>
      <c r="H16" s="15">
        <v>14528</v>
      </c>
      <c r="I16" s="15">
        <v>97659</v>
      </c>
      <c r="J16" s="15">
        <v>41442647</v>
      </c>
      <c r="K16" s="18"/>
      <c r="L16" s="30"/>
      <c r="M16" s="46"/>
    </row>
    <row r="17" spans="1:16" ht="12.75" customHeight="1" x14ac:dyDescent="0.25">
      <c r="A17" s="45">
        <v>44084</v>
      </c>
      <c r="B17" s="17"/>
      <c r="C17" s="17"/>
      <c r="D17" s="26"/>
      <c r="E17" s="21"/>
      <c r="F17" s="21"/>
      <c r="G17" s="17"/>
      <c r="H17" s="15"/>
      <c r="I17" s="17"/>
      <c r="J17" s="17"/>
      <c r="K17" s="18"/>
      <c r="L17" s="30"/>
      <c r="M17" s="46"/>
    </row>
    <row r="18" spans="1:16" ht="12.75" customHeight="1" x14ac:dyDescent="0.25">
      <c r="A18" s="45">
        <v>44085</v>
      </c>
      <c r="B18" s="15"/>
      <c r="C18" s="15"/>
      <c r="D18" s="16"/>
      <c r="E18" s="21"/>
      <c r="F18" s="21"/>
      <c r="G18" s="17"/>
      <c r="H18" s="15"/>
      <c r="I18" s="15"/>
      <c r="J18" s="15"/>
      <c r="K18" s="18"/>
      <c r="L18" s="30"/>
      <c r="M18" s="46"/>
      <c r="P18" s="24"/>
    </row>
    <row r="19" spans="1:16" ht="12.75" customHeight="1" x14ac:dyDescent="0.25">
      <c r="A19" s="45">
        <v>44086</v>
      </c>
      <c r="B19" s="57"/>
      <c r="C19" s="57"/>
      <c r="D19" s="16"/>
      <c r="E19" s="58"/>
      <c r="F19" s="21"/>
      <c r="G19" s="58"/>
      <c r="H19" s="15"/>
      <c r="I19" s="57"/>
      <c r="J19" s="57"/>
      <c r="K19" s="18"/>
      <c r="L19" s="30"/>
      <c r="M19" s="46"/>
      <c r="P19" s="24"/>
    </row>
    <row r="20" spans="1:16" ht="12.75" customHeight="1" x14ac:dyDescent="0.25">
      <c r="A20" s="45">
        <v>44087</v>
      </c>
      <c r="B20" s="57"/>
      <c r="C20" s="57"/>
      <c r="D20" s="16"/>
      <c r="E20" s="58"/>
      <c r="F20" s="21"/>
      <c r="G20" s="58"/>
      <c r="H20" s="15"/>
      <c r="I20" s="57"/>
      <c r="J20" s="57"/>
      <c r="K20" s="18"/>
      <c r="L20" s="30"/>
      <c r="M20" s="46"/>
    </row>
    <row r="21" spans="1:16" ht="12.75" customHeight="1" x14ac:dyDescent="0.25">
      <c r="A21" s="45">
        <v>44088</v>
      </c>
      <c r="B21" s="57"/>
      <c r="C21" s="57"/>
      <c r="D21" s="16"/>
      <c r="E21" s="58"/>
      <c r="F21" s="21"/>
      <c r="G21" s="58"/>
      <c r="H21" s="15"/>
      <c r="I21" s="57"/>
      <c r="J21" s="57"/>
      <c r="K21" s="18"/>
      <c r="L21" s="30"/>
      <c r="M21" s="46"/>
    </row>
    <row r="22" spans="1:16" ht="12.75" customHeight="1" x14ac:dyDescent="0.25">
      <c r="A22" s="45">
        <v>44089</v>
      </c>
      <c r="B22" s="57"/>
      <c r="C22" s="57"/>
      <c r="D22" s="16"/>
      <c r="E22" s="58"/>
      <c r="F22" s="21"/>
      <c r="G22" s="58"/>
      <c r="H22" s="15"/>
      <c r="I22" s="58"/>
      <c r="J22" s="57"/>
      <c r="K22" s="25"/>
      <c r="L22" s="30"/>
      <c r="M22" s="46"/>
    </row>
    <row r="23" spans="1:16" ht="12.75" customHeight="1" x14ac:dyDescent="0.25">
      <c r="A23" s="45">
        <v>44090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v>44091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v>44092</v>
      </c>
      <c r="B25" s="58"/>
      <c r="C25" s="58"/>
      <c r="D25" s="26"/>
      <c r="E25" s="58"/>
      <c r="F25" s="21"/>
      <c r="G25" s="58"/>
      <c r="H25" s="15"/>
      <c r="I25" s="57"/>
      <c r="J25" s="57"/>
      <c r="K25" s="25"/>
      <c r="L25" s="31"/>
      <c r="M25" s="46"/>
    </row>
    <row r="26" spans="1:16" ht="12.75" customHeight="1" x14ac:dyDescent="0.25">
      <c r="A26" s="45">
        <v>44093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v>44094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v>44095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v>44096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v>44097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v>44098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v>44099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v>44100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44101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44102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v>44103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v>44104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7" t="s">
        <v>35</v>
      </c>
      <c r="B38" s="33">
        <f>B37-B7</f>
        <v>-818063</v>
      </c>
      <c r="C38" s="33">
        <f>C37-C7</f>
        <v>-1274305</v>
      </c>
      <c r="D38" s="33"/>
      <c r="E38" s="33">
        <f t="shared" ref="E38:K38" si="0">E37-E7</f>
        <v>-11739.61</v>
      </c>
      <c r="F38" s="33">
        <f t="shared" si="0"/>
        <v>-2319.7399999999998</v>
      </c>
      <c r="G38" s="33">
        <f t="shared" si="0"/>
        <v>-20932.46</v>
      </c>
      <c r="H38" s="33">
        <f t="shared" si="0"/>
        <v>-14528</v>
      </c>
      <c r="I38" s="33">
        <f t="shared" si="0"/>
        <v>-97129</v>
      </c>
      <c r="J38" s="33">
        <f t="shared" si="0"/>
        <v>-41159898</v>
      </c>
      <c r="K38" s="33">
        <f t="shared" si="0"/>
        <v>0</v>
      </c>
      <c r="M38" s="46"/>
    </row>
    <row r="39" spans="1:16" x14ac:dyDescent="0.25">
      <c r="A39" s="22"/>
      <c r="B39" s="22"/>
      <c r="C39" s="33"/>
      <c r="D39" s="22"/>
      <c r="E39" s="24"/>
      <c r="F39" s="24"/>
      <c r="G39" s="24"/>
      <c r="H39" s="20">
        <f>H38*219.969</f>
        <v>-3195709.6319999998</v>
      </c>
      <c r="I39" s="33">
        <f>I38*219.969</f>
        <v>-21365369.000999998</v>
      </c>
      <c r="J39" s="24"/>
      <c r="K39" s="22"/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-702957052.04140794</v>
      </c>
      <c r="I40" s="33">
        <f>I39*219.969</f>
        <v>-4699718853.7809687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09 - 2020</vt:lpstr>
      <vt:lpstr>'09 - 2020'!Print_Area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2020-09-09T04:18:38Z</dcterms:modified>
</cp:coreProperties>
</file>