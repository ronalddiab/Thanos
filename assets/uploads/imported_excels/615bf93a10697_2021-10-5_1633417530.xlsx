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40" documentId="13_ncr:1_{76C55D63-F869-4AF5-AAA3-3D809A91432B}" xr6:coauthVersionLast="47" xr6:coauthVersionMax="47" xr10:uidLastSave="{F09CA82F-C295-4B18-BF63-1D84B74252CC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7" l="1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G26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<sst xmlns="http://schemas.openxmlformats.org/spreadsheetml/2006/main" count="72" uniqueCount="33">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</sst>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13630</v>
      </c>
      <c r="H4" s="98">
        <v>0.58489999999999998</v>
      </c>
      <c r="I4" s="11">
        <f>IF('Water, Gas, Diesel'!C9&lt;0,0,'Water, Gas, Diesel'!C9)</f>
        <v>2300</v>
      </c>
      <c r="J4" s="98">
        <v>0.1694</v>
      </c>
      <c r="K4" s="11">
        <f>IF('Water, Gas, Diesel'!F9&lt;0,0,'Water, Gas, Diesel'!F9)</f>
        <v>0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0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0</v>
      </c>
      <c r="J5" s="98">
        <v>0.1694</v>
      </c>
      <c r="K5" s="11">
        <f>IF('Water, Gas, Diesel'!F10&lt;0,0,'Water, Gas, Diesel'!F10)</f>
        <v>0</v>
      </c>
      <c r="L5" s="98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0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0</v>
      </c>
      <c r="J6" s="98">
        <v>0.1694</v>
      </c>
      <c r="K6" s="11">
        <f>IF('Water, Gas, Diesel'!F11&lt;0,0,'Water, Gas, Diesel'!F11)</f>
        <v>0</v>
      </c>
      <c r="L6" s="98">
        <v>1.6949000000000001</v>
      </c>
      <c r="M6" s="11">
        <f>Electricity!H12</f>
        <v>0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0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0</v>
      </c>
      <c r="J7" s="98">
        <v>0.1694</v>
      </c>
      <c r="K7" s="11">
        <f>IF('Water, Gas, Diesel'!F12&lt;0,0,'Water, Gas, Diesel'!F12)</f>
        <v>0</v>
      </c>
      <c r="L7" s="98">
        <v>1.6949000000000001</v>
      </c>
      <c r="M7" s="11">
        <f>Electricity!H13</f>
        <v>0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0</v>
      </c>
      <c r="F8" s="14">
        <v>0.08</v>
      </c>
      <c r="G8" s="11">
        <f>IF('Water, Gas, Diesel'!K13&lt;0,0,'Water, Gas, Diesel'!K13)</f>
        <v>0</v>
      </c>
      <c r="H8" s="98">
        <v>0.58489999999999998</v>
      </c>
      <c r="I8" s="11">
        <f>IF('Water, Gas, Diesel'!C13&lt;0,0,'Water, Gas, Diesel'!C13)</f>
        <v>0</v>
      </c>
      <c r="J8" s="98">
        <v>0.1694</v>
      </c>
      <c r="K8" s="11">
        <f>IF('Water, Gas, Diesel'!F13&lt;0,0,'Water, Gas, Diesel'!F13)</f>
        <v>0</v>
      </c>
      <c r="L8" s="98">
        <v>1.6949000000000001</v>
      </c>
      <c r="M8" s="11">
        <f>Electricity!H14</f>
        <v>0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0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0</v>
      </c>
      <c r="J9" s="98">
        <v>0.1694</v>
      </c>
      <c r="K9" s="11">
        <f>IF('Water, Gas, Diesel'!F14&lt;0,0,'Water, Gas, Diesel'!F14)</f>
        <v>0</v>
      </c>
      <c r="L9" s="98">
        <v>1.6949000000000001</v>
      </c>
      <c r="M9" s="11">
        <f>Electricity!H15</f>
        <v>0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0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0</v>
      </c>
      <c r="J10" s="98">
        <v>0.1694</v>
      </c>
      <c r="K10" s="11">
        <f>IF('Water, Gas, Diesel'!F15&lt;0,0,'Water, Gas, Diesel'!F15)</f>
        <v>0</v>
      </c>
      <c r="L10" s="98">
        <v>1.6949000000000001</v>
      </c>
      <c r="M10" s="11">
        <f>Electricity!H16</f>
        <v>0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0</v>
      </c>
      <c r="J11" s="98">
        <v>0.1694</v>
      </c>
      <c r="K11" s="11">
        <f>IF('Water, Gas, Diesel'!F16&lt;0,0,'Water, Gas, Diesel'!F16)</f>
        <v>0</v>
      </c>
      <c r="L11" s="98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98">
        <v>0.58489999999999998</v>
      </c>
      <c r="I12" s="11">
        <f>IF('Water, Gas, Diesel'!C17&lt;0,0,'Water, Gas, Diesel'!C17)</f>
        <v>0</v>
      </c>
      <c r="J12" s="98">
        <v>0.1694</v>
      </c>
      <c r="K12" s="11">
        <f>IF('Water, Gas, Diesel'!F17&lt;0,0,'Water, Gas, Diesel'!F17)</f>
        <v>0</v>
      </c>
      <c r="L12" s="98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98">
        <v>0.58489999999999998</v>
      </c>
      <c r="I13" s="11">
        <f>IF('Water, Gas, Diesel'!C18&lt;0,0,'Water, Gas, Diesel'!C18)</f>
        <v>0</v>
      </c>
      <c r="J13" s="98">
        <v>0.1694</v>
      </c>
      <c r="K13" s="11">
        <f>IF('Water, Gas, Diesel'!F18&lt;0,0,'Water, Gas, Diesel'!F18)</f>
        <v>0</v>
      </c>
      <c r="L13" s="98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0</v>
      </c>
      <c r="J14" s="98">
        <v>0.1694</v>
      </c>
      <c r="K14" s="11">
        <f>IF('Water, Gas, Diesel'!F19&lt;0,0,'Water, Gas, Diesel'!F19)</f>
        <v>0</v>
      </c>
      <c r="L14" s="98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0</v>
      </c>
      <c r="J15" s="98">
        <v>0.1694</v>
      </c>
      <c r="K15" s="11">
        <f>IF('Water, Gas, Diesel'!F20&lt;0,0,'Water, Gas, Diesel'!F20)</f>
        <v>0</v>
      </c>
      <c r="L15" s="98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0</v>
      </c>
      <c r="J16" s="98">
        <v>0.1694</v>
      </c>
      <c r="K16" s="11">
        <f>IF('Water, Gas, Diesel'!F21&lt;0,0,'Water, Gas, Diesel'!F21)</f>
        <v>0</v>
      </c>
      <c r="L16" s="98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0</v>
      </c>
      <c r="J17" s="98">
        <v>0.1694</v>
      </c>
      <c r="K17" s="11">
        <f>IF('Water, Gas, Diesel'!F22&lt;0,0,'Water, Gas, Diesel'!F22)</f>
        <v>0</v>
      </c>
      <c r="L17" s="98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0</v>
      </c>
      <c r="J18" s="98">
        <v>0.1694</v>
      </c>
      <c r="K18" s="11">
        <f>IF('Water, Gas, Diesel'!F23&lt;0,0,'Water, Gas, Diesel'!F23)</f>
        <v>0</v>
      </c>
      <c r="L18" s="98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0</v>
      </c>
      <c r="J19" s="98">
        <v>0.1694</v>
      </c>
      <c r="K19" s="11">
        <f>IF('Water, Gas, Diesel'!F24&lt;0,0,'Water, Gas, Diesel'!F24)</f>
        <v>0</v>
      </c>
      <c r="L19" s="98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8">
        <v>0.58489999999999998</v>
      </c>
      <c r="I20" s="11">
        <f>IF('Water, Gas, Diesel'!C25&lt;0,0,'Water, Gas, Diesel'!C25)</f>
        <v>0</v>
      </c>
      <c r="J20" s="98">
        <v>0.1694</v>
      </c>
      <c r="K20" s="11">
        <f>IF('Water, Gas, Diesel'!F25&lt;0,0,'Water, Gas, Diesel'!F25)</f>
        <v>0</v>
      </c>
      <c r="L20" s="98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0</v>
      </c>
      <c r="J21" s="98">
        <v>0.1694</v>
      </c>
      <c r="K21" s="11">
        <f>IF('Water, Gas, Diesel'!F26&lt;0,0,'Water, Gas, Diesel'!F26)</f>
        <v>0</v>
      </c>
      <c r="L21" s="98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8">
        <v>0.58489999999999998</v>
      </c>
      <c r="I22" s="11">
        <f>IF('Water, Gas, Diesel'!C27&lt;0,0,'Water, Gas, Diesel'!C27)</f>
        <v>0</v>
      </c>
      <c r="J22" s="98">
        <v>0.1694</v>
      </c>
      <c r="K22" s="11">
        <f>IF('Water, Gas, Diesel'!F27&lt;0,0,'Water, Gas, Diesel'!F27)</f>
        <v>0</v>
      </c>
      <c r="L22" s="98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0</v>
      </c>
      <c r="J23" s="98">
        <v>0.1694</v>
      </c>
      <c r="K23" s="11">
        <f>IF('Water, Gas, Diesel'!F28&lt;0,0,'Water, Gas, Diesel'!F28)</f>
        <v>0</v>
      </c>
      <c r="L23" s="98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0</v>
      </c>
      <c r="J24" s="98">
        <v>0.1694</v>
      </c>
      <c r="K24" s="11">
        <f>IF('Water, Gas, Diesel'!F29&lt;0,0,'Water, Gas, Diesel'!F29)</f>
        <v>0</v>
      </c>
      <c r="L24" s="98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0</v>
      </c>
      <c r="J25" s="98">
        <v>0.1694</v>
      </c>
      <c r="K25" s="11">
        <f>IF('Water, Gas, Diesel'!F30&lt;0,0,'Water, Gas, Diesel'!F30)</f>
        <v>0</v>
      </c>
      <c r="L25" s="98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8">
        <v>0.58489999999999998</v>
      </c>
      <c r="I26" s="11">
        <f>IF('Water, Gas, Diesel'!C31&lt;0,0,'Water, Gas, Diesel'!C31)</f>
        <v>0</v>
      </c>
      <c r="J26" s="98">
        <v>0.1694</v>
      </c>
      <c r="K26" s="11">
        <f>IF('Water, Gas, Diesel'!F31&lt;0,0,'Water, Gas, Diesel'!F31)</f>
        <v>0</v>
      </c>
      <c r="L26" s="9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K12" sqref="K12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9">
        <v>51416.46</v>
      </c>
      <c r="C1" s="130"/>
      <c r="D1" s="130"/>
      <c r="E1" s="130"/>
      <c r="F1" s="130"/>
      <c r="G1" s="130"/>
      <c r="H1" s="131"/>
    </row>
    <row r="2" spans="1:8" ht="15.75" customHeight="1">
      <c r="A2" s="134" t="s">
        <v>15</v>
      </c>
      <c r="B2" s="137" t="s">
        <v>16</v>
      </c>
      <c r="C2" s="138"/>
      <c r="D2" s="138"/>
      <c r="E2" s="139"/>
      <c r="F2" s="140" t="s">
        <v>17</v>
      </c>
      <c r="G2" s="132" t="s">
        <v>18</v>
      </c>
      <c r="H2" s="132" t="s">
        <v>19</v>
      </c>
    </row>
    <row r="3" spans="1:8">
      <c r="A3" s="135"/>
      <c r="B3" s="142" t="s">
        <v>20</v>
      </c>
      <c r="C3" s="143"/>
      <c r="D3" s="142" t="s">
        <v>21</v>
      </c>
      <c r="E3" s="143"/>
      <c r="F3" s="140"/>
      <c r="G3" s="132"/>
      <c r="H3" s="132"/>
    </row>
    <row r="4" spans="1:8">
      <c r="A4" s="135"/>
      <c r="B4" s="144"/>
      <c r="C4" s="145"/>
      <c r="D4" s="144"/>
      <c r="E4" s="145"/>
      <c r="F4" s="140"/>
      <c r="G4" s="132"/>
      <c r="H4" s="132"/>
    </row>
    <row r="5" spans="1:8" ht="15.75" thickBot="1">
      <c r="A5" s="136"/>
      <c r="B5" s="17" t="s">
        <v>22</v>
      </c>
      <c r="C5" s="74" t="s">
        <v>23</v>
      </c>
      <c r="D5" s="75" t="s">
        <v>22</v>
      </c>
      <c r="E5" s="74" t="s">
        <v>23</v>
      </c>
      <c r="F5" s="141"/>
      <c r="G5" s="133"/>
      <c r="H5" s="133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8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-36140567.5</v>
      </c>
      <c r="D11" s="90">
        <v>14659.733</v>
      </c>
      <c r="E11" s="41">
        <f t="shared" si="1"/>
        <v>-36649332.5</v>
      </c>
      <c r="F11" s="49">
        <f t="shared" si="2"/>
        <v>-72789900</v>
      </c>
      <c r="G11" s="87">
        <f t="shared" si="3"/>
        <v>-5823192</v>
      </c>
      <c r="H11" s="87">
        <v>54</v>
      </c>
    </row>
    <row r="12" spans="1:8" ht="30.95" customHeight="1">
      <c r="A12" s="42">
        <v>5</v>
      </c>
      <c r="B12" s="91"/>
      <c r="C12" s="84">
        <f t="shared" si="0"/>
        <v>0</v>
      </c>
      <c r="D12" s="88"/>
      <c r="E12" s="84">
        <f t="shared" si="1"/>
        <v>0</v>
      </c>
      <c r="F12" s="53">
        <f t="shared" si="2"/>
        <v>0</v>
      </c>
      <c r="G12" s="87">
        <f t="shared" si="3"/>
        <v>0</v>
      </c>
      <c r="H12" s="87"/>
    </row>
    <row r="13" spans="1:8" ht="30.95" customHeight="1">
      <c r="A13" s="47">
        <v>6</v>
      </c>
      <c r="B13" s="89"/>
      <c r="C13" s="41">
        <f t="shared" si="0"/>
        <v>0</v>
      </c>
      <c r="D13" s="90"/>
      <c r="E13" s="41">
        <f t="shared" si="1"/>
        <v>0</v>
      </c>
      <c r="F13" s="49">
        <f t="shared" si="2"/>
        <v>0</v>
      </c>
      <c r="G13" s="87">
        <f t="shared" si="3"/>
        <v>0</v>
      </c>
      <c r="H13" s="87"/>
    </row>
    <row r="14" spans="1:8" ht="30.95" customHeight="1">
      <c r="A14" s="42">
        <v>7</v>
      </c>
      <c r="B14" s="91"/>
      <c r="C14" s="84">
        <f t="shared" si="0"/>
        <v>0</v>
      </c>
      <c r="D14" s="92"/>
      <c r="E14" s="84">
        <f t="shared" si="1"/>
        <v>0</v>
      </c>
      <c r="F14" s="53">
        <f t="shared" si="2"/>
        <v>0</v>
      </c>
      <c r="G14" s="87">
        <f t="shared" si="3"/>
        <v>0</v>
      </c>
      <c r="H14" s="87"/>
    </row>
    <row r="15" spans="1:8" ht="30.95" customHeight="1">
      <c r="A15" s="47">
        <v>8</v>
      </c>
      <c r="B15" s="89"/>
      <c r="C15" s="41">
        <f t="shared" si="0"/>
        <v>0</v>
      </c>
      <c r="D15" s="93"/>
      <c r="E15" s="41">
        <f t="shared" si="1"/>
        <v>0</v>
      </c>
      <c r="F15" s="49">
        <f t="shared" si="2"/>
        <v>0</v>
      </c>
      <c r="G15" s="87">
        <f t="shared" si="3"/>
        <v>0</v>
      </c>
      <c r="H15" s="87"/>
    </row>
    <row r="16" spans="1:8" ht="30.95" customHeight="1">
      <c r="A16" s="42">
        <v>9</v>
      </c>
      <c r="B16" s="94"/>
      <c r="C16" s="84">
        <f t="shared" si="0"/>
        <v>0</v>
      </c>
      <c r="D16" s="95"/>
      <c r="E16" s="84">
        <f t="shared" si="1"/>
        <v>0</v>
      </c>
      <c r="F16" s="53">
        <f t="shared" si="2"/>
        <v>0</v>
      </c>
      <c r="G16" s="87">
        <f t="shared" si="3"/>
        <v>0</v>
      </c>
      <c r="H16" s="87"/>
    </row>
    <row r="17" spans="1:8" ht="30.95" customHeight="1">
      <c r="A17" s="47">
        <v>10</v>
      </c>
      <c r="B17" s="91"/>
      <c r="C17" s="41">
        <f t="shared" si="0"/>
        <v>0</v>
      </c>
      <c r="D17" s="92"/>
      <c r="E17" s="41">
        <f t="shared" si="1"/>
        <v>0</v>
      </c>
      <c r="F17" s="49">
        <f t="shared" si="2"/>
        <v>0</v>
      </c>
      <c r="G17" s="87">
        <f t="shared" si="3"/>
        <v>0</v>
      </c>
      <c r="H17" s="87"/>
    </row>
    <row r="18" spans="1:8" ht="30.95" customHeight="1">
      <c r="A18" s="42">
        <v>11</v>
      </c>
      <c r="B18" s="89"/>
      <c r="C18" s="84">
        <f t="shared" si="0"/>
        <v>0</v>
      </c>
      <c r="D18" s="93"/>
      <c r="E18" s="84">
        <f t="shared" si="1"/>
        <v>0</v>
      </c>
      <c r="F18" s="53">
        <f t="shared" si="2"/>
        <v>0</v>
      </c>
      <c r="G18" s="87">
        <f t="shared" si="3"/>
        <v>0</v>
      </c>
      <c r="H18" s="87"/>
    </row>
    <row r="19" spans="1:8" ht="30.95" customHeight="1">
      <c r="A19" s="47">
        <v>12</v>
      </c>
      <c r="B19" s="91"/>
      <c r="C19" s="41">
        <f t="shared" si="0"/>
        <v>0</v>
      </c>
      <c r="D19" s="92"/>
      <c r="E19" s="41">
        <f t="shared" si="1"/>
        <v>0</v>
      </c>
      <c r="F19" s="49">
        <f t="shared" si="2"/>
        <v>0</v>
      </c>
      <c r="G19" s="87">
        <f t="shared" si="3"/>
        <v>0</v>
      </c>
      <c r="H19" s="87"/>
    </row>
    <row r="20" spans="1:8" ht="30.95" customHeight="1">
      <c r="A20" s="42">
        <v>13</v>
      </c>
      <c r="B20" s="89"/>
      <c r="C20" s="84">
        <f t="shared" si="0"/>
        <v>0</v>
      </c>
      <c r="D20" s="96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89"/>
      <c r="C21" s="41">
        <f t="shared" si="0"/>
        <v>0</v>
      </c>
      <c r="D21" s="93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89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0"/>
      <c r="C23" s="41">
        <f t="shared" si="0"/>
        <v>0</v>
      </c>
      <c r="D23" s="101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2"/>
      <c r="C24" s="84">
        <f t="shared" si="0"/>
        <v>0</v>
      </c>
      <c r="D24" s="92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89"/>
      <c r="C25" s="41">
        <f>(B26-B25)*2500</f>
        <v>0</v>
      </c>
      <c r="D25" s="93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1"/>
      <c r="C26" s="84">
        <f t="shared" ref="C26:C38" si="4">(B27-B26)*2500</f>
        <v>0</v>
      </c>
      <c r="D26" s="92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89"/>
      <c r="C27" s="41">
        <f t="shared" si="4"/>
        <v>0</v>
      </c>
      <c r="D27" s="96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1"/>
      <c r="C28" s="84">
        <f t="shared" si="4"/>
        <v>0</v>
      </c>
      <c r="D28" s="92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89"/>
      <c r="C29" s="41">
        <f t="shared" si="4"/>
        <v>0</v>
      </c>
      <c r="D29" s="93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1"/>
      <c r="C30" s="84">
        <f t="shared" si="4"/>
        <v>0</v>
      </c>
      <c r="D30" s="92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89"/>
      <c r="C31" s="41">
        <f t="shared" si="4"/>
        <v>0</v>
      </c>
      <c r="D31" s="93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1"/>
      <c r="C32" s="84">
        <f t="shared" si="4"/>
        <v>0</v>
      </c>
      <c r="D32" s="92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89"/>
      <c r="C33" s="41">
        <f t="shared" si="4"/>
        <v>0</v>
      </c>
      <c r="D33" s="93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1">
        <v>30</v>
      </c>
      <c r="B37" s="112"/>
      <c r="C37" s="113">
        <f t="shared" si="4"/>
        <v>0</v>
      </c>
      <c r="D37" s="114"/>
      <c r="E37" s="113">
        <f t="shared" si="5"/>
        <v>0</v>
      </c>
      <c r="F37" s="115">
        <f t="shared" si="2"/>
        <v>0</v>
      </c>
      <c r="G37" s="116">
        <f t="shared" si="3"/>
        <v>0</v>
      </c>
      <c r="H37" s="116"/>
    </row>
    <row r="38" spans="1:8" ht="30.95" customHeight="1">
      <c r="A38" s="105">
        <v>31</v>
      </c>
      <c r="B38" s="105"/>
      <c r="C38" s="117">
        <f t="shared" si="4"/>
        <v>0</v>
      </c>
      <c r="D38" s="118"/>
      <c r="E38" s="117">
        <f t="shared" si="5"/>
        <v>0</v>
      </c>
      <c r="F38" s="119">
        <f t="shared" si="2"/>
        <v>0</v>
      </c>
      <c r="G38" s="110">
        <f t="shared" si="3"/>
        <v>0</v>
      </c>
      <c r="H38" s="110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9" activePane="bottomLeft" state="frozen"/>
      <selection pane="bottomLeft" activeCell="C10" sqref="C10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6" t="s">
        <v>14</v>
      </c>
      <c r="B1" s="142" t="s">
        <v>24</v>
      </c>
      <c r="C1" s="149"/>
      <c r="D1" s="143"/>
      <c r="E1" s="142" t="s">
        <v>25</v>
      </c>
      <c r="F1" s="149"/>
      <c r="G1" s="149"/>
      <c r="H1" s="149"/>
      <c r="I1" s="143"/>
      <c r="J1" s="142" t="s">
        <v>26</v>
      </c>
      <c r="K1" s="149"/>
      <c r="L1" s="143"/>
    </row>
    <row r="2" spans="1:12">
      <c r="A2" s="147"/>
      <c r="B2" s="150"/>
      <c r="C2" s="151"/>
      <c r="D2" s="152"/>
      <c r="E2" s="144"/>
      <c r="F2" s="153"/>
      <c r="G2" s="153"/>
      <c r="H2" s="153"/>
      <c r="I2" s="145"/>
      <c r="J2" s="144"/>
      <c r="K2" s="153"/>
      <c r="L2" s="145"/>
    </row>
    <row r="3" spans="1:12" ht="27" customHeight="1">
      <c r="A3" s="148"/>
      <c r="B3" s="154">
        <v>9815.74</v>
      </c>
      <c r="C3" s="155"/>
      <c r="D3" s="156"/>
      <c r="E3" s="154">
        <v>8313.39</v>
      </c>
      <c r="F3" s="155"/>
      <c r="G3" s="155"/>
      <c r="H3" s="155"/>
      <c r="I3" s="156"/>
      <c r="J3" s="154">
        <v>7224.83</v>
      </c>
      <c r="K3" s="155"/>
      <c r="L3" s="156"/>
    </row>
    <row r="4" spans="1:12" ht="59.25" customHeight="1">
      <c r="A4" s="110" t="s">
        <v>15</v>
      </c>
      <c r="B4" s="17" t="s">
        <v>22</v>
      </c>
      <c r="C4" s="18" t="s">
        <v>27</v>
      </c>
      <c r="D4" s="19" t="s">
        <v>28</v>
      </c>
      <c r="E4" s="107" t="s">
        <v>22</v>
      </c>
      <c r="F4" s="20" t="s">
        <v>23</v>
      </c>
      <c r="G4" s="21" t="s">
        <v>29</v>
      </c>
      <c r="H4" s="21" t="s">
        <v>30</v>
      </c>
      <c r="I4" s="106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8">
        <v>31</v>
      </c>
      <c r="B6" s="108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9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8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-488347</v>
      </c>
      <c r="G9" s="45">
        <f t="shared" si="5"/>
        <v>-413854.54862000002</v>
      </c>
      <c r="H9" s="45">
        <f t="shared" si="6"/>
        <v>-413854.54862000002</v>
      </c>
      <c r="I9" s="51">
        <f t="shared" si="2"/>
        <v>-827709.09724000003</v>
      </c>
      <c r="J9" s="52">
        <f>7060+6570</f>
        <v>13630</v>
      </c>
      <c r="K9" s="40">
        <f t="shared" si="3"/>
        <v>13630</v>
      </c>
      <c r="L9" s="41">
        <f>K9*0.59</f>
        <v>8041.7</v>
      </c>
    </row>
    <row r="10" spans="1:12" ht="32.450000000000003" customHeight="1">
      <c r="A10" s="47">
        <v>4</v>
      </c>
      <c r="B10" s="47">
        <v>6138440</v>
      </c>
      <c r="C10" s="57">
        <f t="shared" si="0"/>
        <v>-6138440</v>
      </c>
      <c r="D10" s="48">
        <f t="shared" si="7"/>
        <v>-1040413.5874132001</v>
      </c>
      <c r="E10" s="49"/>
      <c r="F10" s="58">
        <f t="shared" si="1"/>
        <v>0</v>
      </c>
      <c r="G10" s="50">
        <f t="shared" si="5"/>
        <v>0</v>
      </c>
      <c r="H10" s="50">
        <f t="shared" si="6"/>
        <v>0</v>
      </c>
      <c r="I10" s="51">
        <f t="shared" si="2"/>
        <v>0</v>
      </c>
      <c r="J10" s="52"/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/>
      <c r="C11" s="55">
        <f t="shared" si="0"/>
        <v>0</v>
      </c>
      <c r="D11" s="48">
        <f t="shared" si="7"/>
        <v>0</v>
      </c>
      <c r="E11" s="49"/>
      <c r="F11" s="56">
        <f t="shared" si="1"/>
        <v>0</v>
      </c>
      <c r="G11" s="45">
        <f t="shared" si="5"/>
        <v>0</v>
      </c>
      <c r="H11" s="45">
        <f t="shared" si="6"/>
        <v>0</v>
      </c>
      <c r="I11" s="51">
        <f t="shared" si="2"/>
        <v>0</v>
      </c>
      <c r="J11" s="52"/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/>
      <c r="C12" s="57">
        <f t="shared" si="0"/>
        <v>0</v>
      </c>
      <c r="D12" s="48">
        <f t="shared" si="7"/>
        <v>0</v>
      </c>
      <c r="E12" s="49"/>
      <c r="F12" s="58">
        <f t="shared" si="1"/>
        <v>0</v>
      </c>
      <c r="G12" s="50">
        <f t="shared" si="5"/>
        <v>0</v>
      </c>
      <c r="H12" s="50">
        <f t="shared" si="6"/>
        <v>0</v>
      </c>
      <c r="I12" s="51">
        <f t="shared" si="2"/>
        <v>0</v>
      </c>
      <c r="J12" s="52"/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/>
      <c r="C13" s="55">
        <f t="shared" si="0"/>
        <v>0</v>
      </c>
      <c r="D13" s="48">
        <f t="shared" si="7"/>
        <v>0</v>
      </c>
      <c r="E13" s="49"/>
      <c r="F13" s="56">
        <f t="shared" si="1"/>
        <v>0</v>
      </c>
      <c r="G13" s="45">
        <f t="shared" si="5"/>
        <v>0</v>
      </c>
      <c r="H13" s="45">
        <f t="shared" si="6"/>
        <v>0</v>
      </c>
      <c r="I13" s="51">
        <f t="shared" si="2"/>
        <v>0</v>
      </c>
      <c r="J13" s="52"/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/>
      <c r="C14" s="57">
        <f t="shared" si="0"/>
        <v>0</v>
      </c>
      <c r="D14" s="48">
        <f t="shared" si="7"/>
        <v>0</v>
      </c>
      <c r="E14" s="49"/>
      <c r="F14" s="58">
        <f t="shared" si="1"/>
        <v>0</v>
      </c>
      <c r="G14" s="50">
        <f t="shared" si="5"/>
        <v>0</v>
      </c>
      <c r="H14" s="50">
        <f t="shared" si="6"/>
        <v>0</v>
      </c>
      <c r="I14" s="51">
        <f t="shared" si="2"/>
        <v>0</v>
      </c>
      <c r="J14" s="52"/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/>
      <c r="C15" s="55">
        <f t="shared" si="0"/>
        <v>0</v>
      </c>
      <c r="D15" s="48">
        <f t="shared" si="7"/>
        <v>0</v>
      </c>
      <c r="E15" s="49"/>
      <c r="F15" s="56">
        <f t="shared" si="1"/>
        <v>0</v>
      </c>
      <c r="G15" s="50">
        <f t="shared" si="5"/>
        <v>0</v>
      </c>
      <c r="H15" s="45">
        <f t="shared" si="6"/>
        <v>0</v>
      </c>
      <c r="I15" s="51">
        <f t="shared" si="2"/>
        <v>0</v>
      </c>
      <c r="J15" s="52"/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/>
      <c r="C16" s="57">
        <f t="shared" si="0"/>
        <v>0</v>
      </c>
      <c r="D16" s="48">
        <f t="shared" si="7"/>
        <v>0</v>
      </c>
      <c r="E16" s="49"/>
      <c r="F16" s="58">
        <f t="shared" si="1"/>
        <v>0</v>
      </c>
      <c r="G16" s="50">
        <f t="shared" si="5"/>
        <v>0</v>
      </c>
      <c r="H16" s="50">
        <f t="shared" si="6"/>
        <v>0</v>
      </c>
      <c r="I16" s="51">
        <f t="shared" si="2"/>
        <v>0</v>
      </c>
      <c r="J16" s="52"/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/>
      <c r="C17" s="55">
        <f>B18-B17</f>
        <v>0</v>
      </c>
      <c r="D17" s="48">
        <f t="shared" si="7"/>
        <v>0</v>
      </c>
      <c r="E17" s="49"/>
      <c r="F17" s="56">
        <f>E18-E17</f>
        <v>0</v>
      </c>
      <c r="G17" s="45">
        <f t="shared" si="5"/>
        <v>0</v>
      </c>
      <c r="H17" s="45">
        <f t="shared" si="6"/>
        <v>0</v>
      </c>
      <c r="I17" s="51">
        <f t="shared" si="2"/>
        <v>0</v>
      </c>
      <c r="J17" s="52"/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/>
      <c r="C18" s="57">
        <f t="shared" ref="C18:C36" si="8">B19-B18</f>
        <v>0</v>
      </c>
      <c r="D18" s="48">
        <f t="shared" si="7"/>
        <v>0</v>
      </c>
      <c r="E18" s="49"/>
      <c r="F18" s="58">
        <f t="shared" ref="F18:F36" si="9">E19-E18</f>
        <v>0</v>
      </c>
      <c r="G18" s="50">
        <f t="shared" si="5"/>
        <v>0</v>
      </c>
      <c r="H18" s="50">
        <f t="shared" si="6"/>
        <v>0</v>
      </c>
      <c r="I18" s="51">
        <f t="shared" si="2"/>
        <v>0</v>
      </c>
      <c r="J18" s="52"/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/>
      <c r="C22" s="57">
        <f t="shared" si="8"/>
        <v>0</v>
      </c>
      <c r="D22" s="48">
        <f t="shared" si="7"/>
        <v>0</v>
      </c>
      <c r="E22" s="103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4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0">
        <v>31</v>
      </c>
      <c r="B37" s="120"/>
      <c r="C37" s="121">
        <f t="shared" ref="C37" si="10">B38-B37</f>
        <v>0</v>
      </c>
      <c r="D37" s="122">
        <f t="shared" ref="D37" si="11">C37*0.16949153</f>
        <v>0</v>
      </c>
      <c r="E37" s="123"/>
      <c r="F37" s="121">
        <f t="shared" ref="F37" si="12">E38-E37</f>
        <v>0</v>
      </c>
      <c r="G37" s="124">
        <f t="shared" ref="G37" si="13">F37*0.84746</f>
        <v>0</v>
      </c>
      <c r="H37" s="124">
        <f t="shared" ref="H37" si="14">F37*0.84746</f>
        <v>0</v>
      </c>
      <c r="I37" s="125">
        <f t="shared" ref="I37" si="15">G37+H37</f>
        <v>0</v>
      </c>
      <c r="J37" s="126"/>
      <c r="K37" s="127">
        <f t="shared" ref="K37" si="16">J37-J38</f>
        <v>0</v>
      </c>
      <c r="L37" s="128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2021-10-05T07:04:09Z</dcterms:modified>
  <cp:category/>
  <cp:contentStatus/>
</cp:coreProperties>
</file>