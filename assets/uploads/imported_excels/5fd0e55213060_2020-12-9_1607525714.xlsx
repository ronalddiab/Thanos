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Daily\"/>
    </mc:Choice>
  </mc:AlternateContent>
  <bookViews>
    <workbookView xWindow="0" yWindow="0" windowWidth="28800" windowHeight="12435"/>
  </bookViews>
  <sheets>
    <sheet name="TOTAL" sheetId="8" r:id="rId1"/>
    <sheet name="FSH" sheetId="1" r:id="rId2"/>
    <sheet name="FSP" sheetId="6" r:id="rId3"/>
    <sheet name="Electricity" sheetId="3" r:id="rId4"/>
    <sheet name="Water" sheetId="4" r:id="rId5"/>
    <sheet name="Gas" sheetId="5" r:id="rId6"/>
    <sheet name="Submetering EL" sheetId="2" r:id="rId7"/>
    <sheet name="Submetering Water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2" i="8"/>
  <c r="AK38" i="3" l="1"/>
  <c r="E32" i="1" s="1"/>
  <c r="E32" i="8" s="1"/>
  <c r="AL38" i="3"/>
  <c r="E2" i="6"/>
  <c r="G32" i="1"/>
  <c r="I32" i="1"/>
  <c r="I32" i="8"/>
  <c r="I3" i="8" l="1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2" i="8"/>
  <c r="BF39" i="5" l="1"/>
  <c r="BD39" i="5"/>
  <c r="BB39" i="5"/>
  <c r="AZ39" i="5"/>
  <c r="AX39" i="5"/>
  <c r="AV39" i="5"/>
  <c r="AT39" i="5"/>
  <c r="AR39" i="5"/>
  <c r="AP39" i="5"/>
  <c r="AN39" i="5"/>
  <c r="AL39" i="5"/>
  <c r="AJ39" i="5"/>
  <c r="AH39" i="5"/>
  <c r="AF39" i="5"/>
  <c r="AD39" i="5"/>
  <c r="AB39" i="5"/>
  <c r="Z39" i="5"/>
  <c r="X39" i="5"/>
  <c r="V39" i="5"/>
  <c r="T39" i="5"/>
  <c r="R39" i="5"/>
  <c r="P39" i="5"/>
  <c r="N39" i="5"/>
  <c r="L39" i="5"/>
  <c r="J39" i="5"/>
  <c r="H39" i="5"/>
  <c r="D39" i="5"/>
  <c r="BF8" i="5"/>
  <c r="BD8" i="5"/>
  <c r="BB8" i="5"/>
  <c r="AZ8" i="5"/>
  <c r="AX8" i="5"/>
  <c r="AV8" i="5"/>
  <c r="AT8" i="5"/>
  <c r="AR8" i="5"/>
  <c r="AP8" i="5"/>
  <c r="AN8" i="5"/>
  <c r="AL8" i="5"/>
  <c r="AJ8" i="5"/>
  <c r="AH8" i="5"/>
  <c r="AF8" i="5"/>
  <c r="AD8" i="5"/>
  <c r="AB8" i="5"/>
  <c r="Z8" i="5"/>
  <c r="X8" i="5"/>
  <c r="V8" i="5"/>
  <c r="T8" i="5"/>
  <c r="R8" i="5"/>
  <c r="P8" i="5"/>
  <c r="N8" i="5"/>
  <c r="L8" i="5"/>
  <c r="J8" i="5"/>
  <c r="H8" i="5"/>
  <c r="D8" i="5"/>
  <c r="F8" i="5" s="1"/>
  <c r="BI8" i="5" s="1"/>
  <c r="F36" i="4"/>
  <c r="H36" i="4"/>
  <c r="L36" i="4"/>
  <c r="P36" i="4"/>
  <c r="P37" i="4"/>
  <c r="J36" i="4"/>
  <c r="D36" i="4"/>
  <c r="R36" i="4" s="1"/>
  <c r="P6" i="4"/>
  <c r="L6" i="4"/>
  <c r="J6" i="4"/>
  <c r="H6" i="4"/>
  <c r="F6" i="4"/>
  <c r="D6" i="4"/>
  <c r="R6" i="4" s="1"/>
  <c r="N6" i="4" l="1"/>
  <c r="S6" i="4" s="1"/>
  <c r="M6" i="4"/>
  <c r="M36" i="4"/>
  <c r="N36" i="4"/>
  <c r="F39" i="5"/>
  <c r="E39" i="5"/>
  <c r="BI39" i="5"/>
  <c r="BH39" i="5"/>
  <c r="E8" i="5"/>
  <c r="BH8" i="5" s="1"/>
  <c r="S36" i="4"/>
  <c r="AI7" i="3" l="1"/>
  <c r="AG7" i="3"/>
  <c r="AE7" i="3"/>
  <c r="AC7" i="3"/>
  <c r="AA7" i="3"/>
  <c r="X7" i="3"/>
  <c r="Y7" i="3" s="1"/>
  <c r="U7" i="3"/>
  <c r="V7" i="3" s="1"/>
  <c r="R7" i="3"/>
  <c r="S7" i="3" s="1"/>
  <c r="O7" i="3"/>
  <c r="P7" i="3" s="1"/>
  <c r="AL7" i="3" s="1"/>
  <c r="M7" i="3"/>
  <c r="K7" i="3"/>
  <c r="H7" i="3"/>
  <c r="I7" i="3" s="1"/>
  <c r="F7" i="3"/>
  <c r="D7" i="3"/>
  <c r="AK7" i="3" s="1"/>
  <c r="D37" i="3" l="1"/>
  <c r="D36" i="3"/>
  <c r="D35" i="3"/>
  <c r="D34" i="3"/>
  <c r="D33" i="3"/>
  <c r="D32" i="3"/>
  <c r="D31" i="3"/>
  <c r="D30" i="3"/>
  <c r="D29" i="3"/>
  <c r="D28" i="3"/>
  <c r="D27" i="3"/>
  <c r="D26" i="3"/>
  <c r="D25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H37" i="3"/>
  <c r="I37" i="3" s="1"/>
  <c r="H36" i="3"/>
  <c r="I36" i="3" s="1"/>
  <c r="H35" i="3"/>
  <c r="I35" i="3" s="1"/>
  <c r="H34" i="3"/>
  <c r="I34" i="3" s="1"/>
  <c r="H33" i="3"/>
  <c r="I33" i="3" s="1"/>
  <c r="H32" i="3"/>
  <c r="I32" i="3" s="1"/>
  <c r="H31" i="3"/>
  <c r="I31" i="3" s="1"/>
  <c r="H30" i="3"/>
  <c r="I30" i="3" s="1"/>
  <c r="H29" i="3"/>
  <c r="I29" i="3" s="1"/>
  <c r="H28" i="3"/>
  <c r="I28" i="3" s="1"/>
  <c r="H27" i="3"/>
  <c r="I27" i="3" s="1"/>
  <c r="H26" i="3"/>
  <c r="I26" i="3" s="1"/>
  <c r="H25" i="3"/>
  <c r="I25" i="3" s="1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O37" i="3"/>
  <c r="P37" i="3" s="1"/>
  <c r="O36" i="3"/>
  <c r="P36" i="3" s="1"/>
  <c r="O35" i="3"/>
  <c r="P35" i="3" s="1"/>
  <c r="O34" i="3"/>
  <c r="P34" i="3" s="1"/>
  <c r="O33" i="3"/>
  <c r="P33" i="3" s="1"/>
  <c r="O32" i="3"/>
  <c r="P32" i="3" s="1"/>
  <c r="O31" i="3"/>
  <c r="P31" i="3" s="1"/>
  <c r="O30" i="3"/>
  <c r="P30" i="3" s="1"/>
  <c r="O29" i="3"/>
  <c r="P29" i="3" s="1"/>
  <c r="O28" i="3"/>
  <c r="P28" i="3" s="1"/>
  <c r="O27" i="3"/>
  <c r="P27" i="3" s="1"/>
  <c r="O26" i="3"/>
  <c r="P26" i="3" s="1"/>
  <c r="O25" i="3"/>
  <c r="P25" i="3" s="1"/>
  <c r="R37" i="3"/>
  <c r="S37" i="3" s="1"/>
  <c r="R36" i="3"/>
  <c r="S36" i="3" s="1"/>
  <c r="R35" i="3"/>
  <c r="S35" i="3" s="1"/>
  <c r="R34" i="3"/>
  <c r="S34" i="3" s="1"/>
  <c r="R33" i="3"/>
  <c r="S33" i="3" s="1"/>
  <c r="R32" i="3"/>
  <c r="S32" i="3" s="1"/>
  <c r="R31" i="3"/>
  <c r="S31" i="3" s="1"/>
  <c r="R30" i="3"/>
  <c r="S30" i="3" s="1"/>
  <c r="R29" i="3"/>
  <c r="S29" i="3" s="1"/>
  <c r="R28" i="3"/>
  <c r="S28" i="3" s="1"/>
  <c r="R27" i="3"/>
  <c r="S27" i="3" s="1"/>
  <c r="R26" i="3"/>
  <c r="S26" i="3" s="1"/>
  <c r="R25" i="3"/>
  <c r="S25" i="3" s="1"/>
  <c r="U37" i="3"/>
  <c r="V37" i="3" s="1"/>
  <c r="U36" i="3"/>
  <c r="V36" i="3" s="1"/>
  <c r="U35" i="3"/>
  <c r="V35" i="3" s="1"/>
  <c r="U34" i="3"/>
  <c r="V34" i="3" s="1"/>
  <c r="U33" i="3"/>
  <c r="V33" i="3" s="1"/>
  <c r="U32" i="3"/>
  <c r="V32" i="3" s="1"/>
  <c r="U31" i="3"/>
  <c r="V31" i="3" s="1"/>
  <c r="U30" i="3"/>
  <c r="V30" i="3" s="1"/>
  <c r="U29" i="3"/>
  <c r="V29" i="3" s="1"/>
  <c r="U28" i="3"/>
  <c r="V28" i="3" s="1"/>
  <c r="U27" i="3"/>
  <c r="V27" i="3" s="1"/>
  <c r="U26" i="3"/>
  <c r="V26" i="3" s="1"/>
  <c r="U25" i="3"/>
  <c r="V25" i="3" s="1"/>
  <c r="X37" i="3"/>
  <c r="Y37" i="3" s="1"/>
  <c r="X36" i="3"/>
  <c r="Y36" i="3" s="1"/>
  <c r="X35" i="3"/>
  <c r="Y35" i="3" s="1"/>
  <c r="X34" i="3"/>
  <c r="Y34" i="3" s="1"/>
  <c r="X33" i="3"/>
  <c r="Y33" i="3" s="1"/>
  <c r="X32" i="3"/>
  <c r="Y32" i="3" s="1"/>
  <c r="X31" i="3"/>
  <c r="Y31" i="3" s="1"/>
  <c r="X30" i="3"/>
  <c r="Y30" i="3" s="1"/>
  <c r="X29" i="3"/>
  <c r="Y29" i="3" s="1"/>
  <c r="X28" i="3"/>
  <c r="Y28" i="3" s="1"/>
  <c r="X27" i="3"/>
  <c r="Y27" i="3" s="1"/>
  <c r="X26" i="3"/>
  <c r="Y26" i="3" s="1"/>
  <c r="X25" i="3"/>
  <c r="Y25" i="3" s="1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I37" i="3"/>
  <c r="AI36" i="3"/>
  <c r="AI35" i="3"/>
  <c r="AI34" i="3"/>
  <c r="AI33" i="3"/>
  <c r="AI32" i="3"/>
  <c r="AI31" i="3"/>
  <c r="AI30" i="3"/>
  <c r="AI29" i="3"/>
  <c r="AI28" i="3"/>
  <c r="AI27" i="3"/>
  <c r="AI26" i="3"/>
  <c r="AI25" i="3"/>
  <c r="AK25" i="3" l="1"/>
  <c r="AK29" i="3"/>
  <c r="AK33" i="3"/>
  <c r="AK37" i="3"/>
  <c r="AK27" i="3"/>
  <c r="AK31" i="3"/>
  <c r="AK26" i="3"/>
  <c r="AK32" i="3"/>
  <c r="AL37" i="3"/>
  <c r="AK34" i="3"/>
  <c r="AL27" i="3"/>
  <c r="AK30" i="3"/>
  <c r="AK35" i="3"/>
  <c r="AL31" i="3"/>
  <c r="AK36" i="3"/>
  <c r="AL28" i="3"/>
  <c r="AK28" i="3"/>
  <c r="AL25" i="3"/>
  <c r="AL33" i="3"/>
  <c r="AL29" i="3"/>
  <c r="AL35" i="3"/>
  <c r="AL26" i="3"/>
  <c r="AL32" i="3"/>
  <c r="AL36" i="3"/>
  <c r="AL30" i="3"/>
  <c r="AL34" i="3"/>
  <c r="J37" i="4" l="1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H37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P35" i="4"/>
  <c r="P34" i="4"/>
  <c r="P33" i="4"/>
  <c r="P32" i="4"/>
  <c r="P31" i="4"/>
  <c r="P30" i="4"/>
  <c r="P29" i="4"/>
  <c r="P28" i="4"/>
  <c r="P27" i="4"/>
  <c r="P26" i="4"/>
  <c r="P25" i="4"/>
  <c r="P24" i="4"/>
  <c r="L37" i="4"/>
  <c r="L35" i="4"/>
  <c r="M35" i="4" s="1"/>
  <c r="L34" i="4"/>
  <c r="N34" i="4" s="1"/>
  <c r="S34" i="4" s="1"/>
  <c r="I29" i="6" s="1"/>
  <c r="L33" i="4"/>
  <c r="M33" i="4" s="1"/>
  <c r="L32" i="4"/>
  <c r="N32" i="4" s="1"/>
  <c r="S32" i="4" s="1"/>
  <c r="I27" i="6" s="1"/>
  <c r="L31" i="4"/>
  <c r="M31" i="4" s="1"/>
  <c r="L30" i="4"/>
  <c r="M30" i="4" s="1"/>
  <c r="L29" i="4"/>
  <c r="M29" i="4" s="1"/>
  <c r="L28" i="4"/>
  <c r="N28" i="4" s="1"/>
  <c r="L27" i="4"/>
  <c r="M27" i="4" s="1"/>
  <c r="L26" i="4"/>
  <c r="N26" i="4" s="1"/>
  <c r="S26" i="4" s="1"/>
  <c r="I21" i="6" s="1"/>
  <c r="L25" i="4"/>
  <c r="M25" i="4" s="1"/>
  <c r="L24" i="4"/>
  <c r="N24" i="4" s="1"/>
  <c r="S24" i="4" s="1"/>
  <c r="I19" i="6" s="1"/>
  <c r="F37" i="4"/>
  <c r="F35" i="4"/>
  <c r="F34" i="4"/>
  <c r="F33" i="4"/>
  <c r="F32" i="4"/>
  <c r="F31" i="4"/>
  <c r="F30" i="4"/>
  <c r="F29" i="4"/>
  <c r="F28" i="4"/>
  <c r="F27" i="4"/>
  <c r="F26" i="4"/>
  <c r="F25" i="4"/>
  <c r="F24" i="4"/>
  <c r="D37" i="4"/>
  <c r="D35" i="4"/>
  <c r="D34" i="4"/>
  <c r="R34" i="4" s="1"/>
  <c r="I29" i="1" s="1"/>
  <c r="D33" i="4"/>
  <c r="R33" i="4" s="1"/>
  <c r="I28" i="1" s="1"/>
  <c r="D32" i="4"/>
  <c r="D31" i="4"/>
  <c r="D30" i="4"/>
  <c r="D29" i="4"/>
  <c r="R29" i="4" s="1"/>
  <c r="I24" i="1" s="1"/>
  <c r="D28" i="4"/>
  <c r="D27" i="4"/>
  <c r="D26" i="4"/>
  <c r="D25" i="4"/>
  <c r="R25" i="4" s="1"/>
  <c r="I20" i="1" s="1"/>
  <c r="D24" i="4"/>
  <c r="N33" i="4"/>
  <c r="M32" i="4"/>
  <c r="N29" i="4"/>
  <c r="N25" i="4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V14" i="5"/>
  <c r="BF38" i="5"/>
  <c r="BF37" i="5"/>
  <c r="BF36" i="5"/>
  <c r="BF35" i="5"/>
  <c r="BF34" i="5"/>
  <c r="BF33" i="5"/>
  <c r="BF32" i="5"/>
  <c r="BF31" i="5"/>
  <c r="BF30" i="5"/>
  <c r="BF29" i="5"/>
  <c r="BF28" i="5"/>
  <c r="BF27" i="5"/>
  <c r="BF26" i="5"/>
  <c r="BF25" i="5"/>
  <c r="BF24" i="5"/>
  <c r="BF23" i="5"/>
  <c r="BF22" i="5"/>
  <c r="BF21" i="5"/>
  <c r="BF20" i="5"/>
  <c r="BF19" i="5"/>
  <c r="BF18" i="5"/>
  <c r="BF17" i="5"/>
  <c r="BF16" i="5"/>
  <c r="BF15" i="5"/>
  <c r="BF14" i="5"/>
  <c r="BF13" i="5"/>
  <c r="BF12" i="5"/>
  <c r="BF11" i="5"/>
  <c r="BF10" i="5"/>
  <c r="BF9" i="5"/>
  <c r="BD38" i="5"/>
  <c r="BD37" i="5"/>
  <c r="BD36" i="5"/>
  <c r="BD35" i="5"/>
  <c r="BD34" i="5"/>
  <c r="BD33" i="5"/>
  <c r="BD32" i="5"/>
  <c r="BD31" i="5"/>
  <c r="BD30" i="5"/>
  <c r="BD29" i="5"/>
  <c r="BD28" i="5"/>
  <c r="BD27" i="5"/>
  <c r="BD26" i="5"/>
  <c r="BD25" i="5"/>
  <c r="BD24" i="5"/>
  <c r="BD23" i="5"/>
  <c r="BD22" i="5"/>
  <c r="BD21" i="5"/>
  <c r="BD20" i="5"/>
  <c r="BD19" i="5"/>
  <c r="BD18" i="5"/>
  <c r="BD17" i="5"/>
  <c r="BD16" i="5"/>
  <c r="BD15" i="5"/>
  <c r="BD14" i="5"/>
  <c r="BD13" i="5"/>
  <c r="BD12" i="5"/>
  <c r="BD11" i="5"/>
  <c r="BD10" i="5"/>
  <c r="BD9" i="5"/>
  <c r="BB38" i="5"/>
  <c r="BB37" i="5"/>
  <c r="BB36" i="5"/>
  <c r="BB35" i="5"/>
  <c r="BB34" i="5"/>
  <c r="BB33" i="5"/>
  <c r="BB32" i="5"/>
  <c r="BB31" i="5"/>
  <c r="BB30" i="5"/>
  <c r="BB29" i="5"/>
  <c r="BB28" i="5"/>
  <c r="BB27" i="5"/>
  <c r="BB26" i="5"/>
  <c r="BB25" i="5"/>
  <c r="BB24" i="5"/>
  <c r="BB23" i="5"/>
  <c r="BB22" i="5"/>
  <c r="BB21" i="5"/>
  <c r="BB20" i="5"/>
  <c r="BB19" i="5"/>
  <c r="BB18" i="5"/>
  <c r="BB17" i="5"/>
  <c r="BB16" i="5"/>
  <c r="BB15" i="5"/>
  <c r="BB14" i="5"/>
  <c r="BB13" i="5"/>
  <c r="BB12" i="5"/>
  <c r="BB11" i="5"/>
  <c r="BB10" i="5"/>
  <c r="BB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AZ10" i="5"/>
  <c r="AZ9" i="5"/>
  <c r="AJ38" i="5"/>
  <c r="AJ37" i="5"/>
  <c r="AJ36" i="5"/>
  <c r="AJ35" i="5"/>
  <c r="AJ34" i="5"/>
  <c r="AJ33" i="5"/>
  <c r="AJ32" i="5"/>
  <c r="AJ31" i="5"/>
  <c r="AJ30" i="5"/>
  <c r="AJ29" i="5"/>
  <c r="AJ28" i="5"/>
  <c r="AJ27" i="5"/>
  <c r="AJ26" i="5"/>
  <c r="AJ25" i="5"/>
  <c r="AJ24" i="5"/>
  <c r="AJ23" i="5"/>
  <c r="AJ22" i="5"/>
  <c r="AJ21" i="5"/>
  <c r="AJ20" i="5"/>
  <c r="AJ19" i="5"/>
  <c r="AJ18" i="5"/>
  <c r="AJ17" i="5"/>
  <c r="AJ16" i="5"/>
  <c r="AJ15" i="5"/>
  <c r="AJ14" i="5"/>
  <c r="AJ13" i="5"/>
  <c r="AJ12" i="5"/>
  <c r="AJ11" i="5"/>
  <c r="AJ10" i="5"/>
  <c r="AJ9" i="5"/>
  <c r="AL38" i="5"/>
  <c r="AL37" i="5"/>
  <c r="AL36" i="5"/>
  <c r="AL35" i="5"/>
  <c r="AL34" i="5"/>
  <c r="AL33" i="5"/>
  <c r="AL32" i="5"/>
  <c r="AL31" i="5"/>
  <c r="AL30" i="5"/>
  <c r="AL29" i="5"/>
  <c r="AL28" i="5"/>
  <c r="AL27" i="5"/>
  <c r="AL26" i="5"/>
  <c r="AL25" i="5"/>
  <c r="AL24" i="5"/>
  <c r="AL23" i="5"/>
  <c r="AL22" i="5"/>
  <c r="AL21" i="5"/>
  <c r="AL20" i="5"/>
  <c r="AL19" i="5"/>
  <c r="AL18" i="5"/>
  <c r="AL17" i="5"/>
  <c r="AL16" i="5"/>
  <c r="AL15" i="5"/>
  <c r="AL14" i="5"/>
  <c r="AL13" i="5"/>
  <c r="AL12" i="5"/>
  <c r="AL11" i="5"/>
  <c r="AL10" i="5"/>
  <c r="AL9" i="5"/>
  <c r="AH38" i="5"/>
  <c r="AH37" i="5"/>
  <c r="AH36" i="5"/>
  <c r="AH35" i="5"/>
  <c r="AH34" i="5"/>
  <c r="AH33" i="5"/>
  <c r="AH32" i="5"/>
  <c r="AH31" i="5"/>
  <c r="AH30" i="5"/>
  <c r="AH29" i="5"/>
  <c r="AH28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15" i="5"/>
  <c r="AR14" i="5"/>
  <c r="AR13" i="5"/>
  <c r="AR12" i="5"/>
  <c r="AR11" i="5"/>
  <c r="AR10" i="5"/>
  <c r="AR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D38" i="5"/>
  <c r="F38" i="5" s="1"/>
  <c r="D37" i="5"/>
  <c r="E37" i="5" s="1"/>
  <c r="D36" i="5"/>
  <c r="F36" i="5" s="1"/>
  <c r="D35" i="5"/>
  <c r="F35" i="5" s="1"/>
  <c r="D34" i="5"/>
  <c r="F34" i="5" s="1"/>
  <c r="D33" i="5"/>
  <c r="E33" i="5" s="1"/>
  <c r="D32" i="5"/>
  <c r="F32" i="5" s="1"/>
  <c r="D31" i="5"/>
  <c r="F31" i="5" s="1"/>
  <c r="D30" i="5"/>
  <c r="F30" i="5" s="1"/>
  <c r="D29" i="5"/>
  <c r="E29" i="5" s="1"/>
  <c r="D28" i="5"/>
  <c r="F28" i="5" s="1"/>
  <c r="D27" i="5"/>
  <c r="F27" i="5" s="1"/>
  <c r="D26" i="5"/>
  <c r="F26" i="5" s="1"/>
  <c r="D25" i="5"/>
  <c r="F25" i="5" s="1"/>
  <c r="D24" i="5"/>
  <c r="F24" i="5" s="1"/>
  <c r="D23" i="5"/>
  <c r="F23" i="5" s="1"/>
  <c r="D22" i="5"/>
  <c r="F22" i="5" s="1"/>
  <c r="D21" i="5"/>
  <c r="F21" i="5" s="1"/>
  <c r="D20" i="5"/>
  <c r="F20" i="5" s="1"/>
  <c r="D19" i="5"/>
  <c r="F19" i="5" s="1"/>
  <c r="D18" i="5"/>
  <c r="F18" i="5" s="1"/>
  <c r="D17" i="5"/>
  <c r="F17" i="5" s="1"/>
  <c r="D16" i="5"/>
  <c r="F16" i="5" s="1"/>
  <c r="D15" i="5"/>
  <c r="F15" i="5" s="1"/>
  <c r="D14" i="5"/>
  <c r="F14" i="5" s="1"/>
  <c r="D13" i="5"/>
  <c r="F13" i="5" s="1"/>
  <c r="D12" i="5"/>
  <c r="F12" i="5" s="1"/>
  <c r="D11" i="5"/>
  <c r="F11" i="5" s="1"/>
  <c r="D10" i="5"/>
  <c r="F10" i="5" s="1"/>
  <c r="D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AX38" i="5"/>
  <c r="AX37" i="5"/>
  <c r="AX36" i="5"/>
  <c r="AX35" i="5"/>
  <c r="AX34" i="5"/>
  <c r="AX33" i="5"/>
  <c r="AX32" i="5"/>
  <c r="AX31" i="5"/>
  <c r="AX30" i="5"/>
  <c r="AX29" i="5"/>
  <c r="AX28" i="5"/>
  <c r="AX27" i="5"/>
  <c r="AX26" i="5"/>
  <c r="AX25" i="5"/>
  <c r="AX24" i="5"/>
  <c r="AX23" i="5"/>
  <c r="AX22" i="5"/>
  <c r="AX21" i="5"/>
  <c r="AX20" i="5"/>
  <c r="AX19" i="5"/>
  <c r="AX18" i="5"/>
  <c r="AX17" i="5"/>
  <c r="AX16" i="5"/>
  <c r="AX15" i="5"/>
  <c r="AX14" i="5"/>
  <c r="AX13" i="5"/>
  <c r="AX12" i="5"/>
  <c r="AX11" i="5"/>
  <c r="AX10" i="5"/>
  <c r="AX9" i="5"/>
  <c r="AV38" i="5"/>
  <c r="AV37" i="5"/>
  <c r="AV36" i="5"/>
  <c r="AV35" i="5"/>
  <c r="AV34" i="5"/>
  <c r="AV33" i="5"/>
  <c r="AV32" i="5"/>
  <c r="AV31" i="5"/>
  <c r="AV30" i="5"/>
  <c r="AV29" i="5"/>
  <c r="AV28" i="5"/>
  <c r="AV27" i="5"/>
  <c r="AV26" i="5"/>
  <c r="AV25" i="5"/>
  <c r="AV24" i="5"/>
  <c r="AV23" i="5"/>
  <c r="AV22" i="5"/>
  <c r="AV21" i="5"/>
  <c r="AV20" i="5"/>
  <c r="AV19" i="5"/>
  <c r="AV18" i="5"/>
  <c r="AV17" i="5"/>
  <c r="AV16" i="5"/>
  <c r="AV15" i="5"/>
  <c r="AV14" i="5"/>
  <c r="AV13" i="5"/>
  <c r="AV12" i="5"/>
  <c r="AV11" i="5"/>
  <c r="AV10" i="5"/>
  <c r="AV9" i="5"/>
  <c r="AT38" i="5"/>
  <c r="AT37" i="5"/>
  <c r="AT36" i="5"/>
  <c r="AT35" i="5"/>
  <c r="AT34" i="5"/>
  <c r="AT33" i="5"/>
  <c r="AT32" i="5"/>
  <c r="AT31" i="5"/>
  <c r="AT30" i="5"/>
  <c r="AT29" i="5"/>
  <c r="AT28" i="5"/>
  <c r="AT27" i="5"/>
  <c r="AT26" i="5"/>
  <c r="AT25" i="5"/>
  <c r="AT24" i="5"/>
  <c r="AT23" i="5"/>
  <c r="AT22" i="5"/>
  <c r="AT21" i="5"/>
  <c r="AT20" i="5"/>
  <c r="AT19" i="5"/>
  <c r="AT18" i="5"/>
  <c r="AT17" i="5"/>
  <c r="AT16" i="5"/>
  <c r="AT15" i="5"/>
  <c r="AT14" i="5"/>
  <c r="AT13" i="5"/>
  <c r="AT12" i="5"/>
  <c r="AT11" i="5"/>
  <c r="AT10" i="5"/>
  <c r="AT9" i="5"/>
  <c r="AP38" i="5"/>
  <c r="AP37" i="5"/>
  <c r="AP36" i="5"/>
  <c r="AP35" i="5"/>
  <c r="AP34" i="5"/>
  <c r="AP33" i="5"/>
  <c r="AP32" i="5"/>
  <c r="AP31" i="5"/>
  <c r="AP30" i="5"/>
  <c r="AP29" i="5"/>
  <c r="AP28" i="5"/>
  <c r="AP27" i="5"/>
  <c r="AP26" i="5"/>
  <c r="AP25" i="5"/>
  <c r="AP24" i="5"/>
  <c r="AP23" i="5"/>
  <c r="AP22" i="5"/>
  <c r="AP21" i="5"/>
  <c r="AP20" i="5"/>
  <c r="AP19" i="5"/>
  <c r="AP18" i="5"/>
  <c r="AP17" i="5"/>
  <c r="AP16" i="5"/>
  <c r="AP15" i="5"/>
  <c r="AP14" i="5"/>
  <c r="AP13" i="5"/>
  <c r="AP12" i="5"/>
  <c r="AP11" i="5"/>
  <c r="AP10" i="5"/>
  <c r="AP9" i="5"/>
  <c r="AN38" i="5"/>
  <c r="AN37" i="5"/>
  <c r="AN36" i="5"/>
  <c r="AN35" i="5"/>
  <c r="AN34" i="5"/>
  <c r="AN33" i="5"/>
  <c r="AN32" i="5"/>
  <c r="AN31" i="5"/>
  <c r="AN30" i="5"/>
  <c r="AN29" i="5"/>
  <c r="AN28" i="5"/>
  <c r="AN27" i="5"/>
  <c r="AN26" i="5"/>
  <c r="AN25" i="5"/>
  <c r="AN24" i="5"/>
  <c r="AN23" i="5"/>
  <c r="AN22" i="5"/>
  <c r="AN21" i="5"/>
  <c r="AN20" i="5"/>
  <c r="AN19" i="5"/>
  <c r="AN18" i="5"/>
  <c r="AN17" i="5"/>
  <c r="AN16" i="5"/>
  <c r="AN15" i="5"/>
  <c r="AN14" i="5"/>
  <c r="AN13" i="5"/>
  <c r="AN12" i="5"/>
  <c r="AN11" i="5"/>
  <c r="AN10" i="5"/>
  <c r="AN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AB38" i="5"/>
  <c r="AB37" i="5"/>
  <c r="AB36" i="5"/>
  <c r="AB35" i="5"/>
  <c r="AB34" i="5"/>
  <c r="AB33" i="5"/>
  <c r="AB32" i="5"/>
  <c r="AB31" i="5"/>
  <c r="AB30" i="5"/>
  <c r="AB29" i="5"/>
  <c r="AB28" i="5"/>
  <c r="AB27" i="5"/>
  <c r="AB26" i="5"/>
  <c r="AB25" i="5"/>
  <c r="AB24" i="5"/>
  <c r="AB23" i="5"/>
  <c r="AB22" i="5"/>
  <c r="AB21" i="5"/>
  <c r="AB20" i="5"/>
  <c r="AB19" i="5"/>
  <c r="AB18" i="5"/>
  <c r="AB17" i="5"/>
  <c r="AB16" i="5"/>
  <c r="AB15" i="5"/>
  <c r="AB14" i="5"/>
  <c r="AB13" i="5"/>
  <c r="AB12" i="5"/>
  <c r="AB11" i="5"/>
  <c r="AB10" i="5"/>
  <c r="AB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3" i="5"/>
  <c r="V12" i="5"/>
  <c r="V11" i="5"/>
  <c r="V10" i="5"/>
  <c r="V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D9" i="5"/>
  <c r="P23" i="4"/>
  <c r="L23" i="4"/>
  <c r="N23" i="4" s="1"/>
  <c r="S23" i="4" s="1"/>
  <c r="I18" i="6" s="1"/>
  <c r="F23" i="4"/>
  <c r="D23" i="4"/>
  <c r="P22" i="4"/>
  <c r="L22" i="4"/>
  <c r="F22" i="4"/>
  <c r="D22" i="4"/>
  <c r="P21" i="4"/>
  <c r="L21" i="4"/>
  <c r="N21" i="4" s="1"/>
  <c r="S21" i="4" s="1"/>
  <c r="I16" i="6" s="1"/>
  <c r="F21" i="4"/>
  <c r="D21" i="4"/>
  <c r="P20" i="4"/>
  <c r="L20" i="4"/>
  <c r="F20" i="4"/>
  <c r="D20" i="4"/>
  <c r="P19" i="4"/>
  <c r="L19" i="4"/>
  <c r="N19" i="4" s="1"/>
  <c r="S19" i="4" s="1"/>
  <c r="I14" i="6" s="1"/>
  <c r="F19" i="4"/>
  <c r="D19" i="4"/>
  <c r="P18" i="4"/>
  <c r="L18" i="4"/>
  <c r="F18" i="4"/>
  <c r="D18" i="4"/>
  <c r="P17" i="4"/>
  <c r="L17" i="4"/>
  <c r="N17" i="4" s="1"/>
  <c r="S17" i="4" s="1"/>
  <c r="I12" i="6" s="1"/>
  <c r="F17" i="4"/>
  <c r="D17" i="4"/>
  <c r="P16" i="4"/>
  <c r="L16" i="4"/>
  <c r="F16" i="4"/>
  <c r="D16" i="4"/>
  <c r="P15" i="4"/>
  <c r="L15" i="4"/>
  <c r="N15" i="4" s="1"/>
  <c r="S15" i="4" s="1"/>
  <c r="I10" i="6" s="1"/>
  <c r="F15" i="4"/>
  <c r="D15" i="4"/>
  <c r="P14" i="4"/>
  <c r="L14" i="4"/>
  <c r="F14" i="4"/>
  <c r="D14" i="4"/>
  <c r="P13" i="4"/>
  <c r="L13" i="4"/>
  <c r="N13" i="4" s="1"/>
  <c r="S13" i="4" s="1"/>
  <c r="I8" i="6" s="1"/>
  <c r="F13" i="4"/>
  <c r="D13" i="4"/>
  <c r="P12" i="4"/>
  <c r="L12" i="4"/>
  <c r="F12" i="4"/>
  <c r="D12" i="4"/>
  <c r="P11" i="4"/>
  <c r="L11" i="4"/>
  <c r="N11" i="4" s="1"/>
  <c r="S11" i="4" s="1"/>
  <c r="I6" i="6" s="1"/>
  <c r="F11" i="4"/>
  <c r="D11" i="4"/>
  <c r="P10" i="4"/>
  <c r="L10" i="4"/>
  <c r="F10" i="4"/>
  <c r="D10" i="4"/>
  <c r="P9" i="4"/>
  <c r="L9" i="4"/>
  <c r="N9" i="4" s="1"/>
  <c r="S9" i="4" s="1"/>
  <c r="I4" i="6" s="1"/>
  <c r="F9" i="4"/>
  <c r="D9" i="4"/>
  <c r="P8" i="4"/>
  <c r="L8" i="4"/>
  <c r="F8" i="4"/>
  <c r="D8" i="4"/>
  <c r="P7" i="4"/>
  <c r="L7" i="4"/>
  <c r="N7" i="4" s="1"/>
  <c r="S7" i="4" s="1"/>
  <c r="I2" i="6" s="1"/>
  <c r="F7" i="4"/>
  <c r="D7" i="4"/>
  <c r="N37" i="4" l="1"/>
  <c r="S37" i="4" s="1"/>
  <c r="I31" i="6" s="1"/>
  <c r="M37" i="4"/>
  <c r="N27" i="4"/>
  <c r="S27" i="4" s="1"/>
  <c r="I22" i="6" s="1"/>
  <c r="M28" i="4"/>
  <c r="R24" i="4"/>
  <c r="I19" i="1" s="1"/>
  <c r="R28" i="4"/>
  <c r="I23" i="1" s="1"/>
  <c r="R32" i="4"/>
  <c r="I27" i="1" s="1"/>
  <c r="R37" i="4"/>
  <c r="I31" i="1" s="1"/>
  <c r="S29" i="4"/>
  <c r="I24" i="6" s="1"/>
  <c r="M34" i="4"/>
  <c r="R8" i="4"/>
  <c r="I3" i="1" s="1"/>
  <c r="R9" i="4"/>
  <c r="I4" i="1" s="1"/>
  <c r="R10" i="4"/>
  <c r="I5" i="1" s="1"/>
  <c r="R12" i="4"/>
  <c r="I7" i="1" s="1"/>
  <c r="R13" i="4"/>
  <c r="I8" i="1" s="1"/>
  <c r="R14" i="4"/>
  <c r="I9" i="1" s="1"/>
  <c r="R16" i="4"/>
  <c r="I11" i="1" s="1"/>
  <c r="R17" i="4"/>
  <c r="I12" i="1" s="1"/>
  <c r="R18" i="4"/>
  <c r="I13" i="1" s="1"/>
  <c r="R20" i="4"/>
  <c r="I15" i="1" s="1"/>
  <c r="R21" i="4"/>
  <c r="R22" i="4"/>
  <c r="I17" i="1" s="1"/>
  <c r="S25" i="4"/>
  <c r="I20" i="6" s="1"/>
  <c r="N31" i="4"/>
  <c r="S31" i="4" s="1"/>
  <c r="I26" i="6" s="1"/>
  <c r="R7" i="4"/>
  <c r="I2" i="1" s="1"/>
  <c r="S33" i="4"/>
  <c r="I28" i="6" s="1"/>
  <c r="N35" i="4"/>
  <c r="S35" i="4" s="1"/>
  <c r="I30" i="6" s="1"/>
  <c r="R31" i="4"/>
  <c r="I26" i="1" s="1"/>
  <c r="R35" i="4"/>
  <c r="I30" i="1" s="1"/>
  <c r="S28" i="4"/>
  <c r="I23" i="6" s="1"/>
  <c r="M26" i="4"/>
  <c r="N30" i="4"/>
  <c r="S30" i="4" s="1"/>
  <c r="I25" i="6" s="1"/>
  <c r="R26" i="4"/>
  <c r="I21" i="1" s="1"/>
  <c r="R30" i="4"/>
  <c r="I25" i="1" s="1"/>
  <c r="R27" i="4"/>
  <c r="I22" i="1" s="1"/>
  <c r="M8" i="4"/>
  <c r="N8" i="4"/>
  <c r="S8" i="4" s="1"/>
  <c r="I3" i="6" s="1"/>
  <c r="M10" i="4"/>
  <c r="N10" i="4"/>
  <c r="S10" i="4" s="1"/>
  <c r="I5" i="6" s="1"/>
  <c r="M12" i="4"/>
  <c r="N12" i="4"/>
  <c r="S12" i="4" s="1"/>
  <c r="I7" i="6" s="1"/>
  <c r="M14" i="4"/>
  <c r="N14" i="4"/>
  <c r="S14" i="4" s="1"/>
  <c r="I9" i="6" s="1"/>
  <c r="M16" i="4"/>
  <c r="N16" i="4"/>
  <c r="S16" i="4" s="1"/>
  <c r="I11" i="6" s="1"/>
  <c r="M18" i="4"/>
  <c r="N18" i="4"/>
  <c r="S18" i="4" s="1"/>
  <c r="I13" i="6" s="1"/>
  <c r="M20" i="4"/>
  <c r="N20" i="4"/>
  <c r="S20" i="4" s="1"/>
  <c r="I15" i="6" s="1"/>
  <c r="M22" i="4"/>
  <c r="N22" i="4"/>
  <c r="S22" i="4" s="1"/>
  <c r="I17" i="6" s="1"/>
  <c r="J38" i="4"/>
  <c r="R11" i="4"/>
  <c r="I6" i="1" s="1"/>
  <c r="R15" i="4"/>
  <c r="I10" i="1" s="1"/>
  <c r="R19" i="4"/>
  <c r="I14" i="1" s="1"/>
  <c r="R23" i="4"/>
  <c r="I18" i="1" s="1"/>
  <c r="I16" i="1"/>
  <c r="H38" i="4"/>
  <c r="M24" i="4"/>
  <c r="M9" i="4"/>
  <c r="M11" i="4"/>
  <c r="M13" i="4"/>
  <c r="M15" i="4"/>
  <c r="M17" i="4"/>
  <c r="M19" i="4"/>
  <c r="M21" i="4"/>
  <c r="M23" i="4"/>
  <c r="M7" i="4"/>
  <c r="BH29" i="5"/>
  <c r="G22" i="1" s="1"/>
  <c r="BH33" i="5"/>
  <c r="G26" i="1" s="1"/>
  <c r="BH37" i="5"/>
  <c r="G30" i="1" s="1"/>
  <c r="BI36" i="5"/>
  <c r="G29" i="6" s="1"/>
  <c r="BI30" i="5"/>
  <c r="G23" i="6" s="1"/>
  <c r="BI34" i="5"/>
  <c r="G27" i="6" s="1"/>
  <c r="BI38" i="5"/>
  <c r="G31" i="6" s="1"/>
  <c r="BI32" i="5"/>
  <c r="G25" i="6" s="1"/>
  <c r="BI27" i="5"/>
  <c r="G20" i="6" s="1"/>
  <c r="BI31" i="5"/>
  <c r="G24" i="6" s="1"/>
  <c r="BI35" i="5"/>
  <c r="G28" i="6" s="1"/>
  <c r="BI12" i="5"/>
  <c r="G5" i="6" s="1"/>
  <c r="BI16" i="5"/>
  <c r="G9" i="6" s="1"/>
  <c r="BI20" i="5"/>
  <c r="G13" i="6" s="1"/>
  <c r="BI24" i="5"/>
  <c r="G17" i="6" s="1"/>
  <c r="BI28" i="5"/>
  <c r="G21" i="6" s="1"/>
  <c r="BI10" i="5"/>
  <c r="G3" i="6" s="1"/>
  <c r="BI14" i="5"/>
  <c r="G7" i="6" s="1"/>
  <c r="BI18" i="5"/>
  <c r="G11" i="6" s="1"/>
  <c r="BI22" i="5"/>
  <c r="G15" i="6" s="1"/>
  <c r="BI26" i="5"/>
  <c r="G19" i="6" s="1"/>
  <c r="BI11" i="5"/>
  <c r="G4" i="6" s="1"/>
  <c r="BI15" i="5"/>
  <c r="G8" i="6" s="1"/>
  <c r="BI19" i="5"/>
  <c r="G12" i="6" s="1"/>
  <c r="BI23" i="5"/>
  <c r="G16" i="6" s="1"/>
  <c r="BI13" i="5"/>
  <c r="G6" i="6" s="1"/>
  <c r="BI17" i="5"/>
  <c r="G10" i="6" s="1"/>
  <c r="BI21" i="5"/>
  <c r="G14" i="6" s="1"/>
  <c r="BI25" i="5"/>
  <c r="G18" i="6" s="1"/>
  <c r="E23" i="5"/>
  <c r="BH23" i="5" s="1"/>
  <c r="G16" i="1" s="1"/>
  <c r="E11" i="5"/>
  <c r="BH11" i="5" s="1"/>
  <c r="G4" i="1" s="1"/>
  <c r="E27" i="5"/>
  <c r="BH27" i="5" s="1"/>
  <c r="G20" i="1" s="1"/>
  <c r="E15" i="5"/>
  <c r="BH15" i="5" s="1"/>
  <c r="G8" i="1" s="1"/>
  <c r="E31" i="5"/>
  <c r="BH31" i="5" s="1"/>
  <c r="G24" i="1" s="1"/>
  <c r="E19" i="5"/>
  <c r="BH19" i="5" s="1"/>
  <c r="G12" i="1" s="1"/>
  <c r="E35" i="5"/>
  <c r="BH35" i="5" s="1"/>
  <c r="G28" i="1" s="1"/>
  <c r="E9" i="5"/>
  <c r="BH9" i="5" s="1"/>
  <c r="G2" i="1" s="1"/>
  <c r="E13" i="5"/>
  <c r="BH13" i="5" s="1"/>
  <c r="G6" i="1" s="1"/>
  <c r="E17" i="5"/>
  <c r="BH17" i="5" s="1"/>
  <c r="G10" i="1" s="1"/>
  <c r="E21" i="5"/>
  <c r="BH21" i="5" s="1"/>
  <c r="G14" i="1" s="1"/>
  <c r="E25" i="5"/>
  <c r="BH25" i="5" s="1"/>
  <c r="G18" i="1" s="1"/>
  <c r="F9" i="5"/>
  <c r="BI9" i="5" s="1"/>
  <c r="G2" i="6" s="1"/>
  <c r="F29" i="5"/>
  <c r="BI29" i="5" s="1"/>
  <c r="G22" i="6" s="1"/>
  <c r="F33" i="5"/>
  <c r="BI33" i="5" s="1"/>
  <c r="G26" i="6" s="1"/>
  <c r="F37" i="5"/>
  <c r="BI37" i="5" s="1"/>
  <c r="G30" i="6" s="1"/>
  <c r="E10" i="5"/>
  <c r="BH10" i="5" s="1"/>
  <c r="G3" i="1" s="1"/>
  <c r="E12" i="5"/>
  <c r="BH12" i="5" s="1"/>
  <c r="G5" i="1" s="1"/>
  <c r="E14" i="5"/>
  <c r="BH14" i="5" s="1"/>
  <c r="G7" i="1" s="1"/>
  <c r="E16" i="5"/>
  <c r="BH16" i="5" s="1"/>
  <c r="G9" i="1" s="1"/>
  <c r="E18" i="5"/>
  <c r="BH18" i="5" s="1"/>
  <c r="G11" i="1" s="1"/>
  <c r="E20" i="5"/>
  <c r="BH20" i="5" s="1"/>
  <c r="G13" i="1" s="1"/>
  <c r="E22" i="5"/>
  <c r="BH22" i="5" s="1"/>
  <c r="G15" i="1" s="1"/>
  <c r="E24" i="5"/>
  <c r="BH24" i="5" s="1"/>
  <c r="G17" i="1" s="1"/>
  <c r="E26" i="5"/>
  <c r="BH26" i="5" s="1"/>
  <c r="G19" i="1" s="1"/>
  <c r="E28" i="5"/>
  <c r="BH28" i="5" s="1"/>
  <c r="G21" i="1" s="1"/>
  <c r="E30" i="5"/>
  <c r="BH30" i="5" s="1"/>
  <c r="G23" i="1" s="1"/>
  <c r="E32" i="5"/>
  <c r="BH32" i="5" s="1"/>
  <c r="G25" i="1" s="1"/>
  <c r="E34" i="5"/>
  <c r="BH34" i="5" s="1"/>
  <c r="G27" i="1" s="1"/>
  <c r="E36" i="5"/>
  <c r="BH36" i="5" s="1"/>
  <c r="G29" i="1" s="1"/>
  <c r="E38" i="5"/>
  <c r="BH38" i="5" s="1"/>
  <c r="G31" i="1" s="1"/>
  <c r="P38" i="4"/>
  <c r="D38" i="4"/>
  <c r="F38" i="4"/>
  <c r="L38" i="4"/>
  <c r="U24" i="3"/>
  <c r="V24" i="3" s="1"/>
  <c r="U23" i="3"/>
  <c r="V23" i="3" s="1"/>
  <c r="U22" i="3"/>
  <c r="V22" i="3" s="1"/>
  <c r="U21" i="3"/>
  <c r="V21" i="3" s="1"/>
  <c r="U20" i="3"/>
  <c r="V20" i="3" s="1"/>
  <c r="U19" i="3"/>
  <c r="V19" i="3" s="1"/>
  <c r="U18" i="3"/>
  <c r="V18" i="3" s="1"/>
  <c r="U17" i="3"/>
  <c r="V17" i="3" s="1"/>
  <c r="U16" i="3"/>
  <c r="V16" i="3" s="1"/>
  <c r="U15" i="3"/>
  <c r="V15" i="3" s="1"/>
  <c r="U14" i="3"/>
  <c r="V14" i="3" s="1"/>
  <c r="U13" i="3"/>
  <c r="V13" i="3" s="1"/>
  <c r="U12" i="3"/>
  <c r="V12" i="3" s="1"/>
  <c r="U11" i="3"/>
  <c r="V11" i="3" s="1"/>
  <c r="U10" i="3"/>
  <c r="V10" i="3" s="1"/>
  <c r="U9" i="3"/>
  <c r="V9" i="3" s="1"/>
  <c r="U8" i="3"/>
  <c r="V8" i="3" s="1"/>
  <c r="R24" i="3"/>
  <c r="S24" i="3" s="1"/>
  <c r="R23" i="3"/>
  <c r="S23" i="3" s="1"/>
  <c r="R22" i="3"/>
  <c r="S22" i="3" s="1"/>
  <c r="R21" i="3"/>
  <c r="S21" i="3" s="1"/>
  <c r="R20" i="3"/>
  <c r="S20" i="3" s="1"/>
  <c r="R19" i="3"/>
  <c r="S19" i="3" s="1"/>
  <c r="R18" i="3"/>
  <c r="S18" i="3" s="1"/>
  <c r="R17" i="3"/>
  <c r="S17" i="3" s="1"/>
  <c r="R16" i="3"/>
  <c r="S16" i="3" s="1"/>
  <c r="R15" i="3"/>
  <c r="S15" i="3" s="1"/>
  <c r="R14" i="3"/>
  <c r="S14" i="3" s="1"/>
  <c r="R13" i="3"/>
  <c r="S13" i="3" s="1"/>
  <c r="R12" i="3"/>
  <c r="S12" i="3" s="1"/>
  <c r="R11" i="3"/>
  <c r="S11" i="3" s="1"/>
  <c r="R10" i="3"/>
  <c r="R9" i="3"/>
  <c r="S9" i="3" s="1"/>
  <c r="R8" i="3"/>
  <c r="S8" i="3" s="1"/>
  <c r="O24" i="3"/>
  <c r="P24" i="3" s="1"/>
  <c r="O23" i="3"/>
  <c r="P23" i="3" s="1"/>
  <c r="O22" i="3"/>
  <c r="P22" i="3" s="1"/>
  <c r="O21" i="3"/>
  <c r="P21" i="3" s="1"/>
  <c r="O20" i="3"/>
  <c r="P20" i="3" s="1"/>
  <c r="O19" i="3"/>
  <c r="P19" i="3" s="1"/>
  <c r="O18" i="3"/>
  <c r="P18" i="3" s="1"/>
  <c r="O17" i="3"/>
  <c r="P17" i="3" s="1"/>
  <c r="O16" i="3"/>
  <c r="P16" i="3" s="1"/>
  <c r="O15" i="3"/>
  <c r="P15" i="3" s="1"/>
  <c r="O14" i="3"/>
  <c r="P14" i="3" s="1"/>
  <c r="O13" i="3"/>
  <c r="P13" i="3" s="1"/>
  <c r="O12" i="3"/>
  <c r="P12" i="3" s="1"/>
  <c r="O11" i="3"/>
  <c r="P11" i="3" s="1"/>
  <c r="O10" i="3"/>
  <c r="P10" i="3" s="1"/>
  <c r="O9" i="3"/>
  <c r="P9" i="3" s="1"/>
  <c r="O8" i="3"/>
  <c r="P8" i="3" s="1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H24" i="3"/>
  <c r="I24" i="3" s="1"/>
  <c r="H23" i="3"/>
  <c r="I23" i="3" s="1"/>
  <c r="H22" i="3"/>
  <c r="I22" i="3" s="1"/>
  <c r="H21" i="3"/>
  <c r="I21" i="3" s="1"/>
  <c r="H20" i="3"/>
  <c r="I20" i="3" s="1"/>
  <c r="H19" i="3"/>
  <c r="I19" i="3" s="1"/>
  <c r="H18" i="3"/>
  <c r="I18" i="3" s="1"/>
  <c r="H17" i="3"/>
  <c r="I17" i="3" s="1"/>
  <c r="H16" i="3"/>
  <c r="I16" i="3" s="1"/>
  <c r="H15" i="3"/>
  <c r="I15" i="3" s="1"/>
  <c r="H14" i="3"/>
  <c r="I14" i="3" s="1"/>
  <c r="H13" i="3"/>
  <c r="I13" i="3" s="1"/>
  <c r="H12" i="3"/>
  <c r="I12" i="3" s="1"/>
  <c r="H11" i="3"/>
  <c r="I11" i="3" s="1"/>
  <c r="H10" i="3"/>
  <c r="I10" i="3" s="1"/>
  <c r="H9" i="3"/>
  <c r="I9" i="3" s="1"/>
  <c r="H8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X8" i="3"/>
  <c r="Y8" i="3" s="1"/>
  <c r="D8" i="3"/>
  <c r="AI24" i="3"/>
  <c r="AI23" i="3"/>
  <c r="AI22" i="3"/>
  <c r="AI21" i="3"/>
  <c r="AI20" i="3"/>
  <c r="AI19" i="3"/>
  <c r="AI18" i="3"/>
  <c r="AI17" i="3"/>
  <c r="AI16" i="3"/>
  <c r="AI15" i="3"/>
  <c r="AI14" i="3"/>
  <c r="AI13" i="3"/>
  <c r="AI12" i="3"/>
  <c r="AI11" i="3"/>
  <c r="AI10" i="3"/>
  <c r="AI9" i="3"/>
  <c r="AI8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X24" i="3"/>
  <c r="Y24" i="3" s="1"/>
  <c r="X23" i="3"/>
  <c r="Y23" i="3" s="1"/>
  <c r="X22" i="3"/>
  <c r="Y22" i="3" s="1"/>
  <c r="X21" i="3"/>
  <c r="Y21" i="3" s="1"/>
  <c r="X20" i="3"/>
  <c r="Y20" i="3" s="1"/>
  <c r="X19" i="3"/>
  <c r="Y19" i="3" s="1"/>
  <c r="X18" i="3"/>
  <c r="Y18" i="3" s="1"/>
  <c r="X17" i="3"/>
  <c r="Y17" i="3" s="1"/>
  <c r="X16" i="3"/>
  <c r="Y16" i="3" s="1"/>
  <c r="X15" i="3"/>
  <c r="Y15" i="3" s="1"/>
  <c r="X14" i="3"/>
  <c r="Y14" i="3" s="1"/>
  <c r="X13" i="3"/>
  <c r="Y13" i="3" s="1"/>
  <c r="X12" i="3"/>
  <c r="Y12" i="3" s="1"/>
  <c r="X11" i="3"/>
  <c r="Y11" i="3" s="1"/>
  <c r="X10" i="3"/>
  <c r="Y10" i="3" s="1"/>
  <c r="X9" i="3"/>
  <c r="Y9" i="3" s="1"/>
  <c r="AG39" i="3" l="1"/>
  <c r="M39" i="3"/>
  <c r="AK9" i="3"/>
  <c r="E3" i="1" s="1"/>
  <c r="AK11" i="3"/>
  <c r="E5" i="1" s="1"/>
  <c r="AK12" i="3"/>
  <c r="E6" i="1" s="1"/>
  <c r="AK13" i="3"/>
  <c r="E7" i="1" s="1"/>
  <c r="AK14" i="3"/>
  <c r="E8" i="1" s="1"/>
  <c r="AK15" i="3"/>
  <c r="E9" i="1" s="1"/>
  <c r="AK16" i="3"/>
  <c r="E10" i="1" s="1"/>
  <c r="AK17" i="3"/>
  <c r="E11" i="1" s="1"/>
  <c r="AK18" i="3"/>
  <c r="E12" i="1" s="1"/>
  <c r="AK19" i="3"/>
  <c r="E13" i="1" s="1"/>
  <c r="AK20" i="3"/>
  <c r="E14" i="1" s="1"/>
  <c r="AK21" i="3"/>
  <c r="E15" i="1" s="1"/>
  <c r="AK22" i="3"/>
  <c r="E16" i="1" s="1"/>
  <c r="AK23" i="3"/>
  <c r="E17" i="1" s="1"/>
  <c r="AK24" i="3"/>
  <c r="E18" i="1" s="1"/>
  <c r="AL8" i="3"/>
  <c r="AL9" i="3"/>
  <c r="E3" i="6" s="1"/>
  <c r="AL11" i="3"/>
  <c r="E5" i="6" s="1"/>
  <c r="AL12" i="3"/>
  <c r="E6" i="6" s="1"/>
  <c r="AL13" i="3"/>
  <c r="E7" i="6" s="1"/>
  <c r="AL14" i="3"/>
  <c r="E8" i="6" s="1"/>
  <c r="AL15" i="3"/>
  <c r="E9" i="6" s="1"/>
  <c r="AL16" i="3"/>
  <c r="E10" i="6" s="1"/>
  <c r="AL17" i="3"/>
  <c r="E11" i="6" s="1"/>
  <c r="AL18" i="3"/>
  <c r="E12" i="6" s="1"/>
  <c r="AL19" i="3"/>
  <c r="E13" i="6" s="1"/>
  <c r="AL20" i="3"/>
  <c r="E14" i="6" s="1"/>
  <c r="AL21" i="3"/>
  <c r="E15" i="6" s="1"/>
  <c r="AL22" i="3"/>
  <c r="E16" i="6" s="1"/>
  <c r="AL23" i="3"/>
  <c r="E17" i="6" s="1"/>
  <c r="AL24" i="3"/>
  <c r="E18" i="6" s="1"/>
  <c r="R39" i="3"/>
  <c r="S10" i="3"/>
  <c r="AA39" i="3"/>
  <c r="AI39" i="3"/>
  <c r="AC39" i="3"/>
  <c r="H39" i="3"/>
  <c r="O39" i="3"/>
  <c r="AE39" i="3"/>
  <c r="K39" i="3"/>
  <c r="U39" i="3"/>
  <c r="X39" i="3"/>
  <c r="I8" i="3"/>
  <c r="D39" i="3"/>
  <c r="F39" i="3"/>
  <c r="AK8" i="3" l="1"/>
  <c r="E2" i="1" s="1"/>
  <c r="AK10" i="3"/>
  <c r="E4" i="1" s="1"/>
  <c r="AL10" i="3"/>
  <c r="E4" i="6" s="1"/>
</calcChain>
</file>

<file path=xl/sharedStrings.xml><?xml version="1.0" encoding="utf-8"?>
<sst xmlns="http://schemas.openxmlformats.org/spreadsheetml/2006/main" count="824" uniqueCount="236">
  <si>
    <t>Site Name</t>
  </si>
  <si>
    <t>Day</t>
  </si>
  <si>
    <t>Month</t>
  </si>
  <si>
    <t>Year</t>
  </si>
  <si>
    <t>Total Electricity
 Kwh</t>
  </si>
  <si>
    <t>Electricity Tariff 
($/Kwh)</t>
  </si>
  <si>
    <t>Water Utility supply 
(m3)</t>
  </si>
  <si>
    <t>Water Utility (m3) 
$/m3</t>
  </si>
  <si>
    <t>Rooms Nights</t>
  </si>
  <si>
    <t>Total Guests</t>
  </si>
  <si>
    <t>FSHK</t>
  </si>
  <si>
    <t>FSH</t>
  </si>
  <si>
    <t>FSH &amp; FSP</t>
  </si>
  <si>
    <t>FSP</t>
  </si>
  <si>
    <t xml:space="preserve">HOT Normal and Essential power for linen chute(9/F-45/F), 
HOT water pump at 8/F, 
Podium dimmer supply(P1-P6), 
MVAC system(B1/F-B2/F), 
Bus station BPTT supply. </t>
  </si>
  <si>
    <t>HOT Normal Power for Guest rooms supply (9/F-45/F), 
MVAC system (2/F &amp; 46/F), 
P&amp;D system(46/F) 
Podium MVAC system (P1/F-P6/F)</t>
  </si>
  <si>
    <t>P5 Pool Plant, 
Laundry (hotel 70%,Place 30%), 
9/F - 28/F public area,
29/F 46/F Public area
Podium normal power supply for water feature(G/F), 
Chiller WCC-01(B2/F)(FSH 50%, FSP 50%)</t>
  </si>
  <si>
    <t>Podium normal power for Administration office(P5/F &amp; P6/F), 
P&amp;D system supply(B2/F), 
Planter lighting supply(Open Space), 
Kitchen public supply(B1/F, P1/F, P2/F, P3/F, P4/F &amp; P6/F), 
BMS room supply(B1/F), 
Security room supply(G/F), 
Computer &amp; PABX room</t>
  </si>
  <si>
    <t>Podium normal power supply for Public supply(P1/F - P6/F), 
Kitchen(B1/F, P1/F, P2/F, P3/F, P4/F &amp; P6/F), 
P&amp;D system supply(B1/F), 
Refuse room supply(G/F), 
Gas boiler supply(B2/F) and 
MVAC system supply(P1/F-P6/F).</t>
  </si>
  <si>
    <t>Podium normal power supply for main P&amp;D system supply(B1/F), MVAC chilled water pump(B1/F)
Chiller WCC-02(B2/F) (FSH 50%, FSP 50%)</t>
  </si>
  <si>
    <t>Chiller # 3 
(FSH 50%, FSP 50%)</t>
  </si>
  <si>
    <t>Chiller # 4
(FSH 50%, FSP 50%)</t>
  </si>
  <si>
    <t>Chiller # 5
(FSH 50%, FSP 50%)</t>
  </si>
  <si>
    <t>SHT normal power for Guest rooms supply (11/F-23/F).</t>
  </si>
  <si>
    <t>SHT normal power for Guest rooms supply (25/F-57/F).</t>
  </si>
  <si>
    <t xml:space="preserve">SHT Essential Power for Public Power supply, 
F.S. Pump (9/F, 57/F &amp; 39/F), 
Podium F.S. pump(P1M), 
Lift LT/S1-LT/S7(LM/F), 
Lift LT/S8-S9(59/F) and 
Lift LT/S10(8/F). </t>
  </si>
  <si>
    <t>SHT normal power for MVAC System(8/F &amp; 40/F), 
Public supply (8-R/F), 
P&amp;D system(40/F &amp; 60/F), 
swimming pool(57/F), 
SWB 3&amp;4(40/F)</t>
  </si>
  <si>
    <t>Daily Total consumption</t>
  </si>
  <si>
    <t>TXW1</t>
  </si>
  <si>
    <t>TXW4</t>
  </si>
  <si>
    <t>TXW2</t>
  </si>
  <si>
    <t>TXC2</t>
  </si>
  <si>
    <t>TXC1</t>
  </si>
  <si>
    <t>TXW3</t>
  </si>
  <si>
    <t>TXN1</t>
  </si>
  <si>
    <t>TXN2</t>
  </si>
  <si>
    <t>TXN3</t>
  </si>
  <si>
    <t>TXN4</t>
  </si>
  <si>
    <t>TXE1</t>
  </si>
  <si>
    <t>TXE2</t>
  </si>
  <si>
    <t>TXE3</t>
  </si>
  <si>
    <t>TXE4</t>
  </si>
  <si>
    <t>Tariff Type</t>
  </si>
  <si>
    <t>MD-LV</t>
  </si>
  <si>
    <t>Non-Residential</t>
  </si>
  <si>
    <t>Date</t>
  </si>
  <si>
    <t>Reading Kwh</t>
  </si>
  <si>
    <t>Differecne Kwh</t>
  </si>
  <si>
    <t>FSH 50% / FSP 50%</t>
  </si>
  <si>
    <t>Hotel &amp; podium Fresh Water</t>
  </si>
  <si>
    <t>Food &amp; Beverage Outlets</t>
  </si>
  <si>
    <t>Fountains</t>
  </si>
  <si>
    <t xml:space="preserve">Swimming Pool </t>
  </si>
  <si>
    <t>Laundry  
(FSH 55% : FSP 45%)</t>
  </si>
  <si>
    <t xml:space="preserve">Place - Guest Floor Fresh Water </t>
  </si>
  <si>
    <t>M16601852</t>
  </si>
  <si>
    <t>M118410300</t>
  </si>
  <si>
    <t>M16449102</t>
  </si>
  <si>
    <t>M9192527</t>
  </si>
  <si>
    <t>M16601455</t>
  </si>
  <si>
    <t>M16601818</t>
  </si>
  <si>
    <t>Reading</t>
  </si>
  <si>
    <t>Differecne m3</t>
  </si>
  <si>
    <t>B2/F Steam Boiler Room</t>
  </si>
  <si>
    <t>B1/F Main Kitchen</t>
  </si>
  <si>
    <t>P1/F Lobby Lounge</t>
  </si>
  <si>
    <t>P2/F Grand Ball Room</t>
  </si>
  <si>
    <t>P3 Steward</t>
  </si>
  <si>
    <t>P4/F Chinese Restaurant</t>
  </si>
  <si>
    <t>P4/F Junior Ball Room</t>
  </si>
  <si>
    <t xml:space="preserve">P5/F Staff Dining </t>
  </si>
  <si>
    <t>P6/F Pool side bar pantry</t>
  </si>
  <si>
    <t>P6/F French Restaurant</t>
  </si>
  <si>
    <t>P5/F Condensing Boiler Room</t>
  </si>
  <si>
    <t>P5/F Filtration Plan Room</t>
  </si>
  <si>
    <t>L8/F Plant Room</t>
  </si>
  <si>
    <t>L46/F Plant Room</t>
  </si>
  <si>
    <t>SHT 8/F Plant Room</t>
  </si>
  <si>
    <t>SHT 40/F Plant Room</t>
  </si>
  <si>
    <t>SHT 57/F Condensing Boiler Room</t>
  </si>
  <si>
    <t>SHT 60/F - Room 6023                  
( Penhouse 1 )</t>
  </si>
  <si>
    <t>SHT 60/F - Room 6038                  
( Penhouse 2 )</t>
  </si>
  <si>
    <t>L40/F Plant Room</t>
  </si>
  <si>
    <t>L57/F Plant Room</t>
  </si>
  <si>
    <t>Steam Boiler for Hot Water &amp; Laundry
( FSH 60% : FSP 40%)</t>
  </si>
  <si>
    <t>Kitchen</t>
  </si>
  <si>
    <t>Dish Washing area</t>
  </si>
  <si>
    <t>Condensing Boiler for 
P6 Swimming Pool &amp; Jacuzzi</t>
  </si>
  <si>
    <t>6/F Patio Spaces heater</t>
  </si>
  <si>
    <t>Dehumidifier for Guest Rooms RH Control</t>
  </si>
  <si>
    <t>Presidential Room    
Room  4305</t>
  </si>
  <si>
    <t>New Gas Heat Pump</t>
  </si>
  <si>
    <t>New Gas Heat Pump     
( Heater )</t>
  </si>
  <si>
    <t>Dehumidifier For Guest Rooms RH Control</t>
  </si>
  <si>
    <t>Condensing Boiler for 
59/F Swimming Pool &amp; Jacuzzis</t>
  </si>
  <si>
    <t>59/F Patio Spaces heater</t>
  </si>
  <si>
    <t>Gas appliances 
( Include Patio Space Heater )</t>
  </si>
  <si>
    <t>0234229050</t>
  </si>
  <si>
    <t>Ratio</t>
  </si>
  <si>
    <t>0234229130</t>
  </si>
  <si>
    <t>0234230090</t>
  </si>
  <si>
    <t>0234229210</t>
  </si>
  <si>
    <t>0234229460</t>
  </si>
  <si>
    <t>0234229380</t>
  </si>
  <si>
    <t>0234229540</t>
  </si>
  <si>
    <t>0234229620</t>
  </si>
  <si>
    <t>0234230740</t>
  </si>
  <si>
    <t>0234229870</t>
  </si>
  <si>
    <t>0234229790</t>
  </si>
  <si>
    <t>0234228820</t>
  </si>
  <si>
    <t>0234228990</t>
  </si>
  <si>
    <t>0234230820</t>
  </si>
  <si>
    <t>0234230170</t>
  </si>
  <si>
    <t>0234230250</t>
  </si>
  <si>
    <t>0234230330</t>
  </si>
  <si>
    <t>0234230410</t>
  </si>
  <si>
    <t>0234230580</t>
  </si>
  <si>
    <t>0234230660</t>
  </si>
  <si>
    <t>Gas Meter</t>
  </si>
  <si>
    <t>9955475</t>
  </si>
  <si>
    <t>436641</t>
  </si>
  <si>
    <t>436656</t>
  </si>
  <si>
    <t>431271</t>
  </si>
  <si>
    <t>1038664</t>
  </si>
  <si>
    <t>522469</t>
  </si>
  <si>
    <t>431269</t>
  </si>
  <si>
    <t>436624</t>
  </si>
  <si>
    <t>5399693</t>
  </si>
  <si>
    <t>522607</t>
  </si>
  <si>
    <t>436606</t>
  </si>
  <si>
    <t>432481</t>
  </si>
  <si>
    <t>410677</t>
  </si>
  <si>
    <t>431229</t>
  </si>
  <si>
    <t>522557</t>
  </si>
  <si>
    <t>0333732</t>
  </si>
  <si>
    <t>0655375</t>
  </si>
  <si>
    <t>431241</t>
  </si>
  <si>
    <t>410724</t>
  </si>
  <si>
    <t>9313879</t>
  </si>
  <si>
    <t>4500420S</t>
  </si>
  <si>
    <t>436758</t>
  </si>
  <si>
    <t>431227</t>
  </si>
  <si>
    <t>Differecne MJ</t>
  </si>
  <si>
    <t>Sub- meter</t>
  </si>
  <si>
    <t xml:space="preserve">HOT Normal and Essential power for linen chute(9/F-45/F), 
</t>
  </si>
  <si>
    <t xml:space="preserve">
HOT water pump at 8/F, 
</t>
  </si>
  <si>
    <t xml:space="preserve">
Podium dimmer supply(P1-P6)
</t>
  </si>
  <si>
    <t xml:space="preserve">
MVAC system(B1/F-B2/F), 
</t>
  </si>
  <si>
    <t>Bus station BPTT supply.</t>
  </si>
  <si>
    <t xml:space="preserve">HOT Normal Power for Guest rooms supply (9/F-45/F), 
</t>
  </si>
  <si>
    <t xml:space="preserve">
MVAC system (2/F &amp; 46/F), 
</t>
  </si>
  <si>
    <t xml:space="preserve">
P&amp;D system(46/F) 
</t>
  </si>
  <si>
    <t xml:space="preserve"> 
Podium MVAC system (P1/F-P6/F)</t>
  </si>
  <si>
    <t xml:space="preserve">P5 Pool Plant, 
</t>
  </si>
  <si>
    <t xml:space="preserve">
Laundry (hotel 70%,Place 30%), 
</t>
  </si>
  <si>
    <t xml:space="preserve">
9/F - 28/F public area,
</t>
  </si>
  <si>
    <t xml:space="preserve">
29/F 46/F Public area
</t>
  </si>
  <si>
    <t xml:space="preserve">
Podium normal power supply for water feature(G/F), 
</t>
  </si>
  <si>
    <t xml:space="preserve">
Chiller WCC-01(B2/F)(FSH 50%, FSP 50%)</t>
  </si>
  <si>
    <t xml:space="preserve">Podium normal power for Administration office(P5/F &amp; P6/F), 
</t>
  </si>
  <si>
    <t xml:space="preserve"> 
P&amp;D system supply(B2/F), 
</t>
  </si>
  <si>
    <t xml:space="preserve"> 
Planter lighting supply(Open Space), 
</t>
  </si>
  <si>
    <t xml:space="preserve"> 
Kitchen public supply(B1/F, P1/F, P2/F, P3/F, P4/F &amp; P6/F), 
</t>
  </si>
  <si>
    <t xml:space="preserve">
BMS room supply(B1/F), 
</t>
  </si>
  <si>
    <t xml:space="preserve">
Security room supply(G/F), 
</t>
  </si>
  <si>
    <t xml:space="preserve">
Computer &amp; PABX room</t>
  </si>
  <si>
    <t xml:space="preserve">Podium normal power supply for main P&amp;D system supply(B1/F), </t>
  </si>
  <si>
    <t>MVAC chilled water pump(B1/F)</t>
  </si>
  <si>
    <t>Chiller WCC-02(B2/F) (FSH 50%, FSP 50%)</t>
  </si>
  <si>
    <t xml:space="preserve">SHT Essential Power for Public Power supply, 
</t>
  </si>
  <si>
    <t xml:space="preserve">
F.S. Pump (9/F, 57/F &amp; 39/F), 
</t>
  </si>
  <si>
    <t xml:space="preserve">
Podium F.S. pump(P1M), 
</t>
  </si>
  <si>
    <t xml:space="preserve">
Lift LT/S1-LT/S7(LM/F), 
</t>
  </si>
  <si>
    <t xml:space="preserve">
Lift LT/S8-S9(59/F) and 
</t>
  </si>
  <si>
    <t xml:space="preserve">Lift LT/S10(8/F). </t>
  </si>
  <si>
    <t xml:space="preserve">SHT normal power for MVAC System(8/F &amp; 40/F), 
</t>
  </si>
  <si>
    <t xml:space="preserve">Public supply (8-R/F), 
</t>
  </si>
  <si>
    <t xml:space="preserve">P&amp;D system(40/F &amp; 60/F), 
</t>
  </si>
  <si>
    <t xml:space="preserve">swimming pool(57/F), 
</t>
  </si>
  <si>
    <t>SWB 3&amp;4(40/F)</t>
  </si>
  <si>
    <t>Cleansing &amp; EP</t>
  </si>
  <si>
    <t xml:space="preserve">Water Feature Make Up        </t>
  </si>
  <si>
    <t>Irrigation</t>
  </si>
  <si>
    <t>Laundry</t>
  </si>
  <si>
    <t>A/C Make Up</t>
  </si>
  <si>
    <t>P1 Water Feature A</t>
  </si>
  <si>
    <t>P1 Water Feature C</t>
  </si>
  <si>
    <t>Fresh Water Supply for FSP Guest Room Floor</t>
  </si>
  <si>
    <t>Condensate Boiler</t>
  </si>
  <si>
    <t>Fresh Water Supply for Hotel &amp; Podium</t>
  </si>
  <si>
    <t>Fresh Water Supply for Hotel</t>
  </si>
  <si>
    <t>Fresh Water Supply for Podium</t>
  </si>
  <si>
    <t>Condensate Steam Boiler</t>
  </si>
  <si>
    <t>P5 staff changing room - Cold water supply</t>
  </si>
  <si>
    <t>P5 staff changing room - Hot water supply</t>
  </si>
  <si>
    <t>P5 staff changing room - Hot water return</t>
  </si>
  <si>
    <t>P4 LKH Feature</t>
  </si>
  <si>
    <t>All FSH Guest Room &amp; Podium Toilet</t>
  </si>
  <si>
    <t>Swimming Pool Make Up</t>
  </si>
  <si>
    <t>60/F Penthouse Swimming Pools</t>
  </si>
  <si>
    <t>59/F Swimming Pool sub-meter</t>
  </si>
  <si>
    <t>59/F Jacuzzis Pool</t>
  </si>
  <si>
    <t>P6 Swimming Pool (Infinite Pool )</t>
  </si>
  <si>
    <t>P6 Water Feature 1</t>
  </si>
  <si>
    <t>P6 Water Feature 2</t>
  </si>
  <si>
    <t xml:space="preserve">P6 Jacuzzi Pool </t>
  </si>
  <si>
    <t xml:space="preserve">P6 Spa Vitality Pool </t>
  </si>
  <si>
    <t>Canteen Dishwash Area - Cold water supply</t>
  </si>
  <si>
    <t>Canteen Dishwash Area - Hot water supply</t>
  </si>
  <si>
    <t>Canteen Dishwash Area - Hot water return</t>
  </si>
  <si>
    <t>Canteen kitchen / Dishwash Area - Cold water supply</t>
  </si>
  <si>
    <t>Canteen kitchen / Dishwash Area - Hot water supply</t>
  </si>
  <si>
    <t>Canteen kitchen / Dishwash Area - Hot water return</t>
  </si>
  <si>
    <t>LKH kitchen - Cold water supply</t>
  </si>
  <si>
    <t>LKH kitchen - Hot water supply</t>
  </si>
  <si>
    <t>LKH kitchen - Hot Water Return</t>
  </si>
  <si>
    <t>LKH Pantry - Cold water Supply</t>
  </si>
  <si>
    <t>LKH Pantry - Hot water Supply</t>
  </si>
  <si>
    <t>LKH Pantry - Hot water Return</t>
  </si>
  <si>
    <t>LKH Dish washing machine - Water supply</t>
  </si>
  <si>
    <t>Dish Washing Machine - Cold water supply</t>
  </si>
  <si>
    <t>Dish Washing Machine - Hot water supply</t>
  </si>
  <si>
    <t>Dish Washing Machine - Hot water Return</t>
  </si>
  <si>
    <t>Hydro Vent System for LKH, Pool side pantry, P5 Canteen</t>
  </si>
  <si>
    <t>F&amp;B Other Outlet</t>
  </si>
  <si>
    <t>Differecne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</si>
  <si>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</si>
  <si>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</si>
  <si>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</si>
  <si>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</si>
  <si>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</si>
  <si>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Food Covers</t>
  </si>
  <si>
    <t>Natural Gas $/m3</t>
  </si>
  <si>
    <t>Hong Kong</t>
  </si>
  <si>
    <t>Natural Gas (m3)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</si>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</sst>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\-mmm\-yy;@"/>
    <numFmt numFmtId="165" formatCode="0.0"/>
    <numFmt numFmtId="166" formatCode="0.0000"/>
  </numFmts>
  <fonts count="3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6"/>
      <name val="Times New Roman"/>
      <family val="1"/>
    </font>
    <font>
      <sz val="24"/>
      <color theme="1"/>
      <name val="Calibri"/>
      <family val="2"/>
      <scheme val="minor"/>
    </font>
    <font>
      <b/>
      <sz val="24"/>
      <name val="Times New Roman"/>
      <family val="1"/>
    </font>
    <font>
      <b/>
      <sz val="24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16"/>
      <name val="Arial"/>
      <family val="2"/>
    </font>
    <font>
      <b/>
      <sz val="20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sz val="24"/>
      <name val="Times New Roman"/>
      <family val="1"/>
    </font>
    <font>
      <b/>
      <sz val="24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24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2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9" fontId="6" fillId="0" borderId="1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/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2" fontId="9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7" fillId="0" borderId="0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>
      <alignment horizontal="center" vertical="center"/>
    </xf>
    <xf numFmtId="0" fontId="0" fillId="0" borderId="0" xfId="0" applyBorder="1"/>
    <xf numFmtId="164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21" fillId="0" borderId="0" xfId="0" applyFont="1" applyBorder="1" applyAlignment="1">
      <alignment vertical="center"/>
    </xf>
    <xf numFmtId="0" fontId="12" fillId="0" borderId="0" xfId="0" applyFont="1"/>
    <xf numFmtId="0" fontId="24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4" borderId="2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9" fillId="0" borderId="1" xfId="0" applyFont="1" applyBorder="1" applyAlignment="1" applyProtection="1">
      <alignment horizontal="center" vertical="center"/>
      <protection locked="0"/>
    </xf>
    <xf numFmtId="0" fontId="26" fillId="0" borderId="1" xfId="0" applyFont="1" applyBorder="1"/>
    <xf numFmtId="0" fontId="26" fillId="0" borderId="0" xfId="0" applyFont="1"/>
    <xf numFmtId="165" fontId="26" fillId="0" borderId="1" xfId="0" applyNumberFormat="1" applyFont="1" applyBorder="1" applyAlignment="1">
      <alignment horizontal="center" vertical="center"/>
    </xf>
    <xf numFmtId="0" fontId="18" fillId="0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  <protection locked="0"/>
    </xf>
    <xf numFmtId="0" fontId="18" fillId="5" borderId="1" xfId="0" applyFont="1" applyFill="1" applyBorder="1" applyAlignment="1" applyProtection="1">
      <alignment horizontal="center" vertical="center"/>
    </xf>
    <xf numFmtId="0" fontId="27" fillId="0" borderId="1" xfId="0" applyNumberFormat="1" applyFont="1" applyFill="1" applyBorder="1" applyAlignment="1" applyProtection="1">
      <alignment horizontal="center" vertical="center"/>
      <protection locked="0"/>
    </xf>
    <xf numFmtId="2" fontId="27" fillId="0" borderId="1" xfId="0" applyNumberFormat="1" applyFont="1" applyFill="1" applyBorder="1" applyAlignment="1" applyProtection="1">
      <alignment horizontal="center" vertical="center"/>
      <protection locked="0"/>
    </xf>
    <xf numFmtId="0" fontId="27" fillId="0" borderId="1" xfId="0" applyNumberFormat="1" applyFont="1" applyBorder="1" applyAlignment="1" applyProtection="1">
      <alignment horizontal="center" vertical="center"/>
      <protection locked="0"/>
    </xf>
    <xf numFmtId="2" fontId="27" fillId="0" borderId="1" xfId="0" applyNumberFormat="1" applyFont="1" applyBorder="1" applyAlignment="1" applyProtection="1">
      <alignment horizontal="center" vertical="center"/>
      <protection locked="0"/>
    </xf>
    <xf numFmtId="0" fontId="28" fillId="0" borderId="1" xfId="0" applyFont="1" applyBorder="1" applyAlignment="1">
      <alignment horizontal="center" vertical="center"/>
    </xf>
    <xf numFmtId="2" fontId="28" fillId="0" borderId="1" xfId="0" applyNumberFormat="1" applyFont="1" applyBorder="1" applyAlignment="1">
      <alignment horizontal="center" vertical="center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9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0" fillId="0" borderId="0" xfId="0"/>
    <xf numFmtId="1" fontId="0" fillId="0" borderId="1" xfId="0" applyNumberForma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 vertical="center" wrapText="1"/>
    </xf>
    <xf numFmtId="2" fontId="30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3" xfId="0" applyFont="1" applyFill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" vertical="center" wrapText="1"/>
    </xf>
    <xf numFmtId="0" fontId="17" fillId="0" borderId="3" xfId="0" applyFont="1" applyBorder="1" applyAlignment="1" applyProtection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 applyProtection="1">
      <alignment horizontal="center" vertical="center" wrapText="1"/>
    </xf>
    <xf numFmtId="0" fontId="23" fillId="0" borderId="1" xfId="0" applyFont="1" applyBorder="1" applyAlignment="1" applyProtection="1">
      <alignment horizontal="center" vertical="center" wrapText="1"/>
    </xf>
    <xf numFmtId="0" fontId="24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R15" sqref="R15"/>
    </sheetView>
  </sheetViews>
  <sheetFormatPr defaultRowHeight="15" x14ac:dyDescent="0.25"/>
  <cols>
    <col min="1" max="1" width="12" customWidth="1"/>
    <col min="5" max="5" width="11.28515625" customWidth="1"/>
    <col min="6" max="6" width="11.85546875" customWidth="1"/>
    <col min="9" max="9" width="11.7109375" customWidth="1"/>
    <col min="10" max="10" width="11.5703125" customWidth="1"/>
  </cols>
  <sheetData>
    <row r="1" spans="1:12" ht="60" x14ac:dyDescent="0.25">
      <c r="A1" s="127" t="s">
        <v>0</v>
      </c>
      <c r="B1" s="127" t="s">
        <v>1</v>
      </c>
      <c r="C1" s="128" t="s">
        <v>2</v>
      </c>
      <c r="D1" s="127" t="s">
        <v>3</v>
      </c>
      <c r="E1" s="124" t="s">
        <v>226</v>
      </c>
      <c r="F1" s="125" t="s">
        <v>227</v>
      </c>
      <c r="G1" s="139" t="s">
        <v>235</v>
      </c>
      <c r="H1" s="140" t="s">
        <v>232</v>
      </c>
      <c r="I1" s="124" t="s">
        <v>228</v>
      </c>
      <c r="J1" s="126" t="s">
        <v>229</v>
      </c>
      <c r="K1" s="124" t="s">
        <v>230</v>
      </c>
      <c r="L1" s="124" t="s">
        <v>231</v>
      </c>
    </row>
    <row r="2" spans="1:12" x14ac:dyDescent="0.25">
      <c r="A2" s="131" t="s">
        <v>233</v>
      </c>
      <c r="B2" s="132">
        <v>1</v>
      </c>
      <c r="C2" s="133">
        <v>10</v>
      </c>
      <c r="D2" s="132">
        <v>2020</v>
      </c>
      <c r="E2" s="129">
        <f>FSH!E2+FSP!E2</f>
        <v>55843</v>
      </c>
      <c r="F2" s="130"/>
      <c r="G2" s="129">
        <f>(FSH!G2+FSP!G2)/38.3</f>
        <v>4746.9167624020893</v>
      </c>
      <c r="H2" s="130"/>
      <c r="I2" s="129">
        <f>FSH!I2+FSP!I2</f>
        <v>5716.5210000000006</v>
      </c>
      <c r="J2" s="130"/>
      <c r="K2" s="129"/>
      <c r="L2" s="129"/>
    </row>
    <row r="3" spans="1:12" x14ac:dyDescent="0.25">
      <c r="A3" s="131" t="s">
        <v>233</v>
      </c>
      <c r="B3" s="132">
        <v>2</v>
      </c>
      <c r="C3" s="133">
        <v>10</v>
      </c>
      <c r="D3" s="132">
        <v>2020</v>
      </c>
      <c r="E3" s="129">
        <f>FSH!E3+FSP!E3</f>
        <v>45790</v>
      </c>
      <c r="F3" s="130"/>
      <c r="G3" s="135">
        <f>(FSH!G3+FSP!G3)/38.3</f>
        <v>4703.0575456919078</v>
      </c>
      <c r="H3" s="130"/>
      <c r="I3" s="129">
        <f>FSH!I3+FSP!I3</f>
        <v>6054.6900000000023</v>
      </c>
      <c r="J3" s="130"/>
      <c r="K3" s="129"/>
      <c r="L3" s="129"/>
    </row>
    <row r="4" spans="1:12" x14ac:dyDescent="0.25">
      <c r="A4" s="131" t="s">
        <v>233</v>
      </c>
      <c r="B4" s="132">
        <v>3</v>
      </c>
      <c r="C4" s="133">
        <v>10</v>
      </c>
      <c r="D4" s="132">
        <v>2020</v>
      </c>
      <c r="E4" s="129">
        <f>FSH!E4+FSP!E4</f>
        <v>47779</v>
      </c>
      <c r="F4" s="130"/>
      <c r="G4" s="135">
        <f>(FSH!G4+FSP!G4)/38.3</f>
        <v>4921.4901305483017</v>
      </c>
      <c r="H4" s="130"/>
      <c r="I4" s="129">
        <f>FSH!I4+FSP!I4</f>
        <v>5865.878999999999</v>
      </c>
      <c r="J4" s="130"/>
      <c r="K4" s="129"/>
      <c r="L4" s="129"/>
    </row>
    <row r="5" spans="1:12" x14ac:dyDescent="0.25">
      <c r="A5" s="131" t="s">
        <v>233</v>
      </c>
      <c r="B5" s="132">
        <v>4</v>
      </c>
      <c r="C5" s="133">
        <v>10</v>
      </c>
      <c r="D5" s="132">
        <v>2020</v>
      </c>
      <c r="E5" s="129">
        <f>FSH!E5+FSP!E5</f>
        <v>47467</v>
      </c>
      <c r="F5" s="130"/>
      <c r="G5" s="135">
        <f>(FSH!G5+FSP!G5)/38.3</f>
        <v>5035.4882506527347</v>
      </c>
      <c r="H5" s="130"/>
      <c r="I5" s="129">
        <f>FSH!I5+FSP!I5</f>
        <v>6591.4679999999971</v>
      </c>
      <c r="J5" s="130"/>
      <c r="K5" s="129"/>
      <c r="L5" s="129"/>
    </row>
    <row r="6" spans="1:12" x14ac:dyDescent="0.25">
      <c r="A6" s="131" t="s">
        <v>233</v>
      </c>
      <c r="B6" s="132">
        <v>5</v>
      </c>
      <c r="C6" s="133">
        <v>10</v>
      </c>
      <c r="D6" s="132">
        <v>2020</v>
      </c>
      <c r="E6" s="129">
        <f>FSH!E6+FSP!E6</f>
        <v>56715</v>
      </c>
      <c r="F6" s="130"/>
      <c r="G6" s="135">
        <f>(FSH!G6+FSP!G6)/38.3</f>
        <v>4868.805430809397</v>
      </c>
      <c r="H6" s="130"/>
      <c r="I6" s="129">
        <f>FSH!I6+FSP!I6</f>
        <v>6341.4389999999967</v>
      </c>
      <c r="J6" s="130"/>
      <c r="K6" s="129"/>
      <c r="L6" s="129"/>
    </row>
    <row r="7" spans="1:12" x14ac:dyDescent="0.25">
      <c r="A7" s="131" t="s">
        <v>233</v>
      </c>
      <c r="B7" s="132">
        <v>6</v>
      </c>
      <c r="C7" s="133">
        <v>10</v>
      </c>
      <c r="D7" s="132">
        <v>2020</v>
      </c>
      <c r="E7" s="129">
        <f>FSH!E7+FSP!E7</f>
        <v>49049</v>
      </c>
      <c r="F7" s="130"/>
      <c r="G7" s="135">
        <f>(FSH!G7+FSP!G7)/38.3</f>
        <v>4520.9909138381336</v>
      </c>
      <c r="H7" s="130"/>
      <c r="I7" s="129">
        <f>FSH!I7+FSP!I7</f>
        <v>6890.2910000000065</v>
      </c>
      <c r="J7" s="130"/>
      <c r="K7" s="129"/>
      <c r="L7" s="129"/>
    </row>
    <row r="8" spans="1:12" x14ac:dyDescent="0.25">
      <c r="A8" s="131" t="s">
        <v>233</v>
      </c>
      <c r="B8" s="132">
        <v>7</v>
      </c>
      <c r="C8" s="133">
        <v>10</v>
      </c>
      <c r="D8" s="132">
        <v>2020</v>
      </c>
      <c r="E8" s="129">
        <f>FSH!E8+FSP!E8</f>
        <v>43698</v>
      </c>
      <c r="F8" s="130"/>
      <c r="G8" s="135">
        <f>(FSH!G8+FSP!G8)/38.3</f>
        <v>4579.1674151435964</v>
      </c>
      <c r="H8" s="130"/>
      <c r="I8" s="129">
        <f>FSH!I8+FSP!I8</f>
        <v>5374.7749999999978</v>
      </c>
      <c r="J8" s="130"/>
      <c r="K8" s="129"/>
      <c r="L8" s="129"/>
    </row>
    <row r="9" spans="1:12" x14ac:dyDescent="0.25">
      <c r="A9" s="131" t="s">
        <v>233</v>
      </c>
      <c r="B9" s="132">
        <v>8</v>
      </c>
      <c r="C9" s="133">
        <v>10</v>
      </c>
      <c r="D9" s="132">
        <v>2020</v>
      </c>
      <c r="E9" s="129">
        <f>FSH!E9+FSP!E9</f>
        <v>45508</v>
      </c>
      <c r="F9" s="130"/>
      <c r="G9" s="135">
        <f>(FSH!G9+FSP!G9)/38.3</f>
        <v>4617.8306005221939</v>
      </c>
      <c r="H9" s="130"/>
      <c r="I9" s="129">
        <f>FSH!I9+FSP!I9</f>
        <v>5381.7590000000037</v>
      </c>
      <c r="J9" s="130"/>
      <c r="K9" s="129"/>
      <c r="L9" s="129"/>
    </row>
    <row r="10" spans="1:12" x14ac:dyDescent="0.25">
      <c r="A10" s="131" t="s">
        <v>233</v>
      </c>
      <c r="B10" s="132">
        <v>9</v>
      </c>
      <c r="C10" s="133">
        <v>10</v>
      </c>
      <c r="D10" s="132">
        <v>2020</v>
      </c>
      <c r="E10" s="129">
        <f>FSH!E10+FSP!E10</f>
        <v>46757</v>
      </c>
      <c r="F10" s="130"/>
      <c r="G10" s="135">
        <f>(FSH!G10+FSP!G10)/38.3</f>
        <v>4847.387154047</v>
      </c>
      <c r="H10" s="130"/>
      <c r="I10" s="129">
        <f>FSH!I10+FSP!I10</f>
        <v>5799.522999999992</v>
      </c>
      <c r="J10" s="130"/>
      <c r="K10" s="129"/>
      <c r="L10" s="129"/>
    </row>
    <row r="11" spans="1:12" x14ac:dyDescent="0.25">
      <c r="A11" s="131" t="s">
        <v>233</v>
      </c>
      <c r="B11" s="132">
        <v>10</v>
      </c>
      <c r="C11" s="133">
        <v>10</v>
      </c>
      <c r="D11" s="132">
        <v>2020</v>
      </c>
      <c r="E11" s="129">
        <f>FSH!E11+FSP!E11</f>
        <v>45961</v>
      </c>
      <c r="F11" s="130"/>
      <c r="G11" s="135">
        <f>(FSH!G11+FSP!G11)/38.3</f>
        <v>4907.1853785900712</v>
      </c>
      <c r="H11" s="130"/>
      <c r="I11" s="129">
        <f>FSH!I11+FSP!I11</f>
        <v>6273.6410000000014</v>
      </c>
      <c r="J11" s="130"/>
      <c r="K11" s="129"/>
      <c r="L11" s="129"/>
    </row>
    <row r="12" spans="1:12" x14ac:dyDescent="0.25">
      <c r="A12" s="131" t="s">
        <v>233</v>
      </c>
      <c r="B12" s="132">
        <v>11</v>
      </c>
      <c r="C12" s="133">
        <v>10</v>
      </c>
      <c r="D12" s="132">
        <v>2020</v>
      </c>
      <c r="E12" s="129">
        <f>FSH!E12+FSP!E12</f>
        <v>45718</v>
      </c>
      <c r="F12" s="130"/>
      <c r="G12" s="135">
        <f>(FSH!G12+FSP!G12)/38.3</f>
        <v>6259.5057963446452</v>
      </c>
      <c r="H12" s="130"/>
      <c r="I12" s="129">
        <f>FSH!I12+FSP!I12</f>
        <v>6734.9610000000011</v>
      </c>
      <c r="J12" s="130"/>
      <c r="K12" s="129"/>
      <c r="L12" s="129"/>
    </row>
    <row r="13" spans="1:12" x14ac:dyDescent="0.25">
      <c r="A13" s="131" t="s">
        <v>233</v>
      </c>
      <c r="B13" s="132">
        <v>12</v>
      </c>
      <c r="C13" s="133">
        <v>10</v>
      </c>
      <c r="D13" s="132">
        <v>2020</v>
      </c>
      <c r="E13" s="129">
        <f>FSH!E13+FSP!E13</f>
        <v>47917</v>
      </c>
      <c r="F13" s="130"/>
      <c r="G13" s="135">
        <f>(FSH!G13+FSP!G13)/38.3</f>
        <v>3567.2960835509125</v>
      </c>
      <c r="H13" s="130"/>
      <c r="I13" s="129">
        <f>FSH!I13+FSP!I13</f>
        <v>6496.3330000000005</v>
      </c>
      <c r="J13" s="130"/>
      <c r="K13" s="129"/>
      <c r="L13" s="129"/>
    </row>
    <row r="14" spans="1:12" x14ac:dyDescent="0.25">
      <c r="A14" s="131" t="s">
        <v>233</v>
      </c>
      <c r="B14" s="132">
        <v>13</v>
      </c>
      <c r="C14" s="133">
        <v>10</v>
      </c>
      <c r="D14" s="132">
        <v>2020</v>
      </c>
      <c r="E14" s="129">
        <f>FSH!E14+FSP!E14</f>
        <v>46037</v>
      </c>
      <c r="F14" s="130"/>
      <c r="G14" s="135">
        <f>(FSH!G14+FSP!G14)/38.3</f>
        <v>3277.2156657963537</v>
      </c>
      <c r="H14" s="130"/>
      <c r="I14" s="129">
        <f>FSH!I14+FSP!I14</f>
        <v>5314.3280000000013</v>
      </c>
      <c r="J14" s="130"/>
      <c r="K14" s="129"/>
      <c r="L14" s="129"/>
    </row>
    <row r="15" spans="1:12" x14ac:dyDescent="0.25">
      <c r="A15" s="131" t="s">
        <v>233</v>
      </c>
      <c r="B15" s="132">
        <v>14</v>
      </c>
      <c r="C15" s="133">
        <v>10</v>
      </c>
      <c r="D15" s="132">
        <v>2020</v>
      </c>
      <c r="E15" s="129">
        <f>FSH!E15+FSP!E15</f>
        <v>47650</v>
      </c>
      <c r="F15" s="130"/>
      <c r="G15" s="135">
        <f>(FSH!G15+FSP!G15)/38.3</f>
        <v>5812.7385900783365</v>
      </c>
      <c r="H15" s="130"/>
      <c r="I15" s="129">
        <f>FSH!I15+FSP!I15</f>
        <v>4920.5680000000029</v>
      </c>
      <c r="J15" s="130"/>
      <c r="K15" s="129"/>
      <c r="L15" s="129"/>
    </row>
    <row r="16" spans="1:12" x14ac:dyDescent="0.25">
      <c r="A16" s="131" t="s">
        <v>233</v>
      </c>
      <c r="B16" s="132">
        <v>15</v>
      </c>
      <c r="C16" s="133">
        <v>10</v>
      </c>
      <c r="D16" s="132">
        <v>2020</v>
      </c>
      <c r="E16" s="129">
        <f>FSH!E16+FSP!E16</f>
        <v>48709</v>
      </c>
      <c r="F16" s="130"/>
      <c r="G16" s="135">
        <f>(FSH!G16+FSP!G16)/38.3</f>
        <v>4656.1591644908603</v>
      </c>
      <c r="H16" s="130"/>
      <c r="I16" s="129">
        <f>FSH!I16+FSP!I16</f>
        <v>4697.9590000000007</v>
      </c>
      <c r="J16" s="130"/>
      <c r="K16" s="129"/>
      <c r="L16" s="129"/>
    </row>
    <row r="17" spans="1:12" x14ac:dyDescent="0.25">
      <c r="A17" s="131" t="s">
        <v>233</v>
      </c>
      <c r="B17" s="132">
        <v>16</v>
      </c>
      <c r="C17" s="133">
        <v>10</v>
      </c>
      <c r="D17" s="132">
        <v>2020</v>
      </c>
      <c r="E17" s="129">
        <f>FSH!E17+FSP!E17</f>
        <v>53526</v>
      </c>
      <c r="F17" s="130"/>
      <c r="G17" s="135">
        <f>(FSH!G17+FSP!G17)/38.3</f>
        <v>4593.6714360313299</v>
      </c>
      <c r="H17" s="130"/>
      <c r="I17" s="129">
        <f>FSH!I17+FSP!I17</f>
        <v>5696.9899999999943</v>
      </c>
      <c r="J17" s="130"/>
      <c r="K17" s="129"/>
      <c r="L17" s="129"/>
    </row>
    <row r="18" spans="1:12" x14ac:dyDescent="0.25">
      <c r="A18" s="131" t="s">
        <v>233</v>
      </c>
      <c r="B18" s="132">
        <v>17</v>
      </c>
      <c r="C18" s="133">
        <v>10</v>
      </c>
      <c r="D18" s="132">
        <v>2020</v>
      </c>
      <c r="E18" s="129">
        <f>FSH!E18+FSP!E18</f>
        <v>51684</v>
      </c>
      <c r="F18" s="130"/>
      <c r="G18" s="135">
        <f>(FSH!G18+FSP!G18)/38.3</f>
        <v>4627.5910182767639</v>
      </c>
      <c r="H18" s="130"/>
      <c r="I18" s="129">
        <f>FSH!I18+FSP!I18</f>
        <v>5672.9989999999998</v>
      </c>
      <c r="J18" s="130"/>
      <c r="K18" s="129"/>
      <c r="L18" s="129"/>
    </row>
    <row r="19" spans="1:12" x14ac:dyDescent="0.25">
      <c r="A19" s="131" t="s">
        <v>233</v>
      </c>
      <c r="B19" s="132">
        <v>18</v>
      </c>
      <c r="C19" s="133">
        <v>10</v>
      </c>
      <c r="D19" s="132">
        <v>2020</v>
      </c>
      <c r="E19" s="129">
        <f>FSH!E19+FSP!E19</f>
        <v>49171</v>
      </c>
      <c r="F19" s="130"/>
      <c r="G19" s="135">
        <f>(FSH!G19+FSP!G19)/38.3</f>
        <v>4809.7065274151382</v>
      </c>
      <c r="H19" s="130"/>
      <c r="I19" s="129">
        <f>FSH!I19+FSP!I19</f>
        <v>6713.598</v>
      </c>
      <c r="J19" s="130"/>
      <c r="K19" s="129"/>
      <c r="L19" s="129"/>
    </row>
    <row r="20" spans="1:12" x14ac:dyDescent="0.25">
      <c r="A20" s="131" t="s">
        <v>233</v>
      </c>
      <c r="B20" s="132">
        <v>19</v>
      </c>
      <c r="C20" s="133">
        <v>10</v>
      </c>
      <c r="D20" s="132">
        <v>2020</v>
      </c>
      <c r="E20" s="129">
        <f>FSH!E20+FSP!E20</f>
        <v>44440</v>
      </c>
      <c r="F20" s="130"/>
      <c r="G20" s="135">
        <f>(FSH!G20+FSP!G20)/38.3</f>
        <v>4920.4486684073208</v>
      </c>
      <c r="H20" s="130"/>
      <c r="I20" s="129">
        <f>FSH!I20+FSP!I20</f>
        <v>5979.4200000000019</v>
      </c>
      <c r="J20" s="130"/>
      <c r="K20" s="129"/>
      <c r="L20" s="129"/>
    </row>
    <row r="21" spans="1:12" x14ac:dyDescent="0.25">
      <c r="A21" s="131" t="s">
        <v>233</v>
      </c>
      <c r="B21" s="132">
        <v>20</v>
      </c>
      <c r="C21" s="133">
        <v>10</v>
      </c>
      <c r="D21" s="132">
        <v>2020</v>
      </c>
      <c r="E21" s="129">
        <f>FSH!E21+FSP!E21</f>
        <v>46864</v>
      </c>
      <c r="F21" s="130"/>
      <c r="G21" s="135">
        <f>(FSH!G21+FSP!G21)/38.3</f>
        <v>5189.2210966057337</v>
      </c>
      <c r="H21" s="130"/>
      <c r="I21" s="129">
        <f>FSH!I21+FSP!I21</f>
        <v>6563.4110000000001</v>
      </c>
      <c r="J21" s="130"/>
      <c r="K21" s="129"/>
      <c r="L21" s="129"/>
    </row>
    <row r="22" spans="1:12" x14ac:dyDescent="0.25">
      <c r="A22" s="131" t="s">
        <v>233</v>
      </c>
      <c r="B22" s="132">
        <v>21</v>
      </c>
      <c r="C22" s="133">
        <v>10</v>
      </c>
      <c r="D22" s="132">
        <v>2020</v>
      </c>
      <c r="E22" s="129">
        <f>FSH!E22+FSP!E22</f>
        <v>40854</v>
      </c>
      <c r="F22" s="130"/>
      <c r="G22" s="135">
        <f>(FSH!G22+FSP!G22)/38.3</f>
        <v>4638.1134203655465</v>
      </c>
      <c r="H22" s="130"/>
      <c r="I22" s="129">
        <f>FSH!I22+FSP!I22</f>
        <v>5603.2819999999992</v>
      </c>
      <c r="J22" s="130"/>
      <c r="K22" s="129"/>
      <c r="L22" s="129"/>
    </row>
    <row r="23" spans="1:12" x14ac:dyDescent="0.25">
      <c r="A23" s="131" t="s">
        <v>233</v>
      </c>
      <c r="B23" s="132">
        <v>22</v>
      </c>
      <c r="C23" s="133">
        <v>10</v>
      </c>
      <c r="D23" s="132">
        <v>2020</v>
      </c>
      <c r="E23" s="129">
        <f>FSH!E23+FSP!E23</f>
        <v>42458</v>
      </c>
      <c r="F23" s="130"/>
      <c r="G23" s="135">
        <f>(FSH!G23+FSP!G23)/38.3</f>
        <v>4846.0073107049511</v>
      </c>
      <c r="H23" s="130"/>
      <c r="I23" s="129">
        <f>FSH!I23+FSP!I23</f>
        <v>5268.2060000000001</v>
      </c>
      <c r="J23" s="130"/>
      <c r="K23" s="129"/>
      <c r="L23" s="129"/>
    </row>
    <row r="24" spans="1:12" x14ac:dyDescent="0.25">
      <c r="A24" s="131" t="s">
        <v>233</v>
      </c>
      <c r="B24" s="132">
        <v>23</v>
      </c>
      <c r="C24" s="133">
        <v>10</v>
      </c>
      <c r="D24" s="132">
        <v>2020</v>
      </c>
      <c r="E24" s="129">
        <f>FSH!E24+FSP!E24</f>
        <v>44231</v>
      </c>
      <c r="F24" s="130"/>
      <c r="G24" s="135">
        <f>(FSH!G24+FSP!G24)/38.3</f>
        <v>4864.1207310704967</v>
      </c>
      <c r="H24" s="130"/>
      <c r="I24" s="129">
        <f>FSH!I24+FSP!I24</f>
        <v>5648.8580000000002</v>
      </c>
      <c r="J24" s="130"/>
      <c r="K24" s="129"/>
      <c r="L24" s="129"/>
    </row>
    <row r="25" spans="1:12" x14ac:dyDescent="0.25">
      <c r="A25" s="131" t="s">
        <v>233</v>
      </c>
      <c r="B25" s="132">
        <v>24</v>
      </c>
      <c r="C25" s="133">
        <v>10</v>
      </c>
      <c r="D25" s="132">
        <v>2020</v>
      </c>
      <c r="E25" s="129">
        <f>FSH!E25+FSP!E25</f>
        <v>41404</v>
      </c>
      <c r="F25" s="130"/>
      <c r="G25" s="135">
        <f>(FSH!G25+FSP!G25)/38.3</f>
        <v>4890.6059530026141</v>
      </c>
      <c r="H25" s="130"/>
      <c r="I25" s="129">
        <f>FSH!I25+FSP!I25</f>
        <v>5866.0939999999991</v>
      </c>
      <c r="J25" s="130"/>
      <c r="K25" s="129"/>
      <c r="L25" s="129"/>
    </row>
    <row r="26" spans="1:12" x14ac:dyDescent="0.25">
      <c r="A26" s="131" t="s">
        <v>233</v>
      </c>
      <c r="B26" s="132">
        <v>25</v>
      </c>
      <c r="C26" s="133">
        <v>10</v>
      </c>
      <c r="D26" s="132">
        <v>2020</v>
      </c>
      <c r="E26" s="129">
        <f>FSH!E26+FSP!E26</f>
        <v>45679</v>
      </c>
      <c r="F26" s="130"/>
      <c r="G26" s="135">
        <f>(FSH!G26+FSP!G26)/38.3</f>
        <v>5111.1014099216627</v>
      </c>
      <c r="H26" s="130"/>
      <c r="I26" s="129">
        <f>FSH!I26+FSP!I26</f>
        <v>6656.107</v>
      </c>
      <c r="J26" s="130"/>
      <c r="K26" s="129"/>
      <c r="L26" s="129"/>
    </row>
    <row r="27" spans="1:12" x14ac:dyDescent="0.25">
      <c r="A27" s="131" t="s">
        <v>233</v>
      </c>
      <c r="B27" s="132">
        <v>26</v>
      </c>
      <c r="C27" s="133">
        <v>10</v>
      </c>
      <c r="D27" s="132">
        <v>2020</v>
      </c>
      <c r="E27" s="129">
        <f>FSH!E27+FSP!E27</f>
        <v>47526</v>
      </c>
      <c r="F27" s="130"/>
      <c r="G27" s="135">
        <f>(FSH!G27+FSP!G27)/38.3</f>
        <v>5189.4191122715438</v>
      </c>
      <c r="H27" s="130"/>
      <c r="I27" s="129">
        <f>FSH!I27+FSP!I27</f>
        <v>6633.8440000000046</v>
      </c>
      <c r="J27" s="130"/>
      <c r="K27" s="129"/>
      <c r="L27" s="129"/>
    </row>
    <row r="28" spans="1:12" x14ac:dyDescent="0.25">
      <c r="A28" s="131" t="s">
        <v>233</v>
      </c>
      <c r="B28" s="132">
        <v>27</v>
      </c>
      <c r="C28" s="133">
        <v>10</v>
      </c>
      <c r="D28" s="132">
        <v>2020</v>
      </c>
      <c r="E28" s="129">
        <f>FSH!E28+FSP!E28</f>
        <v>47218</v>
      </c>
      <c r="F28" s="130"/>
      <c r="G28" s="135">
        <f>(FSH!G28+FSP!G28)/38.3</f>
        <v>5116.3951958224661</v>
      </c>
      <c r="H28" s="130"/>
      <c r="I28" s="129">
        <f>FSH!I28+FSP!I28</f>
        <v>6567.9009999999926</v>
      </c>
      <c r="J28" s="130"/>
      <c r="K28" s="129"/>
      <c r="L28" s="129"/>
    </row>
    <row r="29" spans="1:12" x14ac:dyDescent="0.25">
      <c r="A29" s="131" t="s">
        <v>233</v>
      </c>
      <c r="B29" s="132">
        <v>28</v>
      </c>
      <c r="C29" s="133">
        <v>10</v>
      </c>
      <c r="D29" s="132">
        <v>2020</v>
      </c>
      <c r="E29" s="129">
        <f>FSH!E29+FSP!E29</f>
        <v>45565</v>
      </c>
      <c r="F29" s="130"/>
      <c r="G29" s="135">
        <f>(FSH!G29+FSP!G29)/38.3</f>
        <v>4845.4608877284481</v>
      </c>
      <c r="H29" s="130"/>
      <c r="I29" s="129">
        <f>FSH!I29+FSP!I29</f>
        <v>5974.0660000000062</v>
      </c>
      <c r="J29" s="130"/>
      <c r="K29" s="129"/>
      <c r="L29" s="129"/>
    </row>
    <row r="30" spans="1:12" x14ac:dyDescent="0.25">
      <c r="A30" s="131" t="s">
        <v>233</v>
      </c>
      <c r="B30" s="132">
        <v>29</v>
      </c>
      <c r="C30" s="133">
        <v>10</v>
      </c>
      <c r="D30" s="132">
        <v>2020</v>
      </c>
      <c r="E30" s="129">
        <f>FSH!E30+FSP!E30</f>
        <v>42080</v>
      </c>
      <c r="F30" s="130"/>
      <c r="G30" s="135">
        <f>(FSH!G30+FSP!G30)/38.3</f>
        <v>4990.4797911227261</v>
      </c>
      <c r="H30" s="130"/>
      <c r="I30" s="129">
        <f>FSH!I30+FSP!I30</f>
        <v>5803.4029999999966</v>
      </c>
      <c r="J30" s="130"/>
      <c r="K30" s="129"/>
      <c r="L30" s="129"/>
    </row>
    <row r="31" spans="1:12" x14ac:dyDescent="0.25">
      <c r="A31" s="131" t="s">
        <v>233</v>
      </c>
      <c r="B31" s="132">
        <v>30</v>
      </c>
      <c r="C31" s="133">
        <v>10</v>
      </c>
      <c r="D31" s="132">
        <v>2020</v>
      </c>
      <c r="E31" s="129">
        <f>FSH!E31+FSP!E31</f>
        <v>41006</v>
      </c>
      <c r="F31" s="130"/>
      <c r="G31" s="135">
        <f>(FSH!G31+FSP!G31)/38.3</f>
        <v>4970.5378590078299</v>
      </c>
      <c r="H31" s="130"/>
      <c r="I31" s="129">
        <f>FSH!I31+FSP!I31</f>
        <v>17420.195000000003</v>
      </c>
      <c r="J31" s="130"/>
      <c r="K31" s="129"/>
      <c r="L31" s="129"/>
    </row>
    <row r="32" spans="1:12" x14ac:dyDescent="0.25">
      <c r="A32" s="136" t="s">
        <v>233</v>
      </c>
      <c r="B32" s="137">
        <v>31</v>
      </c>
      <c r="C32" s="138">
        <v>10</v>
      </c>
      <c r="D32" s="137">
        <v>2020</v>
      </c>
      <c r="E32" s="135">
        <f>FSH!E32+FSP!E32</f>
        <v>0</v>
      </c>
      <c r="F32" s="130"/>
      <c r="G32" s="135">
        <f>(FSH!G32+FSP!G32)/38.3</f>
        <v>3257.615874673636</v>
      </c>
      <c r="H32" s="130"/>
      <c r="I32" s="135">
        <f>FSH!I32+FSP!I32</f>
        <v>0</v>
      </c>
      <c r="J32" s="130"/>
      <c r="K32" s="135"/>
      <c r="L32" s="1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E32" sqref="E32"/>
    </sheetView>
  </sheetViews>
  <sheetFormatPr defaultRowHeight="15" x14ac:dyDescent="0.2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 x14ac:dyDescent="0.25">
      <c r="A1" s="127" t="s">
        <v>0</v>
      </c>
      <c r="B1" s="127" t="s">
        <v>1</v>
      </c>
      <c r="C1" s="128" t="s">
        <v>2</v>
      </c>
      <c r="D1" s="127" t="s">
        <v>3</v>
      </c>
      <c r="E1" s="124" t="s">
        <v>226</v>
      </c>
      <c r="F1" s="125" t="s">
        <v>227</v>
      </c>
      <c r="G1" s="124" t="s">
        <v>234</v>
      </c>
      <c r="H1" s="125" t="s">
        <v>232</v>
      </c>
      <c r="I1" s="124" t="s">
        <v>228</v>
      </c>
      <c r="J1" s="126" t="s">
        <v>229</v>
      </c>
      <c r="K1" s="124" t="s">
        <v>230</v>
      </c>
      <c r="L1" s="124" t="s">
        <v>231</v>
      </c>
    </row>
    <row r="2" spans="1:12" x14ac:dyDescent="0.25">
      <c r="A2" s="131" t="s">
        <v>10</v>
      </c>
      <c r="B2" s="132">
        <v>1</v>
      </c>
      <c r="C2" s="133">
        <v>9</v>
      </c>
      <c r="D2" s="132">
        <v>2020</v>
      </c>
      <c r="E2" s="129">
        <f>Electricity!AK8</f>
        <v>44610</v>
      </c>
      <c r="F2" s="130"/>
      <c r="G2" s="129">
        <f>Gas!BH9</f>
        <v>114942.91200000001</v>
      </c>
      <c r="H2" s="130"/>
      <c r="I2" s="129">
        <f>Water!R7</f>
        <v>4343.5210000000006</v>
      </c>
      <c r="J2" s="130"/>
      <c r="K2" s="129"/>
      <c r="L2" s="129"/>
    </row>
    <row r="3" spans="1:12" x14ac:dyDescent="0.25">
      <c r="A3" s="131" t="s">
        <v>10</v>
      </c>
      <c r="B3" s="132">
        <v>2</v>
      </c>
      <c r="C3" s="133">
        <v>9</v>
      </c>
      <c r="D3" s="132">
        <v>2020</v>
      </c>
      <c r="E3" s="129">
        <f>Electricity!AK9</f>
        <v>38661.5</v>
      </c>
      <c r="F3" s="130"/>
      <c r="G3" s="129">
        <f>Gas!BH10</f>
        <v>114136.70400000006</v>
      </c>
      <c r="H3" s="130"/>
      <c r="I3" s="129">
        <f>Water!R8</f>
        <v>4715.1900000000023</v>
      </c>
      <c r="J3" s="130"/>
      <c r="K3" s="129"/>
      <c r="L3" s="129"/>
    </row>
    <row r="4" spans="1:12" x14ac:dyDescent="0.25">
      <c r="A4" s="131" t="s">
        <v>10</v>
      </c>
      <c r="B4" s="132">
        <v>3</v>
      </c>
      <c r="C4" s="133">
        <v>9</v>
      </c>
      <c r="D4" s="132">
        <v>2020</v>
      </c>
      <c r="E4" s="129">
        <f>Electricity!AK10</f>
        <v>39886</v>
      </c>
      <c r="F4" s="130"/>
      <c r="G4" s="129">
        <f>Gas!BH11</f>
        <v>121859.47199999992</v>
      </c>
      <c r="H4" s="130"/>
      <c r="I4" s="129">
        <f>Water!R9</f>
        <v>4534.378999999999</v>
      </c>
      <c r="J4" s="130"/>
      <c r="K4" s="129"/>
      <c r="L4" s="129"/>
    </row>
    <row r="5" spans="1:12" x14ac:dyDescent="0.25">
      <c r="A5" s="131" t="s">
        <v>10</v>
      </c>
      <c r="B5" s="132">
        <v>4</v>
      </c>
      <c r="C5" s="133">
        <v>9</v>
      </c>
      <c r="D5" s="132">
        <v>2020</v>
      </c>
      <c r="E5" s="129">
        <f>Electricity!AK11</f>
        <v>39482</v>
      </c>
      <c r="F5" s="130"/>
      <c r="G5" s="129">
        <f>Gas!BH12</f>
        <v>124631.99999999972</v>
      </c>
      <c r="H5" s="130"/>
      <c r="I5" s="129">
        <f>Water!R10</f>
        <v>4891.9679999999971</v>
      </c>
      <c r="J5" s="130"/>
      <c r="K5" s="129"/>
      <c r="L5" s="129"/>
    </row>
    <row r="6" spans="1:12" x14ac:dyDescent="0.25">
      <c r="A6" s="131" t="s">
        <v>10</v>
      </c>
      <c r="B6" s="132">
        <v>5</v>
      </c>
      <c r="C6" s="133">
        <v>9</v>
      </c>
      <c r="D6" s="132">
        <v>2020</v>
      </c>
      <c r="E6" s="129">
        <f>Electricity!AK12</f>
        <v>44027</v>
      </c>
      <c r="F6" s="130"/>
      <c r="G6" s="129">
        <f>Gas!BH13</f>
        <v>119640.04799999991</v>
      </c>
      <c r="H6" s="130"/>
      <c r="I6" s="129">
        <f>Water!R11</f>
        <v>4910.4389999999967</v>
      </c>
      <c r="J6" s="130"/>
      <c r="K6" s="129"/>
      <c r="L6" s="129"/>
    </row>
    <row r="7" spans="1:12" x14ac:dyDescent="0.25">
      <c r="A7" s="131" t="s">
        <v>10</v>
      </c>
      <c r="B7" s="132">
        <v>6</v>
      </c>
      <c r="C7" s="133">
        <v>9</v>
      </c>
      <c r="D7" s="132">
        <v>2020</v>
      </c>
      <c r="E7" s="129">
        <f>Electricity!AK13</f>
        <v>39508.5</v>
      </c>
      <c r="F7" s="130"/>
      <c r="G7" s="129">
        <f>Gas!BH14</f>
        <v>111109.15200000051</v>
      </c>
      <c r="H7" s="130"/>
      <c r="I7" s="129">
        <f>Water!R12</f>
        <v>5110.2910000000065</v>
      </c>
      <c r="J7" s="130"/>
      <c r="K7" s="129"/>
      <c r="L7" s="129"/>
    </row>
    <row r="8" spans="1:12" x14ac:dyDescent="0.25">
      <c r="A8" s="131" t="s">
        <v>10</v>
      </c>
      <c r="B8" s="132">
        <v>7</v>
      </c>
      <c r="C8" s="133">
        <v>9</v>
      </c>
      <c r="D8" s="132">
        <v>2020</v>
      </c>
      <c r="E8" s="129">
        <f>Electricity!AK14</f>
        <v>36384</v>
      </c>
      <c r="F8" s="130"/>
      <c r="G8" s="129">
        <f>Gas!BH15</f>
        <v>111388.51199999973</v>
      </c>
      <c r="H8" s="130"/>
      <c r="I8" s="129">
        <f>Water!R13</f>
        <v>4061.7749999999978</v>
      </c>
      <c r="J8" s="130"/>
      <c r="K8" s="129"/>
      <c r="L8" s="129"/>
    </row>
    <row r="9" spans="1:12" x14ac:dyDescent="0.25">
      <c r="A9" s="131" t="s">
        <v>10</v>
      </c>
      <c r="B9" s="132">
        <v>8</v>
      </c>
      <c r="C9" s="133">
        <v>9</v>
      </c>
      <c r="D9" s="132">
        <v>2020</v>
      </c>
      <c r="E9" s="129">
        <f>Electricity!AK15</f>
        <v>38124</v>
      </c>
      <c r="F9" s="130"/>
      <c r="G9" s="129">
        <f>Gas!BH16</f>
        <v>112629.31200000001</v>
      </c>
      <c r="H9" s="130"/>
      <c r="I9" s="129">
        <f>Water!R14</f>
        <v>3919.7590000000037</v>
      </c>
      <c r="J9" s="130"/>
      <c r="K9" s="129"/>
      <c r="L9" s="129"/>
    </row>
    <row r="10" spans="1:12" x14ac:dyDescent="0.25">
      <c r="A10" s="131" t="s">
        <v>10</v>
      </c>
      <c r="B10" s="132">
        <v>9</v>
      </c>
      <c r="C10" s="133">
        <v>9</v>
      </c>
      <c r="D10" s="132">
        <v>2020</v>
      </c>
      <c r="E10" s="129">
        <f>Electricity!AK16</f>
        <v>39259</v>
      </c>
      <c r="F10" s="130"/>
      <c r="G10" s="129">
        <f>Gas!BH17</f>
        <v>118474.12800000007</v>
      </c>
      <c r="H10" s="130"/>
      <c r="I10" s="129">
        <f>Water!R15</f>
        <v>4450.022999999992</v>
      </c>
      <c r="J10" s="130"/>
      <c r="K10" s="129"/>
      <c r="L10" s="129"/>
    </row>
    <row r="11" spans="1:12" x14ac:dyDescent="0.25">
      <c r="A11" s="131" t="s">
        <v>10</v>
      </c>
      <c r="B11" s="132">
        <v>10</v>
      </c>
      <c r="C11" s="133">
        <v>9</v>
      </c>
      <c r="D11" s="132">
        <v>2020</v>
      </c>
      <c r="E11" s="129">
        <f>Electricity!AK17</f>
        <v>39159.5</v>
      </c>
      <c r="F11" s="130"/>
      <c r="G11" s="129">
        <f>Gas!BH18</f>
        <v>122213.99999999971</v>
      </c>
      <c r="H11" s="130"/>
      <c r="I11" s="129">
        <f>Water!R16</f>
        <v>4779.6410000000014</v>
      </c>
      <c r="J11" s="130"/>
      <c r="K11" s="129"/>
      <c r="L11" s="129"/>
    </row>
    <row r="12" spans="1:12" x14ac:dyDescent="0.25">
      <c r="A12" s="131" t="s">
        <v>10</v>
      </c>
      <c r="B12" s="132">
        <v>11</v>
      </c>
      <c r="C12" s="133">
        <v>9</v>
      </c>
      <c r="D12" s="132">
        <v>2020</v>
      </c>
      <c r="E12" s="129">
        <f>Electricity!AK18</f>
        <v>38879</v>
      </c>
      <c r="F12" s="130"/>
      <c r="G12" s="129">
        <f>Gas!BH19</f>
        <v>155076.6719999999</v>
      </c>
      <c r="H12" s="130"/>
      <c r="I12" s="129">
        <f>Water!R17</f>
        <v>5234.4610000000011</v>
      </c>
      <c r="J12" s="130"/>
      <c r="K12" s="129"/>
      <c r="L12" s="129"/>
    </row>
    <row r="13" spans="1:12" x14ac:dyDescent="0.25">
      <c r="A13" s="131" t="s">
        <v>10</v>
      </c>
      <c r="B13" s="132">
        <v>12</v>
      </c>
      <c r="C13" s="133">
        <v>9</v>
      </c>
      <c r="D13" s="132">
        <v>2020</v>
      </c>
      <c r="E13" s="129">
        <f>Electricity!AK19</f>
        <v>39715.5</v>
      </c>
      <c r="F13" s="130"/>
      <c r="G13" s="129">
        <f>Gas!BH20</f>
        <v>89961.839999999938</v>
      </c>
      <c r="H13" s="130"/>
      <c r="I13" s="129">
        <f>Water!R18</f>
        <v>5087.8330000000005</v>
      </c>
      <c r="J13" s="130"/>
      <c r="K13" s="129"/>
      <c r="L13" s="129"/>
    </row>
    <row r="14" spans="1:12" x14ac:dyDescent="0.25">
      <c r="A14" s="131" t="s">
        <v>10</v>
      </c>
      <c r="B14" s="132">
        <v>13</v>
      </c>
      <c r="C14" s="133">
        <v>9</v>
      </c>
      <c r="D14" s="132">
        <v>2020</v>
      </c>
      <c r="E14" s="129">
        <f>Electricity!AK20</f>
        <v>37910.5</v>
      </c>
      <c r="F14" s="130"/>
      <c r="G14" s="129">
        <f>Gas!BH21</f>
        <v>112144.56000000033</v>
      </c>
      <c r="H14" s="130"/>
      <c r="I14" s="129">
        <f>Water!R19</f>
        <v>3935.8280000000013</v>
      </c>
      <c r="J14" s="130"/>
      <c r="K14" s="129"/>
      <c r="L14" s="129"/>
    </row>
    <row r="15" spans="1:12" x14ac:dyDescent="0.25">
      <c r="A15" s="131" t="s">
        <v>10</v>
      </c>
      <c r="B15" s="132">
        <v>14</v>
      </c>
      <c r="C15" s="133">
        <v>9</v>
      </c>
      <c r="D15" s="132">
        <v>2020</v>
      </c>
      <c r="E15" s="129">
        <f>Electricity!AK21</f>
        <v>38535.5</v>
      </c>
      <c r="F15" s="130"/>
      <c r="G15" s="129">
        <f>Gas!BH22</f>
        <v>111210.28800000026</v>
      </c>
      <c r="H15" s="130"/>
      <c r="I15" s="129">
        <f>Water!R20</f>
        <v>3528.0680000000029</v>
      </c>
      <c r="J15" s="130"/>
      <c r="K15" s="129"/>
      <c r="L15" s="129"/>
    </row>
    <row r="16" spans="1:12" x14ac:dyDescent="0.25">
      <c r="A16" s="131" t="s">
        <v>10</v>
      </c>
      <c r="B16" s="132">
        <v>15</v>
      </c>
      <c r="C16" s="133">
        <v>9</v>
      </c>
      <c r="D16" s="132">
        <v>2020</v>
      </c>
      <c r="E16" s="129">
        <f>Electricity!AK22</f>
        <v>38768.5</v>
      </c>
      <c r="F16" s="130"/>
      <c r="G16" s="129">
        <f>Gas!BH23</f>
        <v>115268.49599999996</v>
      </c>
      <c r="H16" s="130"/>
      <c r="I16" s="129">
        <f>Water!R21</f>
        <v>3487.9590000000007</v>
      </c>
      <c r="J16" s="130"/>
      <c r="K16" s="129"/>
      <c r="L16" s="129"/>
    </row>
    <row r="17" spans="1:13" x14ac:dyDescent="0.25">
      <c r="A17" s="131" t="s">
        <v>10</v>
      </c>
      <c r="B17" s="132">
        <v>16</v>
      </c>
      <c r="C17" s="133">
        <v>9</v>
      </c>
      <c r="D17" s="132">
        <v>2020</v>
      </c>
      <c r="E17" s="129">
        <f>Electricity!AK23</f>
        <v>39830.5</v>
      </c>
      <c r="F17" s="130"/>
      <c r="G17" s="129">
        <f>Gas!BH24</f>
        <v>111684.81599999992</v>
      </c>
      <c r="H17" s="130"/>
      <c r="I17" s="129">
        <f>Water!R22</f>
        <v>4178.9899999999943</v>
      </c>
      <c r="J17" s="130"/>
      <c r="K17" s="129"/>
      <c r="L17" s="129"/>
    </row>
    <row r="18" spans="1:13" x14ac:dyDescent="0.25">
      <c r="A18" s="131" t="s">
        <v>10</v>
      </c>
      <c r="B18" s="132">
        <v>17</v>
      </c>
      <c r="C18" s="133">
        <v>9</v>
      </c>
      <c r="D18" s="132">
        <v>2020</v>
      </c>
      <c r="E18" s="129">
        <f>Electricity!AK24</f>
        <v>39159.5</v>
      </c>
      <c r="F18" s="130"/>
      <c r="G18" s="129">
        <f>Gas!BH25</f>
        <v>113761.53600000002</v>
      </c>
      <c r="H18" s="130"/>
      <c r="I18" s="129">
        <f>Water!R23</f>
        <v>4455.4989999999998</v>
      </c>
      <c r="J18" s="130"/>
      <c r="K18" s="129"/>
      <c r="L18" s="129"/>
    </row>
    <row r="19" spans="1:13" x14ac:dyDescent="0.25">
      <c r="A19" s="131" t="s">
        <v>10</v>
      </c>
      <c r="B19" s="132">
        <v>18</v>
      </c>
      <c r="C19" s="133">
        <v>9</v>
      </c>
      <c r="D19" s="132">
        <v>2020</v>
      </c>
      <c r="E19" s="129">
        <f>Electricity!AK25</f>
        <v>37523.5</v>
      </c>
      <c r="F19" s="130"/>
      <c r="G19" s="129">
        <f>Gas!BH26</f>
        <v>119949.35999999978</v>
      </c>
      <c r="H19" s="130"/>
      <c r="I19" s="129">
        <f>Water!R24</f>
        <v>4988.098</v>
      </c>
      <c r="J19" s="130"/>
      <c r="K19" s="129"/>
      <c r="L19" s="129"/>
    </row>
    <row r="20" spans="1:13" x14ac:dyDescent="0.25">
      <c r="A20" s="131" t="s">
        <v>10</v>
      </c>
      <c r="B20" s="132">
        <v>19</v>
      </c>
      <c r="C20" s="133">
        <v>9</v>
      </c>
      <c r="D20" s="132">
        <v>2020</v>
      </c>
      <c r="E20" s="129">
        <f>Electricity!AK26</f>
        <v>35094</v>
      </c>
      <c r="F20" s="130"/>
      <c r="G20" s="129">
        <f>Gas!BH27</f>
        <v>122289.98400000035</v>
      </c>
      <c r="H20" s="130"/>
      <c r="I20" s="129">
        <f>Water!R25</f>
        <v>4569.9200000000019</v>
      </c>
      <c r="J20" s="130"/>
      <c r="K20" s="129"/>
      <c r="L20" s="129"/>
    </row>
    <row r="21" spans="1:13" x14ac:dyDescent="0.25">
      <c r="A21" s="131" t="s">
        <v>10</v>
      </c>
      <c r="B21" s="132">
        <v>20</v>
      </c>
      <c r="C21" s="133">
        <v>9</v>
      </c>
      <c r="D21" s="132">
        <v>2020</v>
      </c>
      <c r="E21" s="129">
        <f>Electricity!AK27</f>
        <v>35966</v>
      </c>
      <c r="F21" s="130"/>
      <c r="G21" s="129">
        <f>Gas!BH28</f>
        <v>128129.56799999959</v>
      </c>
      <c r="H21" s="130"/>
      <c r="I21" s="129">
        <f>Water!R26</f>
        <v>5026.9110000000001</v>
      </c>
      <c r="J21" s="130"/>
      <c r="K21" s="129"/>
      <c r="L21" s="129"/>
    </row>
    <row r="22" spans="1:13" x14ac:dyDescent="0.25">
      <c r="A22" s="131" t="s">
        <v>10</v>
      </c>
      <c r="B22" s="132">
        <v>21</v>
      </c>
      <c r="C22" s="133">
        <v>9</v>
      </c>
      <c r="D22" s="132">
        <v>2020</v>
      </c>
      <c r="E22" s="129">
        <f>Electricity!AK28</f>
        <v>32623</v>
      </c>
      <c r="F22" s="130"/>
      <c r="G22" s="129">
        <f>Gas!BH29</f>
        <v>114433.34400000042</v>
      </c>
      <c r="H22" s="130"/>
      <c r="I22" s="129">
        <f>Water!R27</f>
        <v>4153.2819999999992</v>
      </c>
      <c r="J22" s="130"/>
      <c r="K22" s="129"/>
      <c r="L22" s="129"/>
    </row>
    <row r="23" spans="1:13" x14ac:dyDescent="0.25">
      <c r="A23" s="131" t="s">
        <v>10</v>
      </c>
      <c r="B23" s="132">
        <v>22</v>
      </c>
      <c r="C23" s="133">
        <v>9</v>
      </c>
      <c r="D23" s="132">
        <v>2020</v>
      </c>
      <c r="E23" s="129">
        <f>Electricity!AK29</f>
        <v>33811</v>
      </c>
      <c r="F23" s="130"/>
      <c r="G23" s="129">
        <f>Gas!BH30</f>
        <v>121262.8799999996</v>
      </c>
      <c r="H23" s="130"/>
      <c r="I23" s="129">
        <f>Water!R28</f>
        <v>3963.2060000000001</v>
      </c>
      <c r="J23" s="130"/>
      <c r="K23" s="129"/>
      <c r="L23" s="129"/>
    </row>
    <row r="24" spans="1:13" x14ac:dyDescent="0.25">
      <c r="A24" s="131" t="s">
        <v>10</v>
      </c>
      <c r="B24" s="132">
        <v>23</v>
      </c>
      <c r="C24" s="133">
        <v>9</v>
      </c>
      <c r="D24" s="132">
        <v>2020</v>
      </c>
      <c r="E24" s="129">
        <f>Electricity!AK30</f>
        <v>34938.5</v>
      </c>
      <c r="F24" s="130"/>
      <c r="G24" s="129">
        <f>Gas!BH31</f>
        <v>122811.02400000002</v>
      </c>
      <c r="H24" s="130"/>
      <c r="I24" s="129">
        <f>Water!R29</f>
        <v>4253.8580000000002</v>
      </c>
      <c r="J24" s="130"/>
      <c r="K24" s="129"/>
      <c r="L24" s="129"/>
    </row>
    <row r="25" spans="1:13" x14ac:dyDescent="0.25">
      <c r="A25" s="131" t="s">
        <v>10</v>
      </c>
      <c r="B25" s="132">
        <v>24</v>
      </c>
      <c r="C25" s="133">
        <v>9</v>
      </c>
      <c r="D25" s="132">
        <v>2020</v>
      </c>
      <c r="E25" s="129">
        <f>Electricity!AK31</f>
        <v>32853.5</v>
      </c>
      <c r="F25" s="130"/>
      <c r="G25" s="129">
        <f>Gas!BH32</f>
        <v>126052.60800000009</v>
      </c>
      <c r="H25" s="130"/>
      <c r="I25" s="129">
        <f>Water!R30</f>
        <v>4390.0939999999991</v>
      </c>
      <c r="J25" s="130"/>
      <c r="K25" s="129"/>
      <c r="L25" s="129"/>
    </row>
    <row r="26" spans="1:13" x14ac:dyDescent="0.25">
      <c r="A26" s="131" t="s">
        <v>10</v>
      </c>
      <c r="B26" s="132">
        <v>25</v>
      </c>
      <c r="C26" s="133">
        <v>9</v>
      </c>
      <c r="D26" s="132">
        <v>2020</v>
      </c>
      <c r="E26" s="129">
        <f>Electricity!AK32</f>
        <v>35678.5</v>
      </c>
      <c r="F26" s="130"/>
      <c r="G26" s="129">
        <f>Gas!BH33</f>
        <v>131041.58399999965</v>
      </c>
      <c r="H26" s="130"/>
      <c r="I26" s="129">
        <f>Water!R31</f>
        <v>4953.107</v>
      </c>
      <c r="J26" s="130"/>
      <c r="K26" s="129"/>
      <c r="L26" s="129"/>
    </row>
    <row r="27" spans="1:13" x14ac:dyDescent="0.25">
      <c r="A27" s="131" t="s">
        <v>10</v>
      </c>
      <c r="B27" s="132">
        <v>26</v>
      </c>
      <c r="C27" s="133">
        <v>9</v>
      </c>
      <c r="D27" s="132">
        <v>2020</v>
      </c>
      <c r="E27" s="129">
        <f>Electricity!AK33</f>
        <v>36815.5</v>
      </c>
      <c r="F27" s="130"/>
      <c r="G27" s="129">
        <f>Gas!BH34</f>
        <v>130575.55200000008</v>
      </c>
      <c r="H27" s="130"/>
      <c r="I27" s="129">
        <f>Water!R32</f>
        <v>5210.3440000000046</v>
      </c>
      <c r="J27" s="130"/>
      <c r="K27" s="129"/>
      <c r="L27" s="129"/>
    </row>
    <row r="28" spans="1:13" x14ac:dyDescent="0.25">
      <c r="A28" s="131" t="s">
        <v>10</v>
      </c>
      <c r="B28" s="132">
        <v>27</v>
      </c>
      <c r="C28" s="133">
        <v>9</v>
      </c>
      <c r="D28" s="132">
        <v>2020</v>
      </c>
      <c r="E28" s="129">
        <f>Electricity!AK34</f>
        <v>36491</v>
      </c>
      <c r="F28" s="130"/>
      <c r="G28" s="129">
        <f>Gas!BH35</f>
        <v>128546.73600000044</v>
      </c>
      <c r="H28" s="130"/>
      <c r="I28" s="129">
        <f>Water!R33</f>
        <v>5100.4009999999926</v>
      </c>
      <c r="J28" s="130"/>
      <c r="K28" s="129"/>
      <c r="L28" s="129"/>
    </row>
    <row r="29" spans="1:13" x14ac:dyDescent="0.25">
      <c r="A29" s="131" t="s">
        <v>10</v>
      </c>
      <c r="B29" s="132">
        <v>28</v>
      </c>
      <c r="C29" s="133">
        <v>9</v>
      </c>
      <c r="D29" s="132">
        <v>2020</v>
      </c>
      <c r="E29" s="129">
        <f>Electricity!AK35</f>
        <v>35173.5</v>
      </c>
      <c r="F29" s="130"/>
      <c r="G29" s="129">
        <f>Gas!BH36</f>
        <v>121174.75199999954</v>
      </c>
      <c r="H29" s="130"/>
      <c r="I29" s="129">
        <f>Water!R34</f>
        <v>4592.5660000000062</v>
      </c>
      <c r="J29" s="130"/>
      <c r="K29" s="129"/>
      <c r="L29" s="129"/>
    </row>
    <row r="30" spans="1:13" x14ac:dyDescent="0.25">
      <c r="A30" s="131" t="s">
        <v>10</v>
      </c>
      <c r="B30" s="132">
        <v>29</v>
      </c>
      <c r="C30" s="133">
        <v>9</v>
      </c>
      <c r="D30" s="132">
        <v>2020</v>
      </c>
      <c r="E30" s="129">
        <f>Electricity!AK36</f>
        <v>33733.5</v>
      </c>
      <c r="F30" s="130"/>
      <c r="G30" s="129">
        <f>Gas!BH37</f>
        <v>124655.3760000004</v>
      </c>
      <c r="H30" s="130"/>
      <c r="I30" s="129">
        <f>Water!R35</f>
        <v>4477.9029999999966</v>
      </c>
      <c r="J30" s="130"/>
      <c r="K30" s="129"/>
      <c r="L30" s="129"/>
    </row>
    <row r="31" spans="1:13" x14ac:dyDescent="0.25">
      <c r="A31" s="131" t="s">
        <v>10</v>
      </c>
      <c r="B31" s="132">
        <v>30</v>
      </c>
      <c r="C31" s="133">
        <v>9</v>
      </c>
      <c r="D31" s="132">
        <v>2020</v>
      </c>
      <c r="E31" s="129">
        <f>Electricity!AK37</f>
        <v>33536</v>
      </c>
      <c r="F31" s="130"/>
      <c r="G31" s="129">
        <f>Gas!BH38</f>
        <v>124025.99999999985</v>
      </c>
      <c r="H31" s="130"/>
      <c r="I31" s="129">
        <f>Water!R37</f>
        <v>15240.195000000003</v>
      </c>
      <c r="J31" s="130"/>
      <c r="K31" s="129"/>
      <c r="L31" s="129"/>
    </row>
    <row r="32" spans="1:13" x14ac:dyDescent="0.25">
      <c r="A32" s="136" t="s">
        <v>10</v>
      </c>
      <c r="B32" s="137">
        <v>31</v>
      </c>
      <c r="C32" s="138">
        <v>9</v>
      </c>
      <c r="D32" s="137">
        <v>2020</v>
      </c>
      <c r="E32" s="135">
        <f>Electricity!AK38</f>
        <v>0</v>
      </c>
      <c r="F32" s="130"/>
      <c r="G32" s="135">
        <f>Gas!BH39</f>
        <v>124766.68800000026</v>
      </c>
      <c r="H32" s="130"/>
      <c r="I32" s="135">
        <f>Water!R38</f>
        <v>0</v>
      </c>
      <c r="J32" s="130"/>
      <c r="K32" s="135"/>
      <c r="L32" s="135"/>
      <c r="M32" s="13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selection activeCell="E2" sqref="E2"/>
    </sheetView>
  </sheetViews>
  <sheetFormatPr defaultRowHeight="15" x14ac:dyDescent="0.25"/>
  <cols>
    <col min="1" max="1" width="23.140625" customWidth="1"/>
    <col min="2" max="4" width="12.140625" style="1" customWidth="1"/>
    <col min="5" max="12" width="15.7109375" style="1" customWidth="1"/>
  </cols>
  <sheetData>
    <row r="1" spans="1:12" s="2" customFormat="1" ht="60" customHeight="1" x14ac:dyDescent="0.25">
      <c r="A1" s="127" t="s">
        <v>0</v>
      </c>
      <c r="B1" s="127" t="s">
        <v>1</v>
      </c>
      <c r="C1" s="128" t="s">
        <v>2</v>
      </c>
      <c r="D1" s="127" t="s">
        <v>3</v>
      </c>
      <c r="E1" s="124" t="s">
        <v>4</v>
      </c>
      <c r="F1" s="125" t="s">
        <v>5</v>
      </c>
      <c r="G1" s="124" t="s">
        <v>234</v>
      </c>
      <c r="H1" s="125" t="s">
        <v>232</v>
      </c>
      <c r="I1" s="124" t="s">
        <v>6</v>
      </c>
      <c r="J1" s="126" t="s">
        <v>7</v>
      </c>
      <c r="K1" s="124" t="s">
        <v>8</v>
      </c>
      <c r="L1" s="124" t="s">
        <v>9</v>
      </c>
    </row>
    <row r="2" spans="1:12" x14ac:dyDescent="0.25">
      <c r="A2" s="131" t="s">
        <v>10</v>
      </c>
      <c r="B2" s="132">
        <v>1</v>
      </c>
      <c r="C2" s="133">
        <v>9</v>
      </c>
      <c r="D2" s="132">
        <v>2020</v>
      </c>
      <c r="E2" s="129">
        <f>Electricity!AL8</f>
        <v>11233</v>
      </c>
      <c r="F2" s="130"/>
      <c r="G2" s="129">
        <f>Gas!BI9</f>
        <v>66864</v>
      </c>
      <c r="H2" s="130"/>
      <c r="I2" s="129">
        <f>Water!S7</f>
        <v>1373</v>
      </c>
      <c r="J2" s="130"/>
      <c r="K2" s="129"/>
      <c r="L2" s="129"/>
    </row>
    <row r="3" spans="1:12" x14ac:dyDescent="0.25">
      <c r="A3" s="131" t="s">
        <v>10</v>
      </c>
      <c r="B3" s="132">
        <v>2</v>
      </c>
      <c r="C3" s="133">
        <v>9</v>
      </c>
      <c r="D3" s="132">
        <v>2020</v>
      </c>
      <c r="E3" s="129">
        <f>Electricity!AL9</f>
        <v>7128.5</v>
      </c>
      <c r="F3" s="130"/>
      <c r="G3" s="129">
        <f>Gas!BI10</f>
        <v>65990.399999999994</v>
      </c>
      <c r="H3" s="130"/>
      <c r="I3" s="129">
        <f>Water!S8</f>
        <v>1339.5</v>
      </c>
      <c r="J3" s="130"/>
      <c r="K3" s="129"/>
      <c r="L3" s="129"/>
    </row>
    <row r="4" spans="1:12" x14ac:dyDescent="0.25">
      <c r="A4" s="131" t="s">
        <v>10</v>
      </c>
      <c r="B4" s="132">
        <v>3</v>
      </c>
      <c r="C4" s="133">
        <v>9</v>
      </c>
      <c r="D4" s="132">
        <v>2020</v>
      </c>
      <c r="E4" s="129">
        <f>Electricity!AL10</f>
        <v>7893</v>
      </c>
      <c r="F4" s="130"/>
      <c r="G4" s="129">
        <f>Gas!BI11</f>
        <v>66633.600000000006</v>
      </c>
      <c r="H4" s="130"/>
      <c r="I4" s="129">
        <f>Water!S9</f>
        <v>1331.5</v>
      </c>
      <c r="J4" s="130"/>
      <c r="K4" s="129"/>
      <c r="L4" s="129"/>
    </row>
    <row r="5" spans="1:12" x14ac:dyDescent="0.25">
      <c r="A5" s="131" t="s">
        <v>10</v>
      </c>
      <c r="B5" s="132">
        <v>4</v>
      </c>
      <c r="C5" s="133">
        <v>9</v>
      </c>
      <c r="D5" s="132">
        <v>2020</v>
      </c>
      <c r="E5" s="129">
        <f>Electricity!AL11</f>
        <v>7985</v>
      </c>
      <c r="F5" s="130"/>
      <c r="G5" s="129">
        <f>Gas!BI12</f>
        <v>68227.200000000012</v>
      </c>
      <c r="H5" s="130"/>
      <c r="I5" s="129">
        <f>Water!S10</f>
        <v>1699.5</v>
      </c>
      <c r="J5" s="130"/>
      <c r="K5" s="129"/>
      <c r="L5" s="129"/>
    </row>
    <row r="6" spans="1:12" x14ac:dyDescent="0.25">
      <c r="A6" s="131" t="s">
        <v>10</v>
      </c>
      <c r="B6" s="132">
        <v>5</v>
      </c>
      <c r="C6" s="133">
        <v>9</v>
      </c>
      <c r="D6" s="132">
        <v>2020</v>
      </c>
      <c r="E6" s="129">
        <f>Electricity!AL12</f>
        <v>12688</v>
      </c>
      <c r="F6" s="130"/>
      <c r="G6" s="129">
        <f>Gas!BI13</f>
        <v>66835.200000000012</v>
      </c>
      <c r="H6" s="130"/>
      <c r="I6" s="129">
        <f>Water!S11</f>
        <v>1431</v>
      </c>
      <c r="J6" s="130"/>
      <c r="K6" s="129"/>
      <c r="L6" s="129"/>
    </row>
    <row r="7" spans="1:12" x14ac:dyDescent="0.25">
      <c r="A7" s="131" t="s">
        <v>10</v>
      </c>
      <c r="B7" s="132">
        <v>6</v>
      </c>
      <c r="C7" s="133">
        <v>9</v>
      </c>
      <c r="D7" s="132">
        <v>2020</v>
      </c>
      <c r="E7" s="129">
        <f>Electricity!AL13</f>
        <v>9540.5</v>
      </c>
      <c r="F7" s="130"/>
      <c r="G7" s="129">
        <f>Gas!BI14</f>
        <v>62044.800000000003</v>
      </c>
      <c r="H7" s="130"/>
      <c r="I7" s="129">
        <f>Water!S12</f>
        <v>1780</v>
      </c>
      <c r="J7" s="130"/>
      <c r="K7" s="129"/>
      <c r="L7" s="129"/>
    </row>
    <row r="8" spans="1:12" x14ac:dyDescent="0.25">
      <c r="A8" s="131" t="s">
        <v>10</v>
      </c>
      <c r="B8" s="132">
        <v>7</v>
      </c>
      <c r="C8" s="133">
        <v>9</v>
      </c>
      <c r="D8" s="132">
        <v>2020</v>
      </c>
      <c r="E8" s="129">
        <f>Electricity!AL14</f>
        <v>7314</v>
      </c>
      <c r="F8" s="130"/>
      <c r="G8" s="129">
        <f>Gas!BI15</f>
        <v>63993.599999999999</v>
      </c>
      <c r="H8" s="130"/>
      <c r="I8" s="129">
        <f>Water!S13</f>
        <v>1313</v>
      </c>
      <c r="J8" s="130"/>
      <c r="K8" s="129"/>
      <c r="L8" s="129"/>
    </row>
    <row r="9" spans="1:12" x14ac:dyDescent="0.25">
      <c r="A9" s="131" t="s">
        <v>10</v>
      </c>
      <c r="B9" s="132">
        <v>8</v>
      </c>
      <c r="C9" s="133">
        <v>9</v>
      </c>
      <c r="D9" s="132">
        <v>2020</v>
      </c>
      <c r="E9" s="129">
        <f>Electricity!AL15</f>
        <v>7384</v>
      </c>
      <c r="F9" s="130"/>
      <c r="G9" s="129">
        <f>Gas!BI16</f>
        <v>64233.599999999999</v>
      </c>
      <c r="H9" s="130"/>
      <c r="I9" s="129">
        <f>Water!S14</f>
        <v>1462</v>
      </c>
      <c r="J9" s="130"/>
      <c r="K9" s="129"/>
      <c r="L9" s="129"/>
    </row>
    <row r="10" spans="1:12" x14ac:dyDescent="0.25">
      <c r="A10" s="131" t="s">
        <v>10</v>
      </c>
      <c r="B10" s="132">
        <v>9</v>
      </c>
      <c r="C10" s="133">
        <v>9</v>
      </c>
      <c r="D10" s="132">
        <v>2020</v>
      </c>
      <c r="E10" s="129">
        <f>Electricity!AL16</f>
        <v>7498</v>
      </c>
      <c r="F10" s="130"/>
      <c r="G10" s="129">
        <f>Gas!BI17</f>
        <v>67180.800000000003</v>
      </c>
      <c r="H10" s="130"/>
      <c r="I10" s="129">
        <f>Water!S15</f>
        <v>1349.5</v>
      </c>
      <c r="J10" s="130"/>
      <c r="K10" s="129"/>
      <c r="L10" s="129"/>
    </row>
    <row r="11" spans="1:12" x14ac:dyDescent="0.25">
      <c r="A11" s="131" t="s">
        <v>10</v>
      </c>
      <c r="B11" s="132">
        <v>10</v>
      </c>
      <c r="C11" s="133">
        <v>9</v>
      </c>
      <c r="D11" s="132">
        <v>2020</v>
      </c>
      <c r="E11" s="129">
        <f>Electricity!AL17</f>
        <v>6801.5</v>
      </c>
      <c r="F11" s="130"/>
      <c r="G11" s="129">
        <f>Gas!BI18</f>
        <v>65731.200000000012</v>
      </c>
      <c r="H11" s="130"/>
      <c r="I11" s="129">
        <f>Water!S16</f>
        <v>1494</v>
      </c>
      <c r="J11" s="130"/>
      <c r="K11" s="129"/>
      <c r="L11" s="129"/>
    </row>
    <row r="12" spans="1:12" x14ac:dyDescent="0.25">
      <c r="A12" s="131" t="s">
        <v>10</v>
      </c>
      <c r="B12" s="132">
        <v>11</v>
      </c>
      <c r="C12" s="133">
        <v>9</v>
      </c>
      <c r="D12" s="132">
        <v>2020</v>
      </c>
      <c r="E12" s="129">
        <f>Electricity!AL18</f>
        <v>6839</v>
      </c>
      <c r="F12" s="130"/>
      <c r="G12" s="129">
        <f>Gas!BI19</f>
        <v>84662.399999999994</v>
      </c>
      <c r="H12" s="130"/>
      <c r="I12" s="129">
        <f>Water!S17</f>
        <v>1500.5</v>
      </c>
      <c r="J12" s="130"/>
      <c r="K12" s="129"/>
      <c r="L12" s="129"/>
    </row>
    <row r="13" spans="1:12" x14ac:dyDescent="0.25">
      <c r="A13" s="131" t="s">
        <v>10</v>
      </c>
      <c r="B13" s="132">
        <v>12</v>
      </c>
      <c r="C13" s="133">
        <v>9</v>
      </c>
      <c r="D13" s="132">
        <v>2020</v>
      </c>
      <c r="E13" s="129">
        <f>Electricity!AL19</f>
        <v>8201.5</v>
      </c>
      <c r="F13" s="130"/>
      <c r="G13" s="129">
        <f>Gas!BI20</f>
        <v>46665.600000000006</v>
      </c>
      <c r="H13" s="130"/>
      <c r="I13" s="129">
        <f>Water!S18</f>
        <v>1408.5</v>
      </c>
      <c r="J13" s="130"/>
      <c r="K13" s="129"/>
      <c r="L13" s="129"/>
    </row>
    <row r="14" spans="1:12" x14ac:dyDescent="0.25">
      <c r="A14" s="131" t="s">
        <v>10</v>
      </c>
      <c r="B14" s="132">
        <v>13</v>
      </c>
      <c r="C14" s="133">
        <v>9</v>
      </c>
      <c r="D14" s="132">
        <v>2020</v>
      </c>
      <c r="E14" s="129">
        <f>Electricity!AL20</f>
        <v>8126.5</v>
      </c>
      <c r="F14" s="130"/>
      <c r="G14" s="129">
        <f>Gas!BI21</f>
        <v>13372.800000000003</v>
      </c>
      <c r="H14" s="130"/>
      <c r="I14" s="129">
        <f>Water!S19</f>
        <v>1378.5</v>
      </c>
      <c r="J14" s="130"/>
      <c r="K14" s="129"/>
      <c r="L14" s="129"/>
    </row>
    <row r="15" spans="1:12" x14ac:dyDescent="0.25">
      <c r="A15" s="131" t="s">
        <v>10</v>
      </c>
      <c r="B15" s="132">
        <v>14</v>
      </c>
      <c r="C15" s="133">
        <v>9</v>
      </c>
      <c r="D15" s="132">
        <v>2020</v>
      </c>
      <c r="E15" s="129">
        <f>Electricity!AL21</f>
        <v>9114.5</v>
      </c>
      <c r="F15" s="130"/>
      <c r="G15" s="129">
        <f>Gas!BI22</f>
        <v>111417.60000000001</v>
      </c>
      <c r="H15" s="130"/>
      <c r="I15" s="129">
        <f>Water!S20</f>
        <v>1392.5</v>
      </c>
      <c r="J15" s="130"/>
      <c r="K15" s="129"/>
      <c r="L15" s="129"/>
    </row>
    <row r="16" spans="1:12" x14ac:dyDescent="0.25">
      <c r="A16" s="131" t="s">
        <v>10</v>
      </c>
      <c r="B16" s="132">
        <v>15</v>
      </c>
      <c r="C16" s="133">
        <v>9</v>
      </c>
      <c r="D16" s="132">
        <v>2020</v>
      </c>
      <c r="E16" s="129">
        <f>Electricity!AL22</f>
        <v>9940.5</v>
      </c>
      <c r="F16" s="130"/>
      <c r="G16" s="129">
        <f>Gas!BI23</f>
        <v>63062.400000000001</v>
      </c>
      <c r="H16" s="130"/>
      <c r="I16" s="129">
        <f>Water!S21</f>
        <v>1210</v>
      </c>
      <c r="J16" s="130"/>
      <c r="K16" s="129"/>
      <c r="L16" s="129"/>
    </row>
    <row r="17" spans="1:12" x14ac:dyDescent="0.25">
      <c r="A17" s="131" t="s">
        <v>10</v>
      </c>
      <c r="B17" s="132">
        <v>16</v>
      </c>
      <c r="C17" s="133">
        <v>9</v>
      </c>
      <c r="D17" s="132">
        <v>2020</v>
      </c>
      <c r="E17" s="129">
        <f>Electricity!AL23</f>
        <v>13695.5</v>
      </c>
      <c r="F17" s="130"/>
      <c r="G17" s="129">
        <f>Gas!BI24</f>
        <v>64252.800000000003</v>
      </c>
      <c r="H17" s="130"/>
      <c r="I17" s="129">
        <f>Water!S22</f>
        <v>1518</v>
      </c>
      <c r="J17" s="130"/>
      <c r="K17" s="129"/>
      <c r="L17" s="129"/>
    </row>
    <row r="18" spans="1:12" x14ac:dyDescent="0.25">
      <c r="A18" s="131" t="s">
        <v>10</v>
      </c>
      <c r="B18" s="132">
        <v>17</v>
      </c>
      <c r="C18" s="133">
        <v>9</v>
      </c>
      <c r="D18" s="132">
        <v>2020</v>
      </c>
      <c r="E18" s="129">
        <f>Electricity!AL24</f>
        <v>12524.5</v>
      </c>
      <c r="F18" s="130"/>
      <c r="G18" s="129">
        <f>Gas!BI25</f>
        <v>63475.200000000004</v>
      </c>
      <c r="H18" s="130"/>
      <c r="I18" s="129">
        <f>Water!S23</f>
        <v>1217.5</v>
      </c>
      <c r="J18" s="130"/>
      <c r="K18" s="129"/>
      <c r="L18" s="129"/>
    </row>
    <row r="19" spans="1:12" x14ac:dyDescent="0.25">
      <c r="A19" s="131" t="s">
        <v>10</v>
      </c>
      <c r="B19" s="132">
        <v>18</v>
      </c>
      <c r="C19" s="133">
        <v>9</v>
      </c>
      <c r="D19" s="132">
        <v>2020</v>
      </c>
      <c r="E19" s="129">
        <f>Electricity!AL25</f>
        <v>11647.5</v>
      </c>
      <c r="F19" s="130"/>
      <c r="G19" s="129">
        <f>Gas!BI26</f>
        <v>64262.400000000001</v>
      </c>
      <c r="H19" s="130"/>
      <c r="I19" s="129">
        <f>Water!S24</f>
        <v>1725.5</v>
      </c>
      <c r="J19" s="130"/>
      <c r="K19" s="129"/>
      <c r="L19" s="129"/>
    </row>
    <row r="20" spans="1:12" x14ac:dyDescent="0.25">
      <c r="A20" s="131" t="s">
        <v>10</v>
      </c>
      <c r="B20" s="132">
        <v>19</v>
      </c>
      <c r="C20" s="133">
        <v>9</v>
      </c>
      <c r="D20" s="132">
        <v>2020</v>
      </c>
      <c r="E20" s="129">
        <f>Electricity!AL26</f>
        <v>9346</v>
      </c>
      <c r="F20" s="130"/>
      <c r="G20" s="129">
        <f>Gas!BI27</f>
        <v>66163.200000000012</v>
      </c>
      <c r="H20" s="130"/>
      <c r="I20" s="129">
        <f>Water!S25</f>
        <v>1409.5</v>
      </c>
      <c r="J20" s="130"/>
      <c r="K20" s="129"/>
      <c r="L20" s="129"/>
    </row>
    <row r="21" spans="1:12" x14ac:dyDescent="0.25">
      <c r="A21" s="131" t="s">
        <v>10</v>
      </c>
      <c r="B21" s="132">
        <v>20</v>
      </c>
      <c r="C21" s="133">
        <v>9</v>
      </c>
      <c r="D21" s="132">
        <v>2020</v>
      </c>
      <c r="E21" s="129">
        <f>Electricity!AL27</f>
        <v>10898</v>
      </c>
      <c r="F21" s="130"/>
      <c r="G21" s="129">
        <f>Gas!BI28</f>
        <v>70617.600000000006</v>
      </c>
      <c r="H21" s="130"/>
      <c r="I21" s="129">
        <f>Water!S26</f>
        <v>1536.5</v>
      </c>
      <c r="J21" s="130"/>
      <c r="K21" s="129"/>
      <c r="L21" s="129"/>
    </row>
    <row r="22" spans="1:12" x14ac:dyDescent="0.25">
      <c r="A22" s="131" t="s">
        <v>10</v>
      </c>
      <c r="B22" s="132">
        <v>21</v>
      </c>
      <c r="C22" s="133">
        <v>9</v>
      </c>
      <c r="D22" s="132">
        <v>2020</v>
      </c>
      <c r="E22" s="129">
        <f>Electricity!AL28</f>
        <v>8231</v>
      </c>
      <c r="F22" s="130"/>
      <c r="G22" s="129">
        <f>Gas!BI29</f>
        <v>63206.400000000001</v>
      </c>
      <c r="H22" s="130"/>
      <c r="I22" s="129">
        <f>Water!S27</f>
        <v>1450</v>
      </c>
      <c r="J22" s="130"/>
      <c r="K22" s="129"/>
      <c r="L22" s="129"/>
    </row>
    <row r="23" spans="1:12" x14ac:dyDescent="0.25">
      <c r="A23" s="131" t="s">
        <v>10</v>
      </c>
      <c r="B23" s="132">
        <v>22</v>
      </c>
      <c r="C23" s="133">
        <v>9</v>
      </c>
      <c r="D23" s="132">
        <v>2020</v>
      </c>
      <c r="E23" s="129">
        <f>Electricity!AL29</f>
        <v>8647</v>
      </c>
      <c r="F23" s="130"/>
      <c r="G23" s="129">
        <f>Gas!BI30</f>
        <v>64339.200000000004</v>
      </c>
      <c r="H23" s="130"/>
      <c r="I23" s="129">
        <f>Water!S28</f>
        <v>1305</v>
      </c>
      <c r="J23" s="130"/>
      <c r="K23" s="129"/>
      <c r="L23" s="129"/>
    </row>
    <row r="24" spans="1:12" x14ac:dyDescent="0.25">
      <c r="A24" s="131" t="s">
        <v>10</v>
      </c>
      <c r="B24" s="132">
        <v>23</v>
      </c>
      <c r="C24" s="133">
        <v>9</v>
      </c>
      <c r="D24" s="132">
        <v>2020</v>
      </c>
      <c r="E24" s="129">
        <f>Electricity!AL30</f>
        <v>9292.5</v>
      </c>
      <c r="F24" s="130"/>
      <c r="G24" s="129">
        <f>Gas!BI31</f>
        <v>63484.800000000003</v>
      </c>
      <c r="H24" s="130"/>
      <c r="I24" s="129">
        <f>Water!S29</f>
        <v>1395</v>
      </c>
      <c r="J24" s="130"/>
      <c r="K24" s="129"/>
      <c r="L24" s="129"/>
    </row>
    <row r="25" spans="1:12" x14ac:dyDescent="0.25">
      <c r="A25" s="131" t="s">
        <v>10</v>
      </c>
      <c r="B25" s="132">
        <v>24</v>
      </c>
      <c r="C25" s="133">
        <v>9</v>
      </c>
      <c r="D25" s="132">
        <v>2020</v>
      </c>
      <c r="E25" s="129">
        <f>Electricity!AL31</f>
        <v>8550.5</v>
      </c>
      <c r="F25" s="130"/>
      <c r="G25" s="129">
        <f>Gas!BI32</f>
        <v>61257.600000000006</v>
      </c>
      <c r="H25" s="130"/>
      <c r="I25" s="129">
        <f>Water!S30</f>
        <v>1476</v>
      </c>
      <c r="J25" s="130"/>
      <c r="K25" s="129"/>
      <c r="L25" s="129"/>
    </row>
    <row r="26" spans="1:12" x14ac:dyDescent="0.25">
      <c r="A26" s="131" t="s">
        <v>10</v>
      </c>
      <c r="B26" s="132">
        <v>25</v>
      </c>
      <c r="C26" s="133">
        <v>9</v>
      </c>
      <c r="D26" s="132">
        <v>2020</v>
      </c>
      <c r="E26" s="129">
        <f>Electricity!AL32</f>
        <v>10000.5</v>
      </c>
      <c r="F26" s="130"/>
      <c r="G26" s="129">
        <f>Gas!BI33</f>
        <v>64713.600000000006</v>
      </c>
      <c r="H26" s="130"/>
      <c r="I26" s="129">
        <f>Water!S31</f>
        <v>1703</v>
      </c>
      <c r="J26" s="130"/>
      <c r="K26" s="129"/>
      <c r="L26" s="129"/>
    </row>
    <row r="27" spans="1:12" x14ac:dyDescent="0.25">
      <c r="A27" s="131" t="s">
        <v>10</v>
      </c>
      <c r="B27" s="132">
        <v>26</v>
      </c>
      <c r="C27" s="133">
        <v>9</v>
      </c>
      <c r="D27" s="132">
        <v>2020</v>
      </c>
      <c r="E27" s="129">
        <f>Electricity!AL33</f>
        <v>10710.5</v>
      </c>
      <c r="F27" s="130"/>
      <c r="G27" s="129">
        <f>Gas!BI34</f>
        <v>68179.200000000012</v>
      </c>
      <c r="H27" s="130"/>
      <c r="I27" s="129">
        <f>Water!S32</f>
        <v>1423.5</v>
      </c>
      <c r="J27" s="130"/>
      <c r="K27" s="129"/>
      <c r="L27" s="129"/>
    </row>
    <row r="28" spans="1:12" x14ac:dyDescent="0.25">
      <c r="A28" s="131" t="s">
        <v>10</v>
      </c>
      <c r="B28" s="132">
        <v>27</v>
      </c>
      <c r="C28" s="133">
        <v>9</v>
      </c>
      <c r="D28" s="132">
        <v>2020</v>
      </c>
      <c r="E28" s="129">
        <f>Electricity!AL34</f>
        <v>10727</v>
      </c>
      <c r="F28" s="130"/>
      <c r="G28" s="129">
        <f>Gas!BI35</f>
        <v>67411.200000000012</v>
      </c>
      <c r="H28" s="130"/>
      <c r="I28" s="129">
        <f>Water!S33</f>
        <v>1467.5</v>
      </c>
      <c r="J28" s="130"/>
      <c r="K28" s="129"/>
      <c r="L28" s="129"/>
    </row>
    <row r="29" spans="1:12" x14ac:dyDescent="0.25">
      <c r="A29" s="131" t="s">
        <v>10</v>
      </c>
      <c r="B29" s="132">
        <v>28</v>
      </c>
      <c r="C29" s="133">
        <v>9</v>
      </c>
      <c r="D29" s="132">
        <v>2020</v>
      </c>
      <c r="E29" s="129">
        <f>Electricity!AL35</f>
        <v>10391.5</v>
      </c>
      <c r="F29" s="130"/>
      <c r="G29" s="129">
        <f>Gas!BI36</f>
        <v>64406.400000000001</v>
      </c>
      <c r="H29" s="130"/>
      <c r="I29" s="129">
        <f>Water!S34</f>
        <v>1381.5</v>
      </c>
      <c r="J29" s="130"/>
      <c r="K29" s="129"/>
      <c r="L29" s="129"/>
    </row>
    <row r="30" spans="1:12" x14ac:dyDescent="0.25">
      <c r="A30" s="131" t="s">
        <v>10</v>
      </c>
      <c r="B30" s="132">
        <v>29</v>
      </c>
      <c r="C30" s="133">
        <v>9</v>
      </c>
      <c r="D30" s="132">
        <v>2020</v>
      </c>
      <c r="E30" s="129">
        <f>Electricity!AL36</f>
        <v>8346.5</v>
      </c>
      <c r="F30" s="130"/>
      <c r="G30" s="129">
        <f>Gas!BI37</f>
        <v>66480</v>
      </c>
      <c r="H30" s="130"/>
      <c r="I30" s="129">
        <f>Water!S35</f>
        <v>1325.5</v>
      </c>
      <c r="J30" s="130"/>
      <c r="K30" s="129"/>
      <c r="L30" s="129"/>
    </row>
    <row r="31" spans="1:12" x14ac:dyDescent="0.25">
      <c r="A31" s="131" t="s">
        <v>10</v>
      </c>
      <c r="B31" s="132">
        <v>30</v>
      </c>
      <c r="C31" s="133">
        <v>9</v>
      </c>
      <c r="D31" s="132">
        <v>2020</v>
      </c>
      <c r="E31" s="129">
        <f>Electricity!AL37</f>
        <v>7470</v>
      </c>
      <c r="F31" s="130"/>
      <c r="G31" s="129">
        <f>Gas!BI38</f>
        <v>66345.600000000006</v>
      </c>
      <c r="H31" s="130"/>
      <c r="I31" s="129">
        <f>Water!S37</f>
        <v>2180</v>
      </c>
      <c r="J31" s="130"/>
      <c r="K31" s="129"/>
      <c r="L31" s="1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0"/>
  <sheetViews>
    <sheetView topLeftCell="A2" zoomScale="55" zoomScaleNormal="55" workbookViewId="0">
      <pane xSplit="2" ySplit="5" topLeftCell="C25" activePane="bottomRight" state="frozen"/>
      <selection pane="topRight" activeCell="C2" sqref="C2"/>
      <selection pane="bottomLeft" activeCell="A7" sqref="A7"/>
      <selection pane="bottomRight" activeCell="AK37" sqref="AK37"/>
    </sheetView>
  </sheetViews>
  <sheetFormatPr defaultRowHeight="21" x14ac:dyDescent="0.35"/>
  <cols>
    <col min="1" max="1" width="15.7109375" style="5" customWidth="1"/>
    <col min="2" max="2" width="2.42578125" customWidth="1"/>
    <col min="3" max="3" width="30.7109375" customWidth="1"/>
    <col min="4" max="4" width="30.7109375" style="1" customWidth="1"/>
    <col min="5" max="35" width="30.7109375" customWidth="1"/>
    <col min="37" max="38" width="35.7109375" customWidth="1"/>
  </cols>
  <sheetData>
    <row r="1" spans="1:38" s="8" customFormat="1" ht="49.5" customHeight="1" x14ac:dyDescent="0.25">
      <c r="A1" s="103"/>
      <c r="B1" s="103"/>
      <c r="C1" s="143" t="s">
        <v>11</v>
      </c>
      <c r="D1" s="143"/>
      <c r="E1" s="143" t="s">
        <v>11</v>
      </c>
      <c r="F1" s="143"/>
      <c r="G1" s="143" t="s">
        <v>11</v>
      </c>
      <c r="H1" s="143"/>
      <c r="I1" s="103"/>
      <c r="J1" s="143" t="s">
        <v>11</v>
      </c>
      <c r="K1" s="143"/>
      <c r="L1" s="143" t="s">
        <v>11</v>
      </c>
      <c r="M1" s="143"/>
      <c r="N1" s="156" t="s">
        <v>12</v>
      </c>
      <c r="O1" s="157"/>
      <c r="P1" s="158"/>
      <c r="Q1" s="156" t="s">
        <v>12</v>
      </c>
      <c r="R1" s="157"/>
      <c r="S1" s="158"/>
      <c r="T1" s="156" t="s">
        <v>12</v>
      </c>
      <c r="U1" s="157"/>
      <c r="V1" s="158"/>
      <c r="W1" s="156" t="s">
        <v>12</v>
      </c>
      <c r="X1" s="157"/>
      <c r="Y1" s="158"/>
      <c r="Z1" s="143" t="s">
        <v>13</v>
      </c>
      <c r="AA1" s="143"/>
      <c r="AB1" s="143" t="s">
        <v>13</v>
      </c>
      <c r="AC1" s="143"/>
      <c r="AD1" s="143" t="s">
        <v>13</v>
      </c>
      <c r="AE1" s="143"/>
      <c r="AF1" s="143" t="s">
        <v>13</v>
      </c>
      <c r="AG1" s="143"/>
      <c r="AH1" s="143" t="s">
        <v>13</v>
      </c>
      <c r="AI1" s="143"/>
    </row>
    <row r="2" spans="1:38" s="3" customFormat="1" ht="113.25" customHeight="1" x14ac:dyDescent="0.25">
      <c r="A2" s="9"/>
      <c r="B2" s="10"/>
      <c r="C2" s="142" t="s">
        <v>14</v>
      </c>
      <c r="D2" s="142"/>
      <c r="E2" s="142" t="s">
        <v>15</v>
      </c>
      <c r="F2" s="142"/>
      <c r="G2" s="147" t="s">
        <v>16</v>
      </c>
      <c r="H2" s="148"/>
      <c r="I2" s="149"/>
      <c r="J2" s="142" t="s">
        <v>17</v>
      </c>
      <c r="K2" s="142"/>
      <c r="L2" s="142" t="s">
        <v>18</v>
      </c>
      <c r="M2" s="142"/>
      <c r="N2" s="147" t="s">
        <v>19</v>
      </c>
      <c r="O2" s="148"/>
      <c r="P2" s="149"/>
      <c r="Q2" s="147" t="s">
        <v>20</v>
      </c>
      <c r="R2" s="148"/>
      <c r="S2" s="149"/>
      <c r="T2" s="147" t="s">
        <v>21</v>
      </c>
      <c r="U2" s="148"/>
      <c r="V2" s="149"/>
      <c r="W2" s="147" t="s">
        <v>22</v>
      </c>
      <c r="X2" s="148"/>
      <c r="Y2" s="149"/>
      <c r="Z2" s="142" t="s">
        <v>23</v>
      </c>
      <c r="AA2" s="142"/>
      <c r="AB2" s="142" t="s">
        <v>24</v>
      </c>
      <c r="AC2" s="142"/>
      <c r="AD2" s="142" t="s">
        <v>25</v>
      </c>
      <c r="AE2" s="142"/>
      <c r="AF2" s="142" t="s">
        <v>24</v>
      </c>
      <c r="AG2" s="142"/>
      <c r="AH2" s="142" t="s">
        <v>26</v>
      </c>
      <c r="AI2" s="142"/>
    </row>
    <row r="3" spans="1:38" s="22" customFormat="1" ht="30" customHeight="1" x14ac:dyDescent="0.25">
      <c r="A3" s="102"/>
      <c r="B3" s="112"/>
      <c r="C3" s="144">
        <v>5065546</v>
      </c>
      <c r="D3" s="146"/>
      <c r="E3" s="144">
        <v>5065547</v>
      </c>
      <c r="F3" s="146"/>
      <c r="G3" s="144">
        <v>5008272</v>
      </c>
      <c r="H3" s="145"/>
      <c r="I3" s="146"/>
      <c r="J3" s="144">
        <v>5065548</v>
      </c>
      <c r="K3" s="146"/>
      <c r="L3" s="144">
        <v>5465545</v>
      </c>
      <c r="M3" s="146"/>
      <c r="N3" s="144">
        <v>5008273</v>
      </c>
      <c r="O3" s="145"/>
      <c r="P3" s="146"/>
      <c r="Q3" s="144">
        <v>5018351</v>
      </c>
      <c r="R3" s="145"/>
      <c r="S3" s="146"/>
      <c r="T3" s="144">
        <v>5018354</v>
      </c>
      <c r="U3" s="145"/>
      <c r="V3" s="146"/>
      <c r="W3" s="144">
        <v>5018350</v>
      </c>
      <c r="X3" s="145"/>
      <c r="Y3" s="146"/>
      <c r="Z3" s="144">
        <v>5065543</v>
      </c>
      <c r="AA3" s="146"/>
      <c r="AB3" s="144">
        <v>5065544</v>
      </c>
      <c r="AC3" s="146"/>
      <c r="AD3" s="144">
        <v>5065541</v>
      </c>
      <c r="AE3" s="146"/>
      <c r="AF3" s="144">
        <v>5065542</v>
      </c>
      <c r="AG3" s="146"/>
      <c r="AH3" s="144">
        <v>5065540</v>
      </c>
      <c r="AI3" s="146"/>
      <c r="AK3" s="141" t="s">
        <v>27</v>
      </c>
      <c r="AL3" s="141"/>
    </row>
    <row r="4" spans="1:38" s="21" customFormat="1" ht="30" customHeight="1" x14ac:dyDescent="0.25">
      <c r="A4" s="102"/>
      <c r="B4" s="111"/>
      <c r="C4" s="152" t="s">
        <v>28</v>
      </c>
      <c r="D4" s="153"/>
      <c r="E4" s="152" t="s">
        <v>29</v>
      </c>
      <c r="F4" s="153"/>
      <c r="G4" s="152" t="s">
        <v>30</v>
      </c>
      <c r="H4" s="154"/>
      <c r="I4" s="153"/>
      <c r="J4" s="152" t="s">
        <v>31</v>
      </c>
      <c r="K4" s="153"/>
      <c r="L4" s="152" t="s">
        <v>32</v>
      </c>
      <c r="M4" s="153"/>
      <c r="N4" s="152" t="s">
        <v>33</v>
      </c>
      <c r="O4" s="154"/>
      <c r="P4" s="153"/>
      <c r="Q4" s="152" t="s">
        <v>34</v>
      </c>
      <c r="R4" s="154"/>
      <c r="S4" s="153"/>
      <c r="T4" s="152" t="s">
        <v>35</v>
      </c>
      <c r="U4" s="154"/>
      <c r="V4" s="153"/>
      <c r="W4" s="152" t="s">
        <v>36</v>
      </c>
      <c r="X4" s="154"/>
      <c r="Y4" s="153"/>
      <c r="Z4" s="152" t="s">
        <v>37</v>
      </c>
      <c r="AA4" s="153"/>
      <c r="AB4" s="152" t="s">
        <v>38</v>
      </c>
      <c r="AC4" s="153"/>
      <c r="AD4" s="152" t="s">
        <v>39</v>
      </c>
      <c r="AE4" s="153"/>
      <c r="AF4" s="152" t="s">
        <v>40</v>
      </c>
      <c r="AG4" s="153"/>
      <c r="AH4" s="152" t="s">
        <v>41</v>
      </c>
      <c r="AI4" s="153"/>
      <c r="AK4" s="141"/>
      <c r="AL4" s="141"/>
    </row>
    <row r="5" spans="1:38" s="4" customFormat="1" ht="30" customHeight="1" x14ac:dyDescent="0.25">
      <c r="A5" s="102" t="s">
        <v>42</v>
      </c>
      <c r="B5" s="110"/>
      <c r="C5" s="150" t="s">
        <v>43</v>
      </c>
      <c r="D5" s="151"/>
      <c r="E5" s="150" t="s">
        <v>43</v>
      </c>
      <c r="F5" s="151"/>
      <c r="G5" s="150" t="s">
        <v>43</v>
      </c>
      <c r="H5" s="155"/>
      <c r="I5" s="151"/>
      <c r="J5" s="110" t="s">
        <v>43</v>
      </c>
      <c r="K5" s="110"/>
      <c r="L5" s="150" t="s">
        <v>43</v>
      </c>
      <c r="M5" s="151"/>
      <c r="N5" s="150" t="s">
        <v>43</v>
      </c>
      <c r="O5" s="155"/>
      <c r="P5" s="151"/>
      <c r="Q5" s="150" t="s">
        <v>44</v>
      </c>
      <c r="R5" s="155"/>
      <c r="S5" s="151"/>
      <c r="T5" s="150" t="s">
        <v>44</v>
      </c>
      <c r="U5" s="155"/>
      <c r="V5" s="151"/>
      <c r="W5" s="150" t="s">
        <v>44</v>
      </c>
      <c r="X5" s="155"/>
      <c r="Y5" s="151"/>
      <c r="Z5" s="150" t="s">
        <v>43</v>
      </c>
      <c r="AA5" s="151"/>
      <c r="AB5" s="150" t="s">
        <v>43</v>
      </c>
      <c r="AC5" s="151"/>
      <c r="AD5" s="150" t="s">
        <v>43</v>
      </c>
      <c r="AE5" s="151"/>
      <c r="AF5" s="150" t="s">
        <v>43</v>
      </c>
      <c r="AG5" s="151"/>
      <c r="AH5" s="150" t="s">
        <v>43</v>
      </c>
      <c r="AI5" s="151"/>
    </row>
    <row r="6" spans="1:38" s="6" customFormat="1" ht="50.1" customHeight="1" x14ac:dyDescent="0.25">
      <c r="A6" s="102" t="s">
        <v>45</v>
      </c>
      <c r="B6" s="102"/>
      <c r="C6" s="102" t="s">
        <v>46</v>
      </c>
      <c r="D6" s="102" t="s">
        <v>47</v>
      </c>
      <c r="E6" s="102" t="s">
        <v>46</v>
      </c>
      <c r="F6" s="102" t="s">
        <v>47</v>
      </c>
      <c r="G6" s="102" t="s">
        <v>46</v>
      </c>
      <c r="H6" s="102" t="s">
        <v>47</v>
      </c>
      <c r="I6" s="102" t="s">
        <v>48</v>
      </c>
      <c r="J6" s="102" t="s">
        <v>46</v>
      </c>
      <c r="K6" s="102" t="s">
        <v>47</v>
      </c>
      <c r="L6" s="102" t="s">
        <v>46</v>
      </c>
      <c r="M6" s="102" t="s">
        <v>47</v>
      </c>
      <c r="N6" s="102" t="s">
        <v>46</v>
      </c>
      <c r="O6" s="102" t="s">
        <v>47</v>
      </c>
      <c r="P6" s="102" t="s">
        <v>48</v>
      </c>
      <c r="Q6" s="102" t="s">
        <v>46</v>
      </c>
      <c r="R6" s="102" t="s">
        <v>47</v>
      </c>
      <c r="S6" s="102" t="s">
        <v>48</v>
      </c>
      <c r="T6" s="102" t="s">
        <v>46</v>
      </c>
      <c r="U6" s="102" t="s">
        <v>47</v>
      </c>
      <c r="V6" s="102" t="s">
        <v>48</v>
      </c>
      <c r="W6" s="102" t="s">
        <v>46</v>
      </c>
      <c r="X6" s="102" t="s">
        <v>47</v>
      </c>
      <c r="Y6" s="102" t="s">
        <v>48</v>
      </c>
      <c r="Z6" s="102" t="s">
        <v>46</v>
      </c>
      <c r="AA6" s="102" t="s">
        <v>47</v>
      </c>
      <c r="AB6" s="102" t="s">
        <v>46</v>
      </c>
      <c r="AC6" s="102" t="s">
        <v>47</v>
      </c>
      <c r="AD6" s="102" t="s">
        <v>46</v>
      </c>
      <c r="AE6" s="102" t="s">
        <v>47</v>
      </c>
      <c r="AF6" s="102" t="s">
        <v>46</v>
      </c>
      <c r="AG6" s="102" t="s">
        <v>47</v>
      </c>
      <c r="AH6" s="102" t="s">
        <v>46</v>
      </c>
      <c r="AI6" s="102" t="s">
        <v>47</v>
      </c>
      <c r="AK6" s="102" t="s">
        <v>11</v>
      </c>
      <c r="AL6" s="102" t="s">
        <v>13</v>
      </c>
    </row>
    <row r="7" spans="1:38" ht="39.950000000000003" customHeight="1" x14ac:dyDescent="0.25">
      <c r="A7" s="11">
        <v>44104</v>
      </c>
      <c r="B7" s="13"/>
      <c r="C7" s="101">
        <v>17096</v>
      </c>
      <c r="D7" s="14" t="e">
        <f t="shared" ref="D7" si="0">(C7-C6)*10</f>
        <v>#VALUE!</v>
      </c>
      <c r="E7" s="101">
        <v>25449</v>
      </c>
      <c r="F7" s="14" t="e">
        <f t="shared" ref="F7" si="1">(E7-E6)*10</f>
        <v>#VALUE!</v>
      </c>
      <c r="G7" s="101">
        <v>767558</v>
      </c>
      <c r="H7" s="14" t="e">
        <f t="shared" ref="H7" si="2">(G7-G6)*10</f>
        <v>#VALUE!</v>
      </c>
      <c r="I7" s="14" t="e">
        <f t="shared" ref="I7" si="3">H7*50%</f>
        <v>#VALUE!</v>
      </c>
      <c r="J7" s="101">
        <v>23971</v>
      </c>
      <c r="K7" s="14" t="e">
        <f t="shared" ref="K7" si="4">(J7-J6)*10</f>
        <v>#VALUE!</v>
      </c>
      <c r="L7" s="101">
        <v>37356</v>
      </c>
      <c r="M7" s="14" t="e">
        <f t="shared" ref="M7" si="5">(L7-L6)*10</f>
        <v>#VALUE!</v>
      </c>
      <c r="N7" s="101">
        <v>759848</v>
      </c>
      <c r="O7" s="14" t="e">
        <f t="shared" ref="O7" si="6">(N7-N6)*10</f>
        <v>#VALUE!</v>
      </c>
      <c r="P7" s="14" t="e">
        <f t="shared" ref="P7" si="7">O7*50%</f>
        <v>#VALUE!</v>
      </c>
      <c r="Q7" s="101">
        <v>103256</v>
      </c>
      <c r="R7" s="14" t="e">
        <f t="shared" ref="R7" si="8">(Q7-Q6)*10</f>
        <v>#VALUE!</v>
      </c>
      <c r="S7" s="14" t="e">
        <f t="shared" ref="S7" si="9">R7*50%</f>
        <v>#VALUE!</v>
      </c>
      <c r="T7" s="101">
        <v>52845</v>
      </c>
      <c r="U7" s="14" t="e">
        <f t="shared" ref="U7" si="10">(T7-T6)*10</f>
        <v>#VALUE!</v>
      </c>
      <c r="V7" s="14" t="e">
        <f t="shared" ref="V7" si="11">U7*50%</f>
        <v>#VALUE!</v>
      </c>
      <c r="W7" s="14">
        <v>118974</v>
      </c>
      <c r="X7" s="14" t="e">
        <f t="shared" ref="X7" si="12">W7-W6</f>
        <v>#VALUE!</v>
      </c>
      <c r="Y7" s="14" t="e">
        <f t="shared" ref="Y7" si="13">X7*50%</f>
        <v>#VALUE!</v>
      </c>
      <c r="Z7" s="101">
        <v>8419</v>
      </c>
      <c r="AA7" s="14" t="e">
        <f t="shared" ref="AA7" si="14">Z7-Z6</f>
        <v>#VALUE!</v>
      </c>
      <c r="AB7" s="101">
        <v>16472</v>
      </c>
      <c r="AC7" s="14" t="e">
        <f t="shared" ref="AC7" si="15">AB7-AB6</f>
        <v>#VALUE!</v>
      </c>
      <c r="AD7" s="101">
        <v>30779</v>
      </c>
      <c r="AE7" s="14" t="e">
        <f t="shared" ref="AE7" si="16">AD7-AD6</f>
        <v>#VALUE!</v>
      </c>
      <c r="AF7" s="101">
        <v>16907</v>
      </c>
      <c r="AG7" s="14" t="e">
        <f t="shared" ref="AG7" si="17">AF7-AF6</f>
        <v>#VALUE!</v>
      </c>
      <c r="AH7" s="101">
        <v>83469</v>
      </c>
      <c r="AI7" s="14" t="e">
        <f t="shared" ref="AI7" si="18">AH7-AH6</f>
        <v>#VALUE!</v>
      </c>
      <c r="AK7" s="14" t="e">
        <f t="shared" ref="AK7" si="19">SUM(D7,F7,I7,K7,M7,P7,S7,V7,Y7)</f>
        <v>#VALUE!</v>
      </c>
      <c r="AL7" s="111" t="e">
        <f t="shared" ref="AL7" si="20">SUM(P7,S7,V7,Y7,AA7,AC7,AE7,AG7,AI7)</f>
        <v>#VALUE!</v>
      </c>
    </row>
    <row r="8" spans="1:38" s="2" customFormat="1" ht="39.950000000000003" customHeight="1" x14ac:dyDescent="0.25">
      <c r="A8" s="11">
        <v>44105</v>
      </c>
      <c r="B8" s="12"/>
      <c r="C8" s="62">
        <v>17918</v>
      </c>
      <c r="D8" s="14">
        <f>(C8-C7)*10</f>
        <v>8220</v>
      </c>
      <c r="E8" s="62">
        <v>26059</v>
      </c>
      <c r="F8" s="14">
        <f>(E8-E7)*10</f>
        <v>6100</v>
      </c>
      <c r="G8" s="62">
        <v>768787</v>
      </c>
      <c r="H8" s="14">
        <f>(G8-G7)*10</f>
        <v>12290</v>
      </c>
      <c r="I8" s="14">
        <f>H8*50%</f>
        <v>6145</v>
      </c>
      <c r="J8" s="62">
        <v>24532</v>
      </c>
      <c r="K8" s="14">
        <f>(J8-J7)*10</f>
        <v>5610</v>
      </c>
      <c r="L8" s="62">
        <v>38259</v>
      </c>
      <c r="M8" s="14">
        <f>(L8-L7)*10</f>
        <v>9030</v>
      </c>
      <c r="N8" s="62">
        <v>761297</v>
      </c>
      <c r="O8" s="14">
        <f t="shared" ref="O8:O24" si="21">(N8-N7)*10</f>
        <v>14490</v>
      </c>
      <c r="P8" s="14">
        <f>O8*50%</f>
        <v>7245</v>
      </c>
      <c r="Q8" s="62">
        <v>103258</v>
      </c>
      <c r="R8" s="14">
        <f t="shared" ref="R8:R24" si="22">(Q8-Q7)*10</f>
        <v>20</v>
      </c>
      <c r="S8" s="14">
        <f>R8*50%</f>
        <v>10</v>
      </c>
      <c r="T8" s="62">
        <v>52847</v>
      </c>
      <c r="U8" s="14">
        <f>(T8-T7)*10</f>
        <v>20</v>
      </c>
      <c r="V8" s="14">
        <f>U8*50%</f>
        <v>10</v>
      </c>
      <c r="W8" s="62">
        <v>119422</v>
      </c>
      <c r="X8" s="14">
        <f>(W8-W7)*10</f>
        <v>4480</v>
      </c>
      <c r="Y8" s="14">
        <f>X8*50%</f>
        <v>2240</v>
      </c>
      <c r="Z8" s="62">
        <v>8515</v>
      </c>
      <c r="AA8" s="14">
        <f>Z8-Z7</f>
        <v>96</v>
      </c>
      <c r="AB8" s="62">
        <v>16662</v>
      </c>
      <c r="AC8" s="14">
        <f>AB8-AB7</f>
        <v>190</v>
      </c>
      <c r="AD8" s="62">
        <v>31123</v>
      </c>
      <c r="AE8" s="14">
        <f>AD8-AD7</f>
        <v>344</v>
      </c>
      <c r="AF8" s="62">
        <v>17092</v>
      </c>
      <c r="AG8" s="14">
        <f>AF8-AF7</f>
        <v>185</v>
      </c>
      <c r="AH8" s="62">
        <v>84382</v>
      </c>
      <c r="AI8" s="14">
        <f>AH8-AH7</f>
        <v>913</v>
      </c>
      <c r="AK8" s="14">
        <f>SUM(D8,F8,I8,K8,M8,P8,S8,V8,Y8)</f>
        <v>44610</v>
      </c>
      <c r="AL8" s="111">
        <f>SUM(P8,S8,V8,Y8,AA8,AC8,AE8,AG8,AI8)</f>
        <v>11233</v>
      </c>
    </row>
    <row r="9" spans="1:38" ht="39.950000000000003" customHeight="1" x14ac:dyDescent="0.25">
      <c r="A9" s="11">
        <v>44106</v>
      </c>
      <c r="B9" s="13"/>
      <c r="C9" s="62">
        <v>18355</v>
      </c>
      <c r="D9" s="14">
        <f t="shared" ref="D9:F25" si="23">(C9-C8)*10</f>
        <v>4370</v>
      </c>
      <c r="E9" s="62">
        <v>26715</v>
      </c>
      <c r="F9" s="14">
        <f t="shared" si="23"/>
        <v>6560</v>
      </c>
      <c r="G9" s="62">
        <v>770243</v>
      </c>
      <c r="H9" s="14">
        <f t="shared" ref="H9" si="24">(G9-G8)*10</f>
        <v>14560</v>
      </c>
      <c r="I9" s="14">
        <f t="shared" ref="I9:I24" si="25">H9*50%</f>
        <v>7280</v>
      </c>
      <c r="J9" s="62">
        <v>25111</v>
      </c>
      <c r="K9" s="14">
        <f t="shared" ref="K9" si="26">(J9-J8)*10</f>
        <v>5790</v>
      </c>
      <c r="L9" s="62">
        <v>39197</v>
      </c>
      <c r="M9" s="14">
        <f t="shared" ref="M9" si="27">(L9-L8)*10</f>
        <v>9380</v>
      </c>
      <c r="N9" s="62">
        <v>762262</v>
      </c>
      <c r="O9" s="14">
        <f t="shared" si="21"/>
        <v>9650</v>
      </c>
      <c r="P9" s="14">
        <f t="shared" ref="P9:P24" si="28">O9*50%</f>
        <v>4825</v>
      </c>
      <c r="Q9" s="62">
        <v>103260</v>
      </c>
      <c r="R9" s="14">
        <f t="shared" si="22"/>
        <v>20</v>
      </c>
      <c r="S9" s="14">
        <f t="shared" ref="S9:S24" si="29">R9*50%</f>
        <v>10</v>
      </c>
      <c r="T9" s="62">
        <v>52849</v>
      </c>
      <c r="U9" s="14">
        <f t="shared" ref="U9" si="30">(T9-T8)*10</f>
        <v>20</v>
      </c>
      <c r="V9" s="14">
        <f t="shared" ref="V9:V24" si="31">U9*50%</f>
        <v>10</v>
      </c>
      <c r="W9" s="62">
        <v>120295</v>
      </c>
      <c r="X9" s="14">
        <f t="shared" ref="X9" si="32">W9-W8</f>
        <v>873</v>
      </c>
      <c r="Y9" s="14">
        <f t="shared" ref="Y9:Y24" si="33">X9*50%</f>
        <v>436.5</v>
      </c>
      <c r="Z9" s="62">
        <v>8614</v>
      </c>
      <c r="AA9" s="14">
        <f t="shared" ref="AA9" si="34">Z9-Z8</f>
        <v>99</v>
      </c>
      <c r="AB9" s="62">
        <v>16869</v>
      </c>
      <c r="AC9" s="14">
        <f t="shared" ref="AC9" si="35">AB9-AB8</f>
        <v>207</v>
      </c>
      <c r="AD9" s="62">
        <v>31483</v>
      </c>
      <c r="AE9" s="14">
        <f t="shared" ref="AE9" si="36">AD9-AD8</f>
        <v>360</v>
      </c>
      <c r="AF9" s="62">
        <v>17294</v>
      </c>
      <c r="AG9" s="14">
        <f t="shared" ref="AG9" si="37">AF9-AF8</f>
        <v>202</v>
      </c>
      <c r="AH9" s="62">
        <v>85361</v>
      </c>
      <c r="AI9" s="14">
        <f t="shared" ref="AI9" si="38">AH9-AH8</f>
        <v>979</v>
      </c>
      <c r="AK9" s="14">
        <f t="shared" ref="AK9:AK24" si="39">SUM(D9,F9,I9,K9,M9,P9,S9,V9,Y9)</f>
        <v>38661.5</v>
      </c>
      <c r="AL9" s="111">
        <f t="shared" ref="AL9:AL24" si="40">SUM(P9,S9,V9,Y9,AA9,AC9,AE9,AG9,AI9)</f>
        <v>7128.5</v>
      </c>
    </row>
    <row r="10" spans="1:38" ht="39.950000000000003" customHeight="1" x14ac:dyDescent="0.25">
      <c r="A10" s="11">
        <v>44107</v>
      </c>
      <c r="B10" s="13"/>
      <c r="C10" s="62">
        <v>18799</v>
      </c>
      <c r="D10" s="14">
        <f t="shared" si="23"/>
        <v>4440</v>
      </c>
      <c r="E10" s="62">
        <v>27362</v>
      </c>
      <c r="F10" s="14">
        <f t="shared" si="23"/>
        <v>6470</v>
      </c>
      <c r="G10" s="62">
        <v>771820</v>
      </c>
      <c r="H10" s="14">
        <f t="shared" ref="H10" si="41">(G10-G9)*10</f>
        <v>15770</v>
      </c>
      <c r="I10" s="14">
        <f t="shared" si="25"/>
        <v>7885</v>
      </c>
      <c r="J10" s="62">
        <v>25694</v>
      </c>
      <c r="K10" s="14">
        <f t="shared" ref="K10" si="42">(J10-J9)*10</f>
        <v>5830</v>
      </c>
      <c r="L10" s="62">
        <v>40120</v>
      </c>
      <c r="M10" s="14">
        <f t="shared" ref="M10" si="43">(L10-L9)*10</f>
        <v>9230</v>
      </c>
      <c r="N10" s="62">
        <v>763394</v>
      </c>
      <c r="O10" s="14">
        <f t="shared" si="21"/>
        <v>11320</v>
      </c>
      <c r="P10" s="14">
        <f t="shared" si="28"/>
        <v>5660</v>
      </c>
      <c r="Q10" s="62">
        <v>103262</v>
      </c>
      <c r="R10" s="14">
        <f t="shared" si="22"/>
        <v>20</v>
      </c>
      <c r="S10" s="14">
        <f t="shared" si="29"/>
        <v>10</v>
      </c>
      <c r="T10" s="62">
        <v>52851</v>
      </c>
      <c r="U10" s="14">
        <f t="shared" ref="U10" si="44">(T10-T9)*10</f>
        <v>20</v>
      </c>
      <c r="V10" s="14">
        <f t="shared" si="31"/>
        <v>10</v>
      </c>
      <c r="W10" s="62">
        <v>120997</v>
      </c>
      <c r="X10" s="14">
        <f t="shared" ref="X10" si="45">W10-W9</f>
        <v>702</v>
      </c>
      <c r="Y10" s="14">
        <f t="shared" si="33"/>
        <v>351</v>
      </c>
      <c r="Z10" s="62">
        <v>8714</v>
      </c>
      <c r="AA10" s="14">
        <f t="shared" ref="AA10" si="46">Z10-Z9</f>
        <v>100</v>
      </c>
      <c r="AB10" s="62">
        <v>17067</v>
      </c>
      <c r="AC10" s="14">
        <f t="shared" ref="AC10" si="47">AB10-AB9</f>
        <v>198</v>
      </c>
      <c r="AD10" s="62">
        <v>31851</v>
      </c>
      <c r="AE10" s="14">
        <f t="shared" ref="AE10" si="48">AD10-AD9</f>
        <v>368</v>
      </c>
      <c r="AF10" s="62">
        <v>17501</v>
      </c>
      <c r="AG10" s="14">
        <f t="shared" ref="AG10" si="49">AF10-AF9</f>
        <v>207</v>
      </c>
      <c r="AH10" s="62">
        <v>86350</v>
      </c>
      <c r="AI10" s="14">
        <f t="shared" ref="AI10" si="50">AH10-AH9</f>
        <v>989</v>
      </c>
      <c r="AK10" s="14">
        <f t="shared" si="39"/>
        <v>39886</v>
      </c>
      <c r="AL10" s="111">
        <f t="shared" si="40"/>
        <v>7893</v>
      </c>
    </row>
    <row r="11" spans="1:38" ht="39.950000000000003" customHeight="1" x14ac:dyDescent="0.25">
      <c r="A11" s="11">
        <v>44108</v>
      </c>
      <c r="B11" s="13"/>
      <c r="C11" s="62">
        <v>19228</v>
      </c>
      <c r="D11" s="14">
        <f t="shared" si="23"/>
        <v>4290</v>
      </c>
      <c r="E11" s="62">
        <v>27999</v>
      </c>
      <c r="F11" s="14">
        <f t="shared" si="23"/>
        <v>6370</v>
      </c>
      <c r="G11" s="62">
        <v>773363</v>
      </c>
      <c r="H11" s="14">
        <f t="shared" ref="H11" si="51">(G11-G10)*10</f>
        <v>15430</v>
      </c>
      <c r="I11" s="14">
        <f t="shared" si="25"/>
        <v>7715</v>
      </c>
      <c r="J11" s="62">
        <v>26274</v>
      </c>
      <c r="K11" s="14">
        <f t="shared" ref="K11" si="52">(J11-J10)*10</f>
        <v>5800</v>
      </c>
      <c r="L11" s="62">
        <v>41034</v>
      </c>
      <c r="M11" s="14">
        <f t="shared" ref="M11" si="53">(L11-L10)*10</f>
        <v>9140</v>
      </c>
      <c r="N11" s="62">
        <v>764499</v>
      </c>
      <c r="O11" s="14">
        <f t="shared" si="21"/>
        <v>11050</v>
      </c>
      <c r="P11" s="14">
        <f t="shared" si="28"/>
        <v>5525</v>
      </c>
      <c r="Q11" s="62">
        <v>103264</v>
      </c>
      <c r="R11" s="14">
        <f t="shared" si="22"/>
        <v>20</v>
      </c>
      <c r="S11" s="14">
        <f t="shared" si="29"/>
        <v>10</v>
      </c>
      <c r="T11" s="62">
        <v>52881</v>
      </c>
      <c r="U11" s="14">
        <f t="shared" ref="U11" si="54">(T11-T10)*10</f>
        <v>300</v>
      </c>
      <c r="V11" s="14">
        <f t="shared" si="31"/>
        <v>150</v>
      </c>
      <c r="W11" s="62">
        <v>121961</v>
      </c>
      <c r="X11" s="14">
        <f t="shared" ref="X11" si="55">W11-W10</f>
        <v>964</v>
      </c>
      <c r="Y11" s="14">
        <f t="shared" si="33"/>
        <v>482</v>
      </c>
      <c r="Z11" s="62">
        <v>8815</v>
      </c>
      <c r="AA11" s="14">
        <f t="shared" ref="AA11" si="56">Z11-Z10</f>
        <v>101</v>
      </c>
      <c r="AB11" s="62">
        <v>17262</v>
      </c>
      <c r="AC11" s="14">
        <f t="shared" ref="AC11" si="57">AB11-AB10</f>
        <v>195</v>
      </c>
      <c r="AD11" s="62">
        <v>32212</v>
      </c>
      <c r="AE11" s="14">
        <f t="shared" ref="AE11" si="58">AD11-AD10</f>
        <v>361</v>
      </c>
      <c r="AF11" s="62">
        <v>17696</v>
      </c>
      <c r="AG11" s="14">
        <f t="shared" ref="AG11" si="59">AF11-AF10</f>
        <v>195</v>
      </c>
      <c r="AH11" s="62">
        <v>87316</v>
      </c>
      <c r="AI11" s="14">
        <f t="shared" ref="AI11" si="60">AH11-AH10</f>
        <v>966</v>
      </c>
      <c r="AK11" s="14">
        <f t="shared" si="39"/>
        <v>39482</v>
      </c>
      <c r="AL11" s="111">
        <f t="shared" si="40"/>
        <v>7985</v>
      </c>
    </row>
    <row r="12" spans="1:38" ht="39.950000000000003" customHeight="1" x14ac:dyDescent="0.25">
      <c r="A12" s="11">
        <v>44109</v>
      </c>
      <c r="B12" s="13"/>
      <c r="C12" s="62">
        <v>19643</v>
      </c>
      <c r="D12" s="14">
        <f t="shared" si="23"/>
        <v>4150</v>
      </c>
      <c r="E12" s="62">
        <v>28659</v>
      </c>
      <c r="F12" s="14">
        <f t="shared" si="23"/>
        <v>6600</v>
      </c>
      <c r="G12" s="62">
        <v>774831</v>
      </c>
      <c r="H12" s="14">
        <f t="shared" ref="H12" si="61">(G12-G11)*10</f>
        <v>14680</v>
      </c>
      <c r="I12" s="14">
        <f t="shared" si="25"/>
        <v>7340</v>
      </c>
      <c r="J12" s="62">
        <v>26865</v>
      </c>
      <c r="K12" s="14">
        <f t="shared" ref="K12" si="62">(J12-J11)*10</f>
        <v>5910</v>
      </c>
      <c r="L12" s="62">
        <v>41952</v>
      </c>
      <c r="M12" s="14">
        <f t="shared" ref="M12" si="63">(L12-L11)*10</f>
        <v>9180</v>
      </c>
      <c r="N12" s="62">
        <v>765998</v>
      </c>
      <c r="O12" s="14">
        <f t="shared" si="21"/>
        <v>14990</v>
      </c>
      <c r="P12" s="14">
        <f t="shared" si="28"/>
        <v>7495</v>
      </c>
      <c r="Q12" s="62">
        <v>103512</v>
      </c>
      <c r="R12" s="14">
        <f t="shared" si="22"/>
        <v>2480</v>
      </c>
      <c r="S12" s="14">
        <f t="shared" si="29"/>
        <v>1240</v>
      </c>
      <c r="T12" s="62">
        <v>53295</v>
      </c>
      <c r="U12" s="14">
        <f t="shared" ref="U12" si="64">(T12-T11)*10</f>
        <v>4140</v>
      </c>
      <c r="V12" s="14">
        <f t="shared" si="31"/>
        <v>2070</v>
      </c>
      <c r="W12" s="62">
        <v>122045</v>
      </c>
      <c r="X12" s="14">
        <f t="shared" ref="X12" si="65">W12-W11</f>
        <v>84</v>
      </c>
      <c r="Y12" s="14">
        <f t="shared" si="33"/>
        <v>42</v>
      </c>
      <c r="Z12" s="62">
        <v>8918</v>
      </c>
      <c r="AA12" s="14">
        <f t="shared" ref="AA12" si="66">Z12-Z11</f>
        <v>103</v>
      </c>
      <c r="AB12" s="62">
        <v>17469</v>
      </c>
      <c r="AC12" s="14">
        <f t="shared" ref="AC12" si="67">AB12-AB11</f>
        <v>207</v>
      </c>
      <c r="AD12" s="62">
        <v>32586</v>
      </c>
      <c r="AE12" s="14">
        <f t="shared" ref="AE12" si="68">AD12-AD11</f>
        <v>374</v>
      </c>
      <c r="AF12" s="62">
        <v>17898</v>
      </c>
      <c r="AG12" s="14">
        <f t="shared" ref="AG12" si="69">AF12-AF11</f>
        <v>202</v>
      </c>
      <c r="AH12" s="62">
        <v>88271</v>
      </c>
      <c r="AI12" s="14">
        <f t="shared" ref="AI12" si="70">AH12-AH11</f>
        <v>955</v>
      </c>
      <c r="AK12" s="14">
        <f t="shared" si="39"/>
        <v>44027</v>
      </c>
      <c r="AL12" s="111">
        <f t="shared" si="40"/>
        <v>12688</v>
      </c>
    </row>
    <row r="13" spans="1:38" ht="39.950000000000003" customHeight="1" x14ac:dyDescent="0.25">
      <c r="A13" s="11">
        <v>44110</v>
      </c>
      <c r="B13" s="13"/>
      <c r="C13" s="62">
        <v>20031</v>
      </c>
      <c r="D13" s="14">
        <f t="shared" si="23"/>
        <v>3880</v>
      </c>
      <c r="E13" s="62">
        <v>29279</v>
      </c>
      <c r="F13" s="14">
        <f t="shared" si="23"/>
        <v>6200</v>
      </c>
      <c r="G13" s="62">
        <v>776266</v>
      </c>
      <c r="H13" s="14">
        <f t="shared" ref="H13" si="71">(G13-G12)*10</f>
        <v>14350</v>
      </c>
      <c r="I13" s="14">
        <f t="shared" si="25"/>
        <v>7175</v>
      </c>
      <c r="J13" s="62">
        <v>27435</v>
      </c>
      <c r="K13" s="14">
        <f t="shared" ref="K13" si="72">(J13-J12)*10</f>
        <v>5700</v>
      </c>
      <c r="L13" s="62">
        <v>42832</v>
      </c>
      <c r="M13" s="14">
        <f t="shared" ref="M13" si="73">(L13-L12)*10</f>
        <v>8800</v>
      </c>
      <c r="N13" s="62">
        <v>766760</v>
      </c>
      <c r="O13" s="14">
        <f t="shared" si="21"/>
        <v>7620</v>
      </c>
      <c r="P13" s="14">
        <f t="shared" si="28"/>
        <v>3810</v>
      </c>
      <c r="Q13" s="62">
        <v>104298</v>
      </c>
      <c r="R13" s="14">
        <f t="shared" si="22"/>
        <v>7860</v>
      </c>
      <c r="S13" s="14">
        <f t="shared" si="29"/>
        <v>3930</v>
      </c>
      <c r="T13" s="62">
        <v>53297</v>
      </c>
      <c r="U13" s="14">
        <f t="shared" ref="U13" si="74">(T13-T12)*10</f>
        <v>20</v>
      </c>
      <c r="V13" s="14">
        <f t="shared" si="31"/>
        <v>10</v>
      </c>
      <c r="W13" s="62">
        <v>122052</v>
      </c>
      <c r="X13" s="14">
        <f t="shared" ref="X13" si="75">W13-W12</f>
        <v>7</v>
      </c>
      <c r="Y13" s="14">
        <f t="shared" si="33"/>
        <v>3.5</v>
      </c>
      <c r="Z13" s="62">
        <v>9013</v>
      </c>
      <c r="AA13" s="14">
        <f t="shared" ref="AA13" si="76">Z13-Z12</f>
        <v>95</v>
      </c>
      <c r="AB13" s="62">
        <v>17677</v>
      </c>
      <c r="AC13" s="14">
        <f t="shared" ref="AC13" si="77">AB13-AB12</f>
        <v>208</v>
      </c>
      <c r="AD13" s="62">
        <v>32965</v>
      </c>
      <c r="AE13" s="14">
        <f t="shared" ref="AE13" si="78">AD13-AD12</f>
        <v>379</v>
      </c>
      <c r="AF13" s="62">
        <v>18093</v>
      </c>
      <c r="AG13" s="14">
        <f t="shared" ref="AG13" si="79">AF13-AF12</f>
        <v>195</v>
      </c>
      <c r="AH13" s="62">
        <v>89181</v>
      </c>
      <c r="AI13" s="14">
        <f t="shared" ref="AI13" si="80">AH13-AH12</f>
        <v>910</v>
      </c>
      <c r="AK13" s="14">
        <f t="shared" si="39"/>
        <v>39508.5</v>
      </c>
      <c r="AL13" s="111">
        <f t="shared" si="40"/>
        <v>9540.5</v>
      </c>
    </row>
    <row r="14" spans="1:38" ht="39.950000000000003" customHeight="1" x14ac:dyDescent="0.25">
      <c r="A14" s="11">
        <v>44111</v>
      </c>
      <c r="B14" s="13"/>
      <c r="C14" s="62">
        <v>20417</v>
      </c>
      <c r="D14" s="14">
        <f t="shared" si="23"/>
        <v>3860</v>
      </c>
      <c r="E14" s="62">
        <v>29888</v>
      </c>
      <c r="F14" s="14">
        <f t="shared" si="23"/>
        <v>6090</v>
      </c>
      <c r="G14" s="62">
        <v>777709</v>
      </c>
      <c r="H14" s="14">
        <f t="shared" ref="H14" si="81">(G14-G13)*10</f>
        <v>14430</v>
      </c>
      <c r="I14" s="14">
        <f t="shared" si="25"/>
        <v>7215</v>
      </c>
      <c r="J14" s="62">
        <v>27907</v>
      </c>
      <c r="K14" s="14">
        <f t="shared" ref="K14" si="82">(J14-J13)*10</f>
        <v>4720</v>
      </c>
      <c r="L14" s="62">
        <v>43729</v>
      </c>
      <c r="M14" s="14">
        <f t="shared" ref="M14" si="83">(L14-L13)*10</f>
        <v>8970</v>
      </c>
      <c r="N14" s="62">
        <v>767426</v>
      </c>
      <c r="O14" s="14">
        <f t="shared" si="21"/>
        <v>6660</v>
      </c>
      <c r="P14" s="14">
        <f t="shared" si="28"/>
        <v>3330</v>
      </c>
      <c r="Q14" s="62">
        <v>104735</v>
      </c>
      <c r="R14" s="14">
        <f t="shared" si="22"/>
        <v>4370</v>
      </c>
      <c r="S14" s="14">
        <f t="shared" si="29"/>
        <v>2185</v>
      </c>
      <c r="T14" s="62">
        <v>53299</v>
      </c>
      <c r="U14" s="14">
        <f t="shared" ref="U14" si="84">(T14-T13)*10</f>
        <v>20</v>
      </c>
      <c r="V14" s="14">
        <f t="shared" si="31"/>
        <v>10</v>
      </c>
      <c r="W14" s="62">
        <v>122060</v>
      </c>
      <c r="X14" s="14">
        <f t="shared" ref="X14" si="85">W14-W13</f>
        <v>8</v>
      </c>
      <c r="Y14" s="14">
        <f t="shared" si="33"/>
        <v>4</v>
      </c>
      <c r="Z14" s="62">
        <v>9108</v>
      </c>
      <c r="AA14" s="14">
        <f t="shared" ref="AA14" si="86">Z14-Z13</f>
        <v>95</v>
      </c>
      <c r="AB14" s="62">
        <v>17882</v>
      </c>
      <c r="AC14" s="14">
        <f t="shared" ref="AC14" si="87">AB14-AB13</f>
        <v>205</v>
      </c>
      <c r="AD14" s="62">
        <v>33333</v>
      </c>
      <c r="AE14" s="14">
        <f t="shared" ref="AE14" si="88">AD14-AD13</f>
        <v>368</v>
      </c>
      <c r="AF14" s="62">
        <v>18289</v>
      </c>
      <c r="AG14" s="14">
        <f t="shared" ref="AG14" si="89">AF14-AF13</f>
        <v>196</v>
      </c>
      <c r="AH14" s="62">
        <v>90102</v>
      </c>
      <c r="AI14" s="14">
        <f t="shared" ref="AI14" si="90">AH14-AH13</f>
        <v>921</v>
      </c>
      <c r="AK14" s="14">
        <f t="shared" si="39"/>
        <v>36384</v>
      </c>
      <c r="AL14" s="111">
        <f t="shared" si="40"/>
        <v>7314</v>
      </c>
    </row>
    <row r="15" spans="1:38" ht="39.950000000000003" customHeight="1" x14ac:dyDescent="0.25">
      <c r="A15" s="11">
        <v>44112</v>
      </c>
      <c r="B15" s="13"/>
      <c r="C15" s="62">
        <v>20802</v>
      </c>
      <c r="D15" s="14">
        <f t="shared" si="23"/>
        <v>3850</v>
      </c>
      <c r="E15" s="62">
        <v>30505</v>
      </c>
      <c r="F15" s="14">
        <f t="shared" si="23"/>
        <v>6170</v>
      </c>
      <c r="G15" s="62">
        <v>779080</v>
      </c>
      <c r="H15" s="14">
        <f t="shared" ref="H15" si="91">(G15-G14)*10</f>
        <v>13710</v>
      </c>
      <c r="I15" s="14">
        <f t="shared" si="25"/>
        <v>6855</v>
      </c>
      <c r="J15" s="62">
        <v>28557</v>
      </c>
      <c r="K15" s="14">
        <f t="shared" ref="K15" si="92">(J15-J14)*10</f>
        <v>6500</v>
      </c>
      <c r="L15" s="62">
        <v>44646</v>
      </c>
      <c r="M15" s="14">
        <f t="shared" ref="M15" si="93">(L15-L14)*10</f>
        <v>9170</v>
      </c>
      <c r="N15" s="62">
        <v>767899</v>
      </c>
      <c r="O15" s="14">
        <f t="shared" si="21"/>
        <v>4730</v>
      </c>
      <c r="P15" s="14">
        <f t="shared" si="28"/>
        <v>2365</v>
      </c>
      <c r="Q15" s="62">
        <v>105374</v>
      </c>
      <c r="R15" s="14">
        <f t="shared" si="22"/>
        <v>6390</v>
      </c>
      <c r="S15" s="14">
        <f t="shared" si="29"/>
        <v>3195</v>
      </c>
      <c r="T15" s="62">
        <v>53302</v>
      </c>
      <c r="U15" s="14">
        <f t="shared" ref="U15" si="94">(T15-T14)*10</f>
        <v>30</v>
      </c>
      <c r="V15" s="14">
        <f t="shared" si="31"/>
        <v>15</v>
      </c>
      <c r="W15" s="62">
        <v>122068</v>
      </c>
      <c r="X15" s="14">
        <f t="shared" ref="X15" si="95">W15-W14</f>
        <v>8</v>
      </c>
      <c r="Y15" s="14">
        <f t="shared" si="33"/>
        <v>4</v>
      </c>
      <c r="Z15" s="62">
        <v>9208</v>
      </c>
      <c r="AA15" s="14">
        <f t="shared" ref="AA15" si="96">Z15-Z14</f>
        <v>100</v>
      </c>
      <c r="AB15" s="62">
        <v>18088</v>
      </c>
      <c r="AC15" s="14">
        <f t="shared" ref="AC15" si="97">AB15-AB14</f>
        <v>206</v>
      </c>
      <c r="AD15" s="62">
        <v>33704</v>
      </c>
      <c r="AE15" s="14">
        <f t="shared" ref="AE15" si="98">AD15-AD14</f>
        <v>371</v>
      </c>
      <c r="AF15" s="62">
        <v>18491</v>
      </c>
      <c r="AG15" s="14">
        <f t="shared" ref="AG15" si="99">AF15-AF14</f>
        <v>202</v>
      </c>
      <c r="AH15" s="62">
        <v>91028</v>
      </c>
      <c r="AI15" s="14">
        <f t="shared" ref="AI15" si="100">AH15-AH14</f>
        <v>926</v>
      </c>
      <c r="AK15" s="14">
        <f t="shared" si="39"/>
        <v>38124</v>
      </c>
      <c r="AL15" s="111">
        <f t="shared" si="40"/>
        <v>7384</v>
      </c>
    </row>
    <row r="16" spans="1:38" ht="39.950000000000003" customHeight="1" x14ac:dyDescent="0.25">
      <c r="A16" s="11">
        <v>44113</v>
      </c>
      <c r="B16" s="13"/>
      <c r="C16" s="62">
        <v>21220</v>
      </c>
      <c r="D16" s="14">
        <f t="shared" si="23"/>
        <v>4180</v>
      </c>
      <c r="E16" s="62">
        <v>31195</v>
      </c>
      <c r="F16" s="14">
        <f t="shared" si="23"/>
        <v>6900</v>
      </c>
      <c r="G16" s="62">
        <v>780530</v>
      </c>
      <c r="H16" s="14">
        <f t="shared" ref="H16" si="101">(G16-G15)*10</f>
        <v>14500</v>
      </c>
      <c r="I16" s="14">
        <f t="shared" si="25"/>
        <v>7250</v>
      </c>
      <c r="J16" s="62">
        <v>29153</v>
      </c>
      <c r="K16" s="14">
        <f t="shared" ref="K16" si="102">(J16-J15)*10</f>
        <v>5960</v>
      </c>
      <c r="L16" s="62">
        <v>45575</v>
      </c>
      <c r="M16" s="14">
        <f t="shared" ref="M16" si="103">(L16-L15)*10</f>
        <v>9290</v>
      </c>
      <c r="N16" s="62">
        <v>768380</v>
      </c>
      <c r="O16" s="14">
        <f t="shared" si="21"/>
        <v>4810</v>
      </c>
      <c r="P16" s="14">
        <f t="shared" si="28"/>
        <v>2405</v>
      </c>
      <c r="Q16" s="62">
        <v>106026</v>
      </c>
      <c r="R16" s="14">
        <f t="shared" si="22"/>
        <v>6520</v>
      </c>
      <c r="S16" s="14">
        <f t="shared" si="29"/>
        <v>3260</v>
      </c>
      <c r="T16" s="62">
        <v>53304</v>
      </c>
      <c r="U16" s="14">
        <f t="shared" ref="U16" si="104">(T16-T15)*10</f>
        <v>20</v>
      </c>
      <c r="V16" s="14">
        <f t="shared" si="31"/>
        <v>10</v>
      </c>
      <c r="W16" s="62">
        <v>122076</v>
      </c>
      <c r="X16" s="14">
        <f t="shared" ref="X16" si="105">W16-W15</f>
        <v>8</v>
      </c>
      <c r="Y16" s="14">
        <f t="shared" si="33"/>
        <v>4</v>
      </c>
      <c r="Z16" s="62">
        <v>9311</v>
      </c>
      <c r="AA16" s="14">
        <f t="shared" ref="AA16" si="106">Z16-Z15</f>
        <v>103</v>
      </c>
      <c r="AB16" s="62">
        <v>18295</v>
      </c>
      <c r="AC16" s="14">
        <f t="shared" ref="AC16" si="107">AB16-AB15</f>
        <v>207</v>
      </c>
      <c r="AD16" s="62">
        <v>34080</v>
      </c>
      <c r="AE16" s="14">
        <f t="shared" ref="AE16" si="108">AD16-AD15</f>
        <v>376</v>
      </c>
      <c r="AF16" s="62">
        <v>18698</v>
      </c>
      <c r="AG16" s="14">
        <f t="shared" ref="AG16" si="109">AF16-AF15</f>
        <v>207</v>
      </c>
      <c r="AH16" s="62">
        <v>91954</v>
      </c>
      <c r="AI16" s="14">
        <f t="shared" ref="AI16" si="110">AH16-AH15</f>
        <v>926</v>
      </c>
      <c r="AK16" s="14">
        <f t="shared" si="39"/>
        <v>39259</v>
      </c>
      <c r="AL16" s="111">
        <f t="shared" si="40"/>
        <v>7498</v>
      </c>
    </row>
    <row r="17" spans="1:38" ht="39.950000000000003" customHeight="1" x14ac:dyDescent="0.25">
      <c r="A17" s="11">
        <v>44114</v>
      </c>
      <c r="B17" s="13"/>
      <c r="C17" s="62">
        <v>21633</v>
      </c>
      <c r="D17" s="14">
        <f t="shared" si="23"/>
        <v>4130</v>
      </c>
      <c r="E17" s="62">
        <v>31873</v>
      </c>
      <c r="F17" s="14">
        <f t="shared" si="23"/>
        <v>6780</v>
      </c>
      <c r="G17" s="62">
        <v>781969</v>
      </c>
      <c r="H17" s="14">
        <f t="shared" ref="H17" si="111">(G17-G16)*10</f>
        <v>14390</v>
      </c>
      <c r="I17" s="14">
        <f t="shared" si="25"/>
        <v>7195</v>
      </c>
      <c r="J17" s="62">
        <v>29788</v>
      </c>
      <c r="K17" s="14">
        <f t="shared" ref="K17" si="112">(J17-J16)*10</f>
        <v>6350</v>
      </c>
      <c r="L17" s="62">
        <v>46546</v>
      </c>
      <c r="M17" s="14">
        <f t="shared" ref="M17" si="113">(L17-L16)*10</f>
        <v>9710</v>
      </c>
      <c r="N17" s="62">
        <v>768863</v>
      </c>
      <c r="O17" s="14">
        <f t="shared" si="21"/>
        <v>4830</v>
      </c>
      <c r="P17" s="14">
        <f t="shared" si="28"/>
        <v>2415</v>
      </c>
      <c r="Q17" s="62">
        <v>106498</v>
      </c>
      <c r="R17" s="14">
        <f t="shared" si="22"/>
        <v>4720</v>
      </c>
      <c r="S17" s="14">
        <f t="shared" si="29"/>
        <v>2360</v>
      </c>
      <c r="T17" s="62">
        <v>53306</v>
      </c>
      <c r="U17" s="14">
        <f t="shared" ref="U17" si="114">(T17-T16)*10</f>
        <v>20</v>
      </c>
      <c r="V17" s="14">
        <f t="shared" si="31"/>
        <v>10</v>
      </c>
      <c r="W17" s="62">
        <v>122495</v>
      </c>
      <c r="X17" s="14">
        <f t="shared" ref="X17" si="115">W17-W16</f>
        <v>419</v>
      </c>
      <c r="Y17" s="14">
        <f t="shared" si="33"/>
        <v>209.5</v>
      </c>
      <c r="Z17" s="62">
        <v>9418</v>
      </c>
      <c r="AA17" s="14">
        <f t="shared" ref="AA17" si="116">Z17-Z16</f>
        <v>107</v>
      </c>
      <c r="AB17" s="62">
        <v>18500</v>
      </c>
      <c r="AC17" s="14">
        <f t="shared" ref="AC17" si="117">AB17-AB16</f>
        <v>205</v>
      </c>
      <c r="AD17" s="62">
        <v>34451</v>
      </c>
      <c r="AE17" s="14">
        <f t="shared" ref="AE17" si="118">AD17-AD16</f>
        <v>371</v>
      </c>
      <c r="AF17" s="62">
        <v>18901</v>
      </c>
      <c r="AG17" s="14">
        <f t="shared" ref="AG17" si="119">AF17-AF16</f>
        <v>203</v>
      </c>
      <c r="AH17" s="62">
        <v>92875</v>
      </c>
      <c r="AI17" s="14">
        <f t="shared" ref="AI17" si="120">AH17-AH16</f>
        <v>921</v>
      </c>
      <c r="AK17" s="14">
        <f t="shared" si="39"/>
        <v>39159.5</v>
      </c>
      <c r="AL17" s="111">
        <f t="shared" si="40"/>
        <v>6801.5</v>
      </c>
    </row>
    <row r="18" spans="1:38" ht="39.950000000000003" customHeight="1" x14ac:dyDescent="0.25">
      <c r="A18" s="11">
        <v>44115</v>
      </c>
      <c r="B18" s="13"/>
      <c r="C18" s="62">
        <v>22035</v>
      </c>
      <c r="D18" s="14">
        <f t="shared" si="23"/>
        <v>4020</v>
      </c>
      <c r="E18" s="62">
        <v>32555</v>
      </c>
      <c r="F18" s="14">
        <f t="shared" si="23"/>
        <v>6820</v>
      </c>
      <c r="G18" s="62">
        <v>783526</v>
      </c>
      <c r="H18" s="14">
        <f t="shared" ref="H18" si="121">(G18-G17)*10</f>
        <v>15570</v>
      </c>
      <c r="I18" s="14">
        <f t="shared" si="25"/>
        <v>7785</v>
      </c>
      <c r="J18" s="62">
        <v>30381</v>
      </c>
      <c r="K18" s="14">
        <f t="shared" ref="K18" si="122">(J18-J17)*10</f>
        <v>5930</v>
      </c>
      <c r="L18" s="62">
        <v>47479</v>
      </c>
      <c r="M18" s="14">
        <f t="shared" ref="M18" si="123">(L18-L17)*10</f>
        <v>9330</v>
      </c>
      <c r="N18" s="62">
        <v>769355</v>
      </c>
      <c r="O18" s="14">
        <f t="shared" si="21"/>
        <v>4920</v>
      </c>
      <c r="P18" s="14">
        <f t="shared" si="28"/>
        <v>2460</v>
      </c>
      <c r="Q18" s="62">
        <v>106953</v>
      </c>
      <c r="R18" s="14">
        <f t="shared" si="22"/>
        <v>4550</v>
      </c>
      <c r="S18" s="14">
        <f t="shared" si="29"/>
        <v>2275</v>
      </c>
      <c r="T18" s="62">
        <v>53308</v>
      </c>
      <c r="U18" s="14">
        <f t="shared" ref="U18" si="124">(T18-T17)*10</f>
        <v>20</v>
      </c>
      <c r="V18" s="14">
        <f t="shared" si="31"/>
        <v>10</v>
      </c>
      <c r="W18" s="62">
        <v>122993</v>
      </c>
      <c r="X18" s="14">
        <f t="shared" ref="X18" si="125">W18-W17</f>
        <v>498</v>
      </c>
      <c r="Y18" s="14">
        <f t="shared" si="33"/>
        <v>249</v>
      </c>
      <c r="Z18" s="62">
        <v>9512</v>
      </c>
      <c r="AA18" s="14">
        <f t="shared" ref="AA18" si="126">Z18-Z17</f>
        <v>94</v>
      </c>
      <c r="AB18" s="62">
        <v>18705</v>
      </c>
      <c r="AC18" s="14">
        <f t="shared" ref="AC18" si="127">AB18-AB17</f>
        <v>205</v>
      </c>
      <c r="AD18" s="62">
        <v>34825</v>
      </c>
      <c r="AE18" s="14">
        <f t="shared" ref="AE18" si="128">AD18-AD17</f>
        <v>374</v>
      </c>
      <c r="AF18" s="62">
        <v>19107</v>
      </c>
      <c r="AG18" s="14">
        <f t="shared" ref="AG18" si="129">AF18-AF17</f>
        <v>206</v>
      </c>
      <c r="AH18" s="62">
        <v>93841</v>
      </c>
      <c r="AI18" s="14">
        <f t="shared" ref="AI18" si="130">AH18-AH17</f>
        <v>966</v>
      </c>
      <c r="AK18" s="14">
        <f t="shared" si="39"/>
        <v>38879</v>
      </c>
      <c r="AL18" s="111">
        <f t="shared" si="40"/>
        <v>6839</v>
      </c>
    </row>
    <row r="19" spans="1:38" ht="39.950000000000003" customHeight="1" x14ac:dyDescent="0.25">
      <c r="A19" s="11">
        <v>44116</v>
      </c>
      <c r="B19" s="13"/>
      <c r="C19" s="62">
        <v>22428</v>
      </c>
      <c r="D19" s="14">
        <f t="shared" si="23"/>
        <v>3930</v>
      </c>
      <c r="E19" s="62">
        <v>33220</v>
      </c>
      <c r="F19" s="14">
        <f t="shared" si="23"/>
        <v>6650</v>
      </c>
      <c r="G19" s="62">
        <v>785014</v>
      </c>
      <c r="H19" s="14">
        <f t="shared" ref="H19" si="131">(G19-G18)*10</f>
        <v>14880</v>
      </c>
      <c r="I19" s="14">
        <f t="shared" si="25"/>
        <v>7440</v>
      </c>
      <c r="J19" s="62">
        <v>30977</v>
      </c>
      <c r="K19" s="14">
        <f t="shared" ref="K19" si="132">(J19-J18)*10</f>
        <v>5960</v>
      </c>
      <c r="L19" s="62">
        <v>48413</v>
      </c>
      <c r="M19" s="14">
        <f t="shared" ref="M19" si="133">(L19-L18)*10</f>
        <v>9340</v>
      </c>
      <c r="N19" s="62">
        <v>769833</v>
      </c>
      <c r="O19" s="14">
        <f t="shared" si="21"/>
        <v>4780</v>
      </c>
      <c r="P19" s="14">
        <f t="shared" si="28"/>
        <v>2390</v>
      </c>
      <c r="Q19" s="62">
        <v>107695</v>
      </c>
      <c r="R19" s="14">
        <f t="shared" si="22"/>
        <v>7420</v>
      </c>
      <c r="S19" s="14">
        <f t="shared" si="29"/>
        <v>3710</v>
      </c>
      <c r="T19" s="62">
        <v>53310</v>
      </c>
      <c r="U19" s="14">
        <f t="shared" ref="U19" si="134">(T19-T18)*10</f>
        <v>20</v>
      </c>
      <c r="V19" s="14">
        <f t="shared" si="31"/>
        <v>10</v>
      </c>
      <c r="W19" s="62">
        <v>123564</v>
      </c>
      <c r="X19" s="14">
        <f t="shared" ref="X19" si="135">W19-W18</f>
        <v>571</v>
      </c>
      <c r="Y19" s="14">
        <f t="shared" si="33"/>
        <v>285.5</v>
      </c>
      <c r="Z19" s="62">
        <v>9604</v>
      </c>
      <c r="AA19" s="14">
        <f t="shared" ref="AA19" si="136">Z19-Z18</f>
        <v>92</v>
      </c>
      <c r="AB19" s="62">
        <v>18907</v>
      </c>
      <c r="AC19" s="14">
        <f t="shared" ref="AC19" si="137">AB19-AB18</f>
        <v>202</v>
      </c>
      <c r="AD19" s="62">
        <v>35196</v>
      </c>
      <c r="AE19" s="14">
        <f t="shared" ref="AE19" si="138">AD19-AD18</f>
        <v>371</v>
      </c>
      <c r="AF19" s="62">
        <v>19306</v>
      </c>
      <c r="AG19" s="14">
        <f t="shared" ref="AG19" si="139">AF19-AF18</f>
        <v>199</v>
      </c>
      <c r="AH19" s="62">
        <v>94783</v>
      </c>
      <c r="AI19" s="14">
        <f t="shared" ref="AI19" si="140">AH19-AH18</f>
        <v>942</v>
      </c>
      <c r="AK19" s="14">
        <f t="shared" si="39"/>
        <v>39715.5</v>
      </c>
      <c r="AL19" s="111">
        <f t="shared" si="40"/>
        <v>8201.5</v>
      </c>
    </row>
    <row r="20" spans="1:38" ht="39.950000000000003" customHeight="1" x14ac:dyDescent="0.25">
      <c r="A20" s="11">
        <v>44117</v>
      </c>
      <c r="B20" s="13"/>
      <c r="C20" s="62">
        <v>22805</v>
      </c>
      <c r="D20" s="14">
        <f t="shared" si="23"/>
        <v>3770</v>
      </c>
      <c r="E20" s="62">
        <v>33851</v>
      </c>
      <c r="F20" s="14">
        <f t="shared" si="23"/>
        <v>6310</v>
      </c>
      <c r="G20" s="62">
        <v>786458</v>
      </c>
      <c r="H20" s="14">
        <f t="shared" ref="H20" si="141">(G20-G19)*10</f>
        <v>14440</v>
      </c>
      <c r="I20" s="14">
        <f t="shared" si="25"/>
        <v>7220</v>
      </c>
      <c r="J20" s="62">
        <v>31522</v>
      </c>
      <c r="K20" s="14">
        <f t="shared" ref="K20" si="142">(J20-J19)*10</f>
        <v>5450</v>
      </c>
      <c r="L20" s="62">
        <v>49298</v>
      </c>
      <c r="M20" s="14">
        <f t="shared" ref="M20" si="143">(L20-L19)*10</f>
        <v>8850</v>
      </c>
      <c r="N20" s="62">
        <v>770296</v>
      </c>
      <c r="O20" s="14">
        <f t="shared" si="21"/>
        <v>4630</v>
      </c>
      <c r="P20" s="14">
        <f t="shared" si="28"/>
        <v>2315</v>
      </c>
      <c r="Q20" s="62">
        <v>108077</v>
      </c>
      <c r="R20" s="14">
        <f t="shared" si="22"/>
        <v>3820</v>
      </c>
      <c r="S20" s="14">
        <f t="shared" si="29"/>
        <v>1910</v>
      </c>
      <c r="T20" s="62">
        <v>53709</v>
      </c>
      <c r="U20" s="14">
        <f t="shared" ref="U20" si="144">(T20-T19)*10</f>
        <v>3990</v>
      </c>
      <c r="V20" s="14">
        <f t="shared" si="31"/>
        <v>1995</v>
      </c>
      <c r="W20" s="62">
        <v>123745</v>
      </c>
      <c r="X20" s="14">
        <f t="shared" ref="X20" si="145">W20-W19</f>
        <v>181</v>
      </c>
      <c r="Y20" s="14">
        <f t="shared" si="33"/>
        <v>90.5</v>
      </c>
      <c r="Z20" s="62">
        <v>9701</v>
      </c>
      <c r="AA20" s="14">
        <f t="shared" ref="AA20" si="146">Z20-Z19</f>
        <v>97</v>
      </c>
      <c r="AB20" s="62">
        <v>19120</v>
      </c>
      <c r="AC20" s="14">
        <f t="shared" ref="AC20" si="147">AB20-AB19</f>
        <v>213</v>
      </c>
      <c r="AD20" s="62">
        <v>35560</v>
      </c>
      <c r="AE20" s="14">
        <f t="shared" ref="AE20" si="148">AD20-AD19</f>
        <v>364</v>
      </c>
      <c r="AF20" s="62">
        <v>19522</v>
      </c>
      <c r="AG20" s="14">
        <f t="shared" ref="AG20" si="149">AF20-AF19</f>
        <v>216</v>
      </c>
      <c r="AH20" s="62">
        <v>95709</v>
      </c>
      <c r="AI20" s="14">
        <f t="shared" ref="AI20" si="150">AH20-AH19</f>
        <v>926</v>
      </c>
      <c r="AK20" s="14">
        <f t="shared" si="39"/>
        <v>37910.5</v>
      </c>
      <c r="AL20" s="111">
        <f t="shared" si="40"/>
        <v>8126.5</v>
      </c>
    </row>
    <row r="21" spans="1:38" ht="39.950000000000003" customHeight="1" x14ac:dyDescent="0.25">
      <c r="A21" s="11">
        <v>44118</v>
      </c>
      <c r="B21" s="13"/>
      <c r="C21" s="62">
        <v>23184</v>
      </c>
      <c r="D21" s="14">
        <f t="shared" si="23"/>
        <v>3790</v>
      </c>
      <c r="E21" s="62">
        <v>34459</v>
      </c>
      <c r="F21" s="14">
        <f t="shared" si="23"/>
        <v>6080</v>
      </c>
      <c r="G21" s="62">
        <v>787803</v>
      </c>
      <c r="H21" s="14">
        <f t="shared" ref="H21" si="151">(G21-G20)*10</f>
        <v>13450</v>
      </c>
      <c r="I21" s="14">
        <f t="shared" si="25"/>
        <v>6725</v>
      </c>
      <c r="J21" s="62">
        <v>32087</v>
      </c>
      <c r="K21" s="14">
        <f t="shared" ref="K21" si="152">(J21-J20)*10</f>
        <v>5650</v>
      </c>
      <c r="L21" s="62">
        <v>50199</v>
      </c>
      <c r="M21" s="14">
        <f t="shared" ref="M21" si="153">(L21-L20)*10</f>
        <v>9010</v>
      </c>
      <c r="N21" s="62">
        <v>770779</v>
      </c>
      <c r="O21" s="14">
        <f t="shared" si="21"/>
        <v>4830</v>
      </c>
      <c r="P21" s="14">
        <f t="shared" si="28"/>
        <v>2415</v>
      </c>
      <c r="Q21" s="62">
        <v>108079</v>
      </c>
      <c r="R21" s="14">
        <f t="shared" si="22"/>
        <v>20</v>
      </c>
      <c r="S21" s="14">
        <f t="shared" si="29"/>
        <v>10</v>
      </c>
      <c r="T21" s="62">
        <v>54675</v>
      </c>
      <c r="U21" s="14">
        <f t="shared" ref="U21" si="154">(T21-T20)*10</f>
        <v>9660</v>
      </c>
      <c r="V21" s="14">
        <f t="shared" si="31"/>
        <v>4830</v>
      </c>
      <c r="W21" s="62">
        <v>123796</v>
      </c>
      <c r="X21" s="14">
        <f t="shared" ref="X21" si="155">W21-W20</f>
        <v>51</v>
      </c>
      <c r="Y21" s="14">
        <f t="shared" si="33"/>
        <v>25.5</v>
      </c>
      <c r="Z21" s="62">
        <v>9796</v>
      </c>
      <c r="AA21" s="14">
        <f t="shared" ref="AA21" si="156">Z21-Z20</f>
        <v>95</v>
      </c>
      <c r="AB21" s="62">
        <v>19333</v>
      </c>
      <c r="AC21" s="14">
        <f t="shared" ref="AC21" si="157">AB21-AB20</f>
        <v>213</v>
      </c>
      <c r="AD21" s="62">
        <v>35934</v>
      </c>
      <c r="AE21" s="14">
        <f t="shared" ref="AE21" si="158">AD21-AD20</f>
        <v>374</v>
      </c>
      <c r="AF21" s="62">
        <v>19731</v>
      </c>
      <c r="AG21" s="14">
        <f t="shared" ref="AG21" si="159">AF21-AF20</f>
        <v>209</v>
      </c>
      <c r="AH21" s="62">
        <v>96652</v>
      </c>
      <c r="AI21" s="14">
        <f t="shared" ref="AI21" si="160">AH21-AH20</f>
        <v>943</v>
      </c>
      <c r="AK21" s="14">
        <f t="shared" si="39"/>
        <v>38535.5</v>
      </c>
      <c r="AL21" s="111">
        <f t="shared" si="40"/>
        <v>9114.5</v>
      </c>
    </row>
    <row r="22" spans="1:38" ht="39.950000000000003" customHeight="1" x14ac:dyDescent="0.25">
      <c r="A22" s="11">
        <v>44119</v>
      </c>
      <c r="B22" s="13"/>
      <c r="C22" s="62">
        <v>23568</v>
      </c>
      <c r="D22" s="14">
        <f t="shared" si="23"/>
        <v>3840</v>
      </c>
      <c r="E22" s="62">
        <v>35088</v>
      </c>
      <c r="F22" s="14">
        <f t="shared" si="23"/>
        <v>6290</v>
      </c>
      <c r="G22" s="62">
        <v>788940</v>
      </c>
      <c r="H22" s="14">
        <f t="shared" ref="H22" si="161">(G22-G21)*10</f>
        <v>11370</v>
      </c>
      <c r="I22" s="14">
        <f t="shared" si="25"/>
        <v>5685</v>
      </c>
      <c r="J22" s="62">
        <v>32657</v>
      </c>
      <c r="K22" s="14">
        <f t="shared" ref="K22" si="162">(J22-J21)*10</f>
        <v>5700</v>
      </c>
      <c r="L22" s="62">
        <v>51114</v>
      </c>
      <c r="M22" s="14">
        <f t="shared" ref="M22" si="163">(L22-L21)*10</f>
        <v>9150</v>
      </c>
      <c r="N22" s="62">
        <v>771268</v>
      </c>
      <c r="O22" s="14">
        <f t="shared" si="21"/>
        <v>4890</v>
      </c>
      <c r="P22" s="14">
        <f t="shared" si="28"/>
        <v>2445</v>
      </c>
      <c r="Q22" s="62">
        <v>108440</v>
      </c>
      <c r="R22" s="14">
        <f t="shared" si="22"/>
        <v>3610</v>
      </c>
      <c r="S22" s="14">
        <f t="shared" si="29"/>
        <v>1805</v>
      </c>
      <c r="T22" s="62">
        <v>55441</v>
      </c>
      <c r="U22" s="14">
        <f t="shared" ref="U22" si="164">(T22-T21)*10</f>
        <v>7660</v>
      </c>
      <c r="V22" s="14">
        <f t="shared" si="31"/>
        <v>3830</v>
      </c>
      <c r="W22" s="62">
        <v>123843</v>
      </c>
      <c r="X22" s="14">
        <f t="shared" ref="X22" si="165">W22-W21</f>
        <v>47</v>
      </c>
      <c r="Y22" s="14">
        <f t="shared" si="33"/>
        <v>23.5</v>
      </c>
      <c r="Z22" s="62">
        <v>9891</v>
      </c>
      <c r="AA22" s="14">
        <f t="shared" ref="AA22" si="166">Z22-Z21</f>
        <v>95</v>
      </c>
      <c r="AB22" s="62">
        <v>19543</v>
      </c>
      <c r="AC22" s="14">
        <f t="shared" ref="AC22" si="167">AB22-AB21</f>
        <v>210</v>
      </c>
      <c r="AD22" s="62">
        <v>36306</v>
      </c>
      <c r="AE22" s="14">
        <f t="shared" ref="AE22" si="168">AD22-AD21</f>
        <v>372</v>
      </c>
      <c r="AF22" s="62">
        <v>19941</v>
      </c>
      <c r="AG22" s="14">
        <f t="shared" ref="AG22" si="169">AF22-AF21</f>
        <v>210</v>
      </c>
      <c r="AH22" s="62">
        <v>97602</v>
      </c>
      <c r="AI22" s="14">
        <f t="shared" ref="AI22" si="170">AH22-AH21</f>
        <v>950</v>
      </c>
      <c r="AK22" s="14">
        <f t="shared" si="39"/>
        <v>38768.5</v>
      </c>
      <c r="AL22" s="111">
        <f t="shared" si="40"/>
        <v>9940.5</v>
      </c>
    </row>
    <row r="23" spans="1:38" ht="39.950000000000003" customHeight="1" x14ac:dyDescent="0.25">
      <c r="A23" s="11">
        <v>44120</v>
      </c>
      <c r="B23" s="13"/>
      <c r="C23" s="62">
        <v>23965</v>
      </c>
      <c r="D23" s="14">
        <f t="shared" si="23"/>
        <v>3970</v>
      </c>
      <c r="E23" s="62">
        <v>35760</v>
      </c>
      <c r="F23" s="14">
        <f t="shared" si="23"/>
        <v>6720</v>
      </c>
      <c r="G23" s="62">
        <v>789285</v>
      </c>
      <c r="H23" s="14">
        <f t="shared" ref="H23" si="171">(G23-G22)*10</f>
        <v>3450</v>
      </c>
      <c r="I23" s="14">
        <f t="shared" si="25"/>
        <v>1725</v>
      </c>
      <c r="J23" s="62">
        <v>33261</v>
      </c>
      <c r="K23" s="14">
        <f t="shared" ref="K23" si="172">(J23-J22)*10</f>
        <v>6040</v>
      </c>
      <c r="L23" s="62">
        <v>52065</v>
      </c>
      <c r="M23" s="14">
        <f t="shared" ref="M23" si="173">(L23-L22)*10</f>
        <v>9510</v>
      </c>
      <c r="N23" s="62">
        <v>771750</v>
      </c>
      <c r="O23" s="14">
        <f t="shared" si="21"/>
        <v>4820</v>
      </c>
      <c r="P23" s="14">
        <f t="shared" si="28"/>
        <v>2410</v>
      </c>
      <c r="Q23" s="62">
        <v>109241</v>
      </c>
      <c r="R23" s="14">
        <f t="shared" si="22"/>
        <v>8010</v>
      </c>
      <c r="S23" s="14">
        <f t="shared" si="29"/>
        <v>4005</v>
      </c>
      <c r="T23" s="62">
        <v>56525</v>
      </c>
      <c r="U23" s="14">
        <f t="shared" ref="U23" si="174">(T23-T22)*10</f>
        <v>10840</v>
      </c>
      <c r="V23" s="14">
        <f t="shared" si="31"/>
        <v>5420</v>
      </c>
      <c r="W23" s="62">
        <v>123904</v>
      </c>
      <c r="X23" s="14">
        <f t="shared" ref="X23" si="175">W23-W22</f>
        <v>61</v>
      </c>
      <c r="Y23" s="14">
        <f t="shared" si="33"/>
        <v>30.5</v>
      </c>
      <c r="Z23" s="62">
        <v>9987</v>
      </c>
      <c r="AA23" s="14">
        <f t="shared" ref="AA23" si="176">Z23-Z22</f>
        <v>96</v>
      </c>
      <c r="AB23" s="62">
        <v>19758</v>
      </c>
      <c r="AC23" s="14">
        <f t="shared" ref="AC23" si="177">AB23-AB22</f>
        <v>215</v>
      </c>
      <c r="AD23" s="62">
        <v>36684</v>
      </c>
      <c r="AE23" s="14">
        <f t="shared" ref="AE23" si="178">AD23-AD22</f>
        <v>378</v>
      </c>
      <c r="AF23" s="62">
        <v>20149</v>
      </c>
      <c r="AG23" s="14">
        <f t="shared" ref="AG23" si="179">AF23-AF22</f>
        <v>208</v>
      </c>
      <c r="AH23" s="62">
        <v>98535</v>
      </c>
      <c r="AI23" s="14">
        <f t="shared" ref="AI23" si="180">AH23-AH22</f>
        <v>933</v>
      </c>
      <c r="AK23" s="14">
        <f t="shared" si="39"/>
        <v>39830.5</v>
      </c>
      <c r="AL23" s="111">
        <f t="shared" si="40"/>
        <v>13695.5</v>
      </c>
    </row>
    <row r="24" spans="1:38" ht="39.950000000000003" customHeight="1" x14ac:dyDescent="0.25">
      <c r="A24" s="11">
        <v>44121</v>
      </c>
      <c r="B24" s="13"/>
      <c r="C24" s="62">
        <v>24399</v>
      </c>
      <c r="D24" s="14">
        <f t="shared" si="23"/>
        <v>4340</v>
      </c>
      <c r="E24" s="62">
        <v>36447</v>
      </c>
      <c r="F24" s="14">
        <f t="shared" si="23"/>
        <v>6870</v>
      </c>
      <c r="G24" s="62">
        <v>789641</v>
      </c>
      <c r="H24" s="14">
        <f t="shared" ref="H24" si="181">(G24-G23)*10</f>
        <v>3560</v>
      </c>
      <c r="I24" s="14">
        <f t="shared" si="25"/>
        <v>1780</v>
      </c>
      <c r="J24" s="62">
        <v>33851</v>
      </c>
      <c r="K24" s="14">
        <f t="shared" ref="K24:K37" si="182">(J24-J23)*10</f>
        <v>5900</v>
      </c>
      <c r="L24" s="62">
        <v>53020</v>
      </c>
      <c r="M24" s="14">
        <f t="shared" ref="M24:M37" si="183">(L24-L23)*10</f>
        <v>9550</v>
      </c>
      <c r="N24" s="62">
        <v>772229</v>
      </c>
      <c r="O24" s="14">
        <f t="shared" si="21"/>
        <v>4790</v>
      </c>
      <c r="P24" s="14">
        <f t="shared" si="28"/>
        <v>2395</v>
      </c>
      <c r="Q24" s="62">
        <v>109945</v>
      </c>
      <c r="R24" s="14">
        <f t="shared" si="22"/>
        <v>7040</v>
      </c>
      <c r="S24" s="14">
        <f t="shared" si="29"/>
        <v>3520</v>
      </c>
      <c r="T24" s="62">
        <v>57480</v>
      </c>
      <c r="U24" s="14">
        <f t="shared" ref="U24" si="184">(T24-T23)*10</f>
        <v>9550</v>
      </c>
      <c r="V24" s="14">
        <f t="shared" si="31"/>
        <v>4775</v>
      </c>
      <c r="W24" s="62">
        <v>123963</v>
      </c>
      <c r="X24" s="14">
        <f t="shared" ref="X24" si="185">W24-W23</f>
        <v>59</v>
      </c>
      <c r="Y24" s="14">
        <f t="shared" si="33"/>
        <v>29.5</v>
      </c>
      <c r="Z24" s="62">
        <v>10090</v>
      </c>
      <c r="AA24" s="14">
        <f t="shared" ref="AA24:AA37" si="186">Z24-Z23</f>
        <v>103</v>
      </c>
      <c r="AB24" s="62">
        <v>19960</v>
      </c>
      <c r="AC24" s="14">
        <f t="shared" ref="AC24:AC37" si="187">AB24-AB23</f>
        <v>202</v>
      </c>
      <c r="AD24" s="62">
        <v>37055</v>
      </c>
      <c r="AE24" s="14">
        <f t="shared" ref="AE24:AE37" si="188">AD24-AD23</f>
        <v>371</v>
      </c>
      <c r="AF24" s="62">
        <v>20359</v>
      </c>
      <c r="AG24" s="14">
        <f t="shared" ref="AG24:AG37" si="189">AF24-AF23</f>
        <v>210</v>
      </c>
      <c r="AH24" s="62">
        <v>99454</v>
      </c>
      <c r="AI24" s="14">
        <f t="shared" ref="AI24:AI37" si="190">AH24-AH23</f>
        <v>919</v>
      </c>
      <c r="AK24" s="14">
        <f t="shared" si="39"/>
        <v>39159.5</v>
      </c>
      <c r="AL24" s="111">
        <f t="shared" si="40"/>
        <v>12524.5</v>
      </c>
    </row>
    <row r="25" spans="1:38" ht="39.950000000000003" customHeight="1" x14ac:dyDescent="0.25">
      <c r="A25" s="11">
        <v>44122</v>
      </c>
      <c r="B25" s="13"/>
      <c r="C25" s="62">
        <v>24772</v>
      </c>
      <c r="D25" s="14">
        <f t="shared" si="23"/>
        <v>3730</v>
      </c>
      <c r="E25" s="62">
        <v>37154</v>
      </c>
      <c r="F25" s="14">
        <f t="shared" si="23"/>
        <v>7070</v>
      </c>
      <c r="G25" s="62">
        <v>789994</v>
      </c>
      <c r="H25" s="14">
        <f t="shared" ref="H25:H37" si="191">(G25-G24)*10</f>
        <v>3530</v>
      </c>
      <c r="I25" s="14">
        <f t="shared" ref="I25:I37" si="192">H25*50%</f>
        <v>1765</v>
      </c>
      <c r="J25" s="62">
        <v>34439</v>
      </c>
      <c r="K25" s="14">
        <f t="shared" si="182"/>
        <v>5880</v>
      </c>
      <c r="L25" s="62">
        <v>53943</v>
      </c>
      <c r="M25" s="14">
        <f t="shared" si="183"/>
        <v>9230</v>
      </c>
      <c r="N25" s="62">
        <v>772721</v>
      </c>
      <c r="O25" s="14">
        <f t="shared" ref="O25:O37" si="193">(N25-N24)*10</f>
        <v>4920</v>
      </c>
      <c r="P25" s="14">
        <f t="shared" ref="P25:P37" si="194">O25*50%</f>
        <v>2460</v>
      </c>
      <c r="Q25" s="62">
        <v>110528</v>
      </c>
      <c r="R25" s="14">
        <f t="shared" ref="R25:R37" si="195">(Q25-Q24)*10</f>
        <v>5830</v>
      </c>
      <c r="S25" s="14">
        <f t="shared" ref="S25:S37" si="196">R25*50%</f>
        <v>2915</v>
      </c>
      <c r="T25" s="62">
        <v>58369</v>
      </c>
      <c r="U25" s="14">
        <f t="shared" ref="U25:U37" si="197">(T25-T24)*10</f>
        <v>8890</v>
      </c>
      <c r="V25" s="14">
        <f t="shared" ref="V25:V37" si="198">U25*50%</f>
        <v>4445</v>
      </c>
      <c r="W25" s="62">
        <v>124020</v>
      </c>
      <c r="X25" s="14">
        <f t="shared" ref="X25:X37" si="199">W25-W24</f>
        <v>57</v>
      </c>
      <c r="Y25" s="14">
        <f t="shared" ref="Y25:Y37" si="200">X25*50%</f>
        <v>28.5</v>
      </c>
      <c r="Z25" s="62">
        <v>10183</v>
      </c>
      <c r="AA25" s="14">
        <f t="shared" si="186"/>
        <v>93</v>
      </c>
      <c r="AB25" s="62">
        <v>20156</v>
      </c>
      <c r="AC25" s="14">
        <f t="shared" si="187"/>
        <v>196</v>
      </c>
      <c r="AD25" s="62">
        <v>37419</v>
      </c>
      <c r="AE25" s="14">
        <f t="shared" si="188"/>
        <v>364</v>
      </c>
      <c r="AF25" s="62">
        <v>20568</v>
      </c>
      <c r="AG25" s="14">
        <f t="shared" si="189"/>
        <v>209</v>
      </c>
      <c r="AH25" s="62">
        <v>100391</v>
      </c>
      <c r="AI25" s="14">
        <f t="shared" si="190"/>
        <v>937</v>
      </c>
      <c r="AK25" s="14">
        <f t="shared" ref="AK25:AK37" si="201">SUM(D25,F25,I25,K25,M25,P25,S25,V25,Y25)</f>
        <v>37523.5</v>
      </c>
      <c r="AL25" s="111">
        <f t="shared" ref="AL25:AL37" si="202">SUM(P25,S25,V25,Y25,AA25,AC25,AE25,AG25,AI25)</f>
        <v>11647.5</v>
      </c>
    </row>
    <row r="26" spans="1:38" ht="39.950000000000003" customHeight="1" x14ac:dyDescent="0.25">
      <c r="A26" s="11">
        <v>44123</v>
      </c>
      <c r="B26" s="13"/>
      <c r="C26" s="62">
        <v>25162</v>
      </c>
      <c r="D26" s="14">
        <f t="shared" ref="D26:D37" si="203">(C26-C25)*10</f>
        <v>3900</v>
      </c>
      <c r="E26" s="62">
        <v>37824</v>
      </c>
      <c r="F26" s="14">
        <f t="shared" ref="F26:F37" si="204">(E26-E25)*10</f>
        <v>6700</v>
      </c>
      <c r="G26" s="62">
        <v>790309</v>
      </c>
      <c r="H26" s="14">
        <f t="shared" si="191"/>
        <v>3150</v>
      </c>
      <c r="I26" s="14">
        <f t="shared" si="192"/>
        <v>1575</v>
      </c>
      <c r="J26" s="62">
        <v>35037</v>
      </c>
      <c r="K26" s="14">
        <f t="shared" si="182"/>
        <v>5980</v>
      </c>
      <c r="L26" s="62">
        <v>54884</v>
      </c>
      <c r="M26" s="14">
        <f t="shared" si="183"/>
        <v>9410</v>
      </c>
      <c r="N26" s="62">
        <v>773213</v>
      </c>
      <c r="O26" s="14">
        <f t="shared" si="193"/>
        <v>4920</v>
      </c>
      <c r="P26" s="14">
        <f t="shared" si="194"/>
        <v>2460</v>
      </c>
      <c r="Q26" s="62">
        <v>110600</v>
      </c>
      <c r="R26" s="14">
        <f t="shared" si="195"/>
        <v>720</v>
      </c>
      <c r="S26" s="14">
        <f t="shared" si="196"/>
        <v>360</v>
      </c>
      <c r="T26" s="62">
        <v>59258</v>
      </c>
      <c r="U26" s="14">
        <f t="shared" si="197"/>
        <v>8890</v>
      </c>
      <c r="V26" s="14">
        <f t="shared" si="198"/>
        <v>4445</v>
      </c>
      <c r="W26" s="62">
        <v>124548</v>
      </c>
      <c r="X26" s="14">
        <f t="shared" si="199"/>
        <v>528</v>
      </c>
      <c r="Y26" s="14">
        <f t="shared" si="200"/>
        <v>264</v>
      </c>
      <c r="Z26" s="62">
        <v>10275</v>
      </c>
      <c r="AA26" s="14">
        <f t="shared" si="186"/>
        <v>92</v>
      </c>
      <c r="AB26" s="62">
        <v>20363</v>
      </c>
      <c r="AC26" s="14">
        <f t="shared" si="187"/>
        <v>207</v>
      </c>
      <c r="AD26" s="62">
        <v>37787</v>
      </c>
      <c r="AE26" s="14">
        <f t="shared" si="188"/>
        <v>368</v>
      </c>
      <c r="AF26" s="62">
        <v>20779</v>
      </c>
      <c r="AG26" s="14">
        <f t="shared" si="189"/>
        <v>211</v>
      </c>
      <c r="AH26" s="62">
        <v>101330</v>
      </c>
      <c r="AI26" s="14">
        <f t="shared" si="190"/>
        <v>939</v>
      </c>
      <c r="AK26" s="14">
        <f t="shared" si="201"/>
        <v>35094</v>
      </c>
      <c r="AL26" s="111">
        <f t="shared" si="202"/>
        <v>9346</v>
      </c>
    </row>
    <row r="27" spans="1:38" ht="39.950000000000003" customHeight="1" x14ac:dyDescent="0.25">
      <c r="A27" s="11">
        <v>44124</v>
      </c>
      <c r="B27" s="13"/>
      <c r="C27" s="62">
        <v>25556</v>
      </c>
      <c r="D27" s="14">
        <f t="shared" si="203"/>
        <v>3940</v>
      </c>
      <c r="E27" s="62">
        <v>38468</v>
      </c>
      <c r="F27" s="14">
        <f t="shared" si="204"/>
        <v>6440</v>
      </c>
      <c r="G27" s="62">
        <v>790643</v>
      </c>
      <c r="H27" s="14">
        <f t="shared" si="191"/>
        <v>3340</v>
      </c>
      <c r="I27" s="14">
        <f t="shared" si="192"/>
        <v>1670</v>
      </c>
      <c r="J27" s="62">
        <v>35616</v>
      </c>
      <c r="K27" s="14">
        <f t="shared" si="182"/>
        <v>5790</v>
      </c>
      <c r="L27" s="62">
        <v>55794</v>
      </c>
      <c r="M27" s="14">
        <f t="shared" si="183"/>
        <v>9100</v>
      </c>
      <c r="N27" s="62">
        <v>773688</v>
      </c>
      <c r="O27" s="14">
        <f t="shared" si="193"/>
        <v>4750</v>
      </c>
      <c r="P27" s="14">
        <f t="shared" si="194"/>
        <v>2375</v>
      </c>
      <c r="Q27" s="62">
        <v>111001</v>
      </c>
      <c r="R27" s="14">
        <f t="shared" si="195"/>
        <v>4010</v>
      </c>
      <c r="S27" s="14">
        <f t="shared" si="196"/>
        <v>2005</v>
      </c>
      <c r="T27" s="62">
        <v>60181</v>
      </c>
      <c r="U27" s="14">
        <f t="shared" si="197"/>
        <v>9230</v>
      </c>
      <c r="V27" s="14">
        <f t="shared" si="198"/>
        <v>4615</v>
      </c>
      <c r="W27" s="62">
        <v>124610</v>
      </c>
      <c r="X27" s="14">
        <f t="shared" si="199"/>
        <v>62</v>
      </c>
      <c r="Y27" s="14">
        <f t="shared" si="200"/>
        <v>31</v>
      </c>
      <c r="Z27" s="62">
        <v>10369</v>
      </c>
      <c r="AA27" s="14">
        <f t="shared" si="186"/>
        <v>94</v>
      </c>
      <c r="AB27" s="62">
        <v>20579</v>
      </c>
      <c r="AC27" s="14">
        <f t="shared" si="187"/>
        <v>216</v>
      </c>
      <c r="AD27" s="62">
        <v>38166</v>
      </c>
      <c r="AE27" s="14">
        <f t="shared" si="188"/>
        <v>379</v>
      </c>
      <c r="AF27" s="62">
        <v>20995</v>
      </c>
      <c r="AG27" s="14">
        <f t="shared" si="189"/>
        <v>216</v>
      </c>
      <c r="AH27" s="62">
        <v>102297</v>
      </c>
      <c r="AI27" s="14">
        <f t="shared" si="190"/>
        <v>967</v>
      </c>
      <c r="AK27" s="14">
        <f t="shared" si="201"/>
        <v>35966</v>
      </c>
      <c r="AL27" s="111">
        <f t="shared" si="202"/>
        <v>10898</v>
      </c>
    </row>
    <row r="28" spans="1:38" ht="39.950000000000003" customHeight="1" x14ac:dyDescent="0.25">
      <c r="A28" s="11">
        <v>44125</v>
      </c>
      <c r="B28" s="13"/>
      <c r="C28" s="62">
        <v>25937</v>
      </c>
      <c r="D28" s="14">
        <f t="shared" si="203"/>
        <v>3810</v>
      </c>
      <c r="E28" s="62">
        <v>39082</v>
      </c>
      <c r="F28" s="14">
        <f t="shared" si="204"/>
        <v>6140</v>
      </c>
      <c r="G28" s="62">
        <v>790938</v>
      </c>
      <c r="H28" s="14">
        <f t="shared" si="191"/>
        <v>2950</v>
      </c>
      <c r="I28" s="14">
        <f t="shared" si="192"/>
        <v>1475</v>
      </c>
      <c r="J28" s="62">
        <v>36191</v>
      </c>
      <c r="K28" s="14">
        <f t="shared" si="182"/>
        <v>5750</v>
      </c>
      <c r="L28" s="62">
        <v>56695</v>
      </c>
      <c r="M28" s="14">
        <f t="shared" si="183"/>
        <v>9010</v>
      </c>
      <c r="N28" s="62">
        <v>774089</v>
      </c>
      <c r="O28" s="14">
        <f t="shared" si="193"/>
        <v>4010</v>
      </c>
      <c r="P28" s="14">
        <f t="shared" si="194"/>
        <v>2005</v>
      </c>
      <c r="Q28" s="62">
        <v>111002</v>
      </c>
      <c r="R28" s="14">
        <f t="shared" si="195"/>
        <v>10</v>
      </c>
      <c r="S28" s="14">
        <f t="shared" si="196"/>
        <v>5</v>
      </c>
      <c r="T28" s="62">
        <v>61016</v>
      </c>
      <c r="U28" s="14">
        <f t="shared" si="197"/>
        <v>8350</v>
      </c>
      <c r="V28" s="14">
        <f t="shared" si="198"/>
        <v>4175</v>
      </c>
      <c r="W28" s="62">
        <v>125116</v>
      </c>
      <c r="X28" s="14">
        <f t="shared" si="199"/>
        <v>506</v>
      </c>
      <c r="Y28" s="14">
        <f t="shared" si="200"/>
        <v>253</v>
      </c>
      <c r="Z28" s="62">
        <v>10463</v>
      </c>
      <c r="AA28" s="14">
        <f t="shared" si="186"/>
        <v>94</v>
      </c>
      <c r="AB28" s="62">
        <v>20787</v>
      </c>
      <c r="AC28" s="14">
        <f t="shared" si="187"/>
        <v>208</v>
      </c>
      <c r="AD28" s="62">
        <v>38533</v>
      </c>
      <c r="AE28" s="14">
        <f t="shared" si="188"/>
        <v>367</v>
      </c>
      <c r="AF28" s="62">
        <v>21200</v>
      </c>
      <c r="AG28" s="14">
        <f t="shared" si="189"/>
        <v>205</v>
      </c>
      <c r="AH28" s="62">
        <v>103216</v>
      </c>
      <c r="AI28" s="14">
        <f t="shared" si="190"/>
        <v>919</v>
      </c>
      <c r="AK28" s="14">
        <f t="shared" si="201"/>
        <v>32623</v>
      </c>
      <c r="AL28" s="111">
        <f t="shared" si="202"/>
        <v>8231</v>
      </c>
    </row>
    <row r="29" spans="1:38" ht="39.950000000000003" customHeight="1" x14ac:dyDescent="0.25">
      <c r="A29" s="11">
        <v>44126</v>
      </c>
      <c r="B29" s="13"/>
      <c r="C29" s="62">
        <v>26331</v>
      </c>
      <c r="D29" s="14">
        <f t="shared" si="203"/>
        <v>3940</v>
      </c>
      <c r="E29" s="62">
        <v>39713</v>
      </c>
      <c r="F29" s="14">
        <f t="shared" si="204"/>
        <v>6310</v>
      </c>
      <c r="G29" s="62">
        <v>791244</v>
      </c>
      <c r="H29" s="14">
        <f t="shared" si="191"/>
        <v>3060</v>
      </c>
      <c r="I29" s="14">
        <f t="shared" si="192"/>
        <v>1530</v>
      </c>
      <c r="J29" s="62">
        <v>36794</v>
      </c>
      <c r="K29" s="14">
        <f t="shared" si="182"/>
        <v>6030</v>
      </c>
      <c r="L29" s="62">
        <v>57618</v>
      </c>
      <c r="M29" s="14">
        <f t="shared" si="183"/>
        <v>9230</v>
      </c>
      <c r="N29" s="62">
        <v>774506</v>
      </c>
      <c r="O29" s="14">
        <f t="shared" si="193"/>
        <v>4170</v>
      </c>
      <c r="P29" s="14">
        <f t="shared" si="194"/>
        <v>2085</v>
      </c>
      <c r="Q29" s="62">
        <v>111004</v>
      </c>
      <c r="R29" s="14">
        <f t="shared" si="195"/>
        <v>20</v>
      </c>
      <c r="S29" s="14">
        <f t="shared" si="196"/>
        <v>10</v>
      </c>
      <c r="T29" s="62">
        <v>61904</v>
      </c>
      <c r="U29" s="14">
        <f t="shared" si="197"/>
        <v>8880</v>
      </c>
      <c r="V29" s="14">
        <f t="shared" si="198"/>
        <v>4440</v>
      </c>
      <c r="W29" s="62">
        <v>125588</v>
      </c>
      <c r="X29" s="14">
        <f t="shared" si="199"/>
        <v>472</v>
      </c>
      <c r="Y29" s="14">
        <f t="shared" si="200"/>
        <v>236</v>
      </c>
      <c r="Z29" s="62">
        <v>10564</v>
      </c>
      <c r="AA29" s="14">
        <f t="shared" si="186"/>
        <v>101</v>
      </c>
      <c r="AB29" s="62">
        <v>21004</v>
      </c>
      <c r="AC29" s="14">
        <f t="shared" si="187"/>
        <v>217</v>
      </c>
      <c r="AD29" s="62">
        <v>38909</v>
      </c>
      <c r="AE29" s="14">
        <f t="shared" si="188"/>
        <v>376</v>
      </c>
      <c r="AF29" s="62">
        <v>21426</v>
      </c>
      <c r="AG29" s="14">
        <f t="shared" si="189"/>
        <v>226</v>
      </c>
      <c r="AH29" s="62">
        <v>104172</v>
      </c>
      <c r="AI29" s="14">
        <f t="shared" si="190"/>
        <v>956</v>
      </c>
      <c r="AK29" s="14">
        <f t="shared" si="201"/>
        <v>33811</v>
      </c>
      <c r="AL29" s="111">
        <f t="shared" si="202"/>
        <v>8647</v>
      </c>
    </row>
    <row r="30" spans="1:38" ht="39.950000000000003" customHeight="1" x14ac:dyDescent="0.25">
      <c r="A30" s="11">
        <v>44127</v>
      </c>
      <c r="B30" s="13"/>
      <c r="C30" s="62">
        <v>26704</v>
      </c>
      <c r="D30" s="14">
        <f t="shared" si="203"/>
        <v>3730</v>
      </c>
      <c r="E30" s="62">
        <v>40327</v>
      </c>
      <c r="F30" s="14">
        <f t="shared" si="204"/>
        <v>6140</v>
      </c>
      <c r="G30" s="62">
        <v>791556</v>
      </c>
      <c r="H30" s="14">
        <f t="shared" si="191"/>
        <v>3120</v>
      </c>
      <c r="I30" s="14">
        <f t="shared" si="192"/>
        <v>1560</v>
      </c>
      <c r="J30" s="62">
        <v>37434</v>
      </c>
      <c r="K30" s="14">
        <f t="shared" si="182"/>
        <v>6400</v>
      </c>
      <c r="L30" s="62">
        <v>58590</v>
      </c>
      <c r="M30" s="14">
        <f t="shared" si="183"/>
        <v>9720</v>
      </c>
      <c r="N30" s="62">
        <v>774916</v>
      </c>
      <c r="O30" s="14">
        <f t="shared" si="193"/>
        <v>4100</v>
      </c>
      <c r="P30" s="14">
        <f t="shared" si="194"/>
        <v>2050</v>
      </c>
      <c r="Q30" s="62">
        <v>111401</v>
      </c>
      <c r="R30" s="14">
        <f t="shared" si="195"/>
        <v>3970</v>
      </c>
      <c r="S30" s="14">
        <f t="shared" si="196"/>
        <v>1985</v>
      </c>
      <c r="T30" s="62">
        <v>62570</v>
      </c>
      <c r="U30" s="14">
        <f t="shared" si="197"/>
        <v>6660</v>
      </c>
      <c r="V30" s="14">
        <f t="shared" si="198"/>
        <v>3330</v>
      </c>
      <c r="W30" s="62">
        <v>125635</v>
      </c>
      <c r="X30" s="14">
        <f t="shared" si="199"/>
        <v>47</v>
      </c>
      <c r="Y30" s="14">
        <f t="shared" si="200"/>
        <v>23.5</v>
      </c>
      <c r="Z30" s="62">
        <v>10678</v>
      </c>
      <c r="AA30" s="14">
        <f t="shared" si="186"/>
        <v>114</v>
      </c>
      <c r="AB30" s="62">
        <v>21227</v>
      </c>
      <c r="AC30" s="14">
        <f t="shared" si="187"/>
        <v>223</v>
      </c>
      <c r="AD30" s="62">
        <v>39300</v>
      </c>
      <c r="AE30" s="14">
        <f t="shared" si="188"/>
        <v>391</v>
      </c>
      <c r="AF30" s="62">
        <v>21640</v>
      </c>
      <c r="AG30" s="14">
        <f t="shared" si="189"/>
        <v>214</v>
      </c>
      <c r="AH30" s="62">
        <v>105134</v>
      </c>
      <c r="AI30" s="14">
        <f t="shared" si="190"/>
        <v>962</v>
      </c>
      <c r="AK30" s="14">
        <f t="shared" si="201"/>
        <v>34938.5</v>
      </c>
      <c r="AL30" s="111">
        <f t="shared" si="202"/>
        <v>9292.5</v>
      </c>
    </row>
    <row r="31" spans="1:38" ht="39.950000000000003" customHeight="1" x14ac:dyDescent="0.25">
      <c r="A31" s="11">
        <v>44128</v>
      </c>
      <c r="B31" s="13"/>
      <c r="C31" s="62">
        <v>27085</v>
      </c>
      <c r="D31" s="14">
        <f t="shared" si="203"/>
        <v>3810</v>
      </c>
      <c r="E31" s="62">
        <v>40929</v>
      </c>
      <c r="F31" s="14">
        <f t="shared" si="204"/>
        <v>6020</v>
      </c>
      <c r="G31" s="62">
        <v>791924</v>
      </c>
      <c r="H31" s="14">
        <f t="shared" si="191"/>
        <v>3680</v>
      </c>
      <c r="I31" s="14">
        <f t="shared" si="192"/>
        <v>1840</v>
      </c>
      <c r="J31" s="62">
        <v>37991</v>
      </c>
      <c r="K31" s="14">
        <f t="shared" si="182"/>
        <v>5570</v>
      </c>
      <c r="L31" s="62">
        <v>59462</v>
      </c>
      <c r="M31" s="14">
        <f t="shared" si="183"/>
        <v>8720</v>
      </c>
      <c r="N31" s="62">
        <v>775344</v>
      </c>
      <c r="O31" s="14">
        <f t="shared" si="193"/>
        <v>4280</v>
      </c>
      <c r="P31" s="14">
        <f t="shared" si="194"/>
        <v>2140</v>
      </c>
      <c r="Q31" s="62">
        <v>112349</v>
      </c>
      <c r="R31" s="14">
        <f t="shared" si="195"/>
        <v>9480</v>
      </c>
      <c r="S31" s="14">
        <f t="shared" si="196"/>
        <v>4740</v>
      </c>
      <c r="T31" s="62">
        <v>62572</v>
      </c>
      <c r="U31" s="14">
        <f t="shared" si="197"/>
        <v>20</v>
      </c>
      <c r="V31" s="14">
        <f t="shared" si="198"/>
        <v>10</v>
      </c>
      <c r="W31" s="62">
        <v>125642</v>
      </c>
      <c r="X31" s="14">
        <f t="shared" si="199"/>
        <v>7</v>
      </c>
      <c r="Y31" s="14">
        <f t="shared" si="200"/>
        <v>3.5</v>
      </c>
      <c r="Z31" s="62">
        <v>10774</v>
      </c>
      <c r="AA31" s="14">
        <f t="shared" si="186"/>
        <v>96</v>
      </c>
      <c r="AB31" s="62">
        <v>21413</v>
      </c>
      <c r="AC31" s="14">
        <f t="shared" si="187"/>
        <v>186</v>
      </c>
      <c r="AD31" s="62">
        <v>39643</v>
      </c>
      <c r="AE31" s="14">
        <f t="shared" si="188"/>
        <v>343</v>
      </c>
      <c r="AF31" s="62">
        <v>21827</v>
      </c>
      <c r="AG31" s="14">
        <f t="shared" si="189"/>
        <v>187</v>
      </c>
      <c r="AH31" s="62">
        <v>105979</v>
      </c>
      <c r="AI31" s="14">
        <f t="shared" si="190"/>
        <v>845</v>
      </c>
      <c r="AK31" s="14">
        <f t="shared" si="201"/>
        <v>32853.5</v>
      </c>
      <c r="AL31" s="111">
        <f t="shared" si="202"/>
        <v>8550.5</v>
      </c>
    </row>
    <row r="32" spans="1:38" ht="39.950000000000003" customHeight="1" x14ac:dyDescent="0.25">
      <c r="A32" s="11">
        <v>44129</v>
      </c>
      <c r="B32" s="13"/>
      <c r="C32" s="101">
        <v>27476</v>
      </c>
      <c r="D32" s="14">
        <f t="shared" si="203"/>
        <v>3910</v>
      </c>
      <c r="E32" s="101">
        <v>41581</v>
      </c>
      <c r="F32" s="14">
        <f t="shared" si="204"/>
        <v>6520</v>
      </c>
      <c r="G32" s="101">
        <v>792277</v>
      </c>
      <c r="H32" s="14">
        <f t="shared" si="191"/>
        <v>3530</v>
      </c>
      <c r="I32" s="14">
        <f t="shared" si="192"/>
        <v>1765</v>
      </c>
      <c r="J32" s="101">
        <v>38592</v>
      </c>
      <c r="K32" s="14">
        <f t="shared" si="182"/>
        <v>6010</v>
      </c>
      <c r="L32" s="101">
        <v>60390</v>
      </c>
      <c r="M32" s="14">
        <f t="shared" si="183"/>
        <v>9280</v>
      </c>
      <c r="N32" s="101">
        <v>775771</v>
      </c>
      <c r="O32" s="14">
        <f t="shared" si="193"/>
        <v>4270</v>
      </c>
      <c r="P32" s="14">
        <f t="shared" si="194"/>
        <v>2135</v>
      </c>
      <c r="Q32" s="101">
        <v>113280</v>
      </c>
      <c r="R32" s="14">
        <f t="shared" si="195"/>
        <v>9310</v>
      </c>
      <c r="S32" s="14">
        <f t="shared" si="196"/>
        <v>4655</v>
      </c>
      <c r="T32" s="101">
        <v>62850</v>
      </c>
      <c r="U32" s="14">
        <f t="shared" si="197"/>
        <v>2780</v>
      </c>
      <c r="V32" s="14">
        <f t="shared" si="198"/>
        <v>1390</v>
      </c>
      <c r="W32" s="101">
        <v>125669</v>
      </c>
      <c r="X32" s="14">
        <f t="shared" si="199"/>
        <v>27</v>
      </c>
      <c r="Y32" s="14">
        <f t="shared" si="200"/>
        <v>13.5</v>
      </c>
      <c r="Z32" s="101">
        <v>10873</v>
      </c>
      <c r="AA32" s="14">
        <f t="shared" si="186"/>
        <v>99</v>
      </c>
      <c r="AB32" s="101">
        <v>21624</v>
      </c>
      <c r="AC32" s="14">
        <f t="shared" si="187"/>
        <v>211</v>
      </c>
      <c r="AD32" s="101">
        <v>40007</v>
      </c>
      <c r="AE32" s="14">
        <f t="shared" si="188"/>
        <v>364</v>
      </c>
      <c r="AF32" s="101">
        <v>22033</v>
      </c>
      <c r="AG32" s="14">
        <f t="shared" si="189"/>
        <v>206</v>
      </c>
      <c r="AH32" s="101">
        <v>106906</v>
      </c>
      <c r="AI32" s="14">
        <f t="shared" si="190"/>
        <v>927</v>
      </c>
      <c r="AK32" s="14">
        <f t="shared" si="201"/>
        <v>35678.5</v>
      </c>
      <c r="AL32" s="111">
        <f t="shared" si="202"/>
        <v>10000.5</v>
      </c>
    </row>
    <row r="33" spans="1:38" ht="39.950000000000003" customHeight="1" x14ac:dyDescent="0.25">
      <c r="A33" s="11">
        <v>44130</v>
      </c>
      <c r="B33" s="13"/>
      <c r="C33" s="101">
        <v>27873</v>
      </c>
      <c r="D33" s="14">
        <f t="shared" si="203"/>
        <v>3970</v>
      </c>
      <c r="E33" s="101">
        <v>42264</v>
      </c>
      <c r="F33" s="14">
        <f t="shared" si="204"/>
        <v>6830</v>
      </c>
      <c r="G33" s="101">
        <v>792637</v>
      </c>
      <c r="H33" s="14">
        <f t="shared" si="191"/>
        <v>3600</v>
      </c>
      <c r="I33" s="14">
        <f t="shared" si="192"/>
        <v>1800</v>
      </c>
      <c r="J33" s="101">
        <v>39183</v>
      </c>
      <c r="K33" s="14">
        <f t="shared" si="182"/>
        <v>5910</v>
      </c>
      <c r="L33" s="101">
        <v>61326</v>
      </c>
      <c r="M33" s="14">
        <f t="shared" si="183"/>
        <v>9360</v>
      </c>
      <c r="N33" s="101">
        <v>776187</v>
      </c>
      <c r="O33" s="14">
        <f t="shared" si="193"/>
        <v>4160</v>
      </c>
      <c r="P33" s="14">
        <f t="shared" si="194"/>
        <v>2080</v>
      </c>
      <c r="Q33" s="101">
        <v>114135</v>
      </c>
      <c r="R33" s="14">
        <f t="shared" si="195"/>
        <v>8550</v>
      </c>
      <c r="S33" s="14">
        <f t="shared" si="196"/>
        <v>4275</v>
      </c>
      <c r="T33" s="101">
        <v>63364</v>
      </c>
      <c r="U33" s="14">
        <f t="shared" si="197"/>
        <v>5140</v>
      </c>
      <c r="V33" s="14">
        <f t="shared" si="198"/>
        <v>2570</v>
      </c>
      <c r="W33" s="101">
        <v>125710</v>
      </c>
      <c r="X33" s="14">
        <f t="shared" si="199"/>
        <v>41</v>
      </c>
      <c r="Y33" s="14">
        <f t="shared" si="200"/>
        <v>20.5</v>
      </c>
      <c r="Z33" s="101">
        <v>10972</v>
      </c>
      <c r="AA33" s="14">
        <f t="shared" si="186"/>
        <v>99</v>
      </c>
      <c r="AB33" s="101">
        <v>21827</v>
      </c>
      <c r="AC33" s="14">
        <f t="shared" si="187"/>
        <v>203</v>
      </c>
      <c r="AD33" s="101">
        <v>40363</v>
      </c>
      <c r="AE33" s="14">
        <f t="shared" si="188"/>
        <v>356</v>
      </c>
      <c r="AF33" s="101">
        <v>22235</v>
      </c>
      <c r="AG33" s="14">
        <f t="shared" si="189"/>
        <v>202</v>
      </c>
      <c r="AH33" s="101">
        <v>107811</v>
      </c>
      <c r="AI33" s="14">
        <f t="shared" si="190"/>
        <v>905</v>
      </c>
      <c r="AK33" s="14">
        <f t="shared" si="201"/>
        <v>36815.5</v>
      </c>
      <c r="AL33" s="111">
        <f t="shared" si="202"/>
        <v>10710.5</v>
      </c>
    </row>
    <row r="34" spans="1:38" ht="39.950000000000003" customHeight="1" x14ac:dyDescent="0.25">
      <c r="A34" s="11">
        <v>44131</v>
      </c>
      <c r="B34" s="13"/>
      <c r="C34" s="101">
        <v>28266</v>
      </c>
      <c r="D34" s="14">
        <f t="shared" si="203"/>
        <v>3930</v>
      </c>
      <c r="E34" s="101">
        <v>42917</v>
      </c>
      <c r="F34" s="14">
        <f t="shared" si="204"/>
        <v>6530</v>
      </c>
      <c r="G34" s="101">
        <v>792987</v>
      </c>
      <c r="H34" s="14">
        <f t="shared" si="191"/>
        <v>3500</v>
      </c>
      <c r="I34" s="14">
        <f t="shared" si="192"/>
        <v>1750</v>
      </c>
      <c r="J34" s="101">
        <v>39782</v>
      </c>
      <c r="K34" s="14">
        <f t="shared" si="182"/>
        <v>5990</v>
      </c>
      <c r="L34" s="101">
        <v>62264</v>
      </c>
      <c r="M34" s="14">
        <f t="shared" si="183"/>
        <v>9380</v>
      </c>
      <c r="N34" s="101">
        <v>776587</v>
      </c>
      <c r="O34" s="14">
        <f t="shared" si="193"/>
        <v>4000</v>
      </c>
      <c r="P34" s="14">
        <f t="shared" si="194"/>
        <v>2000</v>
      </c>
      <c r="Q34" s="101">
        <v>115007</v>
      </c>
      <c r="R34" s="14">
        <f t="shared" si="195"/>
        <v>8720</v>
      </c>
      <c r="S34" s="14">
        <f t="shared" si="196"/>
        <v>4360</v>
      </c>
      <c r="T34" s="101">
        <v>63870</v>
      </c>
      <c r="U34" s="14">
        <f t="shared" si="197"/>
        <v>5060</v>
      </c>
      <c r="V34" s="14">
        <f t="shared" si="198"/>
        <v>2530</v>
      </c>
      <c r="W34" s="101">
        <v>125752</v>
      </c>
      <c r="X34" s="14">
        <f t="shared" si="199"/>
        <v>42</v>
      </c>
      <c r="Y34" s="14">
        <f t="shared" si="200"/>
        <v>21</v>
      </c>
      <c r="Z34" s="101">
        <v>11073</v>
      </c>
      <c r="AA34" s="14">
        <f t="shared" si="186"/>
        <v>101</v>
      </c>
      <c r="AB34" s="101">
        <v>22031</v>
      </c>
      <c r="AC34" s="14">
        <f t="shared" si="187"/>
        <v>204</v>
      </c>
      <c r="AD34" s="101">
        <v>40734</v>
      </c>
      <c r="AE34" s="14">
        <f t="shared" si="188"/>
        <v>371</v>
      </c>
      <c r="AF34" s="101">
        <v>22443</v>
      </c>
      <c r="AG34" s="14">
        <f t="shared" si="189"/>
        <v>208</v>
      </c>
      <c r="AH34" s="101">
        <v>108743</v>
      </c>
      <c r="AI34" s="14">
        <f t="shared" si="190"/>
        <v>932</v>
      </c>
      <c r="AK34" s="14">
        <f t="shared" si="201"/>
        <v>36491</v>
      </c>
      <c r="AL34" s="111">
        <f t="shared" si="202"/>
        <v>10727</v>
      </c>
    </row>
    <row r="35" spans="1:38" ht="39.950000000000003" customHeight="1" x14ac:dyDescent="0.25">
      <c r="A35" s="11">
        <v>44132</v>
      </c>
      <c r="B35" s="13"/>
      <c r="C35" s="101">
        <v>28644</v>
      </c>
      <c r="D35" s="14">
        <f t="shared" si="203"/>
        <v>3780</v>
      </c>
      <c r="E35" s="101">
        <v>43539</v>
      </c>
      <c r="F35" s="14">
        <f t="shared" si="204"/>
        <v>6220</v>
      </c>
      <c r="G35" s="101">
        <v>793333</v>
      </c>
      <c r="H35" s="14">
        <f t="shared" si="191"/>
        <v>3460</v>
      </c>
      <c r="I35" s="14">
        <f t="shared" si="192"/>
        <v>1730</v>
      </c>
      <c r="J35" s="101">
        <v>40352</v>
      </c>
      <c r="K35" s="14">
        <f t="shared" si="182"/>
        <v>5700</v>
      </c>
      <c r="L35" s="101">
        <v>63179</v>
      </c>
      <c r="M35" s="14">
        <f t="shared" si="183"/>
        <v>9150</v>
      </c>
      <c r="N35" s="101">
        <v>776983</v>
      </c>
      <c r="O35" s="14">
        <f t="shared" si="193"/>
        <v>3960</v>
      </c>
      <c r="P35" s="14">
        <f t="shared" si="194"/>
        <v>1980</v>
      </c>
      <c r="Q35" s="101">
        <v>115891</v>
      </c>
      <c r="R35" s="14">
        <f t="shared" si="195"/>
        <v>8840</v>
      </c>
      <c r="S35" s="14">
        <f t="shared" si="196"/>
        <v>4420</v>
      </c>
      <c r="T35" s="101">
        <v>64305</v>
      </c>
      <c r="U35" s="14">
        <f t="shared" si="197"/>
        <v>4350</v>
      </c>
      <c r="V35" s="14">
        <f t="shared" si="198"/>
        <v>2175</v>
      </c>
      <c r="W35" s="101">
        <v>125789</v>
      </c>
      <c r="X35" s="14">
        <f t="shared" si="199"/>
        <v>37</v>
      </c>
      <c r="Y35" s="14">
        <f t="shared" si="200"/>
        <v>18.5</v>
      </c>
      <c r="Z35" s="101">
        <v>11164</v>
      </c>
      <c r="AA35" s="14">
        <f t="shared" si="186"/>
        <v>91</v>
      </c>
      <c r="AB35" s="101">
        <v>22244</v>
      </c>
      <c r="AC35" s="14">
        <f t="shared" si="187"/>
        <v>213</v>
      </c>
      <c r="AD35" s="101">
        <v>41109</v>
      </c>
      <c r="AE35" s="14">
        <f t="shared" si="188"/>
        <v>375</v>
      </c>
      <c r="AF35" s="101">
        <v>22654</v>
      </c>
      <c r="AG35" s="14">
        <f t="shared" si="189"/>
        <v>211</v>
      </c>
      <c r="AH35" s="101">
        <v>109651</v>
      </c>
      <c r="AI35" s="14">
        <f t="shared" si="190"/>
        <v>908</v>
      </c>
      <c r="AK35" s="14">
        <f t="shared" si="201"/>
        <v>35173.5</v>
      </c>
      <c r="AL35" s="111">
        <f t="shared" si="202"/>
        <v>10391.5</v>
      </c>
    </row>
    <row r="36" spans="1:38" ht="39.950000000000003" customHeight="1" x14ac:dyDescent="0.25">
      <c r="A36" s="11">
        <v>44133</v>
      </c>
      <c r="B36" s="13"/>
      <c r="C36" s="101">
        <v>29033</v>
      </c>
      <c r="D36" s="14">
        <f t="shared" si="203"/>
        <v>3890</v>
      </c>
      <c r="E36" s="101">
        <v>44172</v>
      </c>
      <c r="F36" s="14">
        <f t="shared" si="204"/>
        <v>6330</v>
      </c>
      <c r="G36" s="101">
        <v>793692</v>
      </c>
      <c r="H36" s="14">
        <f t="shared" si="191"/>
        <v>3590</v>
      </c>
      <c r="I36" s="14">
        <f t="shared" si="192"/>
        <v>1795</v>
      </c>
      <c r="J36" s="101">
        <v>40950</v>
      </c>
      <c r="K36" s="14">
        <f t="shared" si="182"/>
        <v>5980</v>
      </c>
      <c r="L36" s="101">
        <v>64098</v>
      </c>
      <c r="M36" s="14">
        <f t="shared" si="183"/>
        <v>9190</v>
      </c>
      <c r="N36" s="101">
        <v>777386</v>
      </c>
      <c r="O36" s="14">
        <f t="shared" si="193"/>
        <v>4030</v>
      </c>
      <c r="P36" s="14">
        <f t="shared" si="194"/>
        <v>2015</v>
      </c>
      <c r="Q36" s="101">
        <v>116740</v>
      </c>
      <c r="R36" s="14">
        <f t="shared" si="195"/>
        <v>8490</v>
      </c>
      <c r="S36" s="14">
        <f t="shared" si="196"/>
        <v>4245</v>
      </c>
      <c r="T36" s="101">
        <v>64307</v>
      </c>
      <c r="U36" s="14">
        <f t="shared" si="197"/>
        <v>20</v>
      </c>
      <c r="V36" s="14">
        <f t="shared" si="198"/>
        <v>10</v>
      </c>
      <c r="W36" s="101">
        <v>126346</v>
      </c>
      <c r="X36" s="14">
        <f t="shared" si="199"/>
        <v>557</v>
      </c>
      <c r="Y36" s="14">
        <f t="shared" si="200"/>
        <v>278.5</v>
      </c>
      <c r="Z36" s="101">
        <v>11270</v>
      </c>
      <c r="AA36" s="14">
        <f t="shared" si="186"/>
        <v>106</v>
      </c>
      <c r="AB36" s="101">
        <v>22448</v>
      </c>
      <c r="AC36" s="14">
        <f t="shared" si="187"/>
        <v>204</v>
      </c>
      <c r="AD36" s="101">
        <v>41478</v>
      </c>
      <c r="AE36" s="14">
        <f t="shared" si="188"/>
        <v>369</v>
      </c>
      <c r="AF36" s="101">
        <v>22863</v>
      </c>
      <c r="AG36" s="14">
        <f t="shared" si="189"/>
        <v>209</v>
      </c>
      <c r="AH36" s="101">
        <v>110561</v>
      </c>
      <c r="AI36" s="14">
        <f t="shared" si="190"/>
        <v>910</v>
      </c>
      <c r="AK36" s="14">
        <f t="shared" si="201"/>
        <v>33733.5</v>
      </c>
      <c r="AL36" s="111">
        <f t="shared" si="202"/>
        <v>8346.5</v>
      </c>
    </row>
    <row r="37" spans="1:38" ht="39.950000000000003" customHeight="1" x14ac:dyDescent="0.25">
      <c r="A37" s="11">
        <v>44134</v>
      </c>
      <c r="B37" s="13"/>
      <c r="C37" s="101">
        <v>29416</v>
      </c>
      <c r="D37" s="14">
        <f t="shared" si="203"/>
        <v>3830</v>
      </c>
      <c r="E37" s="101">
        <v>44823</v>
      </c>
      <c r="F37" s="14">
        <f t="shared" si="204"/>
        <v>6510</v>
      </c>
      <c r="G37" s="101">
        <v>794040</v>
      </c>
      <c r="H37" s="14">
        <f t="shared" si="191"/>
        <v>3480</v>
      </c>
      <c r="I37" s="14">
        <f t="shared" si="192"/>
        <v>1740</v>
      </c>
      <c r="J37" s="101">
        <v>41574</v>
      </c>
      <c r="K37" s="14">
        <f t="shared" si="182"/>
        <v>6240</v>
      </c>
      <c r="L37" s="101">
        <v>65056</v>
      </c>
      <c r="M37" s="14">
        <f t="shared" si="183"/>
        <v>9580</v>
      </c>
      <c r="N37" s="101">
        <v>777800</v>
      </c>
      <c r="O37" s="14">
        <f t="shared" si="193"/>
        <v>4140</v>
      </c>
      <c r="P37" s="14">
        <f t="shared" si="194"/>
        <v>2070</v>
      </c>
      <c r="Q37" s="101">
        <v>117360</v>
      </c>
      <c r="R37" s="14">
        <f t="shared" si="195"/>
        <v>6200</v>
      </c>
      <c r="S37" s="14">
        <f t="shared" si="196"/>
        <v>3100</v>
      </c>
      <c r="T37" s="101">
        <v>64309</v>
      </c>
      <c r="U37" s="14">
        <f t="shared" si="197"/>
        <v>20</v>
      </c>
      <c r="V37" s="14">
        <f t="shared" si="198"/>
        <v>10</v>
      </c>
      <c r="W37" s="101">
        <v>127258</v>
      </c>
      <c r="X37" s="14">
        <f t="shared" si="199"/>
        <v>912</v>
      </c>
      <c r="Y37" s="14">
        <f t="shared" si="200"/>
        <v>456</v>
      </c>
      <c r="Z37" s="101">
        <v>11379</v>
      </c>
      <c r="AA37" s="14">
        <f t="shared" si="186"/>
        <v>109</v>
      </c>
      <c r="AB37" s="101">
        <v>22660</v>
      </c>
      <c r="AC37" s="14">
        <f t="shared" si="187"/>
        <v>212</v>
      </c>
      <c r="AD37" s="101">
        <v>41854</v>
      </c>
      <c r="AE37" s="14">
        <f t="shared" si="188"/>
        <v>376</v>
      </c>
      <c r="AF37" s="101">
        <v>23077</v>
      </c>
      <c r="AG37" s="14">
        <f t="shared" si="189"/>
        <v>214</v>
      </c>
      <c r="AH37" s="101">
        <v>111484</v>
      </c>
      <c r="AI37" s="14">
        <f t="shared" si="190"/>
        <v>923</v>
      </c>
      <c r="AK37" s="14">
        <f t="shared" si="201"/>
        <v>33536</v>
      </c>
      <c r="AL37" s="111">
        <f t="shared" si="202"/>
        <v>7470</v>
      </c>
    </row>
    <row r="38" spans="1:38" ht="39.950000000000003" customHeight="1" x14ac:dyDescent="0.25">
      <c r="A38" s="11">
        <v>44135</v>
      </c>
      <c r="B38" s="51"/>
      <c r="C38" s="115">
        <v>29805</v>
      </c>
      <c r="D38" s="14"/>
      <c r="E38" s="115">
        <v>45475</v>
      </c>
      <c r="F38" s="14"/>
      <c r="G38" s="115">
        <v>794369</v>
      </c>
      <c r="H38" s="14"/>
      <c r="I38" s="14"/>
      <c r="J38" s="115">
        <v>42175</v>
      </c>
      <c r="K38" s="14"/>
      <c r="L38" s="115">
        <v>65994</v>
      </c>
      <c r="M38" s="14"/>
      <c r="N38" s="115">
        <v>778213</v>
      </c>
      <c r="O38" s="14"/>
      <c r="P38" s="14"/>
      <c r="Q38" s="115">
        <v>117549</v>
      </c>
      <c r="R38" s="14"/>
      <c r="S38" s="14"/>
      <c r="T38" s="115">
        <v>64311</v>
      </c>
      <c r="U38" s="14"/>
      <c r="V38" s="14"/>
      <c r="W38" s="115">
        <v>128275</v>
      </c>
      <c r="X38" s="14"/>
      <c r="Y38" s="14"/>
      <c r="Z38" s="115">
        <v>11481</v>
      </c>
      <c r="AA38" s="14"/>
      <c r="AB38" s="115">
        <v>22861</v>
      </c>
      <c r="AC38" s="14"/>
      <c r="AD38" s="115">
        <v>42225</v>
      </c>
      <c r="AE38" s="14"/>
      <c r="AF38" s="115">
        <v>23284</v>
      </c>
      <c r="AG38" s="14"/>
      <c r="AH38" s="115">
        <v>112404</v>
      </c>
      <c r="AI38" s="14"/>
      <c r="AK38" s="14">
        <f t="shared" ref="AK38" si="205">SUM(D38,F38,I38,K38,M38,P38,S38,V38,Y38)</f>
        <v>0</v>
      </c>
      <c r="AL38" s="123">
        <f t="shared" ref="AL38" si="206">SUM(P38,S38,V38,Y38,AA38,AC38,AE38,AG38,AI38)</f>
        <v>0</v>
      </c>
    </row>
    <row r="39" spans="1:38" s="19" customFormat="1" ht="39.950000000000003" customHeight="1" x14ac:dyDescent="0.25">
      <c r="A39" s="18"/>
      <c r="C39" s="114">
        <v>17521</v>
      </c>
      <c r="D39" s="20">
        <f>SUM(D8:D37)</f>
        <v>123200</v>
      </c>
      <c r="F39" s="20">
        <f>SUM(F8:F37)</f>
        <v>193740</v>
      </c>
      <c r="H39" s="20">
        <f>SUM(H8:H37)</f>
        <v>264820</v>
      </c>
      <c r="I39" s="20"/>
      <c r="K39" s="20">
        <f>SUM(K8:K37)</f>
        <v>176030</v>
      </c>
      <c r="M39" s="20">
        <f>SUM(M8:M37)</f>
        <v>277000</v>
      </c>
      <c r="O39" s="20">
        <f>SUM(O8:O37)</f>
        <v>179520</v>
      </c>
      <c r="P39" s="20"/>
      <c r="R39" s="20">
        <f>SUM(R8:R37)</f>
        <v>141040</v>
      </c>
      <c r="S39" s="20"/>
      <c r="U39" s="20">
        <f>SUM(U8:U37)</f>
        <v>114640</v>
      </c>
      <c r="V39" s="20"/>
      <c r="X39" s="20">
        <f>SUM(X8:X37)</f>
        <v>12316</v>
      </c>
      <c r="Y39" s="20"/>
      <c r="AA39" s="20">
        <f>SUM(AA8:AA37)</f>
        <v>2960</v>
      </c>
      <c r="AC39" s="20">
        <f>SUM(AC8:AC37)</f>
        <v>6188</v>
      </c>
      <c r="AE39" s="20">
        <f>SUM(AE8:AE37)</f>
        <v>11075</v>
      </c>
      <c r="AG39" s="20">
        <f>SUM(AG8:AG37)</f>
        <v>6170</v>
      </c>
      <c r="AI39" s="20">
        <f>SUM(AI8:AI37)</f>
        <v>28015</v>
      </c>
    </row>
    <row r="40" spans="1:38" s="16" customFormat="1" ht="39.950000000000003" customHeight="1" x14ac:dyDescent="0.3">
      <c r="A40" s="15"/>
      <c r="D40" s="17"/>
    </row>
    <row r="41" spans="1:38" s="16" customFormat="1" ht="39.950000000000003" customHeight="1" x14ac:dyDescent="0.3">
      <c r="A41" s="15"/>
      <c r="D41" s="17"/>
    </row>
    <row r="42" spans="1:38" ht="39.950000000000003" customHeight="1" x14ac:dyDescent="0.35">
      <c r="A42" s="7"/>
    </row>
    <row r="43" spans="1:38" x14ac:dyDescent="0.35">
      <c r="A43" s="7"/>
    </row>
    <row r="44" spans="1:38" x14ac:dyDescent="0.35">
      <c r="A44" s="7"/>
    </row>
    <row r="45" spans="1:38" x14ac:dyDescent="0.35">
      <c r="A45" s="7"/>
    </row>
    <row r="46" spans="1:38" x14ac:dyDescent="0.35">
      <c r="A46" s="7"/>
    </row>
    <row r="47" spans="1:38" x14ac:dyDescent="0.35">
      <c r="A47" s="7"/>
    </row>
    <row r="48" spans="1:38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</sheetData>
  <mergeCells count="70">
    <mergeCell ref="L5:M5"/>
    <mergeCell ref="W1:Y1"/>
    <mergeCell ref="W2:Y2"/>
    <mergeCell ref="W3:Y3"/>
    <mergeCell ref="W4:Y4"/>
    <mergeCell ref="W5:Y5"/>
    <mergeCell ref="L3:M3"/>
    <mergeCell ref="AF3:AG3"/>
    <mergeCell ref="AF4:AG4"/>
    <mergeCell ref="AF5:AG5"/>
    <mergeCell ref="AH3:AI3"/>
    <mergeCell ref="AH4:AI4"/>
    <mergeCell ref="AH5:AI5"/>
    <mergeCell ref="AB3:AC3"/>
    <mergeCell ref="AB4:AC4"/>
    <mergeCell ref="AB5:AC5"/>
    <mergeCell ref="AD3:AE3"/>
    <mergeCell ref="AD4:AE4"/>
    <mergeCell ref="AD5:AE5"/>
    <mergeCell ref="Z4:AA4"/>
    <mergeCell ref="Z5:AA5"/>
    <mergeCell ref="Q3:S3"/>
    <mergeCell ref="Q4:S4"/>
    <mergeCell ref="Q5:S5"/>
    <mergeCell ref="T3:V3"/>
    <mergeCell ref="T4:V4"/>
    <mergeCell ref="T5:V5"/>
    <mergeCell ref="Z3:AA3"/>
    <mergeCell ref="Z2:AA2"/>
    <mergeCell ref="C2:D2"/>
    <mergeCell ref="C1:D1"/>
    <mergeCell ref="Z1:AA1"/>
    <mergeCell ref="G2:I2"/>
    <mergeCell ref="Q1:S1"/>
    <mergeCell ref="N1:P1"/>
    <mergeCell ref="Q2:S2"/>
    <mergeCell ref="T1:V1"/>
    <mergeCell ref="T2:V2"/>
    <mergeCell ref="G3:I3"/>
    <mergeCell ref="N2:P2"/>
    <mergeCell ref="N3:P3"/>
    <mergeCell ref="C5:D5"/>
    <mergeCell ref="E3:F3"/>
    <mergeCell ref="E4:F4"/>
    <mergeCell ref="E5:F5"/>
    <mergeCell ref="J3:K3"/>
    <mergeCell ref="J4:K4"/>
    <mergeCell ref="C3:D3"/>
    <mergeCell ref="C4:D4"/>
    <mergeCell ref="G4:I4"/>
    <mergeCell ref="G5:I5"/>
    <mergeCell ref="N4:P4"/>
    <mergeCell ref="N5:P5"/>
    <mergeCell ref="L4:M4"/>
    <mergeCell ref="AK3:AL4"/>
    <mergeCell ref="E2:F2"/>
    <mergeCell ref="L2:M2"/>
    <mergeCell ref="J2:K2"/>
    <mergeCell ref="G1:H1"/>
    <mergeCell ref="E1:F1"/>
    <mergeCell ref="L1:M1"/>
    <mergeCell ref="J1:K1"/>
    <mergeCell ref="AH2:AI2"/>
    <mergeCell ref="AD2:AE2"/>
    <mergeCell ref="AH1:AI1"/>
    <mergeCell ref="AD1:AE1"/>
    <mergeCell ref="AF2:AG2"/>
    <mergeCell ref="AB2:AC2"/>
    <mergeCell ref="AB1:AC1"/>
    <mergeCell ref="AF1:A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defaultRowHeight="21" x14ac:dyDescent="0.35"/>
  <cols>
    <col min="1" max="1" width="15.7109375" style="5" customWidth="1"/>
    <col min="2" max="2" width="2.42578125" customWidth="1"/>
    <col min="3" max="3" width="30.7109375" customWidth="1"/>
    <col min="4" max="4" width="30.7109375" style="1" customWidth="1"/>
    <col min="5" max="16" width="30.7109375" customWidth="1"/>
    <col min="18" max="19" width="20.7109375" customWidth="1"/>
  </cols>
  <sheetData>
    <row r="1" spans="1:19" s="8" customFormat="1" ht="49.5" customHeight="1" x14ac:dyDescent="0.25">
      <c r="A1" s="103"/>
      <c r="B1" s="103"/>
      <c r="C1" s="143" t="s">
        <v>11</v>
      </c>
      <c r="D1" s="143"/>
      <c r="E1" s="143" t="s">
        <v>11</v>
      </c>
      <c r="F1" s="143"/>
      <c r="G1" s="143" t="s">
        <v>11</v>
      </c>
      <c r="H1" s="143"/>
      <c r="I1" s="143" t="s">
        <v>11</v>
      </c>
      <c r="J1" s="143"/>
      <c r="K1" s="156" t="s">
        <v>12</v>
      </c>
      <c r="L1" s="157"/>
      <c r="M1" s="157"/>
      <c r="N1" s="158"/>
      <c r="O1" s="143" t="s">
        <v>13</v>
      </c>
      <c r="P1" s="143"/>
    </row>
    <row r="2" spans="1:19" s="24" customFormat="1" ht="113.25" customHeight="1" x14ac:dyDescent="0.25">
      <c r="A2" s="23"/>
      <c r="B2" s="23"/>
      <c r="C2" s="159" t="s">
        <v>49</v>
      </c>
      <c r="D2" s="160"/>
      <c r="E2" s="159" t="s">
        <v>50</v>
      </c>
      <c r="F2" s="160"/>
      <c r="G2" s="159" t="s">
        <v>51</v>
      </c>
      <c r="H2" s="160"/>
      <c r="I2" s="159" t="s">
        <v>52</v>
      </c>
      <c r="J2" s="160"/>
      <c r="K2" s="168" t="s">
        <v>53</v>
      </c>
      <c r="L2" s="169"/>
      <c r="M2" s="169"/>
      <c r="N2" s="170"/>
      <c r="O2" s="159" t="s">
        <v>54</v>
      </c>
      <c r="P2" s="160"/>
    </row>
    <row r="3" spans="1:19" s="29" customFormat="1" ht="50.1" customHeight="1" x14ac:dyDescent="0.25">
      <c r="A3" s="42"/>
      <c r="B3" s="42"/>
      <c r="C3" s="163" t="s">
        <v>55</v>
      </c>
      <c r="D3" s="164"/>
      <c r="E3" s="161" t="s">
        <v>56</v>
      </c>
      <c r="F3" s="162"/>
      <c r="G3" s="161" t="s">
        <v>57</v>
      </c>
      <c r="H3" s="162"/>
      <c r="I3" s="161" t="s">
        <v>58</v>
      </c>
      <c r="J3" s="162"/>
      <c r="K3" s="165" t="s">
        <v>59</v>
      </c>
      <c r="L3" s="166"/>
      <c r="M3" s="166"/>
      <c r="N3" s="167"/>
      <c r="O3" s="163" t="s">
        <v>60</v>
      </c>
      <c r="P3" s="164"/>
      <c r="R3" s="141" t="s">
        <v>27</v>
      </c>
      <c r="S3" s="141"/>
    </row>
    <row r="4" spans="1:19" s="4" customFormat="1" ht="30" customHeight="1" x14ac:dyDescent="0.25">
      <c r="A4" s="102" t="s">
        <v>42</v>
      </c>
      <c r="B4" s="110"/>
      <c r="C4" s="150"/>
      <c r="D4" s="151"/>
      <c r="E4" s="150"/>
      <c r="F4" s="151"/>
      <c r="G4" s="150"/>
      <c r="H4" s="151"/>
      <c r="I4" s="150"/>
      <c r="J4" s="151"/>
      <c r="K4" s="150"/>
      <c r="L4" s="155"/>
      <c r="M4" s="155"/>
      <c r="N4" s="151"/>
      <c r="O4" s="110"/>
      <c r="P4" s="110"/>
      <c r="R4" s="141"/>
      <c r="S4" s="141"/>
    </row>
    <row r="5" spans="1:19" s="6" customFormat="1" ht="50.1" customHeight="1" x14ac:dyDescent="0.25">
      <c r="A5" s="102" t="s">
        <v>45</v>
      </c>
      <c r="B5" s="102"/>
      <c r="C5" s="102" t="s">
        <v>61</v>
      </c>
      <c r="D5" s="102" t="s">
        <v>62</v>
      </c>
      <c r="E5" s="102" t="s">
        <v>61</v>
      </c>
      <c r="F5" s="102" t="s">
        <v>62</v>
      </c>
      <c r="G5" s="102" t="s">
        <v>61</v>
      </c>
      <c r="H5" s="102" t="s">
        <v>62</v>
      </c>
      <c r="I5" s="102" t="s">
        <v>61</v>
      </c>
      <c r="J5" s="102" t="s">
        <v>62</v>
      </c>
      <c r="K5" s="102" t="s">
        <v>61</v>
      </c>
      <c r="L5" s="102" t="s">
        <v>62</v>
      </c>
      <c r="M5" s="102" t="s">
        <v>11</v>
      </c>
      <c r="N5" s="102" t="s">
        <v>13</v>
      </c>
      <c r="O5" s="102" t="s">
        <v>61</v>
      </c>
      <c r="P5" s="102" t="s">
        <v>62</v>
      </c>
      <c r="R5" s="102"/>
      <c r="S5" s="102"/>
    </row>
    <row r="6" spans="1:19" ht="39.950000000000003" customHeight="1" x14ac:dyDescent="0.25">
      <c r="A6" s="11">
        <v>44104</v>
      </c>
      <c r="B6" s="13"/>
      <c r="C6" s="118">
        <v>175505</v>
      </c>
      <c r="D6" s="120" t="e">
        <f t="shared" ref="D6" si="0">(C6-C5)*10</f>
        <v>#VALUE!</v>
      </c>
      <c r="E6" s="118">
        <v>155621</v>
      </c>
      <c r="F6" s="120" t="e">
        <f t="shared" ref="F6" si="1">(E6-E5)*10</f>
        <v>#VALUE!</v>
      </c>
      <c r="G6" s="119">
        <v>5362.6358</v>
      </c>
      <c r="H6" s="121" t="e">
        <f t="shared" ref="H6" si="2">(G6-G5)*10</f>
        <v>#VALUE!</v>
      </c>
      <c r="I6" s="118">
        <v>10452</v>
      </c>
      <c r="J6" s="121" t="e">
        <f t="shared" ref="J6" si="3">(I6-I5)*10</f>
        <v>#VALUE!</v>
      </c>
      <c r="K6" s="118">
        <v>118742</v>
      </c>
      <c r="L6" s="120" t="e">
        <f t="shared" ref="L6" si="4">(K6-K5)*10</f>
        <v>#VALUE!</v>
      </c>
      <c r="M6" s="120" t="e">
        <f t="shared" ref="M6" si="5">L6*55%</f>
        <v>#VALUE!</v>
      </c>
      <c r="N6" s="120" t="e">
        <f t="shared" ref="N6" si="6">L6*45%</f>
        <v>#VALUE!</v>
      </c>
      <c r="O6" s="118">
        <v>87295</v>
      </c>
      <c r="P6" s="120" t="e">
        <f t="shared" ref="P6" si="7">(O6-O5)*10</f>
        <v>#VALUE!</v>
      </c>
      <c r="R6" s="43" t="e">
        <f t="shared" ref="R6" si="8">SUM(D6,F6,M70,H6)</f>
        <v>#VALUE!</v>
      </c>
      <c r="S6" s="44" t="e">
        <f t="shared" ref="S6" si="9">SUM(N6,P6)</f>
        <v>#VALUE!</v>
      </c>
    </row>
    <row r="7" spans="1:19" s="2" customFormat="1" ht="39.950000000000003" customHeight="1" x14ac:dyDescent="0.25">
      <c r="A7" s="11">
        <v>44105</v>
      </c>
      <c r="B7" s="12"/>
      <c r="C7" s="116">
        <v>175677</v>
      </c>
      <c r="D7" s="120">
        <f>(C7-C6)*10</f>
        <v>1720</v>
      </c>
      <c r="E7" s="116">
        <v>155882</v>
      </c>
      <c r="F7" s="120">
        <f>(E7-E6)*10</f>
        <v>2610</v>
      </c>
      <c r="G7" s="117">
        <v>5363.9879000000001</v>
      </c>
      <c r="H7" s="121">
        <f>(G7-G6)*10</f>
        <v>13.52100000000064</v>
      </c>
      <c r="I7" s="116">
        <v>10464</v>
      </c>
      <c r="J7" s="121">
        <f>(I7-I6)*10</f>
        <v>120</v>
      </c>
      <c r="K7" s="116">
        <v>118876</v>
      </c>
      <c r="L7" s="120">
        <f>(K7-K6)*10</f>
        <v>1340</v>
      </c>
      <c r="M7" s="121">
        <f>L7*55%</f>
        <v>737.00000000000011</v>
      </c>
      <c r="N7" s="121">
        <f>L7*45%</f>
        <v>603</v>
      </c>
      <c r="O7" s="116">
        <v>87372</v>
      </c>
      <c r="P7" s="120">
        <f>(O7-O6)*10</f>
        <v>770</v>
      </c>
      <c r="R7" s="43">
        <f t="shared" ref="R7:R36" si="10">SUM(D7,F7,M71,H7)</f>
        <v>4343.5210000000006</v>
      </c>
      <c r="S7" s="44">
        <f>SUM(N7,P7)</f>
        <v>1373</v>
      </c>
    </row>
    <row r="8" spans="1:19" ht="39.950000000000003" customHeight="1" x14ac:dyDescent="0.25">
      <c r="A8" s="11">
        <v>44106</v>
      </c>
      <c r="B8" s="13"/>
      <c r="C8" s="116">
        <v>175861</v>
      </c>
      <c r="D8" s="120">
        <f t="shared" ref="D8:F24" si="11">(C8-C7)*10</f>
        <v>1840</v>
      </c>
      <c r="E8" s="116">
        <v>156167</v>
      </c>
      <c r="F8" s="120">
        <f t="shared" si="11"/>
        <v>2850</v>
      </c>
      <c r="G8" s="117">
        <v>5366.5069000000003</v>
      </c>
      <c r="H8" s="121">
        <f t="shared" ref="H8:H36" si="12">(G8-G7)*10</f>
        <v>25.190000000002328</v>
      </c>
      <c r="I8" s="116">
        <v>10479</v>
      </c>
      <c r="J8" s="121">
        <f t="shared" ref="J8:J36" si="13">(I8-I7)*10</f>
        <v>150</v>
      </c>
      <c r="K8" s="116">
        <v>119007</v>
      </c>
      <c r="L8" s="120">
        <f t="shared" ref="L8:L35" si="14">(K8-K7)*10</f>
        <v>1310</v>
      </c>
      <c r="M8" s="121">
        <f t="shared" ref="M8:M35" si="15">L8*55%</f>
        <v>720.50000000000011</v>
      </c>
      <c r="N8" s="121">
        <f t="shared" ref="N8:N37" si="16">L8*45%</f>
        <v>589.5</v>
      </c>
      <c r="O8" s="116">
        <v>87447</v>
      </c>
      <c r="P8" s="120">
        <f t="shared" ref="P8:P37" si="17">(O8-O7)*10</f>
        <v>750</v>
      </c>
      <c r="R8" s="43">
        <f t="shared" si="10"/>
        <v>4715.1900000000023</v>
      </c>
      <c r="S8" s="44">
        <f t="shared" ref="S8:S37" si="18">SUM(N8,P8)</f>
        <v>1339.5</v>
      </c>
    </row>
    <row r="9" spans="1:19" ht="39.950000000000003" customHeight="1" x14ac:dyDescent="0.25">
      <c r="A9" s="11">
        <v>44107</v>
      </c>
      <c r="B9" s="13"/>
      <c r="C9" s="116">
        <v>176050</v>
      </c>
      <c r="D9" s="120">
        <f t="shared" si="11"/>
        <v>1890</v>
      </c>
      <c r="E9" s="116">
        <v>156430</v>
      </c>
      <c r="F9" s="120">
        <f t="shared" si="11"/>
        <v>2630</v>
      </c>
      <c r="G9" s="117">
        <v>5367.9448000000002</v>
      </c>
      <c r="H9" s="121">
        <f t="shared" si="12"/>
        <v>14.378999999998996</v>
      </c>
      <c r="I9" s="116">
        <v>10488</v>
      </c>
      <c r="J9" s="121">
        <f t="shared" si="13"/>
        <v>90</v>
      </c>
      <c r="K9" s="116">
        <v>119114</v>
      </c>
      <c r="L9" s="120">
        <f t="shared" si="14"/>
        <v>1070</v>
      </c>
      <c r="M9" s="121">
        <f t="shared" si="15"/>
        <v>588.5</v>
      </c>
      <c r="N9" s="121">
        <f t="shared" si="16"/>
        <v>481.5</v>
      </c>
      <c r="O9" s="116">
        <v>87532</v>
      </c>
      <c r="P9" s="120">
        <f t="shared" si="17"/>
        <v>850</v>
      </c>
      <c r="R9" s="43">
        <f t="shared" si="10"/>
        <v>4534.378999999999</v>
      </c>
      <c r="S9" s="44">
        <f t="shared" si="18"/>
        <v>1331.5</v>
      </c>
    </row>
    <row r="10" spans="1:19" ht="39.950000000000003" customHeight="1" x14ac:dyDescent="0.25">
      <c r="A10" s="11">
        <v>44108</v>
      </c>
      <c r="B10" s="13"/>
      <c r="C10" s="116">
        <v>176240</v>
      </c>
      <c r="D10" s="120">
        <f t="shared" si="11"/>
        <v>1900</v>
      </c>
      <c r="E10" s="116">
        <v>156726</v>
      </c>
      <c r="F10" s="120">
        <f t="shared" si="11"/>
        <v>2960</v>
      </c>
      <c r="G10" s="117">
        <v>5371.1415999999999</v>
      </c>
      <c r="H10" s="121">
        <f t="shared" si="12"/>
        <v>31.967999999997119</v>
      </c>
      <c r="I10" s="116">
        <v>10509</v>
      </c>
      <c r="J10" s="121">
        <f t="shared" si="13"/>
        <v>210</v>
      </c>
      <c r="K10" s="116">
        <v>119305</v>
      </c>
      <c r="L10" s="120">
        <f t="shared" si="14"/>
        <v>1910</v>
      </c>
      <c r="M10" s="121">
        <f t="shared" si="15"/>
        <v>1050.5</v>
      </c>
      <c r="N10" s="121">
        <f t="shared" si="16"/>
        <v>859.5</v>
      </c>
      <c r="O10" s="116">
        <v>87616</v>
      </c>
      <c r="P10" s="120">
        <f t="shared" si="17"/>
        <v>840</v>
      </c>
      <c r="R10" s="43">
        <f t="shared" si="10"/>
        <v>4891.9679999999971</v>
      </c>
      <c r="S10" s="44">
        <f t="shared" si="18"/>
        <v>1699.5</v>
      </c>
    </row>
    <row r="11" spans="1:19" ht="39.950000000000003" customHeight="1" x14ac:dyDescent="0.25">
      <c r="A11" s="11">
        <v>44109</v>
      </c>
      <c r="B11" s="13"/>
      <c r="C11" s="116">
        <v>176437</v>
      </c>
      <c r="D11" s="120">
        <f t="shared" si="11"/>
        <v>1970</v>
      </c>
      <c r="E11" s="116">
        <v>157018</v>
      </c>
      <c r="F11" s="120">
        <f t="shared" si="11"/>
        <v>2920</v>
      </c>
      <c r="G11" s="117">
        <v>5373.1854999999996</v>
      </c>
      <c r="H11" s="121">
        <f t="shared" si="12"/>
        <v>20.438999999996668</v>
      </c>
      <c r="I11" s="116">
        <v>10523</v>
      </c>
      <c r="J11" s="121">
        <f t="shared" si="13"/>
        <v>140</v>
      </c>
      <c r="K11" s="116">
        <v>119463</v>
      </c>
      <c r="L11" s="120">
        <f t="shared" si="14"/>
        <v>1580</v>
      </c>
      <c r="M11" s="121">
        <f t="shared" si="15"/>
        <v>869.00000000000011</v>
      </c>
      <c r="N11" s="121">
        <f t="shared" si="16"/>
        <v>711</v>
      </c>
      <c r="O11" s="116">
        <v>87688</v>
      </c>
      <c r="P11" s="120">
        <f t="shared" si="17"/>
        <v>720</v>
      </c>
      <c r="R11" s="43">
        <f t="shared" si="10"/>
        <v>4910.4389999999967</v>
      </c>
      <c r="S11" s="44">
        <f t="shared" si="18"/>
        <v>1431</v>
      </c>
    </row>
    <row r="12" spans="1:19" ht="39.950000000000003" customHeight="1" x14ac:dyDescent="0.25">
      <c r="A12" s="11">
        <v>44110</v>
      </c>
      <c r="B12" s="13"/>
      <c r="C12" s="116">
        <v>176617</v>
      </c>
      <c r="D12" s="120">
        <f t="shared" si="11"/>
        <v>1800</v>
      </c>
      <c r="E12" s="116">
        <v>157348</v>
      </c>
      <c r="F12" s="120">
        <f t="shared" si="11"/>
        <v>3300</v>
      </c>
      <c r="G12" s="117">
        <v>5374.2146000000002</v>
      </c>
      <c r="H12" s="121">
        <f t="shared" si="12"/>
        <v>10.291000000006534</v>
      </c>
      <c r="I12" s="116">
        <v>10530</v>
      </c>
      <c r="J12" s="121">
        <f t="shared" si="13"/>
        <v>70</v>
      </c>
      <c r="K12" s="116">
        <v>119583</v>
      </c>
      <c r="L12" s="120">
        <f t="shared" si="14"/>
        <v>1200</v>
      </c>
      <c r="M12" s="121">
        <f t="shared" si="15"/>
        <v>660</v>
      </c>
      <c r="N12" s="121">
        <f t="shared" si="16"/>
        <v>540</v>
      </c>
      <c r="O12" s="118">
        <v>87812</v>
      </c>
      <c r="P12" s="120">
        <f t="shared" si="17"/>
        <v>1240</v>
      </c>
      <c r="R12" s="43">
        <f t="shared" si="10"/>
        <v>5110.2910000000065</v>
      </c>
      <c r="S12" s="44">
        <f t="shared" si="18"/>
        <v>1780</v>
      </c>
    </row>
    <row r="13" spans="1:19" ht="39.950000000000003" customHeight="1" x14ac:dyDescent="0.25">
      <c r="A13" s="11">
        <v>44111</v>
      </c>
      <c r="B13" s="13"/>
      <c r="C13" s="116">
        <v>176754</v>
      </c>
      <c r="D13" s="120">
        <f t="shared" si="11"/>
        <v>1370</v>
      </c>
      <c r="E13" s="116">
        <v>157615</v>
      </c>
      <c r="F13" s="120">
        <f t="shared" si="11"/>
        <v>2670</v>
      </c>
      <c r="G13" s="117">
        <v>5376.3921</v>
      </c>
      <c r="H13" s="121">
        <f t="shared" si="12"/>
        <v>21.774999999997817</v>
      </c>
      <c r="I13" s="116">
        <v>10543</v>
      </c>
      <c r="J13" s="121">
        <f t="shared" si="13"/>
        <v>130</v>
      </c>
      <c r="K13" s="116">
        <v>119697</v>
      </c>
      <c r="L13" s="120">
        <f t="shared" si="14"/>
        <v>1140</v>
      </c>
      <c r="M13" s="121">
        <f t="shared" si="15"/>
        <v>627</v>
      </c>
      <c r="N13" s="121">
        <f t="shared" si="16"/>
        <v>513</v>
      </c>
      <c r="O13" s="118">
        <v>87892</v>
      </c>
      <c r="P13" s="120">
        <f t="shared" si="17"/>
        <v>800</v>
      </c>
      <c r="R13" s="43">
        <f t="shared" si="10"/>
        <v>4061.7749999999978</v>
      </c>
      <c r="S13" s="44">
        <f t="shared" si="18"/>
        <v>1313</v>
      </c>
    </row>
    <row r="14" spans="1:19" ht="39.950000000000003" customHeight="1" x14ac:dyDescent="0.25">
      <c r="A14" s="11">
        <v>44112</v>
      </c>
      <c r="B14" s="13"/>
      <c r="C14" s="116">
        <v>176897</v>
      </c>
      <c r="D14" s="120">
        <f t="shared" si="11"/>
        <v>1430</v>
      </c>
      <c r="E14" s="116">
        <v>157861</v>
      </c>
      <c r="F14" s="120">
        <f t="shared" si="11"/>
        <v>2460</v>
      </c>
      <c r="G14" s="117">
        <v>5379.3680000000004</v>
      </c>
      <c r="H14" s="121">
        <f t="shared" si="12"/>
        <v>29.759000000003653</v>
      </c>
      <c r="I14" s="116">
        <v>10557</v>
      </c>
      <c r="J14" s="121">
        <f t="shared" si="13"/>
        <v>140</v>
      </c>
      <c r="K14" s="116">
        <v>119813</v>
      </c>
      <c r="L14" s="120">
        <f t="shared" si="14"/>
        <v>1160</v>
      </c>
      <c r="M14" s="121">
        <f t="shared" si="15"/>
        <v>638</v>
      </c>
      <c r="N14" s="121">
        <f t="shared" si="16"/>
        <v>522</v>
      </c>
      <c r="O14" s="118">
        <v>87986</v>
      </c>
      <c r="P14" s="120">
        <f t="shared" si="17"/>
        <v>940</v>
      </c>
      <c r="R14" s="43">
        <f t="shared" si="10"/>
        <v>3919.7590000000037</v>
      </c>
      <c r="S14" s="44">
        <f t="shared" si="18"/>
        <v>1462</v>
      </c>
    </row>
    <row r="15" spans="1:19" ht="39.950000000000003" customHeight="1" x14ac:dyDescent="0.25">
      <c r="A15" s="11">
        <v>44113</v>
      </c>
      <c r="B15" s="13"/>
      <c r="C15" s="116">
        <v>177052</v>
      </c>
      <c r="D15" s="120">
        <f t="shared" si="11"/>
        <v>1550</v>
      </c>
      <c r="E15" s="116">
        <v>158148</v>
      </c>
      <c r="F15" s="120">
        <f t="shared" si="11"/>
        <v>2870</v>
      </c>
      <c r="G15" s="117">
        <v>5382.3702999999996</v>
      </c>
      <c r="H15" s="121">
        <f t="shared" si="12"/>
        <v>30.022999999991953</v>
      </c>
      <c r="I15" s="116">
        <v>10576</v>
      </c>
      <c r="J15" s="121">
        <f t="shared" si="13"/>
        <v>190</v>
      </c>
      <c r="K15" s="116">
        <v>119944</v>
      </c>
      <c r="L15" s="120">
        <f t="shared" si="14"/>
        <v>1310</v>
      </c>
      <c r="M15" s="121">
        <f t="shared" si="15"/>
        <v>720.50000000000011</v>
      </c>
      <c r="N15" s="121">
        <f t="shared" si="16"/>
        <v>589.5</v>
      </c>
      <c r="O15" s="118">
        <v>88062</v>
      </c>
      <c r="P15" s="120">
        <f t="shared" si="17"/>
        <v>760</v>
      </c>
      <c r="R15" s="43">
        <f t="shared" si="10"/>
        <v>4450.022999999992</v>
      </c>
      <c r="S15" s="44">
        <f t="shared" si="18"/>
        <v>1349.5</v>
      </c>
    </row>
    <row r="16" spans="1:19" ht="39.950000000000003" customHeight="1" x14ac:dyDescent="0.25">
      <c r="A16" s="11">
        <v>44114</v>
      </c>
      <c r="B16" s="13"/>
      <c r="C16" s="116">
        <v>177231</v>
      </c>
      <c r="D16" s="120">
        <f t="shared" si="11"/>
        <v>1790</v>
      </c>
      <c r="E16" s="116">
        <v>158442</v>
      </c>
      <c r="F16" s="120">
        <f t="shared" si="11"/>
        <v>2940</v>
      </c>
      <c r="G16" s="117">
        <v>5387.3343999999997</v>
      </c>
      <c r="H16" s="121">
        <f t="shared" si="12"/>
        <v>49.641000000001441</v>
      </c>
      <c r="I16" s="116">
        <v>10596</v>
      </c>
      <c r="J16" s="121">
        <f t="shared" si="13"/>
        <v>200</v>
      </c>
      <c r="K16" s="116">
        <v>120076</v>
      </c>
      <c r="L16" s="120">
        <f t="shared" si="14"/>
        <v>1320</v>
      </c>
      <c r="M16" s="121">
        <f t="shared" si="15"/>
        <v>726.00000000000011</v>
      </c>
      <c r="N16" s="121">
        <f t="shared" si="16"/>
        <v>594</v>
      </c>
      <c r="O16" s="118">
        <v>88152</v>
      </c>
      <c r="P16" s="120">
        <f t="shared" si="17"/>
        <v>900</v>
      </c>
      <c r="R16" s="43">
        <f t="shared" si="10"/>
        <v>4779.6410000000014</v>
      </c>
      <c r="S16" s="44">
        <f t="shared" si="18"/>
        <v>1494</v>
      </c>
    </row>
    <row r="17" spans="1:19" ht="39.950000000000003" customHeight="1" x14ac:dyDescent="0.25">
      <c r="A17" s="11">
        <v>44115</v>
      </c>
      <c r="B17" s="13"/>
      <c r="C17" s="116">
        <v>177429</v>
      </c>
      <c r="D17" s="120">
        <f t="shared" si="11"/>
        <v>1980</v>
      </c>
      <c r="E17" s="116">
        <v>158765</v>
      </c>
      <c r="F17" s="120">
        <f t="shared" si="11"/>
        <v>3230</v>
      </c>
      <c r="G17" s="117">
        <v>5389.7804999999998</v>
      </c>
      <c r="H17" s="121">
        <f t="shared" si="12"/>
        <v>24.46100000000115</v>
      </c>
      <c r="I17" s="116">
        <v>10627</v>
      </c>
      <c r="J17" s="121">
        <f t="shared" si="13"/>
        <v>310</v>
      </c>
      <c r="K17" s="116">
        <v>120225</v>
      </c>
      <c r="L17" s="120">
        <f t="shared" si="14"/>
        <v>1490</v>
      </c>
      <c r="M17" s="121">
        <f t="shared" si="15"/>
        <v>819.50000000000011</v>
      </c>
      <c r="N17" s="121">
        <f t="shared" si="16"/>
        <v>670.5</v>
      </c>
      <c r="O17" s="118">
        <v>88235</v>
      </c>
      <c r="P17" s="120">
        <f t="shared" si="17"/>
        <v>830</v>
      </c>
      <c r="R17" s="43">
        <f t="shared" si="10"/>
        <v>5234.4610000000011</v>
      </c>
      <c r="S17" s="44">
        <f t="shared" si="18"/>
        <v>1500.5</v>
      </c>
    </row>
    <row r="18" spans="1:19" ht="39.950000000000003" customHeight="1" x14ac:dyDescent="0.25">
      <c r="A18" s="11">
        <v>44116</v>
      </c>
      <c r="B18" s="13"/>
      <c r="C18" s="116">
        <v>177636</v>
      </c>
      <c r="D18" s="120">
        <f t="shared" si="11"/>
        <v>2070</v>
      </c>
      <c r="E18" s="116">
        <v>159064</v>
      </c>
      <c r="F18" s="120">
        <f t="shared" si="11"/>
        <v>2990</v>
      </c>
      <c r="G18" s="117">
        <v>5392.5637999999999</v>
      </c>
      <c r="H18" s="121">
        <f t="shared" si="12"/>
        <v>27.833000000000538</v>
      </c>
      <c r="I18" s="116">
        <v>10673</v>
      </c>
      <c r="J18" s="121">
        <f t="shared" si="13"/>
        <v>460</v>
      </c>
      <c r="K18" s="116">
        <v>120358</v>
      </c>
      <c r="L18" s="120">
        <f t="shared" si="14"/>
        <v>1330</v>
      </c>
      <c r="M18" s="121">
        <f t="shared" si="15"/>
        <v>731.50000000000011</v>
      </c>
      <c r="N18" s="121">
        <f t="shared" si="16"/>
        <v>598.5</v>
      </c>
      <c r="O18" s="118">
        <v>88316</v>
      </c>
      <c r="P18" s="120">
        <f t="shared" si="17"/>
        <v>810</v>
      </c>
      <c r="R18" s="43">
        <f t="shared" si="10"/>
        <v>5087.8330000000005</v>
      </c>
      <c r="S18" s="44">
        <f t="shared" si="18"/>
        <v>1408.5</v>
      </c>
    </row>
    <row r="19" spans="1:19" ht="39.950000000000003" customHeight="1" x14ac:dyDescent="0.25">
      <c r="A19" s="11">
        <v>44117</v>
      </c>
      <c r="B19" s="13"/>
      <c r="C19" s="116">
        <v>177783</v>
      </c>
      <c r="D19" s="120">
        <f t="shared" si="11"/>
        <v>1470</v>
      </c>
      <c r="E19" s="116">
        <v>159309</v>
      </c>
      <c r="F19" s="120">
        <f t="shared" si="11"/>
        <v>2450</v>
      </c>
      <c r="G19" s="117">
        <v>5394.1466</v>
      </c>
      <c r="H19" s="121">
        <f t="shared" si="12"/>
        <v>15.828000000001339</v>
      </c>
      <c r="I19" s="116">
        <v>10685</v>
      </c>
      <c r="J19" s="121">
        <f t="shared" si="13"/>
        <v>120</v>
      </c>
      <c r="K19" s="116">
        <v>120491</v>
      </c>
      <c r="L19" s="120">
        <f t="shared" si="14"/>
        <v>1330</v>
      </c>
      <c r="M19" s="121">
        <f t="shared" si="15"/>
        <v>731.50000000000011</v>
      </c>
      <c r="N19" s="121">
        <f t="shared" si="16"/>
        <v>598.5</v>
      </c>
      <c r="O19" s="118">
        <v>88394</v>
      </c>
      <c r="P19" s="120">
        <f t="shared" si="17"/>
        <v>780</v>
      </c>
      <c r="R19" s="43">
        <f t="shared" si="10"/>
        <v>3935.8280000000013</v>
      </c>
      <c r="S19" s="44">
        <f t="shared" si="18"/>
        <v>1378.5</v>
      </c>
    </row>
    <row r="20" spans="1:19" ht="39.950000000000003" customHeight="1" x14ac:dyDescent="0.25">
      <c r="A20" s="11">
        <v>44118</v>
      </c>
      <c r="B20" s="13"/>
      <c r="C20" s="116">
        <v>177900</v>
      </c>
      <c r="D20" s="120">
        <f t="shared" si="11"/>
        <v>1170</v>
      </c>
      <c r="E20" s="116">
        <v>159541</v>
      </c>
      <c r="F20" s="120">
        <f t="shared" si="11"/>
        <v>2320</v>
      </c>
      <c r="G20" s="117">
        <v>5397.9534000000003</v>
      </c>
      <c r="H20" s="121">
        <f t="shared" si="12"/>
        <v>38.068000000002939</v>
      </c>
      <c r="I20" s="116">
        <v>10699</v>
      </c>
      <c r="J20" s="121">
        <f t="shared" si="13"/>
        <v>140</v>
      </c>
      <c r="K20" s="116">
        <v>120616</v>
      </c>
      <c r="L20" s="120">
        <f t="shared" si="14"/>
        <v>1250</v>
      </c>
      <c r="M20" s="121">
        <f t="shared" si="15"/>
        <v>687.5</v>
      </c>
      <c r="N20" s="121">
        <f t="shared" si="16"/>
        <v>562.5</v>
      </c>
      <c r="O20" s="118">
        <v>88477</v>
      </c>
      <c r="P20" s="120">
        <f t="shared" si="17"/>
        <v>830</v>
      </c>
      <c r="R20" s="43">
        <f t="shared" si="10"/>
        <v>3528.0680000000029</v>
      </c>
      <c r="S20" s="44">
        <f t="shared" si="18"/>
        <v>1392.5</v>
      </c>
    </row>
    <row r="21" spans="1:19" ht="39.950000000000003" customHeight="1" x14ac:dyDescent="0.25">
      <c r="A21" s="11">
        <v>44119</v>
      </c>
      <c r="B21" s="13"/>
      <c r="C21" s="118">
        <v>178029</v>
      </c>
      <c r="D21" s="120">
        <f t="shared" si="11"/>
        <v>1290</v>
      </c>
      <c r="E21" s="118">
        <v>159755</v>
      </c>
      <c r="F21" s="120">
        <f t="shared" si="11"/>
        <v>2140</v>
      </c>
      <c r="G21" s="119">
        <v>5403.7493000000004</v>
      </c>
      <c r="H21" s="121">
        <f t="shared" si="12"/>
        <v>57.959000000000742</v>
      </c>
      <c r="I21" s="118">
        <v>10712</v>
      </c>
      <c r="J21" s="121">
        <f t="shared" si="13"/>
        <v>130</v>
      </c>
      <c r="K21" s="118">
        <v>120736</v>
      </c>
      <c r="L21" s="120">
        <f t="shared" si="14"/>
        <v>1200</v>
      </c>
      <c r="M21" s="121">
        <f t="shared" si="15"/>
        <v>660</v>
      </c>
      <c r="N21" s="121">
        <f t="shared" si="16"/>
        <v>540</v>
      </c>
      <c r="O21" s="118">
        <v>88544</v>
      </c>
      <c r="P21" s="120">
        <f t="shared" si="17"/>
        <v>670</v>
      </c>
      <c r="R21" s="43">
        <f t="shared" si="10"/>
        <v>3487.9590000000007</v>
      </c>
      <c r="S21" s="44">
        <f t="shared" si="18"/>
        <v>1210</v>
      </c>
    </row>
    <row r="22" spans="1:19" ht="39.950000000000003" customHeight="1" x14ac:dyDescent="0.25">
      <c r="A22" s="11">
        <v>44120</v>
      </c>
      <c r="B22" s="13"/>
      <c r="C22" s="118">
        <v>178178</v>
      </c>
      <c r="D22" s="120">
        <f t="shared" si="11"/>
        <v>1490</v>
      </c>
      <c r="E22" s="118">
        <v>160021</v>
      </c>
      <c r="F22" s="120">
        <f t="shared" si="11"/>
        <v>2660</v>
      </c>
      <c r="G22" s="119">
        <v>5406.6482999999998</v>
      </c>
      <c r="H22" s="121">
        <f t="shared" si="12"/>
        <v>28.989999999994325</v>
      </c>
      <c r="I22" s="118">
        <v>10725</v>
      </c>
      <c r="J22" s="121">
        <f t="shared" si="13"/>
        <v>130</v>
      </c>
      <c r="K22" s="118">
        <v>120860</v>
      </c>
      <c r="L22" s="120">
        <f t="shared" si="14"/>
        <v>1240</v>
      </c>
      <c r="M22" s="121">
        <f t="shared" si="15"/>
        <v>682</v>
      </c>
      <c r="N22" s="121">
        <f t="shared" si="16"/>
        <v>558</v>
      </c>
      <c r="O22" s="118">
        <v>88640</v>
      </c>
      <c r="P22" s="120">
        <f t="shared" si="17"/>
        <v>960</v>
      </c>
      <c r="R22" s="43">
        <f t="shared" si="10"/>
        <v>4178.9899999999943</v>
      </c>
      <c r="S22" s="44">
        <f t="shared" si="18"/>
        <v>1518</v>
      </c>
    </row>
    <row r="23" spans="1:19" ht="39.950000000000003" customHeight="1" x14ac:dyDescent="0.25">
      <c r="A23" s="11">
        <v>44121</v>
      </c>
      <c r="B23" s="13"/>
      <c r="C23" s="118">
        <v>178363</v>
      </c>
      <c r="D23" s="120">
        <f t="shared" si="11"/>
        <v>1850</v>
      </c>
      <c r="E23" s="118">
        <v>160276</v>
      </c>
      <c r="F23" s="120">
        <f t="shared" si="11"/>
        <v>2550</v>
      </c>
      <c r="G23" s="119">
        <v>5412.1981999999998</v>
      </c>
      <c r="H23" s="121">
        <f t="shared" si="12"/>
        <v>55.498999999999796</v>
      </c>
      <c r="I23" s="118">
        <v>10749</v>
      </c>
      <c r="J23" s="121">
        <f t="shared" si="13"/>
        <v>240</v>
      </c>
      <c r="K23" s="118">
        <v>120975</v>
      </c>
      <c r="L23" s="120">
        <f t="shared" si="14"/>
        <v>1150</v>
      </c>
      <c r="M23" s="121">
        <f t="shared" si="15"/>
        <v>632.5</v>
      </c>
      <c r="N23" s="121">
        <f t="shared" si="16"/>
        <v>517.5</v>
      </c>
      <c r="O23" s="118">
        <v>88710</v>
      </c>
      <c r="P23" s="120">
        <f t="shared" si="17"/>
        <v>700</v>
      </c>
      <c r="R23" s="43">
        <f t="shared" si="10"/>
        <v>4455.4989999999998</v>
      </c>
      <c r="S23" s="44">
        <f t="shared" si="18"/>
        <v>1217.5</v>
      </c>
    </row>
    <row r="24" spans="1:19" ht="39.950000000000003" customHeight="1" x14ac:dyDescent="0.25">
      <c r="A24" s="11">
        <v>44122</v>
      </c>
      <c r="B24" s="13"/>
      <c r="C24" s="118">
        <v>178564</v>
      </c>
      <c r="D24" s="120">
        <f t="shared" ref="D24:D36" si="19">(C24-C23)*10</f>
        <v>2010</v>
      </c>
      <c r="E24" s="118">
        <v>160557</v>
      </c>
      <c r="F24" s="120">
        <f t="shared" si="11"/>
        <v>2810</v>
      </c>
      <c r="G24" s="119">
        <v>5429.0079999999998</v>
      </c>
      <c r="H24" s="121">
        <f t="shared" si="12"/>
        <v>168.09799999999996</v>
      </c>
      <c r="I24" s="118">
        <v>10777</v>
      </c>
      <c r="J24" s="121">
        <f t="shared" si="13"/>
        <v>280</v>
      </c>
      <c r="K24" s="118">
        <v>121134</v>
      </c>
      <c r="L24" s="120">
        <f t="shared" si="14"/>
        <v>1590</v>
      </c>
      <c r="M24" s="121">
        <f t="shared" si="15"/>
        <v>874.50000000000011</v>
      </c>
      <c r="N24" s="121">
        <f t="shared" si="16"/>
        <v>715.5</v>
      </c>
      <c r="O24" s="118">
        <v>88811</v>
      </c>
      <c r="P24" s="120">
        <f t="shared" si="17"/>
        <v>1010</v>
      </c>
      <c r="R24" s="43">
        <f t="shared" si="10"/>
        <v>4988.098</v>
      </c>
      <c r="S24" s="44">
        <f t="shared" si="18"/>
        <v>1725.5</v>
      </c>
    </row>
    <row r="25" spans="1:19" ht="39.950000000000003" customHeight="1" x14ac:dyDescent="0.25">
      <c r="A25" s="11">
        <v>44123</v>
      </c>
      <c r="B25" s="13"/>
      <c r="C25" s="118">
        <v>178752</v>
      </c>
      <c r="D25" s="120">
        <f t="shared" si="19"/>
        <v>1880</v>
      </c>
      <c r="E25" s="118">
        <v>160821</v>
      </c>
      <c r="F25" s="120">
        <f t="shared" ref="F25:F36" si="20">(E25-E24)*10</f>
        <v>2640</v>
      </c>
      <c r="G25" s="119">
        <v>5434</v>
      </c>
      <c r="H25" s="121">
        <f t="shared" si="12"/>
        <v>49.920000000001892</v>
      </c>
      <c r="I25" s="118">
        <v>10795</v>
      </c>
      <c r="J25" s="121">
        <f t="shared" si="13"/>
        <v>180</v>
      </c>
      <c r="K25" s="118">
        <v>121265</v>
      </c>
      <c r="L25" s="120">
        <f t="shared" si="14"/>
        <v>1310</v>
      </c>
      <c r="M25" s="121">
        <f t="shared" si="15"/>
        <v>720.50000000000011</v>
      </c>
      <c r="N25" s="121">
        <f t="shared" si="16"/>
        <v>589.5</v>
      </c>
      <c r="O25" s="118">
        <v>88893</v>
      </c>
      <c r="P25" s="120">
        <f t="shared" si="17"/>
        <v>820</v>
      </c>
      <c r="R25" s="43">
        <f t="shared" si="10"/>
        <v>4569.9200000000019</v>
      </c>
      <c r="S25" s="44">
        <f t="shared" si="18"/>
        <v>1409.5</v>
      </c>
    </row>
    <row r="26" spans="1:19" ht="39.950000000000003" customHeight="1" x14ac:dyDescent="0.25">
      <c r="A26" s="11">
        <v>44124</v>
      </c>
      <c r="B26" s="13"/>
      <c r="C26" s="118">
        <v>178948</v>
      </c>
      <c r="D26" s="120">
        <f t="shared" si="19"/>
        <v>1960</v>
      </c>
      <c r="E26" s="118">
        <v>161122</v>
      </c>
      <c r="F26" s="120">
        <f t="shared" si="20"/>
        <v>3010</v>
      </c>
      <c r="G26" s="119">
        <v>5439.6911</v>
      </c>
      <c r="H26" s="121">
        <f t="shared" si="12"/>
        <v>56.911000000000058</v>
      </c>
      <c r="I26" s="118">
        <v>10811</v>
      </c>
      <c r="J26" s="121">
        <f t="shared" si="13"/>
        <v>160</v>
      </c>
      <c r="K26" s="118">
        <v>121402</v>
      </c>
      <c r="L26" s="120">
        <f t="shared" si="14"/>
        <v>1370</v>
      </c>
      <c r="M26" s="121">
        <f t="shared" si="15"/>
        <v>753.50000000000011</v>
      </c>
      <c r="N26" s="121">
        <f t="shared" si="16"/>
        <v>616.5</v>
      </c>
      <c r="O26" s="118">
        <v>88985</v>
      </c>
      <c r="P26" s="120">
        <f t="shared" si="17"/>
        <v>920</v>
      </c>
      <c r="R26" s="43">
        <f t="shared" si="10"/>
        <v>5026.9110000000001</v>
      </c>
      <c r="S26" s="44">
        <f t="shared" si="18"/>
        <v>1536.5</v>
      </c>
    </row>
    <row r="27" spans="1:19" ht="39.950000000000003" customHeight="1" x14ac:dyDescent="0.25">
      <c r="A27" s="11">
        <v>44125</v>
      </c>
      <c r="B27" s="13"/>
      <c r="C27" s="118">
        <v>179106</v>
      </c>
      <c r="D27" s="120">
        <f t="shared" si="19"/>
        <v>1580</v>
      </c>
      <c r="E27" s="118">
        <v>161377</v>
      </c>
      <c r="F27" s="120">
        <f t="shared" si="20"/>
        <v>2550</v>
      </c>
      <c r="G27" s="119">
        <v>5442.0192999999999</v>
      </c>
      <c r="H27" s="121">
        <f t="shared" si="12"/>
        <v>23.281999999999243</v>
      </c>
      <c r="I27" s="118">
        <v>10826</v>
      </c>
      <c r="J27" s="121">
        <f t="shared" si="13"/>
        <v>150</v>
      </c>
      <c r="K27" s="118">
        <v>121522</v>
      </c>
      <c r="L27" s="120">
        <f t="shared" si="14"/>
        <v>1200</v>
      </c>
      <c r="M27" s="121">
        <f t="shared" si="15"/>
        <v>660</v>
      </c>
      <c r="N27" s="121">
        <f t="shared" si="16"/>
        <v>540</v>
      </c>
      <c r="O27" s="118">
        <v>89076</v>
      </c>
      <c r="P27" s="120">
        <f t="shared" si="17"/>
        <v>910</v>
      </c>
      <c r="R27" s="43">
        <f t="shared" si="10"/>
        <v>4153.2819999999992</v>
      </c>
      <c r="S27" s="44">
        <f t="shared" si="18"/>
        <v>1450</v>
      </c>
    </row>
    <row r="28" spans="1:19" ht="39.950000000000003" customHeight="1" x14ac:dyDescent="0.25">
      <c r="A28" s="11">
        <v>44126</v>
      </c>
      <c r="B28" s="13"/>
      <c r="C28" s="118">
        <v>179270</v>
      </c>
      <c r="D28" s="120">
        <f t="shared" si="19"/>
        <v>1640</v>
      </c>
      <c r="E28" s="118">
        <v>161607</v>
      </c>
      <c r="F28" s="120">
        <f t="shared" si="20"/>
        <v>2300</v>
      </c>
      <c r="G28" s="119">
        <v>5444.3398999999999</v>
      </c>
      <c r="H28" s="121">
        <f t="shared" si="12"/>
        <v>23.206000000000131</v>
      </c>
      <c r="I28" s="118">
        <v>10843</v>
      </c>
      <c r="J28" s="121">
        <f t="shared" si="13"/>
        <v>170</v>
      </c>
      <c r="K28" s="118">
        <v>121632</v>
      </c>
      <c r="L28" s="120">
        <f t="shared" si="14"/>
        <v>1100</v>
      </c>
      <c r="M28" s="121">
        <f t="shared" si="15"/>
        <v>605</v>
      </c>
      <c r="N28" s="121">
        <f t="shared" si="16"/>
        <v>495</v>
      </c>
      <c r="O28" s="118">
        <v>89157</v>
      </c>
      <c r="P28" s="120">
        <f t="shared" si="17"/>
        <v>810</v>
      </c>
      <c r="R28" s="43">
        <f t="shared" si="10"/>
        <v>3963.2060000000001</v>
      </c>
      <c r="S28" s="44">
        <f t="shared" si="18"/>
        <v>1305</v>
      </c>
    </row>
    <row r="29" spans="1:19" ht="39.950000000000003" customHeight="1" x14ac:dyDescent="0.25">
      <c r="A29" s="11">
        <v>44127</v>
      </c>
      <c r="B29" s="13"/>
      <c r="C29" s="118">
        <v>179432</v>
      </c>
      <c r="D29" s="120">
        <f t="shared" si="19"/>
        <v>1620</v>
      </c>
      <c r="E29" s="118">
        <v>161868</v>
      </c>
      <c r="F29" s="120">
        <f t="shared" si="20"/>
        <v>2610</v>
      </c>
      <c r="G29" s="119">
        <v>5446.7257</v>
      </c>
      <c r="H29" s="121">
        <f t="shared" si="12"/>
        <v>23.858000000000175</v>
      </c>
      <c r="I29" s="118">
        <v>10861</v>
      </c>
      <c r="J29" s="121">
        <f t="shared" si="13"/>
        <v>180</v>
      </c>
      <c r="K29" s="118">
        <v>121762</v>
      </c>
      <c r="L29" s="120">
        <f t="shared" si="14"/>
        <v>1300</v>
      </c>
      <c r="M29" s="121">
        <f t="shared" si="15"/>
        <v>715.00000000000011</v>
      </c>
      <c r="N29" s="121">
        <f t="shared" si="16"/>
        <v>585</v>
      </c>
      <c r="O29" s="118">
        <v>89238</v>
      </c>
      <c r="P29" s="120">
        <f t="shared" si="17"/>
        <v>810</v>
      </c>
      <c r="R29" s="43">
        <f t="shared" si="10"/>
        <v>4253.8580000000002</v>
      </c>
      <c r="S29" s="44">
        <f t="shared" si="18"/>
        <v>1395</v>
      </c>
    </row>
    <row r="30" spans="1:19" ht="39.950000000000003" customHeight="1" x14ac:dyDescent="0.25">
      <c r="A30" s="11">
        <v>44128</v>
      </c>
      <c r="B30" s="13"/>
      <c r="C30" s="118">
        <v>179587</v>
      </c>
      <c r="D30" s="120">
        <f t="shared" si="19"/>
        <v>1550</v>
      </c>
      <c r="E30" s="118">
        <v>162151</v>
      </c>
      <c r="F30" s="120">
        <f t="shared" si="20"/>
        <v>2830</v>
      </c>
      <c r="G30" s="119">
        <v>5447.7350999999999</v>
      </c>
      <c r="H30" s="121">
        <f t="shared" si="12"/>
        <v>10.093999999999141</v>
      </c>
      <c r="I30" s="118">
        <v>10881</v>
      </c>
      <c r="J30" s="121">
        <f t="shared" si="13"/>
        <v>200</v>
      </c>
      <c r="K30" s="118">
        <v>121890</v>
      </c>
      <c r="L30" s="120">
        <f t="shared" si="14"/>
        <v>1280</v>
      </c>
      <c r="M30" s="121">
        <f t="shared" si="15"/>
        <v>704</v>
      </c>
      <c r="N30" s="121">
        <f t="shared" si="16"/>
        <v>576</v>
      </c>
      <c r="O30" s="118">
        <v>89328</v>
      </c>
      <c r="P30" s="120">
        <f t="shared" si="17"/>
        <v>900</v>
      </c>
      <c r="R30" s="43">
        <f t="shared" si="10"/>
        <v>4390.0939999999991</v>
      </c>
      <c r="S30" s="44">
        <f t="shared" si="18"/>
        <v>1476</v>
      </c>
    </row>
    <row r="31" spans="1:19" ht="39.950000000000003" customHeight="1" x14ac:dyDescent="0.25">
      <c r="A31" s="11">
        <v>44129</v>
      </c>
      <c r="B31" s="13"/>
      <c r="C31" s="118">
        <v>179770</v>
      </c>
      <c r="D31" s="120">
        <f t="shared" si="19"/>
        <v>1830</v>
      </c>
      <c r="E31" s="118">
        <v>162461</v>
      </c>
      <c r="F31" s="120">
        <f t="shared" si="20"/>
        <v>3100</v>
      </c>
      <c r="G31" s="119">
        <v>5450.0457999999999</v>
      </c>
      <c r="H31" s="121">
        <f t="shared" si="12"/>
        <v>23.106999999999971</v>
      </c>
      <c r="I31" s="118">
        <v>10910</v>
      </c>
      <c r="J31" s="121">
        <f t="shared" si="13"/>
        <v>290</v>
      </c>
      <c r="K31" s="118">
        <v>122064</v>
      </c>
      <c r="L31" s="120">
        <f t="shared" si="14"/>
        <v>1740</v>
      </c>
      <c r="M31" s="121">
        <f t="shared" si="15"/>
        <v>957.00000000000011</v>
      </c>
      <c r="N31" s="121">
        <f t="shared" si="16"/>
        <v>783</v>
      </c>
      <c r="O31" s="118">
        <v>89420</v>
      </c>
      <c r="P31" s="120">
        <f t="shared" si="17"/>
        <v>920</v>
      </c>
      <c r="R31" s="43">
        <f t="shared" si="10"/>
        <v>4953.107</v>
      </c>
      <c r="S31" s="44">
        <f t="shared" si="18"/>
        <v>1703</v>
      </c>
    </row>
    <row r="32" spans="1:19" ht="39.950000000000003" customHeight="1" x14ac:dyDescent="0.25">
      <c r="A32" s="11">
        <v>44130</v>
      </c>
      <c r="B32" s="13"/>
      <c r="C32" s="118">
        <v>179995</v>
      </c>
      <c r="D32" s="120">
        <f t="shared" si="19"/>
        <v>2250</v>
      </c>
      <c r="E32" s="118">
        <v>162756</v>
      </c>
      <c r="F32" s="120">
        <f t="shared" si="20"/>
        <v>2950</v>
      </c>
      <c r="G32" s="119">
        <v>5451.0802000000003</v>
      </c>
      <c r="H32" s="121">
        <f t="shared" si="12"/>
        <v>10.344000000004598</v>
      </c>
      <c r="I32" s="118">
        <v>10943</v>
      </c>
      <c r="J32" s="121">
        <f t="shared" si="13"/>
        <v>330</v>
      </c>
      <c r="K32" s="118">
        <v>122207</v>
      </c>
      <c r="L32" s="120">
        <f t="shared" si="14"/>
        <v>1430</v>
      </c>
      <c r="M32" s="121">
        <f t="shared" si="15"/>
        <v>786.50000000000011</v>
      </c>
      <c r="N32" s="121">
        <f t="shared" si="16"/>
        <v>643.5</v>
      </c>
      <c r="O32" s="118">
        <v>89498</v>
      </c>
      <c r="P32" s="120">
        <f t="shared" si="17"/>
        <v>780</v>
      </c>
      <c r="R32" s="43">
        <f t="shared" si="10"/>
        <v>5210.3440000000046</v>
      </c>
      <c r="S32" s="44">
        <f t="shared" si="18"/>
        <v>1423.5</v>
      </c>
    </row>
    <row r="33" spans="1:19" ht="39.950000000000003" customHeight="1" x14ac:dyDescent="0.25">
      <c r="A33" s="11">
        <v>44131</v>
      </c>
      <c r="B33" s="13"/>
      <c r="C33" s="118">
        <v>180193</v>
      </c>
      <c r="D33" s="120">
        <f t="shared" si="19"/>
        <v>1980</v>
      </c>
      <c r="E33" s="118">
        <v>163063</v>
      </c>
      <c r="F33" s="120">
        <f t="shared" si="20"/>
        <v>3070</v>
      </c>
      <c r="G33" s="119">
        <v>5456.1202999999996</v>
      </c>
      <c r="H33" s="121">
        <f t="shared" si="12"/>
        <v>50.400999999992564</v>
      </c>
      <c r="I33" s="118">
        <v>10960</v>
      </c>
      <c r="J33" s="121">
        <f t="shared" si="13"/>
        <v>170</v>
      </c>
      <c r="K33" s="118">
        <v>122342</v>
      </c>
      <c r="L33" s="120">
        <f t="shared" si="14"/>
        <v>1350</v>
      </c>
      <c r="M33" s="121">
        <f t="shared" si="15"/>
        <v>742.50000000000011</v>
      </c>
      <c r="N33" s="121">
        <f t="shared" si="16"/>
        <v>607.5</v>
      </c>
      <c r="O33" s="118">
        <v>89584</v>
      </c>
      <c r="P33" s="120">
        <f t="shared" si="17"/>
        <v>860</v>
      </c>
      <c r="R33" s="43">
        <f t="shared" si="10"/>
        <v>5100.4009999999926</v>
      </c>
      <c r="S33" s="44">
        <f t="shared" si="18"/>
        <v>1467.5</v>
      </c>
    </row>
    <row r="34" spans="1:19" ht="39.950000000000003" customHeight="1" x14ac:dyDescent="0.25">
      <c r="A34" s="11">
        <v>44132</v>
      </c>
      <c r="B34" s="13"/>
      <c r="C34" s="118">
        <v>180367</v>
      </c>
      <c r="D34" s="120">
        <f t="shared" si="19"/>
        <v>1740</v>
      </c>
      <c r="E34" s="118">
        <v>163343</v>
      </c>
      <c r="F34" s="120">
        <f t="shared" si="20"/>
        <v>2800</v>
      </c>
      <c r="G34" s="119">
        <v>5461.3769000000002</v>
      </c>
      <c r="H34" s="121">
        <f t="shared" si="12"/>
        <v>52.56600000000617</v>
      </c>
      <c r="I34" s="118">
        <v>10977</v>
      </c>
      <c r="J34" s="121">
        <f t="shared" si="13"/>
        <v>170</v>
      </c>
      <c r="K34" s="118">
        <v>122469</v>
      </c>
      <c r="L34" s="120">
        <f t="shared" si="14"/>
        <v>1270</v>
      </c>
      <c r="M34" s="121">
        <f t="shared" si="15"/>
        <v>698.5</v>
      </c>
      <c r="N34" s="121">
        <f t="shared" si="16"/>
        <v>571.5</v>
      </c>
      <c r="O34" s="118">
        <v>89665</v>
      </c>
      <c r="P34" s="120">
        <f t="shared" si="17"/>
        <v>810</v>
      </c>
      <c r="R34" s="43">
        <f t="shared" si="10"/>
        <v>4592.5660000000062</v>
      </c>
      <c r="S34" s="44">
        <f t="shared" si="18"/>
        <v>1381.5</v>
      </c>
    </row>
    <row r="35" spans="1:19" ht="39.950000000000003" customHeight="1" x14ac:dyDescent="0.25">
      <c r="A35" s="11">
        <v>44133</v>
      </c>
      <c r="B35" s="13"/>
      <c r="C35" s="118">
        <v>180541</v>
      </c>
      <c r="D35" s="120">
        <f t="shared" si="19"/>
        <v>1740</v>
      </c>
      <c r="E35" s="118">
        <v>163613</v>
      </c>
      <c r="F35" s="120">
        <f t="shared" si="20"/>
        <v>2700</v>
      </c>
      <c r="G35" s="119">
        <v>5465.1671999999999</v>
      </c>
      <c r="H35" s="121">
        <f t="shared" si="12"/>
        <v>37.902999999996609</v>
      </c>
      <c r="I35" s="118">
        <v>10988</v>
      </c>
      <c r="J35" s="121">
        <f t="shared" si="13"/>
        <v>110</v>
      </c>
      <c r="K35" s="118">
        <v>122588</v>
      </c>
      <c r="L35" s="120">
        <f t="shared" si="14"/>
        <v>1190</v>
      </c>
      <c r="M35" s="121">
        <f t="shared" si="15"/>
        <v>654.5</v>
      </c>
      <c r="N35" s="121">
        <f t="shared" si="16"/>
        <v>535.5</v>
      </c>
      <c r="O35" s="118">
        <v>89744</v>
      </c>
      <c r="P35" s="120">
        <f t="shared" si="17"/>
        <v>790</v>
      </c>
      <c r="R35" s="43">
        <f t="shared" si="10"/>
        <v>4477.9029999999966</v>
      </c>
      <c r="S35" s="44">
        <f t="shared" si="18"/>
        <v>1325.5</v>
      </c>
    </row>
    <row r="36" spans="1:19" ht="39.950000000000003" customHeight="1" x14ac:dyDescent="0.25">
      <c r="A36" s="11">
        <v>44134</v>
      </c>
      <c r="B36" s="13"/>
      <c r="C36" s="118">
        <v>180711</v>
      </c>
      <c r="D36" s="120">
        <f t="shared" si="19"/>
        <v>1700</v>
      </c>
      <c r="E36" s="118">
        <v>163906</v>
      </c>
      <c r="F36" s="120">
        <f t="shared" si="20"/>
        <v>2930</v>
      </c>
      <c r="G36" s="119">
        <v>5467.0708999999997</v>
      </c>
      <c r="H36" s="121">
        <f t="shared" si="12"/>
        <v>19.036999999998443</v>
      </c>
      <c r="I36" s="118">
        <v>11005</v>
      </c>
      <c r="J36" s="121">
        <f t="shared" si="13"/>
        <v>170</v>
      </c>
      <c r="K36" s="118">
        <v>122723</v>
      </c>
      <c r="L36" s="120">
        <f t="shared" ref="L36" si="21">(K36-K35)*10</f>
        <v>1350</v>
      </c>
      <c r="M36" s="121">
        <f t="shared" ref="M36:M37" si="22">L36*55%</f>
        <v>742.50000000000011</v>
      </c>
      <c r="N36" s="121">
        <f t="shared" ref="N36" si="23">L36*45%</f>
        <v>607.5</v>
      </c>
      <c r="O36" s="118">
        <v>89834</v>
      </c>
      <c r="P36" s="120">
        <f t="shared" si="17"/>
        <v>900</v>
      </c>
      <c r="R36" s="43">
        <f t="shared" si="10"/>
        <v>4649.0369999999984</v>
      </c>
      <c r="S36" s="44">
        <f t="shared" ref="S36" si="24">SUM(N36,P36)</f>
        <v>1507.5</v>
      </c>
    </row>
    <row r="37" spans="1:19" ht="39.950000000000003" customHeight="1" x14ac:dyDescent="0.25">
      <c r="A37" s="11">
        <v>44135</v>
      </c>
      <c r="B37" s="13"/>
      <c r="C37" s="118">
        <v>180882</v>
      </c>
      <c r="D37" s="120">
        <f>(C37-C35)*10</f>
        <v>3410</v>
      </c>
      <c r="E37" s="118">
        <v>164790</v>
      </c>
      <c r="F37" s="120">
        <f>(E37-E35)*10</f>
        <v>11770</v>
      </c>
      <c r="G37" s="119">
        <v>5471.1867000000002</v>
      </c>
      <c r="H37" s="121">
        <f>(G37-G35)*10</f>
        <v>60.195000000003347</v>
      </c>
      <c r="I37" s="118">
        <v>11022</v>
      </c>
      <c r="J37" s="121">
        <f>(I37-I35)*10</f>
        <v>340</v>
      </c>
      <c r="K37" s="118">
        <v>122848</v>
      </c>
      <c r="L37" s="120">
        <f>(K37-K35)*10</f>
        <v>2600</v>
      </c>
      <c r="M37" s="121">
        <f t="shared" si="22"/>
        <v>1430.0000000000002</v>
      </c>
      <c r="N37" s="120">
        <f t="shared" si="16"/>
        <v>1170</v>
      </c>
      <c r="O37" s="118">
        <v>89935</v>
      </c>
      <c r="P37" s="120">
        <f t="shared" si="17"/>
        <v>1010</v>
      </c>
      <c r="R37" s="43">
        <f t="shared" ref="R37" si="25">SUM(D37,F37,M100,H37)</f>
        <v>15240.195000000003</v>
      </c>
      <c r="S37" s="44">
        <f t="shared" si="18"/>
        <v>2180</v>
      </c>
    </row>
    <row r="38" spans="1:19" s="19" customFormat="1" ht="39.950000000000003" customHeight="1" x14ac:dyDescent="0.25">
      <c r="A38" s="18"/>
      <c r="D38" s="20">
        <f>SUM(D7:D37)</f>
        <v>55470</v>
      </c>
      <c r="F38" s="20">
        <f>SUM(F7:F37)</f>
        <v>94620</v>
      </c>
      <c r="H38" s="20">
        <f>SUM(H7:H37)</f>
        <v>1104.5460000000003</v>
      </c>
      <c r="J38" s="20">
        <f>SUM(J7:J37)</f>
        <v>5870</v>
      </c>
      <c r="L38" s="20">
        <f>SUM(L7:L37)</f>
        <v>42410</v>
      </c>
      <c r="M38" s="20"/>
      <c r="N38" s="20"/>
      <c r="P38" s="20">
        <f>SUM(P7:P37)</f>
        <v>26400</v>
      </c>
    </row>
    <row r="39" spans="1:19" s="16" customFormat="1" ht="39.950000000000003" customHeight="1" x14ac:dyDescent="0.3">
      <c r="A39" s="15"/>
      <c r="D39" s="17"/>
    </row>
    <row r="40" spans="1:19" s="16" customFormat="1" ht="39.950000000000003" customHeight="1" x14ac:dyDescent="0.3">
      <c r="A40" s="15"/>
      <c r="D40" s="17"/>
    </row>
    <row r="41" spans="1:19" ht="39.950000000000003" customHeight="1" x14ac:dyDescent="0.35">
      <c r="A41" s="7"/>
    </row>
    <row r="42" spans="1:19" x14ac:dyDescent="0.35">
      <c r="A42" s="7"/>
    </row>
    <row r="43" spans="1:19" x14ac:dyDescent="0.35">
      <c r="A43" s="7"/>
    </row>
    <row r="44" spans="1:19" x14ac:dyDescent="0.35">
      <c r="A44" s="7"/>
    </row>
    <row r="45" spans="1:19" x14ac:dyDescent="0.35">
      <c r="A45" s="7"/>
    </row>
    <row r="46" spans="1:19" x14ac:dyDescent="0.35">
      <c r="A46" s="7"/>
    </row>
    <row r="47" spans="1:19" x14ac:dyDescent="0.35">
      <c r="A47" s="7"/>
    </row>
    <row r="48" spans="1:19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7"/>
    </row>
    <row r="56" spans="1:1" x14ac:dyDescent="0.35">
      <c r="A56" s="7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</sheetData>
  <mergeCells count="24">
    <mergeCell ref="C2:D2"/>
    <mergeCell ref="E2:F2"/>
    <mergeCell ref="K2:N2"/>
    <mergeCell ref="O2:P2"/>
    <mergeCell ref="C1:D1"/>
    <mergeCell ref="E1:F1"/>
    <mergeCell ref="G1:H1"/>
    <mergeCell ref="O1:P1"/>
    <mergeCell ref="C4:D4"/>
    <mergeCell ref="E4:F4"/>
    <mergeCell ref="K4:N4"/>
    <mergeCell ref="I4:J4"/>
    <mergeCell ref="C3:D3"/>
    <mergeCell ref="E3:F3"/>
    <mergeCell ref="K3:N3"/>
    <mergeCell ref="R3:S4"/>
    <mergeCell ref="K1:N1"/>
    <mergeCell ref="G2:H2"/>
    <mergeCell ref="G3:H3"/>
    <mergeCell ref="G4:H4"/>
    <mergeCell ref="I1:J1"/>
    <mergeCell ref="I2:J2"/>
    <mergeCell ref="I3:J3"/>
    <mergeCell ref="O3:P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0"/>
  <sheetViews>
    <sheetView zoomScale="70" zoomScaleNormal="70" workbookViewId="0">
      <selection activeCell="BT7" sqref="BT7"/>
    </sheetView>
  </sheetViews>
  <sheetFormatPr defaultRowHeight="31.5" x14ac:dyDescent="0.5"/>
  <cols>
    <col min="1" max="1" width="15.7109375" style="5" customWidth="1"/>
    <col min="2" max="2" width="2.42578125" customWidth="1"/>
    <col min="3" max="29" width="30.7109375" customWidth="1"/>
    <col min="30" max="30" width="30.7109375" style="1" customWidth="1"/>
    <col min="31" max="58" width="30.7109375" customWidth="1"/>
    <col min="60" max="61" width="30.7109375" style="31" customWidth="1"/>
  </cols>
  <sheetData>
    <row r="1" spans="1:61" s="8" customFormat="1" ht="49.5" customHeight="1" x14ac:dyDescent="0.25">
      <c r="A1" s="103"/>
      <c r="B1" s="103"/>
      <c r="C1" s="143" t="s">
        <v>12</v>
      </c>
      <c r="D1" s="143"/>
      <c r="E1" s="143"/>
      <c r="F1" s="143"/>
      <c r="G1" s="143" t="s">
        <v>11</v>
      </c>
      <c r="H1" s="143"/>
      <c r="I1" s="143" t="s">
        <v>11</v>
      </c>
      <c r="J1" s="143"/>
      <c r="K1" s="143" t="s">
        <v>11</v>
      </c>
      <c r="L1" s="143"/>
      <c r="M1" s="143" t="s">
        <v>11</v>
      </c>
      <c r="N1" s="143"/>
      <c r="O1" s="143" t="s">
        <v>11</v>
      </c>
      <c r="P1" s="143"/>
      <c r="Q1" s="156" t="s">
        <v>11</v>
      </c>
      <c r="R1" s="157"/>
      <c r="S1" s="156" t="s">
        <v>11</v>
      </c>
      <c r="T1" s="157"/>
      <c r="U1" s="156" t="s">
        <v>11</v>
      </c>
      <c r="V1" s="157"/>
      <c r="W1" s="156" t="s">
        <v>11</v>
      </c>
      <c r="X1" s="158"/>
      <c r="Y1" s="143" t="s">
        <v>11</v>
      </c>
      <c r="Z1" s="143"/>
      <c r="AA1" s="156" t="s">
        <v>11</v>
      </c>
      <c r="AB1" s="157"/>
      <c r="AC1" s="143" t="s">
        <v>11</v>
      </c>
      <c r="AD1" s="143"/>
      <c r="AE1" s="143" t="s">
        <v>11</v>
      </c>
      <c r="AF1" s="143"/>
      <c r="AG1" s="143" t="s">
        <v>11</v>
      </c>
      <c r="AH1" s="143"/>
      <c r="AI1" s="143" t="s">
        <v>11</v>
      </c>
      <c r="AJ1" s="143"/>
      <c r="AK1" s="143" t="s">
        <v>11</v>
      </c>
      <c r="AL1" s="143"/>
      <c r="AM1" s="143" t="s">
        <v>13</v>
      </c>
      <c r="AN1" s="143"/>
      <c r="AO1" s="143" t="s">
        <v>13</v>
      </c>
      <c r="AP1" s="143"/>
      <c r="AQ1" s="143" t="s">
        <v>13</v>
      </c>
      <c r="AR1" s="143"/>
      <c r="AS1" s="143" t="s">
        <v>13</v>
      </c>
      <c r="AT1" s="143"/>
      <c r="AU1" s="143" t="s">
        <v>13</v>
      </c>
      <c r="AV1" s="143"/>
      <c r="AW1" s="143" t="s">
        <v>13</v>
      </c>
      <c r="AX1" s="143"/>
      <c r="AY1" s="143" t="s">
        <v>13</v>
      </c>
      <c r="AZ1" s="143"/>
      <c r="BA1" s="143" t="s">
        <v>13</v>
      </c>
      <c r="BB1" s="143"/>
      <c r="BC1" s="143" t="s">
        <v>13</v>
      </c>
      <c r="BD1" s="143"/>
      <c r="BE1" s="143" t="s">
        <v>13</v>
      </c>
      <c r="BF1" s="143"/>
      <c r="BH1" s="30"/>
      <c r="BI1" s="30"/>
    </row>
    <row r="2" spans="1:61" s="22" customFormat="1" ht="75.75" customHeight="1" x14ac:dyDescent="0.25">
      <c r="A2" s="112"/>
      <c r="B2" s="112"/>
      <c r="C2" s="178" t="s">
        <v>63</v>
      </c>
      <c r="D2" s="178"/>
      <c r="E2" s="178"/>
      <c r="F2" s="178"/>
      <c r="G2" s="178" t="s">
        <v>64</v>
      </c>
      <c r="H2" s="178"/>
      <c r="I2" s="178" t="s">
        <v>65</v>
      </c>
      <c r="J2" s="178"/>
      <c r="K2" s="178" t="s">
        <v>66</v>
      </c>
      <c r="L2" s="178"/>
      <c r="M2" s="178" t="s">
        <v>67</v>
      </c>
      <c r="N2" s="178"/>
      <c r="O2" s="183" t="s">
        <v>68</v>
      </c>
      <c r="P2" s="185"/>
      <c r="Q2" s="183" t="s">
        <v>69</v>
      </c>
      <c r="R2" s="185"/>
      <c r="S2" s="183" t="s">
        <v>70</v>
      </c>
      <c r="T2" s="185"/>
      <c r="U2" s="183" t="s">
        <v>71</v>
      </c>
      <c r="V2" s="185"/>
      <c r="W2" s="183" t="s">
        <v>72</v>
      </c>
      <c r="X2" s="184"/>
      <c r="Y2" s="178" t="s">
        <v>73</v>
      </c>
      <c r="Z2" s="178"/>
      <c r="AA2" s="183" t="s">
        <v>74</v>
      </c>
      <c r="AB2" s="185"/>
      <c r="AC2" s="178" t="s">
        <v>75</v>
      </c>
      <c r="AD2" s="178"/>
      <c r="AE2" s="178" t="s">
        <v>76</v>
      </c>
      <c r="AF2" s="178"/>
      <c r="AG2" s="178" t="s">
        <v>76</v>
      </c>
      <c r="AH2" s="178"/>
      <c r="AI2" s="178" t="s">
        <v>76</v>
      </c>
      <c r="AJ2" s="178"/>
      <c r="AK2" s="178" t="s">
        <v>76</v>
      </c>
      <c r="AL2" s="178"/>
      <c r="AM2" s="178" t="s">
        <v>77</v>
      </c>
      <c r="AN2" s="178"/>
      <c r="AO2" s="178" t="s">
        <v>78</v>
      </c>
      <c r="AP2" s="178"/>
      <c r="AQ2" s="178" t="s">
        <v>79</v>
      </c>
      <c r="AR2" s="178"/>
      <c r="AS2" s="178" t="s">
        <v>79</v>
      </c>
      <c r="AT2" s="178"/>
      <c r="AU2" s="178" t="s">
        <v>80</v>
      </c>
      <c r="AV2" s="178"/>
      <c r="AW2" s="178" t="s">
        <v>81</v>
      </c>
      <c r="AX2" s="178"/>
      <c r="AY2" s="178" t="s">
        <v>82</v>
      </c>
      <c r="AZ2" s="178"/>
      <c r="BA2" s="178" t="s">
        <v>82</v>
      </c>
      <c r="BB2" s="178"/>
      <c r="BC2" s="178" t="s">
        <v>83</v>
      </c>
      <c r="BD2" s="178"/>
      <c r="BE2" s="178" t="s">
        <v>83</v>
      </c>
      <c r="BF2" s="178"/>
      <c r="BH2" s="30"/>
      <c r="BI2" s="30"/>
    </row>
    <row r="3" spans="1:61" s="6" customFormat="1" ht="87.75" customHeight="1" x14ac:dyDescent="0.25">
      <c r="A3" s="102"/>
      <c r="B3" s="102"/>
      <c r="C3" s="171" t="s">
        <v>84</v>
      </c>
      <c r="D3" s="172"/>
      <c r="E3" s="103" t="s">
        <v>11</v>
      </c>
      <c r="F3" s="103" t="s">
        <v>13</v>
      </c>
      <c r="G3" s="175" t="s">
        <v>85</v>
      </c>
      <c r="H3" s="176"/>
      <c r="I3" s="175" t="s">
        <v>85</v>
      </c>
      <c r="J3" s="176"/>
      <c r="K3" s="175" t="s">
        <v>85</v>
      </c>
      <c r="L3" s="176"/>
      <c r="M3" s="173" t="s">
        <v>86</v>
      </c>
      <c r="N3" s="174"/>
      <c r="O3" s="175" t="s">
        <v>85</v>
      </c>
      <c r="P3" s="176"/>
      <c r="Q3" s="175" t="s">
        <v>85</v>
      </c>
      <c r="R3" s="176"/>
      <c r="S3" s="181" t="s">
        <v>85</v>
      </c>
      <c r="T3" s="182"/>
      <c r="U3" s="175" t="s">
        <v>85</v>
      </c>
      <c r="V3" s="176"/>
      <c r="W3" s="175" t="s">
        <v>85</v>
      </c>
      <c r="X3" s="176"/>
      <c r="Y3" s="177" t="s">
        <v>87</v>
      </c>
      <c r="Z3" s="176"/>
      <c r="AA3" s="175" t="s">
        <v>88</v>
      </c>
      <c r="AB3" s="176"/>
      <c r="AC3" s="175" t="s">
        <v>89</v>
      </c>
      <c r="AD3" s="176"/>
      <c r="AE3" s="175" t="s">
        <v>89</v>
      </c>
      <c r="AF3" s="176"/>
      <c r="AG3" s="177" t="s">
        <v>90</v>
      </c>
      <c r="AH3" s="176"/>
      <c r="AI3" s="175" t="s">
        <v>91</v>
      </c>
      <c r="AJ3" s="176"/>
      <c r="AK3" s="177" t="s">
        <v>92</v>
      </c>
      <c r="AL3" s="176"/>
      <c r="AM3" s="175" t="s">
        <v>93</v>
      </c>
      <c r="AN3" s="176"/>
      <c r="AO3" s="175" t="s">
        <v>93</v>
      </c>
      <c r="AP3" s="176"/>
      <c r="AQ3" s="177" t="s">
        <v>94</v>
      </c>
      <c r="AR3" s="176"/>
      <c r="AS3" s="175" t="s">
        <v>95</v>
      </c>
      <c r="AT3" s="176"/>
      <c r="AU3" s="177" t="s">
        <v>96</v>
      </c>
      <c r="AV3" s="176"/>
      <c r="AW3" s="177" t="s">
        <v>96</v>
      </c>
      <c r="AX3" s="176"/>
      <c r="AY3" s="175" t="s">
        <v>91</v>
      </c>
      <c r="AZ3" s="176"/>
      <c r="BA3" s="177" t="s">
        <v>92</v>
      </c>
      <c r="BB3" s="176"/>
      <c r="BC3" s="175" t="s">
        <v>91</v>
      </c>
      <c r="BD3" s="176"/>
      <c r="BE3" s="177" t="s">
        <v>92</v>
      </c>
      <c r="BF3" s="176"/>
      <c r="BH3" s="30"/>
      <c r="BI3" s="30"/>
    </row>
    <row r="4" spans="1:61" s="22" customFormat="1" ht="50.1" customHeight="1" x14ac:dyDescent="0.25">
      <c r="A4" s="102"/>
      <c r="B4" s="112"/>
      <c r="C4" s="144" t="s">
        <v>97</v>
      </c>
      <c r="D4" s="146"/>
      <c r="E4" s="179" t="s">
        <v>98</v>
      </c>
      <c r="F4" s="180"/>
      <c r="G4" s="144" t="s">
        <v>99</v>
      </c>
      <c r="H4" s="146"/>
      <c r="I4" s="144" t="s">
        <v>100</v>
      </c>
      <c r="J4" s="146"/>
      <c r="K4" s="144" t="s">
        <v>101</v>
      </c>
      <c r="L4" s="146"/>
      <c r="M4" s="144">
        <v>7092801222</v>
      </c>
      <c r="N4" s="146"/>
      <c r="O4" s="144" t="s">
        <v>102</v>
      </c>
      <c r="P4" s="145"/>
      <c r="Q4" s="144" t="s">
        <v>103</v>
      </c>
      <c r="R4" s="145"/>
      <c r="S4" s="144" t="s">
        <v>104</v>
      </c>
      <c r="T4" s="145"/>
      <c r="U4" s="144" t="s">
        <v>105</v>
      </c>
      <c r="V4" s="145"/>
      <c r="W4" s="144" t="s">
        <v>106</v>
      </c>
      <c r="X4" s="146"/>
      <c r="Y4" s="144" t="s">
        <v>107</v>
      </c>
      <c r="Z4" s="146"/>
      <c r="AA4" s="144" t="s">
        <v>108</v>
      </c>
      <c r="AB4" s="145"/>
      <c r="AC4" s="144" t="s">
        <v>109</v>
      </c>
      <c r="AD4" s="146"/>
      <c r="AE4" s="144" t="s">
        <v>110</v>
      </c>
      <c r="AF4" s="146"/>
      <c r="AG4" s="144" t="s">
        <v>111</v>
      </c>
      <c r="AH4" s="146"/>
      <c r="AI4" s="144">
        <v>7105826734</v>
      </c>
      <c r="AJ4" s="146"/>
      <c r="AK4" s="144">
        <v>7105825932</v>
      </c>
      <c r="AL4" s="146"/>
      <c r="AM4" s="144" t="s">
        <v>112</v>
      </c>
      <c r="AN4" s="146"/>
      <c r="AO4" s="144" t="s">
        <v>113</v>
      </c>
      <c r="AP4" s="146"/>
      <c r="AQ4" s="144" t="s">
        <v>114</v>
      </c>
      <c r="AR4" s="146"/>
      <c r="AS4" s="144" t="s">
        <v>115</v>
      </c>
      <c r="AT4" s="146"/>
      <c r="AU4" s="144" t="s">
        <v>116</v>
      </c>
      <c r="AV4" s="146"/>
      <c r="AW4" s="144" t="s">
        <v>117</v>
      </c>
      <c r="AX4" s="146"/>
      <c r="AY4" s="144">
        <v>7111912486</v>
      </c>
      <c r="AZ4" s="146"/>
      <c r="BA4" s="144">
        <v>7111911842</v>
      </c>
      <c r="BB4" s="146"/>
      <c r="BC4" s="144">
        <v>7111913281</v>
      </c>
      <c r="BD4" s="146"/>
      <c r="BE4" s="144">
        <v>7111912723</v>
      </c>
      <c r="BF4" s="146"/>
      <c r="BH4" s="141" t="s">
        <v>27</v>
      </c>
      <c r="BI4" s="141"/>
    </row>
    <row r="5" spans="1:61" s="22" customFormat="1" ht="50.1" customHeight="1" x14ac:dyDescent="0.25">
      <c r="A5" s="112" t="s">
        <v>118</v>
      </c>
      <c r="B5" s="112"/>
      <c r="C5" s="144" t="s">
        <v>119</v>
      </c>
      <c r="D5" s="146"/>
      <c r="E5" s="28">
        <v>0.6</v>
      </c>
      <c r="F5" s="28">
        <v>0.4</v>
      </c>
      <c r="G5" s="144" t="s">
        <v>120</v>
      </c>
      <c r="H5" s="146"/>
      <c r="I5" s="144" t="s">
        <v>121</v>
      </c>
      <c r="J5" s="146"/>
      <c r="K5" s="144" t="s">
        <v>122</v>
      </c>
      <c r="L5" s="146"/>
      <c r="M5" s="144" t="s">
        <v>123</v>
      </c>
      <c r="N5" s="146"/>
      <c r="O5" s="144" t="s">
        <v>124</v>
      </c>
      <c r="P5" s="145"/>
      <c r="Q5" s="144" t="s">
        <v>125</v>
      </c>
      <c r="R5" s="145"/>
      <c r="S5" s="144" t="s">
        <v>126</v>
      </c>
      <c r="T5" s="145"/>
      <c r="U5" s="144" t="s">
        <v>127</v>
      </c>
      <c r="V5" s="145"/>
      <c r="W5" s="144" t="s">
        <v>128</v>
      </c>
      <c r="X5" s="146"/>
      <c r="Y5" s="144" t="s">
        <v>129</v>
      </c>
      <c r="Z5" s="146"/>
      <c r="AA5" s="144" t="s">
        <v>130</v>
      </c>
      <c r="AB5" s="145"/>
      <c r="AC5" s="144" t="s">
        <v>131</v>
      </c>
      <c r="AD5" s="146"/>
      <c r="AE5" s="144" t="s">
        <v>132</v>
      </c>
      <c r="AF5" s="146"/>
      <c r="AG5" s="144" t="s">
        <v>133</v>
      </c>
      <c r="AH5" s="146"/>
      <c r="AI5" s="144" t="s">
        <v>134</v>
      </c>
      <c r="AJ5" s="146"/>
      <c r="AK5" s="144" t="s">
        <v>135</v>
      </c>
      <c r="AL5" s="146"/>
      <c r="AM5" s="144" t="s">
        <v>136</v>
      </c>
      <c r="AN5" s="146"/>
      <c r="AO5" s="144" t="s">
        <v>137</v>
      </c>
      <c r="AP5" s="146"/>
      <c r="AQ5" s="144" t="s">
        <v>138</v>
      </c>
      <c r="AR5" s="146"/>
      <c r="AS5" s="144" t="s">
        <v>139</v>
      </c>
      <c r="AT5" s="146"/>
      <c r="AU5" s="144" t="s">
        <v>140</v>
      </c>
      <c r="AV5" s="146"/>
      <c r="AW5" s="144" t="s">
        <v>141</v>
      </c>
      <c r="AX5" s="146"/>
      <c r="AY5" s="144">
        <v>744483</v>
      </c>
      <c r="AZ5" s="146"/>
      <c r="BA5" s="144">
        <v>119314</v>
      </c>
      <c r="BB5" s="146"/>
      <c r="BC5" s="144">
        <v>1053229</v>
      </c>
      <c r="BD5" s="146"/>
      <c r="BE5" s="144">
        <v>1053215</v>
      </c>
      <c r="BF5" s="146"/>
      <c r="BH5" s="141"/>
      <c r="BI5" s="141"/>
    </row>
    <row r="6" spans="1:61" s="4" customFormat="1" ht="30" customHeight="1" x14ac:dyDescent="0.25">
      <c r="A6" s="102" t="s">
        <v>42</v>
      </c>
      <c r="B6" s="110"/>
      <c r="C6" s="150"/>
      <c r="D6" s="151"/>
      <c r="E6" s="109"/>
      <c r="F6" s="109"/>
      <c r="G6" s="110"/>
      <c r="H6" s="110"/>
      <c r="I6" s="150"/>
      <c r="J6" s="151"/>
      <c r="K6" s="150"/>
      <c r="L6" s="151"/>
      <c r="M6" s="150"/>
      <c r="N6" s="151"/>
      <c r="O6" s="150"/>
      <c r="P6" s="155"/>
      <c r="Q6" s="150"/>
      <c r="R6" s="155"/>
      <c r="S6" s="150"/>
      <c r="T6" s="155"/>
      <c r="U6" s="150"/>
      <c r="V6" s="155"/>
      <c r="W6" s="150"/>
      <c r="X6" s="151"/>
      <c r="Y6" s="150"/>
      <c r="Z6" s="151"/>
      <c r="AA6" s="150"/>
      <c r="AB6" s="155"/>
      <c r="AC6" s="150"/>
      <c r="AD6" s="151"/>
      <c r="AE6" s="150"/>
      <c r="AF6" s="151"/>
      <c r="AG6" s="150"/>
      <c r="AH6" s="151"/>
      <c r="AI6" s="150"/>
      <c r="AJ6" s="151"/>
      <c r="AK6" s="150"/>
      <c r="AL6" s="151"/>
      <c r="AM6" s="150"/>
      <c r="AN6" s="151"/>
      <c r="AO6" s="150"/>
      <c r="AP6" s="151"/>
      <c r="AQ6" s="150"/>
      <c r="AR6" s="151"/>
      <c r="AS6" s="150"/>
      <c r="AT6" s="151"/>
      <c r="AU6" s="150"/>
      <c r="AV6" s="151"/>
      <c r="AW6" s="150"/>
      <c r="AX6" s="151"/>
      <c r="AY6" s="150"/>
      <c r="AZ6" s="151"/>
      <c r="BA6" s="150"/>
      <c r="BB6" s="151"/>
      <c r="BC6" s="150"/>
      <c r="BD6" s="151"/>
      <c r="BE6" s="150"/>
      <c r="BF6" s="151"/>
      <c r="BH6" s="30"/>
      <c r="BI6" s="30"/>
    </row>
    <row r="7" spans="1:61" s="6" customFormat="1" ht="50.1" customHeight="1" x14ac:dyDescent="0.25">
      <c r="A7" s="102" t="s">
        <v>45</v>
      </c>
      <c r="B7" s="102"/>
      <c r="C7" s="102" t="s">
        <v>61</v>
      </c>
      <c r="D7" s="102" t="s">
        <v>142</v>
      </c>
      <c r="E7" s="102" t="s">
        <v>142</v>
      </c>
      <c r="F7" s="102" t="s">
        <v>142</v>
      </c>
      <c r="G7" s="102" t="s">
        <v>61</v>
      </c>
      <c r="H7" s="102" t="s">
        <v>142</v>
      </c>
      <c r="I7" s="102" t="s">
        <v>61</v>
      </c>
      <c r="J7" s="102" t="s">
        <v>142</v>
      </c>
      <c r="K7" s="102" t="s">
        <v>61</v>
      </c>
      <c r="L7" s="102" t="s">
        <v>142</v>
      </c>
      <c r="M7" s="102" t="s">
        <v>61</v>
      </c>
      <c r="N7" s="102" t="s">
        <v>142</v>
      </c>
      <c r="O7" s="102" t="s">
        <v>61</v>
      </c>
      <c r="P7" s="102" t="s">
        <v>142</v>
      </c>
      <c r="Q7" s="102" t="s">
        <v>61</v>
      </c>
      <c r="R7" s="102" t="s">
        <v>142</v>
      </c>
      <c r="S7" s="102" t="s">
        <v>61</v>
      </c>
      <c r="T7" s="102" t="s">
        <v>142</v>
      </c>
      <c r="U7" s="102" t="s">
        <v>61</v>
      </c>
      <c r="V7" s="102" t="s">
        <v>142</v>
      </c>
      <c r="W7" s="102" t="s">
        <v>61</v>
      </c>
      <c r="X7" s="102" t="s">
        <v>142</v>
      </c>
      <c r="Y7" s="102" t="s">
        <v>61</v>
      </c>
      <c r="Z7" s="102" t="s">
        <v>142</v>
      </c>
      <c r="AA7" s="102" t="s">
        <v>61</v>
      </c>
      <c r="AB7" s="102" t="s">
        <v>142</v>
      </c>
      <c r="AC7" s="102" t="s">
        <v>61</v>
      </c>
      <c r="AD7" s="102" t="s">
        <v>142</v>
      </c>
      <c r="AE7" s="102" t="s">
        <v>61</v>
      </c>
      <c r="AF7" s="102" t="s">
        <v>142</v>
      </c>
      <c r="AG7" s="102" t="s">
        <v>61</v>
      </c>
      <c r="AH7" s="102" t="s">
        <v>142</v>
      </c>
      <c r="AI7" s="102" t="s">
        <v>61</v>
      </c>
      <c r="AJ7" s="102" t="s">
        <v>142</v>
      </c>
      <c r="AK7" s="102" t="s">
        <v>61</v>
      </c>
      <c r="AL7" s="102" t="s">
        <v>142</v>
      </c>
      <c r="AM7" s="102" t="s">
        <v>61</v>
      </c>
      <c r="AN7" s="102" t="s">
        <v>142</v>
      </c>
      <c r="AO7" s="102" t="s">
        <v>61</v>
      </c>
      <c r="AP7" s="102" t="s">
        <v>142</v>
      </c>
      <c r="AQ7" s="102" t="s">
        <v>61</v>
      </c>
      <c r="AR7" s="102" t="s">
        <v>142</v>
      </c>
      <c r="AS7" s="102" t="s">
        <v>61</v>
      </c>
      <c r="AT7" s="102" t="s">
        <v>142</v>
      </c>
      <c r="AU7" s="102" t="s">
        <v>61</v>
      </c>
      <c r="AV7" s="102" t="s">
        <v>142</v>
      </c>
      <c r="AW7" s="102" t="s">
        <v>61</v>
      </c>
      <c r="AX7" s="102" t="s">
        <v>142</v>
      </c>
      <c r="AY7" s="102" t="s">
        <v>61</v>
      </c>
      <c r="AZ7" s="102" t="s">
        <v>142</v>
      </c>
      <c r="BA7" s="102" t="s">
        <v>61</v>
      </c>
      <c r="BB7" s="102" t="s">
        <v>142</v>
      </c>
      <c r="BC7" s="102" t="s">
        <v>61</v>
      </c>
      <c r="BD7" s="102" t="s">
        <v>142</v>
      </c>
      <c r="BE7" s="102" t="s">
        <v>61</v>
      </c>
      <c r="BF7" s="102" t="s">
        <v>142</v>
      </c>
      <c r="BH7" s="102" t="s">
        <v>11</v>
      </c>
      <c r="BI7" s="102" t="s">
        <v>13</v>
      </c>
    </row>
    <row r="8" spans="1:61" s="99" customFormat="1" ht="39.950000000000003" customHeight="1" x14ac:dyDescent="0.25">
      <c r="A8" s="33">
        <v>44104</v>
      </c>
      <c r="B8" s="98"/>
      <c r="C8" s="34">
        <v>5502501</v>
      </c>
      <c r="D8" s="40" t="e">
        <f t="shared" ref="D8" si="0">(+C8-+C7)*48</f>
        <v>#VALUE!</v>
      </c>
      <c r="E8" s="32" t="e">
        <f t="shared" ref="E8" si="1">D8*0.6</f>
        <v>#VALUE!</v>
      </c>
      <c r="F8" s="40" t="e">
        <f t="shared" ref="F8" si="2">D8*0.4</f>
        <v>#VALUE!</v>
      </c>
      <c r="G8" s="34">
        <v>274910</v>
      </c>
      <c r="H8" s="40" t="e">
        <f t="shared" ref="H8" si="3">(+G8-+G7)*48</f>
        <v>#VALUE!</v>
      </c>
      <c r="I8" s="34">
        <v>85161</v>
      </c>
      <c r="J8" s="40" t="e">
        <f t="shared" ref="J8" si="4">(+I8-+I7)*48</f>
        <v>#VALUE!</v>
      </c>
      <c r="K8" s="34">
        <v>254425</v>
      </c>
      <c r="L8" s="40" t="e">
        <f t="shared" ref="L8" si="5">(+K8-+K7)*48</f>
        <v>#VALUE!</v>
      </c>
      <c r="M8" s="34">
        <v>24364</v>
      </c>
      <c r="N8" s="40" t="e">
        <f t="shared" ref="N8" si="6">(+M8-+M7)*48</f>
        <v>#VALUE!</v>
      </c>
      <c r="O8" s="34">
        <v>220565</v>
      </c>
      <c r="P8" s="40" t="e">
        <f t="shared" ref="P8" si="7">(+O8-+O7)*48</f>
        <v>#VALUE!</v>
      </c>
      <c r="Q8" s="34">
        <v>433126</v>
      </c>
      <c r="R8" s="40" t="e">
        <f t="shared" ref="R8" si="8">(+Q8-+Q7)*48</f>
        <v>#VALUE!</v>
      </c>
      <c r="S8" s="34">
        <v>694700</v>
      </c>
      <c r="T8" s="40" t="e">
        <f t="shared" ref="T8" si="9">(+S8-+S7)*48</f>
        <v>#VALUE!</v>
      </c>
      <c r="U8" s="34">
        <v>94741.069000000003</v>
      </c>
      <c r="V8" s="41" t="e">
        <f t="shared" ref="V8" si="10">(+U8-+U7)*48</f>
        <v>#VALUE!</v>
      </c>
      <c r="W8" s="34">
        <v>77548</v>
      </c>
      <c r="X8" s="40" t="e">
        <f t="shared" ref="X8" si="11">(+W8-+W7)*48</f>
        <v>#VALUE!</v>
      </c>
      <c r="Y8" s="34">
        <v>1475798</v>
      </c>
      <c r="Z8" s="40" t="e">
        <f t="shared" ref="Z8" si="12">(+Y8-+Y7)*48</f>
        <v>#VALUE!</v>
      </c>
      <c r="AA8" s="34">
        <v>13166</v>
      </c>
      <c r="AB8" s="40" t="e">
        <f t="shared" ref="AB8" si="13">(+AA8-+AA7)*48</f>
        <v>#VALUE!</v>
      </c>
      <c r="AC8" s="34">
        <v>431416</v>
      </c>
      <c r="AD8" s="40" t="e">
        <f t="shared" ref="AD8" si="14">(+AC8-+AC7)*48</f>
        <v>#VALUE!</v>
      </c>
      <c r="AE8" s="34">
        <v>508790</v>
      </c>
      <c r="AF8" s="40" t="e">
        <f t="shared" ref="AF8" si="15">(+AE8-+AE7)*48</f>
        <v>#VALUE!</v>
      </c>
      <c r="AG8" s="34">
        <v>48738</v>
      </c>
      <c r="AH8" s="40" t="e">
        <f t="shared" ref="AH8" si="16">(+AG8-+AG7)*48</f>
        <v>#VALUE!</v>
      </c>
      <c r="AI8" s="34">
        <v>390999</v>
      </c>
      <c r="AJ8" s="40" t="e">
        <f t="shared" ref="AJ8" si="17">(+AI8-+AI7)*48</f>
        <v>#VALUE!</v>
      </c>
      <c r="AK8" s="34">
        <v>102371</v>
      </c>
      <c r="AL8" s="40" t="e">
        <f t="shared" ref="AL8" si="18">(+AK8-+AK7)*48</f>
        <v>#VALUE!</v>
      </c>
      <c r="AM8" s="34">
        <v>555238</v>
      </c>
      <c r="AN8" s="40" t="e">
        <f t="shared" ref="AN8" si="19">(+AM8-+AM7)*48</f>
        <v>#VALUE!</v>
      </c>
      <c r="AO8" s="34">
        <v>891689</v>
      </c>
      <c r="AP8" s="40" t="e">
        <f t="shared" ref="AP8" si="20">(+AO8-+AO7)*48</f>
        <v>#VALUE!</v>
      </c>
      <c r="AQ8" s="34">
        <v>66513</v>
      </c>
      <c r="AR8" s="40" t="e">
        <f t="shared" ref="AR8" si="21">(+AQ8-+AQ7)*48</f>
        <v>#VALUE!</v>
      </c>
      <c r="AS8" s="34">
        <v>2204</v>
      </c>
      <c r="AT8" s="40" t="e">
        <f t="shared" ref="AT8" si="22">(+AS8-+AS7)*48</f>
        <v>#VALUE!</v>
      </c>
      <c r="AU8" s="34">
        <v>918</v>
      </c>
      <c r="AV8" s="40" t="e">
        <f t="shared" ref="AV8" si="23">(+AU8-+AU7)*48</f>
        <v>#VALUE!</v>
      </c>
      <c r="AW8" s="34">
        <v>3108</v>
      </c>
      <c r="AX8" s="40" t="e">
        <f t="shared" ref="AX8" si="24">(+AW8-+AW7)*48</f>
        <v>#VALUE!</v>
      </c>
      <c r="AY8" s="34">
        <v>298784</v>
      </c>
      <c r="AZ8" s="40" t="e">
        <f t="shared" ref="AZ8" si="25">(+AY8-+AY7)*48</f>
        <v>#VALUE!</v>
      </c>
      <c r="BA8" s="34">
        <v>160167</v>
      </c>
      <c r="BB8" s="40" t="e">
        <f t="shared" ref="BB8" si="26">(+BA8-+BA7)*48</f>
        <v>#VALUE!</v>
      </c>
      <c r="BC8" s="34">
        <v>204698</v>
      </c>
      <c r="BD8" s="40" t="e">
        <f t="shared" ref="BD8" si="27">(+BC8-+BC7)*48</f>
        <v>#VALUE!</v>
      </c>
      <c r="BE8" s="34">
        <v>5347</v>
      </c>
      <c r="BF8" s="40" t="e">
        <f t="shared" ref="BF8" si="28">(+BE8-+BE7)*48</f>
        <v>#VALUE!</v>
      </c>
      <c r="BH8" s="100" t="e">
        <f t="shared" ref="BH8" si="29">SUM(E8,J8,P8,H8,L8,R8,T8,V8,X8,N8,AB8,Z8,AD8,AF8,AH8,AL8,AJ8)</f>
        <v>#VALUE!</v>
      </c>
      <c r="BI8" s="100" t="e">
        <f t="shared" ref="BI8" si="30">SUM(F8,AN8,AP8,AT8,AV8,AX8,AR8,AZ8,BB8,BD8,BF8)</f>
        <v>#VALUE!</v>
      </c>
    </row>
    <row r="9" spans="1:61" s="26" customFormat="1" ht="39.950000000000003" customHeight="1" x14ac:dyDescent="0.25">
      <c r="A9" s="33">
        <v>44105</v>
      </c>
      <c r="B9" s="25"/>
      <c r="C9" s="97">
        <v>5504676</v>
      </c>
      <c r="D9" s="40">
        <f>(+C9-+C8)*48</f>
        <v>104400</v>
      </c>
      <c r="E9" s="32">
        <f>D9*0.6</f>
        <v>62640</v>
      </c>
      <c r="F9" s="40">
        <f>D9*0.4</f>
        <v>41760</v>
      </c>
      <c r="G9" s="97">
        <v>274943</v>
      </c>
      <c r="H9" s="40">
        <f>(+G9-+G8)*48</f>
        <v>1584</v>
      </c>
      <c r="I9" s="97">
        <v>85335</v>
      </c>
      <c r="J9" s="40">
        <f>(+I9-+I8)*48</f>
        <v>8352</v>
      </c>
      <c r="K9" s="97">
        <v>254428</v>
      </c>
      <c r="L9" s="40">
        <f t="shared" ref="L9:L37" si="31">(+K9-+K8)*48</f>
        <v>144</v>
      </c>
      <c r="M9" s="97">
        <v>24364</v>
      </c>
      <c r="N9" s="40">
        <f>(+M9-+M8)*48</f>
        <v>0</v>
      </c>
      <c r="O9" s="97">
        <v>220762</v>
      </c>
      <c r="P9" s="40">
        <f>(+O9-+O8)*48</f>
        <v>9456</v>
      </c>
      <c r="Q9" s="97">
        <v>433200</v>
      </c>
      <c r="R9" s="40">
        <f>(+Q9-+Q8)*48</f>
        <v>3552</v>
      </c>
      <c r="S9" s="97">
        <v>694835</v>
      </c>
      <c r="T9" s="40">
        <f>(+S9-+S8)*48</f>
        <v>6480</v>
      </c>
      <c r="U9" s="97">
        <v>94759.713000000003</v>
      </c>
      <c r="V9" s="41">
        <f>(+U9-+U8)*48</f>
        <v>894.91200000001118</v>
      </c>
      <c r="W9" s="97">
        <v>77563</v>
      </c>
      <c r="X9" s="40">
        <f>(+W9-+W8)*48</f>
        <v>720</v>
      </c>
      <c r="Y9" s="97">
        <v>1475964</v>
      </c>
      <c r="Z9" s="40">
        <f>(+Y9-+Y8)*48</f>
        <v>7968</v>
      </c>
      <c r="AA9" s="34">
        <v>13166</v>
      </c>
      <c r="AB9" s="40">
        <f>(+AA9-+AA8)*48</f>
        <v>0</v>
      </c>
      <c r="AC9" s="97">
        <v>431508</v>
      </c>
      <c r="AD9" s="40">
        <f>(+AC9-+AC8)*48</f>
        <v>4416</v>
      </c>
      <c r="AE9" s="97">
        <v>508891</v>
      </c>
      <c r="AF9" s="40">
        <f>(+AE9-+AE8)*48</f>
        <v>4848</v>
      </c>
      <c r="AG9" s="97">
        <v>48742</v>
      </c>
      <c r="AH9" s="40">
        <f>(+AG9-+AG8)*48</f>
        <v>192</v>
      </c>
      <c r="AI9" s="97">
        <v>391076</v>
      </c>
      <c r="AJ9" s="40">
        <f>(+AI9-+AI8)*48</f>
        <v>3696</v>
      </c>
      <c r="AK9" s="34">
        <v>102371</v>
      </c>
      <c r="AL9" s="40">
        <f>(+AK9-+AK8)*48</f>
        <v>0</v>
      </c>
      <c r="AM9" s="97">
        <v>555362</v>
      </c>
      <c r="AN9" s="40">
        <f>(+AM9-+AM8)*48</f>
        <v>5952</v>
      </c>
      <c r="AO9" s="97">
        <v>891897</v>
      </c>
      <c r="AP9" s="40">
        <f>(+AO9-+AO8)*48</f>
        <v>9984</v>
      </c>
      <c r="AQ9" s="97">
        <v>66575</v>
      </c>
      <c r="AR9" s="40">
        <f>(+AQ9-+AQ8)*48</f>
        <v>2976</v>
      </c>
      <c r="AS9" s="34">
        <v>2204</v>
      </c>
      <c r="AT9" s="40">
        <f>(+AS9-+AS8)*48</f>
        <v>0</v>
      </c>
      <c r="AU9" s="34">
        <v>918</v>
      </c>
      <c r="AV9" s="40">
        <f>(+AU9-+AU8)*48</f>
        <v>0</v>
      </c>
      <c r="AW9" s="34">
        <v>3108</v>
      </c>
      <c r="AX9" s="40">
        <f>(+AW9-+AW8)*48</f>
        <v>0</v>
      </c>
      <c r="AY9" s="97">
        <v>298861</v>
      </c>
      <c r="AZ9" s="40">
        <f>(+AY9-+AY8)*48</f>
        <v>3696</v>
      </c>
      <c r="BA9" s="34">
        <v>160167</v>
      </c>
      <c r="BB9" s="40">
        <f>(+BA9-+BA8)*48</f>
        <v>0</v>
      </c>
      <c r="BC9" s="97">
        <v>204750</v>
      </c>
      <c r="BD9" s="40">
        <f>(+BC9-+BC8)*48</f>
        <v>2496</v>
      </c>
      <c r="BE9" s="34">
        <v>5347</v>
      </c>
      <c r="BF9" s="40">
        <f>(+BE9-+BE8)*48</f>
        <v>0</v>
      </c>
      <c r="BH9" s="39">
        <f t="shared" ref="BH9:BH38" si="32">SUM(E9,J9,P9,H9,L9,R9,T9,V9,X9,N9,AB9,Z9,AD9,AF9,AH9,AL9,AJ9)</f>
        <v>114942.91200000001</v>
      </c>
      <c r="BI9" s="39">
        <f t="shared" ref="BI9:BI38" si="33">SUM(F9,AN9,AP9,AT9,AV9,AX9,AR9,AZ9,BB9,BD9,BF9)</f>
        <v>66864</v>
      </c>
    </row>
    <row r="10" spans="1:61" s="37" customFormat="1" ht="39.950000000000003" customHeight="1" x14ac:dyDescent="0.35">
      <c r="A10" s="33">
        <v>44106</v>
      </c>
      <c r="B10" s="36"/>
      <c r="C10" s="122">
        <v>5506663</v>
      </c>
      <c r="D10" s="40">
        <f t="shared" ref="D10" si="34">(+C10-+C9)*48</f>
        <v>95376</v>
      </c>
      <c r="E10" s="32">
        <f t="shared" ref="E10:E38" si="35">D10*0.6</f>
        <v>57225.599999999999</v>
      </c>
      <c r="F10" s="40">
        <f t="shared" ref="F10:F38" si="36">D10*0.4</f>
        <v>38150.400000000001</v>
      </c>
      <c r="G10" s="122">
        <v>274977</v>
      </c>
      <c r="H10" s="40">
        <f t="shared" ref="H10" si="37">(+G10-+G9)*48</f>
        <v>1632</v>
      </c>
      <c r="I10" s="122">
        <v>85499</v>
      </c>
      <c r="J10" s="40">
        <f t="shared" ref="J10" si="38">(+I10-+I9)*48</f>
        <v>7872</v>
      </c>
      <c r="K10" s="122">
        <v>254433</v>
      </c>
      <c r="L10" s="40">
        <f t="shared" si="31"/>
        <v>240</v>
      </c>
      <c r="M10" s="122">
        <v>24364</v>
      </c>
      <c r="N10" s="40">
        <f t="shared" ref="N10" si="39">(+M10-+M9)*48</f>
        <v>0</v>
      </c>
      <c r="O10" s="122">
        <v>220951</v>
      </c>
      <c r="P10" s="40">
        <f t="shared" ref="P10" si="40">(+O10-+O9)*48</f>
        <v>9072</v>
      </c>
      <c r="Q10" s="122">
        <v>433289</v>
      </c>
      <c r="R10" s="40">
        <f t="shared" ref="R10" si="41">(+Q10-+Q9)*48</f>
        <v>4272</v>
      </c>
      <c r="S10" s="122">
        <v>694972</v>
      </c>
      <c r="T10" s="40">
        <f t="shared" ref="T10" si="42">(+S10-+S9)*48</f>
        <v>6576</v>
      </c>
      <c r="U10" s="122">
        <v>94785.361000000004</v>
      </c>
      <c r="V10" s="41">
        <f t="shared" ref="V10" si="43">(+U10-+U9)*48</f>
        <v>1231.1040000000503</v>
      </c>
      <c r="W10" s="122">
        <v>77576</v>
      </c>
      <c r="X10" s="40">
        <f t="shared" ref="X10" si="44">(+W10-+W9)*48</f>
        <v>624</v>
      </c>
      <c r="Y10" s="122">
        <v>1476218</v>
      </c>
      <c r="Z10" s="40">
        <f t="shared" ref="Z10" si="45">(+Y10-+Y9)*48</f>
        <v>12192</v>
      </c>
      <c r="AA10" s="35">
        <v>13166</v>
      </c>
      <c r="AB10" s="40">
        <f t="shared" ref="AB10" si="46">(+AA10-+AA9)*48</f>
        <v>0</v>
      </c>
      <c r="AC10" s="122">
        <v>431598</v>
      </c>
      <c r="AD10" s="40">
        <f t="shared" ref="AD10:AF37" si="47">(+AC10-+AC9)*48</f>
        <v>4320</v>
      </c>
      <c r="AE10" s="122">
        <v>508991</v>
      </c>
      <c r="AF10" s="40">
        <f t="shared" si="47"/>
        <v>4800</v>
      </c>
      <c r="AG10" s="122">
        <v>48745</v>
      </c>
      <c r="AH10" s="40">
        <f t="shared" ref="AH10" si="48">(+AG10-+AG9)*48</f>
        <v>144</v>
      </c>
      <c r="AI10" s="122">
        <v>391158</v>
      </c>
      <c r="AJ10" s="40">
        <f t="shared" ref="AJ10" si="49">(+AI10-+AI9)*48</f>
        <v>3936</v>
      </c>
      <c r="AK10" s="35">
        <v>102371</v>
      </c>
      <c r="AL10" s="40">
        <f t="shared" ref="AL10" si="50">(+AK10-+AK9)*48</f>
        <v>0</v>
      </c>
      <c r="AM10" s="122">
        <v>555477</v>
      </c>
      <c r="AN10" s="40">
        <f t="shared" ref="AN10" si="51">(+AM10-+AM9)*48</f>
        <v>5520</v>
      </c>
      <c r="AO10" s="122">
        <v>892096</v>
      </c>
      <c r="AP10" s="40">
        <f t="shared" ref="AP10" si="52">(+AO10-+AO9)*48</f>
        <v>9552</v>
      </c>
      <c r="AQ10" s="122">
        <v>66730</v>
      </c>
      <c r="AR10" s="40">
        <f t="shared" ref="AR10" si="53">(+AQ10-+AQ9)*48</f>
        <v>7440</v>
      </c>
      <c r="AS10" s="35">
        <v>2204</v>
      </c>
      <c r="AT10" s="40">
        <f t="shared" ref="AT10" si="54">(+AS10-+AS9)*48</f>
        <v>0</v>
      </c>
      <c r="AU10" s="35">
        <v>918</v>
      </c>
      <c r="AV10" s="40">
        <f t="shared" ref="AV10" si="55">(+AU10-+AU9)*48</f>
        <v>0</v>
      </c>
      <c r="AW10" s="35">
        <v>3108</v>
      </c>
      <c r="AX10" s="40">
        <f t="shared" ref="AX10" si="56">(+AW10-+AW9)*48</f>
        <v>0</v>
      </c>
      <c r="AY10" s="122">
        <v>298925</v>
      </c>
      <c r="AZ10" s="40">
        <f t="shared" ref="AZ10" si="57">(+AY10-+AY9)*48</f>
        <v>3072</v>
      </c>
      <c r="BA10" s="35">
        <v>160167</v>
      </c>
      <c r="BB10" s="40">
        <f t="shared" ref="BB10" si="58">(+BA10-+BA9)*48</f>
        <v>0</v>
      </c>
      <c r="BC10" s="122">
        <v>204797</v>
      </c>
      <c r="BD10" s="40">
        <f t="shared" ref="BD10" si="59">(+BC10-+BC9)*48</f>
        <v>2256</v>
      </c>
      <c r="BE10" s="35">
        <v>5347</v>
      </c>
      <c r="BF10" s="40">
        <f t="shared" ref="BF10" si="60">(+BE10-+BE9)*48</f>
        <v>0</v>
      </c>
      <c r="BH10" s="39">
        <f t="shared" si="32"/>
        <v>114136.70400000006</v>
      </c>
      <c r="BI10" s="39">
        <f t="shared" si="33"/>
        <v>65990.399999999994</v>
      </c>
    </row>
    <row r="11" spans="1:61" s="37" customFormat="1" ht="39.950000000000003" customHeight="1" x14ac:dyDescent="0.35">
      <c r="A11" s="33">
        <v>44107</v>
      </c>
      <c r="B11" s="36"/>
      <c r="C11" s="122">
        <v>5508851</v>
      </c>
      <c r="D11" s="40">
        <f t="shared" ref="D11" si="61">(+C11-+C10)*48</f>
        <v>105024</v>
      </c>
      <c r="E11" s="32">
        <f t="shared" si="35"/>
        <v>63014.399999999994</v>
      </c>
      <c r="F11" s="40">
        <f t="shared" si="36"/>
        <v>42009.600000000006</v>
      </c>
      <c r="G11" s="122">
        <v>275007</v>
      </c>
      <c r="H11" s="40">
        <f t="shared" ref="H11" si="62">(+G11-+G10)*48</f>
        <v>1440</v>
      </c>
      <c r="I11" s="122">
        <v>85681</v>
      </c>
      <c r="J11" s="40">
        <f t="shared" ref="J11" si="63">(+I11-+I10)*48</f>
        <v>8736</v>
      </c>
      <c r="K11" s="122">
        <v>254436</v>
      </c>
      <c r="L11" s="40">
        <f t="shared" si="31"/>
        <v>144</v>
      </c>
      <c r="M11" s="122">
        <v>24364</v>
      </c>
      <c r="N11" s="40">
        <f t="shared" ref="N11" si="64">(+M11-+M10)*48</f>
        <v>0</v>
      </c>
      <c r="O11" s="122">
        <v>221155</v>
      </c>
      <c r="P11" s="40">
        <f t="shared" ref="P11" si="65">(+O11-+O10)*48</f>
        <v>9792</v>
      </c>
      <c r="Q11" s="122">
        <v>433386</v>
      </c>
      <c r="R11" s="40">
        <f t="shared" ref="R11" si="66">(+Q11-+Q10)*48</f>
        <v>4656</v>
      </c>
      <c r="S11" s="122">
        <v>695107</v>
      </c>
      <c r="T11" s="40">
        <f t="shared" ref="T11" si="67">(+S11-+S10)*48</f>
        <v>6480</v>
      </c>
      <c r="U11" s="122">
        <v>94812.3</v>
      </c>
      <c r="V11" s="41">
        <f t="shared" ref="V11" si="68">(+U11-+U10)*48</f>
        <v>1293.0719999999274</v>
      </c>
      <c r="W11" s="122">
        <v>77602</v>
      </c>
      <c r="X11" s="40">
        <f t="shared" ref="X11" si="69">(+W11-+W10)*48</f>
        <v>1248</v>
      </c>
      <c r="Y11" s="122">
        <v>1476433</v>
      </c>
      <c r="Z11" s="40">
        <f t="shared" ref="Z11" si="70">(+Y11-+Y10)*48</f>
        <v>10320</v>
      </c>
      <c r="AA11" s="35">
        <v>13166</v>
      </c>
      <c r="AB11" s="40">
        <f t="shared" ref="AB11" si="71">(+AA11-+AA10)*48</f>
        <v>0</v>
      </c>
      <c r="AC11" s="122">
        <v>431690</v>
      </c>
      <c r="AD11" s="40">
        <f t="shared" si="47"/>
        <v>4416</v>
      </c>
      <c r="AE11" s="122">
        <v>509093</v>
      </c>
      <c r="AF11" s="40">
        <f t="shared" si="47"/>
        <v>4896</v>
      </c>
      <c r="AG11" s="122">
        <v>48749</v>
      </c>
      <c r="AH11" s="40">
        <f t="shared" ref="AH11" si="72">(+AG11-+AG10)*48</f>
        <v>192</v>
      </c>
      <c r="AI11" s="122">
        <v>391267</v>
      </c>
      <c r="AJ11" s="40">
        <f t="shared" ref="AJ11" si="73">(+AI11-+AI10)*48</f>
        <v>5232</v>
      </c>
      <c r="AK11" s="35">
        <v>102371</v>
      </c>
      <c r="AL11" s="40">
        <f t="shared" ref="AL11" si="74">(+AK11-+AK10)*48</f>
        <v>0</v>
      </c>
      <c r="AM11" s="122">
        <v>555593</v>
      </c>
      <c r="AN11" s="40">
        <f t="shared" ref="AN11" si="75">(+AM11-+AM10)*48</f>
        <v>5568</v>
      </c>
      <c r="AO11" s="122">
        <v>892299</v>
      </c>
      <c r="AP11" s="40">
        <f t="shared" ref="AP11" si="76">(+AO11-+AO10)*48</f>
        <v>9744</v>
      </c>
      <c r="AQ11" s="122">
        <v>66809</v>
      </c>
      <c r="AR11" s="40">
        <f t="shared" ref="AR11" si="77">(+AQ11-+AQ10)*48</f>
        <v>3792</v>
      </c>
      <c r="AS11" s="35">
        <v>2204</v>
      </c>
      <c r="AT11" s="40">
        <f t="shared" ref="AT11" si="78">(+AS11-+AS10)*48</f>
        <v>0</v>
      </c>
      <c r="AU11" s="35">
        <v>918</v>
      </c>
      <c r="AV11" s="40">
        <f t="shared" ref="AV11" si="79">(+AU11-+AU10)*48</f>
        <v>0</v>
      </c>
      <c r="AW11" s="35">
        <v>3108</v>
      </c>
      <c r="AX11" s="40">
        <f t="shared" ref="AX11" si="80">(+AW11-+AW10)*48</f>
        <v>0</v>
      </c>
      <c r="AY11" s="122">
        <v>298992</v>
      </c>
      <c r="AZ11" s="40">
        <f t="shared" ref="AZ11" si="81">(+AY11-+AY10)*48</f>
        <v>3216</v>
      </c>
      <c r="BA11" s="35">
        <v>160167</v>
      </c>
      <c r="BB11" s="40">
        <f t="shared" ref="BB11" si="82">(+BA11-+BA10)*48</f>
        <v>0</v>
      </c>
      <c r="BC11" s="122">
        <v>204845</v>
      </c>
      <c r="BD11" s="40">
        <f t="shared" ref="BD11" si="83">(+BC11-+BC10)*48</f>
        <v>2304</v>
      </c>
      <c r="BE11" s="35">
        <v>5347</v>
      </c>
      <c r="BF11" s="40">
        <f t="shared" ref="BF11" si="84">(+BE11-+BE10)*48</f>
        <v>0</v>
      </c>
      <c r="BH11" s="39">
        <f t="shared" si="32"/>
        <v>121859.47199999992</v>
      </c>
      <c r="BI11" s="39">
        <f t="shared" si="33"/>
        <v>66633.600000000006</v>
      </c>
    </row>
    <row r="12" spans="1:61" s="37" customFormat="1" ht="39.950000000000003" customHeight="1" x14ac:dyDescent="0.35">
      <c r="A12" s="33">
        <v>44108</v>
      </c>
      <c r="B12" s="36"/>
      <c r="C12" s="122">
        <v>5511177</v>
      </c>
      <c r="D12" s="40">
        <f t="shared" ref="D12" si="85">(+C12-+C11)*48</f>
        <v>111648</v>
      </c>
      <c r="E12" s="32">
        <f t="shared" si="35"/>
        <v>66988.800000000003</v>
      </c>
      <c r="F12" s="40">
        <f t="shared" si="36"/>
        <v>44659.200000000004</v>
      </c>
      <c r="G12" s="122">
        <v>275043</v>
      </c>
      <c r="H12" s="40">
        <f t="shared" ref="H12" si="86">(+G12-+G11)*48</f>
        <v>1728</v>
      </c>
      <c r="I12" s="122">
        <v>85854</v>
      </c>
      <c r="J12" s="40">
        <f t="shared" ref="J12" si="87">(+I12-+I11)*48</f>
        <v>8304</v>
      </c>
      <c r="K12" s="122">
        <v>254442</v>
      </c>
      <c r="L12" s="40">
        <f t="shared" si="31"/>
        <v>288</v>
      </c>
      <c r="M12" s="122">
        <v>24364</v>
      </c>
      <c r="N12" s="40">
        <f t="shared" ref="N12" si="88">(+M12-+M11)*48</f>
        <v>0</v>
      </c>
      <c r="O12" s="122">
        <v>221360</v>
      </c>
      <c r="P12" s="40">
        <f t="shared" ref="P12" si="89">(+O12-+O11)*48</f>
        <v>9840</v>
      </c>
      <c r="Q12" s="122">
        <v>433485</v>
      </c>
      <c r="R12" s="40">
        <f t="shared" ref="R12" si="90">(+Q12-+Q11)*48</f>
        <v>4752</v>
      </c>
      <c r="S12" s="122">
        <v>695244</v>
      </c>
      <c r="T12" s="40">
        <f t="shared" ref="T12" si="91">(+S12-+S11)*48</f>
        <v>6576</v>
      </c>
      <c r="U12" s="122">
        <v>94838.2</v>
      </c>
      <c r="V12" s="41">
        <f t="shared" ref="V12" si="92">(+U12-+U11)*48</f>
        <v>1243.1999999997206</v>
      </c>
      <c r="W12" s="122">
        <v>77629</v>
      </c>
      <c r="X12" s="40">
        <f t="shared" ref="X12" si="93">(+W12-+W11)*48</f>
        <v>1296</v>
      </c>
      <c r="Y12" s="122">
        <v>1476611</v>
      </c>
      <c r="Z12" s="40">
        <f t="shared" ref="Z12" si="94">(+Y12-+Y11)*48</f>
        <v>8544</v>
      </c>
      <c r="AA12" s="35">
        <v>13166</v>
      </c>
      <c r="AB12" s="40">
        <f t="shared" ref="AB12" si="95">(+AA12-+AA11)*48</f>
        <v>0</v>
      </c>
      <c r="AC12" s="122">
        <v>431778</v>
      </c>
      <c r="AD12" s="40">
        <f t="shared" si="47"/>
        <v>4224</v>
      </c>
      <c r="AE12" s="122">
        <v>509192</v>
      </c>
      <c r="AF12" s="40">
        <f t="shared" si="47"/>
        <v>4752</v>
      </c>
      <c r="AG12" s="122">
        <v>48778</v>
      </c>
      <c r="AH12" s="40">
        <f t="shared" ref="AH12" si="96">(+AG12-+AG11)*48</f>
        <v>1392</v>
      </c>
      <c r="AI12" s="122">
        <v>391365</v>
      </c>
      <c r="AJ12" s="40">
        <f t="shared" ref="AJ12" si="97">(+AI12-+AI11)*48</f>
        <v>4704</v>
      </c>
      <c r="AK12" s="35">
        <v>102371</v>
      </c>
      <c r="AL12" s="40">
        <f t="shared" ref="AL12" si="98">(+AK12-+AK11)*48</f>
        <v>0</v>
      </c>
      <c r="AM12" s="122">
        <v>555706</v>
      </c>
      <c r="AN12" s="40">
        <f t="shared" ref="AN12" si="99">(+AM12-+AM11)*48</f>
        <v>5424</v>
      </c>
      <c r="AO12" s="122">
        <v>892496</v>
      </c>
      <c r="AP12" s="40">
        <f t="shared" ref="AP12" si="100">(+AO12-+AO11)*48</f>
        <v>9456</v>
      </c>
      <c r="AQ12" s="122">
        <v>66869</v>
      </c>
      <c r="AR12" s="40">
        <f t="shared" ref="AR12" si="101">(+AQ12-+AQ11)*48</f>
        <v>2880</v>
      </c>
      <c r="AS12" s="35">
        <v>2204</v>
      </c>
      <c r="AT12" s="40">
        <f t="shared" ref="AT12" si="102">(+AS12-+AS11)*48</f>
        <v>0</v>
      </c>
      <c r="AU12" s="35">
        <v>918</v>
      </c>
      <c r="AV12" s="40">
        <f t="shared" ref="AV12" si="103">(+AU12-+AU11)*48</f>
        <v>0</v>
      </c>
      <c r="AW12" s="35">
        <v>3108</v>
      </c>
      <c r="AX12" s="40">
        <f t="shared" ref="AX12" si="104">(+AW12-+AW11)*48</f>
        <v>0</v>
      </c>
      <c r="AY12" s="122">
        <v>299064</v>
      </c>
      <c r="AZ12" s="40">
        <f t="shared" ref="AZ12" si="105">(+AY12-+AY11)*48</f>
        <v>3456</v>
      </c>
      <c r="BA12" s="35">
        <v>160167</v>
      </c>
      <c r="BB12" s="40">
        <f t="shared" ref="BB12" si="106">(+BA12-+BA11)*48</f>
        <v>0</v>
      </c>
      <c r="BC12" s="122">
        <v>204894</v>
      </c>
      <c r="BD12" s="40">
        <f t="shared" ref="BD12" si="107">(+BC12-+BC11)*48</f>
        <v>2352</v>
      </c>
      <c r="BE12" s="35">
        <v>5347</v>
      </c>
      <c r="BF12" s="40">
        <f t="shared" ref="BF12" si="108">(+BE12-+BE11)*48</f>
        <v>0</v>
      </c>
      <c r="BH12" s="39">
        <f t="shared" si="32"/>
        <v>124631.99999999972</v>
      </c>
      <c r="BI12" s="39">
        <f t="shared" si="33"/>
        <v>68227.200000000012</v>
      </c>
    </row>
    <row r="13" spans="1:61" s="37" customFormat="1" ht="39.950000000000003" customHeight="1" x14ac:dyDescent="0.35">
      <c r="A13" s="33">
        <v>44109</v>
      </c>
      <c r="B13" s="36"/>
      <c r="C13" s="97">
        <v>5513533</v>
      </c>
      <c r="D13" s="40">
        <f t="shared" ref="D13" si="109">(+C13-+C12)*48</f>
        <v>113088</v>
      </c>
      <c r="E13" s="32">
        <f t="shared" si="35"/>
        <v>67852.800000000003</v>
      </c>
      <c r="F13" s="40">
        <f t="shared" si="36"/>
        <v>45235.200000000004</v>
      </c>
      <c r="G13" s="97">
        <v>275072</v>
      </c>
      <c r="H13" s="40">
        <f t="shared" ref="H13" si="110">(+G13-+G12)*48</f>
        <v>1392</v>
      </c>
      <c r="I13" s="97">
        <v>86034</v>
      </c>
      <c r="J13" s="40">
        <f t="shared" ref="J13" si="111">(+I13-+I12)*48</f>
        <v>8640</v>
      </c>
      <c r="K13" s="97">
        <v>254446</v>
      </c>
      <c r="L13" s="40">
        <f t="shared" si="31"/>
        <v>192</v>
      </c>
      <c r="M13" s="97">
        <v>24364</v>
      </c>
      <c r="N13" s="40">
        <f t="shared" ref="N13" si="112">(+M13-+M12)*48</f>
        <v>0</v>
      </c>
      <c r="O13" s="97">
        <v>221560</v>
      </c>
      <c r="P13" s="40">
        <f t="shared" ref="P13" si="113">(+O13-+O12)*48</f>
        <v>9600</v>
      </c>
      <c r="Q13" s="97">
        <v>433584</v>
      </c>
      <c r="R13" s="40">
        <f t="shared" ref="R13" si="114">(+Q13-+Q12)*48</f>
        <v>4752</v>
      </c>
      <c r="S13" s="97">
        <v>695369</v>
      </c>
      <c r="T13" s="40">
        <f t="shared" ref="T13" si="115">(+S13-+S12)*48</f>
        <v>6000</v>
      </c>
      <c r="U13" s="97">
        <v>94863.100999999995</v>
      </c>
      <c r="V13" s="41">
        <f t="shared" ref="V13" si="116">(+U13-+U12)*48</f>
        <v>1195.247999999905</v>
      </c>
      <c r="W13" s="97">
        <v>77641</v>
      </c>
      <c r="X13" s="40">
        <f t="shared" ref="X13" si="117">(+W13-+W12)*48</f>
        <v>576</v>
      </c>
      <c r="Y13" s="97">
        <v>1476747</v>
      </c>
      <c r="Z13" s="40">
        <f t="shared" ref="Z13" si="118">(+Y13-+Y12)*48</f>
        <v>6528</v>
      </c>
      <c r="AA13" s="34">
        <v>13166</v>
      </c>
      <c r="AB13" s="40">
        <f t="shared" ref="AB13" si="119">(+AA13-+AA12)*48</f>
        <v>0</v>
      </c>
      <c r="AC13" s="97">
        <v>431866</v>
      </c>
      <c r="AD13" s="40">
        <f t="shared" si="47"/>
        <v>4224</v>
      </c>
      <c r="AE13" s="97">
        <v>509292</v>
      </c>
      <c r="AF13" s="40">
        <f t="shared" si="47"/>
        <v>4800</v>
      </c>
      <c r="AG13" s="97">
        <v>48760</v>
      </c>
      <c r="AH13" s="40">
        <f t="shared" ref="AH13" si="120">(+AG13-+AG12)*48</f>
        <v>-864</v>
      </c>
      <c r="AI13" s="97">
        <v>391464</v>
      </c>
      <c r="AJ13" s="40">
        <f t="shared" ref="AJ13" si="121">(+AI13-+AI12)*48</f>
        <v>4752</v>
      </c>
      <c r="AK13" s="34">
        <v>102371</v>
      </c>
      <c r="AL13" s="40">
        <f t="shared" ref="AL13" si="122">(+AK13-+AK12)*48</f>
        <v>0</v>
      </c>
      <c r="AM13" s="97">
        <v>555817</v>
      </c>
      <c r="AN13" s="40">
        <f t="shared" ref="AN13" si="123">(+AM13-+AM12)*48</f>
        <v>5328</v>
      </c>
      <c r="AO13" s="97">
        <v>892670</v>
      </c>
      <c r="AP13" s="40">
        <f t="shared" ref="AP13" si="124">(+AO13-+AO12)*48</f>
        <v>8352</v>
      </c>
      <c r="AQ13" s="97">
        <v>66922</v>
      </c>
      <c r="AR13" s="40">
        <f t="shared" ref="AR13" si="125">(+AQ13-+AQ12)*48</f>
        <v>2544</v>
      </c>
      <c r="AS13" s="34">
        <v>2204</v>
      </c>
      <c r="AT13" s="40">
        <f t="shared" ref="AT13" si="126">(+AS13-+AS12)*48</f>
        <v>0</v>
      </c>
      <c r="AU13" s="34">
        <v>918</v>
      </c>
      <c r="AV13" s="40">
        <f t="shared" ref="AV13" si="127">(+AU13-+AU12)*48</f>
        <v>0</v>
      </c>
      <c r="AW13" s="34">
        <v>3108</v>
      </c>
      <c r="AX13" s="40">
        <f t="shared" ref="AX13" si="128">(+AW13-+AW12)*48</f>
        <v>0</v>
      </c>
      <c r="AY13" s="97">
        <v>299129</v>
      </c>
      <c r="AZ13" s="40">
        <f t="shared" ref="AZ13" si="129">(+AY13-+AY12)*48</f>
        <v>3120</v>
      </c>
      <c r="BA13" s="34">
        <v>160167</v>
      </c>
      <c r="BB13" s="40">
        <f t="shared" ref="BB13" si="130">(+BA13-+BA12)*48</f>
        <v>0</v>
      </c>
      <c r="BC13" s="97">
        <v>204941</v>
      </c>
      <c r="BD13" s="40">
        <f t="shared" ref="BD13" si="131">(+BC13-+BC12)*48</f>
        <v>2256</v>
      </c>
      <c r="BE13" s="34">
        <v>5347</v>
      </c>
      <c r="BF13" s="40">
        <f t="shared" ref="BF13" si="132">(+BE13-+BE12)*48</f>
        <v>0</v>
      </c>
      <c r="BH13" s="39">
        <f t="shared" si="32"/>
        <v>119640.04799999991</v>
      </c>
      <c r="BI13" s="39">
        <f t="shared" si="33"/>
        <v>66835.200000000012</v>
      </c>
    </row>
    <row r="14" spans="1:61" s="37" customFormat="1" ht="39.950000000000003" customHeight="1" x14ac:dyDescent="0.35">
      <c r="A14" s="33">
        <v>44110</v>
      </c>
      <c r="B14" s="36"/>
      <c r="C14" s="97">
        <v>5515572</v>
      </c>
      <c r="D14" s="40">
        <f t="shared" ref="D14" si="133">(+C14-+C13)*48</f>
        <v>97872</v>
      </c>
      <c r="E14" s="32">
        <f t="shared" si="35"/>
        <v>58723.199999999997</v>
      </c>
      <c r="F14" s="40">
        <f t="shared" si="36"/>
        <v>39148.800000000003</v>
      </c>
      <c r="G14" s="97">
        <v>275101</v>
      </c>
      <c r="H14" s="40">
        <f t="shared" ref="H14" si="134">(+G14-+G13)*48</f>
        <v>1392</v>
      </c>
      <c r="I14" s="97">
        <v>86223</v>
      </c>
      <c r="J14" s="40">
        <f t="shared" ref="J14" si="135">(+I14-+I13)*48</f>
        <v>9072</v>
      </c>
      <c r="K14" s="97">
        <v>254464</v>
      </c>
      <c r="L14" s="40">
        <f t="shared" si="31"/>
        <v>864</v>
      </c>
      <c r="M14" s="97">
        <v>24364</v>
      </c>
      <c r="N14" s="40">
        <f t="shared" ref="N14" si="136">(+M14-+M13)*48</f>
        <v>0</v>
      </c>
      <c r="O14" s="97">
        <v>221764</v>
      </c>
      <c r="P14" s="40">
        <f t="shared" ref="P14" si="137">(+O14-+O13)*48</f>
        <v>9792</v>
      </c>
      <c r="Q14" s="97">
        <v>433668</v>
      </c>
      <c r="R14" s="40">
        <f t="shared" ref="R14" si="138">(+Q14-+Q13)*48</f>
        <v>4032</v>
      </c>
      <c r="S14" s="97">
        <v>695484</v>
      </c>
      <c r="T14" s="40">
        <f t="shared" ref="T14" si="139">(+S14-+S13)*48</f>
        <v>5520</v>
      </c>
      <c r="U14" s="97">
        <v>94879.475000000006</v>
      </c>
      <c r="V14" s="41">
        <f>(+U14-+U13)*48</f>
        <v>785.95200000051409</v>
      </c>
      <c r="W14" s="97">
        <v>77654</v>
      </c>
      <c r="X14" s="40">
        <f t="shared" ref="X14" si="140">(+W14-+W13)*48</f>
        <v>624</v>
      </c>
      <c r="Y14" s="97">
        <v>1476883</v>
      </c>
      <c r="Z14" s="40">
        <f t="shared" ref="Z14" si="141">(+Y14-+Y13)*48</f>
        <v>6528</v>
      </c>
      <c r="AA14" s="34">
        <v>13166</v>
      </c>
      <c r="AB14" s="40">
        <f t="shared" ref="AB14" si="142">(+AA14-+AA13)*48</f>
        <v>0</v>
      </c>
      <c r="AC14" s="97">
        <v>431959</v>
      </c>
      <c r="AD14" s="40">
        <f t="shared" si="47"/>
        <v>4464</v>
      </c>
      <c r="AE14" s="97">
        <v>509394</v>
      </c>
      <c r="AF14" s="40">
        <f t="shared" si="47"/>
        <v>4896</v>
      </c>
      <c r="AG14" s="97">
        <v>48763</v>
      </c>
      <c r="AH14" s="40">
        <f t="shared" ref="AH14" si="143">(+AG14-+AG13)*48</f>
        <v>144</v>
      </c>
      <c r="AI14" s="97">
        <v>391553</v>
      </c>
      <c r="AJ14" s="40">
        <f t="shared" ref="AJ14" si="144">(+AI14-+AI13)*48</f>
        <v>4272</v>
      </c>
      <c r="AK14" s="34">
        <v>102371</v>
      </c>
      <c r="AL14" s="40">
        <f t="shared" ref="AL14" si="145">(+AK14-+AK13)*48</f>
        <v>0</v>
      </c>
      <c r="AM14" s="97">
        <v>555935</v>
      </c>
      <c r="AN14" s="40">
        <f t="shared" ref="AN14" si="146">(+AM14-+AM13)*48</f>
        <v>5664</v>
      </c>
      <c r="AO14" s="97">
        <v>892850</v>
      </c>
      <c r="AP14" s="40">
        <f t="shared" ref="AP14" si="147">(+AO14-+AO13)*48</f>
        <v>8640</v>
      </c>
      <c r="AQ14" s="97">
        <v>66979</v>
      </c>
      <c r="AR14" s="40">
        <f t="shared" ref="AR14" si="148">(+AQ14-+AQ13)*48</f>
        <v>2736</v>
      </c>
      <c r="AS14" s="34">
        <v>2204</v>
      </c>
      <c r="AT14" s="40">
        <f t="shared" ref="AT14" si="149">(+AS14-+AS13)*48</f>
        <v>0</v>
      </c>
      <c r="AU14" s="34">
        <v>918</v>
      </c>
      <c r="AV14" s="40">
        <f t="shared" ref="AV14" si="150">(+AU14-+AU13)*48</f>
        <v>0</v>
      </c>
      <c r="AW14" s="34">
        <v>3108</v>
      </c>
      <c r="AX14" s="40">
        <f t="shared" ref="AX14" si="151">(+AW14-+AW13)*48</f>
        <v>0</v>
      </c>
      <c r="AY14" s="97">
        <v>299201</v>
      </c>
      <c r="AZ14" s="40">
        <f t="shared" ref="AZ14" si="152">(+AY14-+AY13)*48</f>
        <v>3456</v>
      </c>
      <c r="BA14" s="34">
        <v>160167</v>
      </c>
      <c r="BB14" s="40">
        <f t="shared" ref="BB14" si="153">(+BA14-+BA13)*48</f>
        <v>0</v>
      </c>
      <c r="BC14" s="97">
        <v>204991</v>
      </c>
      <c r="BD14" s="40">
        <f t="shared" ref="BD14" si="154">(+BC14-+BC13)*48</f>
        <v>2400</v>
      </c>
      <c r="BE14" s="34">
        <v>5347</v>
      </c>
      <c r="BF14" s="40">
        <f t="shared" ref="BF14" si="155">(+BE14-+BE13)*48</f>
        <v>0</v>
      </c>
      <c r="BH14" s="39">
        <f t="shared" si="32"/>
        <v>111109.15200000051</v>
      </c>
      <c r="BI14" s="39">
        <f t="shared" si="33"/>
        <v>62044.800000000003</v>
      </c>
    </row>
    <row r="15" spans="1:61" s="37" customFormat="1" ht="39.950000000000003" customHeight="1" x14ac:dyDescent="0.35">
      <c r="A15" s="33">
        <v>44111</v>
      </c>
      <c r="B15" s="36"/>
      <c r="C15" s="97">
        <v>5517560</v>
      </c>
      <c r="D15" s="40">
        <f t="shared" ref="D15" si="156">(+C15-+C14)*48</f>
        <v>95424</v>
      </c>
      <c r="E15" s="32">
        <f t="shared" si="35"/>
        <v>57254.400000000001</v>
      </c>
      <c r="F15" s="40">
        <f t="shared" si="36"/>
        <v>38169.599999999999</v>
      </c>
      <c r="G15" s="97">
        <v>275130</v>
      </c>
      <c r="H15" s="40">
        <f t="shared" ref="H15" si="157">(+G15-+G14)*48</f>
        <v>1392</v>
      </c>
      <c r="I15" s="97">
        <v>86405</v>
      </c>
      <c r="J15" s="40">
        <f t="shared" ref="J15" si="158">(+I15-+I14)*48</f>
        <v>8736</v>
      </c>
      <c r="K15" s="97">
        <v>254467</v>
      </c>
      <c r="L15" s="40">
        <f t="shared" si="31"/>
        <v>144</v>
      </c>
      <c r="M15" s="97">
        <v>24364</v>
      </c>
      <c r="N15" s="40">
        <f t="shared" ref="N15" si="159">(+M15-+M14)*48</f>
        <v>0</v>
      </c>
      <c r="O15" s="97">
        <v>221951</v>
      </c>
      <c r="P15" s="40">
        <f t="shared" ref="P15" si="160">(+O15-+O14)*48</f>
        <v>8976</v>
      </c>
      <c r="Q15" s="97">
        <v>433707</v>
      </c>
      <c r="R15" s="40">
        <f t="shared" ref="R15" si="161">(+Q15-+Q14)*48</f>
        <v>1872</v>
      </c>
      <c r="S15" s="97">
        <v>695619</v>
      </c>
      <c r="T15" s="40">
        <f t="shared" ref="T15" si="162">(+S15-+S14)*48</f>
        <v>6480</v>
      </c>
      <c r="U15" s="97">
        <v>94898.269</v>
      </c>
      <c r="V15" s="41">
        <f t="shared" ref="V15" si="163">(+U15-+U14)*48</f>
        <v>902.11199999973178</v>
      </c>
      <c r="W15" s="97">
        <v>77670</v>
      </c>
      <c r="X15" s="40">
        <f t="shared" ref="X15" si="164">(+W15-+W14)*48</f>
        <v>768</v>
      </c>
      <c r="Y15" s="97">
        <v>1477115</v>
      </c>
      <c r="Z15" s="40">
        <f t="shared" ref="Z15" si="165">(+Y15-+Y14)*48</f>
        <v>11136</v>
      </c>
      <c r="AA15" s="34">
        <v>13166</v>
      </c>
      <c r="AB15" s="40">
        <f t="shared" ref="AB15" si="166">(+AA15-+AA14)*48</f>
        <v>0</v>
      </c>
      <c r="AC15" s="97">
        <v>432056</v>
      </c>
      <c r="AD15" s="40">
        <f t="shared" si="47"/>
        <v>4656</v>
      </c>
      <c r="AE15" s="97">
        <v>509500</v>
      </c>
      <c r="AF15" s="40">
        <f t="shared" si="47"/>
        <v>5088</v>
      </c>
      <c r="AG15" s="97">
        <v>48766</v>
      </c>
      <c r="AH15" s="40">
        <f t="shared" ref="AH15" si="167">(+AG15-+AG14)*48</f>
        <v>144</v>
      </c>
      <c r="AI15" s="97">
        <v>391633</v>
      </c>
      <c r="AJ15" s="40">
        <f t="shared" ref="AJ15" si="168">(+AI15-+AI14)*48</f>
        <v>3840</v>
      </c>
      <c r="AK15" s="34">
        <v>102371</v>
      </c>
      <c r="AL15" s="40">
        <f t="shared" ref="AL15" si="169">(+AK15-+AK14)*48</f>
        <v>0</v>
      </c>
      <c r="AM15" s="97">
        <v>556054</v>
      </c>
      <c r="AN15" s="40">
        <f t="shared" ref="AN15" si="170">(+AM15-+AM14)*48</f>
        <v>5712</v>
      </c>
      <c r="AO15" s="97">
        <v>893029</v>
      </c>
      <c r="AP15" s="40">
        <f t="shared" ref="AP15" si="171">(+AO15-+AO14)*48</f>
        <v>8592</v>
      </c>
      <c r="AQ15" s="97">
        <v>67094</v>
      </c>
      <c r="AR15" s="40">
        <f t="shared" ref="AR15" si="172">(+AQ15-+AQ14)*48</f>
        <v>5520</v>
      </c>
      <c r="AS15" s="34">
        <v>2204</v>
      </c>
      <c r="AT15" s="40">
        <f t="shared" ref="AT15" si="173">(+AS15-+AS14)*48</f>
        <v>0</v>
      </c>
      <c r="AU15" s="34">
        <v>918</v>
      </c>
      <c r="AV15" s="40">
        <f t="shared" ref="AV15" si="174">(+AU15-+AU14)*48</f>
        <v>0</v>
      </c>
      <c r="AW15" s="34">
        <v>3108</v>
      </c>
      <c r="AX15" s="40">
        <f t="shared" ref="AX15" si="175">(+AW15-+AW14)*48</f>
        <v>0</v>
      </c>
      <c r="AY15" s="97">
        <v>299276</v>
      </c>
      <c r="AZ15" s="40">
        <f t="shared" ref="AZ15" si="176">(+AY15-+AY14)*48</f>
        <v>3600</v>
      </c>
      <c r="BA15" s="34">
        <v>160167</v>
      </c>
      <c r="BB15" s="40">
        <f t="shared" ref="BB15" si="177">(+BA15-+BA14)*48</f>
        <v>0</v>
      </c>
      <c r="BC15" s="97">
        <v>205041</v>
      </c>
      <c r="BD15" s="40">
        <f t="shared" ref="BD15" si="178">(+BC15-+BC14)*48</f>
        <v>2400</v>
      </c>
      <c r="BE15" s="34">
        <v>5347</v>
      </c>
      <c r="BF15" s="40">
        <f t="shared" ref="BF15" si="179">(+BE15-+BE14)*48</f>
        <v>0</v>
      </c>
      <c r="BH15" s="39">
        <f t="shared" si="32"/>
        <v>111388.51199999973</v>
      </c>
      <c r="BI15" s="39">
        <f t="shared" si="33"/>
        <v>63993.599999999999</v>
      </c>
    </row>
    <row r="16" spans="1:61" s="37" customFormat="1" ht="39.950000000000003" customHeight="1" x14ac:dyDescent="0.35">
      <c r="A16" s="33">
        <v>44112</v>
      </c>
      <c r="B16" s="36"/>
      <c r="C16" s="97">
        <v>5519533</v>
      </c>
      <c r="D16" s="40">
        <f t="shared" ref="D16" si="180">(+C16-+C15)*48</f>
        <v>94704</v>
      </c>
      <c r="E16" s="32">
        <f t="shared" si="35"/>
        <v>56822.400000000001</v>
      </c>
      <c r="F16" s="40">
        <f t="shared" si="36"/>
        <v>37881.599999999999</v>
      </c>
      <c r="G16" s="97">
        <v>275168</v>
      </c>
      <c r="H16" s="40">
        <f t="shared" ref="H16" si="181">(+G16-+G15)*48</f>
        <v>1824</v>
      </c>
      <c r="I16" s="97">
        <v>86573</v>
      </c>
      <c r="J16" s="40">
        <f t="shared" ref="J16" si="182">(+I16-+I15)*48</f>
        <v>8064</v>
      </c>
      <c r="K16" s="97">
        <v>254482</v>
      </c>
      <c r="L16" s="40">
        <f t="shared" si="31"/>
        <v>720</v>
      </c>
      <c r="M16" s="97">
        <v>24364</v>
      </c>
      <c r="N16" s="40">
        <f t="shared" ref="N16" si="183">(+M16-+M15)*48</f>
        <v>0</v>
      </c>
      <c r="O16" s="97">
        <v>222126</v>
      </c>
      <c r="P16" s="40">
        <f t="shared" ref="P16" si="184">(+O16-+O15)*48</f>
        <v>8400</v>
      </c>
      <c r="Q16" s="97">
        <v>433753</v>
      </c>
      <c r="R16" s="40">
        <f t="shared" ref="R16" si="185">(+Q16-+Q15)*48</f>
        <v>2208</v>
      </c>
      <c r="S16" s="97">
        <v>695746</v>
      </c>
      <c r="T16" s="40">
        <f t="shared" ref="T16" si="186">(+S16-+S15)*48</f>
        <v>6096</v>
      </c>
      <c r="U16" s="97">
        <v>94916.913</v>
      </c>
      <c r="V16" s="41">
        <f t="shared" ref="V16" si="187">(+U16-+U15)*48</f>
        <v>894.91200000001118</v>
      </c>
      <c r="W16" s="97">
        <v>77694</v>
      </c>
      <c r="X16" s="40">
        <f t="shared" ref="X16" si="188">(+W16-+W15)*48</f>
        <v>1152</v>
      </c>
      <c r="Y16" s="97">
        <v>1477380</v>
      </c>
      <c r="Z16" s="40">
        <f t="shared" ref="Z16" si="189">(+Y16-+Y15)*48</f>
        <v>12720</v>
      </c>
      <c r="AA16" s="34">
        <v>13166</v>
      </c>
      <c r="AB16" s="40">
        <f t="shared" ref="AB16" si="190">(+AA16-+AA15)*48</f>
        <v>0</v>
      </c>
      <c r="AC16" s="97">
        <v>432159</v>
      </c>
      <c r="AD16" s="40">
        <f t="shared" si="47"/>
        <v>4944</v>
      </c>
      <c r="AE16" s="97">
        <v>509607</v>
      </c>
      <c r="AF16" s="40">
        <f t="shared" si="47"/>
        <v>5136</v>
      </c>
      <c r="AG16" s="97">
        <v>48770</v>
      </c>
      <c r="AH16" s="40">
        <f t="shared" ref="AH16" si="191">(+AG16-+AG15)*48</f>
        <v>192</v>
      </c>
      <c r="AI16" s="97">
        <v>391705</v>
      </c>
      <c r="AJ16" s="40">
        <f t="shared" ref="AJ16" si="192">(+AI16-+AI15)*48</f>
        <v>3456</v>
      </c>
      <c r="AK16" s="34">
        <v>102371</v>
      </c>
      <c r="AL16" s="40">
        <f t="shared" ref="AL16" si="193">(+AK16-+AK15)*48</f>
        <v>0</v>
      </c>
      <c r="AM16" s="97">
        <v>556163</v>
      </c>
      <c r="AN16" s="40">
        <f t="shared" ref="AN16" si="194">(+AM16-+AM15)*48</f>
        <v>5232</v>
      </c>
      <c r="AO16" s="97">
        <v>893201</v>
      </c>
      <c r="AP16" s="40">
        <f t="shared" ref="AP16" si="195">(+AO16-+AO15)*48</f>
        <v>8256</v>
      </c>
      <c r="AQ16" s="97">
        <v>67244</v>
      </c>
      <c r="AR16" s="40">
        <f t="shared" ref="AR16" si="196">(+AQ16-+AQ15)*48</f>
        <v>7200</v>
      </c>
      <c r="AS16" s="34">
        <v>2204</v>
      </c>
      <c r="AT16" s="40">
        <f t="shared" ref="AT16" si="197">(+AS16-+AS15)*48</f>
        <v>0</v>
      </c>
      <c r="AU16" s="34">
        <v>918</v>
      </c>
      <c r="AV16" s="40">
        <f t="shared" ref="AV16" si="198">(+AU16-+AU15)*48</f>
        <v>0</v>
      </c>
      <c r="AW16" s="34">
        <v>3108</v>
      </c>
      <c r="AX16" s="40">
        <f t="shared" ref="AX16" si="199">(+AW16-+AW15)*48</f>
        <v>0</v>
      </c>
      <c r="AY16" s="97">
        <v>299347</v>
      </c>
      <c r="AZ16" s="40">
        <f t="shared" ref="AZ16" si="200">(+AY16-+AY15)*48</f>
        <v>3408</v>
      </c>
      <c r="BA16" s="34">
        <v>160167</v>
      </c>
      <c r="BB16" s="40">
        <f t="shared" ref="BB16" si="201">(+BA16-+BA15)*48</f>
        <v>0</v>
      </c>
      <c r="BC16" s="97">
        <v>205088</v>
      </c>
      <c r="BD16" s="40">
        <f t="shared" ref="BD16" si="202">(+BC16-+BC15)*48</f>
        <v>2256</v>
      </c>
      <c r="BE16" s="34">
        <v>5347</v>
      </c>
      <c r="BF16" s="40">
        <f t="shared" ref="BF16" si="203">(+BE16-+BE15)*48</f>
        <v>0</v>
      </c>
      <c r="BH16" s="39">
        <f t="shared" si="32"/>
        <v>112629.31200000001</v>
      </c>
      <c r="BI16" s="39">
        <f t="shared" si="33"/>
        <v>64233.599999999999</v>
      </c>
    </row>
    <row r="17" spans="1:61" s="37" customFormat="1" ht="39.950000000000003" customHeight="1" x14ac:dyDescent="0.35">
      <c r="A17" s="33">
        <v>44113</v>
      </c>
      <c r="B17" s="36"/>
      <c r="C17" s="97">
        <v>5521462</v>
      </c>
      <c r="D17" s="40">
        <f t="shared" ref="D17" si="204">(+C17-+C16)*48</f>
        <v>92592</v>
      </c>
      <c r="E17" s="32">
        <f t="shared" si="35"/>
        <v>55555.199999999997</v>
      </c>
      <c r="F17" s="40">
        <f t="shared" si="36"/>
        <v>37036.800000000003</v>
      </c>
      <c r="G17" s="97">
        <v>275204</v>
      </c>
      <c r="H17" s="40">
        <f t="shared" ref="H17" si="205">(+G17-+G16)*48</f>
        <v>1728</v>
      </c>
      <c r="I17" s="97">
        <v>86749</v>
      </c>
      <c r="J17" s="40">
        <f t="shared" ref="J17" si="206">(+I17-+I16)*48</f>
        <v>8448</v>
      </c>
      <c r="K17" s="97">
        <v>254539</v>
      </c>
      <c r="L17" s="40">
        <f t="shared" si="31"/>
        <v>2736</v>
      </c>
      <c r="M17" s="97">
        <v>24373</v>
      </c>
      <c r="N17" s="40">
        <f t="shared" ref="N17" si="207">(+M17-+M16)*48</f>
        <v>432</v>
      </c>
      <c r="O17" s="97">
        <v>222314</v>
      </c>
      <c r="P17" s="40">
        <f t="shared" ref="P17" si="208">(+O17-+O16)*48</f>
        <v>9024</v>
      </c>
      <c r="Q17" s="97">
        <v>433824</v>
      </c>
      <c r="R17" s="40">
        <f t="shared" ref="R17" si="209">(+Q17-+Q16)*48</f>
        <v>3408</v>
      </c>
      <c r="S17" s="97">
        <v>695892</v>
      </c>
      <c r="T17" s="40">
        <f t="shared" ref="T17" si="210">(+S17-+S16)*48</f>
        <v>7008</v>
      </c>
      <c r="U17" s="97">
        <v>94936.724000000002</v>
      </c>
      <c r="V17" s="41">
        <f t="shared" ref="V17" si="211">(+U17-+U16)*48</f>
        <v>950.92800000007264</v>
      </c>
      <c r="W17" s="97">
        <v>77709</v>
      </c>
      <c r="X17" s="40">
        <f t="shared" ref="X17" si="212">(+W17-+W16)*48</f>
        <v>720</v>
      </c>
      <c r="Y17" s="97">
        <v>1477669</v>
      </c>
      <c r="Z17" s="40">
        <f t="shared" ref="Z17" si="213">(+Y17-+Y16)*48</f>
        <v>13872</v>
      </c>
      <c r="AA17" s="34">
        <v>13166</v>
      </c>
      <c r="AB17" s="40">
        <f t="shared" ref="AB17" si="214">(+AA17-+AA16)*48</f>
        <v>0</v>
      </c>
      <c r="AC17" s="97">
        <v>432266</v>
      </c>
      <c r="AD17" s="40">
        <f t="shared" si="47"/>
        <v>5136</v>
      </c>
      <c r="AE17" s="97">
        <v>509714</v>
      </c>
      <c r="AF17" s="40">
        <f t="shared" si="47"/>
        <v>5136</v>
      </c>
      <c r="AG17" s="97">
        <v>48774</v>
      </c>
      <c r="AH17" s="40">
        <f t="shared" ref="AH17" si="215">(+AG17-+AG16)*48</f>
        <v>192</v>
      </c>
      <c r="AI17" s="97">
        <v>391791</v>
      </c>
      <c r="AJ17" s="40">
        <f t="shared" ref="AJ17" si="216">(+AI17-+AI16)*48</f>
        <v>4128</v>
      </c>
      <c r="AK17" s="34">
        <v>102371</v>
      </c>
      <c r="AL17" s="40">
        <f t="shared" ref="AL17" si="217">(+AK17-+AK16)*48</f>
        <v>0</v>
      </c>
      <c r="AM17" s="97">
        <v>556263</v>
      </c>
      <c r="AN17" s="40">
        <f t="shared" ref="AN17" si="218">(+AM17-+AM16)*48</f>
        <v>4800</v>
      </c>
      <c r="AO17" s="97">
        <v>893363</v>
      </c>
      <c r="AP17" s="40">
        <f t="shared" ref="AP17" si="219">(+AO17-+AO16)*48</f>
        <v>7776</v>
      </c>
      <c r="AQ17" s="97">
        <v>67489</v>
      </c>
      <c r="AR17" s="40">
        <f t="shared" ref="AR17" si="220">(+AQ17-+AQ16)*48</f>
        <v>11760</v>
      </c>
      <c r="AS17" s="34">
        <v>2204</v>
      </c>
      <c r="AT17" s="40">
        <f t="shared" ref="AT17" si="221">(+AS17-+AS16)*48</f>
        <v>0</v>
      </c>
      <c r="AU17" s="34">
        <v>918</v>
      </c>
      <c r="AV17" s="40">
        <f t="shared" ref="AV17" si="222">(+AU17-+AU16)*48</f>
        <v>0</v>
      </c>
      <c r="AW17" s="34">
        <v>3108</v>
      </c>
      <c r="AX17" s="40">
        <f t="shared" ref="AX17" si="223">(+AW17-+AW16)*48</f>
        <v>0</v>
      </c>
      <c r="AY17" s="97">
        <v>299418</v>
      </c>
      <c r="AZ17" s="40">
        <f t="shared" ref="AZ17" si="224">(+AY17-+AY16)*48</f>
        <v>3408</v>
      </c>
      <c r="BA17" s="34">
        <v>160167</v>
      </c>
      <c r="BB17" s="40">
        <f t="shared" ref="BB17" si="225">(+BA17-+BA16)*48</f>
        <v>0</v>
      </c>
      <c r="BC17" s="97">
        <v>205138</v>
      </c>
      <c r="BD17" s="40">
        <f t="shared" ref="BD17" si="226">(+BC17-+BC16)*48</f>
        <v>2400</v>
      </c>
      <c r="BE17" s="34">
        <v>5347</v>
      </c>
      <c r="BF17" s="40">
        <f t="shared" ref="BF17" si="227">(+BE17-+BE16)*48</f>
        <v>0</v>
      </c>
      <c r="BH17" s="39">
        <f t="shared" si="32"/>
        <v>118474.12800000007</v>
      </c>
      <c r="BI17" s="39">
        <f t="shared" si="33"/>
        <v>67180.800000000003</v>
      </c>
    </row>
    <row r="18" spans="1:61" s="37" customFormat="1" ht="39.950000000000003" customHeight="1" x14ac:dyDescent="0.35">
      <c r="A18" s="33">
        <v>44114</v>
      </c>
      <c r="B18" s="36"/>
      <c r="C18" s="97">
        <v>5523643</v>
      </c>
      <c r="D18" s="40">
        <f t="shared" ref="D18" si="228">(+C18-+C17)*48</f>
        <v>104688</v>
      </c>
      <c r="E18" s="32">
        <f t="shared" si="35"/>
        <v>62812.799999999996</v>
      </c>
      <c r="F18" s="40">
        <f t="shared" si="36"/>
        <v>41875.200000000004</v>
      </c>
      <c r="G18" s="97">
        <v>275247</v>
      </c>
      <c r="H18" s="40">
        <f t="shared" ref="H18" si="229">(+G18-+G17)*48</f>
        <v>2064</v>
      </c>
      <c r="I18" s="97">
        <v>86919</v>
      </c>
      <c r="J18" s="40">
        <f t="shared" ref="J18" si="230">(+I18-+I17)*48</f>
        <v>8160</v>
      </c>
      <c r="K18" s="97">
        <v>254574</v>
      </c>
      <c r="L18" s="40">
        <f t="shared" si="31"/>
        <v>1680</v>
      </c>
      <c r="M18" s="97">
        <v>24373</v>
      </c>
      <c r="N18" s="40">
        <f t="shared" ref="N18" si="231">(+M18-+M17)*48</f>
        <v>0</v>
      </c>
      <c r="O18" s="97">
        <v>222499</v>
      </c>
      <c r="P18" s="40">
        <f t="shared" ref="P18" si="232">(+O18-+O17)*48</f>
        <v>8880</v>
      </c>
      <c r="Q18" s="97">
        <v>433894</v>
      </c>
      <c r="R18" s="40">
        <f t="shared" ref="R18" si="233">(+Q18-+Q17)*48</f>
        <v>3360</v>
      </c>
      <c r="S18" s="97">
        <v>696027</v>
      </c>
      <c r="T18" s="40">
        <f t="shared" ref="T18" si="234">(+S18-+S17)*48</f>
        <v>6480</v>
      </c>
      <c r="U18" s="97">
        <v>94958.248999999996</v>
      </c>
      <c r="V18" s="41">
        <f t="shared" ref="V18" si="235">(+U18-+U17)*48</f>
        <v>1033.1999999997206</v>
      </c>
      <c r="W18" s="97">
        <v>77736</v>
      </c>
      <c r="X18" s="40">
        <f t="shared" ref="X18" si="236">(+W18-+W17)*48</f>
        <v>1296</v>
      </c>
      <c r="Y18" s="97">
        <v>1477912</v>
      </c>
      <c r="Z18" s="40">
        <f t="shared" ref="Z18" si="237">(+Y18-+Y17)*48</f>
        <v>11664</v>
      </c>
      <c r="AA18" s="34">
        <v>13166</v>
      </c>
      <c r="AB18" s="40">
        <f t="shared" ref="AB18" si="238">(+AA18-+AA17)*48</f>
        <v>0</v>
      </c>
      <c r="AC18" s="97">
        <v>432368</v>
      </c>
      <c r="AD18" s="40">
        <f t="shared" si="47"/>
        <v>4896</v>
      </c>
      <c r="AE18" s="97">
        <v>509819</v>
      </c>
      <c r="AF18" s="40">
        <f t="shared" si="47"/>
        <v>5040</v>
      </c>
      <c r="AG18" s="97">
        <v>48777</v>
      </c>
      <c r="AH18" s="40">
        <f t="shared" ref="AH18" si="239">(+AG18-+AG17)*48</f>
        <v>144</v>
      </c>
      <c r="AI18" s="97">
        <v>391889</v>
      </c>
      <c r="AJ18" s="40">
        <f t="shared" ref="AJ18" si="240">(+AI18-+AI17)*48</f>
        <v>4704</v>
      </c>
      <c r="AK18" s="34">
        <v>102371</v>
      </c>
      <c r="AL18" s="40">
        <f t="shared" ref="AL18" si="241">(+AK18-+AK17)*48</f>
        <v>0</v>
      </c>
      <c r="AM18" s="97">
        <v>556357</v>
      </c>
      <c r="AN18" s="40">
        <f t="shared" ref="AN18" si="242">(+AM18-+AM17)*48</f>
        <v>4512</v>
      </c>
      <c r="AO18" s="97">
        <v>893523</v>
      </c>
      <c r="AP18" s="40">
        <f t="shared" ref="AP18" si="243">(+AO18-+AO17)*48</f>
        <v>7680</v>
      </c>
      <c r="AQ18" s="97">
        <v>67609</v>
      </c>
      <c r="AR18" s="40">
        <f t="shared" ref="AR18" si="244">(+AQ18-+AQ17)*48</f>
        <v>5760</v>
      </c>
      <c r="AS18" s="34">
        <v>2204</v>
      </c>
      <c r="AT18" s="40">
        <f t="shared" ref="AT18" si="245">(+AS18-+AS17)*48</f>
        <v>0</v>
      </c>
      <c r="AU18" s="34">
        <v>918</v>
      </c>
      <c r="AV18" s="40">
        <f t="shared" ref="AV18" si="246">(+AU18-+AU17)*48</f>
        <v>0</v>
      </c>
      <c r="AW18" s="34">
        <v>3108</v>
      </c>
      <c r="AX18" s="40">
        <f t="shared" ref="AX18" si="247">(+AW18-+AW17)*48</f>
        <v>0</v>
      </c>
      <c r="AY18" s="97">
        <v>299492</v>
      </c>
      <c r="AZ18" s="40">
        <f t="shared" ref="AZ18" si="248">(+AY18-+AY17)*48</f>
        <v>3552</v>
      </c>
      <c r="BA18" s="34">
        <v>160167</v>
      </c>
      <c r="BB18" s="40">
        <f t="shared" ref="BB18" si="249">(+BA18-+BA17)*48</f>
        <v>0</v>
      </c>
      <c r="BC18" s="97">
        <v>205187</v>
      </c>
      <c r="BD18" s="40">
        <f t="shared" ref="BD18" si="250">(+BC18-+BC17)*48</f>
        <v>2352</v>
      </c>
      <c r="BE18" s="34">
        <v>5347</v>
      </c>
      <c r="BF18" s="40">
        <f t="shared" ref="BF18" si="251">(+BE18-+BE17)*48</f>
        <v>0</v>
      </c>
      <c r="BH18" s="39">
        <f t="shared" si="32"/>
        <v>122213.99999999971</v>
      </c>
      <c r="BI18" s="39">
        <f t="shared" si="33"/>
        <v>65731.200000000012</v>
      </c>
    </row>
    <row r="19" spans="1:61" s="37" customFormat="1" ht="39.950000000000003" customHeight="1" x14ac:dyDescent="0.35">
      <c r="A19" s="33">
        <v>44115</v>
      </c>
      <c r="B19" s="36"/>
      <c r="C19" s="97">
        <v>5526870</v>
      </c>
      <c r="D19" s="40">
        <f t="shared" ref="D19" si="252">(+C19-+C18)*48</f>
        <v>154896</v>
      </c>
      <c r="E19" s="32">
        <f t="shared" si="35"/>
        <v>92937.599999999991</v>
      </c>
      <c r="F19" s="40">
        <f t="shared" si="36"/>
        <v>61958.400000000001</v>
      </c>
      <c r="G19" s="97">
        <v>275287</v>
      </c>
      <c r="H19" s="40">
        <f t="shared" ref="H19" si="253">(+G19-+G18)*48</f>
        <v>1920</v>
      </c>
      <c r="I19" s="97">
        <v>87093</v>
      </c>
      <c r="J19" s="40">
        <f t="shared" ref="J19" si="254">(+I19-+I18)*48</f>
        <v>8352</v>
      </c>
      <c r="K19" s="97">
        <v>254612</v>
      </c>
      <c r="L19" s="40">
        <f t="shared" si="31"/>
        <v>1824</v>
      </c>
      <c r="M19" s="97">
        <v>24380</v>
      </c>
      <c r="N19" s="40">
        <f t="shared" ref="N19" si="255">(+M19-+M18)*48</f>
        <v>336</v>
      </c>
      <c r="O19" s="97">
        <v>222695</v>
      </c>
      <c r="P19" s="40">
        <f t="shared" ref="P19" si="256">(+O19-+O18)*48</f>
        <v>9408</v>
      </c>
      <c r="Q19" s="97">
        <v>434009</v>
      </c>
      <c r="R19" s="40">
        <f t="shared" ref="R19" si="257">(+Q19-+Q18)*48</f>
        <v>5520</v>
      </c>
      <c r="S19" s="97">
        <v>696160</v>
      </c>
      <c r="T19" s="40">
        <f t="shared" ref="T19" si="258">(+S19-+S18)*48</f>
        <v>6384</v>
      </c>
      <c r="U19" s="97">
        <v>94982.812999999995</v>
      </c>
      <c r="V19" s="41">
        <f t="shared" ref="V19" si="259">(+U19-+U18)*48</f>
        <v>1179.0719999999274</v>
      </c>
      <c r="W19" s="97">
        <v>77748</v>
      </c>
      <c r="X19" s="40">
        <f t="shared" ref="X19" si="260">(+W19-+W18)*48</f>
        <v>576</v>
      </c>
      <c r="Y19" s="97">
        <v>1478142</v>
      </c>
      <c r="Z19" s="40">
        <f t="shared" ref="Z19" si="261">(+Y19-+Y18)*48</f>
        <v>11040</v>
      </c>
      <c r="AA19" s="34">
        <v>13166</v>
      </c>
      <c r="AB19" s="40">
        <f t="shared" ref="AB19" si="262">(+AA19-+AA18)*48</f>
        <v>0</v>
      </c>
      <c r="AC19" s="97">
        <v>432470</v>
      </c>
      <c r="AD19" s="40">
        <f t="shared" si="47"/>
        <v>4896</v>
      </c>
      <c r="AE19" s="97">
        <v>509926</v>
      </c>
      <c r="AF19" s="40">
        <f t="shared" si="47"/>
        <v>5136</v>
      </c>
      <c r="AG19" s="97">
        <v>48782</v>
      </c>
      <c r="AH19" s="40">
        <f t="shared" ref="AH19" si="263">(+AG19-+AG18)*48</f>
        <v>240</v>
      </c>
      <c r="AI19" s="97">
        <v>392000</v>
      </c>
      <c r="AJ19" s="40">
        <f t="shared" ref="AJ19" si="264">(+AI19-+AI18)*48</f>
        <v>5328</v>
      </c>
      <c r="AK19" s="34">
        <v>102371</v>
      </c>
      <c r="AL19" s="40">
        <f t="shared" ref="AL19" si="265">(+AK19-+AK18)*48</f>
        <v>0</v>
      </c>
      <c r="AM19" s="97">
        <v>556462</v>
      </c>
      <c r="AN19" s="40">
        <f t="shared" ref="AN19" si="266">(+AM19-+AM18)*48</f>
        <v>5040</v>
      </c>
      <c r="AO19" s="97">
        <v>893695</v>
      </c>
      <c r="AP19" s="40">
        <f t="shared" ref="AP19" si="267">(+AO19-+AO18)*48</f>
        <v>8256</v>
      </c>
      <c r="AQ19" s="97">
        <v>67682</v>
      </c>
      <c r="AR19" s="40">
        <f t="shared" ref="AR19" si="268">(+AQ19-+AQ18)*48</f>
        <v>3504</v>
      </c>
      <c r="AS19" s="34">
        <v>2204</v>
      </c>
      <c r="AT19" s="40">
        <f t="shared" ref="AT19" si="269">(+AS19-+AS18)*48</f>
        <v>0</v>
      </c>
      <c r="AU19" s="34">
        <v>918</v>
      </c>
      <c r="AV19" s="40">
        <f t="shared" ref="AV19" si="270">(+AU19-+AU18)*48</f>
        <v>0</v>
      </c>
      <c r="AW19" s="34">
        <v>3108</v>
      </c>
      <c r="AX19" s="40">
        <f t="shared" ref="AX19" si="271">(+AW19-+AW18)*48</f>
        <v>0</v>
      </c>
      <c r="AY19" s="97">
        <v>299565</v>
      </c>
      <c r="AZ19" s="40">
        <f t="shared" ref="AZ19" si="272">(+AY19-+AY18)*48</f>
        <v>3504</v>
      </c>
      <c r="BA19" s="34">
        <v>160167</v>
      </c>
      <c r="BB19" s="40">
        <f t="shared" ref="BB19" si="273">(+BA19-+BA18)*48</f>
        <v>0</v>
      </c>
      <c r="BC19" s="97">
        <v>205237</v>
      </c>
      <c r="BD19" s="40">
        <f t="shared" ref="BD19" si="274">(+BC19-+BC18)*48</f>
        <v>2400</v>
      </c>
      <c r="BE19" s="34">
        <v>5347</v>
      </c>
      <c r="BF19" s="40">
        <f t="shared" ref="BF19" si="275">(+BE19-+BE18)*48</f>
        <v>0</v>
      </c>
      <c r="BH19" s="39">
        <f t="shared" si="32"/>
        <v>155076.6719999999</v>
      </c>
      <c r="BI19" s="39">
        <f t="shared" si="33"/>
        <v>84662.399999999994</v>
      </c>
    </row>
    <row r="20" spans="1:61" s="37" customFormat="1" ht="39.950000000000003" customHeight="1" x14ac:dyDescent="0.35">
      <c r="A20" s="33">
        <v>44116</v>
      </c>
      <c r="B20" s="36"/>
      <c r="C20" s="97">
        <v>5527973</v>
      </c>
      <c r="D20" s="40">
        <f t="shared" ref="D20" si="276">(+C20-+C19)*48</f>
        <v>52944</v>
      </c>
      <c r="E20" s="32">
        <f t="shared" si="35"/>
        <v>31766.399999999998</v>
      </c>
      <c r="F20" s="40">
        <f t="shared" si="36"/>
        <v>21177.600000000002</v>
      </c>
      <c r="G20" s="97">
        <v>275324</v>
      </c>
      <c r="H20" s="40">
        <f t="shared" ref="H20" si="277">(+G20-+G19)*48</f>
        <v>1776</v>
      </c>
      <c r="I20" s="97">
        <v>87264</v>
      </c>
      <c r="J20" s="40">
        <f t="shared" ref="J20" si="278">(+I20-+I19)*48</f>
        <v>8208</v>
      </c>
      <c r="K20" s="97">
        <v>254662</v>
      </c>
      <c r="L20" s="40">
        <f t="shared" si="31"/>
        <v>2400</v>
      </c>
      <c r="M20" s="97">
        <v>24384</v>
      </c>
      <c r="N20" s="40">
        <f t="shared" ref="N20" si="279">(+M20-+M19)*48</f>
        <v>192</v>
      </c>
      <c r="O20" s="97">
        <v>222890</v>
      </c>
      <c r="P20" s="40">
        <f t="shared" ref="P20" si="280">(+O20-+O19)*48</f>
        <v>9360</v>
      </c>
      <c r="Q20" s="97">
        <v>434088</v>
      </c>
      <c r="R20" s="40">
        <f t="shared" ref="R20" si="281">(+Q20-+Q19)*48</f>
        <v>3792</v>
      </c>
      <c r="S20" s="97">
        <v>696268</v>
      </c>
      <c r="T20" s="40">
        <f t="shared" ref="T20" si="282">(+S20-+S19)*48</f>
        <v>5184</v>
      </c>
      <c r="U20" s="97">
        <v>95008.217999999993</v>
      </c>
      <c r="V20" s="41">
        <f t="shared" ref="V20" si="283">(+U20-+U19)*48</f>
        <v>1219.4399999999441</v>
      </c>
      <c r="W20" s="97">
        <v>77775</v>
      </c>
      <c r="X20" s="40">
        <f t="shared" ref="X20" si="284">(+W20-+W19)*48</f>
        <v>1296</v>
      </c>
      <c r="Y20" s="97">
        <v>1478358</v>
      </c>
      <c r="Z20" s="40">
        <f t="shared" ref="Z20" si="285">(+Y20-+Y19)*48</f>
        <v>10368</v>
      </c>
      <c r="AA20" s="34">
        <v>13166</v>
      </c>
      <c r="AB20" s="40">
        <f t="shared" ref="AB20" si="286">(+AA20-+AA19)*48</f>
        <v>0</v>
      </c>
      <c r="AC20" s="97">
        <v>432561</v>
      </c>
      <c r="AD20" s="40">
        <f t="shared" si="47"/>
        <v>4368</v>
      </c>
      <c r="AE20" s="97">
        <v>510021</v>
      </c>
      <c r="AF20" s="40">
        <f t="shared" si="47"/>
        <v>4560</v>
      </c>
      <c r="AG20" s="97">
        <v>48786</v>
      </c>
      <c r="AH20" s="40">
        <f t="shared" ref="AH20" si="287">(+AG20-+AG19)*48</f>
        <v>192</v>
      </c>
      <c r="AI20" s="97">
        <v>392110</v>
      </c>
      <c r="AJ20" s="40">
        <f t="shared" ref="AJ20" si="288">(+AI20-+AI19)*48</f>
        <v>5280</v>
      </c>
      <c r="AK20" s="34">
        <v>102371</v>
      </c>
      <c r="AL20" s="40">
        <f t="shared" ref="AL20" si="289">(+AK20-+AK19)*48</f>
        <v>0</v>
      </c>
      <c r="AM20" s="97">
        <v>556573</v>
      </c>
      <c r="AN20" s="40">
        <f t="shared" ref="AN20" si="290">(+AM20-+AM19)*48</f>
        <v>5328</v>
      </c>
      <c r="AO20" s="97">
        <v>893871</v>
      </c>
      <c r="AP20" s="40">
        <f t="shared" ref="AP20" si="291">(+AO20-+AO19)*48</f>
        <v>8448</v>
      </c>
      <c r="AQ20" s="97">
        <v>67808</v>
      </c>
      <c r="AR20" s="40">
        <f t="shared" ref="AR20" si="292">(+AQ20-+AQ19)*48</f>
        <v>6048</v>
      </c>
      <c r="AS20" s="34">
        <v>2204</v>
      </c>
      <c r="AT20" s="40">
        <f t="shared" ref="AT20" si="293">(+AS20-+AS19)*48</f>
        <v>0</v>
      </c>
      <c r="AU20" s="34">
        <v>918</v>
      </c>
      <c r="AV20" s="40">
        <f t="shared" ref="AV20" si="294">(+AU20-+AU19)*48</f>
        <v>0</v>
      </c>
      <c r="AW20" s="34">
        <v>3108</v>
      </c>
      <c r="AX20" s="40">
        <f t="shared" ref="AX20" si="295">(+AW20-+AW19)*48</f>
        <v>0</v>
      </c>
      <c r="AY20" s="97">
        <v>299636</v>
      </c>
      <c r="AZ20" s="40">
        <f t="shared" ref="AZ20" si="296">(+AY20-+AY19)*48</f>
        <v>3408</v>
      </c>
      <c r="BA20" s="34">
        <v>160167</v>
      </c>
      <c r="BB20" s="40">
        <f t="shared" ref="BB20" si="297">(+BA20-+BA19)*48</f>
        <v>0</v>
      </c>
      <c r="BC20" s="97">
        <v>205284</v>
      </c>
      <c r="BD20" s="40">
        <f t="shared" ref="BD20" si="298">(+BC20-+BC19)*48</f>
        <v>2256</v>
      </c>
      <c r="BE20" s="34">
        <v>5347</v>
      </c>
      <c r="BF20" s="40">
        <f t="shared" ref="BF20" si="299">(+BE20-+BE19)*48</f>
        <v>0</v>
      </c>
      <c r="BH20" s="39">
        <f t="shared" si="32"/>
        <v>89961.839999999938</v>
      </c>
      <c r="BI20" s="39">
        <f t="shared" si="33"/>
        <v>46665.600000000006</v>
      </c>
    </row>
    <row r="21" spans="1:61" s="37" customFormat="1" ht="39.950000000000003" customHeight="1" x14ac:dyDescent="0.35">
      <c r="A21" s="33">
        <v>44117</v>
      </c>
      <c r="B21" s="36"/>
      <c r="C21" s="97">
        <v>5530027</v>
      </c>
      <c r="D21" s="40">
        <f t="shared" ref="D21" si="300">(+C21-+C20)*48</f>
        <v>98592</v>
      </c>
      <c r="E21" s="32">
        <f t="shared" si="35"/>
        <v>59155.199999999997</v>
      </c>
      <c r="F21" s="40">
        <f t="shared" si="36"/>
        <v>39436.800000000003</v>
      </c>
      <c r="G21" s="97">
        <v>275353</v>
      </c>
      <c r="H21" s="40">
        <f t="shared" ref="H21" si="301">(+G21-+G20)*48</f>
        <v>1392</v>
      </c>
      <c r="I21" s="97">
        <v>87421</v>
      </c>
      <c r="J21" s="40">
        <f t="shared" ref="J21" si="302">(+I21-+I20)*48</f>
        <v>7536</v>
      </c>
      <c r="K21" s="97">
        <v>254697</v>
      </c>
      <c r="L21" s="40">
        <f t="shared" si="31"/>
        <v>1680</v>
      </c>
      <c r="M21" s="97">
        <v>24384</v>
      </c>
      <c r="N21" s="40">
        <f t="shared" ref="N21" si="303">(+M21-+M20)*48</f>
        <v>0</v>
      </c>
      <c r="O21" s="97">
        <v>223069</v>
      </c>
      <c r="P21" s="40">
        <f t="shared" ref="P21" si="304">(+O21-+O20)*48</f>
        <v>8592</v>
      </c>
      <c r="Q21" s="97">
        <v>434155</v>
      </c>
      <c r="R21" s="40">
        <f t="shared" ref="R21" si="305">(+Q21-+Q20)*48</f>
        <v>3216</v>
      </c>
      <c r="S21" s="97">
        <v>696395</v>
      </c>
      <c r="T21" s="40">
        <f t="shared" ref="T21" si="306">(+S21-+S20)*48</f>
        <v>6096</v>
      </c>
      <c r="U21" s="97">
        <v>95027.163</v>
      </c>
      <c r="V21" s="41">
        <f t="shared" ref="V21" si="307">(+U21-+U20)*48</f>
        <v>909.36000000033528</v>
      </c>
      <c r="W21" s="97">
        <v>77787</v>
      </c>
      <c r="X21" s="40">
        <f t="shared" ref="X21" si="308">(+W21-+W20)*48</f>
        <v>576</v>
      </c>
      <c r="Y21" s="97">
        <v>1478568</v>
      </c>
      <c r="Z21" s="40">
        <f t="shared" ref="Z21" si="309">(+Y21-+Y20)*48</f>
        <v>10080</v>
      </c>
      <c r="AA21" s="34">
        <v>13166</v>
      </c>
      <c r="AB21" s="40">
        <f t="shared" ref="AB21" si="310">(+AA21-+AA20)*48</f>
        <v>0</v>
      </c>
      <c r="AC21" s="97">
        <v>432646</v>
      </c>
      <c r="AD21" s="40">
        <f t="shared" si="47"/>
        <v>4080</v>
      </c>
      <c r="AE21" s="97">
        <v>510117</v>
      </c>
      <c r="AF21" s="40">
        <f t="shared" si="47"/>
        <v>4608</v>
      </c>
      <c r="AG21" s="97">
        <v>48789</v>
      </c>
      <c r="AH21" s="40">
        <f t="shared" ref="AH21" si="311">(+AG21-+AG20)*48</f>
        <v>144</v>
      </c>
      <c r="AI21" s="97">
        <v>392195</v>
      </c>
      <c r="AJ21" s="40">
        <f t="shared" ref="AJ21" si="312">(+AI21-+AI20)*48</f>
        <v>4080</v>
      </c>
      <c r="AK21" s="34">
        <v>102371</v>
      </c>
      <c r="AL21" s="40">
        <f t="shared" ref="AL21" si="313">(+AK21-+AK20)*48</f>
        <v>0</v>
      </c>
      <c r="AM21" s="97">
        <v>556680</v>
      </c>
      <c r="AN21" s="40">
        <f t="shared" ref="AN21" si="314">(+AM21-+AM20)*48</f>
        <v>5136</v>
      </c>
      <c r="AO21" s="97">
        <v>894046</v>
      </c>
      <c r="AP21" s="40">
        <f t="shared" ref="AP21" si="315">(+AO21-+AO20)*48</f>
        <v>8400</v>
      </c>
      <c r="AQ21" s="97">
        <v>67863</v>
      </c>
      <c r="AR21" s="40">
        <f t="shared" ref="AR21" si="316">(+AQ21-+AQ20)*48</f>
        <v>2640</v>
      </c>
      <c r="AS21" s="34">
        <v>2204</v>
      </c>
      <c r="AT21" s="40">
        <f t="shared" ref="AT21" si="317">(+AS21-+AS20)*48</f>
        <v>0</v>
      </c>
      <c r="AU21" s="34">
        <v>918</v>
      </c>
      <c r="AV21" s="40">
        <f t="shared" ref="AV21" si="318">(+AU21-+AU20)*48</f>
        <v>0</v>
      </c>
      <c r="AW21" s="34">
        <v>3108</v>
      </c>
      <c r="AX21" s="40">
        <f t="shared" ref="AX21" si="319">(+AW21-+AW20)*48</f>
        <v>0</v>
      </c>
      <c r="AY21" s="97">
        <v>298706</v>
      </c>
      <c r="AZ21" s="40">
        <f t="shared" ref="AZ21" si="320">(+AY21-+AY20)*48</f>
        <v>-44640</v>
      </c>
      <c r="BA21" s="34">
        <v>160167</v>
      </c>
      <c r="BB21" s="40">
        <f t="shared" ref="BB21" si="321">(+BA21-+BA20)*48</f>
        <v>0</v>
      </c>
      <c r="BC21" s="97">
        <v>205334</v>
      </c>
      <c r="BD21" s="40">
        <f t="shared" ref="BD21" si="322">(+BC21-+BC20)*48</f>
        <v>2400</v>
      </c>
      <c r="BE21" s="34">
        <v>5347</v>
      </c>
      <c r="BF21" s="40">
        <f t="shared" ref="BF21" si="323">(+BE21-+BE20)*48</f>
        <v>0</v>
      </c>
      <c r="BH21" s="39">
        <f t="shared" si="32"/>
        <v>112144.56000000033</v>
      </c>
      <c r="BI21" s="39">
        <f t="shared" si="33"/>
        <v>13372.800000000003</v>
      </c>
    </row>
    <row r="22" spans="1:61" s="37" customFormat="1" ht="39.950000000000003" customHeight="1" x14ac:dyDescent="0.35">
      <c r="A22" s="33">
        <v>44118</v>
      </c>
      <c r="B22" s="36"/>
      <c r="C22" s="97">
        <v>5531790</v>
      </c>
      <c r="D22" s="40">
        <f t="shared" ref="D22" si="324">(+C22-+C21)*48</f>
        <v>84624</v>
      </c>
      <c r="E22" s="32">
        <f t="shared" si="35"/>
        <v>50774.400000000001</v>
      </c>
      <c r="F22" s="40">
        <f t="shared" si="36"/>
        <v>33849.599999999999</v>
      </c>
      <c r="G22" s="97">
        <v>275383</v>
      </c>
      <c r="H22" s="40">
        <f t="shared" ref="H22" si="325">(+G22-+G21)*48</f>
        <v>1440</v>
      </c>
      <c r="I22" s="97">
        <v>87589</v>
      </c>
      <c r="J22" s="40">
        <f t="shared" ref="J22" si="326">(+I22-+I21)*48</f>
        <v>8064</v>
      </c>
      <c r="K22" s="97">
        <v>254701</v>
      </c>
      <c r="L22" s="40">
        <f t="shared" si="31"/>
        <v>192</v>
      </c>
      <c r="M22" s="97">
        <v>24384</v>
      </c>
      <c r="N22" s="40">
        <f t="shared" ref="N22" si="327">(+M22-+M21)*48</f>
        <v>0</v>
      </c>
      <c r="O22" s="97">
        <v>223253</v>
      </c>
      <c r="P22" s="40">
        <f t="shared" ref="P22" si="328">(+O22-+O21)*48</f>
        <v>8832</v>
      </c>
      <c r="Q22" s="97">
        <v>434172</v>
      </c>
      <c r="R22" s="40">
        <f t="shared" ref="R22" si="329">(+Q22-+Q21)*48</f>
        <v>816</v>
      </c>
      <c r="S22" s="97">
        <v>696523</v>
      </c>
      <c r="T22" s="40">
        <f t="shared" ref="T22" si="330">(+S22-+S21)*48</f>
        <v>6144</v>
      </c>
      <c r="U22" s="97">
        <v>95028.244000000006</v>
      </c>
      <c r="V22" s="41">
        <f t="shared" ref="V22" si="331">(+U22-+U21)*48</f>
        <v>51.888000000268221</v>
      </c>
      <c r="W22" s="97">
        <v>77801</v>
      </c>
      <c r="X22" s="40">
        <f t="shared" ref="X22" si="332">(+W22-+W21)*48</f>
        <v>672</v>
      </c>
      <c r="Y22" s="97">
        <v>1479000</v>
      </c>
      <c r="Z22" s="40">
        <f t="shared" ref="Z22" si="333">(+Y22-+Y21)*48</f>
        <v>20736</v>
      </c>
      <c r="AA22" s="34">
        <v>13166</v>
      </c>
      <c r="AB22" s="40">
        <f t="shared" ref="AB22" si="334">(+AA22-+AA21)*48</f>
        <v>0</v>
      </c>
      <c r="AC22" s="97">
        <v>432742</v>
      </c>
      <c r="AD22" s="40">
        <f t="shared" si="47"/>
        <v>4608</v>
      </c>
      <c r="AE22" s="97">
        <v>510219</v>
      </c>
      <c r="AF22" s="40">
        <f t="shared" si="47"/>
        <v>4896</v>
      </c>
      <c r="AG22" s="97">
        <v>48793</v>
      </c>
      <c r="AH22" s="40">
        <f t="shared" ref="AH22" si="335">(+AG22-+AG21)*48</f>
        <v>192</v>
      </c>
      <c r="AI22" s="97">
        <v>392274</v>
      </c>
      <c r="AJ22" s="40">
        <f t="shared" ref="AJ22" si="336">(+AI22-+AI21)*48</f>
        <v>3792</v>
      </c>
      <c r="AK22" s="34">
        <v>102371</v>
      </c>
      <c r="AL22" s="40">
        <f t="shared" ref="AL22" si="337">(+AK22-+AK21)*48</f>
        <v>0</v>
      </c>
      <c r="AM22" s="97">
        <v>556806</v>
      </c>
      <c r="AN22" s="40">
        <f t="shared" ref="AN22" si="338">(+AM22-+AM21)*48</f>
        <v>6048</v>
      </c>
      <c r="AO22" s="97">
        <v>894244</v>
      </c>
      <c r="AP22" s="40">
        <f t="shared" ref="AP22" si="339">(+AO22-+AO21)*48</f>
        <v>9504</v>
      </c>
      <c r="AQ22" s="97">
        <v>68028</v>
      </c>
      <c r="AR22" s="40">
        <f t="shared" ref="AR22" si="340">(+AQ22-+AQ21)*48</f>
        <v>7920</v>
      </c>
      <c r="AS22" s="34">
        <v>2204</v>
      </c>
      <c r="AT22" s="40">
        <f t="shared" ref="AT22" si="341">(+AS22-+AS21)*48</f>
        <v>0</v>
      </c>
      <c r="AU22" s="34">
        <v>918</v>
      </c>
      <c r="AV22" s="40">
        <f t="shared" ref="AV22" si="342">(+AU22-+AU21)*48</f>
        <v>0</v>
      </c>
      <c r="AW22" s="34">
        <v>3108</v>
      </c>
      <c r="AX22" s="40">
        <f t="shared" ref="AX22" si="343">(+AW22-+AW21)*48</f>
        <v>0</v>
      </c>
      <c r="AY22" s="97">
        <v>299782</v>
      </c>
      <c r="AZ22" s="40">
        <f t="shared" ref="AZ22" si="344">(+AY22-+AY21)*48</f>
        <v>51648</v>
      </c>
      <c r="BA22" s="34">
        <v>160167</v>
      </c>
      <c r="BB22" s="40">
        <f t="shared" ref="BB22" si="345">(+BA22-+BA21)*48</f>
        <v>0</v>
      </c>
      <c r="BC22" s="97">
        <v>205385</v>
      </c>
      <c r="BD22" s="40">
        <f t="shared" ref="BD22" si="346">(+BC22-+BC21)*48</f>
        <v>2448</v>
      </c>
      <c r="BE22" s="34">
        <v>5347</v>
      </c>
      <c r="BF22" s="40">
        <f t="shared" ref="BF22" si="347">(+BE22-+BE21)*48</f>
        <v>0</v>
      </c>
      <c r="BH22" s="39">
        <f t="shared" si="32"/>
        <v>111210.28800000026</v>
      </c>
      <c r="BI22" s="39">
        <f t="shared" si="33"/>
        <v>111417.60000000001</v>
      </c>
    </row>
    <row r="23" spans="1:61" s="37" customFormat="1" ht="39.950000000000003" customHeight="1" x14ac:dyDescent="0.35">
      <c r="A23" s="33">
        <v>44119</v>
      </c>
      <c r="B23" s="36"/>
      <c r="C23" s="97">
        <v>5533677</v>
      </c>
      <c r="D23" s="40">
        <f t="shared" ref="D23" si="348">(+C23-+C22)*48</f>
        <v>90576</v>
      </c>
      <c r="E23" s="32">
        <f t="shared" si="35"/>
        <v>54345.599999999999</v>
      </c>
      <c r="F23" s="40">
        <f t="shared" si="36"/>
        <v>36230.400000000001</v>
      </c>
      <c r="G23" s="97">
        <v>275416</v>
      </c>
      <c r="H23" s="40">
        <f t="shared" ref="H23" si="349">(+G23-+G22)*48</f>
        <v>1584</v>
      </c>
      <c r="I23" s="97">
        <v>87756</v>
      </c>
      <c r="J23" s="40">
        <f t="shared" ref="J23" si="350">(+I23-+I22)*48</f>
        <v>8016</v>
      </c>
      <c r="K23" s="97">
        <v>254710</v>
      </c>
      <c r="L23" s="40">
        <f t="shared" si="31"/>
        <v>432</v>
      </c>
      <c r="M23" s="97">
        <v>24384</v>
      </c>
      <c r="N23" s="40">
        <f t="shared" ref="N23" si="351">(+M23-+M22)*48</f>
        <v>0</v>
      </c>
      <c r="O23" s="97">
        <v>223447</v>
      </c>
      <c r="P23" s="40">
        <f t="shared" ref="P23" si="352">(+O23-+O22)*48</f>
        <v>9312</v>
      </c>
      <c r="Q23" s="97">
        <v>434183</v>
      </c>
      <c r="R23" s="40">
        <f t="shared" ref="R23" si="353">(+Q23-+Q22)*48</f>
        <v>528</v>
      </c>
      <c r="S23" s="97">
        <v>696658</v>
      </c>
      <c r="T23" s="40">
        <f t="shared" ref="T23" si="354">(+S23-+S22)*48</f>
        <v>6480</v>
      </c>
      <c r="U23" s="97">
        <v>95045.471000000005</v>
      </c>
      <c r="V23" s="41">
        <f t="shared" ref="V23" si="355">(+U23-+U22)*48</f>
        <v>826.89599999994971</v>
      </c>
      <c r="W23" s="97">
        <v>77827</v>
      </c>
      <c r="X23" s="40">
        <f t="shared" ref="X23" si="356">(+W23-+W22)*48</f>
        <v>1248</v>
      </c>
      <c r="Y23" s="97">
        <v>1479399</v>
      </c>
      <c r="Z23" s="40">
        <f t="shared" ref="Z23" si="357">(+Y23-+Y22)*48</f>
        <v>19152</v>
      </c>
      <c r="AA23" s="34">
        <v>13166</v>
      </c>
      <c r="AB23" s="40">
        <f t="shared" ref="AB23" si="358">(+AA23-+AA22)*48</f>
        <v>0</v>
      </c>
      <c r="AC23" s="97">
        <v>432837</v>
      </c>
      <c r="AD23" s="40">
        <f t="shared" si="47"/>
        <v>4560</v>
      </c>
      <c r="AE23" s="97">
        <v>510321</v>
      </c>
      <c r="AF23" s="40">
        <f t="shared" si="47"/>
        <v>4896</v>
      </c>
      <c r="AG23" s="97">
        <v>48797</v>
      </c>
      <c r="AH23" s="40">
        <f t="shared" ref="AH23" si="359">(+AG23-+AG22)*48</f>
        <v>192</v>
      </c>
      <c r="AI23" s="97">
        <v>392351</v>
      </c>
      <c r="AJ23" s="40">
        <f t="shared" ref="AJ23" si="360">(+AI23-+AI22)*48</f>
        <v>3696</v>
      </c>
      <c r="AK23" s="34">
        <v>102371</v>
      </c>
      <c r="AL23" s="40">
        <f t="shared" ref="AL23" si="361">(+AK23-+AK22)*48</f>
        <v>0</v>
      </c>
      <c r="AM23" s="97">
        <v>556908</v>
      </c>
      <c r="AN23" s="40">
        <f t="shared" ref="AN23" si="362">(+AM23-+AM22)*48</f>
        <v>4896</v>
      </c>
      <c r="AO23" s="97">
        <v>894434</v>
      </c>
      <c r="AP23" s="40">
        <f t="shared" ref="AP23" si="363">(+AO23-+AO22)*48</f>
        <v>9120</v>
      </c>
      <c r="AQ23" s="97">
        <v>68172</v>
      </c>
      <c r="AR23" s="40">
        <f t="shared" ref="AR23" si="364">(+AQ23-+AQ22)*48</f>
        <v>6912</v>
      </c>
      <c r="AS23" s="34">
        <v>2204</v>
      </c>
      <c r="AT23" s="40">
        <f t="shared" ref="AT23" si="365">(+AS23-+AS22)*48</f>
        <v>0</v>
      </c>
      <c r="AU23" s="34">
        <v>918</v>
      </c>
      <c r="AV23" s="40">
        <f t="shared" ref="AV23" si="366">(+AU23-+AU22)*48</f>
        <v>0</v>
      </c>
      <c r="AW23" s="34">
        <v>3108</v>
      </c>
      <c r="AX23" s="40">
        <f t="shared" ref="AX23" si="367">(+AW23-+AW22)*48</f>
        <v>0</v>
      </c>
      <c r="AY23" s="97">
        <v>299854</v>
      </c>
      <c r="AZ23" s="40">
        <f t="shared" ref="AZ23" si="368">(+AY23-+AY22)*48</f>
        <v>3456</v>
      </c>
      <c r="BA23" s="34">
        <v>160167</v>
      </c>
      <c r="BB23" s="40">
        <f t="shared" ref="BB23" si="369">(+BA23-+BA22)*48</f>
        <v>0</v>
      </c>
      <c r="BC23" s="97">
        <v>205436</v>
      </c>
      <c r="BD23" s="40">
        <f t="shared" ref="BD23" si="370">(+BC23-+BC22)*48</f>
        <v>2448</v>
      </c>
      <c r="BE23" s="34">
        <v>5347</v>
      </c>
      <c r="BF23" s="40">
        <f t="shared" ref="BF23" si="371">(+BE23-+BE22)*48</f>
        <v>0</v>
      </c>
      <c r="BH23" s="39">
        <f t="shared" si="32"/>
        <v>115268.49599999996</v>
      </c>
      <c r="BI23" s="39">
        <f t="shared" si="33"/>
        <v>63062.400000000001</v>
      </c>
    </row>
    <row r="24" spans="1:61" s="37" customFormat="1" ht="39.950000000000003" customHeight="1" x14ac:dyDescent="0.35">
      <c r="A24" s="33">
        <v>44120</v>
      </c>
      <c r="B24" s="36"/>
      <c r="C24" s="97">
        <v>5535516</v>
      </c>
      <c r="D24" s="40">
        <f t="shared" ref="D24" si="372">(+C24-+C23)*48</f>
        <v>88272</v>
      </c>
      <c r="E24" s="32">
        <f t="shared" si="35"/>
        <v>52963.199999999997</v>
      </c>
      <c r="F24" s="40">
        <f t="shared" si="36"/>
        <v>35308.800000000003</v>
      </c>
      <c r="G24" s="97">
        <v>275450</v>
      </c>
      <c r="H24" s="40">
        <f t="shared" ref="H24" si="373">(+G24-+G23)*48</f>
        <v>1632</v>
      </c>
      <c r="I24" s="97">
        <v>87928</v>
      </c>
      <c r="J24" s="40">
        <f t="shared" ref="J24" si="374">(+I24-+I23)*48</f>
        <v>8256</v>
      </c>
      <c r="K24" s="97">
        <v>254748</v>
      </c>
      <c r="L24" s="40">
        <f t="shared" si="31"/>
        <v>1824</v>
      </c>
      <c r="M24" s="97">
        <v>24384</v>
      </c>
      <c r="N24" s="40">
        <f t="shared" ref="N24" si="375">(+M24-+M23)*48</f>
        <v>0</v>
      </c>
      <c r="O24" s="97">
        <v>223632</v>
      </c>
      <c r="P24" s="40">
        <f t="shared" ref="P24" si="376">(+O24-+O23)*48</f>
        <v>8880</v>
      </c>
      <c r="Q24" s="97">
        <v>434243</v>
      </c>
      <c r="R24" s="40">
        <f t="shared" ref="R24" si="377">(+Q24-+Q23)*48</f>
        <v>2880</v>
      </c>
      <c r="S24" s="97">
        <v>696780</v>
      </c>
      <c r="T24" s="40">
        <f t="shared" ref="T24" si="378">(+S24-+S23)*48</f>
        <v>5856</v>
      </c>
      <c r="U24" s="97">
        <v>95064.838000000003</v>
      </c>
      <c r="V24" s="41">
        <f t="shared" ref="V24" si="379">(+U24-+U23)*48</f>
        <v>929.61599999992177</v>
      </c>
      <c r="W24" s="97">
        <v>77843</v>
      </c>
      <c r="X24" s="40">
        <f t="shared" ref="X24" si="380">(+W24-+W23)*48</f>
        <v>768</v>
      </c>
      <c r="Y24" s="97">
        <v>1479693</v>
      </c>
      <c r="Z24" s="40">
        <f t="shared" ref="Z24" si="381">(+Y24-+Y23)*48</f>
        <v>14112</v>
      </c>
      <c r="AA24" s="34">
        <v>13166</v>
      </c>
      <c r="AB24" s="40">
        <f t="shared" ref="AB24" si="382">(+AA24-+AA23)*48</f>
        <v>0</v>
      </c>
      <c r="AC24" s="97">
        <v>432931</v>
      </c>
      <c r="AD24" s="40">
        <f t="shared" si="47"/>
        <v>4512</v>
      </c>
      <c r="AE24" s="97">
        <v>510424</v>
      </c>
      <c r="AF24" s="40">
        <f t="shared" si="47"/>
        <v>4944</v>
      </c>
      <c r="AG24" s="97">
        <v>48801</v>
      </c>
      <c r="AH24" s="40">
        <f t="shared" ref="AH24" si="383">(+AG24-+AG23)*48</f>
        <v>192</v>
      </c>
      <c r="AI24" s="97">
        <v>392433</v>
      </c>
      <c r="AJ24" s="40">
        <f t="shared" ref="AJ24" si="384">(+AI24-+AI23)*48</f>
        <v>3936</v>
      </c>
      <c r="AK24" s="34">
        <v>102371</v>
      </c>
      <c r="AL24" s="40">
        <f t="shared" ref="AL24" si="385">(+AK24-+AK23)*48</f>
        <v>0</v>
      </c>
      <c r="AM24" s="97">
        <v>557042</v>
      </c>
      <c r="AN24" s="40">
        <f t="shared" ref="AN24" si="386">(+AM24-+AM23)*48</f>
        <v>6432</v>
      </c>
      <c r="AO24" s="97">
        <v>894616</v>
      </c>
      <c r="AP24" s="40">
        <f t="shared" ref="AP24" si="387">(+AO24-+AO23)*48</f>
        <v>8736</v>
      </c>
      <c r="AQ24" s="97">
        <v>68325</v>
      </c>
      <c r="AR24" s="40">
        <f t="shared" ref="AR24" si="388">(+AQ24-+AQ23)*48</f>
        <v>7344</v>
      </c>
      <c r="AS24" s="34">
        <v>2204</v>
      </c>
      <c r="AT24" s="40">
        <f t="shared" ref="AT24" si="389">(+AS24-+AS23)*48</f>
        <v>0</v>
      </c>
      <c r="AU24" s="34">
        <v>918</v>
      </c>
      <c r="AV24" s="40">
        <f t="shared" ref="AV24" si="390">(+AU24-+AU23)*48</f>
        <v>0</v>
      </c>
      <c r="AW24" s="34">
        <v>3108</v>
      </c>
      <c r="AX24" s="40">
        <f t="shared" ref="AX24" si="391">(+AW24-+AW23)*48</f>
        <v>0</v>
      </c>
      <c r="AY24" s="97">
        <v>299937</v>
      </c>
      <c r="AZ24" s="40">
        <f t="shared" ref="AZ24" si="392">(+AY24-+AY23)*48</f>
        <v>3984</v>
      </c>
      <c r="BA24" s="34">
        <v>160167</v>
      </c>
      <c r="BB24" s="40">
        <f t="shared" ref="BB24" si="393">(+BA24-+BA23)*48</f>
        <v>0</v>
      </c>
      <c r="BC24" s="97">
        <v>205487</v>
      </c>
      <c r="BD24" s="40">
        <f t="shared" ref="BD24" si="394">(+BC24-+BC23)*48</f>
        <v>2448</v>
      </c>
      <c r="BE24" s="34">
        <v>5347</v>
      </c>
      <c r="BF24" s="40">
        <f t="shared" ref="BF24" si="395">(+BE24-+BE23)*48</f>
        <v>0</v>
      </c>
      <c r="BH24" s="39">
        <f t="shared" si="32"/>
        <v>111684.81599999992</v>
      </c>
      <c r="BI24" s="39">
        <f t="shared" si="33"/>
        <v>64252.800000000003</v>
      </c>
    </row>
    <row r="25" spans="1:61" s="37" customFormat="1" ht="39.950000000000003" customHeight="1" x14ac:dyDescent="0.35">
      <c r="A25" s="33">
        <v>44121</v>
      </c>
      <c r="B25" s="36"/>
      <c r="C25" s="97">
        <v>5537492</v>
      </c>
      <c r="D25" s="40">
        <f t="shared" ref="D25" si="396">(+C25-+C24)*48</f>
        <v>94848</v>
      </c>
      <c r="E25" s="32">
        <f t="shared" si="35"/>
        <v>56908.799999999996</v>
      </c>
      <c r="F25" s="40">
        <f t="shared" si="36"/>
        <v>37939.200000000004</v>
      </c>
      <c r="G25" s="97">
        <v>275483</v>
      </c>
      <c r="H25" s="40">
        <f t="shared" ref="H25" si="397">(+G25-+G24)*48</f>
        <v>1584</v>
      </c>
      <c r="I25" s="97">
        <v>88102</v>
      </c>
      <c r="J25" s="40">
        <f t="shared" ref="J25" si="398">(+I25-+I24)*48</f>
        <v>8352</v>
      </c>
      <c r="K25" s="97">
        <v>254791</v>
      </c>
      <c r="L25" s="40">
        <f t="shared" si="31"/>
        <v>2064</v>
      </c>
      <c r="M25" s="97">
        <v>24384</v>
      </c>
      <c r="N25" s="40">
        <f t="shared" ref="N25" si="399">(+M25-+M24)*48</f>
        <v>0</v>
      </c>
      <c r="O25" s="97">
        <v>223837</v>
      </c>
      <c r="P25" s="40">
        <f t="shared" ref="P25" si="400">(+O25-+O24)*48</f>
        <v>9840</v>
      </c>
      <c r="Q25" s="97">
        <v>434285</v>
      </c>
      <c r="R25" s="40">
        <f t="shared" ref="R25" si="401">(+Q25-+Q24)*48</f>
        <v>2016</v>
      </c>
      <c r="S25" s="97">
        <v>696900</v>
      </c>
      <c r="T25" s="40">
        <f t="shared" ref="T25" si="402">(+S25-+S24)*48</f>
        <v>5760</v>
      </c>
      <c r="U25" s="97">
        <v>95084.27</v>
      </c>
      <c r="V25" s="41">
        <f t="shared" ref="V25" si="403">(+U25-+U24)*48</f>
        <v>932.73600000003353</v>
      </c>
      <c r="W25" s="97">
        <v>77868</v>
      </c>
      <c r="X25" s="40">
        <f t="shared" ref="X25" si="404">(+W25-+W24)*48</f>
        <v>1200</v>
      </c>
      <c r="Y25" s="97">
        <v>1479931</v>
      </c>
      <c r="Z25" s="40">
        <f t="shared" ref="Z25" si="405">(+Y25-+Y24)*48</f>
        <v>11424</v>
      </c>
      <c r="AA25" s="34">
        <v>13166</v>
      </c>
      <c r="AB25" s="40">
        <f t="shared" ref="AB25" si="406">(+AA25-+AA24)*48</f>
        <v>0</v>
      </c>
      <c r="AC25" s="97">
        <v>433020</v>
      </c>
      <c r="AD25" s="40">
        <f t="shared" si="47"/>
        <v>4272</v>
      </c>
      <c r="AE25" s="97">
        <v>510527</v>
      </c>
      <c r="AF25" s="40">
        <f t="shared" si="47"/>
        <v>4944</v>
      </c>
      <c r="AG25" s="97">
        <v>48805</v>
      </c>
      <c r="AH25" s="40">
        <f t="shared" ref="AH25" si="407">(+AG25-+AG24)*48</f>
        <v>192</v>
      </c>
      <c r="AI25" s="97">
        <v>392522</v>
      </c>
      <c r="AJ25" s="40">
        <f t="shared" ref="AJ25" si="408">(+AI25-+AI24)*48</f>
        <v>4272</v>
      </c>
      <c r="AK25" s="34">
        <v>102371</v>
      </c>
      <c r="AL25" s="40">
        <f t="shared" ref="AL25" si="409">(+AK25-+AK24)*48</f>
        <v>0</v>
      </c>
      <c r="AM25" s="97">
        <v>557153</v>
      </c>
      <c r="AN25" s="40">
        <f t="shared" ref="AN25" si="410">(+AM25-+AM24)*48</f>
        <v>5328</v>
      </c>
      <c r="AO25" s="97">
        <v>894798</v>
      </c>
      <c r="AP25" s="40">
        <f t="shared" ref="AP25" si="411">(+AO25-+AO24)*48</f>
        <v>8736</v>
      </c>
      <c r="AQ25" s="97">
        <v>68435</v>
      </c>
      <c r="AR25" s="40">
        <f t="shared" ref="AR25" si="412">(+AQ25-+AQ24)*48</f>
        <v>5280</v>
      </c>
      <c r="AS25" s="34">
        <v>2204</v>
      </c>
      <c r="AT25" s="40">
        <f t="shared" ref="AT25" si="413">(+AS25-+AS24)*48</f>
        <v>0</v>
      </c>
      <c r="AU25" s="34">
        <v>918</v>
      </c>
      <c r="AV25" s="40">
        <f t="shared" ref="AV25" si="414">(+AU25-+AU24)*48</f>
        <v>0</v>
      </c>
      <c r="AW25" s="34">
        <v>3108</v>
      </c>
      <c r="AX25" s="40">
        <f t="shared" ref="AX25" si="415">(+AW25-+AW24)*48</f>
        <v>0</v>
      </c>
      <c r="AY25" s="97">
        <v>300017</v>
      </c>
      <c r="AZ25" s="40">
        <f t="shared" ref="AZ25" si="416">(+AY25-+AY24)*48</f>
        <v>3840</v>
      </c>
      <c r="BA25" s="34">
        <v>160167</v>
      </c>
      <c r="BB25" s="40">
        <f t="shared" ref="BB25" si="417">(+BA25-+BA24)*48</f>
        <v>0</v>
      </c>
      <c r="BC25" s="97">
        <v>205536</v>
      </c>
      <c r="BD25" s="40">
        <f t="shared" ref="BD25" si="418">(+BC25-+BC24)*48</f>
        <v>2352</v>
      </c>
      <c r="BE25" s="34">
        <v>5347</v>
      </c>
      <c r="BF25" s="40">
        <f t="shared" ref="BF25" si="419">(+BE25-+BE24)*48</f>
        <v>0</v>
      </c>
      <c r="BH25" s="39">
        <f t="shared" si="32"/>
        <v>113761.53600000002</v>
      </c>
      <c r="BI25" s="39">
        <f t="shared" si="33"/>
        <v>63475.200000000004</v>
      </c>
    </row>
    <row r="26" spans="1:61" s="37" customFormat="1" ht="39.950000000000003" customHeight="1" x14ac:dyDescent="0.35">
      <c r="A26" s="33">
        <v>44122</v>
      </c>
      <c r="B26" s="36"/>
      <c r="C26" s="97">
        <v>5539564</v>
      </c>
      <c r="D26" s="40">
        <f t="shared" ref="D26" si="420">(+C26-+C25)*48</f>
        <v>99456</v>
      </c>
      <c r="E26" s="32">
        <f t="shared" si="35"/>
        <v>59673.599999999999</v>
      </c>
      <c r="F26" s="40">
        <f t="shared" si="36"/>
        <v>39782.400000000001</v>
      </c>
      <c r="G26" s="97">
        <v>275513</v>
      </c>
      <c r="H26" s="40">
        <f t="shared" ref="H26" si="421">(+G26-+G25)*48</f>
        <v>1440</v>
      </c>
      <c r="I26" s="97">
        <v>88283</v>
      </c>
      <c r="J26" s="40">
        <f t="shared" ref="J26" si="422">(+I26-+I25)*48</f>
        <v>8688</v>
      </c>
      <c r="K26" s="97">
        <v>254828</v>
      </c>
      <c r="L26" s="40">
        <f t="shared" si="31"/>
        <v>1776</v>
      </c>
      <c r="M26" s="97">
        <v>24384</v>
      </c>
      <c r="N26" s="40">
        <f t="shared" ref="N26" si="423">(+M26-+M25)*48</f>
        <v>0</v>
      </c>
      <c r="O26" s="97">
        <v>224039</v>
      </c>
      <c r="P26" s="40">
        <f t="shared" ref="P26" si="424">(+O26-+O25)*48</f>
        <v>9696</v>
      </c>
      <c r="Q26" s="97">
        <v>434344</v>
      </c>
      <c r="R26" s="40">
        <f t="shared" ref="R26" si="425">(+Q26-+Q25)*48</f>
        <v>2832</v>
      </c>
      <c r="S26" s="97">
        <v>697025</v>
      </c>
      <c r="T26" s="40">
        <f t="shared" ref="T26" si="426">(+S26-+S25)*48</f>
        <v>6000</v>
      </c>
      <c r="U26" s="97">
        <v>95110.014999999999</v>
      </c>
      <c r="V26" s="41">
        <f t="shared" ref="V26" si="427">(+U26-+U25)*48</f>
        <v>1235.7599999997765</v>
      </c>
      <c r="W26" s="97">
        <v>77894</v>
      </c>
      <c r="X26" s="40">
        <f t="shared" ref="X26" si="428">(+W26-+W25)*48</f>
        <v>1248</v>
      </c>
      <c r="Y26" s="97">
        <v>1480204</v>
      </c>
      <c r="Z26" s="40">
        <f t="shared" ref="Z26" si="429">(+Y26-+Y25)*48</f>
        <v>13104</v>
      </c>
      <c r="AA26" s="34">
        <v>13166</v>
      </c>
      <c r="AB26" s="40">
        <f t="shared" ref="AB26" si="430">(+AA26-+AA25)*48</f>
        <v>0</v>
      </c>
      <c r="AC26" s="97">
        <v>433091</v>
      </c>
      <c r="AD26" s="40">
        <f t="shared" si="47"/>
        <v>3408</v>
      </c>
      <c r="AE26" s="97">
        <v>510635</v>
      </c>
      <c r="AF26" s="40">
        <f t="shared" si="47"/>
        <v>5184</v>
      </c>
      <c r="AG26" s="97">
        <v>48809</v>
      </c>
      <c r="AH26" s="40">
        <f t="shared" ref="AH26" si="431">(+AG26-+AG25)*48</f>
        <v>192</v>
      </c>
      <c r="AI26" s="97">
        <v>392636</v>
      </c>
      <c r="AJ26" s="40">
        <f t="shared" ref="AJ26" si="432">(+AI26-+AI25)*48</f>
        <v>5472</v>
      </c>
      <c r="AK26" s="34">
        <v>102371</v>
      </c>
      <c r="AL26" s="40">
        <f t="shared" ref="AL26" si="433">(+AK26-+AK25)*48</f>
        <v>0</v>
      </c>
      <c r="AM26" s="97">
        <v>557268</v>
      </c>
      <c r="AN26" s="40">
        <f t="shared" ref="AN26" si="434">(+AM26-+AM25)*48</f>
        <v>5520</v>
      </c>
      <c r="AO26" s="97">
        <v>894981</v>
      </c>
      <c r="AP26" s="40">
        <f t="shared" ref="AP26" si="435">(+AO26-+AO25)*48</f>
        <v>8784</v>
      </c>
      <c r="AQ26" s="97">
        <v>68513</v>
      </c>
      <c r="AR26" s="40">
        <f t="shared" ref="AR26" si="436">(+AQ26-+AQ25)*48</f>
        <v>3744</v>
      </c>
      <c r="AS26" s="34">
        <v>2204</v>
      </c>
      <c r="AT26" s="40">
        <f t="shared" ref="AT26" si="437">(+AS26-+AS25)*48</f>
        <v>0</v>
      </c>
      <c r="AU26" s="34">
        <v>918</v>
      </c>
      <c r="AV26" s="40">
        <f t="shared" ref="AV26" si="438">(+AU26-+AU25)*48</f>
        <v>0</v>
      </c>
      <c r="AW26" s="34">
        <v>3108</v>
      </c>
      <c r="AX26" s="40">
        <f t="shared" ref="AX26" si="439">(+AW26-+AW25)*48</f>
        <v>0</v>
      </c>
      <c r="AY26" s="97">
        <v>300100</v>
      </c>
      <c r="AZ26" s="40">
        <f t="shared" ref="AZ26" si="440">(+AY26-+AY25)*48</f>
        <v>3984</v>
      </c>
      <c r="BA26" s="34">
        <v>160167</v>
      </c>
      <c r="BB26" s="40">
        <f t="shared" ref="BB26" si="441">(+BA26-+BA25)*48</f>
        <v>0</v>
      </c>
      <c r="BC26" s="97">
        <v>205587</v>
      </c>
      <c r="BD26" s="40">
        <f t="shared" ref="BD26" si="442">(+BC26-+BC25)*48</f>
        <v>2448</v>
      </c>
      <c r="BE26" s="34">
        <v>5347</v>
      </c>
      <c r="BF26" s="40">
        <f t="shared" ref="BF26" si="443">(+BE26-+BE25)*48</f>
        <v>0</v>
      </c>
      <c r="BH26" s="39">
        <f t="shared" si="32"/>
        <v>119949.35999999978</v>
      </c>
      <c r="BI26" s="39">
        <f t="shared" si="33"/>
        <v>64262.400000000001</v>
      </c>
    </row>
    <row r="27" spans="1:61" s="37" customFormat="1" ht="39.950000000000003" customHeight="1" x14ac:dyDescent="0.35">
      <c r="A27" s="33">
        <v>44123</v>
      </c>
      <c r="B27" s="36"/>
      <c r="C27" s="97">
        <v>5541590</v>
      </c>
      <c r="D27" s="40">
        <f t="shared" ref="D27" si="444">(+C27-+C26)*48</f>
        <v>97248</v>
      </c>
      <c r="E27" s="32">
        <f t="shared" si="35"/>
        <v>58348.799999999996</v>
      </c>
      <c r="F27" s="40">
        <f t="shared" si="36"/>
        <v>38899.200000000004</v>
      </c>
      <c r="G27" s="97">
        <v>275543</v>
      </c>
      <c r="H27" s="40">
        <f t="shared" ref="H27" si="445">(+G27-+G26)*48</f>
        <v>1440</v>
      </c>
      <c r="I27" s="97">
        <v>88457</v>
      </c>
      <c r="J27" s="40">
        <f t="shared" ref="J27" si="446">(+I27-+I26)*48</f>
        <v>8352</v>
      </c>
      <c r="K27" s="97">
        <v>254872</v>
      </c>
      <c r="L27" s="40">
        <f t="shared" si="31"/>
        <v>2112</v>
      </c>
      <c r="M27" s="97">
        <v>24384</v>
      </c>
      <c r="N27" s="40">
        <f t="shared" ref="N27" si="447">(+M27-+M26)*48</f>
        <v>0</v>
      </c>
      <c r="O27" s="97">
        <v>224241</v>
      </c>
      <c r="P27" s="40">
        <f t="shared" ref="P27" si="448">(+O27-+O26)*48</f>
        <v>9696</v>
      </c>
      <c r="Q27" s="97">
        <v>434426</v>
      </c>
      <c r="R27" s="40">
        <f t="shared" ref="R27" si="449">(+Q27-+Q26)*48</f>
        <v>3936</v>
      </c>
      <c r="S27" s="97">
        <v>697177</v>
      </c>
      <c r="T27" s="40">
        <f t="shared" ref="T27" si="450">(+S27-+S26)*48</f>
        <v>7296</v>
      </c>
      <c r="U27" s="97">
        <v>95136.123000000007</v>
      </c>
      <c r="V27" s="41">
        <f t="shared" ref="V27" si="451">(+U27-+U26)*48</f>
        <v>1253.1840000003576</v>
      </c>
      <c r="W27" s="97">
        <v>77920</v>
      </c>
      <c r="X27" s="40">
        <f t="shared" ref="X27" si="452">(+W27-+W26)*48</f>
        <v>1248</v>
      </c>
      <c r="Y27" s="97">
        <v>1480480</v>
      </c>
      <c r="Z27" s="40">
        <f t="shared" ref="Z27" si="453">(+Y27-+Y26)*48</f>
        <v>13248</v>
      </c>
      <c r="AA27" s="34">
        <v>13166</v>
      </c>
      <c r="AB27" s="40">
        <f t="shared" ref="AB27" si="454">(+AA27-+AA26)*48</f>
        <v>0</v>
      </c>
      <c r="AC27" s="97">
        <v>433178</v>
      </c>
      <c r="AD27" s="40">
        <f t="shared" si="47"/>
        <v>4176</v>
      </c>
      <c r="AE27" s="97">
        <v>510745</v>
      </c>
      <c r="AF27" s="40">
        <f t="shared" si="47"/>
        <v>5280</v>
      </c>
      <c r="AG27" s="97">
        <v>48815</v>
      </c>
      <c r="AH27" s="40">
        <f t="shared" ref="AH27" si="455">(+AG27-+AG26)*48</f>
        <v>288</v>
      </c>
      <c r="AI27" s="97">
        <v>392753</v>
      </c>
      <c r="AJ27" s="40">
        <f t="shared" ref="AJ27" si="456">(+AI27-+AI26)*48</f>
        <v>5616</v>
      </c>
      <c r="AK27" s="34">
        <v>102371</v>
      </c>
      <c r="AL27" s="40">
        <f t="shared" ref="AL27" si="457">(+AK27-+AK26)*48</f>
        <v>0</v>
      </c>
      <c r="AM27" s="97">
        <v>557384</v>
      </c>
      <c r="AN27" s="40">
        <f t="shared" ref="AN27" si="458">(+AM27-+AM26)*48</f>
        <v>5568</v>
      </c>
      <c r="AO27" s="97">
        <v>895166</v>
      </c>
      <c r="AP27" s="40">
        <f t="shared" ref="AP27" si="459">(+AO27-+AO26)*48</f>
        <v>8880</v>
      </c>
      <c r="AQ27" s="97">
        <v>68651</v>
      </c>
      <c r="AR27" s="40">
        <f t="shared" ref="AR27" si="460">(+AQ27-+AQ26)*48</f>
        <v>6624</v>
      </c>
      <c r="AS27" s="34">
        <v>2204</v>
      </c>
      <c r="AT27" s="40">
        <f t="shared" ref="AT27" si="461">(+AS27-+AS26)*48</f>
        <v>0</v>
      </c>
      <c r="AU27" s="34">
        <v>918</v>
      </c>
      <c r="AV27" s="40">
        <f t="shared" ref="AV27" si="462">(+AU27-+AU26)*48</f>
        <v>0</v>
      </c>
      <c r="AW27" s="34">
        <v>3108</v>
      </c>
      <c r="AX27" s="40">
        <f t="shared" ref="AX27" si="463">(+AW27-+AW26)*48</f>
        <v>0</v>
      </c>
      <c r="AY27" s="97">
        <v>300180</v>
      </c>
      <c r="AZ27" s="40">
        <f t="shared" ref="AZ27" si="464">(+AY27-+AY26)*48</f>
        <v>3840</v>
      </c>
      <c r="BA27" s="34">
        <v>160167</v>
      </c>
      <c r="BB27" s="40">
        <f t="shared" ref="BB27" si="465">(+BA27-+BA26)*48</f>
        <v>0</v>
      </c>
      <c r="BC27" s="97">
        <v>205636</v>
      </c>
      <c r="BD27" s="40">
        <f t="shared" ref="BD27" si="466">(+BC27-+BC26)*48</f>
        <v>2352</v>
      </c>
      <c r="BE27" s="34">
        <v>5347</v>
      </c>
      <c r="BF27" s="40">
        <f t="shared" ref="BF27" si="467">(+BE27-+BE26)*48</f>
        <v>0</v>
      </c>
      <c r="BH27" s="39">
        <f t="shared" si="32"/>
        <v>122289.98400000035</v>
      </c>
      <c r="BI27" s="39">
        <f t="shared" si="33"/>
        <v>66163.200000000012</v>
      </c>
    </row>
    <row r="28" spans="1:61" s="37" customFormat="1" ht="39.950000000000003" customHeight="1" x14ac:dyDescent="0.35">
      <c r="A28" s="33">
        <v>44124</v>
      </c>
      <c r="B28" s="36"/>
      <c r="C28" s="97">
        <v>5543868</v>
      </c>
      <c r="D28" s="40">
        <f t="shared" ref="D28" si="468">(+C28-+C27)*48</f>
        <v>109344</v>
      </c>
      <c r="E28" s="32">
        <f t="shared" si="35"/>
        <v>65606.399999999994</v>
      </c>
      <c r="F28" s="40">
        <f t="shared" si="36"/>
        <v>43737.600000000006</v>
      </c>
      <c r="G28" s="97">
        <v>275573</v>
      </c>
      <c r="H28" s="40">
        <f t="shared" ref="H28" si="469">(+G28-+G27)*48</f>
        <v>1440</v>
      </c>
      <c r="I28" s="97">
        <v>88639</v>
      </c>
      <c r="J28" s="40">
        <f t="shared" ref="J28" si="470">(+I28-+I27)*48</f>
        <v>8736</v>
      </c>
      <c r="K28" s="97">
        <v>254915</v>
      </c>
      <c r="L28" s="40">
        <f t="shared" si="31"/>
        <v>2064</v>
      </c>
      <c r="M28" s="97">
        <v>24384</v>
      </c>
      <c r="N28" s="40">
        <f t="shared" ref="N28" si="471">(+M28-+M27)*48</f>
        <v>0</v>
      </c>
      <c r="O28" s="97">
        <v>224414</v>
      </c>
      <c r="P28" s="40">
        <f t="shared" ref="P28" si="472">(+O28-+O27)*48</f>
        <v>8304</v>
      </c>
      <c r="Q28" s="97">
        <v>434494</v>
      </c>
      <c r="R28" s="40">
        <f t="shared" ref="R28" si="473">(+Q28-+Q27)*48</f>
        <v>3264</v>
      </c>
      <c r="S28" s="97">
        <v>697332</v>
      </c>
      <c r="T28" s="40">
        <f t="shared" ref="T28" si="474">(+S28-+S27)*48</f>
        <v>7440</v>
      </c>
      <c r="U28" s="97">
        <v>95153.688999999998</v>
      </c>
      <c r="V28" s="41">
        <f t="shared" ref="V28" si="475">(+U28-+U27)*48</f>
        <v>843.16799999959767</v>
      </c>
      <c r="W28" s="97">
        <v>77937</v>
      </c>
      <c r="X28" s="40">
        <f t="shared" ref="X28" si="476">(+W28-+W27)*48</f>
        <v>816</v>
      </c>
      <c r="Y28" s="97">
        <v>1480752</v>
      </c>
      <c r="Z28" s="40">
        <f t="shared" ref="Z28" si="477">(+Y28-+Y27)*48</f>
        <v>13056</v>
      </c>
      <c r="AA28" s="34">
        <v>13166</v>
      </c>
      <c r="AB28" s="40">
        <f t="shared" ref="AB28" si="478">(+AA28-+AA27)*48</f>
        <v>0</v>
      </c>
      <c r="AC28" s="97">
        <v>433290</v>
      </c>
      <c r="AD28" s="40">
        <f t="shared" si="47"/>
        <v>5376</v>
      </c>
      <c r="AE28" s="97">
        <v>510855</v>
      </c>
      <c r="AF28" s="40">
        <f t="shared" si="47"/>
        <v>5280</v>
      </c>
      <c r="AG28" s="97">
        <v>48822</v>
      </c>
      <c r="AH28" s="40">
        <f t="shared" ref="AH28" si="479">(+AG28-+AG27)*48</f>
        <v>336</v>
      </c>
      <c r="AI28" s="97">
        <v>392869</v>
      </c>
      <c r="AJ28" s="40">
        <f t="shared" ref="AJ28" si="480">(+AI28-+AI27)*48</f>
        <v>5568</v>
      </c>
      <c r="AK28" s="34">
        <v>102371</v>
      </c>
      <c r="AL28" s="40">
        <f t="shared" ref="AL28" si="481">(+AK28-+AK27)*48</f>
        <v>0</v>
      </c>
      <c r="AM28" s="97">
        <v>557490</v>
      </c>
      <c r="AN28" s="40">
        <f t="shared" ref="AN28" si="482">(+AM28-+AM27)*48</f>
        <v>5088</v>
      </c>
      <c r="AO28" s="97">
        <v>895360</v>
      </c>
      <c r="AP28" s="40">
        <f t="shared" ref="AP28" si="483">(+AO28-+AO27)*48</f>
        <v>9312</v>
      </c>
      <c r="AQ28" s="97">
        <v>68779</v>
      </c>
      <c r="AR28" s="40">
        <f t="shared" ref="AR28" si="484">(+AQ28-+AQ27)*48</f>
        <v>6144</v>
      </c>
      <c r="AS28" s="34">
        <v>2204</v>
      </c>
      <c r="AT28" s="40">
        <f t="shared" ref="AT28" si="485">(+AS28-+AS27)*48</f>
        <v>0</v>
      </c>
      <c r="AU28" s="34">
        <v>918</v>
      </c>
      <c r="AV28" s="40">
        <f t="shared" ref="AV28" si="486">(+AU28-+AU27)*48</f>
        <v>0</v>
      </c>
      <c r="AW28" s="34">
        <v>3108</v>
      </c>
      <c r="AX28" s="40">
        <f t="shared" ref="AX28" si="487">(+AW28-+AW27)*48</f>
        <v>0</v>
      </c>
      <c r="AY28" s="97">
        <v>300262</v>
      </c>
      <c r="AZ28" s="40">
        <f t="shared" ref="AZ28" si="488">(+AY28-+AY27)*48</f>
        <v>3936</v>
      </c>
      <c r="BA28" s="34">
        <v>160167</v>
      </c>
      <c r="BB28" s="40">
        <f t="shared" ref="BB28" si="489">(+BA28-+BA27)*48</f>
        <v>0</v>
      </c>
      <c r="BC28" s="97">
        <v>205686</v>
      </c>
      <c r="BD28" s="40">
        <f t="shared" ref="BD28" si="490">(+BC28-+BC27)*48</f>
        <v>2400</v>
      </c>
      <c r="BE28" s="34">
        <v>5347</v>
      </c>
      <c r="BF28" s="40">
        <f t="shared" ref="BF28" si="491">(+BE28-+BE27)*48</f>
        <v>0</v>
      </c>
      <c r="BH28" s="39">
        <f t="shared" si="32"/>
        <v>128129.56799999959</v>
      </c>
      <c r="BI28" s="39">
        <f t="shared" si="33"/>
        <v>70617.600000000006</v>
      </c>
    </row>
    <row r="29" spans="1:61" s="37" customFormat="1" ht="39.950000000000003" customHeight="1" x14ac:dyDescent="0.35">
      <c r="A29" s="33">
        <v>44125</v>
      </c>
      <c r="B29" s="36"/>
      <c r="C29" s="97">
        <v>5545785</v>
      </c>
      <c r="D29" s="40">
        <f t="shared" ref="D29" si="492">(+C29-+C28)*48</f>
        <v>92016</v>
      </c>
      <c r="E29" s="32">
        <f t="shared" si="35"/>
        <v>55209.599999999999</v>
      </c>
      <c r="F29" s="40">
        <f t="shared" si="36"/>
        <v>36806.400000000001</v>
      </c>
      <c r="G29" s="97">
        <v>275600</v>
      </c>
      <c r="H29" s="40">
        <f t="shared" ref="H29" si="493">(+G29-+G28)*48</f>
        <v>1296</v>
      </c>
      <c r="I29" s="97">
        <v>88810</v>
      </c>
      <c r="J29" s="40">
        <f t="shared" ref="J29" si="494">(+I29-+I28)*48</f>
        <v>8208</v>
      </c>
      <c r="K29" s="97">
        <v>254950</v>
      </c>
      <c r="L29" s="40">
        <f t="shared" si="31"/>
        <v>1680</v>
      </c>
      <c r="M29" s="97">
        <v>24384</v>
      </c>
      <c r="N29" s="40">
        <f t="shared" ref="N29" si="495">(+M29-+M28)*48</f>
        <v>0</v>
      </c>
      <c r="O29" s="97">
        <v>224606</v>
      </c>
      <c r="P29" s="40">
        <f t="shared" ref="P29" si="496">(+O29-+O28)*48</f>
        <v>9216</v>
      </c>
      <c r="Q29" s="97">
        <v>434561</v>
      </c>
      <c r="R29" s="40">
        <f t="shared" ref="R29" si="497">(+Q29-+Q28)*48</f>
        <v>3216</v>
      </c>
      <c r="S29" s="97">
        <v>697473</v>
      </c>
      <c r="T29" s="40">
        <f t="shared" ref="T29" si="498">(+S29-+S28)*48</f>
        <v>6768</v>
      </c>
      <c r="U29" s="97">
        <v>95174.517000000007</v>
      </c>
      <c r="V29" s="41">
        <f t="shared" ref="V29" si="499">(+U29-+U28)*48</f>
        <v>999.74400000041351</v>
      </c>
      <c r="W29" s="97">
        <v>77962</v>
      </c>
      <c r="X29" s="40">
        <f t="shared" ref="X29" si="500">(+W29-+W28)*48</f>
        <v>1200</v>
      </c>
      <c r="Y29" s="97">
        <v>1480985</v>
      </c>
      <c r="Z29" s="40">
        <f t="shared" ref="Z29" si="501">(+Y29-+Y28)*48</f>
        <v>11184</v>
      </c>
      <c r="AA29" s="34">
        <v>13166</v>
      </c>
      <c r="AB29" s="40">
        <f t="shared" ref="AB29" si="502">(+AA29-+AA28)*48</f>
        <v>0</v>
      </c>
      <c r="AC29" s="97">
        <v>433397</v>
      </c>
      <c r="AD29" s="40">
        <f t="shared" si="47"/>
        <v>5136</v>
      </c>
      <c r="AE29" s="97">
        <v>510964</v>
      </c>
      <c r="AF29" s="40">
        <f t="shared" si="47"/>
        <v>5232</v>
      </c>
      <c r="AG29" s="97">
        <v>48827</v>
      </c>
      <c r="AH29" s="40">
        <f t="shared" ref="AH29" si="503">(+AG29-+AG28)*48</f>
        <v>240</v>
      </c>
      <c r="AI29" s="97">
        <v>392970</v>
      </c>
      <c r="AJ29" s="40">
        <f t="shared" ref="AJ29" si="504">(+AI29-+AI28)*48</f>
        <v>4848</v>
      </c>
      <c r="AK29" s="34">
        <v>102371</v>
      </c>
      <c r="AL29" s="40">
        <f t="shared" ref="AL29" si="505">(+AK29-+AK28)*48</f>
        <v>0</v>
      </c>
      <c r="AM29" s="97">
        <v>557595</v>
      </c>
      <c r="AN29" s="40">
        <f t="shared" ref="AN29" si="506">(+AM29-+AM28)*48</f>
        <v>5040</v>
      </c>
      <c r="AO29" s="97">
        <v>895563</v>
      </c>
      <c r="AP29" s="40">
        <f t="shared" ref="AP29" si="507">(+AO29-+AO28)*48</f>
        <v>9744</v>
      </c>
      <c r="AQ29" s="97">
        <v>68888</v>
      </c>
      <c r="AR29" s="40">
        <f t="shared" ref="AR29" si="508">(+AQ29-+AQ28)*48</f>
        <v>5232</v>
      </c>
      <c r="AS29" s="34">
        <v>2204</v>
      </c>
      <c r="AT29" s="40">
        <f t="shared" ref="AT29" si="509">(+AS29-+AS28)*48</f>
        <v>0</v>
      </c>
      <c r="AU29" s="34">
        <v>918</v>
      </c>
      <c r="AV29" s="40">
        <f t="shared" ref="AV29" si="510">(+AU29-+AU28)*48</f>
        <v>0</v>
      </c>
      <c r="AW29" s="34">
        <v>3108</v>
      </c>
      <c r="AX29" s="40">
        <f t="shared" ref="AX29" si="511">(+AW29-+AW28)*48</f>
        <v>0</v>
      </c>
      <c r="AY29" s="97">
        <v>300344</v>
      </c>
      <c r="AZ29" s="40">
        <f t="shared" ref="AZ29" si="512">(+AY29-+AY28)*48</f>
        <v>3936</v>
      </c>
      <c r="BA29" s="34">
        <v>160167</v>
      </c>
      <c r="BB29" s="40">
        <f t="shared" ref="BB29" si="513">(+BA29-+BA28)*48</f>
        <v>0</v>
      </c>
      <c r="BC29" s="97">
        <v>205737</v>
      </c>
      <c r="BD29" s="40">
        <f t="shared" ref="BD29" si="514">(+BC29-+BC28)*48</f>
        <v>2448</v>
      </c>
      <c r="BE29" s="34">
        <v>5347</v>
      </c>
      <c r="BF29" s="40">
        <f t="shared" ref="BF29" si="515">(+BE29-+BE28)*48</f>
        <v>0</v>
      </c>
      <c r="BH29" s="39">
        <f t="shared" si="32"/>
        <v>114433.34400000042</v>
      </c>
      <c r="BI29" s="39">
        <f t="shared" si="33"/>
        <v>63206.400000000001</v>
      </c>
    </row>
    <row r="30" spans="1:61" s="37" customFormat="1" ht="39.950000000000003" customHeight="1" x14ac:dyDescent="0.35">
      <c r="A30" s="33">
        <v>44126</v>
      </c>
      <c r="B30" s="36"/>
      <c r="C30" s="97">
        <v>5547866</v>
      </c>
      <c r="D30" s="40">
        <f t="shared" ref="D30" si="516">(+C30-+C29)*48</f>
        <v>99888</v>
      </c>
      <c r="E30" s="32">
        <f t="shared" si="35"/>
        <v>59932.799999999996</v>
      </c>
      <c r="F30" s="40">
        <f t="shared" si="36"/>
        <v>39955.200000000004</v>
      </c>
      <c r="G30" s="97">
        <v>275633</v>
      </c>
      <c r="H30" s="40">
        <f t="shared" ref="H30" si="517">(+G30-+G29)*48</f>
        <v>1584</v>
      </c>
      <c r="I30" s="97">
        <v>88979</v>
      </c>
      <c r="J30" s="40">
        <f t="shared" ref="J30" si="518">(+I30-+I29)*48</f>
        <v>8112</v>
      </c>
      <c r="K30" s="97">
        <v>254991</v>
      </c>
      <c r="L30" s="40">
        <f t="shared" si="31"/>
        <v>1968</v>
      </c>
      <c r="M30" s="97">
        <v>24384</v>
      </c>
      <c r="N30" s="40">
        <f t="shared" ref="N30" si="519">(+M30-+M29)*48</f>
        <v>0</v>
      </c>
      <c r="O30" s="97">
        <v>224794</v>
      </c>
      <c r="P30" s="40">
        <f t="shared" ref="P30" si="520">(+O30-+O29)*48</f>
        <v>9024</v>
      </c>
      <c r="Q30" s="97">
        <v>434616</v>
      </c>
      <c r="R30" s="40">
        <f t="shared" ref="R30" si="521">(+Q30-+Q29)*48</f>
        <v>2640</v>
      </c>
      <c r="S30" s="97">
        <v>697600</v>
      </c>
      <c r="T30" s="40">
        <f t="shared" ref="T30" si="522">(+S30-+S29)*48</f>
        <v>6096</v>
      </c>
      <c r="U30" s="97">
        <v>95196.226999999999</v>
      </c>
      <c r="V30" s="41">
        <f t="shared" ref="V30" si="523">(+U30-+U29)*48</f>
        <v>1042.0799999996088</v>
      </c>
      <c r="W30" s="97">
        <v>77988</v>
      </c>
      <c r="X30" s="40">
        <f t="shared" ref="X30" si="524">(+W30-+W29)*48</f>
        <v>1248</v>
      </c>
      <c r="Y30" s="97">
        <v>1481280</v>
      </c>
      <c r="Z30" s="40">
        <f t="shared" ref="Z30" si="525">(+Y30-+Y29)*48</f>
        <v>14160</v>
      </c>
      <c r="AA30" s="34">
        <v>13166</v>
      </c>
      <c r="AB30" s="40">
        <f t="shared" ref="AB30" si="526">(+AA30-+AA29)*48</f>
        <v>0</v>
      </c>
      <c r="AC30" s="97">
        <v>433504</v>
      </c>
      <c r="AD30" s="40">
        <f t="shared" si="47"/>
        <v>5136</v>
      </c>
      <c r="AE30" s="97">
        <v>511072</v>
      </c>
      <c r="AF30" s="40">
        <f t="shared" si="47"/>
        <v>5184</v>
      </c>
      <c r="AG30" s="97">
        <v>48831</v>
      </c>
      <c r="AH30" s="40">
        <f t="shared" ref="AH30" si="527">(+AG30-+AG29)*48</f>
        <v>192</v>
      </c>
      <c r="AI30" s="97">
        <v>393073</v>
      </c>
      <c r="AJ30" s="40">
        <f t="shared" ref="AJ30" si="528">(+AI30-+AI29)*48</f>
        <v>4944</v>
      </c>
      <c r="AK30" s="34">
        <v>102371</v>
      </c>
      <c r="AL30" s="40">
        <f t="shared" ref="AL30" si="529">(+AK30-+AK29)*48</f>
        <v>0</v>
      </c>
      <c r="AM30" s="97">
        <v>557682</v>
      </c>
      <c r="AN30" s="40">
        <f t="shared" ref="AN30" si="530">(+AM30-+AM29)*48</f>
        <v>4176</v>
      </c>
      <c r="AO30" s="97">
        <v>895745</v>
      </c>
      <c r="AP30" s="40">
        <f t="shared" ref="AP30" si="531">(+AO30-+AO29)*48</f>
        <v>8736</v>
      </c>
      <c r="AQ30" s="97">
        <v>68996</v>
      </c>
      <c r="AR30" s="40">
        <f t="shared" ref="AR30" si="532">(+AQ30-+AQ29)*48</f>
        <v>5184</v>
      </c>
      <c r="AS30" s="34">
        <v>2204</v>
      </c>
      <c r="AT30" s="40">
        <f t="shared" ref="AT30" si="533">(+AS30-+AS29)*48</f>
        <v>0</v>
      </c>
      <c r="AU30" s="34">
        <v>918</v>
      </c>
      <c r="AV30" s="40">
        <f t="shared" ref="AV30" si="534">(+AU30-+AU29)*48</f>
        <v>0</v>
      </c>
      <c r="AW30" s="34">
        <v>3108</v>
      </c>
      <c r="AX30" s="40">
        <f t="shared" ref="AX30" si="535">(+AW30-+AW29)*48</f>
        <v>0</v>
      </c>
      <c r="AY30" s="97">
        <v>300426</v>
      </c>
      <c r="AZ30" s="40">
        <f t="shared" ref="AZ30" si="536">(+AY30-+AY29)*48</f>
        <v>3936</v>
      </c>
      <c r="BA30" s="34">
        <v>160167</v>
      </c>
      <c r="BB30" s="40">
        <f t="shared" ref="BB30" si="537">(+BA30-+BA29)*48</f>
        <v>0</v>
      </c>
      <c r="BC30" s="97">
        <v>205786</v>
      </c>
      <c r="BD30" s="40">
        <f t="shared" ref="BD30" si="538">(+BC30-+BC29)*48</f>
        <v>2352</v>
      </c>
      <c r="BE30" s="34">
        <v>5347</v>
      </c>
      <c r="BF30" s="40">
        <f t="shared" ref="BF30" si="539">(+BE30-+BE29)*48</f>
        <v>0</v>
      </c>
      <c r="BH30" s="39">
        <f t="shared" si="32"/>
        <v>121262.8799999996</v>
      </c>
      <c r="BI30" s="39">
        <f t="shared" si="33"/>
        <v>64339.200000000004</v>
      </c>
    </row>
    <row r="31" spans="1:61" s="37" customFormat="1" ht="39.950000000000003" customHeight="1" x14ac:dyDescent="0.35">
      <c r="A31" s="33">
        <v>44127</v>
      </c>
      <c r="B31" s="36"/>
      <c r="C31" s="97">
        <v>5549895</v>
      </c>
      <c r="D31" s="40">
        <f t="shared" ref="D31" si="540">(+C31-+C30)*48</f>
        <v>97392</v>
      </c>
      <c r="E31" s="32">
        <f t="shared" si="35"/>
        <v>58435.199999999997</v>
      </c>
      <c r="F31" s="40">
        <f t="shared" si="36"/>
        <v>38956.800000000003</v>
      </c>
      <c r="G31" s="97">
        <v>275663</v>
      </c>
      <c r="H31" s="40">
        <f t="shared" ref="H31" si="541">(+G31-+G30)*48</f>
        <v>1440</v>
      </c>
      <c r="I31" s="97">
        <v>89153</v>
      </c>
      <c r="J31" s="40">
        <f t="shared" ref="J31" si="542">(+I31-+I30)*48</f>
        <v>8352</v>
      </c>
      <c r="K31" s="97">
        <v>255036</v>
      </c>
      <c r="L31" s="40">
        <f t="shared" si="31"/>
        <v>2160</v>
      </c>
      <c r="M31" s="97">
        <v>24384</v>
      </c>
      <c r="N31" s="40">
        <f t="shared" ref="N31" si="543">(+M31-+M30)*48</f>
        <v>0</v>
      </c>
      <c r="O31" s="97">
        <v>224986</v>
      </c>
      <c r="P31" s="40">
        <f t="shared" ref="P31" si="544">(+O31-+O30)*48</f>
        <v>9216</v>
      </c>
      <c r="Q31" s="97">
        <v>434699</v>
      </c>
      <c r="R31" s="40">
        <f t="shared" ref="R31" si="545">(+Q31-+Q30)*48</f>
        <v>3984</v>
      </c>
      <c r="S31" s="97">
        <v>697735</v>
      </c>
      <c r="T31" s="40">
        <f t="shared" ref="T31" si="546">(+S31-+S30)*48</f>
        <v>6480</v>
      </c>
      <c r="U31" s="97">
        <v>95216.39</v>
      </c>
      <c r="V31" s="41">
        <f t="shared" ref="V31" si="547">(+U31-+U30)*48</f>
        <v>967.82400000002235</v>
      </c>
      <c r="W31" s="97">
        <v>78013</v>
      </c>
      <c r="X31" s="40">
        <f t="shared" ref="X31" si="548">(+W31-+W30)*48</f>
        <v>1200</v>
      </c>
      <c r="Y31" s="97">
        <v>1481606</v>
      </c>
      <c r="Z31" s="40">
        <f t="shared" ref="Z31" si="549">(+Y31-+Y30)*48</f>
        <v>15648</v>
      </c>
      <c r="AA31" s="34">
        <v>13166</v>
      </c>
      <c r="AB31" s="40">
        <f t="shared" ref="AB31" si="550">(+AA31-+AA30)*48</f>
        <v>0</v>
      </c>
      <c r="AC31" s="97">
        <v>433603</v>
      </c>
      <c r="AD31" s="40">
        <f t="shared" si="47"/>
        <v>4752</v>
      </c>
      <c r="AE31" s="97">
        <v>511173</v>
      </c>
      <c r="AF31" s="40">
        <f t="shared" si="47"/>
        <v>4848</v>
      </c>
      <c r="AG31" s="97">
        <v>48835</v>
      </c>
      <c r="AH31" s="40">
        <f t="shared" ref="AH31" si="551">(+AG31-+AG30)*48</f>
        <v>192</v>
      </c>
      <c r="AI31" s="97">
        <v>393180</v>
      </c>
      <c r="AJ31" s="40">
        <f t="shared" ref="AJ31" si="552">(+AI31-+AI30)*48</f>
        <v>5136</v>
      </c>
      <c r="AK31" s="34">
        <v>102371</v>
      </c>
      <c r="AL31" s="40">
        <f t="shared" ref="AL31" si="553">(+AK31-+AK30)*48</f>
        <v>0</v>
      </c>
      <c r="AM31" s="97">
        <v>557755</v>
      </c>
      <c r="AN31" s="40">
        <f t="shared" ref="AN31" si="554">(+AM31-+AM30)*48</f>
        <v>3504</v>
      </c>
      <c r="AO31" s="97">
        <v>895918</v>
      </c>
      <c r="AP31" s="40">
        <f t="shared" ref="AP31" si="555">(+AO31-+AO30)*48</f>
        <v>8304</v>
      </c>
      <c r="AQ31" s="97">
        <v>69124</v>
      </c>
      <c r="AR31" s="40">
        <f t="shared" ref="AR31" si="556">(+AQ31-+AQ30)*48</f>
        <v>6144</v>
      </c>
      <c r="AS31" s="34">
        <v>2204</v>
      </c>
      <c r="AT31" s="40">
        <f t="shared" ref="AT31" si="557">(+AS31-+AS30)*48</f>
        <v>0</v>
      </c>
      <c r="AU31" s="34">
        <v>918</v>
      </c>
      <c r="AV31" s="40">
        <f t="shared" ref="AV31" si="558">(+AU31-+AU30)*48</f>
        <v>0</v>
      </c>
      <c r="AW31" s="34">
        <v>3108</v>
      </c>
      <c r="AX31" s="40">
        <f t="shared" ref="AX31" si="559">(+AW31-+AW30)*48</f>
        <v>0</v>
      </c>
      <c r="AY31" s="97">
        <v>300510</v>
      </c>
      <c r="AZ31" s="40">
        <f t="shared" ref="AZ31" si="560">(+AY31-+AY30)*48</f>
        <v>4032</v>
      </c>
      <c r="BA31" s="34">
        <v>160167</v>
      </c>
      <c r="BB31" s="40">
        <f t="shared" ref="BB31" si="561">(+BA31-+BA30)*48</f>
        <v>0</v>
      </c>
      <c r="BC31" s="97">
        <v>205839</v>
      </c>
      <c r="BD31" s="40">
        <f t="shared" ref="BD31" si="562">(+BC31-+BC30)*48</f>
        <v>2544</v>
      </c>
      <c r="BE31" s="34">
        <v>5347</v>
      </c>
      <c r="BF31" s="40">
        <f t="shared" ref="BF31" si="563">(+BE31-+BE30)*48</f>
        <v>0</v>
      </c>
      <c r="BH31" s="39">
        <f t="shared" si="32"/>
        <v>122811.02400000002</v>
      </c>
      <c r="BI31" s="39">
        <f t="shared" si="33"/>
        <v>63484.800000000003</v>
      </c>
    </row>
    <row r="32" spans="1:61" s="99" customFormat="1" ht="39.950000000000003" customHeight="1" x14ac:dyDescent="0.25">
      <c r="A32" s="33">
        <v>44128</v>
      </c>
      <c r="B32" s="98"/>
      <c r="C32" s="97">
        <v>5552058</v>
      </c>
      <c r="D32" s="40">
        <f t="shared" ref="D32" si="564">(+C32-+C31)*48</f>
        <v>103824</v>
      </c>
      <c r="E32" s="32">
        <f t="shared" si="35"/>
        <v>62294.399999999994</v>
      </c>
      <c r="F32" s="40">
        <f t="shared" si="36"/>
        <v>41529.600000000006</v>
      </c>
      <c r="G32" s="97">
        <v>275692</v>
      </c>
      <c r="H32" s="40">
        <f t="shared" ref="H32" si="565">(+G32-+G31)*48</f>
        <v>1392</v>
      </c>
      <c r="I32" s="97">
        <v>89335</v>
      </c>
      <c r="J32" s="40">
        <f t="shared" ref="J32" si="566">(+I32-+I31)*48</f>
        <v>8736</v>
      </c>
      <c r="K32" s="97">
        <v>255046</v>
      </c>
      <c r="L32" s="40">
        <f t="shared" si="31"/>
        <v>480</v>
      </c>
      <c r="M32" s="97">
        <v>24384</v>
      </c>
      <c r="N32" s="40">
        <f t="shared" ref="N32" si="567">(+M32-+M31)*48</f>
        <v>0</v>
      </c>
      <c r="O32" s="97">
        <v>225178</v>
      </c>
      <c r="P32" s="40">
        <f t="shared" ref="P32" si="568">(+O32-+O31)*48</f>
        <v>9216</v>
      </c>
      <c r="Q32" s="97">
        <v>434793</v>
      </c>
      <c r="R32" s="40">
        <f t="shared" ref="R32" si="569">(+Q32-+Q31)*48</f>
        <v>4512</v>
      </c>
      <c r="S32" s="97">
        <v>697876</v>
      </c>
      <c r="T32" s="40">
        <f t="shared" ref="T32" si="570">(+S32-+S31)*48</f>
        <v>6768</v>
      </c>
      <c r="U32" s="97">
        <v>95236.686000000002</v>
      </c>
      <c r="V32" s="41">
        <f t="shared" ref="V32" si="571">(+U32-+U31)*48</f>
        <v>974.20800000010058</v>
      </c>
      <c r="W32" s="97">
        <v>78037</v>
      </c>
      <c r="X32" s="40">
        <f t="shared" ref="X32" si="572">(+W32-+W31)*48</f>
        <v>1152</v>
      </c>
      <c r="Y32" s="97">
        <v>1482051</v>
      </c>
      <c r="Z32" s="40">
        <f t="shared" ref="Z32" si="573">(+Y32-+Y31)*48</f>
        <v>21360</v>
      </c>
      <c r="AA32" s="34">
        <v>13166</v>
      </c>
      <c r="AB32" s="40">
        <f t="shared" ref="AB32" si="574">(+AA32-+AA31)*48</f>
        <v>0</v>
      </c>
      <c r="AC32" s="97">
        <v>433642</v>
      </c>
      <c r="AD32" s="40">
        <f t="shared" si="47"/>
        <v>1872</v>
      </c>
      <c r="AE32" s="97">
        <v>511223</v>
      </c>
      <c r="AF32" s="40">
        <f t="shared" si="47"/>
        <v>2400</v>
      </c>
      <c r="AG32" s="97">
        <v>48839</v>
      </c>
      <c r="AH32" s="40">
        <f t="shared" ref="AH32" si="575">(+AG32-+AG31)*48</f>
        <v>192</v>
      </c>
      <c r="AI32" s="97">
        <v>393278</v>
      </c>
      <c r="AJ32" s="40">
        <f t="shared" ref="AJ32" si="576">(+AI32-+AI31)*48</f>
        <v>4704</v>
      </c>
      <c r="AK32" s="34">
        <v>102371</v>
      </c>
      <c r="AL32" s="40">
        <f t="shared" ref="AL32" si="577">(+AK32-+AK31)*48</f>
        <v>0</v>
      </c>
      <c r="AM32" s="97">
        <v>557756</v>
      </c>
      <c r="AN32" s="40">
        <f t="shared" ref="AN32" si="578">(+AM32-+AM31)*48</f>
        <v>48</v>
      </c>
      <c r="AO32" s="97">
        <v>895994</v>
      </c>
      <c r="AP32" s="40">
        <f t="shared" ref="AP32" si="579">(+AO32-+AO31)*48</f>
        <v>3648</v>
      </c>
      <c r="AQ32" s="97">
        <v>69322</v>
      </c>
      <c r="AR32" s="40">
        <f t="shared" ref="AR32" si="580">(+AQ32-+AQ31)*48</f>
        <v>9504</v>
      </c>
      <c r="AS32" s="34">
        <v>2204</v>
      </c>
      <c r="AT32" s="40">
        <f t="shared" ref="AT32" si="581">(+AS32-+AS31)*48</f>
        <v>0</v>
      </c>
      <c r="AU32" s="34">
        <v>918</v>
      </c>
      <c r="AV32" s="40">
        <f t="shared" ref="AV32" si="582">(+AU32-+AU31)*48</f>
        <v>0</v>
      </c>
      <c r="AW32" s="34">
        <v>3108</v>
      </c>
      <c r="AX32" s="40">
        <f t="shared" ref="AX32" si="583">(+AW32-+AW31)*48</f>
        <v>0</v>
      </c>
      <c r="AY32" s="97">
        <v>300595</v>
      </c>
      <c r="AZ32" s="40">
        <f t="shared" ref="AZ32" si="584">(+AY32-+AY31)*48</f>
        <v>4080</v>
      </c>
      <c r="BA32" s="34">
        <v>160167</v>
      </c>
      <c r="BB32" s="40">
        <f t="shared" ref="BB32" si="585">(+BA32-+BA31)*48</f>
        <v>0</v>
      </c>
      <c r="BC32" s="97">
        <v>205890</v>
      </c>
      <c r="BD32" s="40">
        <f t="shared" ref="BD32" si="586">(+BC32-+BC31)*48</f>
        <v>2448</v>
      </c>
      <c r="BE32" s="34">
        <v>5347</v>
      </c>
      <c r="BF32" s="40">
        <f t="shared" ref="BF32" si="587">(+BE32-+BE31)*48</f>
        <v>0</v>
      </c>
      <c r="BH32" s="100">
        <f t="shared" si="32"/>
        <v>126052.60800000009</v>
      </c>
      <c r="BI32" s="100">
        <f t="shared" si="33"/>
        <v>61257.600000000006</v>
      </c>
    </row>
    <row r="33" spans="1:61" s="99" customFormat="1" ht="39.950000000000003" customHeight="1" x14ac:dyDescent="0.25">
      <c r="A33" s="33">
        <v>44129</v>
      </c>
      <c r="B33" s="98"/>
      <c r="C33" s="97">
        <v>5554391</v>
      </c>
      <c r="D33" s="40">
        <f t="shared" ref="D33" si="588">(+C33-+C32)*48</f>
        <v>111984</v>
      </c>
      <c r="E33" s="32">
        <f t="shared" si="35"/>
        <v>67190.399999999994</v>
      </c>
      <c r="F33" s="40">
        <f t="shared" si="36"/>
        <v>44793.600000000006</v>
      </c>
      <c r="G33" s="97">
        <v>275726</v>
      </c>
      <c r="H33" s="40">
        <f t="shared" ref="H33" si="589">(+G33-+G32)*48</f>
        <v>1632</v>
      </c>
      <c r="I33" s="97">
        <v>89513</v>
      </c>
      <c r="J33" s="40">
        <f t="shared" ref="J33" si="590">(+I33-+I32)*48</f>
        <v>8544</v>
      </c>
      <c r="K33" s="97">
        <v>255057</v>
      </c>
      <c r="L33" s="40">
        <f t="shared" si="31"/>
        <v>528</v>
      </c>
      <c r="M33" s="97">
        <v>24384</v>
      </c>
      <c r="N33" s="40">
        <f t="shared" ref="N33" si="591">(+M33-+M32)*48</f>
        <v>0</v>
      </c>
      <c r="O33" s="97">
        <v>225388</v>
      </c>
      <c r="P33" s="40">
        <f t="shared" ref="P33" si="592">(+O33-+O32)*48</f>
        <v>10080</v>
      </c>
      <c r="Q33" s="97">
        <v>434897</v>
      </c>
      <c r="R33" s="40">
        <f t="shared" ref="R33" si="593">(+Q33-+Q32)*48</f>
        <v>4992</v>
      </c>
      <c r="S33" s="97">
        <v>698014</v>
      </c>
      <c r="T33" s="40">
        <f t="shared" ref="T33" si="594">(+S33-+S32)*48</f>
        <v>6624</v>
      </c>
      <c r="U33" s="97">
        <v>95259.918999999994</v>
      </c>
      <c r="V33" s="41">
        <f t="shared" ref="V33" si="595">(+U33-+U32)*48</f>
        <v>1115.1839999996591</v>
      </c>
      <c r="W33" s="97">
        <v>78063</v>
      </c>
      <c r="X33" s="40">
        <f t="shared" ref="X33" si="596">(+W33-+W32)*48</f>
        <v>1248</v>
      </c>
      <c r="Y33" s="97">
        <v>1482436</v>
      </c>
      <c r="Z33" s="40">
        <f t="shared" ref="Z33" si="597">(+Y33-+Y32)*48</f>
        <v>18480</v>
      </c>
      <c r="AA33" s="34">
        <v>13166</v>
      </c>
      <c r="AB33" s="40">
        <f t="shared" ref="AB33" si="598">(+AA33-+AA32)*48</f>
        <v>0</v>
      </c>
      <c r="AC33" s="97">
        <v>433691</v>
      </c>
      <c r="AD33" s="40">
        <f t="shared" si="47"/>
        <v>2352</v>
      </c>
      <c r="AE33" s="97">
        <v>511271</v>
      </c>
      <c r="AF33" s="40">
        <f t="shared" si="47"/>
        <v>2304</v>
      </c>
      <c r="AG33" s="97">
        <v>48844</v>
      </c>
      <c r="AH33" s="40">
        <f t="shared" ref="AH33" si="599">(+AG33-+AG32)*48</f>
        <v>240</v>
      </c>
      <c r="AI33" s="97">
        <v>393397</v>
      </c>
      <c r="AJ33" s="40">
        <f t="shared" ref="AJ33" si="600">(+AI33-+AI32)*48</f>
        <v>5712</v>
      </c>
      <c r="AK33" s="34">
        <v>102371</v>
      </c>
      <c r="AL33" s="40">
        <f t="shared" ref="AL33" si="601">(+AK33-+AK32)*48</f>
        <v>0</v>
      </c>
      <c r="AM33" s="97">
        <v>557784</v>
      </c>
      <c r="AN33" s="40">
        <f t="shared" ref="AN33" si="602">(+AM33-+AM32)*48</f>
        <v>1344</v>
      </c>
      <c r="AO33" s="97">
        <v>896071</v>
      </c>
      <c r="AP33" s="40">
        <f t="shared" ref="AP33" si="603">(+AO33-+AO32)*48</f>
        <v>3696</v>
      </c>
      <c r="AQ33" s="97">
        <v>69492</v>
      </c>
      <c r="AR33" s="40">
        <f t="shared" ref="AR33" si="604">(+AQ33-+AQ32)*48</f>
        <v>8160</v>
      </c>
      <c r="AS33" s="34">
        <v>2204</v>
      </c>
      <c r="AT33" s="40">
        <f t="shared" ref="AT33" si="605">(+AS33-+AS32)*48</f>
        <v>0</v>
      </c>
      <c r="AU33" s="34">
        <v>918</v>
      </c>
      <c r="AV33" s="40">
        <f t="shared" ref="AV33" si="606">(+AU33-+AU32)*48</f>
        <v>0</v>
      </c>
      <c r="AW33" s="34">
        <v>3108</v>
      </c>
      <c r="AX33" s="40">
        <f t="shared" ref="AX33" si="607">(+AW33-+AW32)*48</f>
        <v>0</v>
      </c>
      <c r="AY33" s="97">
        <v>300679</v>
      </c>
      <c r="AZ33" s="40">
        <f t="shared" ref="AZ33" si="608">(+AY33-+AY32)*48</f>
        <v>4032</v>
      </c>
      <c r="BA33" s="34">
        <v>160167</v>
      </c>
      <c r="BB33" s="40">
        <f t="shared" ref="BB33" si="609">(+BA33-+BA32)*48</f>
        <v>0</v>
      </c>
      <c r="BC33" s="97">
        <v>205946</v>
      </c>
      <c r="BD33" s="40">
        <f t="shared" ref="BD33" si="610">(+BC33-+BC32)*48</f>
        <v>2688</v>
      </c>
      <c r="BE33" s="34">
        <v>5347</v>
      </c>
      <c r="BF33" s="40">
        <f t="shared" ref="BF33" si="611">(+BE33-+BE32)*48</f>
        <v>0</v>
      </c>
      <c r="BH33" s="100">
        <f t="shared" si="32"/>
        <v>131041.58399999965</v>
      </c>
      <c r="BI33" s="100">
        <f t="shared" si="33"/>
        <v>64713.600000000006</v>
      </c>
    </row>
    <row r="34" spans="1:61" s="99" customFormat="1" ht="39.950000000000003" customHeight="1" x14ac:dyDescent="0.25">
      <c r="A34" s="33">
        <v>44130</v>
      </c>
      <c r="B34" s="98"/>
      <c r="C34" s="97">
        <v>5556547</v>
      </c>
      <c r="D34" s="40">
        <f t="shared" ref="D34" si="612">(+C34-+C33)*48</f>
        <v>103488</v>
      </c>
      <c r="E34" s="32">
        <f t="shared" si="35"/>
        <v>62092.799999999996</v>
      </c>
      <c r="F34" s="40">
        <f t="shared" si="36"/>
        <v>41395.200000000004</v>
      </c>
      <c r="G34" s="97">
        <v>275759</v>
      </c>
      <c r="H34" s="40">
        <f t="shared" ref="H34" si="613">(+G34-+G33)*48</f>
        <v>1584</v>
      </c>
      <c r="I34" s="97">
        <v>89684</v>
      </c>
      <c r="J34" s="40">
        <f t="shared" ref="J34" si="614">(+I34-+I33)*48</f>
        <v>8208</v>
      </c>
      <c r="K34" s="97">
        <v>255064</v>
      </c>
      <c r="L34" s="40">
        <f t="shared" si="31"/>
        <v>336</v>
      </c>
      <c r="M34" s="97">
        <v>24384</v>
      </c>
      <c r="N34" s="40">
        <f t="shared" ref="N34" si="615">(+M34-+M33)*48</f>
        <v>0</v>
      </c>
      <c r="O34" s="97">
        <v>225585</v>
      </c>
      <c r="P34" s="40">
        <f t="shared" ref="P34" si="616">(+O34-+O33)*48</f>
        <v>9456</v>
      </c>
      <c r="Q34" s="97">
        <v>435012</v>
      </c>
      <c r="R34" s="40">
        <f t="shared" ref="R34" si="617">(+Q34-+Q33)*48</f>
        <v>5520</v>
      </c>
      <c r="S34" s="97">
        <v>698164</v>
      </c>
      <c r="T34" s="40">
        <f t="shared" ref="T34" si="618">(+S34-+S33)*48</f>
        <v>7200</v>
      </c>
      <c r="U34" s="97">
        <v>95284.642999999996</v>
      </c>
      <c r="V34" s="41">
        <f t="shared" ref="V34" si="619">(+U34-+U33)*48</f>
        <v>1186.752000000095</v>
      </c>
      <c r="W34" s="97">
        <v>78088</v>
      </c>
      <c r="X34" s="40">
        <f t="shared" ref="X34" si="620">(+W34-+W33)*48</f>
        <v>1200</v>
      </c>
      <c r="Y34" s="97">
        <v>1482802</v>
      </c>
      <c r="Z34" s="40">
        <f t="shared" ref="Z34" si="621">(+Y34-+Y33)*48</f>
        <v>17568</v>
      </c>
      <c r="AA34" s="34">
        <v>13166</v>
      </c>
      <c r="AB34" s="40">
        <f t="shared" ref="AB34" si="622">(+AA34-+AA33)*48</f>
        <v>0</v>
      </c>
      <c r="AC34" s="97">
        <v>433793</v>
      </c>
      <c r="AD34" s="40">
        <f t="shared" si="47"/>
        <v>4896</v>
      </c>
      <c r="AE34" s="97">
        <v>511376</v>
      </c>
      <c r="AF34" s="40">
        <f t="shared" si="47"/>
        <v>5040</v>
      </c>
      <c r="AG34" s="97">
        <v>48848</v>
      </c>
      <c r="AH34" s="40">
        <f t="shared" ref="AH34" si="623">(+AG34-+AG33)*48</f>
        <v>192</v>
      </c>
      <c r="AI34" s="97">
        <v>393524</v>
      </c>
      <c r="AJ34" s="40">
        <f t="shared" ref="AJ34" si="624">(+AI34-+AI33)*48</f>
        <v>6096</v>
      </c>
      <c r="AK34" s="34">
        <v>102371</v>
      </c>
      <c r="AL34" s="40">
        <f t="shared" ref="AL34" si="625">(+AK34-+AK33)*48</f>
        <v>0</v>
      </c>
      <c r="AM34" s="97">
        <v>557882</v>
      </c>
      <c r="AN34" s="40">
        <f t="shared" ref="AN34" si="626">(+AM34-+AM33)*48</f>
        <v>4704</v>
      </c>
      <c r="AO34" s="97">
        <v>896244</v>
      </c>
      <c r="AP34" s="40">
        <f t="shared" ref="AP34" si="627">(+AO34-+AO33)*48</f>
        <v>8304</v>
      </c>
      <c r="AQ34" s="97">
        <v>69649</v>
      </c>
      <c r="AR34" s="40">
        <f t="shared" ref="AR34" si="628">(+AQ34-+AQ33)*48</f>
        <v>7536</v>
      </c>
      <c r="AS34" s="34">
        <v>2204</v>
      </c>
      <c r="AT34" s="40">
        <f t="shared" ref="AT34" si="629">(+AS34-+AS33)*48</f>
        <v>0</v>
      </c>
      <c r="AU34" s="34">
        <v>918</v>
      </c>
      <c r="AV34" s="40">
        <f t="shared" ref="AV34" si="630">(+AU34-+AU33)*48</f>
        <v>0</v>
      </c>
      <c r="AW34" s="34">
        <v>3108</v>
      </c>
      <c r="AX34" s="40">
        <f t="shared" ref="AX34" si="631">(+AW34-+AW33)*48</f>
        <v>0</v>
      </c>
      <c r="AY34" s="97">
        <v>300758</v>
      </c>
      <c r="AZ34" s="40">
        <f t="shared" ref="AZ34" si="632">(+AY34-+AY33)*48</f>
        <v>3792</v>
      </c>
      <c r="BA34" s="34">
        <v>160167</v>
      </c>
      <c r="BB34" s="40">
        <f t="shared" ref="BB34" si="633">(+BA34-+BA33)*48</f>
        <v>0</v>
      </c>
      <c r="BC34" s="97">
        <v>205997</v>
      </c>
      <c r="BD34" s="40">
        <f t="shared" ref="BD34" si="634">(+BC34-+BC33)*48</f>
        <v>2448</v>
      </c>
      <c r="BE34" s="34">
        <v>5347</v>
      </c>
      <c r="BF34" s="40">
        <f t="shared" ref="BF34" si="635">(+BE34-+BE33)*48</f>
        <v>0</v>
      </c>
      <c r="BH34" s="100">
        <f t="shared" si="32"/>
        <v>130575.55200000008</v>
      </c>
      <c r="BI34" s="100">
        <f t="shared" si="33"/>
        <v>68179.200000000012</v>
      </c>
    </row>
    <row r="35" spans="1:61" s="99" customFormat="1" ht="39.950000000000003" customHeight="1" x14ac:dyDescent="0.25">
      <c r="A35" s="33">
        <v>44131</v>
      </c>
      <c r="B35" s="98"/>
      <c r="C35" s="97">
        <v>5558648</v>
      </c>
      <c r="D35" s="40">
        <f t="shared" ref="D35" si="636">(+C35-+C34)*48</f>
        <v>100848</v>
      </c>
      <c r="E35" s="32">
        <f t="shared" si="35"/>
        <v>60508.799999999996</v>
      </c>
      <c r="F35" s="40">
        <f t="shared" si="36"/>
        <v>40339.200000000004</v>
      </c>
      <c r="G35" s="97">
        <v>275798</v>
      </c>
      <c r="H35" s="40">
        <f t="shared" ref="H35" si="637">(+G35-+G34)*48</f>
        <v>1872</v>
      </c>
      <c r="I35" s="97">
        <v>89848</v>
      </c>
      <c r="J35" s="40">
        <f t="shared" ref="J35" si="638">(+I35-+I34)*48</f>
        <v>7872</v>
      </c>
      <c r="K35" s="97">
        <v>255112</v>
      </c>
      <c r="L35" s="40">
        <f t="shared" si="31"/>
        <v>2304</v>
      </c>
      <c r="M35" s="97">
        <v>24385</v>
      </c>
      <c r="N35" s="40">
        <f t="shared" ref="N35" si="639">(+M35-+M34)*48</f>
        <v>48</v>
      </c>
      <c r="O35" s="97">
        <v>225796</v>
      </c>
      <c r="P35" s="40">
        <f t="shared" ref="P35" si="640">(+O35-+O34)*48</f>
        <v>10128</v>
      </c>
      <c r="Q35" s="97">
        <v>435122</v>
      </c>
      <c r="R35" s="40">
        <f t="shared" ref="R35" si="641">(+Q35-+Q34)*48</f>
        <v>5280</v>
      </c>
      <c r="S35" s="97">
        <v>698287</v>
      </c>
      <c r="T35" s="40">
        <f t="shared" ref="T35" si="642">(+S35-+S34)*48</f>
        <v>5904</v>
      </c>
      <c r="U35" s="97">
        <v>95309.1</v>
      </c>
      <c r="V35" s="41">
        <f t="shared" ref="V35" si="643">(+U35-+U34)*48</f>
        <v>1173.9360000004526</v>
      </c>
      <c r="W35" s="97">
        <v>78114</v>
      </c>
      <c r="X35" s="40">
        <f t="shared" ref="X35" si="644">(+W35-+W34)*48</f>
        <v>1248</v>
      </c>
      <c r="Y35" s="97">
        <v>1483134</v>
      </c>
      <c r="Z35" s="40">
        <f t="shared" ref="Z35" si="645">(+Y35-+Y34)*48</f>
        <v>15936</v>
      </c>
      <c r="AA35" s="34">
        <v>13166</v>
      </c>
      <c r="AB35" s="40">
        <f t="shared" ref="AB35" si="646">(+AA35-+AA34)*48</f>
        <v>0</v>
      </c>
      <c r="AC35" s="97">
        <v>433892</v>
      </c>
      <c r="AD35" s="40">
        <f t="shared" si="47"/>
        <v>4752</v>
      </c>
      <c r="AE35" s="97">
        <v>511479</v>
      </c>
      <c r="AF35" s="40">
        <f t="shared" si="47"/>
        <v>4944</v>
      </c>
      <c r="AG35" s="97">
        <v>48852</v>
      </c>
      <c r="AH35" s="40">
        <f t="shared" ref="AH35" si="647">(+AG35-+AG34)*48</f>
        <v>192</v>
      </c>
      <c r="AI35" s="97">
        <v>393657</v>
      </c>
      <c r="AJ35" s="40">
        <f t="shared" ref="AJ35" si="648">(+AI35-+AI34)*48</f>
        <v>6384</v>
      </c>
      <c r="AK35" s="34">
        <v>102371</v>
      </c>
      <c r="AL35" s="40">
        <f t="shared" ref="AL35" si="649">(+AK35-+AK34)*48</f>
        <v>0</v>
      </c>
      <c r="AM35" s="97">
        <v>558002</v>
      </c>
      <c r="AN35" s="40">
        <f t="shared" ref="AN35" si="650">(+AM35-+AM34)*48</f>
        <v>5760</v>
      </c>
      <c r="AO35" s="97">
        <v>896438</v>
      </c>
      <c r="AP35" s="40">
        <f t="shared" ref="AP35" si="651">(+AO35-+AO34)*48</f>
        <v>9312</v>
      </c>
      <c r="AQ35" s="97">
        <v>69767</v>
      </c>
      <c r="AR35" s="40">
        <f t="shared" ref="AR35" si="652">(+AQ35-+AQ34)*48</f>
        <v>5664</v>
      </c>
      <c r="AS35" s="34">
        <v>2204</v>
      </c>
      <c r="AT35" s="40">
        <f t="shared" ref="AT35" si="653">(+AS35-+AS34)*48</f>
        <v>0</v>
      </c>
      <c r="AU35" s="34">
        <v>918</v>
      </c>
      <c r="AV35" s="40">
        <f t="shared" ref="AV35" si="654">(+AU35-+AU34)*48</f>
        <v>0</v>
      </c>
      <c r="AW35" s="34">
        <v>3108</v>
      </c>
      <c r="AX35" s="40">
        <f t="shared" ref="AX35" si="655">(+AW35-+AW34)*48</f>
        <v>0</v>
      </c>
      <c r="AY35" s="97">
        <v>300839</v>
      </c>
      <c r="AZ35" s="40">
        <f t="shared" ref="AZ35" si="656">(+AY35-+AY34)*48</f>
        <v>3888</v>
      </c>
      <c r="BA35" s="34">
        <v>160167</v>
      </c>
      <c r="BB35" s="40">
        <f t="shared" ref="BB35" si="657">(+BA35-+BA34)*48</f>
        <v>0</v>
      </c>
      <c r="BC35" s="97">
        <v>206048</v>
      </c>
      <c r="BD35" s="40">
        <f t="shared" ref="BD35" si="658">(+BC35-+BC34)*48</f>
        <v>2448</v>
      </c>
      <c r="BE35" s="34">
        <v>5347</v>
      </c>
      <c r="BF35" s="40">
        <f t="shared" ref="BF35" si="659">(+BE35-+BE34)*48</f>
        <v>0</v>
      </c>
      <c r="BH35" s="100">
        <f t="shared" si="32"/>
        <v>128546.73600000044</v>
      </c>
      <c r="BI35" s="100">
        <f t="shared" si="33"/>
        <v>67411.200000000012</v>
      </c>
    </row>
    <row r="36" spans="1:61" s="99" customFormat="1" ht="39.950000000000003" customHeight="1" x14ac:dyDescent="0.25">
      <c r="A36" s="33">
        <v>44132</v>
      </c>
      <c r="B36" s="98"/>
      <c r="C36" s="97">
        <v>5560625</v>
      </c>
      <c r="D36" s="40">
        <f t="shared" ref="D36" si="660">(+C36-+C35)*48</f>
        <v>94896</v>
      </c>
      <c r="E36" s="32">
        <f t="shared" si="35"/>
        <v>56937.599999999999</v>
      </c>
      <c r="F36" s="40">
        <f t="shared" si="36"/>
        <v>37958.400000000001</v>
      </c>
      <c r="G36" s="97">
        <v>275824</v>
      </c>
      <c r="H36" s="40">
        <f t="shared" ref="H36" si="661">(+G36-+G35)*48</f>
        <v>1248</v>
      </c>
      <c r="I36" s="97">
        <v>90019</v>
      </c>
      <c r="J36" s="40">
        <f t="shared" ref="J36" si="662">(+I36-+I35)*48</f>
        <v>8208</v>
      </c>
      <c r="K36" s="97">
        <v>255149</v>
      </c>
      <c r="L36" s="40">
        <f t="shared" si="31"/>
        <v>1776</v>
      </c>
      <c r="M36" s="97">
        <v>24385</v>
      </c>
      <c r="N36" s="40">
        <f t="shared" ref="N36" si="663">(+M36-+M35)*48</f>
        <v>0</v>
      </c>
      <c r="O36" s="97">
        <v>225981</v>
      </c>
      <c r="P36" s="40">
        <f t="shared" ref="P36" si="664">(+O36-+O35)*48</f>
        <v>8880</v>
      </c>
      <c r="Q36" s="97">
        <v>435196</v>
      </c>
      <c r="R36" s="40">
        <f t="shared" ref="R36" si="665">(+Q36-+Q35)*48</f>
        <v>3552</v>
      </c>
      <c r="S36" s="97">
        <v>698428</v>
      </c>
      <c r="T36" s="40">
        <f t="shared" ref="T36" si="666">(+S36-+S35)*48</f>
        <v>6768</v>
      </c>
      <c r="U36" s="97">
        <v>95329.373999999996</v>
      </c>
      <c r="V36" s="41">
        <f t="shared" ref="V36" si="667">(+U36-+U35)*48</f>
        <v>973.1519999995362</v>
      </c>
      <c r="W36" s="97">
        <v>78140</v>
      </c>
      <c r="X36" s="40">
        <f t="shared" ref="X36" si="668">(+W36-+W35)*48</f>
        <v>1248</v>
      </c>
      <c r="Y36" s="97">
        <v>1483469</v>
      </c>
      <c r="Z36" s="40">
        <f t="shared" ref="Z36" si="669">(+Y36-+Y35)*48</f>
        <v>16080</v>
      </c>
      <c r="AA36" s="34">
        <v>13166</v>
      </c>
      <c r="AB36" s="40">
        <f t="shared" ref="AB36" si="670">(+AA36-+AA35)*48</f>
        <v>0</v>
      </c>
      <c r="AC36" s="97">
        <v>433992</v>
      </c>
      <c r="AD36" s="40">
        <f t="shared" si="47"/>
        <v>4800</v>
      </c>
      <c r="AE36" s="97">
        <v>511584</v>
      </c>
      <c r="AF36" s="40">
        <f t="shared" si="47"/>
        <v>5040</v>
      </c>
      <c r="AG36" s="97">
        <v>48856</v>
      </c>
      <c r="AH36" s="40">
        <f t="shared" ref="AH36" si="671">(+AG36-+AG35)*48</f>
        <v>192</v>
      </c>
      <c r="AI36" s="97">
        <v>393771</v>
      </c>
      <c r="AJ36" s="40">
        <f t="shared" ref="AJ36" si="672">(+AI36-+AI35)*48</f>
        <v>5472</v>
      </c>
      <c r="AK36" s="34">
        <v>102371</v>
      </c>
      <c r="AL36" s="40">
        <f t="shared" ref="AL36" si="673">(+AK36-+AK35)*48</f>
        <v>0</v>
      </c>
      <c r="AM36" s="97">
        <v>558119</v>
      </c>
      <c r="AN36" s="40">
        <f t="shared" ref="AN36" si="674">(+AM36-+AM35)*48</f>
        <v>5616</v>
      </c>
      <c r="AO36" s="97">
        <v>896629</v>
      </c>
      <c r="AP36" s="40">
        <f t="shared" ref="AP36" si="675">(+AO36-+AO35)*48</f>
        <v>9168</v>
      </c>
      <c r="AQ36" s="97">
        <v>69872</v>
      </c>
      <c r="AR36" s="40">
        <f t="shared" ref="AR36" si="676">(+AQ36-+AQ35)*48</f>
        <v>5040</v>
      </c>
      <c r="AS36" s="34">
        <v>2204</v>
      </c>
      <c r="AT36" s="40">
        <f t="shared" ref="AT36" si="677">(+AS36-+AS35)*48</f>
        <v>0</v>
      </c>
      <c r="AU36" s="34">
        <v>918</v>
      </c>
      <c r="AV36" s="40">
        <f t="shared" ref="AV36" si="678">(+AU36-+AU35)*48</f>
        <v>0</v>
      </c>
      <c r="AW36" s="34">
        <v>3108</v>
      </c>
      <c r="AX36" s="40">
        <f t="shared" ref="AX36" si="679">(+AW36-+AW35)*48</f>
        <v>0</v>
      </c>
      <c r="AY36" s="97">
        <v>300924</v>
      </c>
      <c r="AZ36" s="40">
        <f t="shared" ref="AZ36" si="680">(+AY36-+AY35)*48</f>
        <v>4080</v>
      </c>
      <c r="BA36" s="34">
        <v>160167</v>
      </c>
      <c r="BB36" s="40">
        <f t="shared" ref="BB36" si="681">(+BA36-+BA35)*48</f>
        <v>0</v>
      </c>
      <c r="BC36" s="97">
        <v>206101</v>
      </c>
      <c r="BD36" s="40">
        <f t="shared" ref="BD36" si="682">(+BC36-+BC35)*48</f>
        <v>2544</v>
      </c>
      <c r="BE36" s="34">
        <v>5347</v>
      </c>
      <c r="BF36" s="40">
        <f t="shared" ref="BF36" si="683">(+BE36-+BE35)*48</f>
        <v>0</v>
      </c>
      <c r="BH36" s="100">
        <f t="shared" si="32"/>
        <v>121174.75199999954</v>
      </c>
      <c r="BI36" s="100">
        <f t="shared" si="33"/>
        <v>64406.400000000001</v>
      </c>
    </row>
    <row r="37" spans="1:61" s="99" customFormat="1" ht="39.950000000000003" customHeight="1" x14ac:dyDescent="0.25">
      <c r="A37" s="33">
        <v>44133</v>
      </c>
      <c r="B37" s="98"/>
      <c r="C37" s="97">
        <v>5562630</v>
      </c>
      <c r="D37" s="40">
        <f t="shared" ref="D37" si="684">(+C37-+C36)*48</f>
        <v>96240</v>
      </c>
      <c r="E37" s="32">
        <f t="shared" si="35"/>
        <v>57744</v>
      </c>
      <c r="F37" s="40">
        <f t="shared" si="36"/>
        <v>38496</v>
      </c>
      <c r="G37" s="97">
        <v>275860</v>
      </c>
      <c r="H37" s="40">
        <f t="shared" ref="H37" si="685">(+G37-+G36)*48</f>
        <v>1728</v>
      </c>
      <c r="I37" s="97">
        <v>90192</v>
      </c>
      <c r="J37" s="40">
        <f t="shared" ref="J37" si="686">(+I37-+I36)*48</f>
        <v>8304</v>
      </c>
      <c r="K37" s="97">
        <v>255187</v>
      </c>
      <c r="L37" s="40">
        <f t="shared" si="31"/>
        <v>1824</v>
      </c>
      <c r="M37" s="97">
        <v>24385</v>
      </c>
      <c r="N37" s="40">
        <f t="shared" ref="N37" si="687">(+M37-+M36)*48</f>
        <v>0</v>
      </c>
      <c r="O37" s="97">
        <v>226168</v>
      </c>
      <c r="P37" s="40">
        <f t="shared" ref="P37" si="688">(+O37-+O36)*48</f>
        <v>8976</v>
      </c>
      <c r="Q37" s="97">
        <v>435264</v>
      </c>
      <c r="R37" s="40">
        <f t="shared" ref="R37" si="689">(+Q37-+Q36)*48</f>
        <v>3264</v>
      </c>
      <c r="S37" s="97">
        <v>698564</v>
      </c>
      <c r="T37" s="40">
        <f t="shared" ref="T37" si="690">(+S37-+S36)*48</f>
        <v>6528</v>
      </c>
      <c r="U37" s="97">
        <v>95348.361000000004</v>
      </c>
      <c r="V37" s="41">
        <f t="shared" ref="V37" si="691">(+U37-+U36)*48</f>
        <v>911.37600000039674</v>
      </c>
      <c r="W37" s="97">
        <v>78166</v>
      </c>
      <c r="X37" s="40">
        <f t="shared" ref="X37" si="692">(+W37-+W36)*48</f>
        <v>1248</v>
      </c>
      <c r="Y37" s="97">
        <v>1483848</v>
      </c>
      <c r="Z37" s="40">
        <f t="shared" ref="Z37" si="693">(+Y37-+Y36)*48</f>
        <v>18192</v>
      </c>
      <c r="AA37" s="34">
        <v>13166</v>
      </c>
      <c r="AB37" s="40">
        <f t="shared" ref="AB37" si="694">(+AA37-+AA36)*48</f>
        <v>0</v>
      </c>
      <c r="AC37" s="97">
        <v>434096</v>
      </c>
      <c r="AD37" s="40">
        <f t="shared" si="47"/>
        <v>4992</v>
      </c>
      <c r="AE37" s="97">
        <v>511693</v>
      </c>
      <c r="AF37" s="40">
        <f t="shared" si="47"/>
        <v>5232</v>
      </c>
      <c r="AG37" s="97">
        <v>48860</v>
      </c>
      <c r="AH37" s="40">
        <f t="shared" ref="AH37" si="695">(+AG37-+AG36)*48</f>
        <v>192</v>
      </c>
      <c r="AI37" s="97">
        <v>393886</v>
      </c>
      <c r="AJ37" s="40">
        <f t="shared" ref="AJ37" si="696">(+AI37-+AI36)*48</f>
        <v>5520</v>
      </c>
      <c r="AK37" s="34">
        <v>102371</v>
      </c>
      <c r="AL37" s="40">
        <f t="shared" ref="AL37" si="697">(+AK37-+AK36)*48</f>
        <v>0</v>
      </c>
      <c r="AM37" s="97">
        <v>558238</v>
      </c>
      <c r="AN37" s="40">
        <f t="shared" ref="AN37" si="698">(+AM37-+AM36)*48</f>
        <v>5712</v>
      </c>
      <c r="AO37" s="97">
        <v>896815</v>
      </c>
      <c r="AP37" s="40">
        <f t="shared" ref="AP37" si="699">(+AO37-+AO36)*48</f>
        <v>8928</v>
      </c>
      <c r="AQ37" s="97">
        <v>70018</v>
      </c>
      <c r="AR37" s="40">
        <f t="shared" ref="AR37" si="700">(+AQ37-+AQ36)*48</f>
        <v>7008</v>
      </c>
      <c r="AS37" s="34">
        <v>2204</v>
      </c>
      <c r="AT37" s="40">
        <f t="shared" ref="AT37" si="701">(+AS37-+AS36)*48</f>
        <v>0</v>
      </c>
      <c r="AU37" s="34">
        <v>918</v>
      </c>
      <c r="AV37" s="40">
        <f t="shared" ref="AV37" si="702">(+AU37-+AU36)*48</f>
        <v>0</v>
      </c>
      <c r="AW37" s="34">
        <v>3108</v>
      </c>
      <c r="AX37" s="40">
        <f t="shared" ref="AX37" si="703">(+AW37-+AW36)*48</f>
        <v>0</v>
      </c>
      <c r="AY37" s="97">
        <v>301004</v>
      </c>
      <c r="AZ37" s="40">
        <f t="shared" ref="AZ37" si="704">(+AY37-+AY36)*48</f>
        <v>3840</v>
      </c>
      <c r="BA37" s="34">
        <v>160167</v>
      </c>
      <c r="BB37" s="40">
        <f t="shared" ref="BB37" si="705">(+BA37-+BA36)*48</f>
        <v>0</v>
      </c>
      <c r="BC37" s="97">
        <v>206153</v>
      </c>
      <c r="BD37" s="40">
        <f t="shared" ref="BD37" si="706">(+BC37-+BC36)*48</f>
        <v>2496</v>
      </c>
      <c r="BE37" s="34">
        <v>5347</v>
      </c>
      <c r="BF37" s="40">
        <f t="shared" ref="BF37" si="707">(+BE37-+BE36)*48</f>
        <v>0</v>
      </c>
      <c r="BH37" s="100">
        <f t="shared" si="32"/>
        <v>124655.3760000004</v>
      </c>
      <c r="BI37" s="100">
        <f t="shared" si="33"/>
        <v>66480</v>
      </c>
    </row>
    <row r="38" spans="1:61" s="99" customFormat="1" ht="39.950000000000003" customHeight="1" x14ac:dyDescent="0.25">
      <c r="A38" s="33">
        <v>44134</v>
      </c>
      <c r="B38" s="98"/>
      <c r="C38" s="97">
        <v>5564693</v>
      </c>
      <c r="D38" s="40">
        <f>(+C38-+C37)*48</f>
        <v>99024</v>
      </c>
      <c r="E38" s="32">
        <f t="shared" si="35"/>
        <v>59414.399999999994</v>
      </c>
      <c r="F38" s="40">
        <f t="shared" si="36"/>
        <v>39609.600000000006</v>
      </c>
      <c r="G38" s="97">
        <v>275891</v>
      </c>
      <c r="H38" s="40">
        <f>(+G38-+G37)*48</f>
        <v>1488</v>
      </c>
      <c r="I38" s="97">
        <v>90368</v>
      </c>
      <c r="J38" s="40">
        <f>(+I38-+I37)*48</f>
        <v>8448</v>
      </c>
      <c r="K38" s="97">
        <v>255229</v>
      </c>
      <c r="L38" s="40">
        <f>(+K38-+K37)*48</f>
        <v>2016</v>
      </c>
      <c r="M38" s="97">
        <v>24385</v>
      </c>
      <c r="N38" s="40">
        <f>(+M38-+M37)*48</f>
        <v>0</v>
      </c>
      <c r="O38" s="97">
        <v>226362</v>
      </c>
      <c r="P38" s="40">
        <f>(+O38-+O37)*48</f>
        <v>9312</v>
      </c>
      <c r="Q38" s="97">
        <v>435334</v>
      </c>
      <c r="R38" s="40">
        <f>(+Q38-+Q37)*48</f>
        <v>3360</v>
      </c>
      <c r="S38" s="97">
        <v>698689</v>
      </c>
      <c r="T38" s="40">
        <f>(+S38-+S37)*48</f>
        <v>6000</v>
      </c>
      <c r="U38" s="97">
        <v>95368.436000000002</v>
      </c>
      <c r="V38" s="41">
        <f>(+U38-+U37)*48</f>
        <v>963.5999999998603</v>
      </c>
      <c r="W38" s="97">
        <v>78192</v>
      </c>
      <c r="X38" s="40">
        <f>(+W38-+W37)*48</f>
        <v>1248</v>
      </c>
      <c r="Y38" s="97">
        <v>1484190</v>
      </c>
      <c r="Z38" s="40">
        <f>(+Y38-+Y37)*48</f>
        <v>16416</v>
      </c>
      <c r="AA38" s="34">
        <v>13166</v>
      </c>
      <c r="AB38" s="40">
        <f>(+AA38-+AA37)*48</f>
        <v>0</v>
      </c>
      <c r="AC38" s="97">
        <v>434198</v>
      </c>
      <c r="AD38" s="40">
        <f>(+AC38-+AC37)*48</f>
        <v>4896</v>
      </c>
      <c r="AE38" s="97">
        <v>511801</v>
      </c>
      <c r="AF38" s="40">
        <f>(+AE38-+AE37)*48</f>
        <v>5184</v>
      </c>
      <c r="AG38" s="97">
        <v>48864</v>
      </c>
      <c r="AH38" s="40">
        <f>(+AG38-+AG37)*48</f>
        <v>192</v>
      </c>
      <c r="AI38" s="97">
        <v>393992</v>
      </c>
      <c r="AJ38" s="40">
        <f>(+AI38-+AI37)*48</f>
        <v>5088</v>
      </c>
      <c r="AK38" s="34">
        <v>102371</v>
      </c>
      <c r="AL38" s="40">
        <f>(+AK38-+AK37)*48</f>
        <v>0</v>
      </c>
      <c r="AM38" s="97">
        <v>558355</v>
      </c>
      <c r="AN38" s="40">
        <f>(+AM38-+AM37)*48</f>
        <v>5616</v>
      </c>
      <c r="AO38" s="97">
        <v>897009</v>
      </c>
      <c r="AP38" s="40">
        <f>(+AO38-+AO37)*48</f>
        <v>9312</v>
      </c>
      <c r="AQ38" s="97">
        <v>70126</v>
      </c>
      <c r="AR38" s="40">
        <f>(+AQ38-+AQ37)*48</f>
        <v>5184</v>
      </c>
      <c r="AS38" s="34">
        <v>2204</v>
      </c>
      <c r="AT38" s="40">
        <f>(+AS38-+AS37)*48</f>
        <v>0</v>
      </c>
      <c r="AU38" s="34">
        <v>918</v>
      </c>
      <c r="AV38" s="40">
        <f>(+AU38-+AU37)*48</f>
        <v>0</v>
      </c>
      <c r="AW38" s="34">
        <v>3108</v>
      </c>
      <c r="AX38" s="40">
        <f>(+AW38-+AW37)*48</f>
        <v>0</v>
      </c>
      <c r="AY38" s="97">
        <v>301087</v>
      </c>
      <c r="AZ38" s="40">
        <f>(+AY38-+AY37)*48</f>
        <v>3984</v>
      </c>
      <c r="BA38" s="34">
        <v>160167</v>
      </c>
      <c r="BB38" s="40">
        <f>(+BA38-+BA37)*48</f>
        <v>0</v>
      </c>
      <c r="BC38" s="97">
        <v>206208</v>
      </c>
      <c r="BD38" s="40">
        <f>(+BC38-+BC37)*48</f>
        <v>2640</v>
      </c>
      <c r="BE38" s="34">
        <v>5347</v>
      </c>
      <c r="BF38" s="40">
        <f>(+BE38-+BE37)*48</f>
        <v>0</v>
      </c>
      <c r="BH38" s="100">
        <f t="shared" si="32"/>
        <v>124025.99999999985</v>
      </c>
      <c r="BI38" s="100">
        <f t="shared" si="33"/>
        <v>66345.600000000006</v>
      </c>
    </row>
    <row r="39" spans="1:61" s="99" customFormat="1" ht="39.950000000000003" customHeight="1" x14ac:dyDescent="0.25">
      <c r="A39" s="33">
        <v>44135</v>
      </c>
      <c r="B39" s="98"/>
      <c r="C39" s="122">
        <v>5566794</v>
      </c>
      <c r="D39" s="40">
        <f>(+C39-+C38)*48</f>
        <v>100848</v>
      </c>
      <c r="E39" s="32">
        <f t="shared" ref="E39" si="708">D39*0.6</f>
        <v>60508.799999999996</v>
      </c>
      <c r="F39" s="40">
        <f t="shared" ref="F39" si="709">D39*0.4</f>
        <v>40339.200000000004</v>
      </c>
      <c r="G39" s="122">
        <v>275933</v>
      </c>
      <c r="H39" s="40">
        <f>(+G39-+G38)*48</f>
        <v>2016</v>
      </c>
      <c r="I39" s="122">
        <v>90532</v>
      </c>
      <c r="J39" s="40">
        <f>(+I39-+I38)*48</f>
        <v>7872</v>
      </c>
      <c r="K39" s="122">
        <v>255291</v>
      </c>
      <c r="L39" s="40">
        <f>(+K39-+K38)*48</f>
        <v>2976</v>
      </c>
      <c r="M39" s="122">
        <v>24387</v>
      </c>
      <c r="N39" s="40">
        <f>(+M39-+M38)*48</f>
        <v>96</v>
      </c>
      <c r="O39" s="122">
        <v>226556</v>
      </c>
      <c r="P39" s="40">
        <f>(+O39-+O38)*48</f>
        <v>9312</v>
      </c>
      <c r="Q39" s="122">
        <v>435434</v>
      </c>
      <c r="R39" s="40">
        <f>(+Q39-+Q38)*48</f>
        <v>4800</v>
      </c>
      <c r="S39" s="122">
        <v>698814</v>
      </c>
      <c r="T39" s="40">
        <f>(+S39-+S38)*48</f>
        <v>6000</v>
      </c>
      <c r="U39" s="122">
        <v>95388.142000000007</v>
      </c>
      <c r="V39" s="41">
        <f>(+U39-+U38)*48</f>
        <v>945.88800000026822</v>
      </c>
      <c r="W39" s="122">
        <v>78217</v>
      </c>
      <c r="X39" s="40">
        <f>(+W39-+W38)*48</f>
        <v>1200</v>
      </c>
      <c r="Y39" s="122">
        <v>1484465</v>
      </c>
      <c r="Z39" s="40">
        <f>(+Y39-+Y38)*48</f>
        <v>13200</v>
      </c>
      <c r="AA39" s="34">
        <v>13166</v>
      </c>
      <c r="AB39" s="40">
        <f>(+AA39-+AA38)*48</f>
        <v>0</v>
      </c>
      <c r="AC39" s="122">
        <v>434301</v>
      </c>
      <c r="AD39" s="40">
        <f>(+AC39-+AC38)*48</f>
        <v>4944</v>
      </c>
      <c r="AE39" s="122">
        <v>511909</v>
      </c>
      <c r="AF39" s="40">
        <f>(+AE39-+AE38)*48</f>
        <v>5184</v>
      </c>
      <c r="AG39" s="122">
        <v>48868</v>
      </c>
      <c r="AH39" s="40">
        <f>(+AG39-+AG38)*48</f>
        <v>192</v>
      </c>
      <c r="AI39" s="122">
        <v>394107</v>
      </c>
      <c r="AJ39" s="40">
        <f>(+AI39-+AI38)*48</f>
        <v>5520</v>
      </c>
      <c r="AK39" s="34">
        <v>102371</v>
      </c>
      <c r="AL39" s="40">
        <f>(+AK39-+AK38)*48</f>
        <v>0</v>
      </c>
      <c r="AM39" s="122">
        <v>558480</v>
      </c>
      <c r="AN39" s="40">
        <f>(+AM39-+AM38)*48</f>
        <v>6000</v>
      </c>
      <c r="AO39" s="122">
        <v>897214</v>
      </c>
      <c r="AP39" s="40">
        <f>(+AO39-+AO38)*48</f>
        <v>9840</v>
      </c>
      <c r="AQ39" s="122">
        <v>70227</v>
      </c>
      <c r="AR39" s="40">
        <f>(+AQ39-+AQ38)*48</f>
        <v>4848</v>
      </c>
      <c r="AS39" s="34">
        <v>2204</v>
      </c>
      <c r="AT39" s="40">
        <f>(+AS39-+AS38)*48</f>
        <v>0</v>
      </c>
      <c r="AU39" s="34">
        <v>918</v>
      </c>
      <c r="AV39" s="40">
        <f>(+AU39-+AU38)*48</f>
        <v>0</v>
      </c>
      <c r="AW39" s="34">
        <v>3108</v>
      </c>
      <c r="AX39" s="40">
        <f>(+AW39-+AW38)*48</f>
        <v>0</v>
      </c>
      <c r="AY39" s="122">
        <v>301169</v>
      </c>
      <c r="AZ39" s="40">
        <f>(+AY39-+AY38)*48</f>
        <v>3936</v>
      </c>
      <c r="BA39" s="34">
        <v>160167</v>
      </c>
      <c r="BB39" s="40">
        <f>(+BA39-+BA38)*48</f>
        <v>0</v>
      </c>
      <c r="BC39" s="122">
        <v>206260</v>
      </c>
      <c r="BD39" s="40">
        <f>(+BC39-+BC38)*48</f>
        <v>2496</v>
      </c>
      <c r="BE39" s="34">
        <v>5347</v>
      </c>
      <c r="BF39" s="40">
        <f>(+BE39-+BE38)*48</f>
        <v>0</v>
      </c>
      <c r="BH39" s="100">
        <f t="shared" ref="BH39" si="710">SUM(E39,J39,P39,H39,L39,R39,T39,V39,X39,N39,AB39,Z39,AD39,AF39,AH39,AL39,AJ39)</f>
        <v>124766.68800000026</v>
      </c>
      <c r="BI39" s="100">
        <f t="shared" ref="BI39" si="711">SUM(F39,AN39,AP39,AT39,AV39,AX39,AR39,AZ39,BB39,BD39,BF39)</f>
        <v>67459.200000000012</v>
      </c>
    </row>
    <row r="40" spans="1:61" s="37" customFormat="1" ht="39.950000000000003" customHeight="1" x14ac:dyDescent="0.35">
      <c r="A40" s="38"/>
      <c r="AD40" s="27"/>
      <c r="BH40" s="20"/>
      <c r="BI40" s="20"/>
    </row>
    <row r="41" spans="1:61" s="37" customFormat="1" ht="39.950000000000003" customHeight="1" x14ac:dyDescent="0.35">
      <c r="A41" s="38"/>
      <c r="AD41" s="27"/>
      <c r="BH41" s="27"/>
      <c r="BI41" s="27"/>
    </row>
    <row r="42" spans="1:61" s="37" customFormat="1" ht="39.950000000000003" customHeight="1" x14ac:dyDescent="0.35">
      <c r="A42" s="38"/>
      <c r="AD42" s="27"/>
      <c r="BH42" s="27"/>
      <c r="BI42" s="27"/>
    </row>
    <row r="43" spans="1:61" s="37" customFormat="1" ht="21" x14ac:dyDescent="0.35">
      <c r="A43" s="38"/>
      <c r="AD43" s="27"/>
      <c r="BH43" s="27"/>
      <c r="BI43" s="27"/>
    </row>
    <row r="44" spans="1:61" s="37" customFormat="1" ht="21" x14ac:dyDescent="0.35">
      <c r="A44" s="38"/>
      <c r="AD44" s="27"/>
      <c r="BH44" s="27"/>
      <c r="BI44" s="27"/>
    </row>
    <row r="45" spans="1:61" s="37" customFormat="1" ht="21" x14ac:dyDescent="0.35">
      <c r="A45" s="38"/>
      <c r="AD45" s="27"/>
      <c r="BH45" s="27"/>
      <c r="BI45" s="27"/>
    </row>
    <row r="46" spans="1:61" s="37" customFormat="1" ht="21" x14ac:dyDescent="0.35">
      <c r="A46" s="38"/>
      <c r="AD46" s="27"/>
      <c r="BH46" s="27"/>
      <c r="BI46" s="27"/>
    </row>
    <row r="47" spans="1:61" s="37" customFormat="1" ht="21" x14ac:dyDescent="0.35">
      <c r="A47" s="38"/>
      <c r="AD47" s="27"/>
      <c r="BH47" s="27"/>
      <c r="BI47" s="27"/>
    </row>
    <row r="48" spans="1:61" ht="21" x14ac:dyDescent="0.35">
      <c r="A48" s="7"/>
      <c r="BH48" s="27"/>
      <c r="BI48" s="27"/>
    </row>
    <row r="49" spans="1:1" x14ac:dyDescent="0.5">
      <c r="A49" s="7"/>
    </row>
    <row r="50" spans="1:1" x14ac:dyDescent="0.5">
      <c r="A50" s="7"/>
    </row>
    <row r="51" spans="1:1" x14ac:dyDescent="0.5">
      <c r="A51" s="7"/>
    </row>
    <row r="52" spans="1:1" x14ac:dyDescent="0.5">
      <c r="A52" s="7"/>
    </row>
    <row r="53" spans="1:1" x14ac:dyDescent="0.5">
      <c r="A53" s="7"/>
    </row>
    <row r="54" spans="1:1" x14ac:dyDescent="0.5">
      <c r="A54" s="7"/>
    </row>
    <row r="55" spans="1:1" x14ac:dyDescent="0.5">
      <c r="A55" s="7"/>
    </row>
    <row r="56" spans="1:1" x14ac:dyDescent="0.5">
      <c r="A56" s="7"/>
    </row>
    <row r="57" spans="1:1" x14ac:dyDescent="0.5">
      <c r="A57" s="7"/>
    </row>
    <row r="58" spans="1:1" x14ac:dyDescent="0.5">
      <c r="A58" s="7"/>
    </row>
    <row r="59" spans="1:1" x14ac:dyDescent="0.5">
      <c r="A59" s="7"/>
    </row>
    <row r="60" spans="1:1" x14ac:dyDescent="0.5">
      <c r="A60" s="7"/>
    </row>
    <row r="61" spans="1:1" x14ac:dyDescent="0.5">
      <c r="A61" s="7"/>
    </row>
    <row r="62" spans="1:1" x14ac:dyDescent="0.5">
      <c r="A62" s="7"/>
    </row>
    <row r="63" spans="1:1" x14ac:dyDescent="0.5">
      <c r="A63" s="7"/>
    </row>
    <row r="64" spans="1:1" x14ac:dyDescent="0.5">
      <c r="A64" s="7"/>
    </row>
    <row r="65" spans="1:1" x14ac:dyDescent="0.5">
      <c r="A65" s="7"/>
    </row>
    <row r="66" spans="1:1" x14ac:dyDescent="0.5">
      <c r="A66" s="7"/>
    </row>
    <row r="67" spans="1:1" x14ac:dyDescent="0.5">
      <c r="A67" s="7"/>
    </row>
    <row r="68" spans="1:1" x14ac:dyDescent="0.5">
      <c r="A68" s="7"/>
    </row>
    <row r="69" spans="1:1" x14ac:dyDescent="0.5">
      <c r="A69" s="7"/>
    </row>
    <row r="70" spans="1:1" x14ac:dyDescent="0.5">
      <c r="A70" s="7"/>
    </row>
    <row r="71" spans="1:1" x14ac:dyDescent="0.5">
      <c r="A71" s="7"/>
    </row>
    <row r="72" spans="1:1" x14ac:dyDescent="0.5">
      <c r="A72" s="7"/>
    </row>
    <row r="73" spans="1:1" x14ac:dyDescent="0.5">
      <c r="A73" s="7"/>
    </row>
    <row r="74" spans="1:1" x14ac:dyDescent="0.5">
      <c r="A74" s="7"/>
    </row>
    <row r="75" spans="1:1" x14ac:dyDescent="0.5">
      <c r="A75" s="7"/>
    </row>
    <row r="76" spans="1:1" x14ac:dyDescent="0.5">
      <c r="A76" s="7"/>
    </row>
    <row r="77" spans="1:1" x14ac:dyDescent="0.5">
      <c r="A77" s="7"/>
    </row>
    <row r="78" spans="1:1" x14ac:dyDescent="0.5">
      <c r="A78" s="7"/>
    </row>
    <row r="79" spans="1:1" x14ac:dyDescent="0.5">
      <c r="A79" s="7"/>
    </row>
    <row r="80" spans="1:1" x14ac:dyDescent="0.5">
      <c r="A80" s="7"/>
    </row>
    <row r="81" spans="1:1" x14ac:dyDescent="0.5">
      <c r="A81" s="7"/>
    </row>
    <row r="82" spans="1:1" x14ac:dyDescent="0.5">
      <c r="A82" s="7"/>
    </row>
    <row r="83" spans="1:1" x14ac:dyDescent="0.5">
      <c r="A83" s="7"/>
    </row>
    <row r="84" spans="1:1" x14ac:dyDescent="0.5">
      <c r="A84" s="7"/>
    </row>
    <row r="85" spans="1:1" x14ac:dyDescent="0.5">
      <c r="A85" s="7"/>
    </row>
    <row r="86" spans="1:1" x14ac:dyDescent="0.5">
      <c r="A86" s="7"/>
    </row>
    <row r="87" spans="1:1" x14ac:dyDescent="0.5">
      <c r="A87" s="7"/>
    </row>
    <row r="88" spans="1:1" x14ac:dyDescent="0.5">
      <c r="A88" s="7"/>
    </row>
    <row r="89" spans="1:1" x14ac:dyDescent="0.5">
      <c r="A89" s="7"/>
    </row>
    <row r="90" spans="1:1" x14ac:dyDescent="0.5">
      <c r="A90" s="7"/>
    </row>
  </sheetData>
  <mergeCells count="163">
    <mergeCell ref="G1:H1"/>
    <mergeCell ref="K1:L1"/>
    <mergeCell ref="Q1:R1"/>
    <mergeCell ref="AA2:AB2"/>
    <mergeCell ref="I2:J2"/>
    <mergeCell ref="AM2:AN2"/>
    <mergeCell ref="AO2:AP2"/>
    <mergeCell ref="AS2:AT2"/>
    <mergeCell ref="AU2:AV2"/>
    <mergeCell ref="AS1:AT1"/>
    <mergeCell ref="AU1:AV1"/>
    <mergeCell ref="AC2:AD2"/>
    <mergeCell ref="AE2:AF2"/>
    <mergeCell ref="O2:P2"/>
    <mergeCell ref="K2:L2"/>
    <mergeCell ref="Q2:R2"/>
    <mergeCell ref="S2:T2"/>
    <mergeCell ref="U2:V2"/>
    <mergeCell ref="S1:T1"/>
    <mergeCell ref="U1:V1"/>
    <mergeCell ref="AA1:AB1"/>
    <mergeCell ref="I1:J1"/>
    <mergeCell ref="AM1:AN1"/>
    <mergeCell ref="AO1:AP1"/>
    <mergeCell ref="AC1:AD1"/>
    <mergeCell ref="AE1:AF1"/>
    <mergeCell ref="O1:P1"/>
    <mergeCell ref="AA5:AB5"/>
    <mergeCell ref="I5:J5"/>
    <mergeCell ref="AM5:AN5"/>
    <mergeCell ref="AO5:AP5"/>
    <mergeCell ref="AS5:AT5"/>
    <mergeCell ref="AU5:AV5"/>
    <mergeCell ref="AS4:AT4"/>
    <mergeCell ref="AU4:AV4"/>
    <mergeCell ref="AC5:AD5"/>
    <mergeCell ref="AE5:AF5"/>
    <mergeCell ref="O5:P5"/>
    <mergeCell ref="K5:L5"/>
    <mergeCell ref="Q5:R5"/>
    <mergeCell ref="S5:T5"/>
    <mergeCell ref="U5:V5"/>
    <mergeCell ref="S4:T4"/>
    <mergeCell ref="U4:V4"/>
    <mergeCell ref="AA4:AB4"/>
    <mergeCell ref="I4:J4"/>
    <mergeCell ref="AM4:AN4"/>
    <mergeCell ref="AO4:AP4"/>
    <mergeCell ref="AC4:AD4"/>
    <mergeCell ref="AE4:AF4"/>
    <mergeCell ref="O4:P4"/>
    <mergeCell ref="AA6:AB6"/>
    <mergeCell ref="I6:J6"/>
    <mergeCell ref="AM6:AN6"/>
    <mergeCell ref="AO6:AP6"/>
    <mergeCell ref="AS6:AT6"/>
    <mergeCell ref="AC6:AD6"/>
    <mergeCell ref="AE6:AF6"/>
    <mergeCell ref="O6:P6"/>
    <mergeCell ref="K6:L6"/>
    <mergeCell ref="Q6:R6"/>
    <mergeCell ref="S6:T6"/>
    <mergeCell ref="AI6:AJ6"/>
    <mergeCell ref="C4:D4"/>
    <mergeCell ref="C5:D5"/>
    <mergeCell ref="C6:D6"/>
    <mergeCell ref="Y1:Z1"/>
    <mergeCell ref="Y2:Z2"/>
    <mergeCell ref="Y4:Z4"/>
    <mergeCell ref="Y5:Z5"/>
    <mergeCell ref="Y6:Z6"/>
    <mergeCell ref="W1:X1"/>
    <mergeCell ref="W2:X2"/>
    <mergeCell ref="W4:X4"/>
    <mergeCell ref="W5:X5"/>
    <mergeCell ref="W6:X6"/>
    <mergeCell ref="M1:N1"/>
    <mergeCell ref="M2:N2"/>
    <mergeCell ref="M4:N4"/>
    <mergeCell ref="M5:N5"/>
    <mergeCell ref="M6:N6"/>
    <mergeCell ref="U6:V6"/>
    <mergeCell ref="G5:H5"/>
    <mergeCell ref="G4:H4"/>
    <mergeCell ref="K4:L4"/>
    <mergeCell ref="Q4:R4"/>
    <mergeCell ref="G2:H2"/>
    <mergeCell ref="AU6:AV6"/>
    <mergeCell ref="AW1:AX1"/>
    <mergeCell ref="AW2:AX2"/>
    <mergeCell ref="AW4:AX4"/>
    <mergeCell ref="AW5:AX5"/>
    <mergeCell ref="AW6:AX6"/>
    <mergeCell ref="AW3:AX3"/>
    <mergeCell ref="AU3:AV3"/>
    <mergeCell ref="AI3:AJ3"/>
    <mergeCell ref="AG1:AH1"/>
    <mergeCell ref="AG2:AH2"/>
    <mergeCell ref="AG4:AH4"/>
    <mergeCell ref="AG5:AH5"/>
    <mergeCell ref="AG6:AH6"/>
    <mergeCell ref="AQ1:AR1"/>
    <mergeCell ref="AQ2:AR2"/>
    <mergeCell ref="AQ4:AR4"/>
    <mergeCell ref="AQ5:AR5"/>
    <mergeCell ref="AQ6:AR6"/>
    <mergeCell ref="BE1:BF1"/>
    <mergeCell ref="BE2:BF2"/>
    <mergeCell ref="BE4:BF4"/>
    <mergeCell ref="BE5:BF5"/>
    <mergeCell ref="AY1:AZ1"/>
    <mergeCell ref="AY2:AZ2"/>
    <mergeCell ref="AY4:AZ4"/>
    <mergeCell ref="AY5:AZ5"/>
    <mergeCell ref="AY6:AZ6"/>
    <mergeCell ref="U3:V3"/>
    <mergeCell ref="AG3:AH3"/>
    <mergeCell ref="AQ3:AR3"/>
    <mergeCell ref="Y3:Z3"/>
    <mergeCell ref="BE6:BF6"/>
    <mergeCell ref="BC1:BD1"/>
    <mergeCell ref="BC2:BD2"/>
    <mergeCell ref="BC4:BD4"/>
    <mergeCell ref="BC5:BD5"/>
    <mergeCell ref="BC6:BD6"/>
    <mergeCell ref="AK1:AL1"/>
    <mergeCell ref="AK2:AL2"/>
    <mergeCell ref="AK4:AL4"/>
    <mergeCell ref="AK5:AL5"/>
    <mergeCell ref="AK6:AL6"/>
    <mergeCell ref="BA1:BB1"/>
    <mergeCell ref="BA2:BB2"/>
    <mergeCell ref="BA4:BB4"/>
    <mergeCell ref="BA5:BB5"/>
    <mergeCell ref="BA6:BB6"/>
    <mergeCell ref="BC3:BD3"/>
    <mergeCell ref="BA3:BB3"/>
    <mergeCell ref="AY3:AZ3"/>
    <mergeCell ref="AK3:AL3"/>
    <mergeCell ref="C3:D3"/>
    <mergeCell ref="M3:N3"/>
    <mergeCell ref="W3:X3"/>
    <mergeCell ref="BE3:BF3"/>
    <mergeCell ref="AI1:AJ1"/>
    <mergeCell ref="AI2:AJ2"/>
    <mergeCell ref="AI4:AJ4"/>
    <mergeCell ref="AI5:AJ5"/>
    <mergeCell ref="BH4:BI5"/>
    <mergeCell ref="AC3:AD3"/>
    <mergeCell ref="E4:F4"/>
    <mergeCell ref="C2:F2"/>
    <mergeCell ref="C1:F1"/>
    <mergeCell ref="S3:T3"/>
    <mergeCell ref="Q3:R3"/>
    <mergeCell ref="K3:L3"/>
    <mergeCell ref="G3:H3"/>
    <mergeCell ref="O3:P3"/>
    <mergeCell ref="AE3:AF3"/>
    <mergeCell ref="AS3:AT3"/>
    <mergeCell ref="AO3:AP3"/>
    <mergeCell ref="AM3:AN3"/>
    <mergeCell ref="I3:J3"/>
    <mergeCell ref="AA3:A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89"/>
  <sheetViews>
    <sheetView zoomScale="70" zoomScaleNormal="70" workbookViewId="0">
      <selection activeCell="J17" sqref="J17"/>
    </sheetView>
  </sheetViews>
  <sheetFormatPr defaultRowHeight="21" x14ac:dyDescent="0.35"/>
  <cols>
    <col min="1" max="1" width="15.7109375" style="5" customWidth="1"/>
    <col min="2" max="2" width="2.42578125" customWidth="1"/>
    <col min="3" max="3" width="30.7109375" customWidth="1"/>
    <col min="4" max="14" width="30.7109375" style="1" customWidth="1"/>
    <col min="15" max="15" width="5.7109375" style="1" customWidth="1"/>
    <col min="16" max="25" width="30.7109375" customWidth="1"/>
    <col min="26" max="26" width="5.7109375" style="51" customWidth="1"/>
    <col min="27" max="40" width="30.7109375" customWidth="1"/>
    <col min="41" max="41" width="5.7109375" style="51" customWidth="1"/>
    <col min="42" max="57" width="30.7109375" customWidth="1"/>
    <col min="58" max="58" width="5.7109375" style="51" customWidth="1"/>
    <col min="59" max="72" width="30.7109375" customWidth="1"/>
    <col min="73" max="73" width="5.7109375" style="51" customWidth="1"/>
    <col min="74" max="81" width="30.7109375" customWidth="1"/>
    <col min="82" max="82" width="5.7109375" style="51" customWidth="1"/>
    <col min="83" max="84" width="30.7109375" customWidth="1"/>
    <col min="85" max="85" width="5.7109375" style="51" customWidth="1"/>
    <col min="86" max="87" width="30.7109375" customWidth="1"/>
    <col min="88" max="88" width="5.7109375" style="51" customWidth="1"/>
    <col min="89" max="90" width="30.7109375" customWidth="1"/>
    <col min="91" max="91" width="5.7109375" style="51" customWidth="1"/>
    <col min="92" max="93" width="30.7109375" customWidth="1"/>
    <col min="94" max="94" width="5.7109375" style="51" customWidth="1"/>
    <col min="95" max="96" width="30.7109375" customWidth="1"/>
    <col min="97" max="97" width="5.7109375" style="51" customWidth="1"/>
    <col min="98" max="111" width="30.7109375" customWidth="1"/>
    <col min="112" max="112" width="5.7109375" style="51" customWidth="1"/>
    <col min="113" max="114" width="30.7109375" customWidth="1"/>
    <col min="115" max="115" width="5.7109375" style="51" customWidth="1"/>
    <col min="116" max="117" width="30.7109375" customWidth="1"/>
    <col min="118" max="127" width="25.7109375" customWidth="1"/>
  </cols>
  <sheetData>
    <row r="1" spans="1:127" s="8" customFormat="1" ht="49.5" customHeight="1" x14ac:dyDescent="0.25">
      <c r="A1" s="103"/>
      <c r="B1" s="103"/>
      <c r="C1" s="143" t="s">
        <v>11</v>
      </c>
      <c r="D1" s="143"/>
      <c r="E1" s="143" t="s">
        <v>143</v>
      </c>
      <c r="F1" s="143"/>
      <c r="G1" s="143" t="s">
        <v>143</v>
      </c>
      <c r="H1" s="143"/>
      <c r="I1" s="143" t="s">
        <v>143</v>
      </c>
      <c r="J1" s="143"/>
      <c r="K1" s="143" t="s">
        <v>143</v>
      </c>
      <c r="L1" s="143"/>
      <c r="M1" s="143" t="s">
        <v>143</v>
      </c>
      <c r="N1" s="143"/>
      <c r="O1" s="63"/>
      <c r="P1" s="143" t="s">
        <v>11</v>
      </c>
      <c r="Q1" s="143"/>
      <c r="R1" s="143" t="s">
        <v>143</v>
      </c>
      <c r="S1" s="143"/>
      <c r="T1" s="143" t="s">
        <v>143</v>
      </c>
      <c r="U1" s="143"/>
      <c r="V1" s="143" t="s">
        <v>143</v>
      </c>
      <c r="W1" s="143"/>
      <c r="X1" s="143" t="s">
        <v>143</v>
      </c>
      <c r="Y1" s="143"/>
      <c r="Z1" s="71"/>
      <c r="AA1" s="143" t="s">
        <v>11</v>
      </c>
      <c r="AB1" s="143"/>
      <c r="AC1" s="143" t="s">
        <v>143</v>
      </c>
      <c r="AD1" s="143"/>
      <c r="AE1" s="143" t="s">
        <v>143</v>
      </c>
      <c r="AF1" s="143"/>
      <c r="AG1" s="143" t="s">
        <v>143</v>
      </c>
      <c r="AH1" s="143"/>
      <c r="AI1" s="143" t="s">
        <v>143</v>
      </c>
      <c r="AJ1" s="143"/>
      <c r="AK1" s="143" t="s">
        <v>143</v>
      </c>
      <c r="AL1" s="143"/>
      <c r="AM1" s="143" t="s">
        <v>143</v>
      </c>
      <c r="AN1" s="143"/>
      <c r="AO1" s="71"/>
      <c r="AP1" s="143" t="s">
        <v>11</v>
      </c>
      <c r="AQ1" s="143"/>
      <c r="AR1" s="143" t="s">
        <v>143</v>
      </c>
      <c r="AS1" s="143"/>
      <c r="AT1" s="143" t="s">
        <v>143</v>
      </c>
      <c r="AU1" s="143"/>
      <c r="AV1" s="143" t="s">
        <v>143</v>
      </c>
      <c r="AW1" s="143"/>
      <c r="AX1" s="143" t="s">
        <v>143</v>
      </c>
      <c r="AY1" s="143"/>
      <c r="AZ1" s="143" t="s">
        <v>143</v>
      </c>
      <c r="BA1" s="143"/>
      <c r="BB1" s="143" t="s">
        <v>143</v>
      </c>
      <c r="BC1" s="143"/>
      <c r="BD1" s="143" t="s">
        <v>143</v>
      </c>
      <c r="BE1" s="143"/>
      <c r="BF1" s="71"/>
      <c r="BG1" s="143" t="s">
        <v>11</v>
      </c>
      <c r="BH1" s="143"/>
      <c r="BI1" s="143" t="s">
        <v>143</v>
      </c>
      <c r="BJ1" s="143"/>
      <c r="BK1" s="143" t="s">
        <v>143</v>
      </c>
      <c r="BL1" s="143"/>
      <c r="BM1" s="143" t="s">
        <v>143</v>
      </c>
      <c r="BN1" s="143"/>
      <c r="BO1" s="143" t="s">
        <v>143</v>
      </c>
      <c r="BP1" s="143"/>
      <c r="BQ1" s="143" t="s">
        <v>143</v>
      </c>
      <c r="BR1" s="143"/>
      <c r="BS1" s="143" t="s">
        <v>143</v>
      </c>
      <c r="BT1" s="143"/>
      <c r="BU1" s="71"/>
      <c r="BV1" s="156" t="s">
        <v>12</v>
      </c>
      <c r="BW1" s="157"/>
      <c r="BX1" s="143" t="s">
        <v>143</v>
      </c>
      <c r="BY1" s="143"/>
      <c r="BZ1" s="143" t="s">
        <v>143</v>
      </c>
      <c r="CA1" s="143"/>
      <c r="CB1" s="143" t="s">
        <v>143</v>
      </c>
      <c r="CC1" s="143"/>
      <c r="CD1" s="71"/>
      <c r="CE1" s="156" t="s">
        <v>12</v>
      </c>
      <c r="CF1" s="157"/>
      <c r="CG1" s="71"/>
      <c r="CH1" s="156" t="s">
        <v>12</v>
      </c>
      <c r="CI1" s="157"/>
      <c r="CJ1" s="71"/>
      <c r="CK1" s="156" t="s">
        <v>12</v>
      </c>
      <c r="CL1" s="157"/>
      <c r="CM1" s="71"/>
      <c r="CN1" s="143" t="s">
        <v>13</v>
      </c>
      <c r="CO1" s="143"/>
      <c r="CP1" s="71"/>
      <c r="CQ1" s="143" t="s">
        <v>13</v>
      </c>
      <c r="CR1" s="143"/>
      <c r="CS1" s="71"/>
      <c r="CT1" s="143" t="s">
        <v>13</v>
      </c>
      <c r="CU1" s="143"/>
      <c r="CV1" s="143" t="s">
        <v>143</v>
      </c>
      <c r="CW1" s="143"/>
      <c r="CX1" s="143" t="s">
        <v>143</v>
      </c>
      <c r="CY1" s="143"/>
      <c r="CZ1" s="143" t="s">
        <v>143</v>
      </c>
      <c r="DA1" s="143"/>
      <c r="DB1" s="143" t="s">
        <v>143</v>
      </c>
      <c r="DC1" s="143"/>
      <c r="DD1" s="143" t="s">
        <v>143</v>
      </c>
      <c r="DE1" s="143"/>
      <c r="DF1" s="143" t="s">
        <v>143</v>
      </c>
      <c r="DG1" s="143"/>
      <c r="DH1" s="71"/>
      <c r="DI1" s="143" t="s">
        <v>13</v>
      </c>
      <c r="DJ1" s="143"/>
      <c r="DK1" s="71"/>
      <c r="DL1" s="143" t="s">
        <v>13</v>
      </c>
      <c r="DM1" s="143"/>
      <c r="DN1" s="143" t="s">
        <v>143</v>
      </c>
      <c r="DO1" s="143"/>
      <c r="DP1" s="143" t="s">
        <v>143</v>
      </c>
      <c r="DQ1" s="143"/>
      <c r="DR1" s="143" t="s">
        <v>143</v>
      </c>
      <c r="DS1" s="143"/>
      <c r="DT1" s="143" t="s">
        <v>143</v>
      </c>
      <c r="DU1" s="143"/>
      <c r="DV1" s="143" t="s">
        <v>143</v>
      </c>
      <c r="DW1" s="143"/>
    </row>
    <row r="2" spans="1:127" s="3" customFormat="1" ht="113.25" customHeight="1" x14ac:dyDescent="0.25">
      <c r="A2" s="9"/>
      <c r="B2" s="10"/>
      <c r="C2" s="142" t="s">
        <v>14</v>
      </c>
      <c r="D2" s="142"/>
      <c r="E2" s="142" t="s">
        <v>144</v>
      </c>
      <c r="F2" s="142"/>
      <c r="G2" s="142" t="s">
        <v>145</v>
      </c>
      <c r="H2" s="142"/>
      <c r="I2" s="142" t="s">
        <v>146</v>
      </c>
      <c r="J2" s="142"/>
      <c r="K2" s="142" t="s">
        <v>147</v>
      </c>
      <c r="L2" s="142"/>
      <c r="M2" s="142" t="s">
        <v>148</v>
      </c>
      <c r="N2" s="142"/>
      <c r="O2" s="64"/>
      <c r="P2" s="142" t="s">
        <v>15</v>
      </c>
      <c r="Q2" s="142"/>
      <c r="R2" s="142" t="s">
        <v>149</v>
      </c>
      <c r="S2" s="142"/>
      <c r="T2" s="142" t="s">
        <v>150</v>
      </c>
      <c r="U2" s="142"/>
      <c r="V2" s="142" t="s">
        <v>151</v>
      </c>
      <c r="W2" s="142"/>
      <c r="X2" s="142" t="s">
        <v>152</v>
      </c>
      <c r="Y2" s="142"/>
      <c r="Z2" s="72"/>
      <c r="AA2" s="147" t="s">
        <v>16</v>
      </c>
      <c r="AB2" s="148"/>
      <c r="AC2" s="147" t="s">
        <v>153</v>
      </c>
      <c r="AD2" s="148"/>
      <c r="AE2" s="147" t="s">
        <v>154</v>
      </c>
      <c r="AF2" s="148"/>
      <c r="AG2" s="147" t="s">
        <v>155</v>
      </c>
      <c r="AH2" s="148"/>
      <c r="AI2" s="147" t="s">
        <v>156</v>
      </c>
      <c r="AJ2" s="148"/>
      <c r="AK2" s="147" t="s">
        <v>157</v>
      </c>
      <c r="AL2" s="148"/>
      <c r="AM2" s="147" t="s">
        <v>158</v>
      </c>
      <c r="AN2" s="148"/>
      <c r="AO2" s="72"/>
      <c r="AP2" s="142" t="s">
        <v>17</v>
      </c>
      <c r="AQ2" s="142"/>
      <c r="AR2" s="142" t="s">
        <v>159</v>
      </c>
      <c r="AS2" s="142"/>
      <c r="AT2" s="142" t="s">
        <v>160</v>
      </c>
      <c r="AU2" s="142"/>
      <c r="AV2" s="142" t="s">
        <v>161</v>
      </c>
      <c r="AW2" s="142"/>
      <c r="AX2" s="142" t="s">
        <v>162</v>
      </c>
      <c r="AY2" s="142"/>
      <c r="AZ2" s="142" t="s">
        <v>163</v>
      </c>
      <c r="BA2" s="142"/>
      <c r="BB2" s="142" t="s">
        <v>164</v>
      </c>
      <c r="BC2" s="142"/>
      <c r="BD2" s="142" t="s">
        <v>165</v>
      </c>
      <c r="BE2" s="142"/>
      <c r="BF2" s="72"/>
      <c r="BG2" s="142" t="s">
        <v>18</v>
      </c>
      <c r="BH2" s="142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72"/>
      <c r="BV2" s="147" t="s">
        <v>19</v>
      </c>
      <c r="BW2" s="148"/>
      <c r="BX2" s="147" t="s">
        <v>166</v>
      </c>
      <c r="BY2" s="148"/>
      <c r="BZ2" s="147" t="s">
        <v>167</v>
      </c>
      <c r="CA2" s="148"/>
      <c r="CB2" s="147" t="s">
        <v>168</v>
      </c>
      <c r="CC2" s="148"/>
      <c r="CD2" s="72"/>
      <c r="CE2" s="147" t="s">
        <v>20</v>
      </c>
      <c r="CF2" s="148"/>
      <c r="CG2" s="72"/>
      <c r="CH2" s="147" t="s">
        <v>21</v>
      </c>
      <c r="CI2" s="148"/>
      <c r="CJ2" s="72"/>
      <c r="CK2" s="147" t="s">
        <v>22</v>
      </c>
      <c r="CL2" s="148"/>
      <c r="CM2" s="72"/>
      <c r="CN2" s="142" t="s">
        <v>23</v>
      </c>
      <c r="CO2" s="142"/>
      <c r="CP2" s="72"/>
      <c r="CQ2" s="142" t="s">
        <v>24</v>
      </c>
      <c r="CR2" s="142"/>
      <c r="CS2" s="72"/>
      <c r="CT2" s="142" t="s">
        <v>25</v>
      </c>
      <c r="CU2" s="142"/>
      <c r="CV2" s="142" t="s">
        <v>169</v>
      </c>
      <c r="CW2" s="142"/>
      <c r="CX2" s="142" t="s">
        <v>170</v>
      </c>
      <c r="CY2" s="142"/>
      <c r="CZ2" s="142" t="s">
        <v>171</v>
      </c>
      <c r="DA2" s="142"/>
      <c r="DB2" s="142" t="s">
        <v>172</v>
      </c>
      <c r="DC2" s="142"/>
      <c r="DD2" s="142" t="s">
        <v>173</v>
      </c>
      <c r="DE2" s="142"/>
      <c r="DF2" s="142" t="s">
        <v>174</v>
      </c>
      <c r="DG2" s="142"/>
      <c r="DH2" s="72"/>
      <c r="DI2" s="142" t="s">
        <v>24</v>
      </c>
      <c r="DJ2" s="142"/>
      <c r="DK2" s="72"/>
      <c r="DL2" s="142" t="s">
        <v>26</v>
      </c>
      <c r="DM2" s="142"/>
      <c r="DN2" s="142" t="s">
        <v>175</v>
      </c>
      <c r="DO2" s="142"/>
      <c r="DP2" s="142" t="s">
        <v>176</v>
      </c>
      <c r="DQ2" s="142"/>
      <c r="DR2" s="142" t="s">
        <v>177</v>
      </c>
      <c r="DS2" s="142"/>
      <c r="DT2" s="142" t="s">
        <v>178</v>
      </c>
      <c r="DU2" s="142"/>
      <c r="DV2" s="142" t="s">
        <v>179</v>
      </c>
      <c r="DW2" s="142"/>
    </row>
    <row r="3" spans="1:127" s="22" customFormat="1" ht="30" customHeight="1" x14ac:dyDescent="0.25">
      <c r="A3" s="102"/>
      <c r="B3" s="112"/>
      <c r="C3" s="188">
        <v>5065546</v>
      </c>
      <c r="D3" s="188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65"/>
      <c r="P3" s="144">
        <v>5065547</v>
      </c>
      <c r="Q3" s="146"/>
      <c r="R3" s="104"/>
      <c r="S3" s="104"/>
      <c r="T3" s="104"/>
      <c r="U3" s="104"/>
      <c r="V3" s="104"/>
      <c r="W3" s="104"/>
      <c r="X3" s="104"/>
      <c r="Y3" s="104"/>
      <c r="Z3" s="73"/>
      <c r="AA3" s="144">
        <v>5008272</v>
      </c>
      <c r="AB3" s="145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73"/>
      <c r="AP3" s="144">
        <v>5065548</v>
      </c>
      <c r="AQ3" s="146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73"/>
      <c r="BG3" s="144">
        <v>5465545</v>
      </c>
      <c r="BH3" s="146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73"/>
      <c r="BV3" s="144">
        <v>5008273</v>
      </c>
      <c r="BW3" s="145"/>
      <c r="BX3" s="104"/>
      <c r="BY3" s="104"/>
      <c r="BZ3" s="104"/>
      <c r="CA3" s="104"/>
      <c r="CB3" s="104"/>
      <c r="CC3" s="104"/>
      <c r="CD3" s="73"/>
      <c r="CE3" s="144">
        <v>5018351</v>
      </c>
      <c r="CF3" s="145"/>
      <c r="CG3" s="73"/>
      <c r="CH3" s="144">
        <v>5018354</v>
      </c>
      <c r="CI3" s="145"/>
      <c r="CJ3" s="73"/>
      <c r="CK3" s="144">
        <v>5018350</v>
      </c>
      <c r="CL3" s="145"/>
      <c r="CM3" s="73"/>
      <c r="CN3" s="144">
        <v>5065543</v>
      </c>
      <c r="CO3" s="146"/>
      <c r="CP3" s="73"/>
      <c r="CQ3" s="144">
        <v>5065544</v>
      </c>
      <c r="CR3" s="146"/>
      <c r="CS3" s="73"/>
      <c r="CT3" s="144">
        <v>5065541</v>
      </c>
      <c r="CU3" s="146"/>
      <c r="CV3" s="104"/>
      <c r="CW3" s="104"/>
      <c r="CX3" s="104"/>
      <c r="CY3" s="104"/>
      <c r="CZ3" s="104"/>
      <c r="DA3" s="104"/>
      <c r="DB3" s="104"/>
      <c r="DC3" s="104"/>
      <c r="DD3" s="104"/>
      <c r="DE3" s="104"/>
      <c r="DF3" s="104"/>
      <c r="DG3" s="104"/>
      <c r="DH3" s="73"/>
      <c r="DI3" s="144">
        <v>5065542</v>
      </c>
      <c r="DJ3" s="146"/>
      <c r="DK3" s="73"/>
      <c r="DL3" s="144">
        <v>5065540</v>
      </c>
      <c r="DM3" s="146"/>
    </row>
    <row r="4" spans="1:127" s="21" customFormat="1" ht="30" customHeight="1" x14ac:dyDescent="0.25">
      <c r="A4" s="102"/>
      <c r="B4" s="111"/>
      <c r="C4" s="187" t="s">
        <v>28</v>
      </c>
      <c r="D4" s="187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66"/>
      <c r="P4" s="152" t="s">
        <v>29</v>
      </c>
      <c r="Q4" s="153"/>
      <c r="R4" s="108"/>
      <c r="S4" s="108"/>
      <c r="T4" s="108"/>
      <c r="U4" s="108"/>
      <c r="V4" s="108"/>
      <c r="W4" s="108"/>
      <c r="X4" s="108"/>
      <c r="Y4" s="108"/>
      <c r="Z4" s="50"/>
      <c r="AA4" s="152" t="s">
        <v>30</v>
      </c>
      <c r="AB4" s="154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50"/>
      <c r="AP4" s="152" t="s">
        <v>31</v>
      </c>
      <c r="AQ4" s="153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50"/>
      <c r="BG4" s="152" t="s">
        <v>32</v>
      </c>
      <c r="BH4" s="153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50"/>
      <c r="BV4" s="152" t="s">
        <v>33</v>
      </c>
      <c r="BW4" s="154"/>
      <c r="BX4" s="108"/>
      <c r="BY4" s="108"/>
      <c r="BZ4" s="108"/>
      <c r="CA4" s="108"/>
      <c r="CB4" s="108"/>
      <c r="CC4" s="108"/>
      <c r="CD4" s="50"/>
      <c r="CE4" s="152" t="s">
        <v>34</v>
      </c>
      <c r="CF4" s="154"/>
      <c r="CG4" s="50"/>
      <c r="CH4" s="152" t="s">
        <v>35</v>
      </c>
      <c r="CI4" s="154"/>
      <c r="CJ4" s="50"/>
      <c r="CK4" s="152" t="s">
        <v>36</v>
      </c>
      <c r="CL4" s="154"/>
      <c r="CM4" s="50"/>
      <c r="CN4" s="152" t="s">
        <v>37</v>
      </c>
      <c r="CO4" s="153"/>
      <c r="CP4" s="50"/>
      <c r="CQ4" s="152" t="s">
        <v>38</v>
      </c>
      <c r="CR4" s="153"/>
      <c r="CS4" s="50"/>
      <c r="CT4" s="152" t="s">
        <v>39</v>
      </c>
      <c r="CU4" s="153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50"/>
      <c r="DI4" s="152" t="s">
        <v>40</v>
      </c>
      <c r="DJ4" s="153"/>
      <c r="DK4" s="50"/>
      <c r="DL4" s="152" t="s">
        <v>41</v>
      </c>
      <c r="DM4" s="153"/>
    </row>
    <row r="5" spans="1:127" s="4" customFormat="1" ht="30" customHeight="1" x14ac:dyDescent="0.25">
      <c r="A5" s="102"/>
      <c r="B5" s="110"/>
      <c r="C5" s="186"/>
      <c r="D5" s="186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67"/>
      <c r="P5" s="150"/>
      <c r="Q5" s="151"/>
      <c r="R5" s="109"/>
      <c r="S5" s="109"/>
      <c r="T5" s="109"/>
      <c r="U5" s="109"/>
      <c r="V5" s="109"/>
      <c r="W5" s="109"/>
      <c r="X5" s="109"/>
      <c r="Y5" s="109"/>
      <c r="Z5" s="74"/>
      <c r="AA5" s="150"/>
      <c r="AB5" s="155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74"/>
      <c r="AP5" s="107"/>
      <c r="AQ5" s="110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74"/>
      <c r="BG5" s="150"/>
      <c r="BH5" s="151"/>
      <c r="BI5" s="109"/>
      <c r="BJ5" s="109"/>
      <c r="BK5" s="109"/>
      <c r="BL5" s="109"/>
      <c r="BM5" s="109"/>
      <c r="BN5" s="109"/>
      <c r="BO5" s="109"/>
      <c r="BP5" s="109"/>
      <c r="BQ5" s="109"/>
      <c r="BR5" s="109"/>
      <c r="BS5" s="109"/>
      <c r="BT5" s="109"/>
      <c r="BU5" s="74"/>
      <c r="BV5" s="150"/>
      <c r="BW5" s="155"/>
      <c r="BX5" s="109"/>
      <c r="BY5" s="109"/>
      <c r="BZ5" s="109"/>
      <c r="CA5" s="109"/>
      <c r="CB5" s="109"/>
      <c r="CC5" s="109"/>
      <c r="CD5" s="74"/>
      <c r="CE5" s="150"/>
      <c r="CF5" s="155"/>
      <c r="CG5" s="74"/>
      <c r="CH5" s="150"/>
      <c r="CI5" s="155"/>
      <c r="CJ5" s="74"/>
      <c r="CK5" s="150"/>
      <c r="CL5" s="155"/>
      <c r="CM5" s="74"/>
      <c r="CN5" s="150"/>
      <c r="CO5" s="151"/>
      <c r="CP5" s="74"/>
      <c r="CQ5" s="150"/>
      <c r="CR5" s="151"/>
      <c r="CS5" s="74"/>
      <c r="CT5" s="150"/>
      <c r="CU5" s="151"/>
      <c r="CV5" s="109"/>
      <c r="CW5" s="109"/>
      <c r="CX5" s="109"/>
      <c r="CY5" s="109"/>
      <c r="CZ5" s="109"/>
      <c r="DA5" s="109"/>
      <c r="DB5" s="109"/>
      <c r="DC5" s="109"/>
      <c r="DD5" s="109"/>
      <c r="DE5" s="109"/>
      <c r="DF5" s="109"/>
      <c r="DG5" s="109"/>
      <c r="DH5" s="74"/>
      <c r="DI5" s="150"/>
      <c r="DJ5" s="151"/>
      <c r="DK5" s="74"/>
      <c r="DL5" s="150"/>
      <c r="DM5" s="151"/>
    </row>
    <row r="6" spans="1:127" s="6" customFormat="1" ht="50.1" customHeight="1" x14ac:dyDescent="0.25">
      <c r="A6" s="60" t="s">
        <v>45</v>
      </c>
      <c r="B6" s="60"/>
      <c r="C6" s="102" t="s">
        <v>46</v>
      </c>
      <c r="D6" s="102" t="s">
        <v>47</v>
      </c>
      <c r="E6" s="102" t="s">
        <v>46</v>
      </c>
      <c r="F6" s="102" t="s">
        <v>47</v>
      </c>
      <c r="G6" s="102" t="s">
        <v>46</v>
      </c>
      <c r="H6" s="102" t="s">
        <v>47</v>
      </c>
      <c r="I6" s="102" t="s">
        <v>46</v>
      </c>
      <c r="J6" s="102" t="s">
        <v>47</v>
      </c>
      <c r="K6" s="102" t="s">
        <v>46</v>
      </c>
      <c r="L6" s="102" t="s">
        <v>47</v>
      </c>
      <c r="M6" s="102" t="s">
        <v>46</v>
      </c>
      <c r="N6" s="102" t="s">
        <v>47</v>
      </c>
      <c r="O6" s="68"/>
      <c r="P6" s="60" t="s">
        <v>46</v>
      </c>
      <c r="Q6" s="60" t="s">
        <v>47</v>
      </c>
      <c r="R6" s="60" t="s">
        <v>46</v>
      </c>
      <c r="S6" s="60" t="s">
        <v>47</v>
      </c>
      <c r="T6" s="60" t="s">
        <v>46</v>
      </c>
      <c r="U6" s="60" t="s">
        <v>47</v>
      </c>
      <c r="V6" s="60" t="s">
        <v>46</v>
      </c>
      <c r="W6" s="60" t="s">
        <v>47</v>
      </c>
      <c r="X6" s="60" t="s">
        <v>46</v>
      </c>
      <c r="Y6" s="69" t="s">
        <v>47</v>
      </c>
      <c r="Z6" s="61"/>
      <c r="AA6" s="70" t="s">
        <v>46</v>
      </c>
      <c r="AB6" s="60" t="s">
        <v>47</v>
      </c>
      <c r="AC6" s="70" t="s">
        <v>46</v>
      </c>
      <c r="AD6" s="60" t="s">
        <v>47</v>
      </c>
      <c r="AE6" s="70" t="s">
        <v>46</v>
      </c>
      <c r="AF6" s="60" t="s">
        <v>47</v>
      </c>
      <c r="AG6" s="70" t="s">
        <v>46</v>
      </c>
      <c r="AH6" s="60" t="s">
        <v>47</v>
      </c>
      <c r="AI6" s="70" t="s">
        <v>46</v>
      </c>
      <c r="AJ6" s="60" t="s">
        <v>47</v>
      </c>
      <c r="AK6" s="70" t="s">
        <v>46</v>
      </c>
      <c r="AL6" s="60" t="s">
        <v>47</v>
      </c>
      <c r="AM6" s="70" t="s">
        <v>46</v>
      </c>
      <c r="AN6" s="60" t="s">
        <v>47</v>
      </c>
      <c r="AO6" s="61"/>
      <c r="AP6" s="70" t="s">
        <v>46</v>
      </c>
      <c r="AQ6" s="60" t="s">
        <v>47</v>
      </c>
      <c r="AR6" s="70" t="s">
        <v>46</v>
      </c>
      <c r="AS6" s="60" t="s">
        <v>47</v>
      </c>
      <c r="AT6" s="70" t="s">
        <v>46</v>
      </c>
      <c r="AU6" s="60" t="s">
        <v>47</v>
      </c>
      <c r="AV6" s="70" t="s">
        <v>46</v>
      </c>
      <c r="AW6" s="60" t="s">
        <v>47</v>
      </c>
      <c r="AX6" s="70" t="s">
        <v>46</v>
      </c>
      <c r="AY6" s="60" t="s">
        <v>47</v>
      </c>
      <c r="AZ6" s="70" t="s">
        <v>46</v>
      </c>
      <c r="BA6" s="60" t="s">
        <v>47</v>
      </c>
      <c r="BB6" s="70" t="s">
        <v>46</v>
      </c>
      <c r="BC6" s="60" t="s">
        <v>47</v>
      </c>
      <c r="BD6" s="70" t="s">
        <v>46</v>
      </c>
      <c r="BE6" s="60" t="s">
        <v>47</v>
      </c>
      <c r="BF6" s="61"/>
      <c r="BG6" s="70" t="s">
        <v>46</v>
      </c>
      <c r="BH6" s="60" t="s">
        <v>47</v>
      </c>
      <c r="BI6" s="70" t="s">
        <v>46</v>
      </c>
      <c r="BJ6" s="60" t="s">
        <v>47</v>
      </c>
      <c r="BK6" s="70" t="s">
        <v>46</v>
      </c>
      <c r="BL6" s="60" t="s">
        <v>47</v>
      </c>
      <c r="BM6" s="70" t="s">
        <v>46</v>
      </c>
      <c r="BN6" s="60" t="s">
        <v>47</v>
      </c>
      <c r="BO6" s="70" t="s">
        <v>46</v>
      </c>
      <c r="BP6" s="60" t="s">
        <v>47</v>
      </c>
      <c r="BQ6" s="70" t="s">
        <v>46</v>
      </c>
      <c r="BR6" s="60" t="s">
        <v>47</v>
      </c>
      <c r="BS6" s="70" t="s">
        <v>46</v>
      </c>
      <c r="BT6" s="60" t="s">
        <v>47</v>
      </c>
      <c r="BU6" s="61"/>
      <c r="BV6" s="70" t="s">
        <v>46</v>
      </c>
      <c r="BW6" s="60" t="s">
        <v>47</v>
      </c>
      <c r="BX6" s="70" t="s">
        <v>46</v>
      </c>
      <c r="BY6" s="60" t="s">
        <v>47</v>
      </c>
      <c r="BZ6" s="70" t="s">
        <v>46</v>
      </c>
      <c r="CA6" s="60" t="s">
        <v>47</v>
      </c>
      <c r="CB6" s="70" t="s">
        <v>46</v>
      </c>
      <c r="CC6" s="69" t="s">
        <v>47</v>
      </c>
      <c r="CD6" s="61"/>
      <c r="CE6" s="70" t="s">
        <v>46</v>
      </c>
      <c r="CF6" s="69" t="s">
        <v>47</v>
      </c>
      <c r="CG6" s="61"/>
      <c r="CH6" s="70" t="s">
        <v>46</v>
      </c>
      <c r="CI6" s="69" t="s">
        <v>47</v>
      </c>
      <c r="CJ6" s="61"/>
      <c r="CK6" s="70" t="s">
        <v>46</v>
      </c>
      <c r="CL6" s="69" t="s">
        <v>47</v>
      </c>
      <c r="CM6" s="61"/>
      <c r="CN6" s="70" t="s">
        <v>46</v>
      </c>
      <c r="CO6" s="69" t="s">
        <v>47</v>
      </c>
      <c r="CP6" s="61"/>
      <c r="CQ6" s="70" t="s">
        <v>46</v>
      </c>
      <c r="CR6" s="69" t="s">
        <v>47</v>
      </c>
      <c r="CS6" s="61"/>
      <c r="CT6" s="70" t="s">
        <v>46</v>
      </c>
      <c r="CU6" s="60" t="s">
        <v>47</v>
      </c>
      <c r="CV6" s="60" t="s">
        <v>46</v>
      </c>
      <c r="CW6" s="60" t="s">
        <v>47</v>
      </c>
      <c r="CX6" s="60" t="s">
        <v>46</v>
      </c>
      <c r="CY6" s="60" t="s">
        <v>47</v>
      </c>
      <c r="CZ6" s="60" t="s">
        <v>46</v>
      </c>
      <c r="DA6" s="60" t="s">
        <v>47</v>
      </c>
      <c r="DB6" s="60" t="s">
        <v>46</v>
      </c>
      <c r="DC6" s="60" t="s">
        <v>47</v>
      </c>
      <c r="DD6" s="60" t="s">
        <v>46</v>
      </c>
      <c r="DE6" s="60" t="s">
        <v>47</v>
      </c>
      <c r="DF6" s="60" t="s">
        <v>46</v>
      </c>
      <c r="DG6" s="69" t="s">
        <v>47</v>
      </c>
      <c r="DH6" s="61"/>
      <c r="DI6" s="70" t="s">
        <v>46</v>
      </c>
      <c r="DJ6" s="69" t="s">
        <v>47</v>
      </c>
      <c r="DK6" s="61"/>
      <c r="DL6" s="70" t="s">
        <v>46</v>
      </c>
      <c r="DM6" s="60" t="s">
        <v>47</v>
      </c>
      <c r="DN6" s="70" t="s">
        <v>46</v>
      </c>
      <c r="DO6" s="60" t="s">
        <v>47</v>
      </c>
      <c r="DP6" s="70" t="s">
        <v>46</v>
      </c>
      <c r="DQ6" s="60" t="s">
        <v>47</v>
      </c>
      <c r="DR6" s="70" t="s">
        <v>46</v>
      </c>
      <c r="DS6" s="60" t="s">
        <v>47</v>
      </c>
      <c r="DT6" s="70" t="s">
        <v>46</v>
      </c>
      <c r="DU6" s="60" t="s">
        <v>47</v>
      </c>
      <c r="DV6" s="70" t="s">
        <v>46</v>
      </c>
      <c r="DW6" s="60" t="s">
        <v>47</v>
      </c>
    </row>
    <row r="7" spans="1:127" s="46" customFormat="1" ht="39.950000000000003" customHeight="1" x14ac:dyDescent="0.25">
      <c r="A7" s="45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7"/>
      <c r="Q7" s="48"/>
      <c r="R7" s="48"/>
      <c r="S7" s="48"/>
      <c r="T7" s="48"/>
      <c r="U7" s="48"/>
      <c r="V7" s="48"/>
      <c r="W7" s="48"/>
      <c r="X7" s="48"/>
      <c r="Y7" s="48"/>
      <c r="Z7" s="48"/>
      <c r="AA7" s="47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7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7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7"/>
      <c r="BW7" s="48"/>
      <c r="BX7" s="48"/>
      <c r="BY7" s="48"/>
      <c r="BZ7" s="48"/>
      <c r="CA7" s="48"/>
      <c r="CB7" s="48"/>
      <c r="CC7" s="48"/>
      <c r="CD7" s="48"/>
      <c r="CE7" s="47"/>
      <c r="CF7" s="48"/>
      <c r="CG7" s="48"/>
      <c r="CH7" s="47"/>
      <c r="CI7" s="48"/>
      <c r="CJ7" s="48"/>
      <c r="CK7" s="47"/>
      <c r="CL7" s="48"/>
      <c r="CM7" s="48"/>
      <c r="CN7" s="47"/>
      <c r="CO7" s="48"/>
      <c r="CP7" s="48"/>
      <c r="CQ7" s="47"/>
      <c r="CR7" s="48"/>
      <c r="CS7" s="48"/>
      <c r="CT7" s="47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7"/>
      <c r="DJ7" s="48"/>
      <c r="DK7" s="48"/>
      <c r="DL7" s="47"/>
      <c r="DM7" s="48"/>
    </row>
    <row r="8" spans="1:127" s="46" customFormat="1" ht="39.950000000000003" customHeight="1" x14ac:dyDescent="0.25">
      <c r="A8" s="45"/>
      <c r="C8" s="49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9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9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9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9"/>
      <c r="BW8" s="48"/>
      <c r="BX8" s="48"/>
      <c r="BY8" s="48"/>
      <c r="BZ8" s="48"/>
      <c r="CA8" s="48"/>
      <c r="CB8" s="48"/>
      <c r="CC8" s="48"/>
      <c r="CD8" s="48"/>
      <c r="CE8" s="49"/>
      <c r="CF8" s="48"/>
      <c r="CG8" s="48"/>
      <c r="CH8" s="49"/>
      <c r="CI8" s="48"/>
      <c r="CJ8" s="48"/>
      <c r="CK8" s="49"/>
      <c r="CL8" s="48"/>
      <c r="CM8" s="48"/>
      <c r="CN8" s="49"/>
      <c r="CO8" s="48"/>
      <c r="CP8" s="48"/>
      <c r="CQ8" s="49"/>
      <c r="CR8" s="48"/>
      <c r="CS8" s="48"/>
      <c r="CT8" s="49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9"/>
      <c r="DJ8" s="48"/>
      <c r="DK8" s="48"/>
      <c r="DL8" s="49"/>
      <c r="DM8" s="48"/>
    </row>
    <row r="9" spans="1:127" s="51" customFormat="1" ht="39.950000000000003" customHeight="1" x14ac:dyDescent="0.25">
      <c r="A9" s="45"/>
      <c r="C9" s="49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9"/>
      <c r="Q9" s="48"/>
      <c r="R9" s="48"/>
      <c r="S9" s="48"/>
      <c r="T9" s="48"/>
      <c r="U9" s="48"/>
      <c r="V9" s="48"/>
      <c r="W9" s="48"/>
      <c r="X9" s="48"/>
      <c r="Y9" s="48"/>
      <c r="Z9" s="48"/>
      <c r="AA9" s="49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9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9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9"/>
      <c r="BW9" s="48"/>
      <c r="BX9" s="48"/>
      <c r="BY9" s="48"/>
      <c r="BZ9" s="48"/>
      <c r="CA9" s="48"/>
      <c r="CB9" s="48"/>
      <c r="CC9" s="48"/>
      <c r="CD9" s="48"/>
      <c r="CE9" s="49"/>
      <c r="CF9" s="48"/>
      <c r="CG9" s="48"/>
      <c r="CH9" s="49"/>
      <c r="CI9" s="48"/>
      <c r="CJ9" s="48"/>
      <c r="CK9" s="49"/>
      <c r="CL9" s="48"/>
      <c r="CM9" s="48"/>
      <c r="CN9" s="49"/>
      <c r="CO9" s="48"/>
      <c r="CP9" s="48"/>
      <c r="CQ9" s="49"/>
      <c r="CR9" s="48"/>
      <c r="CS9" s="48"/>
      <c r="CT9" s="49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9"/>
      <c r="DJ9" s="48"/>
      <c r="DK9" s="48"/>
      <c r="DL9" s="49"/>
      <c r="DM9" s="48"/>
    </row>
    <row r="10" spans="1:127" s="51" customFormat="1" ht="39.950000000000003" customHeight="1" x14ac:dyDescent="0.25">
      <c r="A10" s="45"/>
      <c r="C10" s="49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9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9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9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9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9"/>
      <c r="BW10" s="48"/>
      <c r="BX10" s="48"/>
      <c r="BY10" s="48"/>
      <c r="BZ10" s="48"/>
      <c r="CA10" s="48"/>
      <c r="CB10" s="48"/>
      <c r="CC10" s="48"/>
      <c r="CD10" s="48"/>
      <c r="CE10" s="49"/>
      <c r="CF10" s="48"/>
      <c r="CG10" s="48"/>
      <c r="CH10" s="49"/>
      <c r="CI10" s="48"/>
      <c r="CJ10" s="48"/>
      <c r="CK10" s="49"/>
      <c r="CL10" s="48"/>
      <c r="CM10" s="48"/>
      <c r="CN10" s="49"/>
      <c r="CO10" s="48"/>
      <c r="CP10" s="48"/>
      <c r="CQ10" s="49"/>
      <c r="CR10" s="48"/>
      <c r="CS10" s="48"/>
      <c r="CT10" s="49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9"/>
      <c r="DJ10" s="48"/>
      <c r="DK10" s="48"/>
      <c r="DL10" s="49"/>
      <c r="DM10" s="48"/>
    </row>
    <row r="11" spans="1:127" s="51" customFormat="1" ht="39.950000000000003" customHeight="1" x14ac:dyDescent="0.25">
      <c r="A11" s="45"/>
      <c r="C11" s="49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9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9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9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9"/>
      <c r="BW11" s="48"/>
      <c r="BX11" s="48"/>
      <c r="BY11" s="48"/>
      <c r="BZ11" s="48"/>
      <c r="CA11" s="48"/>
      <c r="CB11" s="48"/>
      <c r="CC11" s="48"/>
      <c r="CD11" s="48"/>
      <c r="CE11" s="49"/>
      <c r="CF11" s="48"/>
      <c r="CG11" s="48"/>
      <c r="CH11" s="49"/>
      <c r="CI11" s="48"/>
      <c r="CJ11" s="48"/>
      <c r="CK11" s="49"/>
      <c r="CL11" s="48"/>
      <c r="CM11" s="48"/>
      <c r="CN11" s="49"/>
      <c r="CO11" s="48"/>
      <c r="CP11" s="48"/>
      <c r="CQ11" s="49"/>
      <c r="CR11" s="48"/>
      <c r="CS11" s="48"/>
      <c r="CT11" s="49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9"/>
      <c r="DJ11" s="48"/>
      <c r="DK11" s="48"/>
      <c r="DL11" s="49"/>
      <c r="DM11" s="48"/>
    </row>
    <row r="12" spans="1:127" s="51" customFormat="1" ht="39.950000000000003" customHeight="1" x14ac:dyDescent="0.25">
      <c r="A12" s="45"/>
      <c r="C12" s="49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9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9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9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9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9"/>
      <c r="BW12" s="48"/>
      <c r="BX12" s="48"/>
      <c r="BY12" s="48"/>
      <c r="BZ12" s="48"/>
      <c r="CA12" s="48"/>
      <c r="CB12" s="48"/>
      <c r="CC12" s="48"/>
      <c r="CD12" s="48"/>
      <c r="CE12" s="49"/>
      <c r="CF12" s="48"/>
      <c r="CG12" s="48"/>
      <c r="CH12" s="49"/>
      <c r="CI12" s="48"/>
      <c r="CJ12" s="48"/>
      <c r="CK12" s="49"/>
      <c r="CL12" s="48"/>
      <c r="CM12" s="48"/>
      <c r="CN12" s="49"/>
      <c r="CO12" s="48"/>
      <c r="CP12" s="48"/>
      <c r="CQ12" s="49"/>
      <c r="CR12" s="48"/>
      <c r="CS12" s="48"/>
      <c r="CT12" s="49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9"/>
      <c r="DJ12" s="48"/>
      <c r="DK12" s="48"/>
      <c r="DL12" s="49"/>
      <c r="DM12" s="48"/>
    </row>
    <row r="13" spans="1:127" s="51" customFormat="1" ht="39.950000000000003" customHeight="1" x14ac:dyDescent="0.25">
      <c r="A13" s="45"/>
      <c r="C13" s="49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9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9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9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9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9"/>
      <c r="BW13" s="48"/>
      <c r="BX13" s="48"/>
      <c r="BY13" s="48"/>
      <c r="BZ13" s="48"/>
      <c r="CA13" s="48"/>
      <c r="CB13" s="48"/>
      <c r="CC13" s="48"/>
      <c r="CD13" s="48"/>
      <c r="CE13" s="49"/>
      <c r="CF13" s="48"/>
      <c r="CG13" s="48"/>
      <c r="CH13" s="49"/>
      <c r="CI13" s="48"/>
      <c r="CJ13" s="48"/>
      <c r="CK13" s="49"/>
      <c r="CL13" s="48"/>
      <c r="CM13" s="48"/>
      <c r="CN13" s="49"/>
      <c r="CO13" s="48"/>
      <c r="CP13" s="48"/>
      <c r="CQ13" s="49"/>
      <c r="CR13" s="48"/>
      <c r="CS13" s="48"/>
      <c r="CT13" s="49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9"/>
      <c r="DJ13" s="48"/>
      <c r="DK13" s="48"/>
      <c r="DL13" s="49"/>
      <c r="DM13" s="48"/>
    </row>
    <row r="14" spans="1:127" s="51" customFormat="1" ht="39.950000000000003" customHeight="1" x14ac:dyDescent="0.25">
      <c r="A14" s="45"/>
      <c r="C14" s="49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9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9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9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9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9"/>
      <c r="BW14" s="48"/>
      <c r="BX14" s="48"/>
      <c r="BY14" s="48"/>
      <c r="BZ14" s="48"/>
      <c r="CA14" s="48"/>
      <c r="CB14" s="48"/>
      <c r="CC14" s="48"/>
      <c r="CD14" s="48"/>
      <c r="CE14" s="49"/>
      <c r="CF14" s="48"/>
      <c r="CG14" s="48"/>
      <c r="CH14" s="49"/>
      <c r="CI14" s="48"/>
      <c r="CJ14" s="48"/>
      <c r="CK14" s="49"/>
      <c r="CL14" s="48"/>
      <c r="CM14" s="48"/>
      <c r="CN14" s="49"/>
      <c r="CO14" s="48"/>
      <c r="CP14" s="48"/>
      <c r="CQ14" s="49"/>
      <c r="CR14" s="48"/>
      <c r="CS14" s="48"/>
      <c r="CT14" s="49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9"/>
      <c r="DJ14" s="48"/>
      <c r="DK14" s="48"/>
      <c r="DL14" s="49"/>
      <c r="DM14" s="48"/>
    </row>
    <row r="15" spans="1:127" s="51" customFormat="1" ht="39.950000000000003" customHeight="1" x14ac:dyDescent="0.25">
      <c r="A15" s="45"/>
      <c r="C15" s="49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9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9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9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9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9"/>
      <c r="BW15" s="48"/>
      <c r="BX15" s="48"/>
      <c r="BY15" s="48"/>
      <c r="BZ15" s="48"/>
      <c r="CA15" s="48"/>
      <c r="CB15" s="48"/>
      <c r="CC15" s="48"/>
      <c r="CD15" s="48"/>
      <c r="CE15" s="49"/>
      <c r="CF15" s="48"/>
      <c r="CG15" s="48"/>
      <c r="CH15" s="49"/>
      <c r="CI15" s="48"/>
      <c r="CJ15" s="48"/>
      <c r="CK15" s="49"/>
      <c r="CL15" s="48"/>
      <c r="CM15" s="48"/>
      <c r="CN15" s="49"/>
      <c r="CO15" s="48"/>
      <c r="CP15" s="48"/>
      <c r="CQ15" s="49"/>
      <c r="CR15" s="48"/>
      <c r="CS15" s="48"/>
      <c r="CT15" s="49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9"/>
      <c r="DJ15" s="48"/>
      <c r="DK15" s="48"/>
      <c r="DL15" s="49"/>
      <c r="DM15" s="48"/>
    </row>
    <row r="16" spans="1:127" s="51" customFormat="1" ht="39.950000000000003" customHeight="1" x14ac:dyDescent="0.25">
      <c r="A16" s="45"/>
      <c r="C16" s="49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9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9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9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9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9"/>
      <c r="BW16" s="48"/>
      <c r="BX16" s="48"/>
      <c r="BY16" s="48"/>
      <c r="BZ16" s="48"/>
      <c r="CA16" s="48"/>
      <c r="CB16" s="48"/>
      <c r="CC16" s="48"/>
      <c r="CD16" s="48"/>
      <c r="CE16" s="49"/>
      <c r="CF16" s="48"/>
      <c r="CG16" s="48"/>
      <c r="CH16" s="49"/>
      <c r="CI16" s="48"/>
      <c r="CJ16" s="48"/>
      <c r="CK16" s="49"/>
      <c r="CL16" s="48"/>
      <c r="CM16" s="48"/>
      <c r="CN16" s="49"/>
      <c r="CO16" s="48"/>
      <c r="CP16" s="48"/>
      <c r="CQ16" s="49"/>
      <c r="CR16" s="48"/>
      <c r="CS16" s="48"/>
      <c r="CT16" s="49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9"/>
      <c r="DJ16" s="48"/>
      <c r="DK16" s="48"/>
      <c r="DL16" s="49"/>
      <c r="DM16" s="48"/>
    </row>
    <row r="17" spans="1:117" s="51" customFormat="1" ht="39.950000000000003" customHeight="1" x14ac:dyDescent="0.25">
      <c r="A17" s="45"/>
      <c r="C17" s="49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9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9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9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9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9"/>
      <c r="BW17" s="48"/>
      <c r="BX17" s="48"/>
      <c r="BY17" s="48"/>
      <c r="BZ17" s="48"/>
      <c r="CA17" s="48"/>
      <c r="CB17" s="48"/>
      <c r="CC17" s="48"/>
      <c r="CD17" s="48"/>
      <c r="CE17" s="49"/>
      <c r="CF17" s="48"/>
      <c r="CG17" s="48"/>
      <c r="CH17" s="49"/>
      <c r="CI17" s="48"/>
      <c r="CJ17" s="48"/>
      <c r="CK17" s="49"/>
      <c r="CL17" s="48"/>
      <c r="CM17" s="48"/>
      <c r="CN17" s="49"/>
      <c r="CO17" s="48"/>
      <c r="CP17" s="48"/>
      <c r="CQ17" s="49"/>
      <c r="CR17" s="48"/>
      <c r="CS17" s="48"/>
      <c r="CT17" s="49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9"/>
      <c r="DJ17" s="48"/>
      <c r="DK17" s="48"/>
      <c r="DL17" s="49"/>
      <c r="DM17" s="48"/>
    </row>
    <row r="18" spans="1:117" s="51" customFormat="1" ht="39.950000000000003" customHeight="1" x14ac:dyDescent="0.25">
      <c r="A18" s="45"/>
      <c r="C18" s="49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9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9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9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9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9"/>
      <c r="BW18" s="48"/>
      <c r="BX18" s="48"/>
      <c r="BY18" s="48"/>
      <c r="BZ18" s="48"/>
      <c r="CA18" s="48"/>
      <c r="CB18" s="48"/>
      <c r="CC18" s="48"/>
      <c r="CD18" s="48"/>
      <c r="CE18" s="49"/>
      <c r="CF18" s="48"/>
      <c r="CG18" s="48"/>
      <c r="CH18" s="49"/>
      <c r="CI18" s="48"/>
      <c r="CJ18" s="48"/>
      <c r="CK18" s="49"/>
      <c r="CL18" s="48"/>
      <c r="CM18" s="48"/>
      <c r="CN18" s="49"/>
      <c r="CO18" s="48"/>
      <c r="CP18" s="48"/>
      <c r="CQ18" s="49"/>
      <c r="CR18" s="48"/>
      <c r="CS18" s="48"/>
      <c r="CT18" s="49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9"/>
      <c r="DJ18" s="48"/>
      <c r="DK18" s="48"/>
      <c r="DL18" s="49"/>
      <c r="DM18" s="48"/>
    </row>
    <row r="19" spans="1:117" s="51" customFormat="1" ht="39.950000000000003" customHeight="1" x14ac:dyDescent="0.25">
      <c r="A19" s="45"/>
      <c r="C19" s="49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9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9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9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9"/>
      <c r="BW19" s="48"/>
      <c r="BX19" s="48"/>
      <c r="BY19" s="48"/>
      <c r="BZ19" s="48"/>
      <c r="CA19" s="48"/>
      <c r="CB19" s="48"/>
      <c r="CC19" s="48"/>
      <c r="CD19" s="48"/>
      <c r="CE19" s="49"/>
      <c r="CF19" s="48"/>
      <c r="CG19" s="48"/>
      <c r="CH19" s="49"/>
      <c r="CI19" s="48"/>
      <c r="CJ19" s="48"/>
      <c r="CK19" s="49"/>
      <c r="CL19" s="48"/>
      <c r="CM19" s="48"/>
      <c r="CN19" s="49"/>
      <c r="CO19" s="48"/>
      <c r="CP19" s="48"/>
      <c r="CQ19" s="49"/>
      <c r="CR19" s="48"/>
      <c r="CS19" s="48"/>
      <c r="CT19" s="49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9"/>
      <c r="DJ19" s="48"/>
      <c r="DK19" s="48"/>
      <c r="DL19" s="49"/>
      <c r="DM19" s="48"/>
    </row>
    <row r="20" spans="1:117" s="51" customFormat="1" ht="39.950000000000003" customHeight="1" x14ac:dyDescent="0.25">
      <c r="A20" s="45"/>
      <c r="C20" s="49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9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9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9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9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9"/>
      <c r="BW20" s="48"/>
      <c r="BX20" s="48"/>
      <c r="BY20" s="48"/>
      <c r="BZ20" s="48"/>
      <c r="CA20" s="48"/>
      <c r="CB20" s="48"/>
      <c r="CC20" s="48"/>
      <c r="CD20" s="48"/>
      <c r="CE20" s="49"/>
      <c r="CF20" s="48"/>
      <c r="CG20" s="48"/>
      <c r="CH20" s="49"/>
      <c r="CI20" s="48"/>
      <c r="CJ20" s="48"/>
      <c r="CK20" s="49"/>
      <c r="CL20" s="48"/>
      <c r="CM20" s="48"/>
      <c r="CN20" s="49"/>
      <c r="CO20" s="48"/>
      <c r="CP20" s="48"/>
      <c r="CQ20" s="49"/>
      <c r="CR20" s="48"/>
      <c r="CS20" s="48"/>
      <c r="CT20" s="49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9"/>
      <c r="DJ20" s="48"/>
      <c r="DK20" s="48"/>
      <c r="DL20" s="49"/>
      <c r="DM20" s="48"/>
    </row>
    <row r="21" spans="1:117" s="51" customFormat="1" ht="39.950000000000003" customHeight="1" x14ac:dyDescent="0.25">
      <c r="A21" s="45"/>
      <c r="C21" s="49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9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9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9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9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9"/>
      <c r="BW21" s="48"/>
      <c r="BX21" s="48"/>
      <c r="BY21" s="48"/>
      <c r="BZ21" s="48"/>
      <c r="CA21" s="48"/>
      <c r="CB21" s="48"/>
      <c r="CC21" s="48"/>
      <c r="CD21" s="48"/>
      <c r="CE21" s="49"/>
      <c r="CF21" s="48"/>
      <c r="CG21" s="48"/>
      <c r="CH21" s="49"/>
      <c r="CI21" s="48"/>
      <c r="CJ21" s="48"/>
      <c r="CK21" s="49"/>
      <c r="CL21" s="48"/>
      <c r="CM21" s="48"/>
      <c r="CN21" s="49"/>
      <c r="CO21" s="48"/>
      <c r="CP21" s="48"/>
      <c r="CQ21" s="49"/>
      <c r="CR21" s="48"/>
      <c r="CS21" s="48"/>
      <c r="CT21" s="49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9"/>
      <c r="DJ21" s="48"/>
      <c r="DK21" s="48"/>
      <c r="DL21" s="49"/>
      <c r="DM21" s="48"/>
    </row>
    <row r="22" spans="1:117" s="51" customFormat="1" ht="39.950000000000003" customHeight="1" x14ac:dyDescent="0.25">
      <c r="A22" s="45"/>
      <c r="C22" s="49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9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9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9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9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9"/>
      <c r="BW22" s="48"/>
      <c r="BX22" s="48"/>
      <c r="BY22" s="48"/>
      <c r="BZ22" s="48"/>
      <c r="CA22" s="48"/>
      <c r="CB22" s="48"/>
      <c r="CC22" s="48"/>
      <c r="CD22" s="48"/>
      <c r="CE22" s="49"/>
      <c r="CF22" s="48"/>
      <c r="CG22" s="48"/>
      <c r="CH22" s="49"/>
      <c r="CI22" s="48"/>
      <c r="CJ22" s="48"/>
      <c r="CK22" s="49"/>
      <c r="CL22" s="48"/>
      <c r="CM22" s="48"/>
      <c r="CN22" s="49"/>
      <c r="CO22" s="48"/>
      <c r="CP22" s="48"/>
      <c r="CQ22" s="49"/>
      <c r="CR22" s="48"/>
      <c r="CS22" s="48"/>
      <c r="CT22" s="49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9"/>
      <c r="DJ22" s="48"/>
      <c r="DK22" s="48"/>
      <c r="DL22" s="49"/>
      <c r="DM22" s="48"/>
    </row>
    <row r="23" spans="1:117" s="51" customFormat="1" ht="39.950000000000003" customHeight="1" x14ac:dyDescent="0.25">
      <c r="A23" s="45"/>
      <c r="C23" s="49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9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9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9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9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9"/>
      <c r="BW23" s="48"/>
      <c r="BX23" s="48"/>
      <c r="BY23" s="48"/>
      <c r="BZ23" s="48"/>
      <c r="CA23" s="48"/>
      <c r="CB23" s="48"/>
      <c r="CC23" s="48"/>
      <c r="CD23" s="48"/>
      <c r="CE23" s="49"/>
      <c r="CF23" s="48"/>
      <c r="CG23" s="48"/>
      <c r="CH23" s="49"/>
      <c r="CI23" s="48"/>
      <c r="CJ23" s="48"/>
      <c r="CK23" s="49"/>
      <c r="CL23" s="48"/>
      <c r="CM23" s="48"/>
      <c r="CN23" s="49"/>
      <c r="CO23" s="48"/>
      <c r="CP23" s="48"/>
      <c r="CQ23" s="49"/>
      <c r="CR23" s="48"/>
      <c r="CS23" s="48"/>
      <c r="CT23" s="49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9"/>
      <c r="DJ23" s="48"/>
      <c r="DK23" s="48"/>
      <c r="DL23" s="49"/>
      <c r="DM23" s="48"/>
    </row>
    <row r="24" spans="1:117" s="51" customFormat="1" ht="39.950000000000003" customHeight="1" x14ac:dyDescent="0.25">
      <c r="A24" s="45"/>
      <c r="C24" s="49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9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9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9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9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9"/>
      <c r="BW24" s="48"/>
      <c r="BX24" s="48"/>
      <c r="BY24" s="48"/>
      <c r="BZ24" s="48"/>
      <c r="CA24" s="48"/>
      <c r="CB24" s="48"/>
      <c r="CC24" s="48"/>
      <c r="CD24" s="48"/>
      <c r="CE24" s="49"/>
      <c r="CF24" s="48"/>
      <c r="CG24" s="48"/>
      <c r="CH24" s="49"/>
      <c r="CI24" s="48"/>
      <c r="CJ24" s="48"/>
      <c r="CK24" s="49"/>
      <c r="CL24" s="48"/>
      <c r="CM24" s="48"/>
      <c r="CN24" s="49"/>
      <c r="CO24" s="48"/>
      <c r="CP24" s="48"/>
      <c r="CQ24" s="49"/>
      <c r="CR24" s="48"/>
      <c r="CS24" s="48"/>
      <c r="CT24" s="49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9"/>
      <c r="DJ24" s="48"/>
      <c r="DK24" s="48"/>
      <c r="DL24" s="49"/>
      <c r="DM24" s="48"/>
    </row>
    <row r="25" spans="1:117" s="51" customFormat="1" ht="39.950000000000003" customHeight="1" x14ac:dyDescent="0.25">
      <c r="A25" s="45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</row>
    <row r="26" spans="1:117" s="51" customFormat="1" ht="39.950000000000003" customHeight="1" x14ac:dyDescent="0.25">
      <c r="A26" s="45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</row>
    <row r="27" spans="1:117" s="51" customFormat="1" ht="39.950000000000003" customHeight="1" x14ac:dyDescent="0.25">
      <c r="A27" s="45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</row>
    <row r="28" spans="1:117" s="51" customFormat="1" ht="39.950000000000003" customHeight="1" x14ac:dyDescent="0.25">
      <c r="A28" s="45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</row>
    <row r="29" spans="1:117" s="51" customFormat="1" ht="39.950000000000003" customHeight="1" x14ac:dyDescent="0.25">
      <c r="A29" s="45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</row>
    <row r="30" spans="1:117" s="51" customFormat="1" ht="39.950000000000003" customHeight="1" x14ac:dyDescent="0.25">
      <c r="A30" s="45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</row>
    <row r="31" spans="1:117" s="51" customFormat="1" ht="39.950000000000003" customHeight="1" x14ac:dyDescent="0.25">
      <c r="A31" s="45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</row>
    <row r="32" spans="1:117" s="51" customFormat="1" ht="39.950000000000003" customHeight="1" x14ac:dyDescent="0.25">
      <c r="A32" s="45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M32" s="48"/>
      <c r="CN32" s="48"/>
      <c r="CO32" s="48"/>
      <c r="CP32" s="48"/>
      <c r="CQ32" s="48"/>
      <c r="CR32" s="48"/>
      <c r="CS32" s="48"/>
      <c r="CT32" s="48"/>
      <c r="CU32" s="48"/>
      <c r="CV32" s="48"/>
      <c r="CW32" s="48"/>
      <c r="CX32" s="48"/>
      <c r="CY32" s="48"/>
      <c r="CZ32" s="48"/>
      <c r="DA32" s="48"/>
      <c r="DB32" s="48"/>
      <c r="DC32" s="48"/>
      <c r="DD32" s="48"/>
      <c r="DE32" s="48"/>
      <c r="DF32" s="48"/>
      <c r="DG32" s="48"/>
      <c r="DH32" s="48"/>
      <c r="DI32" s="48"/>
      <c r="DJ32" s="48"/>
      <c r="DK32" s="48"/>
      <c r="DL32" s="48"/>
      <c r="DM32" s="48"/>
    </row>
    <row r="33" spans="1:117" s="51" customFormat="1" ht="39.950000000000003" customHeight="1" x14ac:dyDescent="0.25">
      <c r="A33" s="45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</row>
    <row r="34" spans="1:117" s="51" customFormat="1" ht="39.950000000000003" customHeight="1" x14ac:dyDescent="0.25">
      <c r="A34" s="45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</row>
    <row r="35" spans="1:117" s="51" customFormat="1" ht="39.950000000000003" customHeight="1" x14ac:dyDescent="0.25">
      <c r="A35" s="45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M35" s="48"/>
      <c r="CN35" s="48"/>
      <c r="CO35" s="48"/>
      <c r="CP35" s="48"/>
      <c r="CQ35" s="48"/>
      <c r="CR35" s="48"/>
      <c r="CS35" s="48"/>
      <c r="CT35" s="48"/>
      <c r="CU35" s="48"/>
      <c r="CV35" s="48"/>
      <c r="CW35" s="48"/>
      <c r="CX35" s="48"/>
      <c r="CY35" s="48"/>
      <c r="CZ35" s="48"/>
      <c r="DA35" s="48"/>
      <c r="DB35" s="48"/>
      <c r="DC35" s="48"/>
      <c r="DD35" s="48"/>
      <c r="DE35" s="48"/>
      <c r="DF35" s="48"/>
      <c r="DG35" s="48"/>
      <c r="DH35" s="48"/>
      <c r="DI35" s="48"/>
      <c r="DJ35" s="48"/>
      <c r="DK35" s="48"/>
      <c r="DL35" s="48"/>
      <c r="DM35" s="48"/>
    </row>
    <row r="36" spans="1:117" s="51" customFormat="1" ht="39.950000000000003" customHeight="1" x14ac:dyDescent="0.25">
      <c r="A36" s="45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</row>
    <row r="37" spans="1:117" s="51" customFormat="1" ht="39.950000000000003" customHeight="1" x14ac:dyDescent="0.25">
      <c r="A37" s="45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M37" s="48"/>
      <c r="CN37" s="48"/>
      <c r="CO37" s="48"/>
      <c r="CP37" s="48"/>
      <c r="CQ37" s="48"/>
      <c r="CR37" s="48"/>
      <c r="CS37" s="48"/>
      <c r="CT37" s="48"/>
      <c r="CU37" s="48"/>
      <c r="CV37" s="48"/>
      <c r="CW37" s="48"/>
      <c r="CX37" s="48"/>
      <c r="CY37" s="48"/>
      <c r="CZ37" s="48"/>
      <c r="DA37" s="48"/>
      <c r="DB37" s="48"/>
      <c r="DC37" s="48"/>
      <c r="DD37" s="48"/>
      <c r="DE37" s="48"/>
      <c r="DF37" s="48"/>
      <c r="DG37" s="48"/>
      <c r="DH37" s="48"/>
      <c r="DI37" s="48"/>
      <c r="DJ37" s="48"/>
      <c r="DK37" s="48"/>
      <c r="DL37" s="48"/>
      <c r="DM37" s="48"/>
    </row>
    <row r="38" spans="1:117" s="53" customFormat="1" ht="39.950000000000003" customHeight="1" x14ac:dyDescent="0.25">
      <c r="A38" s="52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4"/>
      <c r="BE38" s="54"/>
      <c r="BF38" s="54"/>
      <c r="BH38" s="54"/>
      <c r="BI38" s="54"/>
      <c r="BJ38" s="54"/>
      <c r="BK38" s="54"/>
      <c r="BL38" s="54"/>
      <c r="BM38" s="54"/>
      <c r="BN38" s="54"/>
      <c r="BO38" s="54"/>
      <c r="BP38" s="54"/>
      <c r="BQ38" s="54"/>
      <c r="BR38" s="54"/>
      <c r="BS38" s="54"/>
      <c r="BT38" s="54"/>
      <c r="BU38" s="54"/>
      <c r="BW38" s="54"/>
      <c r="BX38" s="54"/>
      <c r="BY38" s="54"/>
      <c r="BZ38" s="54"/>
      <c r="CA38" s="54"/>
      <c r="CB38" s="54"/>
      <c r="CC38" s="54"/>
      <c r="CD38" s="54"/>
      <c r="CF38" s="54"/>
      <c r="CG38" s="54"/>
      <c r="CI38" s="54"/>
      <c r="CJ38" s="54"/>
      <c r="CL38" s="54"/>
      <c r="CM38" s="54"/>
      <c r="CO38" s="54"/>
      <c r="CP38" s="54"/>
      <c r="CR38" s="54"/>
      <c r="CS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J38" s="54"/>
      <c r="DK38" s="54"/>
      <c r="DM38" s="54"/>
    </row>
    <row r="39" spans="1:117" s="56" customFormat="1" ht="39.950000000000003" customHeight="1" x14ac:dyDescent="0.3">
      <c r="A39" s="55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</row>
    <row r="40" spans="1:117" s="56" customFormat="1" ht="39.950000000000003" customHeight="1" x14ac:dyDescent="0.3">
      <c r="A40" s="55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</row>
    <row r="41" spans="1:117" s="51" customFormat="1" ht="39.950000000000003" customHeight="1" x14ac:dyDescent="0.35">
      <c r="A41" s="58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</row>
    <row r="42" spans="1:117" s="51" customFormat="1" x14ac:dyDescent="0.35">
      <c r="A42" s="58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</row>
    <row r="43" spans="1:117" s="51" customFormat="1" x14ac:dyDescent="0.35">
      <c r="A43" s="58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</row>
    <row r="44" spans="1:117" s="51" customFormat="1" x14ac:dyDescent="0.35">
      <c r="A44" s="58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</row>
    <row r="45" spans="1:117" s="51" customFormat="1" x14ac:dyDescent="0.35">
      <c r="A45" s="58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</row>
    <row r="46" spans="1:117" s="51" customFormat="1" x14ac:dyDescent="0.35">
      <c r="A46" s="58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</row>
    <row r="47" spans="1:117" s="51" customFormat="1" x14ac:dyDescent="0.35">
      <c r="A47" s="58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</row>
    <row r="48" spans="1:117" s="51" customFormat="1" x14ac:dyDescent="0.35">
      <c r="A48" s="58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</row>
    <row r="49" spans="1:15" s="51" customFormat="1" x14ac:dyDescent="0.35">
      <c r="A49" s="58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</row>
    <row r="50" spans="1:15" s="51" customFormat="1" x14ac:dyDescent="0.35">
      <c r="A50" s="58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</row>
    <row r="51" spans="1:15" s="51" customFormat="1" x14ac:dyDescent="0.35">
      <c r="A51" s="58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</row>
    <row r="52" spans="1:15" s="51" customFormat="1" x14ac:dyDescent="0.35">
      <c r="A52" s="58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</row>
    <row r="53" spans="1:15" s="51" customFormat="1" x14ac:dyDescent="0.35">
      <c r="A53" s="58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</row>
    <row r="54" spans="1:15" s="51" customFormat="1" x14ac:dyDescent="0.35">
      <c r="A54" s="58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</row>
    <row r="55" spans="1:15" s="51" customFormat="1" x14ac:dyDescent="0.35">
      <c r="A55" s="58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</row>
    <row r="56" spans="1:15" s="51" customFormat="1" x14ac:dyDescent="0.35">
      <c r="A56" s="58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</row>
    <row r="57" spans="1:15" x14ac:dyDescent="0.35">
      <c r="A57" s="7"/>
    </row>
    <row r="58" spans="1:15" x14ac:dyDescent="0.35">
      <c r="A58" s="7"/>
    </row>
    <row r="59" spans="1:15" x14ac:dyDescent="0.35">
      <c r="A59" s="7"/>
    </row>
    <row r="60" spans="1:15" x14ac:dyDescent="0.35">
      <c r="A60" s="7"/>
    </row>
    <row r="61" spans="1:15" x14ac:dyDescent="0.35">
      <c r="A61" s="7"/>
    </row>
    <row r="62" spans="1:15" x14ac:dyDescent="0.35">
      <c r="A62" s="7"/>
    </row>
    <row r="63" spans="1:15" x14ac:dyDescent="0.35">
      <c r="A63" s="7"/>
    </row>
    <row r="64" spans="1:15" x14ac:dyDescent="0.35">
      <c r="A64" s="7"/>
    </row>
    <row r="65" spans="1:1" x14ac:dyDescent="0.35">
      <c r="A65" s="7"/>
    </row>
    <row r="66" spans="1:1" x14ac:dyDescent="0.35">
      <c r="A66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7"/>
    </row>
    <row r="83" spans="1:1" x14ac:dyDescent="0.35">
      <c r="A83" s="7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</sheetData>
  <mergeCells count="147">
    <mergeCell ref="AA1:AB1"/>
    <mergeCell ref="AP1:AQ1"/>
    <mergeCell ref="BG1:BH1"/>
    <mergeCell ref="BV1:BW1"/>
    <mergeCell ref="E1:F1"/>
    <mergeCell ref="G1:H1"/>
    <mergeCell ref="I1:J1"/>
    <mergeCell ref="K1:L1"/>
    <mergeCell ref="M1:N1"/>
    <mergeCell ref="AC1:AD1"/>
    <mergeCell ref="AE1:AF1"/>
    <mergeCell ref="AG1:AH1"/>
    <mergeCell ref="BS1:BT1"/>
    <mergeCell ref="CK2:CL2"/>
    <mergeCell ref="CN2:CO2"/>
    <mergeCell ref="CQ2:CR2"/>
    <mergeCell ref="CT2:CU2"/>
    <mergeCell ref="DI2:DJ2"/>
    <mergeCell ref="DL2:DM2"/>
    <mergeCell ref="DI1:DJ1"/>
    <mergeCell ref="DL1:DM1"/>
    <mergeCell ref="C2:D2"/>
    <mergeCell ref="P2:Q2"/>
    <mergeCell ref="AA2:AB2"/>
    <mergeCell ref="AP2:AQ2"/>
    <mergeCell ref="BG2:BH2"/>
    <mergeCell ref="BV2:BW2"/>
    <mergeCell ref="CE2:CF2"/>
    <mergeCell ref="CH2:CI2"/>
    <mergeCell ref="CE1:CF1"/>
    <mergeCell ref="CH1:CI1"/>
    <mergeCell ref="CK1:CL1"/>
    <mergeCell ref="CN1:CO1"/>
    <mergeCell ref="CQ1:CR1"/>
    <mergeCell ref="CT1:CU1"/>
    <mergeCell ref="C1:D1"/>
    <mergeCell ref="P1:Q1"/>
    <mergeCell ref="DI3:DJ3"/>
    <mergeCell ref="DL3:DM3"/>
    <mergeCell ref="C4:D4"/>
    <mergeCell ref="P4:Q4"/>
    <mergeCell ref="AA4:AB4"/>
    <mergeCell ref="AP4:AQ4"/>
    <mergeCell ref="BG4:BH4"/>
    <mergeCell ref="BV4:BW4"/>
    <mergeCell ref="CE4:CF4"/>
    <mergeCell ref="CE3:CF3"/>
    <mergeCell ref="CH3:CI3"/>
    <mergeCell ref="CK3:CL3"/>
    <mergeCell ref="CN3:CO3"/>
    <mergeCell ref="CQ3:CR3"/>
    <mergeCell ref="CT3:CU3"/>
    <mergeCell ref="C3:D3"/>
    <mergeCell ref="P3:Q3"/>
    <mergeCell ref="AA3:AB3"/>
    <mergeCell ref="AP3:AQ3"/>
    <mergeCell ref="BG3:BH3"/>
    <mergeCell ref="BV3:BW3"/>
    <mergeCell ref="CQ5:CR5"/>
    <mergeCell ref="CT5:CU5"/>
    <mergeCell ref="DI5:DJ5"/>
    <mergeCell ref="DL5:DM5"/>
    <mergeCell ref="DL4:DM4"/>
    <mergeCell ref="CQ4:CR4"/>
    <mergeCell ref="CT4:CU4"/>
    <mergeCell ref="DI4:DJ4"/>
    <mergeCell ref="C5:D5"/>
    <mergeCell ref="P5:Q5"/>
    <mergeCell ref="AA5:AB5"/>
    <mergeCell ref="BG5:BH5"/>
    <mergeCell ref="BV5:BW5"/>
    <mergeCell ref="CE5:CF5"/>
    <mergeCell ref="CH5:CI5"/>
    <mergeCell ref="CK5:CL5"/>
    <mergeCell ref="CN5:CO5"/>
    <mergeCell ref="CH4:CI4"/>
    <mergeCell ref="CK4:CL4"/>
    <mergeCell ref="CN4:CO4"/>
    <mergeCell ref="R2:S2"/>
    <mergeCell ref="T2:U2"/>
    <mergeCell ref="V2:W2"/>
    <mergeCell ref="X2:Y2"/>
    <mergeCell ref="R1:S1"/>
    <mergeCell ref="T1:U1"/>
    <mergeCell ref="V1:W1"/>
    <mergeCell ref="X1:Y1"/>
    <mergeCell ref="E2:F2"/>
    <mergeCell ref="G2:H2"/>
    <mergeCell ref="I2:J2"/>
    <mergeCell ref="K2:L2"/>
    <mergeCell ref="M2:N2"/>
    <mergeCell ref="AI2:AJ2"/>
    <mergeCell ref="AK2:AL2"/>
    <mergeCell ref="AM2:AN2"/>
    <mergeCell ref="AI1:AJ1"/>
    <mergeCell ref="AK1:AL1"/>
    <mergeCell ref="AM1:AN1"/>
    <mergeCell ref="AC2:AD2"/>
    <mergeCell ref="AE2:AF2"/>
    <mergeCell ref="AG2:AH2"/>
    <mergeCell ref="BB2:BC2"/>
    <mergeCell ref="BD2:BE2"/>
    <mergeCell ref="AR1:AS1"/>
    <mergeCell ref="AT1:AU1"/>
    <mergeCell ref="AV1:AW1"/>
    <mergeCell ref="AX1:AY1"/>
    <mergeCell ref="AZ1:BA1"/>
    <mergeCell ref="BB1:BC1"/>
    <mergeCell ref="BD1:BE1"/>
    <mergeCell ref="AR2:AS2"/>
    <mergeCell ref="AT2:AU2"/>
    <mergeCell ref="AV2:AW2"/>
    <mergeCell ref="AX2:AY2"/>
    <mergeCell ref="AZ2:BA2"/>
    <mergeCell ref="BX2:BY2"/>
    <mergeCell ref="BZ2:CA2"/>
    <mergeCell ref="CB2:CC2"/>
    <mergeCell ref="BX1:BY1"/>
    <mergeCell ref="BZ1:CA1"/>
    <mergeCell ref="CB1:CC1"/>
    <mergeCell ref="BI1:BJ1"/>
    <mergeCell ref="BK1:BL1"/>
    <mergeCell ref="BM1:BN1"/>
    <mergeCell ref="BO1:BP1"/>
    <mergeCell ref="BQ1:BR1"/>
    <mergeCell ref="DF2:DG2"/>
    <mergeCell ref="CV1:CW1"/>
    <mergeCell ref="CX1:CY1"/>
    <mergeCell ref="CZ1:DA1"/>
    <mergeCell ref="DB1:DC1"/>
    <mergeCell ref="DD1:DE1"/>
    <mergeCell ref="DF1:DG1"/>
    <mergeCell ref="CV2:CW2"/>
    <mergeCell ref="CX2:CY2"/>
    <mergeCell ref="CZ2:DA2"/>
    <mergeCell ref="DB2:DC2"/>
    <mergeCell ref="DD2:DE2"/>
    <mergeCell ref="DN1:DO1"/>
    <mergeCell ref="DP1:DQ1"/>
    <mergeCell ref="DR1:DS1"/>
    <mergeCell ref="DT1:DU1"/>
    <mergeCell ref="DV1:DW1"/>
    <mergeCell ref="DN2:DO2"/>
    <mergeCell ref="DP2:DQ2"/>
    <mergeCell ref="DR2:DS2"/>
    <mergeCell ref="DT2:DU2"/>
    <mergeCell ref="DV2:DW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8"/>
  <sheetViews>
    <sheetView topLeftCell="A2" zoomScale="55" zoomScaleNormal="55" workbookViewId="0">
      <pane xSplit="2" ySplit="3" topLeftCell="C5" activePane="bottomRight" state="frozen"/>
      <selection pane="topRight" activeCell="C2" sqref="C2"/>
      <selection pane="bottomLeft" activeCell="A5" sqref="A5"/>
      <selection pane="bottomRight" activeCell="P16" sqref="P16"/>
    </sheetView>
  </sheetViews>
  <sheetFormatPr defaultRowHeight="31.5" x14ac:dyDescent="0.5"/>
  <cols>
    <col min="1" max="1" width="25.7109375" style="5" customWidth="1"/>
    <col min="2" max="2" width="2.42578125" customWidth="1"/>
    <col min="3" max="4" width="25.7109375" customWidth="1"/>
    <col min="5" max="20" width="25.7109375" style="77" customWidth="1"/>
    <col min="21" max="21" width="5.7109375" style="77" customWidth="1"/>
    <col min="22" max="39" width="25.7109375" style="77" customWidth="1"/>
    <col min="40" max="40" width="5.7109375" style="77" customWidth="1"/>
    <col min="41" max="58" width="25.7109375" style="77" customWidth="1"/>
    <col min="59" max="59" width="5.7109375" style="77" customWidth="1"/>
    <col min="60" max="96" width="25.7109375" style="77" customWidth="1"/>
    <col min="97" max="101" width="25.7109375" customWidth="1"/>
  </cols>
  <sheetData>
    <row r="1" spans="1:97" s="8" customFormat="1" ht="49.5" customHeight="1" x14ac:dyDescent="0.25">
      <c r="A1" s="103"/>
      <c r="B1" s="103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</row>
    <row r="2" spans="1:97" s="81" customFormat="1" ht="113.25" customHeight="1" x14ac:dyDescent="0.25">
      <c r="A2" s="80"/>
      <c r="B2" s="92"/>
      <c r="C2" s="190" t="s">
        <v>180</v>
      </c>
      <c r="D2" s="190"/>
      <c r="E2" s="190" t="s">
        <v>181</v>
      </c>
      <c r="F2" s="190"/>
      <c r="G2" s="190" t="s">
        <v>182</v>
      </c>
      <c r="H2" s="190"/>
      <c r="I2" s="190" t="s">
        <v>183</v>
      </c>
      <c r="J2" s="190"/>
      <c r="K2" s="190" t="s">
        <v>184</v>
      </c>
      <c r="L2" s="190"/>
      <c r="M2" s="190" t="s">
        <v>185</v>
      </c>
      <c r="N2" s="190"/>
      <c r="O2" s="190" t="s">
        <v>186</v>
      </c>
      <c r="P2" s="190"/>
      <c r="Q2" s="190" t="s">
        <v>187</v>
      </c>
      <c r="R2" s="190"/>
      <c r="S2" s="190" t="s">
        <v>188</v>
      </c>
      <c r="T2" s="190"/>
      <c r="V2" s="190" t="s">
        <v>189</v>
      </c>
      <c r="W2" s="190"/>
      <c r="X2" s="190" t="s">
        <v>190</v>
      </c>
      <c r="Y2" s="190"/>
      <c r="Z2" s="190" t="s">
        <v>191</v>
      </c>
      <c r="AA2" s="190"/>
      <c r="AB2" s="190" t="s">
        <v>192</v>
      </c>
      <c r="AC2" s="190"/>
      <c r="AD2" s="190" t="s">
        <v>193</v>
      </c>
      <c r="AE2" s="190"/>
      <c r="AF2" s="190" t="s">
        <v>194</v>
      </c>
      <c r="AG2" s="190"/>
      <c r="AH2" s="190" t="s">
        <v>195</v>
      </c>
      <c r="AI2" s="190"/>
      <c r="AJ2" s="190" t="s">
        <v>196</v>
      </c>
      <c r="AK2" s="190"/>
      <c r="AL2" s="190" t="s">
        <v>197</v>
      </c>
      <c r="AM2" s="190"/>
      <c r="AO2" s="190" t="s">
        <v>198</v>
      </c>
      <c r="AP2" s="190"/>
      <c r="AQ2" s="190" t="s">
        <v>199</v>
      </c>
      <c r="AR2" s="190"/>
      <c r="AS2" s="190" t="s">
        <v>200</v>
      </c>
      <c r="AT2" s="190"/>
      <c r="AU2" s="190" t="s">
        <v>201</v>
      </c>
      <c r="AV2" s="190"/>
      <c r="AW2" s="190" t="s">
        <v>202</v>
      </c>
      <c r="AX2" s="190"/>
      <c r="AY2" s="190" t="s">
        <v>203</v>
      </c>
      <c r="AZ2" s="190"/>
      <c r="BA2" s="190" t="s">
        <v>204</v>
      </c>
      <c r="BB2" s="190"/>
      <c r="BC2" s="190" t="s">
        <v>205</v>
      </c>
      <c r="BD2" s="190"/>
      <c r="BE2" s="190" t="s">
        <v>206</v>
      </c>
      <c r="BF2" s="190"/>
      <c r="BH2" s="190" t="s">
        <v>50</v>
      </c>
      <c r="BI2" s="190"/>
      <c r="BJ2" s="190" t="s">
        <v>207</v>
      </c>
      <c r="BK2" s="190"/>
      <c r="BL2" s="190" t="s">
        <v>208</v>
      </c>
      <c r="BM2" s="190"/>
      <c r="BN2" s="190" t="s">
        <v>209</v>
      </c>
      <c r="BO2" s="190"/>
      <c r="BP2" s="190" t="s">
        <v>210</v>
      </c>
      <c r="BQ2" s="190"/>
      <c r="BR2" s="190" t="s">
        <v>211</v>
      </c>
      <c r="BS2" s="190"/>
      <c r="BT2" s="190" t="s">
        <v>212</v>
      </c>
      <c r="BU2" s="190"/>
      <c r="BV2" s="190" t="s">
        <v>213</v>
      </c>
      <c r="BW2" s="190"/>
      <c r="BX2" s="190" t="s">
        <v>214</v>
      </c>
      <c r="BY2" s="190"/>
      <c r="BZ2" s="190" t="s">
        <v>215</v>
      </c>
      <c r="CA2" s="190"/>
      <c r="CB2" s="190" t="s">
        <v>216</v>
      </c>
      <c r="CC2" s="190"/>
      <c r="CD2" s="190" t="s">
        <v>217</v>
      </c>
      <c r="CE2" s="190"/>
      <c r="CF2" s="190" t="s">
        <v>218</v>
      </c>
      <c r="CG2" s="190"/>
      <c r="CH2" s="190" t="s">
        <v>219</v>
      </c>
      <c r="CI2" s="190"/>
      <c r="CJ2" s="190" t="s">
        <v>220</v>
      </c>
      <c r="CK2" s="190"/>
      <c r="CL2" s="190" t="s">
        <v>221</v>
      </c>
      <c r="CM2" s="190"/>
      <c r="CN2" s="190" t="s">
        <v>222</v>
      </c>
      <c r="CO2" s="190"/>
      <c r="CP2" s="190" t="s">
        <v>223</v>
      </c>
      <c r="CQ2" s="190"/>
      <c r="CR2" s="190" t="s">
        <v>224</v>
      </c>
      <c r="CS2" s="190"/>
    </row>
    <row r="3" spans="1:97" s="79" customFormat="1" ht="49.5" customHeight="1" x14ac:dyDescent="0.25">
      <c r="A3" s="113"/>
      <c r="B3" s="93"/>
      <c r="C3" s="189"/>
      <c r="D3" s="189"/>
      <c r="E3" s="192" t="s">
        <v>57</v>
      </c>
      <c r="F3" s="192"/>
      <c r="G3" s="189"/>
      <c r="H3" s="189"/>
      <c r="I3" s="193" t="s">
        <v>59</v>
      </c>
      <c r="J3" s="193"/>
      <c r="K3" s="189"/>
      <c r="L3" s="189"/>
      <c r="M3" s="189"/>
      <c r="N3" s="189"/>
      <c r="O3" s="189"/>
      <c r="P3" s="189"/>
      <c r="Q3" s="191" t="s">
        <v>60</v>
      </c>
      <c r="R3" s="191"/>
      <c r="S3" s="189"/>
      <c r="T3" s="189"/>
      <c r="U3" s="78"/>
      <c r="V3" s="191" t="s">
        <v>55</v>
      </c>
      <c r="W3" s="191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78"/>
      <c r="AO3" s="192" t="s">
        <v>58</v>
      </c>
      <c r="AP3" s="192"/>
      <c r="AQ3" s="189"/>
      <c r="AR3" s="189"/>
      <c r="AS3" s="189"/>
      <c r="AT3" s="189"/>
      <c r="AU3" s="189"/>
      <c r="AV3" s="189"/>
      <c r="AW3" s="189"/>
      <c r="AX3" s="189"/>
      <c r="AY3" s="189"/>
      <c r="AZ3" s="189"/>
      <c r="BA3" s="189"/>
      <c r="BB3" s="189"/>
      <c r="BC3" s="189"/>
      <c r="BD3" s="189"/>
      <c r="BE3" s="189"/>
      <c r="BF3" s="189"/>
      <c r="BG3" s="78"/>
      <c r="BH3" s="192" t="s">
        <v>56</v>
      </c>
      <c r="BI3" s="192"/>
      <c r="BJ3" s="189"/>
      <c r="BK3" s="189"/>
      <c r="BL3" s="189"/>
      <c r="BM3" s="189"/>
      <c r="BN3" s="189"/>
      <c r="BO3" s="189"/>
      <c r="BP3" s="189"/>
      <c r="BQ3" s="189"/>
      <c r="BR3" s="189"/>
      <c r="BS3" s="189"/>
      <c r="BT3" s="189"/>
      <c r="BU3" s="189"/>
      <c r="BV3" s="189"/>
      <c r="BW3" s="189"/>
      <c r="BX3" s="189"/>
      <c r="BY3" s="189"/>
      <c r="BZ3" s="189"/>
      <c r="CA3" s="189"/>
      <c r="CB3" s="189"/>
      <c r="CC3" s="189"/>
      <c r="CD3" s="189"/>
      <c r="CE3" s="189"/>
      <c r="CF3" s="189"/>
      <c r="CG3" s="189"/>
      <c r="CH3" s="189"/>
      <c r="CI3" s="189"/>
      <c r="CJ3" s="189"/>
      <c r="CK3" s="189"/>
      <c r="CL3" s="189"/>
      <c r="CM3" s="189"/>
      <c r="CN3" s="189"/>
      <c r="CO3" s="189"/>
      <c r="CP3" s="189"/>
      <c r="CQ3" s="189"/>
      <c r="CR3" s="189"/>
      <c r="CS3" s="189"/>
    </row>
    <row r="4" spans="1:97" s="82" customFormat="1" ht="50.1" customHeight="1" x14ac:dyDescent="0.25">
      <c r="A4" s="83" t="s">
        <v>45</v>
      </c>
      <c r="B4" s="95"/>
      <c r="C4" s="83" t="s">
        <v>61</v>
      </c>
      <c r="D4" s="83" t="s">
        <v>225</v>
      </c>
      <c r="E4" s="83" t="s">
        <v>61</v>
      </c>
      <c r="F4" s="83" t="s">
        <v>225</v>
      </c>
      <c r="G4" s="83" t="s">
        <v>61</v>
      </c>
      <c r="H4" s="83" t="s">
        <v>225</v>
      </c>
      <c r="I4" s="83" t="s">
        <v>61</v>
      </c>
      <c r="J4" s="83" t="s">
        <v>225</v>
      </c>
      <c r="K4" s="83" t="s">
        <v>61</v>
      </c>
      <c r="L4" s="83" t="s">
        <v>225</v>
      </c>
      <c r="M4" s="83" t="s">
        <v>61</v>
      </c>
      <c r="N4" s="83" t="s">
        <v>225</v>
      </c>
      <c r="O4" s="83" t="s">
        <v>61</v>
      </c>
      <c r="P4" s="83" t="s">
        <v>225</v>
      </c>
      <c r="Q4" s="83" t="s">
        <v>61</v>
      </c>
      <c r="R4" s="83" t="s">
        <v>225</v>
      </c>
      <c r="S4" s="83" t="s">
        <v>61</v>
      </c>
      <c r="T4" s="83" t="s">
        <v>225</v>
      </c>
      <c r="V4" s="83" t="s">
        <v>61</v>
      </c>
      <c r="W4" s="83" t="s">
        <v>225</v>
      </c>
      <c r="X4" s="83" t="s">
        <v>61</v>
      </c>
      <c r="Y4" s="83" t="s">
        <v>225</v>
      </c>
      <c r="Z4" s="83" t="s">
        <v>61</v>
      </c>
      <c r="AA4" s="83" t="s">
        <v>225</v>
      </c>
      <c r="AB4" s="83" t="s">
        <v>61</v>
      </c>
      <c r="AC4" s="83" t="s">
        <v>225</v>
      </c>
      <c r="AD4" s="83" t="s">
        <v>61</v>
      </c>
      <c r="AE4" s="83" t="s">
        <v>225</v>
      </c>
      <c r="AF4" s="83" t="s">
        <v>61</v>
      </c>
      <c r="AG4" s="83" t="s">
        <v>225</v>
      </c>
      <c r="AH4" s="83" t="s">
        <v>61</v>
      </c>
      <c r="AI4" s="83" t="s">
        <v>225</v>
      </c>
      <c r="AJ4" s="83" t="s">
        <v>61</v>
      </c>
      <c r="AK4" s="83" t="s">
        <v>225</v>
      </c>
      <c r="AL4" s="83" t="s">
        <v>61</v>
      </c>
      <c r="AM4" s="83" t="s">
        <v>225</v>
      </c>
      <c r="AO4" s="83" t="s">
        <v>61</v>
      </c>
      <c r="AP4" s="83" t="s">
        <v>225</v>
      </c>
      <c r="AQ4" s="83" t="s">
        <v>61</v>
      </c>
      <c r="AR4" s="83" t="s">
        <v>225</v>
      </c>
      <c r="AS4" s="83" t="s">
        <v>61</v>
      </c>
      <c r="AT4" s="83" t="s">
        <v>225</v>
      </c>
      <c r="AU4" s="83" t="s">
        <v>61</v>
      </c>
      <c r="AV4" s="83" t="s">
        <v>225</v>
      </c>
      <c r="AW4" s="83" t="s">
        <v>61</v>
      </c>
      <c r="AX4" s="83" t="s">
        <v>225</v>
      </c>
      <c r="AY4" s="83" t="s">
        <v>61</v>
      </c>
      <c r="AZ4" s="83" t="s">
        <v>225</v>
      </c>
      <c r="BA4" s="83" t="s">
        <v>61</v>
      </c>
      <c r="BB4" s="83" t="s">
        <v>225</v>
      </c>
      <c r="BC4" s="83" t="s">
        <v>61</v>
      </c>
      <c r="BD4" s="83" t="s">
        <v>225</v>
      </c>
      <c r="BE4" s="83" t="s">
        <v>61</v>
      </c>
      <c r="BF4" s="83" t="s">
        <v>225</v>
      </c>
      <c r="BH4" s="83" t="s">
        <v>61</v>
      </c>
      <c r="BI4" s="83" t="s">
        <v>225</v>
      </c>
      <c r="BJ4" s="83" t="s">
        <v>61</v>
      </c>
      <c r="BK4" s="83" t="s">
        <v>225</v>
      </c>
      <c r="BL4" s="83" t="s">
        <v>61</v>
      </c>
      <c r="BM4" s="83" t="s">
        <v>225</v>
      </c>
      <c r="BN4" s="83" t="s">
        <v>61</v>
      </c>
      <c r="BO4" s="83" t="s">
        <v>225</v>
      </c>
      <c r="BP4" s="83" t="s">
        <v>61</v>
      </c>
      <c r="BQ4" s="83" t="s">
        <v>225</v>
      </c>
      <c r="BR4" s="83" t="s">
        <v>61</v>
      </c>
      <c r="BS4" s="83" t="s">
        <v>225</v>
      </c>
      <c r="BT4" s="83" t="s">
        <v>61</v>
      </c>
      <c r="BU4" s="83" t="s">
        <v>225</v>
      </c>
      <c r="BV4" s="83" t="s">
        <v>61</v>
      </c>
      <c r="BW4" s="83" t="s">
        <v>225</v>
      </c>
      <c r="BX4" s="83" t="s">
        <v>61</v>
      </c>
      <c r="BY4" s="83" t="s">
        <v>225</v>
      </c>
      <c r="BZ4" s="83" t="s">
        <v>61</v>
      </c>
      <c r="CA4" s="83" t="s">
        <v>225</v>
      </c>
      <c r="CB4" s="83" t="s">
        <v>61</v>
      </c>
      <c r="CC4" s="83" t="s">
        <v>225</v>
      </c>
      <c r="CD4" s="83" t="s">
        <v>61</v>
      </c>
      <c r="CE4" s="83" t="s">
        <v>225</v>
      </c>
      <c r="CF4" s="83" t="s">
        <v>61</v>
      </c>
      <c r="CG4" s="83" t="s">
        <v>225</v>
      </c>
      <c r="CH4" s="83" t="s">
        <v>61</v>
      </c>
      <c r="CI4" s="83" t="s">
        <v>225</v>
      </c>
      <c r="CJ4" s="83" t="s">
        <v>61</v>
      </c>
      <c r="CK4" s="83" t="s">
        <v>225</v>
      </c>
      <c r="CL4" s="83" t="s">
        <v>61</v>
      </c>
      <c r="CM4" s="83" t="s">
        <v>225</v>
      </c>
      <c r="CN4" s="83" t="s">
        <v>61</v>
      </c>
      <c r="CO4" s="83" t="s">
        <v>225</v>
      </c>
      <c r="CP4" s="83" t="s">
        <v>61</v>
      </c>
      <c r="CQ4" s="83" t="s">
        <v>225</v>
      </c>
      <c r="CR4" s="83" t="s">
        <v>61</v>
      </c>
      <c r="CS4" s="83" t="s">
        <v>225</v>
      </c>
    </row>
    <row r="5" spans="1:97" s="24" customFormat="1" ht="39.950000000000003" customHeight="1" x14ac:dyDescent="0.25">
      <c r="A5" s="84"/>
      <c r="B5" s="96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V5" s="23"/>
      <c r="W5" s="23"/>
      <c r="X5" s="87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88"/>
      <c r="AM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</row>
    <row r="6" spans="1:97" s="85" customFormat="1" ht="39.950000000000003" customHeight="1" x14ac:dyDescent="0.25">
      <c r="A6" s="8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V6" s="23"/>
      <c r="W6" s="23"/>
      <c r="X6" s="87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87"/>
      <c r="AM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</row>
    <row r="7" spans="1:97" s="85" customFormat="1" ht="39.950000000000003" customHeight="1" x14ac:dyDescent="0.25">
      <c r="A7" s="84"/>
      <c r="C7" s="23"/>
      <c r="D7" s="23"/>
      <c r="E7" s="23"/>
      <c r="F7" s="23"/>
      <c r="G7" s="23"/>
      <c r="H7" s="23"/>
      <c r="I7" s="23"/>
      <c r="J7" s="23"/>
      <c r="K7" s="23"/>
      <c r="L7" s="94"/>
      <c r="M7" s="23"/>
      <c r="N7" s="23"/>
      <c r="O7" s="23"/>
      <c r="P7" s="23"/>
      <c r="Q7" s="23"/>
      <c r="R7" s="23"/>
      <c r="S7" s="23"/>
      <c r="T7" s="23"/>
      <c r="V7" s="23"/>
      <c r="W7" s="23"/>
      <c r="X7" s="87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87"/>
      <c r="AM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</row>
    <row r="8" spans="1:97" s="86" customFormat="1" ht="39.950000000000003" customHeight="1" x14ac:dyDescent="0.5">
      <c r="A8" s="84"/>
      <c r="C8" s="90"/>
      <c r="D8" s="23"/>
      <c r="E8" s="90"/>
      <c r="F8" s="23"/>
      <c r="G8" s="90"/>
      <c r="H8" s="23"/>
      <c r="I8" s="90"/>
      <c r="J8" s="23"/>
      <c r="K8" s="90"/>
      <c r="L8" s="23"/>
      <c r="M8" s="90"/>
      <c r="N8" s="23"/>
      <c r="O8" s="23"/>
      <c r="P8" s="23"/>
      <c r="Q8" s="90"/>
      <c r="R8" s="23"/>
      <c r="S8" s="90"/>
      <c r="T8" s="23"/>
      <c r="V8" s="23"/>
      <c r="W8" s="23"/>
      <c r="X8" s="89"/>
      <c r="Y8" s="23"/>
      <c r="Z8" s="90"/>
      <c r="AA8" s="23"/>
      <c r="AB8" s="90"/>
      <c r="AC8" s="23"/>
      <c r="AD8" s="90"/>
      <c r="AE8" s="23"/>
      <c r="AF8" s="23"/>
      <c r="AG8" s="23"/>
      <c r="AH8" s="90"/>
      <c r="AI8" s="23"/>
      <c r="AJ8" s="90"/>
      <c r="AK8" s="23"/>
      <c r="AL8" s="89"/>
      <c r="AM8" s="23"/>
      <c r="AO8" s="90"/>
      <c r="AP8" s="23"/>
      <c r="AQ8" s="90"/>
      <c r="AR8" s="23"/>
      <c r="AS8" s="90"/>
      <c r="AT8" s="23"/>
      <c r="AU8" s="90"/>
      <c r="AV8" s="23"/>
      <c r="AW8" s="90"/>
      <c r="AX8" s="23"/>
      <c r="AY8" s="90"/>
      <c r="AZ8" s="23"/>
      <c r="BA8" s="90"/>
      <c r="BB8" s="23"/>
      <c r="BC8" s="90"/>
      <c r="BD8" s="23"/>
      <c r="BE8" s="90"/>
      <c r="BF8" s="23"/>
      <c r="BH8" s="90"/>
      <c r="BI8" s="23"/>
      <c r="BJ8" s="90"/>
      <c r="BK8" s="23"/>
      <c r="BL8" s="90"/>
      <c r="BM8" s="23"/>
      <c r="BN8" s="90"/>
      <c r="BO8" s="23"/>
      <c r="BP8" s="90"/>
      <c r="BQ8" s="23"/>
      <c r="BR8" s="90"/>
      <c r="BS8" s="23"/>
      <c r="BT8" s="23"/>
      <c r="BU8" s="23"/>
      <c r="BV8" s="90"/>
      <c r="BW8" s="23"/>
      <c r="BX8" s="90"/>
      <c r="BY8" s="23"/>
      <c r="BZ8" s="90"/>
      <c r="CA8" s="23"/>
      <c r="CB8" s="90"/>
      <c r="CC8" s="23"/>
      <c r="CD8" s="90"/>
      <c r="CE8" s="23"/>
      <c r="CF8" s="90"/>
      <c r="CG8" s="23"/>
      <c r="CH8" s="90"/>
      <c r="CI8" s="23"/>
      <c r="CJ8" s="90"/>
      <c r="CK8" s="23"/>
      <c r="CL8" s="90"/>
      <c r="CM8" s="23"/>
      <c r="CN8" s="90"/>
      <c r="CO8" s="23"/>
      <c r="CP8" s="90"/>
      <c r="CQ8" s="23"/>
      <c r="CR8" s="90"/>
      <c r="CS8" s="90"/>
    </row>
    <row r="9" spans="1:97" s="86" customFormat="1" ht="39.950000000000003" customHeight="1" x14ac:dyDescent="0.5">
      <c r="A9" s="84"/>
      <c r="C9" s="90"/>
      <c r="D9" s="23"/>
      <c r="E9" s="90"/>
      <c r="F9" s="23"/>
      <c r="G9" s="90"/>
      <c r="H9" s="23"/>
      <c r="I9" s="90"/>
      <c r="J9" s="23"/>
      <c r="K9" s="90"/>
      <c r="L9" s="23"/>
      <c r="M9" s="90"/>
      <c r="N9" s="23"/>
      <c r="O9" s="90"/>
      <c r="P9" s="23"/>
      <c r="Q9" s="90"/>
      <c r="R9" s="23"/>
      <c r="S9" s="90"/>
      <c r="T9" s="23"/>
      <c r="V9" s="90"/>
      <c r="W9" s="23"/>
      <c r="X9" s="89"/>
      <c r="Y9" s="23"/>
      <c r="Z9" s="90"/>
      <c r="AA9" s="23"/>
      <c r="AB9" s="90"/>
      <c r="AC9" s="23"/>
      <c r="AD9" s="90"/>
      <c r="AE9" s="23"/>
      <c r="AF9" s="23"/>
      <c r="AG9" s="23"/>
      <c r="AH9" s="90"/>
      <c r="AI9" s="23"/>
      <c r="AJ9" s="90"/>
      <c r="AK9" s="23"/>
      <c r="AL9" s="89"/>
      <c r="AM9" s="23"/>
      <c r="AO9" s="90"/>
      <c r="AP9" s="23"/>
      <c r="AQ9" s="90"/>
      <c r="AR9" s="23"/>
      <c r="AS9" s="90"/>
      <c r="AT9" s="23"/>
      <c r="AU9" s="90"/>
      <c r="AV9" s="23"/>
      <c r="AW9" s="90"/>
      <c r="AX9" s="23"/>
      <c r="AY9" s="90"/>
      <c r="AZ9" s="23"/>
      <c r="BA9" s="90"/>
      <c r="BB9" s="23"/>
      <c r="BC9" s="90"/>
      <c r="BD9" s="23"/>
      <c r="BE9" s="90"/>
      <c r="BF9" s="23"/>
      <c r="BH9" s="90"/>
      <c r="BI9" s="23"/>
      <c r="BJ9" s="90"/>
      <c r="BK9" s="23"/>
      <c r="BL9" s="90"/>
      <c r="BM9" s="23"/>
      <c r="BN9" s="90"/>
      <c r="BO9" s="23"/>
      <c r="BP9" s="90"/>
      <c r="BQ9" s="23"/>
      <c r="BR9" s="90"/>
      <c r="BS9" s="23"/>
      <c r="BT9" s="23"/>
      <c r="BU9" s="23"/>
      <c r="BV9" s="90"/>
      <c r="BW9" s="23"/>
      <c r="BX9" s="90"/>
      <c r="BY9" s="23"/>
      <c r="BZ9" s="90"/>
      <c r="CA9" s="23"/>
      <c r="CB9" s="90"/>
      <c r="CC9" s="23"/>
      <c r="CD9" s="90"/>
      <c r="CE9" s="23"/>
      <c r="CF9" s="90"/>
      <c r="CG9" s="23"/>
      <c r="CH9" s="90"/>
      <c r="CI9" s="23"/>
      <c r="CJ9" s="90"/>
      <c r="CK9" s="23"/>
      <c r="CL9" s="90"/>
      <c r="CM9" s="23"/>
      <c r="CN9" s="90"/>
      <c r="CO9" s="23"/>
      <c r="CP9" s="90"/>
      <c r="CQ9" s="23"/>
      <c r="CR9" s="90"/>
      <c r="CS9" s="90"/>
    </row>
    <row r="10" spans="1:97" s="86" customFormat="1" ht="39.950000000000003" customHeight="1" x14ac:dyDescent="0.5">
      <c r="A10" s="84"/>
      <c r="C10" s="90"/>
      <c r="D10" s="23"/>
      <c r="E10" s="90"/>
      <c r="F10" s="23"/>
      <c r="G10" s="90"/>
      <c r="H10" s="23"/>
      <c r="I10" s="90"/>
      <c r="J10" s="23"/>
      <c r="K10" s="90"/>
      <c r="L10" s="23"/>
      <c r="M10" s="90"/>
      <c r="N10" s="23"/>
      <c r="O10" s="90"/>
      <c r="P10" s="23"/>
      <c r="Q10" s="90"/>
      <c r="R10" s="23"/>
      <c r="S10" s="90"/>
      <c r="T10" s="23"/>
      <c r="V10" s="90"/>
      <c r="W10" s="23"/>
      <c r="X10" s="89"/>
      <c r="Y10" s="23"/>
      <c r="Z10" s="90"/>
      <c r="AA10" s="23"/>
      <c r="AB10" s="90"/>
      <c r="AC10" s="23"/>
      <c r="AD10" s="90"/>
      <c r="AE10" s="23"/>
      <c r="AF10" s="23"/>
      <c r="AG10" s="23"/>
      <c r="AH10" s="90"/>
      <c r="AI10" s="23"/>
      <c r="AJ10" s="90"/>
      <c r="AK10" s="23"/>
      <c r="AL10" s="89"/>
      <c r="AM10" s="23"/>
      <c r="AO10" s="90"/>
      <c r="AP10" s="23"/>
      <c r="AQ10" s="90"/>
      <c r="AR10" s="23"/>
      <c r="AS10" s="90"/>
      <c r="AT10" s="23"/>
      <c r="AU10" s="90"/>
      <c r="AV10" s="23"/>
      <c r="AW10" s="90"/>
      <c r="AX10" s="23"/>
      <c r="AY10" s="90"/>
      <c r="AZ10" s="23"/>
      <c r="BA10" s="90"/>
      <c r="BB10" s="23"/>
      <c r="BC10" s="90"/>
      <c r="BD10" s="23"/>
      <c r="BE10" s="90"/>
      <c r="BF10" s="23"/>
      <c r="BH10" s="90"/>
      <c r="BI10" s="23"/>
      <c r="BJ10" s="90"/>
      <c r="BK10" s="23"/>
      <c r="BL10" s="90"/>
      <c r="BM10" s="23"/>
      <c r="BN10" s="90"/>
      <c r="BO10" s="23"/>
      <c r="BP10" s="90"/>
      <c r="BQ10" s="23"/>
      <c r="BR10" s="90"/>
      <c r="BS10" s="23"/>
      <c r="BT10" s="23"/>
      <c r="BU10" s="23"/>
      <c r="BV10" s="90"/>
      <c r="BW10" s="23"/>
      <c r="BX10" s="90"/>
      <c r="BY10" s="23"/>
      <c r="BZ10" s="90"/>
      <c r="CA10" s="23"/>
      <c r="CB10" s="90"/>
      <c r="CC10" s="23"/>
      <c r="CD10" s="90"/>
      <c r="CE10" s="23"/>
      <c r="CF10" s="90"/>
      <c r="CG10" s="23"/>
      <c r="CH10" s="90"/>
      <c r="CI10" s="23"/>
      <c r="CJ10" s="90"/>
      <c r="CK10" s="23"/>
      <c r="CL10" s="90"/>
      <c r="CM10" s="23"/>
      <c r="CN10" s="90"/>
      <c r="CO10" s="23"/>
      <c r="CP10" s="90"/>
      <c r="CQ10" s="23"/>
      <c r="CR10" s="90"/>
      <c r="CS10" s="90"/>
    </row>
    <row r="11" spans="1:97" s="86" customFormat="1" ht="39.950000000000003" customHeight="1" x14ac:dyDescent="0.5">
      <c r="A11" s="84"/>
      <c r="C11" s="90"/>
      <c r="D11" s="23"/>
      <c r="E11" s="90"/>
      <c r="F11" s="23"/>
      <c r="G11" s="90"/>
      <c r="H11" s="23"/>
      <c r="I11" s="90"/>
      <c r="J11" s="23"/>
      <c r="K11" s="90"/>
      <c r="L11" s="23"/>
      <c r="M11" s="90"/>
      <c r="N11" s="23"/>
      <c r="O11" s="90"/>
      <c r="P11" s="23"/>
      <c r="Q11" s="90"/>
      <c r="R11" s="23"/>
      <c r="S11" s="90"/>
      <c r="T11" s="23"/>
      <c r="V11" s="90"/>
      <c r="W11" s="23"/>
      <c r="X11" s="89"/>
      <c r="Y11" s="23"/>
      <c r="Z11" s="90"/>
      <c r="AA11" s="23"/>
      <c r="AB11" s="90"/>
      <c r="AC11" s="23"/>
      <c r="AD11" s="90"/>
      <c r="AE11" s="23"/>
      <c r="AF11" s="23"/>
      <c r="AG11" s="23"/>
      <c r="AH11" s="90"/>
      <c r="AI11" s="23"/>
      <c r="AJ11" s="90"/>
      <c r="AK11" s="23"/>
      <c r="AL11" s="89"/>
      <c r="AM11" s="23"/>
      <c r="AO11" s="90"/>
      <c r="AP11" s="23"/>
      <c r="AQ11" s="90"/>
      <c r="AR11" s="23"/>
      <c r="AS11" s="90"/>
      <c r="AT11" s="23"/>
      <c r="AU11" s="90"/>
      <c r="AV11" s="23"/>
      <c r="AW11" s="90"/>
      <c r="AX11" s="23"/>
      <c r="AY11" s="90"/>
      <c r="AZ11" s="23"/>
      <c r="BA11" s="90"/>
      <c r="BB11" s="23"/>
      <c r="BC11" s="90"/>
      <c r="BD11" s="23"/>
      <c r="BE11" s="90"/>
      <c r="BF11" s="23"/>
      <c r="BH11" s="90"/>
      <c r="BI11" s="23"/>
      <c r="BJ11" s="90"/>
      <c r="BK11" s="23"/>
      <c r="BL11" s="90"/>
      <c r="BM11" s="23"/>
      <c r="BN11" s="90"/>
      <c r="BO11" s="23"/>
      <c r="BP11" s="90"/>
      <c r="BQ11" s="23"/>
      <c r="BR11" s="90"/>
      <c r="BS11" s="23"/>
      <c r="BT11" s="23"/>
      <c r="BU11" s="23"/>
      <c r="BV11" s="90"/>
      <c r="BW11" s="23"/>
      <c r="BX11" s="90"/>
      <c r="BY11" s="23"/>
      <c r="BZ11" s="90"/>
      <c r="CA11" s="23"/>
      <c r="CB11" s="90"/>
      <c r="CC11" s="23"/>
      <c r="CD11" s="90"/>
      <c r="CE11" s="23"/>
      <c r="CF11" s="90"/>
      <c r="CG11" s="23"/>
      <c r="CH11" s="90"/>
      <c r="CI11" s="23"/>
      <c r="CJ11" s="90"/>
      <c r="CK11" s="23"/>
      <c r="CL11" s="90"/>
      <c r="CM11" s="23"/>
      <c r="CN11" s="90"/>
      <c r="CO11" s="23"/>
      <c r="CP11" s="90"/>
      <c r="CQ11" s="23"/>
      <c r="CR11" s="90"/>
      <c r="CS11" s="90"/>
    </row>
    <row r="12" spans="1:97" s="86" customFormat="1" ht="39.950000000000003" customHeight="1" x14ac:dyDescent="0.5">
      <c r="A12" s="84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0"/>
      <c r="BF12" s="90"/>
      <c r="BH12" s="90"/>
      <c r="BI12" s="90"/>
      <c r="BJ12" s="90"/>
      <c r="BK12" s="90"/>
      <c r="BL12" s="90"/>
      <c r="BM12" s="90"/>
      <c r="BN12" s="90"/>
      <c r="BO12" s="90"/>
      <c r="BP12" s="90"/>
      <c r="BQ12" s="90"/>
      <c r="BR12" s="90"/>
      <c r="BS12" s="90"/>
      <c r="BT12" s="90"/>
      <c r="BU12" s="90"/>
      <c r="BV12" s="90"/>
      <c r="BW12" s="90"/>
      <c r="BX12" s="90"/>
      <c r="BY12" s="90"/>
      <c r="BZ12" s="90"/>
      <c r="CA12" s="90"/>
      <c r="CB12" s="90"/>
      <c r="CC12" s="90"/>
      <c r="CD12" s="90"/>
      <c r="CE12" s="90"/>
      <c r="CF12" s="90"/>
      <c r="CG12" s="90"/>
      <c r="CH12" s="90"/>
      <c r="CI12" s="90"/>
      <c r="CJ12" s="90"/>
      <c r="CK12" s="90"/>
      <c r="CL12" s="90"/>
      <c r="CM12" s="90"/>
      <c r="CN12" s="90"/>
      <c r="CO12" s="90"/>
      <c r="CP12" s="90"/>
      <c r="CQ12" s="90"/>
      <c r="CR12" s="90"/>
      <c r="CS12" s="90"/>
    </row>
    <row r="13" spans="1:97" s="86" customFormat="1" ht="39.950000000000003" customHeight="1" x14ac:dyDescent="0.5">
      <c r="A13" s="84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H13" s="90"/>
      <c r="BI13" s="90"/>
      <c r="BJ13" s="90"/>
      <c r="BK13" s="90"/>
      <c r="BL13" s="90"/>
      <c r="BM13" s="90"/>
      <c r="BN13" s="90"/>
      <c r="BO13" s="90"/>
      <c r="BP13" s="90"/>
      <c r="BQ13" s="90"/>
      <c r="BR13" s="90"/>
      <c r="BS13" s="90"/>
      <c r="BT13" s="90"/>
      <c r="BU13" s="90"/>
      <c r="BV13" s="90"/>
      <c r="BW13" s="90"/>
      <c r="BX13" s="90"/>
      <c r="BY13" s="90"/>
      <c r="BZ13" s="90"/>
      <c r="CA13" s="90"/>
      <c r="CB13" s="90"/>
      <c r="CC13" s="90"/>
      <c r="CD13" s="90"/>
      <c r="CE13" s="90"/>
      <c r="CF13" s="90"/>
      <c r="CG13" s="90"/>
      <c r="CH13" s="90"/>
      <c r="CI13" s="90"/>
      <c r="CJ13" s="90"/>
      <c r="CK13" s="90"/>
      <c r="CL13" s="90"/>
      <c r="CM13" s="90"/>
      <c r="CN13" s="90"/>
      <c r="CO13" s="90"/>
      <c r="CP13" s="90"/>
      <c r="CQ13" s="90"/>
      <c r="CR13" s="90"/>
      <c r="CS13" s="90"/>
    </row>
    <row r="14" spans="1:97" s="86" customFormat="1" ht="39.950000000000003" customHeight="1" x14ac:dyDescent="0.5">
      <c r="A14" s="84"/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O14" s="90"/>
      <c r="AP14" s="90"/>
      <c r="AQ14" s="90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0"/>
      <c r="BF14" s="90"/>
      <c r="BH14" s="90"/>
      <c r="BI14" s="90"/>
      <c r="BJ14" s="90"/>
      <c r="BK14" s="90"/>
      <c r="BL14" s="90"/>
      <c r="BM14" s="90"/>
      <c r="BN14" s="90"/>
      <c r="BO14" s="90"/>
      <c r="BP14" s="90"/>
      <c r="BQ14" s="90"/>
      <c r="BR14" s="90"/>
      <c r="BS14" s="90"/>
      <c r="BT14" s="90"/>
      <c r="BU14" s="90"/>
      <c r="BV14" s="90"/>
      <c r="BW14" s="90"/>
      <c r="BX14" s="90"/>
      <c r="BY14" s="90"/>
      <c r="BZ14" s="90"/>
      <c r="CA14" s="90"/>
      <c r="CB14" s="90"/>
      <c r="CC14" s="90"/>
      <c r="CD14" s="90"/>
      <c r="CE14" s="90"/>
      <c r="CF14" s="90"/>
      <c r="CG14" s="90"/>
      <c r="CH14" s="90"/>
      <c r="CI14" s="90"/>
      <c r="CJ14" s="90"/>
      <c r="CK14" s="90"/>
      <c r="CL14" s="90"/>
      <c r="CM14" s="90"/>
      <c r="CN14" s="90"/>
      <c r="CO14" s="90"/>
      <c r="CP14" s="90"/>
      <c r="CQ14" s="90"/>
      <c r="CR14" s="90"/>
      <c r="CS14" s="90"/>
    </row>
    <row r="15" spans="1:97" s="86" customFormat="1" ht="39.950000000000003" customHeight="1" x14ac:dyDescent="0.5">
      <c r="A15" s="84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90"/>
      <c r="CE15" s="90"/>
      <c r="CF15" s="90"/>
      <c r="CG15" s="90"/>
      <c r="CH15" s="90"/>
      <c r="CI15" s="90"/>
      <c r="CJ15" s="90"/>
      <c r="CK15" s="90"/>
      <c r="CL15" s="90"/>
      <c r="CM15" s="90"/>
      <c r="CN15" s="90"/>
      <c r="CO15" s="90"/>
      <c r="CP15" s="90"/>
      <c r="CQ15" s="90"/>
      <c r="CR15" s="90"/>
      <c r="CS15" s="90"/>
    </row>
    <row r="16" spans="1:97" s="86" customFormat="1" ht="39.950000000000003" customHeight="1" x14ac:dyDescent="0.5">
      <c r="A16" s="84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O16" s="90"/>
      <c r="AP16" s="90"/>
      <c r="AQ16" s="90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0"/>
      <c r="BF16" s="90"/>
      <c r="BH16" s="90"/>
      <c r="BI16" s="90"/>
      <c r="BJ16" s="90"/>
      <c r="BK16" s="90"/>
      <c r="BL16" s="90"/>
      <c r="BM16" s="90"/>
      <c r="BN16" s="90"/>
      <c r="BO16" s="90"/>
      <c r="BP16" s="90"/>
      <c r="BQ16" s="90"/>
      <c r="BR16" s="90"/>
      <c r="BS16" s="90"/>
      <c r="BT16" s="90"/>
      <c r="BU16" s="90"/>
      <c r="BV16" s="90"/>
      <c r="BW16" s="90"/>
      <c r="BX16" s="90"/>
      <c r="BY16" s="90"/>
      <c r="BZ16" s="90"/>
      <c r="CA16" s="90"/>
      <c r="CB16" s="90"/>
      <c r="CC16" s="90"/>
      <c r="CD16" s="90"/>
      <c r="CE16" s="90"/>
      <c r="CF16" s="90"/>
      <c r="CG16" s="90"/>
      <c r="CH16" s="90"/>
      <c r="CI16" s="90"/>
      <c r="CJ16" s="90"/>
      <c r="CK16" s="90"/>
      <c r="CL16" s="90"/>
      <c r="CM16" s="90"/>
      <c r="CN16" s="90"/>
      <c r="CO16" s="90"/>
      <c r="CP16" s="90"/>
      <c r="CQ16" s="90"/>
      <c r="CR16" s="90"/>
      <c r="CS16" s="90"/>
    </row>
    <row r="17" spans="1:97" s="86" customFormat="1" ht="39.950000000000003" customHeight="1" x14ac:dyDescent="0.5">
      <c r="A17" s="84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90"/>
      <c r="CE17" s="90"/>
      <c r="CF17" s="90"/>
      <c r="CG17" s="90"/>
      <c r="CH17" s="90"/>
      <c r="CI17" s="90"/>
      <c r="CJ17" s="90"/>
      <c r="CK17" s="90"/>
      <c r="CL17" s="90"/>
      <c r="CM17" s="90"/>
      <c r="CN17" s="90"/>
      <c r="CO17" s="90"/>
      <c r="CP17" s="90"/>
      <c r="CQ17" s="90"/>
      <c r="CR17" s="90"/>
      <c r="CS17" s="90"/>
    </row>
    <row r="18" spans="1:97" s="86" customFormat="1" ht="39.950000000000003" customHeight="1" x14ac:dyDescent="0.5">
      <c r="A18" s="84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0"/>
      <c r="BF18" s="90"/>
      <c r="BH18" s="90"/>
      <c r="BI18" s="90"/>
      <c r="BJ18" s="90"/>
      <c r="BK18" s="90"/>
      <c r="BL18" s="90"/>
      <c r="BM18" s="90"/>
      <c r="BN18" s="90"/>
      <c r="BO18" s="90"/>
      <c r="BP18" s="90"/>
      <c r="BQ18" s="90"/>
      <c r="BR18" s="90"/>
      <c r="BS18" s="90"/>
      <c r="BT18" s="90"/>
      <c r="BU18" s="90"/>
      <c r="BV18" s="90"/>
      <c r="BW18" s="90"/>
      <c r="BX18" s="90"/>
      <c r="BY18" s="90"/>
      <c r="BZ18" s="90"/>
      <c r="CA18" s="90"/>
      <c r="CB18" s="90"/>
      <c r="CC18" s="90"/>
      <c r="CD18" s="90"/>
      <c r="CE18" s="90"/>
      <c r="CF18" s="90"/>
      <c r="CG18" s="90"/>
      <c r="CH18" s="90"/>
      <c r="CI18" s="90"/>
      <c r="CJ18" s="90"/>
      <c r="CK18" s="90"/>
      <c r="CL18" s="90"/>
      <c r="CM18" s="90"/>
      <c r="CN18" s="90"/>
      <c r="CO18" s="90"/>
      <c r="CP18" s="90"/>
      <c r="CQ18" s="90"/>
      <c r="CR18" s="90"/>
      <c r="CS18" s="90"/>
    </row>
    <row r="19" spans="1:97" s="86" customFormat="1" ht="39.950000000000003" customHeight="1" x14ac:dyDescent="0.5">
      <c r="A19" s="84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H19" s="90"/>
      <c r="BI19" s="90"/>
      <c r="BJ19" s="90"/>
      <c r="BK19" s="90"/>
      <c r="BL19" s="90"/>
      <c r="BM19" s="90"/>
      <c r="BN19" s="90"/>
      <c r="BO19" s="90"/>
      <c r="BP19" s="90"/>
      <c r="BQ19" s="90"/>
      <c r="BR19" s="90"/>
      <c r="BS19" s="90"/>
      <c r="BT19" s="90"/>
      <c r="BU19" s="90"/>
      <c r="BV19" s="90"/>
      <c r="BW19" s="90"/>
      <c r="BX19" s="90"/>
      <c r="BY19" s="90"/>
      <c r="BZ19" s="90"/>
      <c r="CA19" s="90"/>
      <c r="CB19" s="90"/>
      <c r="CC19" s="90"/>
      <c r="CD19" s="90"/>
      <c r="CE19" s="90"/>
      <c r="CF19" s="90"/>
      <c r="CG19" s="90"/>
      <c r="CH19" s="90"/>
      <c r="CI19" s="90"/>
      <c r="CJ19" s="90"/>
      <c r="CK19" s="90"/>
      <c r="CL19" s="90"/>
      <c r="CM19" s="90"/>
      <c r="CN19" s="90"/>
      <c r="CO19" s="90"/>
      <c r="CP19" s="90"/>
      <c r="CQ19" s="90"/>
      <c r="CR19" s="90"/>
      <c r="CS19" s="90"/>
    </row>
    <row r="20" spans="1:97" s="86" customFormat="1" ht="39.950000000000003" customHeight="1" x14ac:dyDescent="0.5">
      <c r="A20" s="84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90"/>
      <c r="CE20" s="90"/>
      <c r="CF20" s="90"/>
      <c r="CG20" s="90"/>
      <c r="CH20" s="90"/>
      <c r="CI20" s="90"/>
      <c r="CJ20" s="90"/>
      <c r="CK20" s="90"/>
      <c r="CL20" s="90"/>
      <c r="CM20" s="90"/>
      <c r="CN20" s="90"/>
      <c r="CO20" s="90"/>
      <c r="CP20" s="90"/>
      <c r="CQ20" s="90"/>
      <c r="CR20" s="90"/>
      <c r="CS20" s="90"/>
    </row>
    <row r="21" spans="1:97" s="86" customFormat="1" ht="39.950000000000003" customHeight="1" x14ac:dyDescent="0.5">
      <c r="A21" s="84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0"/>
      <c r="BF21" s="90"/>
      <c r="BH21" s="90"/>
      <c r="BI21" s="90"/>
      <c r="BJ21" s="90"/>
      <c r="BK21" s="90"/>
      <c r="BL21" s="90"/>
      <c r="BM21" s="90"/>
      <c r="BN21" s="90"/>
      <c r="BO21" s="90"/>
      <c r="BP21" s="90"/>
      <c r="BQ21" s="90"/>
      <c r="BR21" s="90"/>
      <c r="BS21" s="90"/>
      <c r="BT21" s="90"/>
      <c r="BU21" s="90"/>
      <c r="BV21" s="90"/>
      <c r="BW21" s="90"/>
      <c r="BX21" s="90"/>
      <c r="BY21" s="90"/>
      <c r="BZ21" s="90"/>
      <c r="CA21" s="90"/>
      <c r="CB21" s="90"/>
      <c r="CC21" s="90"/>
      <c r="CD21" s="90"/>
      <c r="CE21" s="90"/>
      <c r="CF21" s="90"/>
      <c r="CG21" s="90"/>
      <c r="CH21" s="90"/>
      <c r="CI21" s="90"/>
      <c r="CJ21" s="90"/>
      <c r="CK21" s="90"/>
      <c r="CL21" s="90"/>
      <c r="CM21" s="90"/>
      <c r="CN21" s="90"/>
      <c r="CO21" s="90"/>
      <c r="CP21" s="90"/>
      <c r="CQ21" s="90"/>
      <c r="CR21" s="90"/>
      <c r="CS21" s="90"/>
    </row>
    <row r="22" spans="1:97" s="86" customFormat="1" ht="39.950000000000003" customHeight="1" x14ac:dyDescent="0.5">
      <c r="A22" s="84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90"/>
      <c r="CE22" s="90"/>
      <c r="CF22" s="90"/>
      <c r="CG22" s="90"/>
      <c r="CH22" s="90"/>
      <c r="CI22" s="90"/>
      <c r="CJ22" s="90"/>
      <c r="CK22" s="90"/>
      <c r="CL22" s="90"/>
      <c r="CM22" s="90"/>
      <c r="CN22" s="90"/>
      <c r="CO22" s="90"/>
      <c r="CP22" s="90"/>
      <c r="CQ22" s="90"/>
      <c r="CR22" s="90"/>
      <c r="CS22" s="90"/>
    </row>
    <row r="23" spans="1:97" s="86" customFormat="1" ht="39.950000000000003" customHeight="1" x14ac:dyDescent="0.5">
      <c r="A23" s="84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90"/>
      <c r="CE23" s="90"/>
      <c r="CF23" s="90"/>
      <c r="CG23" s="90"/>
      <c r="CH23" s="90"/>
      <c r="CI23" s="90"/>
      <c r="CJ23" s="90"/>
      <c r="CK23" s="90"/>
      <c r="CL23" s="90"/>
      <c r="CM23" s="90"/>
      <c r="CN23" s="90"/>
      <c r="CO23" s="90"/>
      <c r="CP23" s="90"/>
      <c r="CQ23" s="90"/>
      <c r="CR23" s="90"/>
      <c r="CS23" s="90"/>
    </row>
    <row r="24" spans="1:97" s="86" customFormat="1" ht="39.950000000000003" customHeight="1" x14ac:dyDescent="0.5">
      <c r="A24" s="84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0"/>
      <c r="BF24" s="90"/>
      <c r="BH24" s="90"/>
      <c r="BI24" s="90"/>
      <c r="BJ24" s="90"/>
      <c r="BK24" s="90"/>
      <c r="BL24" s="90"/>
      <c r="BM24" s="90"/>
      <c r="BN24" s="90"/>
      <c r="BO24" s="90"/>
      <c r="BP24" s="90"/>
      <c r="BQ24" s="90"/>
      <c r="BR24" s="90"/>
      <c r="BS24" s="90"/>
      <c r="BT24" s="90"/>
      <c r="BU24" s="90"/>
      <c r="BV24" s="90"/>
      <c r="BW24" s="90"/>
      <c r="BX24" s="90"/>
      <c r="BY24" s="90"/>
      <c r="BZ24" s="90"/>
      <c r="CA24" s="90"/>
      <c r="CB24" s="90"/>
      <c r="CC24" s="90"/>
      <c r="CD24" s="90"/>
      <c r="CE24" s="90"/>
      <c r="CF24" s="90"/>
      <c r="CG24" s="90"/>
      <c r="CH24" s="90"/>
      <c r="CI24" s="90"/>
      <c r="CJ24" s="90"/>
      <c r="CK24" s="90"/>
      <c r="CL24" s="90"/>
      <c r="CM24" s="90"/>
      <c r="CN24" s="90"/>
      <c r="CO24" s="90"/>
      <c r="CP24" s="90"/>
      <c r="CQ24" s="90"/>
      <c r="CR24" s="90"/>
      <c r="CS24" s="90"/>
    </row>
    <row r="25" spans="1:97" s="75" customFormat="1" ht="39.950000000000003" customHeight="1" x14ac:dyDescent="0.5">
      <c r="A25" s="84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V25" s="90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</row>
    <row r="26" spans="1:97" s="51" customFormat="1" ht="39.950000000000003" customHeight="1" x14ac:dyDescent="0.5">
      <c r="A26" s="4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</row>
    <row r="27" spans="1:97" s="51" customFormat="1" ht="39.950000000000003" customHeight="1" x14ac:dyDescent="0.5">
      <c r="A27" s="4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</row>
    <row r="28" spans="1:97" s="51" customFormat="1" ht="39.950000000000003" customHeight="1" x14ac:dyDescent="0.5">
      <c r="A28" s="4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</row>
    <row r="29" spans="1:97" s="51" customFormat="1" ht="39.950000000000003" customHeight="1" x14ac:dyDescent="0.5">
      <c r="A29" s="4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</row>
    <row r="30" spans="1:97" s="51" customFormat="1" ht="39.950000000000003" customHeight="1" x14ac:dyDescent="0.5">
      <c r="A30" s="4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</row>
    <row r="31" spans="1:97" s="51" customFormat="1" ht="39.950000000000003" customHeight="1" x14ac:dyDescent="0.5">
      <c r="A31" s="4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</row>
    <row r="32" spans="1:97" s="51" customFormat="1" ht="39.950000000000003" customHeight="1" x14ac:dyDescent="0.5">
      <c r="A32" s="4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</row>
    <row r="33" spans="1:96" s="51" customFormat="1" ht="39.950000000000003" customHeight="1" x14ac:dyDescent="0.5">
      <c r="A33" s="4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</row>
    <row r="34" spans="1:96" s="51" customFormat="1" ht="39.950000000000003" customHeight="1" x14ac:dyDescent="0.5">
      <c r="A34" s="4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</row>
    <row r="35" spans="1:96" s="51" customFormat="1" ht="39.950000000000003" customHeight="1" x14ac:dyDescent="0.5">
      <c r="A35" s="4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</row>
    <row r="36" spans="1:96" s="51" customFormat="1" ht="39.950000000000003" customHeight="1" x14ac:dyDescent="0.5">
      <c r="A36" s="4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</row>
    <row r="37" spans="1:96" s="53" customFormat="1" ht="39.950000000000003" customHeight="1" x14ac:dyDescent="0.5">
      <c r="A37" s="52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5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  <c r="BC37" s="76"/>
      <c r="BD37" s="76"/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  <c r="BU37" s="76"/>
      <c r="BV37" s="76"/>
      <c r="BW37" s="76"/>
      <c r="BX37" s="76"/>
      <c r="BY37" s="76"/>
      <c r="BZ37" s="76"/>
      <c r="CA37" s="76"/>
      <c r="CB37" s="76"/>
      <c r="CC37" s="76"/>
      <c r="CD37" s="76"/>
      <c r="CE37" s="76"/>
      <c r="CF37" s="76"/>
      <c r="CG37" s="76"/>
      <c r="CH37" s="76"/>
      <c r="CI37" s="76"/>
      <c r="CJ37" s="76"/>
      <c r="CK37" s="76"/>
      <c r="CL37" s="76"/>
      <c r="CM37" s="76"/>
      <c r="CN37" s="76"/>
      <c r="CO37" s="76"/>
      <c r="CP37" s="76"/>
      <c r="CQ37" s="76"/>
      <c r="CR37" s="76"/>
    </row>
    <row r="38" spans="1:96" s="56" customFormat="1" ht="39.950000000000003" customHeight="1" x14ac:dyDescent="0.5">
      <c r="A38" s="5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6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</row>
    <row r="39" spans="1:96" s="56" customFormat="1" ht="39.950000000000003" customHeight="1" x14ac:dyDescent="0.5">
      <c r="A39" s="5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  <c r="BL39" s="75"/>
      <c r="BM39" s="75"/>
      <c r="BN39" s="75"/>
      <c r="BO39" s="75"/>
      <c r="BP39" s="75"/>
      <c r="BQ39" s="75"/>
      <c r="BR39" s="75"/>
      <c r="BS39" s="75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</row>
    <row r="40" spans="1:96" ht="39.950000000000003" customHeight="1" x14ac:dyDescent="0.5">
      <c r="A40" s="7"/>
      <c r="V40" s="75"/>
    </row>
    <row r="41" spans="1:96" x14ac:dyDescent="0.5">
      <c r="A41" s="7"/>
    </row>
    <row r="42" spans="1:96" x14ac:dyDescent="0.5">
      <c r="A42" s="7"/>
    </row>
    <row r="43" spans="1:96" x14ac:dyDescent="0.5">
      <c r="A43" s="7"/>
    </row>
    <row r="44" spans="1:96" x14ac:dyDescent="0.5">
      <c r="A44" s="7"/>
    </row>
    <row r="45" spans="1:96" x14ac:dyDescent="0.5">
      <c r="A45" s="7"/>
    </row>
    <row r="46" spans="1:96" x14ac:dyDescent="0.5">
      <c r="A46" s="7"/>
    </row>
    <row r="47" spans="1:96" x14ac:dyDescent="0.5">
      <c r="A47" s="7"/>
    </row>
    <row r="48" spans="1:96" x14ac:dyDescent="0.5">
      <c r="A48" s="7"/>
    </row>
    <row r="49" spans="1:1" x14ac:dyDescent="0.5">
      <c r="A49" s="7"/>
    </row>
    <row r="50" spans="1:1" x14ac:dyDescent="0.5">
      <c r="A50" s="7"/>
    </row>
    <row r="51" spans="1:1" x14ac:dyDescent="0.5">
      <c r="A51" s="7"/>
    </row>
    <row r="52" spans="1:1" x14ac:dyDescent="0.5">
      <c r="A52" s="7"/>
    </row>
    <row r="53" spans="1:1" x14ac:dyDescent="0.5">
      <c r="A53" s="7"/>
    </row>
    <row r="54" spans="1:1" x14ac:dyDescent="0.5">
      <c r="A54" s="7"/>
    </row>
    <row r="55" spans="1:1" x14ac:dyDescent="0.5">
      <c r="A55" s="7"/>
    </row>
    <row r="56" spans="1:1" x14ac:dyDescent="0.5">
      <c r="A56" s="7"/>
    </row>
    <row r="57" spans="1:1" x14ac:dyDescent="0.5">
      <c r="A57" s="7"/>
    </row>
    <row r="58" spans="1:1" x14ac:dyDescent="0.5">
      <c r="A58" s="7"/>
    </row>
    <row r="59" spans="1:1" x14ac:dyDescent="0.5">
      <c r="A59" s="7"/>
    </row>
    <row r="60" spans="1:1" x14ac:dyDescent="0.5">
      <c r="A60" s="7"/>
    </row>
    <row r="61" spans="1:1" x14ac:dyDescent="0.5">
      <c r="A61" s="7"/>
    </row>
    <row r="62" spans="1:1" x14ac:dyDescent="0.5">
      <c r="A62" s="7"/>
    </row>
    <row r="63" spans="1:1" x14ac:dyDescent="0.5">
      <c r="A63" s="7"/>
    </row>
    <row r="64" spans="1:1" x14ac:dyDescent="0.5">
      <c r="A64" s="7"/>
    </row>
    <row r="65" spans="1:1" x14ac:dyDescent="0.5">
      <c r="A65" s="7"/>
    </row>
    <row r="66" spans="1:1" x14ac:dyDescent="0.5">
      <c r="A66" s="7"/>
    </row>
    <row r="67" spans="1:1" x14ac:dyDescent="0.5">
      <c r="A67" s="7"/>
    </row>
    <row r="68" spans="1:1" x14ac:dyDescent="0.5">
      <c r="A68" s="7"/>
    </row>
    <row r="69" spans="1:1" x14ac:dyDescent="0.5">
      <c r="A69" s="7"/>
    </row>
    <row r="70" spans="1:1" x14ac:dyDescent="0.5">
      <c r="A70" s="7"/>
    </row>
    <row r="71" spans="1:1" x14ac:dyDescent="0.5">
      <c r="A71" s="7"/>
    </row>
    <row r="72" spans="1:1" x14ac:dyDescent="0.5">
      <c r="A72" s="7"/>
    </row>
    <row r="73" spans="1:1" x14ac:dyDescent="0.5">
      <c r="A73" s="7"/>
    </row>
    <row r="74" spans="1:1" x14ac:dyDescent="0.5">
      <c r="A74" s="7"/>
    </row>
    <row r="75" spans="1:1" x14ac:dyDescent="0.5">
      <c r="A75" s="7"/>
    </row>
    <row r="76" spans="1:1" x14ac:dyDescent="0.5">
      <c r="A76" s="7"/>
    </row>
    <row r="77" spans="1:1" x14ac:dyDescent="0.5">
      <c r="A77" s="7"/>
    </row>
    <row r="78" spans="1:1" x14ac:dyDescent="0.5">
      <c r="A78" s="7"/>
    </row>
    <row r="79" spans="1:1" x14ac:dyDescent="0.5">
      <c r="A79" s="7"/>
    </row>
    <row r="80" spans="1:1" x14ac:dyDescent="0.5">
      <c r="A80" s="7"/>
    </row>
    <row r="81" spans="1:1" x14ac:dyDescent="0.5">
      <c r="A81" s="7"/>
    </row>
    <row r="82" spans="1:1" x14ac:dyDescent="0.5">
      <c r="A82" s="7"/>
    </row>
    <row r="83" spans="1:1" x14ac:dyDescent="0.5">
      <c r="A83" s="7"/>
    </row>
    <row r="84" spans="1:1" x14ac:dyDescent="0.5">
      <c r="A84" s="7"/>
    </row>
    <row r="85" spans="1:1" x14ac:dyDescent="0.5">
      <c r="A85" s="7"/>
    </row>
    <row r="86" spans="1:1" x14ac:dyDescent="0.5">
      <c r="A86" s="7"/>
    </row>
    <row r="87" spans="1:1" x14ac:dyDescent="0.5">
      <c r="A87" s="7"/>
    </row>
    <row r="88" spans="1:1" x14ac:dyDescent="0.5">
      <c r="A88" s="7"/>
    </row>
  </sheetData>
  <mergeCells count="92">
    <mergeCell ref="M3:N3"/>
    <mergeCell ref="V3:W3"/>
    <mergeCell ref="V2:W2"/>
    <mergeCell ref="BH3:BI3"/>
    <mergeCell ref="E3:F3"/>
    <mergeCell ref="AO3:AP3"/>
    <mergeCell ref="AO2:AP2"/>
    <mergeCell ref="Q3:R3"/>
    <mergeCell ref="I3:J3"/>
    <mergeCell ref="I2:J2"/>
    <mergeCell ref="G2:H2"/>
    <mergeCell ref="S2:T2"/>
    <mergeCell ref="X2:Y2"/>
    <mergeCell ref="Z2:AA2"/>
    <mergeCell ref="AB2:AC2"/>
    <mergeCell ref="AD2:AE2"/>
    <mergeCell ref="C2:D2"/>
    <mergeCell ref="K2:L2"/>
    <mergeCell ref="M2:N2"/>
    <mergeCell ref="O2:P2"/>
    <mergeCell ref="Q2:R2"/>
    <mergeCell ref="AF2:AG2"/>
    <mergeCell ref="AH2:AI2"/>
    <mergeCell ref="AL2:AM2"/>
    <mergeCell ref="AJ2:AK2"/>
    <mergeCell ref="AQ2:AR2"/>
    <mergeCell ref="AS2:AT2"/>
    <mergeCell ref="AU2:AV2"/>
    <mergeCell ref="AW2:AX2"/>
    <mergeCell ref="AY2:AZ2"/>
    <mergeCell ref="BA2:BB2"/>
    <mergeCell ref="BC2:BD2"/>
    <mergeCell ref="BE2:BF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J2:CK2"/>
    <mergeCell ref="CL2:CM2"/>
    <mergeCell ref="CN2:CO2"/>
    <mergeCell ref="CP2:CQ2"/>
    <mergeCell ref="CR2:CS2"/>
    <mergeCell ref="C3:D3"/>
    <mergeCell ref="G3:H3"/>
    <mergeCell ref="K3:L3"/>
    <mergeCell ref="O3:P3"/>
    <mergeCell ref="S3:T3"/>
    <mergeCell ref="X3:Y3"/>
    <mergeCell ref="Z3:AA3"/>
    <mergeCell ref="AB3:AC3"/>
    <mergeCell ref="AD3:AE3"/>
    <mergeCell ref="AF3:AG3"/>
    <mergeCell ref="AH3:AI3"/>
    <mergeCell ref="AJ3:AK3"/>
    <mergeCell ref="AL3:AM3"/>
    <mergeCell ref="AQ3:AR3"/>
    <mergeCell ref="AS3:AT3"/>
    <mergeCell ref="BJ3:BK3"/>
    <mergeCell ref="BL3:BM3"/>
    <mergeCell ref="BN3:BO3"/>
    <mergeCell ref="BP3:BQ3"/>
    <mergeCell ref="AU3:AV3"/>
    <mergeCell ref="AW3:AX3"/>
    <mergeCell ref="AY3:AZ3"/>
    <mergeCell ref="BA3:BB3"/>
    <mergeCell ref="BC3:BD3"/>
    <mergeCell ref="CL3:CM3"/>
    <mergeCell ref="CN3:CO3"/>
    <mergeCell ref="CP3:CQ3"/>
    <mergeCell ref="CR3:CS3"/>
    <mergeCell ref="E2:F2"/>
    <mergeCell ref="CB3:CC3"/>
    <mergeCell ref="CD3:CE3"/>
    <mergeCell ref="CF3:CG3"/>
    <mergeCell ref="CH3:CI3"/>
    <mergeCell ref="CJ3:CK3"/>
    <mergeCell ref="BR3:BS3"/>
    <mergeCell ref="BT3:BU3"/>
    <mergeCell ref="BV3:BW3"/>
    <mergeCell ref="BX3:BY3"/>
    <mergeCell ref="BZ3:CA3"/>
    <mergeCell ref="BE3:B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</vt:lpstr>
      <vt:lpstr>FSH</vt:lpstr>
      <vt:lpstr>FSP</vt:lpstr>
      <vt:lpstr>Electricity</vt:lpstr>
      <vt:lpstr>Water</vt:lpstr>
      <vt:lpstr>Gas</vt:lpstr>
      <vt:lpstr>Submetering EL</vt:lpstr>
      <vt:lpstr>Submetering 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Chan</dc:creator>
  <cp:keywords/>
  <dc:description/>
  <cp:lastModifiedBy>Joe El Khoury</cp:lastModifiedBy>
  <cp:revision/>
  <dcterms:created xsi:type="dcterms:W3CDTF">2020-09-18T06:41:53Z</dcterms:created>
  <dcterms:modified xsi:type="dcterms:W3CDTF">2020-12-09T14:51:19Z</dcterms:modified>
  <cp:category/>
  <cp:contentStatus/>
</cp:coreProperties>
</file>