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C957EF03-7037-41C6-A7E3-C8B8FFBA7FF9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Dec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4" i="2" l="1"/>
  <c r="Y13" i="2"/>
  <c r="Y12" i="2"/>
  <c r="O32" i="3"/>
  <c r="P32" i="3"/>
  <c r="M32" i="3"/>
  <c r="K32" i="3"/>
  <c r="I32" i="3"/>
  <c r="G32" i="3"/>
  <c r="F32" i="3"/>
  <c r="E32" i="3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Y3" i="2"/>
  <c r="Y4" i="2"/>
  <c r="Y5" i="2"/>
  <c r="Y6" i="2"/>
  <c r="Y7" i="2"/>
  <c r="Y8" i="2"/>
  <c r="Y9" i="2"/>
  <c r="Y10" i="2"/>
  <c r="Y11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" i="2"/>
  <c r="G31" i="2"/>
  <c r="W2" i="2"/>
  <c r="F2" i="3" l="1"/>
  <c r="H28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K30" i="2"/>
  <c r="G30" i="2"/>
  <c r="K29" i="2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1" i="2"/>
  <c r="I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H20" i="2"/>
  <c r="I2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1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<sst xmlns="http://schemas.openxmlformats.org/spreadsheetml/2006/main" count="77" uniqueCount="40">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</sst>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O32" sqref="O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5"/>
    <col min="4" max="4" width="13.5" style="5" customWidth="1"/>
    <col min="5" max="5" width="12.5" style="99" customWidth="1"/>
    <col min="6" max="6" width="12.5" style="114" customWidth="1"/>
    <col min="7" max="7" width="8.875" style="100"/>
    <col min="8" max="8" width="8.875" style="117"/>
    <col min="9" max="10" width="8.875" style="106"/>
    <col min="11" max="11" width="8.875" style="101"/>
    <col min="12" max="12" width="8.875" style="120"/>
    <col min="13" max="13" width="12.375" style="111" bestFit="1" customWidth="1"/>
    <col min="14" max="14" width="12.375" style="123" bestFit="1" customWidth="1"/>
    <col min="15" max="15" width="8.875" style="107"/>
    <col min="16" max="16" width="11.5" style="107" customWidth="1"/>
    <col min="17" max="16384" width="8.875" style="5"/>
  </cols>
  <sheetData>
    <row r="1" spans="1:16" ht="57.75" thickBot="1" x14ac:dyDescent="0.25">
      <c r="A1" s="92" t="s">
        <v>24</v>
      </c>
      <c r="B1" s="92" t="s">
        <v>25</v>
      </c>
      <c r="C1" s="124" t="s">
        <v>26</v>
      </c>
      <c r="D1" s="92" t="s">
        <v>27</v>
      </c>
      <c r="E1" s="93" t="s">
        <v>28</v>
      </c>
      <c r="F1" s="112" t="s">
        <v>29</v>
      </c>
      <c r="G1" s="94" t="s">
        <v>30</v>
      </c>
      <c r="H1" s="115" t="s">
        <v>31</v>
      </c>
      <c r="I1" s="95" t="s">
        <v>32</v>
      </c>
      <c r="J1" s="95" t="s">
        <v>33</v>
      </c>
      <c r="K1" s="108" t="s">
        <v>38</v>
      </c>
      <c r="L1" s="118" t="s">
        <v>39</v>
      </c>
      <c r="M1" s="96" t="s">
        <v>34</v>
      </c>
      <c r="N1" s="121" t="s">
        <v>35</v>
      </c>
      <c r="O1" s="97" t="s">
        <v>0</v>
      </c>
      <c r="P1" s="97" t="s">
        <v>36</v>
      </c>
    </row>
    <row r="2" spans="1:16" ht="15" thickTop="1" x14ac:dyDescent="0.25">
      <c r="A2" s="98" t="s">
        <v>37</v>
      </c>
      <c r="B2" s="5">
        <v>1</v>
      </c>
      <c r="C2" s="125">
        <v>12</v>
      </c>
      <c r="D2" s="4">
        <v>2024</v>
      </c>
      <c r="E2" s="99">
        <f>IF(December!C2&lt;0,"0",December!C2)+(IF(December!E2&lt;0,"0",December!E2)-(IF(December!G2&lt;0,"0",December!G2)))</f>
        <v>5236</v>
      </c>
      <c r="F2" s="113">
        <f>(December!C2*0.27)/(December!C2+December!E2)</f>
        <v>0.23581168831168831</v>
      </c>
      <c r="G2" s="100">
        <f>December!U2</f>
        <v>35</v>
      </c>
      <c r="H2" s="116">
        <v>0.62</v>
      </c>
      <c r="I2" s="101">
        <f>December!W2</f>
        <v>5</v>
      </c>
      <c r="J2" s="102">
        <v>2.42</v>
      </c>
      <c r="K2" s="109">
        <f>December!AB2*5.04</f>
        <v>0</v>
      </c>
      <c r="L2" s="119">
        <v>0.11509999999999999</v>
      </c>
      <c r="M2" s="110">
        <f>December!M2</f>
        <v>0</v>
      </c>
      <c r="N2" s="122">
        <v>0.88</v>
      </c>
      <c r="O2" s="103">
        <f>December!AC2</f>
        <v>72</v>
      </c>
      <c r="P2" s="103">
        <f>December!AD2</f>
        <v>120</v>
      </c>
    </row>
    <row r="3" spans="1:16" ht="14.3" x14ac:dyDescent="0.25">
      <c r="A3" s="98" t="s">
        <v>37</v>
      </c>
      <c r="B3" s="5">
        <f>B2+1</f>
        <v>2</v>
      </c>
      <c r="C3" s="125">
        <v>12</v>
      </c>
      <c r="D3" s="4">
        <v>2024</v>
      </c>
      <c r="E3" s="99">
        <f>IF(December!C3&lt;0,"0",December!C3)+(IF(December!E3&lt;0,"0",December!E3)-(IF(December!G3&lt;0,"0",December!G3)))</f>
        <v>4405</v>
      </c>
      <c r="F3" s="113">
        <f>(December!C3*0.27)/(December!C3+December!E3)</f>
        <v>0.22733938706015894</v>
      </c>
      <c r="G3" s="100">
        <f>December!U3</f>
        <v>177</v>
      </c>
      <c r="H3" s="116">
        <v>0.62</v>
      </c>
      <c r="I3" s="101">
        <f>December!W3</f>
        <v>0</v>
      </c>
      <c r="J3" s="102">
        <v>2.42</v>
      </c>
      <c r="K3" s="109">
        <f>December!AB3*5.04</f>
        <v>0</v>
      </c>
      <c r="L3" s="119">
        <v>0.11509999999999999</v>
      </c>
      <c r="M3" s="110">
        <f>December!M3</f>
        <v>0</v>
      </c>
      <c r="N3" s="122">
        <v>0.88</v>
      </c>
      <c r="O3" s="103">
        <f>December!AC3</f>
        <v>49</v>
      </c>
      <c r="P3" s="103">
        <f>December!AD3</f>
        <v>81</v>
      </c>
    </row>
    <row r="4" spans="1:16" ht="14.3" x14ac:dyDescent="0.25">
      <c r="A4" s="98" t="s">
        <v>37</v>
      </c>
      <c r="B4" s="5">
        <f t="shared" ref="B4:B31" si="0">B3+1</f>
        <v>3</v>
      </c>
      <c r="C4" s="125">
        <v>12</v>
      </c>
      <c r="D4" s="4">
        <v>2024</v>
      </c>
      <c r="E4" s="99">
        <f>IF(December!C4&lt;0,"0",December!C4)+(IF(December!E4&lt;0,"0",December!E4)-(IF(December!G4&lt;0,"0",December!G4)))</f>
        <v>4414</v>
      </c>
      <c r="F4" s="113">
        <f>(December!C4*0.27)/(December!C4+December!E4)</f>
        <v>0.24504304485727235</v>
      </c>
      <c r="G4" s="100">
        <f>December!U4</f>
        <v>25</v>
      </c>
      <c r="H4" s="116">
        <v>0.62</v>
      </c>
      <c r="I4" s="101">
        <f>December!W4</f>
        <v>5</v>
      </c>
      <c r="J4" s="102">
        <v>2.42</v>
      </c>
      <c r="K4" s="109">
        <f>December!AB4*5.04</f>
        <v>0</v>
      </c>
      <c r="L4" s="119">
        <v>0.11509999999999999</v>
      </c>
      <c r="M4" s="110">
        <f>December!M4</f>
        <v>0</v>
      </c>
      <c r="N4" s="122">
        <v>0.88</v>
      </c>
      <c r="O4" s="103">
        <f>December!AC4</f>
        <v>44</v>
      </c>
      <c r="P4" s="103">
        <f>December!AD4</f>
        <v>72</v>
      </c>
    </row>
    <row r="5" spans="1:16" ht="14.3" x14ac:dyDescent="0.25">
      <c r="A5" s="98" t="s">
        <v>37</v>
      </c>
      <c r="B5" s="5">
        <f t="shared" si="0"/>
        <v>4</v>
      </c>
      <c r="C5" s="125">
        <v>12</v>
      </c>
      <c r="D5" s="4">
        <v>2024</v>
      </c>
      <c r="E5" s="99">
        <f>IF(December!C5&lt;0,"0",December!C5)+(IF(December!E5&lt;0,"0",December!E5)-(IF(December!G5&lt;0,"0",December!G5)))</f>
        <v>4287</v>
      </c>
      <c r="F5" s="113">
        <f>(December!C5*0.27)/(December!C5+December!E5)</f>
        <v>0.22679496151154654</v>
      </c>
      <c r="G5" s="100">
        <f>December!U5</f>
        <v>50</v>
      </c>
      <c r="H5" s="116">
        <v>0.62</v>
      </c>
      <c r="I5" s="101">
        <f>December!W5</f>
        <v>0</v>
      </c>
      <c r="J5" s="102">
        <v>2.42</v>
      </c>
      <c r="K5" s="109">
        <f>December!AB5*5.04</f>
        <v>0</v>
      </c>
      <c r="L5" s="119">
        <v>0.11509999999999999</v>
      </c>
      <c r="M5" s="110">
        <f>December!M5</f>
        <v>0</v>
      </c>
      <c r="N5" s="122">
        <v>0.88</v>
      </c>
      <c r="O5" s="103">
        <f>December!AC5</f>
        <v>47</v>
      </c>
      <c r="P5" s="103">
        <f>December!AD5</f>
        <v>73</v>
      </c>
    </row>
    <row r="6" spans="1:16" ht="14.3" x14ac:dyDescent="0.25">
      <c r="A6" s="98" t="s">
        <v>37</v>
      </c>
      <c r="B6" s="5">
        <f t="shared" si="0"/>
        <v>5</v>
      </c>
      <c r="C6" s="125">
        <v>12</v>
      </c>
      <c r="D6" s="4">
        <v>2024</v>
      </c>
      <c r="E6" s="99">
        <f>IF(December!C6&lt;0,"0",December!C6)+(IF(December!E6&lt;0,"0",December!E6)-(IF(December!G6&lt;0,"0",December!G6)))</f>
        <v>4427</v>
      </c>
      <c r="F6" s="113">
        <f>(December!C6*0.27)/(December!C6+December!E6)</f>
        <v>0.22730743166930203</v>
      </c>
      <c r="G6" s="100">
        <f>December!U6</f>
        <v>75</v>
      </c>
      <c r="H6" s="116">
        <v>0.62</v>
      </c>
      <c r="I6" s="101">
        <f>December!W6</f>
        <v>0</v>
      </c>
      <c r="J6" s="102">
        <v>2.42</v>
      </c>
      <c r="K6" s="109">
        <f>December!AB6*5.04</f>
        <v>0</v>
      </c>
      <c r="L6" s="119">
        <v>0.11509999999999999</v>
      </c>
      <c r="M6" s="110">
        <f>December!M6</f>
        <v>0</v>
      </c>
      <c r="N6" s="122">
        <v>0.88</v>
      </c>
      <c r="O6" s="103">
        <f>December!AC6</f>
        <v>47</v>
      </c>
      <c r="P6" s="103">
        <f>December!AD6</f>
        <v>72</v>
      </c>
    </row>
    <row r="7" spans="1:16" ht="14.3" x14ac:dyDescent="0.25">
      <c r="A7" s="98" t="s">
        <v>37</v>
      </c>
      <c r="B7" s="5">
        <f t="shared" si="0"/>
        <v>6</v>
      </c>
      <c r="C7" s="125">
        <v>12</v>
      </c>
      <c r="D7" s="4">
        <v>2024</v>
      </c>
      <c r="E7" s="99">
        <f>IF(December!C7&lt;0,"0",December!C7)+(IF(December!E7&lt;0,"0",December!E7)-(IF(December!G7&lt;0,"0",December!G7)))</f>
        <v>4904</v>
      </c>
      <c r="F7" s="113">
        <f>(December!C7*0.27)/(December!C7+December!E7)</f>
        <v>0.23944331158238175</v>
      </c>
      <c r="G7" s="100">
        <f>December!U7</f>
        <v>50</v>
      </c>
      <c r="H7" s="116">
        <v>0.62</v>
      </c>
      <c r="I7" s="101">
        <f>December!W7</f>
        <v>2</v>
      </c>
      <c r="J7" s="102">
        <v>2.42</v>
      </c>
      <c r="K7" s="109">
        <f>December!AB7*5.04</f>
        <v>0</v>
      </c>
      <c r="L7" s="119">
        <v>0.11509999999999999</v>
      </c>
      <c r="M7" s="110">
        <f>December!M7</f>
        <v>0</v>
      </c>
      <c r="N7" s="122">
        <v>0.88</v>
      </c>
      <c r="O7" s="103">
        <f>December!AC7</f>
        <v>97</v>
      </c>
      <c r="P7" s="103">
        <f>December!AD7</f>
        <v>149</v>
      </c>
    </row>
    <row r="8" spans="1:16" ht="14.3" x14ac:dyDescent="0.25">
      <c r="A8" s="98" t="s">
        <v>37</v>
      </c>
      <c r="B8" s="5">
        <f t="shared" si="0"/>
        <v>7</v>
      </c>
      <c r="C8" s="125">
        <v>12</v>
      </c>
      <c r="D8" s="4">
        <v>2024</v>
      </c>
      <c r="E8" s="99">
        <f>IF(December!C8&lt;0,"0",December!C8)+(IF(December!E8&lt;0,"0",December!E8)-(IF(December!G8&lt;0,"0",December!G8)))</f>
        <v>4583</v>
      </c>
      <c r="F8" s="113">
        <f>(December!C8*0.27)/(December!C8+December!E8)</f>
        <v>0.2427231071350644</v>
      </c>
      <c r="G8" s="100">
        <f>December!U8</f>
        <v>25</v>
      </c>
      <c r="H8" s="116">
        <v>0.62</v>
      </c>
      <c r="I8" s="101">
        <f>December!W8</f>
        <v>5</v>
      </c>
      <c r="J8" s="102">
        <v>2.42</v>
      </c>
      <c r="K8" s="109">
        <f>December!AB8*5.04</f>
        <v>0</v>
      </c>
      <c r="L8" s="119">
        <v>0.11509999999999999</v>
      </c>
      <c r="M8" s="110">
        <f>December!M8</f>
        <v>0</v>
      </c>
      <c r="N8" s="122">
        <v>0.88</v>
      </c>
      <c r="O8" s="103">
        <f>December!AC8</f>
        <v>71</v>
      </c>
      <c r="P8" s="103">
        <f>December!AD8</f>
        <v>113</v>
      </c>
    </row>
    <row r="9" spans="1:16" ht="14.3" x14ac:dyDescent="0.25">
      <c r="A9" s="98" t="s">
        <v>37</v>
      </c>
      <c r="B9" s="5">
        <f t="shared" si="0"/>
        <v>8</v>
      </c>
      <c r="C9" s="125">
        <v>12</v>
      </c>
      <c r="D9" s="4">
        <v>2024</v>
      </c>
      <c r="E9" s="99">
        <f>IF(December!C9&lt;0,"0",December!C9)+(IF(December!E9&lt;0,"0",December!E9)-(IF(December!G9&lt;0,"0",December!G9)))</f>
        <v>4361</v>
      </c>
      <c r="F9" s="113">
        <f>(December!C9*0.27)/(December!C9+December!E9)</f>
        <v>0.23080944737445541</v>
      </c>
      <c r="G9" s="100">
        <f>December!U9</f>
        <v>25</v>
      </c>
      <c r="H9" s="116">
        <v>0.62</v>
      </c>
      <c r="I9" s="101">
        <f>December!W9</f>
        <v>0</v>
      </c>
      <c r="J9" s="102">
        <v>2.42</v>
      </c>
      <c r="K9" s="109">
        <f>December!AB9*5.04</f>
        <v>0</v>
      </c>
      <c r="L9" s="119">
        <v>0.11509999999999999</v>
      </c>
      <c r="M9" s="110">
        <f>December!M9</f>
        <v>0</v>
      </c>
      <c r="N9" s="122">
        <v>0.88</v>
      </c>
      <c r="O9" s="103">
        <f>December!AC9</f>
        <v>51</v>
      </c>
      <c r="P9" s="103">
        <f>December!AD9</f>
        <v>76</v>
      </c>
    </row>
    <row r="10" spans="1:16" ht="14.3" x14ac:dyDescent="0.25">
      <c r="A10" s="98" t="s">
        <v>37</v>
      </c>
      <c r="B10" s="5">
        <f t="shared" si="0"/>
        <v>9</v>
      </c>
      <c r="C10" s="125">
        <v>12</v>
      </c>
      <c r="D10" s="4">
        <v>2024</v>
      </c>
      <c r="E10" s="99">
        <f>IF(December!C10&lt;0,"0",December!C10)+(IF(December!E10&lt;0,"0",December!E10)-(IF(December!G10&lt;0,"0",December!G10)))</f>
        <v>4008</v>
      </c>
      <c r="F10" s="113">
        <f>(December!C10*0.27)/(December!C10+December!E10)</f>
        <v>0.23564371257485031</v>
      </c>
      <c r="G10" s="100">
        <f>December!U10</f>
        <v>83</v>
      </c>
      <c r="H10" s="116">
        <v>0.62</v>
      </c>
      <c r="I10" s="101">
        <f>December!W10</f>
        <v>5</v>
      </c>
      <c r="J10" s="102">
        <v>2.42</v>
      </c>
      <c r="K10" s="109">
        <f>December!AB10*5.04</f>
        <v>0</v>
      </c>
      <c r="L10" s="119">
        <v>0.11509999999999999</v>
      </c>
      <c r="M10" s="110">
        <f>December!M10</f>
        <v>0</v>
      </c>
      <c r="N10" s="122">
        <v>0.88</v>
      </c>
      <c r="O10" s="103">
        <f>December!AC10</f>
        <v>35</v>
      </c>
      <c r="P10" s="103">
        <f>December!AD10</f>
        <v>48</v>
      </c>
    </row>
    <row r="11" spans="1:16" ht="14.3" x14ac:dyDescent="0.25">
      <c r="A11" s="98" t="s">
        <v>37</v>
      </c>
      <c r="B11" s="5">
        <f t="shared" si="0"/>
        <v>10</v>
      </c>
      <c r="C11" s="125">
        <v>12</v>
      </c>
      <c r="D11" s="4">
        <v>2024</v>
      </c>
      <c r="E11" s="99">
        <f>IF(December!C11&lt;0,"0",December!C11)+(IF(December!E11&lt;0,"0",December!E11)-(IF(December!G11&lt;0,"0",December!G11)))</f>
        <v>3855</v>
      </c>
      <c r="F11" s="113">
        <f>(December!C11*0.27)/(December!C11+December!E11)</f>
        <v>0.2293774319066148</v>
      </c>
      <c r="G11" s="100">
        <f>December!U11</f>
        <v>25</v>
      </c>
      <c r="H11" s="116">
        <v>0.62</v>
      </c>
      <c r="I11" s="101">
        <f>December!W11</f>
        <v>3</v>
      </c>
      <c r="J11" s="102">
        <v>2.42</v>
      </c>
      <c r="K11" s="109">
        <f>December!AB11*5.04</f>
        <v>0</v>
      </c>
      <c r="L11" s="119">
        <v>0.11509999999999999</v>
      </c>
      <c r="M11" s="110">
        <f>December!M11</f>
        <v>0</v>
      </c>
      <c r="N11" s="122">
        <v>0.88</v>
      </c>
      <c r="O11" s="103">
        <f>December!AC11</f>
        <v>33</v>
      </c>
      <c r="P11" s="103">
        <f>December!AD11</f>
        <v>45</v>
      </c>
    </row>
    <row r="12" spans="1:16" ht="14.3" x14ac:dyDescent="0.25">
      <c r="A12" s="98" t="s">
        <v>37</v>
      </c>
      <c r="B12" s="5">
        <f t="shared" si="0"/>
        <v>11</v>
      </c>
      <c r="C12" s="125">
        <v>12</v>
      </c>
      <c r="D12" s="4">
        <v>2024</v>
      </c>
      <c r="E12" s="99">
        <f>IF(December!C12&lt;0,"0",December!C12)+(IF(December!E12&lt;0,"0",December!E12)-(IF(December!G12&lt;0,"0",December!G12)))</f>
        <v>4034</v>
      </c>
      <c r="F12" s="113">
        <f>(December!C12*0.27)/(December!C12+December!E12)</f>
        <v>0.24644025780862669</v>
      </c>
      <c r="G12" s="100">
        <f>December!U12</f>
        <v>25</v>
      </c>
      <c r="H12" s="116">
        <v>0.62</v>
      </c>
      <c r="I12" s="101">
        <f>December!W12</f>
        <v>5</v>
      </c>
      <c r="J12" s="102">
        <v>2.42</v>
      </c>
      <c r="K12" s="109">
        <f>December!AB12*5.04</f>
        <v>0</v>
      </c>
      <c r="L12" s="119">
        <v>0.11509999999999999</v>
      </c>
      <c r="M12" s="110">
        <f>December!M12</f>
        <v>0</v>
      </c>
      <c r="N12" s="122">
        <v>0.88</v>
      </c>
      <c r="O12" s="103">
        <f>December!AC12</f>
        <v>36</v>
      </c>
      <c r="P12" s="103">
        <f>December!AD12</f>
        <v>49</v>
      </c>
    </row>
    <row r="13" spans="1:16" ht="14.3" x14ac:dyDescent="0.25">
      <c r="A13" s="98" t="s">
        <v>37</v>
      </c>
      <c r="B13" s="5">
        <f t="shared" si="0"/>
        <v>12</v>
      </c>
      <c r="C13" s="125">
        <v>12</v>
      </c>
      <c r="D13" s="4">
        <v>2024</v>
      </c>
      <c r="E13" s="99">
        <f>IF(December!C13&lt;0,"0",December!C13)+(IF(December!E13&lt;0,"0",December!E13)-(IF(December!G13&lt;0,"0",December!G13)))</f>
        <v>4080</v>
      </c>
      <c r="F13" s="113">
        <f>(December!C13*0.27)/(December!C13+December!E13)</f>
        <v>0.23168382352941178</v>
      </c>
      <c r="G13" s="100">
        <f>December!U13</f>
        <v>50</v>
      </c>
      <c r="H13" s="116">
        <v>0.62</v>
      </c>
      <c r="I13" s="101" t="str">
        <f>December!W13</f>
        <v>0</v>
      </c>
      <c r="J13" s="102">
        <v>2.42</v>
      </c>
      <c r="K13" s="109">
        <f>December!AB13*5.04</f>
        <v>0</v>
      </c>
      <c r="L13" s="119">
        <v>0.11509999999999999</v>
      </c>
      <c r="M13" s="110">
        <f>December!M13</f>
        <v>0</v>
      </c>
      <c r="N13" s="122">
        <v>0.88</v>
      </c>
      <c r="O13" s="103">
        <f>December!AC13</f>
        <v>34</v>
      </c>
      <c r="P13" s="103">
        <f>December!AD13</f>
        <v>46</v>
      </c>
    </row>
    <row r="14" spans="1:16" ht="14.3" x14ac:dyDescent="0.25">
      <c r="A14" s="98" t="s">
        <v>37</v>
      </c>
      <c r="B14" s="5">
        <f t="shared" si="0"/>
        <v>13</v>
      </c>
      <c r="C14" s="125">
        <v>12</v>
      </c>
      <c r="D14" s="4">
        <v>2024</v>
      </c>
      <c r="E14" s="99">
        <f>IF(December!C14&lt;0,"0",December!C14)+(IF(December!E14&lt;0,"0",December!E14)-(IF(December!G14&lt;0,"0",December!G14)))</f>
        <v>4185</v>
      </c>
      <c r="F14" s="113">
        <f>(December!C14*0.27)/(December!C14+December!E14)</f>
        <v>0.22580645161290325</v>
      </c>
      <c r="G14" s="100">
        <f>December!U14</f>
        <v>125</v>
      </c>
      <c r="H14" s="116">
        <v>0.62</v>
      </c>
      <c r="I14" s="101">
        <f>December!W14</f>
        <v>58</v>
      </c>
      <c r="J14" s="102">
        <v>2.42</v>
      </c>
      <c r="K14" s="109">
        <f>December!AB14*5.04</f>
        <v>0</v>
      </c>
      <c r="L14" s="119">
        <v>0.11509999999999999</v>
      </c>
      <c r="M14" s="110">
        <f>December!M14</f>
        <v>0</v>
      </c>
      <c r="N14" s="122">
        <v>0.88</v>
      </c>
      <c r="O14" s="103">
        <f>December!AC14</f>
        <v>39</v>
      </c>
      <c r="P14" s="103">
        <f>December!AD14</f>
        <v>60</v>
      </c>
    </row>
    <row r="15" spans="1:16" ht="14.3" x14ac:dyDescent="0.25">
      <c r="A15" s="98" t="s">
        <v>37</v>
      </c>
      <c r="B15" s="5">
        <f t="shared" si="0"/>
        <v>14</v>
      </c>
      <c r="C15" s="125">
        <v>12</v>
      </c>
      <c r="D15" s="4">
        <v>2024</v>
      </c>
      <c r="E15" s="99">
        <f>IF(December!C15&lt;0,"0",December!C15)+(IF(December!E15&lt;0,"0",December!E15)-(IF(December!G15&lt;0,"0",December!G15)))</f>
        <v>4514</v>
      </c>
      <c r="F15" s="113">
        <f>(December!C15*0.27)/(December!C15+December!E15)</f>
        <v>0.228907842268498</v>
      </c>
      <c r="G15" s="100">
        <f>December!U15</f>
        <v>125</v>
      </c>
      <c r="H15" s="116">
        <v>0.62</v>
      </c>
      <c r="I15" s="101">
        <f>December!W15</f>
        <v>59</v>
      </c>
      <c r="J15" s="102">
        <v>2.42</v>
      </c>
      <c r="K15" s="109">
        <f>December!AB15*5.04</f>
        <v>0</v>
      </c>
      <c r="L15" s="119">
        <v>0.11509999999999999</v>
      </c>
      <c r="M15" s="110">
        <f>December!M15</f>
        <v>0</v>
      </c>
      <c r="N15" s="122">
        <v>0.88</v>
      </c>
      <c r="O15" s="103">
        <f>December!AC15</f>
        <v>87</v>
      </c>
      <c r="P15" s="103">
        <f>December!AD15</f>
        <v>148</v>
      </c>
    </row>
    <row r="16" spans="1:16" ht="14.3" x14ac:dyDescent="0.25">
      <c r="A16" s="98" t="s">
        <v>37</v>
      </c>
      <c r="B16" s="5">
        <f t="shared" si="0"/>
        <v>15</v>
      </c>
      <c r="C16" s="125">
        <v>12</v>
      </c>
      <c r="D16" s="4">
        <v>2024</v>
      </c>
      <c r="E16" s="99">
        <f>IF(December!C16&lt;0,"0",December!C16)+(IF(December!E16&lt;0,"0",December!E16)-(IF(December!G16&lt;0,"0",December!G16)))</f>
        <v>4184</v>
      </c>
      <c r="F16" s="113">
        <f>(December!C16*0.27)/(December!C16+December!E16)</f>
        <v>0.2288934034416826</v>
      </c>
      <c r="G16" s="100">
        <f>December!U16</f>
        <v>25</v>
      </c>
      <c r="H16" s="116">
        <v>0.62</v>
      </c>
      <c r="I16" s="101">
        <f>December!W16</f>
        <v>59</v>
      </c>
      <c r="J16" s="102">
        <v>2.42</v>
      </c>
      <c r="K16" s="109">
        <f>December!AB16*5.04</f>
        <v>0</v>
      </c>
      <c r="L16" s="119">
        <v>0.11509999999999999</v>
      </c>
      <c r="M16" s="110">
        <f>December!M16</f>
        <v>0</v>
      </c>
      <c r="N16" s="122">
        <v>0.88</v>
      </c>
      <c r="O16" s="103">
        <f>December!AC16</f>
        <v>35</v>
      </c>
      <c r="P16" s="103">
        <f>December!AD16</f>
        <v>47</v>
      </c>
    </row>
    <row r="17" spans="1:16" ht="14.3" x14ac:dyDescent="0.25">
      <c r="A17" s="98" t="s">
        <v>37</v>
      </c>
      <c r="B17" s="5">
        <f t="shared" si="0"/>
        <v>16</v>
      </c>
      <c r="C17" s="125">
        <v>12</v>
      </c>
      <c r="D17" s="4">
        <v>2024</v>
      </c>
      <c r="E17" s="99">
        <f>IF(December!C17&lt;0,"0",December!C17)+(IF(December!E17&lt;0,"0",December!E17)-(IF(December!G17&lt;0,"0",December!G17)))</f>
        <v>4145</v>
      </c>
      <c r="F17" s="113">
        <f>(December!C17*0.27)/(December!C17+December!E17)</f>
        <v>0.25150060313630879</v>
      </c>
      <c r="G17" s="100">
        <f>December!U17</f>
        <v>50</v>
      </c>
      <c r="H17" s="116">
        <v>0.62</v>
      </c>
      <c r="I17" s="101">
        <f>December!W17</f>
        <v>50</v>
      </c>
      <c r="J17" s="102">
        <v>2.42</v>
      </c>
      <c r="K17" s="109">
        <f>December!AB17*5.04</f>
        <v>0</v>
      </c>
      <c r="L17" s="119">
        <v>0.11509999999999999</v>
      </c>
      <c r="M17" s="110">
        <f>December!M17</f>
        <v>0</v>
      </c>
      <c r="N17" s="122">
        <v>0.88</v>
      </c>
      <c r="O17" s="103">
        <f>December!AC17</f>
        <v>28</v>
      </c>
      <c r="P17" s="103">
        <f>December!AD17</f>
        <v>38</v>
      </c>
    </row>
    <row r="18" spans="1:16" ht="14.3" x14ac:dyDescent="0.25">
      <c r="A18" s="98" t="s">
        <v>37</v>
      </c>
      <c r="B18" s="5">
        <f t="shared" si="0"/>
        <v>17</v>
      </c>
      <c r="C18" s="125">
        <v>12</v>
      </c>
      <c r="D18" s="4">
        <v>2024</v>
      </c>
      <c r="E18" s="99">
        <f>IF(December!C18&lt;0,"0",December!C18)+(IF(December!E18&lt;0,"0",December!E18)-(IF(December!G18&lt;0,"0",December!G18)))</f>
        <v>4045</v>
      </c>
      <c r="F18" s="113">
        <f>(December!C18*0.27)/(December!C18+December!E18)</f>
        <v>0.22487762669962919</v>
      </c>
      <c r="G18" s="100">
        <f>December!U18</f>
        <v>75</v>
      </c>
      <c r="H18" s="116">
        <v>0.62</v>
      </c>
      <c r="I18" s="101">
        <f>December!W18</f>
        <v>37</v>
      </c>
      <c r="J18" s="102">
        <v>2.42</v>
      </c>
      <c r="K18" s="109">
        <f>December!AB18*5.04</f>
        <v>0</v>
      </c>
      <c r="L18" s="119">
        <v>0.11509999999999999</v>
      </c>
      <c r="M18" s="110">
        <f>December!M18</f>
        <v>0</v>
      </c>
      <c r="N18" s="122">
        <v>0.88</v>
      </c>
      <c r="O18" s="103">
        <f>December!AC18</f>
        <v>29</v>
      </c>
      <c r="P18" s="103">
        <f>December!AD18</f>
        <v>39</v>
      </c>
    </row>
    <row r="19" spans="1:16" ht="14.3" x14ac:dyDescent="0.25">
      <c r="A19" s="98" t="s">
        <v>37</v>
      </c>
      <c r="B19" s="5">
        <f t="shared" si="0"/>
        <v>18</v>
      </c>
      <c r="C19" s="125">
        <v>12</v>
      </c>
      <c r="D19" s="4">
        <v>2024</v>
      </c>
      <c r="E19" s="99">
        <f>IF(December!C19&lt;0,"0",December!C19)+(IF(December!E19&lt;0,"0",December!E19)-(IF(December!G19&lt;0,"0",December!G19)))</f>
        <v>0</v>
      </c>
      <c r="F19" s="113" t="e">
        <f>(December!C19*0.27)/(December!C19+December!E19)</f>
        <v>#DIV/0!</v>
      </c>
      <c r="G19" s="100" t="str">
        <f>December!U19</f>
        <v>0</v>
      </c>
      <c r="H19" s="116">
        <v>0.62</v>
      </c>
      <c r="I19" s="101" t="str">
        <f>December!W19</f>
        <v>0</v>
      </c>
      <c r="J19" s="102">
        <v>2.42</v>
      </c>
      <c r="K19" s="109">
        <f>December!AB19*5.04</f>
        <v>0</v>
      </c>
      <c r="L19" s="119">
        <v>0.11509999999999999</v>
      </c>
      <c r="M19" s="110">
        <f>December!M19</f>
        <v>0</v>
      </c>
      <c r="N19" s="122">
        <v>0.88</v>
      </c>
      <c r="O19" s="103">
        <f>December!AC19</f>
        <v>0</v>
      </c>
      <c r="P19" s="103">
        <f>December!AD19</f>
        <v>0</v>
      </c>
    </row>
    <row r="20" spans="1:16" ht="14.3" x14ac:dyDescent="0.25">
      <c r="A20" s="98" t="s">
        <v>37</v>
      </c>
      <c r="B20" s="5">
        <f t="shared" si="0"/>
        <v>19</v>
      </c>
      <c r="C20" s="125">
        <v>12</v>
      </c>
      <c r="D20" s="4">
        <v>2024</v>
      </c>
      <c r="E20" s="99">
        <f>IF(December!C20&lt;0,"0",December!C20)+(IF(December!E20&lt;0,"0",December!E20)-(IF(December!G20&lt;0,"0",December!G20)))</f>
        <v>0</v>
      </c>
      <c r="F20" s="113" t="e">
        <f>(December!C20*0.27)/(December!C20+December!E20)</f>
        <v>#DIV/0!</v>
      </c>
      <c r="G20" s="100" t="str">
        <f>December!U20</f>
        <v>0</v>
      </c>
      <c r="H20" s="116">
        <v>0.62</v>
      </c>
      <c r="I20" s="101">
        <f>December!W20</f>
        <v>0</v>
      </c>
      <c r="J20" s="102">
        <v>2.42</v>
      </c>
      <c r="K20" s="109">
        <f>December!AB20*5.04</f>
        <v>0</v>
      </c>
      <c r="L20" s="119">
        <v>0.11509999999999999</v>
      </c>
      <c r="M20" s="110">
        <f>December!M20</f>
        <v>0</v>
      </c>
      <c r="N20" s="122">
        <v>0.88</v>
      </c>
      <c r="O20" s="103">
        <f>December!AC20</f>
        <v>0</v>
      </c>
      <c r="P20" s="103">
        <f>December!AD20</f>
        <v>0</v>
      </c>
    </row>
    <row r="21" spans="1:16" ht="14.3" x14ac:dyDescent="0.25">
      <c r="A21" s="98" t="s">
        <v>37</v>
      </c>
      <c r="B21" s="5">
        <f t="shared" si="0"/>
        <v>20</v>
      </c>
      <c r="C21" s="125">
        <v>12</v>
      </c>
      <c r="D21" s="4">
        <v>2024</v>
      </c>
      <c r="E21" s="99">
        <f>IF(December!C21&lt;0,"0",December!C21)+(IF(December!E21&lt;0,"0",December!E21)-(IF(December!G21&lt;0,"0",December!G21)))</f>
        <v>0</v>
      </c>
      <c r="F21" s="113" t="e">
        <f>(December!C21*0.27)/(December!C21+December!E21)</f>
        <v>#DIV/0!</v>
      </c>
      <c r="G21" s="100" t="str">
        <f>December!U21</f>
        <v>0</v>
      </c>
      <c r="H21" s="116">
        <v>0.62</v>
      </c>
      <c r="I21" s="101">
        <f>December!W21</f>
        <v>0</v>
      </c>
      <c r="J21" s="102">
        <v>2.42</v>
      </c>
      <c r="K21" s="109">
        <f>December!AB21*5.04</f>
        <v>0</v>
      </c>
      <c r="L21" s="119">
        <v>0.11509999999999999</v>
      </c>
      <c r="M21" s="110">
        <f>December!M21</f>
        <v>0</v>
      </c>
      <c r="N21" s="122">
        <v>0.88</v>
      </c>
      <c r="O21" s="103">
        <f>December!AC21</f>
        <v>0</v>
      </c>
      <c r="P21" s="103">
        <f>December!AD21</f>
        <v>0</v>
      </c>
    </row>
    <row r="22" spans="1:16" ht="14.3" x14ac:dyDescent="0.25">
      <c r="A22" s="98" t="s">
        <v>37</v>
      </c>
      <c r="B22" s="5">
        <f t="shared" si="0"/>
        <v>21</v>
      </c>
      <c r="C22" s="125">
        <v>12</v>
      </c>
      <c r="D22" s="4">
        <v>2024</v>
      </c>
      <c r="E22" s="99">
        <f>IF(December!C22&lt;0,"0",December!C22)+(IF(December!E22&lt;0,"0",December!E22)-(IF(December!G22&lt;0,"0",December!G22)))</f>
        <v>0</v>
      </c>
      <c r="F22" s="113" t="e">
        <f>(December!C22*0.27)/(December!C22+December!E22)</f>
        <v>#DIV/0!</v>
      </c>
      <c r="G22" s="100" t="str">
        <f>December!U22</f>
        <v>0</v>
      </c>
      <c r="H22" s="116">
        <v>0.62</v>
      </c>
      <c r="I22" s="101">
        <f>December!W22</f>
        <v>0</v>
      </c>
      <c r="J22" s="102">
        <v>2.42</v>
      </c>
      <c r="K22" s="109">
        <f>December!AB22*5.04</f>
        <v>0</v>
      </c>
      <c r="L22" s="119">
        <v>0.11509999999999999</v>
      </c>
      <c r="M22" s="110">
        <f>December!M22</f>
        <v>0</v>
      </c>
      <c r="N22" s="122">
        <v>0.88</v>
      </c>
      <c r="O22" s="103">
        <f>December!AC22</f>
        <v>0</v>
      </c>
      <c r="P22" s="103">
        <f>December!AD22</f>
        <v>0</v>
      </c>
    </row>
    <row r="23" spans="1:16" ht="14.3" x14ac:dyDescent="0.25">
      <c r="A23" s="98" t="s">
        <v>37</v>
      </c>
      <c r="B23" s="5">
        <f t="shared" si="0"/>
        <v>22</v>
      </c>
      <c r="C23" s="125">
        <v>12</v>
      </c>
      <c r="D23" s="4">
        <v>2024</v>
      </c>
      <c r="E23" s="99">
        <f>IF(December!C23&lt;0,"0",December!C23)+(IF(December!E23&lt;0,"0",December!E23)-(IF(December!G23&lt;0,"0",December!G23)))</f>
        <v>0</v>
      </c>
      <c r="F23" s="113" t="e">
        <f>(December!C23*0.27)/(December!C23+December!E23)</f>
        <v>#DIV/0!</v>
      </c>
      <c r="G23" s="100" t="str">
        <f>December!U23</f>
        <v>0</v>
      </c>
      <c r="H23" s="116">
        <v>0.62</v>
      </c>
      <c r="I23" s="101">
        <f>December!W23</f>
        <v>0</v>
      </c>
      <c r="J23" s="102">
        <v>2.42</v>
      </c>
      <c r="K23" s="109">
        <f>December!AB23*5.04</f>
        <v>0</v>
      </c>
      <c r="L23" s="119">
        <v>0.11509999999999999</v>
      </c>
      <c r="M23" s="110">
        <f>December!M23</f>
        <v>0</v>
      </c>
      <c r="N23" s="122">
        <v>0.88</v>
      </c>
      <c r="O23" s="103">
        <f>December!AC23</f>
        <v>0</v>
      </c>
      <c r="P23" s="103">
        <f>December!AD23</f>
        <v>0</v>
      </c>
    </row>
    <row r="24" spans="1:16" ht="14.3" x14ac:dyDescent="0.25">
      <c r="A24" s="98" t="s">
        <v>37</v>
      </c>
      <c r="B24" s="5">
        <f t="shared" si="0"/>
        <v>23</v>
      </c>
      <c r="C24" s="125">
        <v>12</v>
      </c>
      <c r="D24" s="4">
        <v>2024</v>
      </c>
      <c r="E24" s="99">
        <f>IF(December!C24&lt;0,"0",December!C24)+(IF(December!E24&lt;0,"0",December!E24)-(IF(December!G24&lt;0,"0",December!G24)))</f>
        <v>0</v>
      </c>
      <c r="F24" s="113" t="e">
        <f>(December!C24*0.27)/(December!C24+December!E24)</f>
        <v>#DIV/0!</v>
      </c>
      <c r="G24" s="100" t="str">
        <f>December!U24</f>
        <v>0</v>
      </c>
      <c r="H24" s="116">
        <v>0.62</v>
      </c>
      <c r="I24" s="101">
        <f>December!W24</f>
        <v>0</v>
      </c>
      <c r="J24" s="102">
        <v>2.42</v>
      </c>
      <c r="K24" s="109">
        <f>December!AB24*5.04</f>
        <v>0</v>
      </c>
      <c r="L24" s="119">
        <v>0.11509999999999999</v>
      </c>
      <c r="M24" s="110">
        <f>December!M24</f>
        <v>0</v>
      </c>
      <c r="N24" s="122">
        <v>0.88</v>
      </c>
      <c r="O24" s="103">
        <f>December!AC24</f>
        <v>0</v>
      </c>
      <c r="P24" s="103">
        <f>December!AD24</f>
        <v>0</v>
      </c>
    </row>
    <row r="25" spans="1:16" ht="14.3" x14ac:dyDescent="0.25">
      <c r="A25" s="98" t="s">
        <v>37</v>
      </c>
      <c r="B25" s="5">
        <f t="shared" si="0"/>
        <v>24</v>
      </c>
      <c r="C25" s="125">
        <v>12</v>
      </c>
      <c r="D25" s="4">
        <v>2024</v>
      </c>
      <c r="E25" s="99">
        <f>IF(December!C25&lt;0,"0",December!C25)+(IF(December!E25&lt;0,"0",December!E25)-(IF(December!G25&lt;0,"0",December!G25)))</f>
        <v>0</v>
      </c>
      <c r="F25" s="113" t="e">
        <f>(December!C25*0.27)/(December!C25+December!E25)</f>
        <v>#DIV/0!</v>
      </c>
      <c r="G25" s="100" t="str">
        <f>December!U25</f>
        <v>0</v>
      </c>
      <c r="H25" s="116">
        <v>0.62</v>
      </c>
      <c r="I25" s="101">
        <f>December!W25</f>
        <v>0</v>
      </c>
      <c r="J25" s="102">
        <v>2.42</v>
      </c>
      <c r="K25" s="109">
        <f>December!AB25*5.04</f>
        <v>0</v>
      </c>
      <c r="L25" s="119">
        <v>0.11509999999999999</v>
      </c>
      <c r="M25" s="110">
        <f>December!M25</f>
        <v>0</v>
      </c>
      <c r="N25" s="122">
        <v>0.88</v>
      </c>
      <c r="O25" s="103">
        <f>December!AC25</f>
        <v>0</v>
      </c>
      <c r="P25" s="103">
        <f>December!AD25</f>
        <v>0</v>
      </c>
    </row>
    <row r="26" spans="1:16" ht="14.3" x14ac:dyDescent="0.25">
      <c r="A26" s="98" t="s">
        <v>37</v>
      </c>
      <c r="B26" s="5">
        <f>B25+1</f>
        <v>25</v>
      </c>
      <c r="C26" s="125">
        <v>12</v>
      </c>
      <c r="D26" s="4">
        <v>2024</v>
      </c>
      <c r="E26" s="99">
        <f>IF(December!C26&lt;0,"0",December!C26)+(IF(December!E26&lt;0,"0",December!E26)-(IF(December!G26&lt;0,"0",December!G26)))</f>
        <v>0</v>
      </c>
      <c r="F26" s="113" t="e">
        <f>(December!C26*0.27)/(December!C26+December!E26)</f>
        <v>#DIV/0!</v>
      </c>
      <c r="G26" s="100" t="str">
        <f>December!U26</f>
        <v>0</v>
      </c>
      <c r="H26" s="116">
        <v>0.62</v>
      </c>
      <c r="I26" s="101">
        <f>December!W26</f>
        <v>0</v>
      </c>
      <c r="J26" s="102">
        <v>2.42</v>
      </c>
      <c r="K26" s="109">
        <f>December!AB26*5.04</f>
        <v>0</v>
      </c>
      <c r="L26" s="119">
        <v>0.11509999999999999</v>
      </c>
      <c r="M26" s="110">
        <f>December!M26</f>
        <v>0</v>
      </c>
      <c r="N26" s="122">
        <v>0.88</v>
      </c>
      <c r="O26" s="103">
        <f>December!AC26</f>
        <v>0</v>
      </c>
      <c r="P26" s="103">
        <f>December!AD26</f>
        <v>0</v>
      </c>
    </row>
    <row r="27" spans="1:16" ht="14.3" x14ac:dyDescent="0.25">
      <c r="A27" s="98" t="s">
        <v>37</v>
      </c>
      <c r="B27" s="5">
        <f t="shared" si="0"/>
        <v>26</v>
      </c>
      <c r="C27" s="125">
        <v>12</v>
      </c>
      <c r="D27" s="4">
        <v>2024</v>
      </c>
      <c r="E27" s="99">
        <f>IF(December!C27&lt;0,"0",December!C27)+(IF(December!E27&lt;0,"0",December!E27)-(IF(December!G27&lt;0,"0",December!G27)))</f>
        <v>0</v>
      </c>
      <c r="F27" s="113" t="e">
        <f>(December!C27*0.27)/(December!C27+December!E27)</f>
        <v>#DIV/0!</v>
      </c>
      <c r="G27" s="100" t="str">
        <f>December!U27</f>
        <v>0</v>
      </c>
      <c r="H27" s="116">
        <v>0.62</v>
      </c>
      <c r="I27" s="101">
        <f>December!W27</f>
        <v>0</v>
      </c>
      <c r="J27" s="102">
        <v>2.42</v>
      </c>
      <c r="K27" s="109">
        <f>December!AB27*5.04</f>
        <v>0</v>
      </c>
      <c r="L27" s="119">
        <v>0.11509999999999999</v>
      </c>
      <c r="M27" s="110">
        <f>December!M27</f>
        <v>0</v>
      </c>
      <c r="N27" s="122">
        <v>0.88</v>
      </c>
      <c r="O27" s="103">
        <f>December!AC27</f>
        <v>0</v>
      </c>
      <c r="P27" s="103">
        <f>December!AD27</f>
        <v>0</v>
      </c>
    </row>
    <row r="28" spans="1:16" ht="14.3" x14ac:dyDescent="0.25">
      <c r="A28" s="98" t="s">
        <v>37</v>
      </c>
      <c r="B28" s="5">
        <f t="shared" si="0"/>
        <v>27</v>
      </c>
      <c r="C28" s="125">
        <v>12</v>
      </c>
      <c r="D28" s="4">
        <v>2024</v>
      </c>
      <c r="E28" s="99">
        <f>IF(December!C28&lt;0,"0",December!C28)+(IF(December!E28&lt;0,"0",December!E28)-(IF(December!G28&lt;0,"0",December!G28)))</f>
        <v>0</v>
      </c>
      <c r="F28" s="113" t="e">
        <f>(December!C28*0.27)/(December!C28+December!E28)</f>
        <v>#DIV/0!</v>
      </c>
      <c r="G28" s="100" t="str">
        <f>December!U28</f>
        <v>0</v>
      </c>
      <c r="H28" s="116">
        <v>0.62</v>
      </c>
      <c r="I28" s="101">
        <f>December!W28</f>
        <v>0</v>
      </c>
      <c r="J28" s="102">
        <v>2.42</v>
      </c>
      <c r="K28" s="109">
        <f>December!AB28*5.04</f>
        <v>0</v>
      </c>
      <c r="L28" s="119">
        <v>0.11509999999999999</v>
      </c>
      <c r="M28" s="110">
        <f>December!M28</f>
        <v>0</v>
      </c>
      <c r="N28" s="122">
        <v>0.88</v>
      </c>
      <c r="O28" s="103">
        <f>December!AC28</f>
        <v>0</v>
      </c>
      <c r="P28" s="103">
        <f>December!AD28</f>
        <v>0</v>
      </c>
    </row>
    <row r="29" spans="1:16" ht="14.3" x14ac:dyDescent="0.25">
      <c r="A29" s="98" t="s">
        <v>37</v>
      </c>
      <c r="B29" s="5">
        <f t="shared" si="0"/>
        <v>28</v>
      </c>
      <c r="C29" s="125">
        <v>12</v>
      </c>
      <c r="D29" s="4">
        <v>2024</v>
      </c>
      <c r="E29" s="99">
        <f>IF(December!C29&lt;0,"0",December!C29)+(IF(December!E29&lt;0,"0",December!E29)-(IF(December!G29&lt;0,"0",December!G29)))</f>
        <v>0</v>
      </c>
      <c r="F29" s="113" t="e">
        <f>(December!C29*0.27)/(December!C29+December!E29)</f>
        <v>#DIV/0!</v>
      </c>
      <c r="G29" s="100" t="str">
        <f>December!U29</f>
        <v>0</v>
      </c>
      <c r="H29" s="116">
        <v>0.62</v>
      </c>
      <c r="I29" s="101">
        <f>December!W29</f>
        <v>0</v>
      </c>
      <c r="J29" s="102">
        <v>2.42</v>
      </c>
      <c r="K29" s="109">
        <f>December!AB29*5.04</f>
        <v>0</v>
      </c>
      <c r="L29" s="119">
        <v>0.11509999999999999</v>
      </c>
      <c r="M29" s="110">
        <f>December!M29</f>
        <v>0</v>
      </c>
      <c r="N29" s="122">
        <v>0.88</v>
      </c>
      <c r="O29" s="103">
        <f>December!AC29</f>
        <v>0</v>
      </c>
      <c r="P29" s="103">
        <f>December!AD29</f>
        <v>0</v>
      </c>
    </row>
    <row r="30" spans="1:16" ht="14.3" x14ac:dyDescent="0.25">
      <c r="A30" s="98" t="s">
        <v>37</v>
      </c>
      <c r="B30" s="5">
        <f t="shared" si="0"/>
        <v>29</v>
      </c>
      <c r="C30" s="125">
        <v>12</v>
      </c>
      <c r="D30" s="4">
        <v>2024</v>
      </c>
      <c r="E30" s="99">
        <f>IF(December!C30&lt;0,"0",December!C30)+(IF(December!E30&lt;0,"0",December!E30)-(IF(December!G30&lt;0,"0",December!G30)))</f>
        <v>0</v>
      </c>
      <c r="F30" s="113" t="e">
        <f>(December!C30*0.27)/(December!C30+December!E30)</f>
        <v>#DIV/0!</v>
      </c>
      <c r="G30" s="100" t="str">
        <f>December!U30</f>
        <v>0</v>
      </c>
      <c r="H30" s="116">
        <v>0.62</v>
      </c>
      <c r="I30" s="101">
        <f>December!W30</f>
        <v>0</v>
      </c>
      <c r="J30" s="102">
        <v>2.42</v>
      </c>
      <c r="K30" s="109">
        <f>December!AB30*5.04</f>
        <v>0</v>
      </c>
      <c r="L30" s="119">
        <v>0.11509999999999999</v>
      </c>
      <c r="M30" s="110">
        <f>December!M30</f>
        <v>0</v>
      </c>
      <c r="N30" s="122">
        <v>0.88</v>
      </c>
      <c r="O30" s="103">
        <f>December!AC30</f>
        <v>0</v>
      </c>
      <c r="P30" s="103">
        <f>December!AD30</f>
        <v>0</v>
      </c>
    </row>
    <row r="31" spans="1:16" ht="14.3" x14ac:dyDescent="0.25">
      <c r="A31" s="98" t="s">
        <v>37</v>
      </c>
      <c r="B31" s="5">
        <f t="shared" si="0"/>
        <v>30</v>
      </c>
      <c r="C31" s="125">
        <v>12</v>
      </c>
      <c r="D31" s="4">
        <v>2024</v>
      </c>
      <c r="E31" s="99">
        <f>IF(December!C31&lt;0,"0",December!C31)+(IF(December!E31&lt;0,"0",December!E31)-(IF(December!G31&lt;0,"0",December!G31)))</f>
        <v>0</v>
      </c>
      <c r="F31" s="113" t="e">
        <f>(December!C31*0.27)/(December!C31+December!E31)</f>
        <v>#DIV/0!</v>
      </c>
      <c r="G31" s="100" t="str">
        <f>December!U31</f>
        <v>0</v>
      </c>
      <c r="H31" s="116">
        <v>0.62</v>
      </c>
      <c r="I31" s="101">
        <f>December!W31</f>
        <v>0</v>
      </c>
      <c r="J31" s="102">
        <v>2.42</v>
      </c>
      <c r="K31" s="109">
        <f>December!AB31*5.04</f>
        <v>0</v>
      </c>
      <c r="L31" s="119">
        <v>0.11509999999999999</v>
      </c>
      <c r="M31" s="110">
        <f>December!M31</f>
        <v>0</v>
      </c>
      <c r="N31" s="122">
        <v>0.88</v>
      </c>
      <c r="O31" s="103">
        <f>December!AC31</f>
        <v>0</v>
      </c>
      <c r="P31" s="103">
        <f>December!AD31</f>
        <v>0</v>
      </c>
    </row>
    <row r="32" spans="1:16" ht="14.3" x14ac:dyDescent="0.25">
      <c r="A32" s="98" t="s">
        <v>37</v>
      </c>
      <c r="B32" s="5">
        <v>31</v>
      </c>
      <c r="C32" s="125">
        <v>12</v>
      </c>
      <c r="D32" s="4">
        <v>2024</v>
      </c>
      <c r="E32" s="99">
        <f>IF(December!C32&lt;0,"0",December!C32)+(IF(December!E32&lt;0,"0",December!E32)-(IF(December!G32&lt;0,"0",December!G32)))</f>
        <v>0</v>
      </c>
      <c r="F32" s="113" t="e">
        <f>(December!C32*0.27)/(December!C32+December!E32)</f>
        <v>#DIV/0!</v>
      </c>
      <c r="G32" s="100">
        <f>December!U32</f>
        <v>0</v>
      </c>
      <c r="H32" s="116">
        <v>0.62</v>
      </c>
      <c r="I32" s="101">
        <f>December!W32</f>
        <v>0</v>
      </c>
      <c r="J32" s="102">
        <v>2.42</v>
      </c>
      <c r="K32" s="109">
        <f>December!AB32*5.04</f>
        <v>0</v>
      </c>
      <c r="L32" s="119">
        <v>0.11509999999999999</v>
      </c>
      <c r="M32" s="110">
        <f>December!M32</f>
        <v>0</v>
      </c>
      <c r="N32" s="122">
        <v>0.88</v>
      </c>
      <c r="O32" s="103">
        <f>December!AC32</f>
        <v>174</v>
      </c>
      <c r="P32" s="103">
        <f>December!AD32</f>
        <v>370</v>
      </c>
    </row>
    <row r="33" spans="4:16" x14ac:dyDescent="0.2">
      <c r="D33" s="104"/>
      <c r="F33" s="113"/>
      <c r="I33" s="102"/>
      <c r="J33" s="102"/>
      <c r="K33" s="109"/>
      <c r="L33" s="119"/>
      <c r="O33" s="105"/>
      <c r="P33" s="105"/>
    </row>
    <row r="34" spans="4:16" x14ac:dyDescent="0.2">
      <c r="D34" s="104"/>
      <c r="F34" s="113"/>
      <c r="I34" s="102"/>
      <c r="J34" s="102"/>
      <c r="K34" s="109"/>
      <c r="L34" s="119"/>
      <c r="O34" s="105"/>
      <c r="P34" s="105"/>
    </row>
    <row r="35" spans="4:16" x14ac:dyDescent="0.2">
      <c r="D35" s="104"/>
      <c r="F35" s="113"/>
      <c r="I35" s="102"/>
      <c r="J35" s="102"/>
      <c r="K35" s="109"/>
      <c r="L35" s="119"/>
      <c r="O35" s="105"/>
      <c r="P35" s="105"/>
    </row>
    <row r="36" spans="4:16" x14ac:dyDescent="0.2">
      <c r="D36" s="104"/>
      <c r="F36" s="113"/>
      <c r="I36" s="102"/>
      <c r="J36" s="102"/>
      <c r="K36" s="109"/>
      <c r="L36" s="119"/>
      <c r="O36" s="105"/>
      <c r="P36" s="105"/>
    </row>
    <row r="37" spans="4:16" x14ac:dyDescent="0.2">
      <c r="D37" s="104"/>
      <c r="F37" s="113"/>
      <c r="I37" s="102"/>
      <c r="J37" s="102"/>
      <c r="K37" s="109"/>
      <c r="L37" s="119"/>
      <c r="O37" s="105"/>
      <c r="P37" s="105"/>
    </row>
    <row r="38" spans="4:16" x14ac:dyDescent="0.2">
      <c r="D38" s="104"/>
      <c r="F38" s="113"/>
      <c r="I38" s="102"/>
      <c r="J38" s="102"/>
      <c r="K38" s="109"/>
      <c r="L38" s="119"/>
      <c r="O38" s="105"/>
      <c r="P38" s="105"/>
    </row>
    <row r="39" spans="4:16" x14ac:dyDescent="0.2">
      <c r="F39" s="113"/>
      <c r="K39" s="109"/>
      <c r="L39" s="119"/>
    </row>
    <row r="40" spans="4:16" x14ac:dyDescent="0.2">
      <c r="F40" s="113"/>
      <c r="K40" s="109"/>
      <c r="L40" s="119"/>
    </row>
    <row r="41" spans="4:16" x14ac:dyDescent="0.2">
      <c r="F41" s="113"/>
      <c r="K41" s="109"/>
      <c r="L41" s="119"/>
    </row>
    <row r="42" spans="4:16" x14ac:dyDescent="0.2">
      <c r="F42" s="113"/>
      <c r="K42" s="109"/>
      <c r="L42" s="119"/>
    </row>
    <row r="43" spans="4:16" x14ac:dyDescent="0.2">
      <c r="K43" s="109"/>
      <c r="L43" s="1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G4" zoomScale="85" zoomScaleNormal="85" workbookViewId="0">
      <selection activeCell="AD18" sqref="AD18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9" t="s">
        <v>7</v>
      </c>
      <c r="H1" s="71" t="s">
        <v>18</v>
      </c>
      <c r="I1" s="75" t="s">
        <v>17</v>
      </c>
      <c r="J1" s="51" t="s">
        <v>5</v>
      </c>
      <c r="K1" s="25" t="s">
        <v>1</v>
      </c>
      <c r="L1" s="28" t="s">
        <v>2</v>
      </c>
      <c r="M1" s="77" t="s">
        <v>14</v>
      </c>
      <c r="N1" s="29" t="s">
        <v>5</v>
      </c>
      <c r="O1" s="85" t="s">
        <v>20</v>
      </c>
      <c r="P1" s="85" t="s">
        <v>21</v>
      </c>
      <c r="Q1" s="85" t="s">
        <v>22</v>
      </c>
      <c r="R1" s="85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45627</v>
      </c>
      <c r="B2" s="8">
        <v>13288573</v>
      </c>
      <c r="C2" s="14">
        <f>IF((B3-B2)&lt;0,"0",B3-B2)</f>
        <v>4573</v>
      </c>
      <c r="D2" s="9">
        <v>606624</v>
      </c>
      <c r="E2" s="14">
        <f>IF((D3-D2)&lt;0,"0",D3-D2)</f>
        <v>663</v>
      </c>
      <c r="F2" s="27">
        <v>1704</v>
      </c>
      <c r="G2" s="70">
        <f>F3-F2</f>
        <v>0</v>
      </c>
      <c r="H2" s="72">
        <f>C2+E2-G2</f>
        <v>5236</v>
      </c>
      <c r="I2" s="76">
        <f>H2-K2-M2-O2-Q2</f>
        <v>-40392.289999999994</v>
      </c>
      <c r="J2" s="32">
        <f t="shared" ref="J2:J31" si="0">I3-I2</f>
        <v>-831.97000000000844</v>
      </c>
      <c r="K2" s="19">
        <f t="shared" ref="K2:K32" si="1">A2</f>
        <v>45627</v>
      </c>
      <c r="L2" s="30">
        <v>6677</v>
      </c>
      <c r="M2" s="31">
        <v>0</v>
      </c>
      <c r="N2" s="32">
        <v>0</v>
      </c>
      <c r="O2" s="86">
        <v>0.52</v>
      </c>
      <c r="P2" s="87">
        <v>0.54</v>
      </c>
      <c r="Q2" s="86">
        <v>0.77</v>
      </c>
      <c r="R2" s="87">
        <v>0.72</v>
      </c>
      <c r="S2" s="39">
        <f>(2500*O2)+(2500*P2)+(500*Q2)+(500*R2)</f>
        <v>3395</v>
      </c>
      <c r="T2" s="126"/>
      <c r="U2" s="32">
        <f>IF((S2-S3+T2)=S2,"0",(S2-S3+T2))</f>
        <v>35</v>
      </c>
      <c r="V2" s="43">
        <v>121777</v>
      </c>
      <c r="W2" s="32">
        <f>IF(V3-V2&lt;0,"0",V3-V2)</f>
        <v>5</v>
      </c>
      <c r="X2" s="46">
        <v>61219</v>
      </c>
      <c r="Y2" s="14">
        <f>IF((X3-X2)&lt;0,"0",X3-X2)</f>
        <v>2</v>
      </c>
      <c r="Z2" s="49">
        <v>2400</v>
      </c>
      <c r="AA2" s="55">
        <v>0</v>
      </c>
      <c r="AB2" s="32">
        <f>IF((Z2-Z3+AA2)=Z2,"0",(Z2-Z3+AA2))</f>
        <v>0</v>
      </c>
      <c r="AC2" s="12">
        <v>72</v>
      </c>
      <c r="AD2" s="17">
        <v>120</v>
      </c>
    </row>
    <row r="3" spans="1:30" ht="20.7" customHeight="1" x14ac:dyDescent="0.2">
      <c r="A3" s="20">
        <v>45628</v>
      </c>
      <c r="B3" s="10">
        <v>13293146</v>
      </c>
      <c r="C3" s="14">
        <f t="shared" ref="C3:C31" si="2">IF((B4-B3)&lt;0,"0",B4-B3)</f>
        <v>3709</v>
      </c>
      <c r="D3" s="11">
        <v>607287</v>
      </c>
      <c r="E3" s="14">
        <f t="shared" ref="E3:E31" si="3">IF((D4-D3)&lt;0,"0",D4-D3)</f>
        <v>696</v>
      </c>
      <c r="F3" s="27">
        <v>1704</v>
      </c>
      <c r="G3" s="70">
        <f t="shared" ref="G3:G31" si="4">F4-F3</f>
        <v>0</v>
      </c>
      <c r="H3" s="72">
        <f t="shared" ref="H3:H31" si="5">C3+E3-G3</f>
        <v>4405</v>
      </c>
      <c r="I3" s="76">
        <f t="shared" ref="I3:I31" si="6">H3-K3-M3-O3-Q3</f>
        <v>-41224.26</v>
      </c>
      <c r="J3" s="32">
        <f t="shared" si="0"/>
        <v>7.7399999999979627</v>
      </c>
      <c r="K3" s="20">
        <f t="shared" si="1"/>
        <v>45628</v>
      </c>
      <c r="L3" s="33">
        <v>6296</v>
      </c>
      <c r="M3" s="31">
        <v>0</v>
      </c>
      <c r="N3" s="35">
        <v>0</v>
      </c>
      <c r="O3" s="88">
        <v>0.51</v>
      </c>
      <c r="P3" s="89">
        <v>0.54</v>
      </c>
      <c r="Q3" s="88">
        <v>0.75</v>
      </c>
      <c r="R3" s="89">
        <v>0.72</v>
      </c>
      <c r="S3" s="39">
        <f t="shared" ref="S3:S32" si="7">(2500*O3)+(2500*P3)+(500*Q3)+(500*R3)</f>
        <v>3360</v>
      </c>
      <c r="T3" s="126">
        <v>1477</v>
      </c>
      <c r="U3" s="32">
        <f t="shared" ref="U3:U31" si="8">IF((S3-S4+T3)=S3,"0",(S3-S4+T3))</f>
        <v>177</v>
      </c>
      <c r="V3" s="44">
        <v>121782</v>
      </c>
      <c r="W3" s="32">
        <f t="shared" ref="W3:W31" si="9">IF(V4-V3&lt;0,"0",V4-V3)</f>
        <v>0</v>
      </c>
      <c r="X3" s="47">
        <v>61221</v>
      </c>
      <c r="Y3" s="14">
        <f t="shared" ref="Y3:Y31" si="10">IF((X4-X3)&lt;0,"0",X4-X3)</f>
        <v>1</v>
      </c>
      <c r="Z3" s="50">
        <v>2400</v>
      </c>
      <c r="AA3" s="55">
        <v>0</v>
      </c>
      <c r="AB3" s="32">
        <f t="shared" ref="AB3:AB31" si="11">IF((Z3-Z4+AA3)=Z3,"0",(Z3-Z4+AA3))</f>
        <v>0</v>
      </c>
      <c r="AC3" s="13">
        <v>49</v>
      </c>
      <c r="AD3" s="18">
        <v>81</v>
      </c>
    </row>
    <row r="4" spans="1:30" ht="20.7" customHeight="1" x14ac:dyDescent="0.2">
      <c r="A4" s="19">
        <v>45629</v>
      </c>
      <c r="B4" s="10">
        <v>13296855</v>
      </c>
      <c r="C4" s="14">
        <f t="shared" si="2"/>
        <v>4006</v>
      </c>
      <c r="D4" s="11">
        <v>607983</v>
      </c>
      <c r="E4" s="14">
        <f t="shared" si="3"/>
        <v>408</v>
      </c>
      <c r="F4" s="27">
        <v>1704</v>
      </c>
      <c r="G4" s="70">
        <f t="shared" si="4"/>
        <v>0</v>
      </c>
      <c r="H4" s="72">
        <f t="shared" si="5"/>
        <v>4414</v>
      </c>
      <c r="I4" s="76">
        <f t="shared" si="6"/>
        <v>-41216.520000000004</v>
      </c>
      <c r="J4" s="32">
        <f t="shared" si="0"/>
        <v>-128</v>
      </c>
      <c r="K4" s="20">
        <f t="shared" si="1"/>
        <v>45629</v>
      </c>
      <c r="L4" s="33">
        <v>6046</v>
      </c>
      <c r="M4" s="31">
        <v>0</v>
      </c>
      <c r="N4" s="35">
        <v>0</v>
      </c>
      <c r="O4" s="88">
        <v>0.8</v>
      </c>
      <c r="P4" s="89">
        <v>0.78</v>
      </c>
      <c r="Q4" s="88">
        <v>0.72</v>
      </c>
      <c r="R4" s="89">
        <v>0.7</v>
      </c>
      <c r="S4" s="39">
        <f t="shared" si="7"/>
        <v>4660</v>
      </c>
      <c r="T4" s="126"/>
      <c r="U4" s="32">
        <f t="shared" si="8"/>
        <v>25</v>
      </c>
      <c r="V4" s="44">
        <v>121782</v>
      </c>
      <c r="W4" s="32">
        <f t="shared" si="9"/>
        <v>5</v>
      </c>
      <c r="X4" s="47">
        <v>61222</v>
      </c>
      <c r="Y4" s="14">
        <f t="shared" si="10"/>
        <v>0</v>
      </c>
      <c r="Z4" s="50">
        <v>2400</v>
      </c>
      <c r="AA4" s="55">
        <v>0</v>
      </c>
      <c r="AB4" s="32">
        <f t="shared" si="11"/>
        <v>0</v>
      </c>
      <c r="AC4" s="13">
        <v>44</v>
      </c>
      <c r="AD4" s="18">
        <v>72</v>
      </c>
    </row>
    <row r="5" spans="1:30" ht="20.7" customHeight="1" x14ac:dyDescent="0.2">
      <c r="A5" s="20">
        <v>45630</v>
      </c>
      <c r="B5" s="10">
        <v>13300861</v>
      </c>
      <c r="C5" s="14">
        <f t="shared" si="2"/>
        <v>3601</v>
      </c>
      <c r="D5" s="11">
        <v>608391</v>
      </c>
      <c r="E5" s="14">
        <f t="shared" si="3"/>
        <v>686</v>
      </c>
      <c r="F5" s="27">
        <v>1704</v>
      </c>
      <c r="G5" s="70">
        <f t="shared" si="4"/>
        <v>0</v>
      </c>
      <c r="H5" s="72">
        <f t="shared" si="5"/>
        <v>4287</v>
      </c>
      <c r="I5" s="76">
        <f t="shared" si="6"/>
        <v>-41344.520000000004</v>
      </c>
      <c r="J5" s="32">
        <f t="shared" si="0"/>
        <v>139.01000000000204</v>
      </c>
      <c r="K5" s="20">
        <f t="shared" si="1"/>
        <v>45630</v>
      </c>
      <c r="L5" s="33">
        <v>5631</v>
      </c>
      <c r="M5" s="31">
        <v>0</v>
      </c>
      <c r="N5" s="35">
        <v>0</v>
      </c>
      <c r="O5" s="88">
        <v>0.8</v>
      </c>
      <c r="P5" s="89">
        <v>0.77</v>
      </c>
      <c r="Q5" s="88">
        <v>0.72</v>
      </c>
      <c r="R5" s="89">
        <v>0.7</v>
      </c>
      <c r="S5" s="39">
        <f t="shared" si="7"/>
        <v>4635</v>
      </c>
      <c r="T5" s="126"/>
      <c r="U5" s="32">
        <f t="shared" si="8"/>
        <v>50</v>
      </c>
      <c r="V5" s="44">
        <v>121787</v>
      </c>
      <c r="W5" s="32">
        <f t="shared" si="9"/>
        <v>0</v>
      </c>
      <c r="X5" s="47">
        <v>61222</v>
      </c>
      <c r="Y5" s="14">
        <f t="shared" si="10"/>
        <v>2</v>
      </c>
      <c r="Z5" s="50">
        <v>2400</v>
      </c>
      <c r="AA5" s="55">
        <v>0</v>
      </c>
      <c r="AB5" s="32">
        <f t="shared" si="11"/>
        <v>0</v>
      </c>
      <c r="AC5" s="13">
        <v>47</v>
      </c>
      <c r="AD5" s="18">
        <v>73</v>
      </c>
    </row>
    <row r="6" spans="1:30" ht="20.7" customHeight="1" x14ac:dyDescent="0.2">
      <c r="A6" s="19">
        <v>45631</v>
      </c>
      <c r="B6" s="10">
        <v>13304462</v>
      </c>
      <c r="C6" s="14">
        <f t="shared" si="2"/>
        <v>3727</v>
      </c>
      <c r="D6" s="11">
        <v>609077</v>
      </c>
      <c r="E6" s="14">
        <f t="shared" si="3"/>
        <v>700</v>
      </c>
      <c r="F6" s="27">
        <v>1704</v>
      </c>
      <c r="G6" s="70">
        <f t="shared" si="4"/>
        <v>0</v>
      </c>
      <c r="H6" s="72">
        <f t="shared" si="5"/>
        <v>4427</v>
      </c>
      <c r="I6" s="76">
        <f t="shared" si="6"/>
        <v>-41205.51</v>
      </c>
      <c r="J6" s="32">
        <f t="shared" si="0"/>
        <v>476.02000000000407</v>
      </c>
      <c r="K6" s="20">
        <f t="shared" si="1"/>
        <v>45631</v>
      </c>
      <c r="L6" s="33">
        <v>5254</v>
      </c>
      <c r="M6" s="31">
        <v>0</v>
      </c>
      <c r="N6" s="35">
        <v>0</v>
      </c>
      <c r="O6" s="88">
        <v>0.79</v>
      </c>
      <c r="P6" s="89">
        <v>0.76</v>
      </c>
      <c r="Q6" s="88">
        <v>0.72</v>
      </c>
      <c r="R6" s="89">
        <v>0.7</v>
      </c>
      <c r="S6" s="39">
        <f t="shared" si="7"/>
        <v>4585</v>
      </c>
      <c r="T6" s="126"/>
      <c r="U6" s="32">
        <f t="shared" si="8"/>
        <v>75</v>
      </c>
      <c r="V6" s="44">
        <v>121787</v>
      </c>
      <c r="W6" s="32">
        <f t="shared" si="9"/>
        <v>0</v>
      </c>
      <c r="X6" s="47">
        <v>61224</v>
      </c>
      <c r="Y6" s="14">
        <f t="shared" si="10"/>
        <v>0</v>
      </c>
      <c r="Z6" s="50">
        <v>2400</v>
      </c>
      <c r="AA6" s="55">
        <v>0</v>
      </c>
      <c r="AB6" s="32">
        <f t="shared" si="11"/>
        <v>0</v>
      </c>
      <c r="AC6" s="13">
        <v>47</v>
      </c>
      <c r="AD6" s="18">
        <v>72</v>
      </c>
    </row>
    <row r="7" spans="1:30" ht="20.7" customHeight="1" x14ac:dyDescent="0.2">
      <c r="A7" s="20">
        <v>45632</v>
      </c>
      <c r="B7" s="10">
        <v>13308189</v>
      </c>
      <c r="C7" s="14">
        <f t="shared" si="2"/>
        <v>4349</v>
      </c>
      <c r="D7" s="11">
        <v>609777</v>
      </c>
      <c r="E7" s="14">
        <f t="shared" si="3"/>
        <v>555</v>
      </c>
      <c r="F7" s="27">
        <v>1704</v>
      </c>
      <c r="G7" s="70">
        <f t="shared" si="4"/>
        <v>0</v>
      </c>
      <c r="H7" s="72">
        <f t="shared" si="5"/>
        <v>4904</v>
      </c>
      <c r="I7" s="76">
        <f t="shared" si="6"/>
        <v>-40729.49</v>
      </c>
      <c r="J7" s="32">
        <f t="shared" si="0"/>
        <v>-321.99000000000524</v>
      </c>
      <c r="K7" s="20">
        <f t="shared" si="1"/>
        <v>45632</v>
      </c>
      <c r="L7" s="33">
        <v>4926</v>
      </c>
      <c r="M7" s="31">
        <v>0</v>
      </c>
      <c r="N7" s="35">
        <v>0</v>
      </c>
      <c r="O7" s="88">
        <v>0.77</v>
      </c>
      <c r="P7" s="89">
        <v>0.75</v>
      </c>
      <c r="Q7" s="88">
        <v>0.72</v>
      </c>
      <c r="R7" s="89">
        <v>0.7</v>
      </c>
      <c r="S7" s="39">
        <f t="shared" si="7"/>
        <v>4510</v>
      </c>
      <c r="T7" s="126"/>
      <c r="U7" s="32">
        <f t="shared" si="8"/>
        <v>50</v>
      </c>
      <c r="V7" s="44">
        <v>121787</v>
      </c>
      <c r="W7" s="32">
        <f t="shared" si="9"/>
        <v>2</v>
      </c>
      <c r="X7" s="47">
        <v>61224</v>
      </c>
      <c r="Y7" s="14">
        <f t="shared" si="10"/>
        <v>1</v>
      </c>
      <c r="Z7" s="50">
        <v>2400</v>
      </c>
      <c r="AA7" s="55">
        <v>0</v>
      </c>
      <c r="AB7" s="32">
        <f t="shared" si="11"/>
        <v>0</v>
      </c>
      <c r="AC7" s="13">
        <v>97</v>
      </c>
      <c r="AD7" s="18">
        <v>149</v>
      </c>
    </row>
    <row r="8" spans="1:30" ht="20.7" customHeight="1" x14ac:dyDescent="0.2">
      <c r="A8" s="19">
        <v>45633</v>
      </c>
      <c r="B8" s="10">
        <v>13312538</v>
      </c>
      <c r="C8" s="14">
        <f t="shared" si="2"/>
        <v>4120</v>
      </c>
      <c r="D8" s="11">
        <v>610332</v>
      </c>
      <c r="E8" s="14">
        <f t="shared" si="3"/>
        <v>463</v>
      </c>
      <c r="F8" s="27">
        <v>1704</v>
      </c>
      <c r="G8" s="70">
        <f t="shared" si="4"/>
        <v>0</v>
      </c>
      <c r="H8" s="72">
        <f t="shared" si="5"/>
        <v>4583</v>
      </c>
      <c r="I8" s="76">
        <f t="shared" si="6"/>
        <v>-41051.480000000003</v>
      </c>
      <c r="J8" s="32">
        <f t="shared" si="0"/>
        <v>-223</v>
      </c>
      <c r="K8" s="20">
        <f t="shared" si="1"/>
        <v>45633</v>
      </c>
      <c r="L8" s="33">
        <v>4582</v>
      </c>
      <c r="M8" s="31">
        <v>0</v>
      </c>
      <c r="N8" s="35">
        <v>0</v>
      </c>
      <c r="O8" s="88">
        <v>0.76</v>
      </c>
      <c r="P8" s="89">
        <v>0.74</v>
      </c>
      <c r="Q8" s="88">
        <v>0.72</v>
      </c>
      <c r="R8" s="89">
        <v>0.7</v>
      </c>
      <c r="S8" s="39">
        <f t="shared" si="7"/>
        <v>4460</v>
      </c>
      <c r="T8" s="126"/>
      <c r="U8" s="32">
        <f t="shared" si="8"/>
        <v>25</v>
      </c>
      <c r="V8" s="44">
        <v>121789</v>
      </c>
      <c r="W8" s="32">
        <f t="shared" si="9"/>
        <v>5</v>
      </c>
      <c r="X8" s="47">
        <v>61225</v>
      </c>
      <c r="Y8" s="14">
        <f t="shared" si="10"/>
        <v>0</v>
      </c>
      <c r="Z8" s="50">
        <v>2400</v>
      </c>
      <c r="AA8" s="55">
        <v>0</v>
      </c>
      <c r="AB8" s="32">
        <f t="shared" si="11"/>
        <v>0</v>
      </c>
      <c r="AC8" s="13">
        <v>71</v>
      </c>
      <c r="AD8" s="18">
        <v>113</v>
      </c>
    </row>
    <row r="9" spans="1:30" ht="20.7" customHeight="1" x14ac:dyDescent="0.2">
      <c r="A9" s="20">
        <v>45634</v>
      </c>
      <c r="B9" s="10">
        <v>13316658</v>
      </c>
      <c r="C9" s="14">
        <f t="shared" si="2"/>
        <v>3728</v>
      </c>
      <c r="D9" s="11">
        <v>610795</v>
      </c>
      <c r="E9" s="14">
        <f t="shared" si="3"/>
        <v>633</v>
      </c>
      <c r="F9" s="27">
        <v>1704</v>
      </c>
      <c r="G9" s="70">
        <f t="shared" si="4"/>
        <v>0</v>
      </c>
      <c r="H9" s="72">
        <f t="shared" si="5"/>
        <v>4361</v>
      </c>
      <c r="I9" s="76">
        <f t="shared" si="6"/>
        <v>-41274.480000000003</v>
      </c>
      <c r="J9" s="32">
        <f t="shared" si="0"/>
        <v>-353.98999999999796</v>
      </c>
      <c r="K9" s="20">
        <f t="shared" si="1"/>
        <v>45634</v>
      </c>
      <c r="L9" s="33">
        <v>4228</v>
      </c>
      <c r="M9" s="31">
        <v>0</v>
      </c>
      <c r="N9" s="35">
        <v>0</v>
      </c>
      <c r="O9" s="88">
        <v>0.76</v>
      </c>
      <c r="P9" s="89">
        <v>0.73</v>
      </c>
      <c r="Q9" s="88">
        <v>0.72</v>
      </c>
      <c r="R9" s="89">
        <v>0.7</v>
      </c>
      <c r="S9" s="39">
        <f t="shared" si="7"/>
        <v>4435</v>
      </c>
      <c r="T9" s="126"/>
      <c r="U9" s="32">
        <f t="shared" si="8"/>
        <v>25</v>
      </c>
      <c r="V9" s="44">
        <v>121794</v>
      </c>
      <c r="W9" s="32">
        <f t="shared" si="9"/>
        <v>0</v>
      </c>
      <c r="X9" s="47">
        <v>61225</v>
      </c>
      <c r="Y9" s="14">
        <f t="shared" si="10"/>
        <v>12</v>
      </c>
      <c r="Z9" s="50">
        <v>2400</v>
      </c>
      <c r="AA9" s="55">
        <v>0</v>
      </c>
      <c r="AB9" s="32">
        <f t="shared" si="11"/>
        <v>0</v>
      </c>
      <c r="AC9" s="13">
        <v>51</v>
      </c>
      <c r="AD9" s="18">
        <v>76</v>
      </c>
    </row>
    <row r="10" spans="1:30" ht="20.7" customHeight="1" x14ac:dyDescent="0.2">
      <c r="A10" s="19">
        <v>45635</v>
      </c>
      <c r="B10" s="10">
        <v>13320386</v>
      </c>
      <c r="C10" s="14">
        <f t="shared" si="2"/>
        <v>3498</v>
      </c>
      <c r="D10" s="11">
        <v>611428</v>
      </c>
      <c r="E10" s="14">
        <f t="shared" si="3"/>
        <v>510</v>
      </c>
      <c r="F10" s="27">
        <v>1704</v>
      </c>
      <c r="G10" s="70">
        <f t="shared" si="4"/>
        <v>0</v>
      </c>
      <c r="H10" s="72">
        <f t="shared" si="5"/>
        <v>4008</v>
      </c>
      <c r="I10" s="76">
        <f t="shared" si="6"/>
        <v>-41628.47</v>
      </c>
      <c r="J10" s="32">
        <f t="shared" si="0"/>
        <v>-154.04999999999563</v>
      </c>
      <c r="K10" s="20">
        <f t="shared" si="1"/>
        <v>45635</v>
      </c>
      <c r="L10" s="33">
        <v>3885</v>
      </c>
      <c r="M10" s="31">
        <v>0</v>
      </c>
      <c r="N10" s="35">
        <v>0</v>
      </c>
      <c r="O10" s="88">
        <v>0.75</v>
      </c>
      <c r="P10" s="89">
        <v>0.73</v>
      </c>
      <c r="Q10" s="88">
        <v>0.72</v>
      </c>
      <c r="R10" s="89">
        <v>0.7</v>
      </c>
      <c r="S10" s="39">
        <f t="shared" si="7"/>
        <v>4410</v>
      </c>
      <c r="T10" s="126">
        <v>378</v>
      </c>
      <c r="U10" s="32">
        <f t="shared" si="8"/>
        <v>83</v>
      </c>
      <c r="V10" s="44">
        <v>121794</v>
      </c>
      <c r="W10" s="32">
        <f t="shared" si="9"/>
        <v>5</v>
      </c>
      <c r="X10" s="47">
        <v>61237</v>
      </c>
      <c r="Y10" s="14">
        <f t="shared" si="10"/>
        <v>0</v>
      </c>
      <c r="Z10" s="50">
        <v>2400</v>
      </c>
      <c r="AA10" s="55">
        <v>0</v>
      </c>
      <c r="AB10" s="32">
        <f t="shared" si="11"/>
        <v>0</v>
      </c>
      <c r="AC10" s="13">
        <v>35</v>
      </c>
      <c r="AD10" s="18">
        <v>48</v>
      </c>
    </row>
    <row r="11" spans="1:30" ht="20.7" customHeight="1" x14ac:dyDescent="0.2">
      <c r="A11" s="20">
        <v>45636</v>
      </c>
      <c r="B11" s="10">
        <v>13323884</v>
      </c>
      <c r="C11" s="14">
        <f t="shared" si="2"/>
        <v>3275</v>
      </c>
      <c r="D11" s="11">
        <v>611938</v>
      </c>
      <c r="E11" s="14">
        <f t="shared" si="3"/>
        <v>580</v>
      </c>
      <c r="F11" s="27">
        <v>1704</v>
      </c>
      <c r="G11" s="70">
        <f t="shared" si="4"/>
        <v>0</v>
      </c>
      <c r="H11" s="72">
        <f t="shared" si="5"/>
        <v>3855</v>
      </c>
      <c r="I11" s="76">
        <f t="shared" si="6"/>
        <v>-41782.519999999997</v>
      </c>
      <c r="J11" s="32">
        <f t="shared" si="0"/>
        <v>178</v>
      </c>
      <c r="K11" s="20">
        <f t="shared" si="1"/>
        <v>45636</v>
      </c>
      <c r="L11" s="33">
        <v>3580</v>
      </c>
      <c r="M11" s="31">
        <v>0</v>
      </c>
      <c r="N11" s="35">
        <v>0</v>
      </c>
      <c r="O11" s="88">
        <v>0.81</v>
      </c>
      <c r="P11" s="89">
        <v>0.79</v>
      </c>
      <c r="Q11" s="88">
        <v>0.71</v>
      </c>
      <c r="R11" s="89">
        <v>0.7</v>
      </c>
      <c r="S11" s="39">
        <f t="shared" si="7"/>
        <v>4705</v>
      </c>
      <c r="T11" s="126"/>
      <c r="U11" s="32">
        <f t="shared" si="8"/>
        <v>25</v>
      </c>
      <c r="V11" s="44">
        <v>121799</v>
      </c>
      <c r="W11" s="32">
        <f t="shared" si="9"/>
        <v>3</v>
      </c>
      <c r="X11" s="47">
        <v>61237</v>
      </c>
      <c r="Y11" s="14">
        <f t="shared" si="10"/>
        <v>0</v>
      </c>
      <c r="Z11" s="50">
        <v>2400</v>
      </c>
      <c r="AA11" s="55">
        <v>0</v>
      </c>
      <c r="AB11" s="32">
        <f t="shared" si="11"/>
        <v>0</v>
      </c>
      <c r="AC11" s="13">
        <v>33</v>
      </c>
      <c r="AD11" s="18">
        <v>45</v>
      </c>
    </row>
    <row r="12" spans="1:30" ht="20.7" customHeight="1" x14ac:dyDescent="0.2">
      <c r="A12" s="19">
        <v>45637</v>
      </c>
      <c r="B12" s="10">
        <v>13327159</v>
      </c>
      <c r="C12" s="14">
        <f t="shared" si="2"/>
        <v>3682</v>
      </c>
      <c r="D12" s="11">
        <v>612518</v>
      </c>
      <c r="E12" s="14">
        <f t="shared" si="3"/>
        <v>352</v>
      </c>
      <c r="F12" s="27">
        <v>1704</v>
      </c>
      <c r="G12" s="70">
        <f t="shared" si="4"/>
        <v>0</v>
      </c>
      <c r="H12" s="72">
        <f t="shared" si="5"/>
        <v>4034</v>
      </c>
      <c r="I12" s="76">
        <f t="shared" si="6"/>
        <v>-41604.519999999997</v>
      </c>
      <c r="J12" s="32">
        <f t="shared" si="0"/>
        <v>45</v>
      </c>
      <c r="K12" s="20">
        <f t="shared" si="1"/>
        <v>45637</v>
      </c>
      <c r="L12" s="33">
        <v>3276</v>
      </c>
      <c r="M12" s="34">
        <v>0</v>
      </c>
      <c r="N12" s="35">
        <v>0</v>
      </c>
      <c r="O12" s="88">
        <v>0.81</v>
      </c>
      <c r="P12" s="89">
        <v>0.78</v>
      </c>
      <c r="Q12" s="88">
        <v>0.71</v>
      </c>
      <c r="R12" s="89">
        <v>0.7</v>
      </c>
      <c r="S12" s="39">
        <f t="shared" si="7"/>
        <v>4680</v>
      </c>
      <c r="T12" s="126"/>
      <c r="U12" s="32">
        <f t="shared" si="8"/>
        <v>25</v>
      </c>
      <c r="V12" s="44">
        <v>121802</v>
      </c>
      <c r="W12" s="32">
        <f t="shared" si="9"/>
        <v>5</v>
      </c>
      <c r="X12" s="47">
        <v>61237</v>
      </c>
      <c r="Y12" s="14">
        <f t="shared" si="10"/>
        <v>0</v>
      </c>
      <c r="Z12" s="50">
        <v>2400</v>
      </c>
      <c r="AA12" s="55">
        <v>0</v>
      </c>
      <c r="AB12" s="32">
        <f t="shared" si="11"/>
        <v>0</v>
      </c>
      <c r="AC12" s="13">
        <v>36</v>
      </c>
      <c r="AD12" s="18">
        <v>49</v>
      </c>
    </row>
    <row r="13" spans="1:30" ht="20.7" customHeight="1" x14ac:dyDescent="0.2">
      <c r="A13" s="20">
        <v>45638</v>
      </c>
      <c r="B13" s="10">
        <v>13330841</v>
      </c>
      <c r="C13" s="14">
        <f t="shared" si="2"/>
        <v>3501</v>
      </c>
      <c r="D13" s="11">
        <v>612870</v>
      </c>
      <c r="E13" s="14">
        <f t="shared" si="3"/>
        <v>579</v>
      </c>
      <c r="F13" s="27">
        <v>1704</v>
      </c>
      <c r="G13" s="70">
        <f t="shared" si="4"/>
        <v>0</v>
      </c>
      <c r="H13" s="72">
        <f t="shared" si="5"/>
        <v>4080</v>
      </c>
      <c r="I13" s="76">
        <f t="shared" si="6"/>
        <v>-41559.519999999997</v>
      </c>
      <c r="J13" s="32">
        <f t="shared" si="0"/>
        <v>104.0199999999968</v>
      </c>
      <c r="K13" s="20">
        <f t="shared" si="1"/>
        <v>45638</v>
      </c>
      <c r="L13" s="33">
        <v>2987</v>
      </c>
      <c r="M13" s="34">
        <v>0</v>
      </c>
      <c r="N13" s="35">
        <v>0</v>
      </c>
      <c r="O13" s="88">
        <v>0.81</v>
      </c>
      <c r="P13" s="89">
        <v>0.77</v>
      </c>
      <c r="Q13" s="88">
        <v>0.71</v>
      </c>
      <c r="R13" s="89">
        <v>0.7</v>
      </c>
      <c r="S13" s="39">
        <f t="shared" si="7"/>
        <v>4655</v>
      </c>
      <c r="T13" s="126"/>
      <c r="U13" s="32">
        <f t="shared" si="8"/>
        <v>50</v>
      </c>
      <c r="V13" s="44">
        <v>121807</v>
      </c>
      <c r="W13" s="32" t="str">
        <f t="shared" si="9"/>
        <v>0</v>
      </c>
      <c r="X13" s="47">
        <v>61237</v>
      </c>
      <c r="Y13" s="14">
        <f t="shared" si="10"/>
        <v>1</v>
      </c>
      <c r="Z13" s="50">
        <v>2400</v>
      </c>
      <c r="AA13" s="55">
        <v>0</v>
      </c>
      <c r="AB13" s="32">
        <f t="shared" si="11"/>
        <v>0</v>
      </c>
      <c r="AC13" s="13">
        <v>34</v>
      </c>
      <c r="AD13" s="18">
        <v>46</v>
      </c>
    </row>
    <row r="14" spans="1:30" ht="20.7" customHeight="1" x14ac:dyDescent="0.2">
      <c r="A14" s="19">
        <v>45639</v>
      </c>
      <c r="B14" s="10">
        <v>13334342</v>
      </c>
      <c r="C14" s="14">
        <f t="shared" si="2"/>
        <v>3500</v>
      </c>
      <c r="D14" s="11">
        <v>613449</v>
      </c>
      <c r="E14" s="14">
        <f t="shared" si="3"/>
        <v>685</v>
      </c>
      <c r="F14" s="27">
        <v>1704</v>
      </c>
      <c r="G14" s="70">
        <f t="shared" si="4"/>
        <v>0</v>
      </c>
      <c r="H14" s="72">
        <f t="shared" si="5"/>
        <v>4185</v>
      </c>
      <c r="I14" s="76">
        <f t="shared" si="6"/>
        <v>-41455.5</v>
      </c>
      <c r="J14" s="32">
        <f t="shared" si="0"/>
        <v>328.02999999999884</v>
      </c>
      <c r="K14" s="20">
        <f t="shared" si="1"/>
        <v>45639</v>
      </c>
      <c r="L14" s="33">
        <v>2703</v>
      </c>
      <c r="M14" s="34">
        <v>0</v>
      </c>
      <c r="N14" s="35">
        <v>0</v>
      </c>
      <c r="O14" s="88">
        <v>0.79</v>
      </c>
      <c r="P14" s="89">
        <v>0.77</v>
      </c>
      <c r="Q14" s="88">
        <v>0.71</v>
      </c>
      <c r="R14" s="89">
        <v>0.7</v>
      </c>
      <c r="S14" s="39">
        <f t="shared" si="7"/>
        <v>4605</v>
      </c>
      <c r="T14" s="126"/>
      <c r="U14" s="32">
        <f t="shared" si="8"/>
        <v>125</v>
      </c>
      <c r="V14" s="44">
        <v>27</v>
      </c>
      <c r="W14" s="32">
        <f t="shared" si="9"/>
        <v>58</v>
      </c>
      <c r="X14" s="47">
        <v>61238</v>
      </c>
      <c r="Y14" s="14">
        <f t="shared" si="10"/>
        <v>3</v>
      </c>
      <c r="Z14" s="50">
        <v>2400</v>
      </c>
      <c r="AA14" s="55">
        <v>0</v>
      </c>
      <c r="AB14" s="32">
        <f t="shared" si="11"/>
        <v>0</v>
      </c>
      <c r="AC14" s="13">
        <v>39</v>
      </c>
      <c r="AD14" s="18">
        <v>60</v>
      </c>
    </row>
    <row r="15" spans="1:30" ht="20.7" customHeight="1" x14ac:dyDescent="0.2">
      <c r="A15" s="20">
        <v>45640</v>
      </c>
      <c r="B15" s="10">
        <v>13337842</v>
      </c>
      <c r="C15" s="14">
        <f t="shared" si="2"/>
        <v>3827</v>
      </c>
      <c r="D15" s="11">
        <v>614134</v>
      </c>
      <c r="E15" s="14">
        <f t="shared" si="3"/>
        <v>687</v>
      </c>
      <c r="F15" s="27">
        <v>1704</v>
      </c>
      <c r="G15" s="70">
        <f t="shared" si="4"/>
        <v>0</v>
      </c>
      <c r="H15" s="72">
        <f t="shared" si="5"/>
        <v>4514</v>
      </c>
      <c r="I15" s="76">
        <f t="shared" si="6"/>
        <v>-41127.47</v>
      </c>
      <c r="J15" s="32">
        <f t="shared" si="0"/>
        <v>-330.97999999999593</v>
      </c>
      <c r="K15" s="20">
        <f t="shared" si="1"/>
        <v>45640</v>
      </c>
      <c r="L15" s="33">
        <v>2423</v>
      </c>
      <c r="M15" s="34">
        <v>0</v>
      </c>
      <c r="N15" s="35">
        <v>0</v>
      </c>
      <c r="O15" s="88">
        <v>0.76</v>
      </c>
      <c r="P15" s="89">
        <v>0.75</v>
      </c>
      <c r="Q15" s="88">
        <v>0.71</v>
      </c>
      <c r="R15" s="89">
        <v>0.7</v>
      </c>
      <c r="S15" s="39">
        <f t="shared" si="7"/>
        <v>4480</v>
      </c>
      <c r="T15" s="126"/>
      <c r="U15" s="32">
        <f t="shared" si="8"/>
        <v>125</v>
      </c>
      <c r="V15" s="44">
        <v>85</v>
      </c>
      <c r="W15" s="32">
        <f t="shared" si="9"/>
        <v>59</v>
      </c>
      <c r="X15" s="47">
        <v>61241</v>
      </c>
      <c r="Y15" s="14">
        <f t="shared" si="10"/>
        <v>0</v>
      </c>
      <c r="Z15" s="50">
        <v>2400</v>
      </c>
      <c r="AA15" s="55">
        <v>0</v>
      </c>
      <c r="AB15" s="32">
        <f t="shared" si="11"/>
        <v>0</v>
      </c>
      <c r="AC15" s="13">
        <v>87</v>
      </c>
      <c r="AD15" s="18">
        <v>148</v>
      </c>
    </row>
    <row r="16" spans="1:30" ht="20.7" customHeight="1" x14ac:dyDescent="0.2">
      <c r="A16" s="19">
        <v>45641</v>
      </c>
      <c r="B16" s="10">
        <v>13341669</v>
      </c>
      <c r="C16" s="14">
        <f t="shared" si="2"/>
        <v>3547</v>
      </c>
      <c r="D16" s="11">
        <v>614821</v>
      </c>
      <c r="E16" s="14">
        <f t="shared" si="3"/>
        <v>637</v>
      </c>
      <c r="F16" s="27">
        <v>1704</v>
      </c>
      <c r="G16" s="70">
        <f t="shared" si="4"/>
        <v>0</v>
      </c>
      <c r="H16" s="72">
        <f t="shared" si="5"/>
        <v>4184</v>
      </c>
      <c r="I16" s="76">
        <f t="shared" si="6"/>
        <v>-41458.449999999997</v>
      </c>
      <c r="J16" s="32">
        <f t="shared" si="0"/>
        <v>-39.990000000005239</v>
      </c>
      <c r="K16" s="20">
        <f t="shared" si="1"/>
        <v>45641</v>
      </c>
      <c r="L16" s="33">
        <v>2098</v>
      </c>
      <c r="M16" s="34">
        <v>0</v>
      </c>
      <c r="N16" s="35">
        <v>0</v>
      </c>
      <c r="O16" s="88">
        <v>0.74</v>
      </c>
      <c r="P16" s="89">
        <v>0.72</v>
      </c>
      <c r="Q16" s="88">
        <v>0.71</v>
      </c>
      <c r="R16" s="89">
        <v>0.7</v>
      </c>
      <c r="S16" s="39">
        <f t="shared" si="7"/>
        <v>4355</v>
      </c>
      <c r="T16" s="126"/>
      <c r="U16" s="32">
        <f t="shared" si="8"/>
        <v>25</v>
      </c>
      <c r="V16" s="44">
        <v>144</v>
      </c>
      <c r="W16" s="32">
        <f t="shared" si="9"/>
        <v>59</v>
      </c>
      <c r="X16" s="47">
        <v>61241</v>
      </c>
      <c r="Y16" s="14">
        <f t="shared" si="10"/>
        <v>0</v>
      </c>
      <c r="Z16" s="50">
        <v>2400</v>
      </c>
      <c r="AA16" s="55">
        <v>0</v>
      </c>
      <c r="AB16" s="32">
        <f t="shared" si="11"/>
        <v>0</v>
      </c>
      <c r="AC16" s="13">
        <v>35</v>
      </c>
      <c r="AD16" s="18">
        <v>47</v>
      </c>
    </row>
    <row r="17" spans="1:30" ht="20.7" customHeight="1" x14ac:dyDescent="0.2">
      <c r="A17" s="20">
        <v>45642</v>
      </c>
      <c r="B17" s="10">
        <v>13345216</v>
      </c>
      <c r="C17" s="14">
        <f t="shared" si="2"/>
        <v>3861</v>
      </c>
      <c r="D17" s="11">
        <v>615458</v>
      </c>
      <c r="E17" s="14">
        <f t="shared" si="3"/>
        <v>284</v>
      </c>
      <c r="F17" s="27">
        <v>1704</v>
      </c>
      <c r="G17" s="70">
        <f t="shared" si="4"/>
        <v>0</v>
      </c>
      <c r="H17" s="72">
        <f t="shared" si="5"/>
        <v>4145</v>
      </c>
      <c r="I17" s="76">
        <f t="shared" si="6"/>
        <v>-41498.44</v>
      </c>
      <c r="J17" s="32">
        <f t="shared" si="0"/>
        <v>-100.98999999999796</v>
      </c>
      <c r="K17" s="20">
        <f t="shared" si="1"/>
        <v>45642</v>
      </c>
      <c r="L17" s="33">
        <v>1782</v>
      </c>
      <c r="M17" s="34">
        <v>0</v>
      </c>
      <c r="N17" s="35">
        <v>0</v>
      </c>
      <c r="O17" s="88">
        <v>0.73</v>
      </c>
      <c r="P17" s="89">
        <v>0.72</v>
      </c>
      <c r="Q17" s="88">
        <v>0.71</v>
      </c>
      <c r="R17" s="89">
        <v>0.7</v>
      </c>
      <c r="S17" s="39">
        <f t="shared" si="7"/>
        <v>4330</v>
      </c>
      <c r="T17" s="126"/>
      <c r="U17" s="32">
        <f t="shared" si="8"/>
        <v>50</v>
      </c>
      <c r="V17" s="44">
        <v>203</v>
      </c>
      <c r="W17" s="32">
        <f t="shared" si="9"/>
        <v>50</v>
      </c>
      <c r="X17" s="47">
        <v>61241</v>
      </c>
      <c r="Y17" s="14">
        <f t="shared" si="10"/>
        <v>3</v>
      </c>
      <c r="Z17" s="50">
        <v>2400</v>
      </c>
      <c r="AA17" s="55">
        <v>0</v>
      </c>
      <c r="AB17" s="32">
        <f t="shared" si="11"/>
        <v>0</v>
      </c>
      <c r="AC17" s="13">
        <v>28</v>
      </c>
      <c r="AD17" s="18">
        <v>38</v>
      </c>
    </row>
    <row r="18" spans="1:30" ht="20.7" customHeight="1" x14ac:dyDescent="0.2">
      <c r="A18" s="19">
        <v>45643</v>
      </c>
      <c r="B18" s="10">
        <v>13349077</v>
      </c>
      <c r="C18" s="14">
        <f t="shared" si="2"/>
        <v>3369</v>
      </c>
      <c r="D18" s="11">
        <v>615742</v>
      </c>
      <c r="E18" s="14">
        <f t="shared" si="3"/>
        <v>676</v>
      </c>
      <c r="F18" s="27">
        <v>1704</v>
      </c>
      <c r="G18" s="70">
        <f t="shared" si="4"/>
        <v>0</v>
      </c>
      <c r="H18" s="72">
        <f t="shared" si="5"/>
        <v>4045</v>
      </c>
      <c r="I18" s="76">
        <f t="shared" si="6"/>
        <v>-41599.43</v>
      </c>
      <c r="J18" s="32">
        <f t="shared" si="0"/>
        <v>-4045.9799999999959</v>
      </c>
      <c r="K18" s="20">
        <f t="shared" si="1"/>
        <v>45643</v>
      </c>
      <c r="L18" s="33">
        <v>2400</v>
      </c>
      <c r="M18" s="34">
        <v>0</v>
      </c>
      <c r="N18" s="35">
        <v>0</v>
      </c>
      <c r="O18" s="88">
        <v>0.72</v>
      </c>
      <c r="P18" s="89">
        <v>0.71</v>
      </c>
      <c r="Q18" s="88">
        <v>0.71</v>
      </c>
      <c r="R18" s="89">
        <v>0.7</v>
      </c>
      <c r="S18" s="39">
        <f t="shared" si="7"/>
        <v>4280</v>
      </c>
      <c r="T18" s="126"/>
      <c r="U18" s="32">
        <f t="shared" si="8"/>
        <v>75</v>
      </c>
      <c r="V18" s="44">
        <v>253</v>
      </c>
      <c r="W18" s="32">
        <f t="shared" si="9"/>
        <v>37</v>
      </c>
      <c r="X18" s="47">
        <v>61244</v>
      </c>
      <c r="Y18" s="14">
        <f t="shared" si="10"/>
        <v>0</v>
      </c>
      <c r="Z18" s="50">
        <v>2400</v>
      </c>
      <c r="AA18" s="55">
        <v>0</v>
      </c>
      <c r="AB18" s="32">
        <f t="shared" si="11"/>
        <v>0</v>
      </c>
      <c r="AC18" s="13">
        <v>29</v>
      </c>
      <c r="AD18" s="18">
        <v>39</v>
      </c>
    </row>
    <row r="19" spans="1:30" ht="20.7" customHeight="1" x14ac:dyDescent="0.2">
      <c r="A19" s="20">
        <v>45644</v>
      </c>
      <c r="B19" s="10">
        <v>13352446</v>
      </c>
      <c r="C19" s="14" t="str">
        <f t="shared" si="2"/>
        <v>0</v>
      </c>
      <c r="D19" s="11">
        <v>616418</v>
      </c>
      <c r="E19" s="14" t="str">
        <f t="shared" si="3"/>
        <v>0</v>
      </c>
      <c r="F19" s="27">
        <v>1704</v>
      </c>
      <c r="G19" s="70">
        <f t="shared" si="4"/>
        <v>0</v>
      </c>
      <c r="H19" s="72">
        <f t="shared" si="5"/>
        <v>0</v>
      </c>
      <c r="I19" s="76">
        <f t="shared" si="6"/>
        <v>-45645.409999999996</v>
      </c>
      <c r="J19" s="32">
        <f t="shared" si="0"/>
        <v>0.4099999999962165</v>
      </c>
      <c r="K19" s="20">
        <f t="shared" si="1"/>
        <v>45644</v>
      </c>
      <c r="L19" s="33">
        <v>1151</v>
      </c>
      <c r="M19" s="34">
        <v>0</v>
      </c>
      <c r="N19" s="35">
        <v>0</v>
      </c>
      <c r="O19" s="88">
        <v>0.7</v>
      </c>
      <c r="P19" s="89">
        <v>0.7</v>
      </c>
      <c r="Q19" s="88">
        <v>0.71</v>
      </c>
      <c r="R19" s="89">
        <v>0.7</v>
      </c>
      <c r="S19" s="39">
        <f t="shared" si="7"/>
        <v>4205</v>
      </c>
      <c r="T19" s="126"/>
      <c r="U19" s="32" t="str">
        <f t="shared" si="8"/>
        <v>0</v>
      </c>
      <c r="V19" s="44">
        <v>290</v>
      </c>
      <c r="W19" s="32" t="str">
        <f t="shared" si="9"/>
        <v>0</v>
      </c>
      <c r="X19" s="47">
        <v>61244</v>
      </c>
      <c r="Y19" s="14" t="str">
        <f t="shared" si="10"/>
        <v>0</v>
      </c>
      <c r="Z19" s="50">
        <v>2400</v>
      </c>
      <c r="AA19" s="55">
        <v>0</v>
      </c>
      <c r="AB19" s="32" t="str">
        <f t="shared" si="11"/>
        <v>0</v>
      </c>
      <c r="AC19" s="13"/>
      <c r="AD19" s="18"/>
    </row>
    <row r="20" spans="1:30" ht="20.7" customHeight="1" x14ac:dyDescent="0.2">
      <c r="A20" s="19">
        <v>45645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70">
        <f t="shared" si="4"/>
        <v>0</v>
      </c>
      <c r="H20" s="72">
        <f t="shared" si="5"/>
        <v>0</v>
      </c>
      <c r="I20" s="76">
        <f t="shared" si="6"/>
        <v>-45645</v>
      </c>
      <c r="J20" s="32">
        <f t="shared" si="0"/>
        <v>-1</v>
      </c>
      <c r="K20" s="20">
        <f t="shared" si="1"/>
        <v>45645</v>
      </c>
      <c r="L20" s="33"/>
      <c r="M20" s="34">
        <v>0</v>
      </c>
      <c r="N20" s="35">
        <v>0</v>
      </c>
      <c r="O20" s="88"/>
      <c r="P20" s="89"/>
      <c r="Q20" s="88"/>
      <c r="R20" s="89"/>
      <c r="S20" s="39">
        <f t="shared" si="7"/>
        <v>0</v>
      </c>
      <c r="T20" s="126"/>
      <c r="U20" s="32" t="str">
        <f t="shared" si="8"/>
        <v>0</v>
      </c>
      <c r="V20" s="44"/>
      <c r="W20" s="32">
        <f t="shared" si="9"/>
        <v>0</v>
      </c>
      <c r="X20" s="47"/>
      <c r="Y20" s="14">
        <f t="shared" si="10"/>
        <v>0</v>
      </c>
      <c r="Z20" s="50"/>
      <c r="AA20" s="55">
        <v>0</v>
      </c>
      <c r="AB20" s="32" t="str">
        <f t="shared" si="11"/>
        <v>0</v>
      </c>
      <c r="AC20" s="13"/>
      <c r="AD20" s="18"/>
    </row>
    <row r="21" spans="1:30" ht="20.7" customHeight="1" x14ac:dyDescent="0.2">
      <c r="A21" s="20">
        <v>45646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70">
        <f t="shared" si="4"/>
        <v>0</v>
      </c>
      <c r="H21" s="72">
        <f t="shared" si="5"/>
        <v>0</v>
      </c>
      <c r="I21" s="76">
        <f t="shared" si="6"/>
        <v>-45646</v>
      </c>
      <c r="J21" s="32">
        <f t="shared" si="0"/>
        <v>-1</v>
      </c>
      <c r="K21" s="20">
        <f t="shared" si="1"/>
        <v>45646</v>
      </c>
      <c r="L21" s="33"/>
      <c r="M21" s="34">
        <v>0</v>
      </c>
      <c r="N21" s="35">
        <v>0</v>
      </c>
      <c r="O21" s="88"/>
      <c r="P21" s="89"/>
      <c r="Q21" s="88"/>
      <c r="R21" s="89"/>
      <c r="S21" s="40">
        <f t="shared" si="7"/>
        <v>0</v>
      </c>
      <c r="T21" s="126"/>
      <c r="U21" s="32" t="str">
        <f t="shared" si="8"/>
        <v>0</v>
      </c>
      <c r="V21" s="44"/>
      <c r="W21" s="32">
        <f t="shared" si="9"/>
        <v>0</v>
      </c>
      <c r="X21" s="47"/>
      <c r="Y21" s="14">
        <f t="shared" si="10"/>
        <v>0</v>
      </c>
      <c r="Z21" s="50"/>
      <c r="AA21" s="55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19">
        <v>45647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70">
        <f t="shared" si="4"/>
        <v>0</v>
      </c>
      <c r="H22" s="72">
        <f t="shared" si="5"/>
        <v>0</v>
      </c>
      <c r="I22" s="76">
        <f t="shared" si="6"/>
        <v>-45647</v>
      </c>
      <c r="J22" s="32">
        <f t="shared" si="0"/>
        <v>-1</v>
      </c>
      <c r="K22" s="20">
        <f t="shared" si="1"/>
        <v>45647</v>
      </c>
      <c r="L22" s="33"/>
      <c r="M22" s="34">
        <v>0</v>
      </c>
      <c r="N22" s="35">
        <v>0</v>
      </c>
      <c r="O22" s="88"/>
      <c r="P22" s="89"/>
      <c r="Q22" s="88"/>
      <c r="R22" s="89"/>
      <c r="S22" s="40">
        <f t="shared" si="7"/>
        <v>0</v>
      </c>
      <c r="T22" s="126"/>
      <c r="U22" s="32" t="str">
        <f t="shared" si="8"/>
        <v>0</v>
      </c>
      <c r="V22" s="44"/>
      <c r="W22" s="32">
        <f t="shared" si="9"/>
        <v>0</v>
      </c>
      <c r="X22" s="47"/>
      <c r="Y22" s="14">
        <f t="shared" si="10"/>
        <v>0</v>
      </c>
      <c r="Z22" s="50"/>
      <c r="AA22" s="55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20">
        <v>45648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70">
        <f t="shared" si="4"/>
        <v>0</v>
      </c>
      <c r="H23" s="72">
        <f t="shared" si="5"/>
        <v>0</v>
      </c>
      <c r="I23" s="76">
        <f t="shared" si="6"/>
        <v>-45648</v>
      </c>
      <c r="J23" s="32">
        <f t="shared" si="0"/>
        <v>-1</v>
      </c>
      <c r="K23" s="20">
        <f t="shared" si="1"/>
        <v>45648</v>
      </c>
      <c r="L23" s="33"/>
      <c r="M23" s="34">
        <v>0</v>
      </c>
      <c r="N23" s="35">
        <v>0</v>
      </c>
      <c r="O23" s="88"/>
      <c r="P23" s="89"/>
      <c r="Q23" s="88"/>
      <c r="R23" s="89"/>
      <c r="S23" s="40">
        <f t="shared" si="7"/>
        <v>0</v>
      </c>
      <c r="T23" s="38"/>
      <c r="U23" s="32" t="str">
        <f t="shared" si="8"/>
        <v>0</v>
      </c>
      <c r="V23" s="44"/>
      <c r="W23" s="32">
        <f t="shared" si="9"/>
        <v>0</v>
      </c>
      <c r="X23" s="47"/>
      <c r="Y23" s="14">
        <f t="shared" si="10"/>
        <v>0</v>
      </c>
      <c r="Z23" s="50"/>
      <c r="AA23" s="55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19">
        <v>45649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70">
        <f t="shared" si="4"/>
        <v>0</v>
      </c>
      <c r="H24" s="72">
        <f t="shared" si="5"/>
        <v>0</v>
      </c>
      <c r="I24" s="76">
        <f t="shared" si="6"/>
        <v>-45649</v>
      </c>
      <c r="J24" s="32">
        <f t="shared" si="0"/>
        <v>-1</v>
      </c>
      <c r="K24" s="20">
        <f t="shared" si="1"/>
        <v>45649</v>
      </c>
      <c r="L24" s="33"/>
      <c r="M24" s="34">
        <v>0</v>
      </c>
      <c r="N24" s="35">
        <v>0</v>
      </c>
      <c r="O24" s="88"/>
      <c r="P24" s="89"/>
      <c r="Q24" s="88"/>
      <c r="R24" s="89"/>
      <c r="S24" s="40">
        <f t="shared" si="7"/>
        <v>0</v>
      </c>
      <c r="T24" s="38"/>
      <c r="U24" s="32" t="str">
        <f t="shared" si="8"/>
        <v>0</v>
      </c>
      <c r="V24" s="44"/>
      <c r="W24" s="32">
        <f t="shared" si="9"/>
        <v>0</v>
      </c>
      <c r="X24" s="47"/>
      <c r="Y24" s="14">
        <f t="shared" si="10"/>
        <v>0</v>
      </c>
      <c r="Z24" s="50"/>
      <c r="AA24" s="55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20">
        <v>45650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70">
        <f t="shared" si="4"/>
        <v>0</v>
      </c>
      <c r="H25" s="72">
        <f t="shared" si="5"/>
        <v>0</v>
      </c>
      <c r="I25" s="76">
        <f t="shared" si="6"/>
        <v>-45650</v>
      </c>
      <c r="J25" s="32">
        <f t="shared" si="0"/>
        <v>-1</v>
      </c>
      <c r="K25" s="20">
        <f t="shared" si="1"/>
        <v>45650</v>
      </c>
      <c r="L25" s="33"/>
      <c r="M25" s="34">
        <v>0</v>
      </c>
      <c r="N25" s="35">
        <v>0</v>
      </c>
      <c r="O25" s="88"/>
      <c r="P25" s="89"/>
      <c r="Q25" s="88"/>
      <c r="R25" s="89"/>
      <c r="S25" s="40">
        <f t="shared" si="7"/>
        <v>0</v>
      </c>
      <c r="T25" s="38"/>
      <c r="U25" s="32" t="str">
        <f t="shared" si="8"/>
        <v>0</v>
      </c>
      <c r="V25" s="44"/>
      <c r="W25" s="32">
        <f t="shared" si="9"/>
        <v>0</v>
      </c>
      <c r="X25" s="47"/>
      <c r="Y25" s="14">
        <f t="shared" si="10"/>
        <v>0</v>
      </c>
      <c r="Z25" s="50"/>
      <c r="AA25" s="55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19">
        <v>45651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70">
        <f t="shared" si="4"/>
        <v>0</v>
      </c>
      <c r="H26" s="72">
        <f t="shared" si="5"/>
        <v>0</v>
      </c>
      <c r="I26" s="76">
        <f t="shared" si="6"/>
        <v>-45651</v>
      </c>
      <c r="J26" s="32">
        <f t="shared" si="0"/>
        <v>-1</v>
      </c>
      <c r="K26" s="20">
        <f t="shared" si="1"/>
        <v>45651</v>
      </c>
      <c r="L26" s="33"/>
      <c r="M26" s="34">
        <v>0</v>
      </c>
      <c r="N26" s="35">
        <v>0</v>
      </c>
      <c r="O26" s="88"/>
      <c r="P26" s="89"/>
      <c r="Q26" s="88"/>
      <c r="R26" s="89"/>
      <c r="S26" s="40">
        <f t="shared" si="7"/>
        <v>0</v>
      </c>
      <c r="T26" s="38"/>
      <c r="U26" s="32" t="str">
        <f t="shared" si="8"/>
        <v>0</v>
      </c>
      <c r="V26" s="44"/>
      <c r="W26" s="32">
        <f t="shared" si="9"/>
        <v>0</v>
      </c>
      <c r="X26" s="47"/>
      <c r="Y26" s="14">
        <f t="shared" si="10"/>
        <v>0</v>
      </c>
      <c r="Z26" s="50"/>
      <c r="AA26" s="55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20">
        <v>45652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70">
        <f t="shared" si="4"/>
        <v>0</v>
      </c>
      <c r="H27" s="72">
        <f t="shared" si="5"/>
        <v>0</v>
      </c>
      <c r="I27" s="76">
        <f t="shared" si="6"/>
        <v>-45652</v>
      </c>
      <c r="J27" s="32">
        <f t="shared" si="0"/>
        <v>-1</v>
      </c>
      <c r="K27" s="20">
        <f t="shared" si="1"/>
        <v>45652</v>
      </c>
      <c r="L27" s="33"/>
      <c r="M27" s="34">
        <v>0</v>
      </c>
      <c r="N27" s="35">
        <v>0</v>
      </c>
      <c r="O27" s="88"/>
      <c r="P27" s="89"/>
      <c r="Q27" s="88"/>
      <c r="R27" s="89"/>
      <c r="S27" s="40">
        <f t="shared" si="7"/>
        <v>0</v>
      </c>
      <c r="T27" s="38"/>
      <c r="U27" s="32" t="str">
        <f t="shared" si="8"/>
        <v>0</v>
      </c>
      <c r="V27" s="44"/>
      <c r="W27" s="32">
        <f t="shared" si="9"/>
        <v>0</v>
      </c>
      <c r="X27" s="47"/>
      <c r="Y27" s="14">
        <f t="shared" si="10"/>
        <v>0</v>
      </c>
      <c r="Z27" s="50"/>
      <c r="AA27" s="55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19">
        <v>45653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70">
        <f t="shared" si="4"/>
        <v>0</v>
      </c>
      <c r="H28" s="72">
        <f t="shared" si="5"/>
        <v>0</v>
      </c>
      <c r="I28" s="76">
        <f t="shared" si="6"/>
        <v>-45653</v>
      </c>
      <c r="J28" s="32">
        <f t="shared" si="0"/>
        <v>-1</v>
      </c>
      <c r="K28" s="20">
        <f t="shared" si="1"/>
        <v>45653</v>
      </c>
      <c r="L28" s="33"/>
      <c r="M28" s="34"/>
      <c r="N28" s="35">
        <v>0</v>
      </c>
      <c r="O28" s="88"/>
      <c r="P28" s="89"/>
      <c r="Q28" s="88"/>
      <c r="R28" s="89"/>
      <c r="S28" s="40">
        <f t="shared" si="7"/>
        <v>0</v>
      </c>
      <c r="T28" s="38"/>
      <c r="U28" s="32" t="str">
        <f t="shared" si="8"/>
        <v>0</v>
      </c>
      <c r="V28" s="44"/>
      <c r="W28" s="32">
        <f t="shared" si="9"/>
        <v>0</v>
      </c>
      <c r="X28" s="47"/>
      <c r="Y28" s="14">
        <f t="shared" si="10"/>
        <v>0</v>
      </c>
      <c r="Z28" s="50"/>
      <c r="AA28" s="55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45654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70">
        <f t="shared" si="4"/>
        <v>0</v>
      </c>
      <c r="H29" s="72">
        <f t="shared" si="5"/>
        <v>0</v>
      </c>
      <c r="I29" s="76">
        <f t="shared" si="6"/>
        <v>-45654</v>
      </c>
      <c r="J29" s="32">
        <f t="shared" si="0"/>
        <v>-1</v>
      </c>
      <c r="K29" s="20">
        <f t="shared" si="1"/>
        <v>45654</v>
      </c>
      <c r="L29" s="33"/>
      <c r="M29" s="34">
        <v>0</v>
      </c>
      <c r="N29" s="35">
        <v>0</v>
      </c>
      <c r="O29" s="88"/>
      <c r="P29" s="89"/>
      <c r="Q29" s="88"/>
      <c r="R29" s="89"/>
      <c r="S29" s="40">
        <f t="shared" si="7"/>
        <v>0</v>
      </c>
      <c r="T29" s="38"/>
      <c r="U29" s="32" t="str">
        <f t="shared" si="8"/>
        <v>0</v>
      </c>
      <c r="V29" s="44"/>
      <c r="W29" s="32">
        <f t="shared" si="9"/>
        <v>0</v>
      </c>
      <c r="X29" s="47"/>
      <c r="Y29" s="14">
        <f t="shared" si="10"/>
        <v>0</v>
      </c>
      <c r="Z29" s="50"/>
      <c r="AA29" s="55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19">
        <v>45655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70">
        <f t="shared" si="4"/>
        <v>0</v>
      </c>
      <c r="H30" s="72">
        <f t="shared" si="5"/>
        <v>0</v>
      </c>
      <c r="I30" s="76">
        <f t="shared" si="6"/>
        <v>-45655</v>
      </c>
      <c r="J30" s="32">
        <f t="shared" si="0"/>
        <v>-1</v>
      </c>
      <c r="K30" s="20">
        <f t="shared" si="1"/>
        <v>45655</v>
      </c>
      <c r="L30" s="33"/>
      <c r="M30" s="34">
        <v>0</v>
      </c>
      <c r="N30" s="35">
        <v>0</v>
      </c>
      <c r="O30" s="88"/>
      <c r="P30" s="89"/>
      <c r="Q30" s="88"/>
      <c r="R30" s="89"/>
      <c r="S30" s="40">
        <f t="shared" si="7"/>
        <v>0</v>
      </c>
      <c r="T30" s="38"/>
      <c r="U30" s="32" t="str">
        <f t="shared" si="8"/>
        <v>0</v>
      </c>
      <c r="V30" s="44"/>
      <c r="W30" s="32">
        <f t="shared" si="9"/>
        <v>0</v>
      </c>
      <c r="X30" s="47"/>
      <c r="Y30" s="14">
        <f t="shared" si="10"/>
        <v>0</v>
      </c>
      <c r="Z30" s="50"/>
      <c r="AA30" s="55">
        <v>0</v>
      </c>
      <c r="AB30" s="32" t="str">
        <f t="shared" si="11"/>
        <v>0</v>
      </c>
      <c r="AC30" s="13"/>
      <c r="AD30" s="18"/>
    </row>
    <row r="31" spans="1:30" ht="20.7" customHeight="1" thickBot="1" x14ac:dyDescent="0.25">
      <c r="A31" s="20">
        <v>45656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70">
        <f t="shared" si="4"/>
        <v>0</v>
      </c>
      <c r="H31" s="72">
        <f t="shared" si="5"/>
        <v>0</v>
      </c>
      <c r="I31" s="76">
        <f t="shared" si="6"/>
        <v>-45656</v>
      </c>
      <c r="J31" s="32">
        <f t="shared" si="0"/>
        <v>45656</v>
      </c>
      <c r="K31" s="20">
        <f t="shared" si="1"/>
        <v>45656</v>
      </c>
      <c r="L31" s="33"/>
      <c r="M31" s="34">
        <v>0</v>
      </c>
      <c r="N31" s="35">
        <v>0</v>
      </c>
      <c r="O31" s="88"/>
      <c r="P31" s="89"/>
      <c r="Q31" s="88"/>
      <c r="R31" s="89"/>
      <c r="S31" s="40">
        <f t="shared" si="7"/>
        <v>0</v>
      </c>
      <c r="T31" s="38"/>
      <c r="U31" s="32" t="str">
        <f t="shared" si="8"/>
        <v>0</v>
      </c>
      <c r="V31" s="44"/>
      <c r="W31" s="32">
        <f t="shared" si="9"/>
        <v>0</v>
      </c>
      <c r="X31" s="47"/>
      <c r="Y31" s="14">
        <f t="shared" si="10"/>
        <v>0</v>
      </c>
      <c r="Z31" s="50"/>
      <c r="AA31" s="55">
        <v>0</v>
      </c>
      <c r="AB31" s="32" t="str">
        <f t="shared" si="11"/>
        <v>0</v>
      </c>
      <c r="AC31" s="13"/>
      <c r="AD31" s="18"/>
    </row>
    <row r="32" spans="1:30" ht="20.7" customHeight="1" thickTop="1" thickBot="1" x14ac:dyDescent="0.25">
      <c r="A32" s="20">
        <v>45658</v>
      </c>
      <c r="B32" s="56"/>
      <c r="C32" s="66"/>
      <c r="D32" s="65"/>
      <c r="E32" s="66"/>
      <c r="F32" s="27">
        <v>1704</v>
      </c>
      <c r="G32" s="59"/>
      <c r="H32" s="74"/>
      <c r="I32" s="67"/>
      <c r="J32" s="66"/>
      <c r="K32" s="64">
        <f t="shared" si="1"/>
        <v>45658</v>
      </c>
      <c r="L32" s="52"/>
      <c r="M32" s="68">
        <v>0</v>
      </c>
      <c r="N32" s="66"/>
      <c r="O32" s="90"/>
      <c r="P32" s="91"/>
      <c r="Q32" s="90"/>
      <c r="R32" s="91"/>
      <c r="S32" s="41">
        <f t="shared" si="7"/>
        <v>0</v>
      </c>
      <c r="T32" s="57"/>
      <c r="U32" s="66"/>
      <c r="V32" s="63"/>
      <c r="W32" s="66"/>
      <c r="X32" s="62"/>
      <c r="Y32" s="66"/>
      <c r="Z32" s="61"/>
      <c r="AA32" s="58">
        <v>0</v>
      </c>
      <c r="AB32" s="59"/>
      <c r="AC32" s="60">
        <v>174</v>
      </c>
      <c r="AD32" s="60">
        <v>370</v>
      </c>
    </row>
    <row r="33" spans="1:30" s="84" customFormat="1" ht="10.7" thickTop="1" x14ac:dyDescent="0.2">
      <c r="A33" s="78"/>
      <c r="B33" s="78"/>
      <c r="C33" s="79">
        <f>SUM(C2:C32)</f>
        <v>63873</v>
      </c>
      <c r="D33" s="80"/>
      <c r="E33" s="79">
        <f>SUM(E2:E32)</f>
        <v>9794</v>
      </c>
      <c r="F33" s="81"/>
      <c r="G33" s="79">
        <f>SUM(G2:G32)</f>
        <v>0</v>
      </c>
      <c r="H33" s="80">
        <f>SUM(H2:H32)</f>
        <v>73667</v>
      </c>
      <c r="I33" s="79">
        <f>SUM(I2:I31)</f>
        <v>-1295604.28</v>
      </c>
      <c r="J33" s="79">
        <f>SUM(J2:J32)</f>
        <v>40392.289999999994</v>
      </c>
      <c r="K33" s="78"/>
      <c r="L33" s="80"/>
      <c r="M33" s="80"/>
      <c r="N33" s="79">
        <f>SUM(N2:N32)</f>
        <v>0</v>
      </c>
      <c r="O33" s="78"/>
      <c r="P33" s="78"/>
      <c r="Q33" s="78"/>
      <c r="R33" s="78"/>
      <c r="S33" s="78"/>
      <c r="T33" s="80">
        <f>SUM(T2:T32)</f>
        <v>1855</v>
      </c>
      <c r="U33" s="79">
        <f>SUM(U2:U32)</f>
        <v>1045</v>
      </c>
      <c r="V33" s="78"/>
      <c r="W33" s="79">
        <f>SUM(W2:W32)</f>
        <v>293</v>
      </c>
      <c r="X33" s="78"/>
      <c r="Y33" s="79">
        <f>SUM(Y2:Y32)</f>
        <v>25</v>
      </c>
      <c r="Z33" s="78"/>
      <c r="AA33" s="78">
        <f>SUM(AA2:AA32)</f>
        <v>0</v>
      </c>
      <c r="AB33" s="79">
        <f>SUM(AB2:AB32)</f>
        <v>0</v>
      </c>
      <c r="AC33" s="82">
        <f>SUM(AC2:AC32)</f>
        <v>1008</v>
      </c>
      <c r="AD33" s="83">
        <f>SUM(AD2:AD32)</f>
        <v>1646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3"/>
      <c r="I36" s="73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2024-12-18T06:36:09Z</dcterms:modified>
  <cp:category/>
  <cp:contentStatus/>
</cp:coreProperties>
</file>