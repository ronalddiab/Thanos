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209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5" i="3" l="1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E25" i="3"/>
  <c r="F25" i="3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BJ24" i="3" s="1"/>
  <c r="EW32" i="4"/>
  <c r="EV32" i="4"/>
  <c r="EU32" i="4"/>
  <c r="ET32" i="4"/>
  <c r="ER32" i="4"/>
  <c r="EQ32" i="4"/>
  <c r="EP32" i="4"/>
  <c r="EO32" i="4"/>
  <c r="EN32" i="4"/>
  <c r="EM32" i="4"/>
  <c r="EL32" i="4"/>
  <c r="EK32" i="4"/>
  <c r="BD24" i="3" s="1"/>
  <c r="EJ32" i="4"/>
  <c r="EI32" i="4"/>
  <c r="EH32" i="4"/>
  <c r="EG32" i="4"/>
  <c r="EE32" i="4"/>
  <c r="ED32" i="4"/>
  <c r="AZ24" i="3" s="1"/>
  <c r="EC32" i="4"/>
  <c r="EB32" i="4"/>
  <c r="EA32" i="4"/>
  <c r="DZ32" i="4"/>
  <c r="DY32" i="4"/>
  <c r="DX32" i="4"/>
  <c r="AW24" i="3" s="1"/>
  <c r="DW32" i="4"/>
  <c r="DV32" i="4"/>
  <c r="DU32" i="4"/>
  <c r="DT32" i="4"/>
  <c r="DR32" i="4"/>
  <c r="DQ32" i="4"/>
  <c r="AT24" i="3" s="1"/>
  <c r="DP32" i="4"/>
  <c r="DO32" i="4"/>
  <c r="DN32" i="4"/>
  <c r="DM32" i="4"/>
  <c r="DL32" i="4"/>
  <c r="DK32" i="4"/>
  <c r="AP24" i="3" s="1"/>
  <c r="DJ32" i="4"/>
  <c r="DI32" i="4"/>
  <c r="DH32" i="4"/>
  <c r="DG32" i="4"/>
  <c r="DF32" i="4"/>
  <c r="DE32" i="4"/>
  <c r="AO24" i="3" s="1"/>
  <c r="DD32" i="4"/>
  <c r="DC32" i="4"/>
  <c r="DB32" i="4"/>
  <c r="DA32" i="4"/>
  <c r="CZ32" i="4"/>
  <c r="CY32" i="4"/>
  <c r="AJ24" i="3" s="1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K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5" i="1"/>
  <c r="G27" i="1"/>
  <c r="G26" i="1"/>
  <c r="E31" i="1"/>
  <c r="G28" i="1"/>
  <c r="E26" i="1"/>
  <c r="E27" i="1"/>
  <c r="E28" i="1"/>
  <c r="G25" i="1"/>
  <c r="E25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4" i="1"/>
  <c r="K21" i="1"/>
  <c r="K29" i="1"/>
  <c r="K28" i="1"/>
  <c r="K27" i="1"/>
  <c r="K25" i="1"/>
  <c r="K26" i="1"/>
  <c r="AK24" i="3" l="1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24" i="1" l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C48" i="4" s="1"/>
  <c r="CB27" i="4"/>
  <c r="BZ27" i="4"/>
  <c r="BT27" i="4"/>
  <c r="S27" i="4"/>
  <c r="P27" i="4"/>
  <c r="N27" i="4"/>
  <c r="L27" i="4"/>
  <c r="K48" i="4" s="1"/>
  <c r="K49" i="4" s="1"/>
  <c r="J27" i="4"/>
  <c r="BL19" i="3" s="1"/>
  <c r="K19" i="1" s="1"/>
  <c r="G27" i="4"/>
  <c r="D27" i="4"/>
  <c r="EL26" i="4"/>
  <c r="EL25" i="4"/>
  <c r="BY48" i="4" l="1"/>
  <c r="CT48" i="4"/>
  <c r="CT49" i="4" s="1"/>
  <c r="CE48" i="4"/>
  <c r="F48" i="4"/>
  <c r="F49" i="4" s="1"/>
  <c r="CI48" i="4"/>
  <c r="CS27" i="4"/>
  <c r="CR27" i="4"/>
  <c r="CS28" i="4"/>
  <c r="CR28" i="4"/>
  <c r="CO27" i="4"/>
  <c r="CP27" i="4"/>
  <c r="CO28" i="4"/>
  <c r="CP28" i="4"/>
  <c r="CM27" i="4"/>
  <c r="CL27" i="4"/>
  <c r="CM28" i="4"/>
  <c r="CL28" i="4"/>
  <c r="CG48" i="4"/>
  <c r="CA4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I48" i="4"/>
  <c r="I49" i="4" s="1"/>
  <c r="C48" i="4"/>
  <c r="C49" i="4" s="1"/>
  <c r="AS47" i="4" l="1"/>
  <c r="U48" i="4"/>
  <c r="CK48" i="4"/>
  <c r="X48" i="4"/>
  <c r="AP48" i="4"/>
  <c r="CK47" i="4"/>
  <c r="CK49" i="4" s="1"/>
  <c r="U47" i="4"/>
  <c r="AA48" i="4"/>
  <c r="AD48" i="4"/>
  <c r="AS48" i="4"/>
  <c r="CQ48" i="4"/>
  <c r="CQ47" i="4"/>
  <c r="CN47" i="4"/>
  <c r="CN48" i="4"/>
  <c r="X47" i="4"/>
  <c r="AJ48" i="4"/>
  <c r="AP47" i="4"/>
  <c r="AV48" i="4"/>
  <c r="AV47" i="4"/>
  <c r="AM47" i="4"/>
  <c r="AM48" i="4"/>
  <c r="AJ47" i="4"/>
  <c r="AG47" i="4"/>
  <c r="AG48" i="4"/>
  <c r="AD47" i="4"/>
  <c r="AA47" i="4"/>
  <c r="AA49" i="4" s="1"/>
  <c r="AJ49" i="4" l="1"/>
  <c r="U49" i="4"/>
  <c r="X49" i="4"/>
  <c r="AS49" i="4"/>
  <c r="AV49" i="4"/>
  <c r="AP49" i="4"/>
  <c r="AD49" i="4"/>
  <c r="CQ49" i="4"/>
  <c r="CN49" i="4"/>
  <c r="AM49" i="4"/>
  <c r="AM50" i="4"/>
  <c r="AG49" i="4"/>
  <c r="AA50" i="4"/>
  <c r="AV50" i="4" l="1"/>
  <c r="BT31" i="4" l="1"/>
  <c r="S31" i="4"/>
  <c r="P31" i="4"/>
  <c r="BT30" i="4"/>
  <c r="BS48" i="4" s="1"/>
  <c r="S30" i="4"/>
  <c r="P30" i="4"/>
  <c r="O48" i="4" s="1"/>
  <c r="O49" i="4" s="1"/>
  <c r="R48" i="4" l="1"/>
  <c r="R49" i="4" s="1"/>
  <c r="BH30" i="4"/>
  <c r="BG30" i="4"/>
  <c r="BH31" i="4"/>
  <c r="BG31" i="4"/>
  <c r="BD30" i="4"/>
  <c r="BE30" i="4"/>
  <c r="BD31" i="4"/>
  <c r="BE31" i="4"/>
  <c r="BA30" i="4"/>
  <c r="AZ48" i="4" s="1"/>
  <c r="BB30" i="4"/>
  <c r="BB31" i="4"/>
  <c r="BA31" i="4"/>
  <c r="BF48" i="4" l="1"/>
  <c r="BF49" i="4" s="1"/>
  <c r="BC48" i="4"/>
  <c r="BC49" i="4" s="1"/>
  <c r="AZ49" i="4"/>
  <c r="BC51" i="4" l="1"/>
  <c r="ER31" i="4"/>
  <c r="EP31" i="4"/>
  <c r="EN31" i="4"/>
  <c r="EL31" i="4"/>
  <c r="EJ31" i="4"/>
  <c r="EH31" i="4"/>
  <c r="ER30" i="4"/>
  <c r="EP30" i="4"/>
  <c r="EN30" i="4"/>
  <c r="EL30" i="4"/>
  <c r="EJ30" i="4"/>
  <c r="EH3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<sst xmlns="http://schemas.openxmlformats.org/spreadsheetml/2006/main" count="413" uniqueCount="204">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</sst>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9885</v>
          </cell>
          <cell r="DA33">
            <v>910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F34">
            <v>-220713</v>
          </cell>
          <cell r="G34">
            <v>910</v>
          </cell>
          <cell r="I34">
            <v>-248178</v>
          </cell>
          <cell r="J34">
            <v>620</v>
          </cell>
          <cell r="L34">
            <v>-9452</v>
          </cell>
          <cell r="O34">
            <v>-924213</v>
          </cell>
          <cell r="R34">
            <v>-245289</v>
          </cell>
          <cell r="V34">
            <v>-117650</v>
          </cell>
          <cell r="W34">
            <v>102.55000000000291</v>
          </cell>
          <cell r="Y34">
            <v>-6466</v>
          </cell>
          <cell r="AF34">
            <v>-8190416.6400000006</v>
          </cell>
          <cell r="AI34">
            <v>-15547087.919999998</v>
          </cell>
          <cell r="AL34">
            <v>-15828202.319999998</v>
          </cell>
          <cell r="AO34">
            <v>-18913688.639999997</v>
          </cell>
          <cell r="AR34">
            <v>-19225594.080000002</v>
          </cell>
          <cell r="AU34">
            <v>-17655689.52</v>
          </cell>
          <cell r="AX34">
            <v>-14855458.799999999</v>
          </cell>
          <cell r="BA34">
            <v>-14382192.719999999</v>
          </cell>
          <cell r="BD34">
            <v>-11229472.799999999</v>
          </cell>
          <cell r="BG34">
            <v>-17792787.599999998</v>
          </cell>
          <cell r="BN34">
            <v>-78188000</v>
          </cell>
          <cell r="BQ34">
            <v>-80932000</v>
          </cell>
          <cell r="BT34">
            <v>-75092800</v>
          </cell>
          <cell r="BW34">
            <v>-10335730</v>
          </cell>
          <cell r="BZ34">
            <v>0.62</v>
          </cell>
          <cell r="CC34">
            <v>-64635</v>
          </cell>
          <cell r="CE34">
            <v>-55721</v>
          </cell>
          <cell r="CG34">
            <v>-18849</v>
          </cell>
          <cell r="CI34">
            <v>-25762</v>
          </cell>
          <cell r="CK34">
            <v>-28718</v>
          </cell>
          <cell r="CM34">
            <v>-63005</v>
          </cell>
          <cell r="CO34">
            <v>-269184</v>
          </cell>
          <cell r="CR34">
            <v>-216722</v>
          </cell>
          <cell r="CU34">
            <v>-359052</v>
          </cell>
          <cell r="CX34">
            <v>-697453</v>
          </cell>
          <cell r="DA34">
            <v>-9885</v>
          </cell>
          <cell r="DC34">
            <v>-6099</v>
          </cell>
          <cell r="DE34">
            <v>-32371</v>
          </cell>
          <cell r="DG34">
            <v>-32573</v>
          </cell>
          <cell r="DI34">
            <v>-22003</v>
          </cell>
          <cell r="DK34">
            <v>-24137</v>
          </cell>
          <cell r="DM34">
            <v>-7246</v>
          </cell>
          <cell r="DO34">
            <v>-9892</v>
          </cell>
          <cell r="DQ34">
            <v>-3324</v>
          </cell>
          <cell r="DS34">
            <v>-6562</v>
          </cell>
          <cell r="DU34">
            <v>-30371</v>
          </cell>
          <cell r="DX34">
            <v>-6503.6</v>
          </cell>
          <cell r="DZ34">
            <v>-11410.8</v>
          </cell>
          <cell r="EB34">
            <v>-4901.8999999999996</v>
          </cell>
          <cell r="ED34">
            <v>-5481.5</v>
          </cell>
          <cell r="EF34">
            <v>-1135747</v>
          </cell>
          <cell r="EJ34">
            <v>-233863.5</v>
          </cell>
          <cell r="EM34">
            <v>-12195100</v>
          </cell>
          <cell r="EO34">
            <v>-937570</v>
          </cell>
          <cell r="EQ34">
            <v>-7250200</v>
          </cell>
          <cell r="ES34">
            <v>-2502700</v>
          </cell>
          <cell r="EU34">
            <v>-1287880</v>
          </cell>
          <cell r="EW34">
            <v>-16667800</v>
          </cell>
          <cell r="EZ34">
            <v>-42358</v>
          </cell>
          <cell r="FB34">
            <v>-36975</v>
          </cell>
          <cell r="FD34">
            <v>-7672</v>
          </cell>
          <cell r="FF34">
            <v>-59484</v>
          </cell>
          <cell r="FH34">
            <v>-50043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175.38</v>
      </c>
      <c r="N25">
        <f>Submetering!F25</f>
        <v>372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4" sqref="G24:BL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237*0.74</f>
        <v>175.38</v>
      </c>
      <c r="F25" s="79">
        <f>274+98</f>
        <v>372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910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186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187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188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189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178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190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191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192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179</v>
      </c>
      <c r="CX7" s="517"/>
      <c r="CY7" s="517"/>
      <c r="CZ7" s="517"/>
      <c r="DA7" s="523" t="s">
        <v>174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182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181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180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7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4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1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8">
        <f>C10-C9</f>
        <v>732</v>
      </c>
      <c r="E9" s="482">
        <f>'[1]December - 2022'!G9</f>
        <v>576</v>
      </c>
      <c r="F9" s="168">
        <f>'[1]December - 2022'!H9</f>
        <v>237720</v>
      </c>
      <c r="G9" s="480">
        <f>F10-F9</f>
        <v>427</v>
      </c>
      <c r="H9" s="482">
        <f>'[1]December - 2022'!J9</f>
        <v>407</v>
      </c>
      <c r="I9" s="264">
        <f>'[1]December - 2022'!K9</f>
        <v>5844</v>
      </c>
      <c r="J9" s="480">
        <f>I10-I9</f>
        <v>164</v>
      </c>
      <c r="K9" s="264">
        <f>'[1]December - 2022'!N9</f>
        <v>918944</v>
      </c>
      <c r="L9" s="479">
        <f>K10-K9</f>
        <v>277</v>
      </c>
      <c r="M9" s="264">
        <f>'[1]December - 2022'!Q9</f>
        <v>243148</v>
      </c>
      <c r="N9" s="479">
        <f>M10-M9</f>
        <v>112</v>
      </c>
      <c r="O9" s="264">
        <f>'[1]December - 2022'!U9</f>
        <v>115205</v>
      </c>
      <c r="P9" s="480">
        <f>O10-O9</f>
        <v>131</v>
      </c>
      <c r="Q9" s="482">
        <f>'[1]December - 2022'!W9</f>
        <v>105.08999999999651</v>
      </c>
      <c r="R9" s="264">
        <f>'[1]December - 2022'!X9</f>
        <v>6237</v>
      </c>
      <c r="S9" s="570">
        <f>R10-R9</f>
        <v>18</v>
      </c>
      <c r="T9" s="478"/>
      <c r="U9" s="269">
        <f>'[1]December - 2022'!AE9</f>
        <v>8125472.8800000008</v>
      </c>
      <c r="V9" s="572">
        <f>U10-U9</f>
        <v>2630.8799999989569</v>
      </c>
      <c r="W9" s="498">
        <f>'[1]December - 2022'!AF9</f>
        <v>2630.8799999989569</v>
      </c>
      <c r="X9" s="255">
        <f>'[1]December - 2022'!AH9</f>
        <v>15438880.799999999</v>
      </c>
      <c r="Y9" s="480">
        <f>X10-X9</f>
        <v>4579.6800000015646</v>
      </c>
      <c r="Z9" s="498">
        <f>'[1]December - 2022'!AI9</f>
        <v>4579.6800000015646</v>
      </c>
      <c r="AA9" s="255">
        <f>'[1]December - 2022'!AK9</f>
        <v>15753173.52</v>
      </c>
      <c r="AB9" s="480">
        <f>AA10-AA9</f>
        <v>0</v>
      </c>
      <c r="AC9" s="498">
        <f>'[1]December - 2022'!AL9</f>
        <v>0</v>
      </c>
      <c r="AD9" s="255">
        <f>'[1]December - 2022'!AN9</f>
        <v>18820730.879999999</v>
      </c>
      <c r="AE9" s="480">
        <f>AD10-AD9</f>
        <v>48.719999998807907</v>
      </c>
      <c r="AF9" s="498">
        <f>'[1]December - 2022'!AO9</f>
        <v>48.719999998807907</v>
      </c>
      <c r="AG9" s="255">
        <f>'[1]December - 2022'!AQ9</f>
        <v>19140870</v>
      </c>
      <c r="AH9" s="480">
        <f>AG10-AG9</f>
        <v>12959.519999999553</v>
      </c>
      <c r="AI9" s="498">
        <f>'[1]December - 2022'!AR9</f>
        <v>12959.519999999553</v>
      </c>
      <c r="AJ9" s="255">
        <f>'[1]December - 2022'!AT9</f>
        <v>17520394.080000002</v>
      </c>
      <c r="AK9" s="480">
        <f>AJ10-AJ9</f>
        <v>5943.8399999961257</v>
      </c>
      <c r="AL9" s="498">
        <f>'[1]December - 2022'!AU9</f>
        <v>5943.8399999961257</v>
      </c>
      <c r="AM9" s="255">
        <f>'[1]December - 2022'!AW9</f>
        <v>14752513.439999999</v>
      </c>
      <c r="AN9" s="480">
        <f>AM10-AM9</f>
        <v>4384.8000000007451</v>
      </c>
      <c r="AO9" s="498">
        <f>'[1]December - 2022'!AX9</f>
        <v>4384.8000000007451</v>
      </c>
      <c r="AP9" s="255">
        <f>'[1]December - 2022'!AZ9</f>
        <v>14272426.559999999</v>
      </c>
      <c r="AQ9" s="480">
        <f>AP10-AP9</f>
        <v>4872</v>
      </c>
      <c r="AR9" s="498">
        <f>'[1]December - 2022'!BA9</f>
        <v>4872</v>
      </c>
      <c r="AS9" s="255">
        <f>'[1]December - 2022'!BC9</f>
        <v>11154687.6</v>
      </c>
      <c r="AT9" s="480">
        <f>AS10-AS9</f>
        <v>3118.0800000000745</v>
      </c>
      <c r="AU9" s="498">
        <f>'[1]December - 2022'!BD9</f>
        <v>3118.0800000000745</v>
      </c>
      <c r="AV9" s="255">
        <f>'[1]December - 2022'!BF9</f>
        <v>17655543.359999999</v>
      </c>
      <c r="AW9" s="480">
        <f>AV10-AV9</f>
        <v>5554.0799999982119</v>
      </c>
      <c r="AX9" s="500">
        <f>'[1]December - 2022'!BG9</f>
        <v>5554.0799999982119</v>
      </c>
      <c r="AY9" s="495"/>
      <c r="AZ9" s="272">
        <f>'[1]December - 2022'!BM9</f>
        <v>77840000</v>
      </c>
      <c r="BA9" s="502">
        <f>AZ10-AZ9</f>
        <v>0</v>
      </c>
      <c r="BB9" s="496">
        <f>'[1]December - 2022'!BN9</f>
        <v>0</v>
      </c>
      <c r="BC9" s="272">
        <f>'[1]December - 2022'!BP9</f>
        <v>80452400</v>
      </c>
      <c r="BD9" s="502">
        <f>BC10-BC9</f>
        <v>0</v>
      </c>
      <c r="BE9" s="496">
        <f>'[1]December - 2022'!BQ9</f>
        <v>0</v>
      </c>
      <c r="BF9" s="272">
        <f>'[1]December - 2022'!BS9</f>
        <v>74637500</v>
      </c>
      <c r="BG9" s="502">
        <f>BF10-BF9</f>
        <v>65200</v>
      </c>
      <c r="BH9" s="496">
        <f>'[1]December - 2022'!BT9</f>
        <v>65200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5">
        <f>BS10-BS9</f>
        <v>7460</v>
      </c>
      <c r="BU9" s="591"/>
      <c r="BV9" s="88">
        <f>'[1]December - 2022'!BY9</f>
        <v>0.74</v>
      </c>
      <c r="BW9" s="586">
        <f>BV10-BV9</f>
        <v>-5.9999999999999942E-2</v>
      </c>
      <c r="BX9" s="588">
        <f>'[1]December - 2022'!$BZ$9:$BZ$10</f>
        <v>5.9999999999999942E-2</v>
      </c>
      <c r="BY9" s="89">
        <f>'[1]December - 2022'!CB9</f>
        <v>64169</v>
      </c>
      <c r="BZ9" s="574">
        <f>BY10-BY9</f>
        <v>21</v>
      </c>
      <c r="CA9" s="89">
        <f>'[1]December - 2022'!CD9</f>
        <v>55264</v>
      </c>
      <c r="CB9" s="574">
        <f>CA10-CA9</f>
        <v>20</v>
      </c>
      <c r="CC9" s="89">
        <f>'[1]December - 2022'!CF9</f>
        <v>18695</v>
      </c>
      <c r="CD9" s="574">
        <f>CC10-CC9</f>
        <v>7</v>
      </c>
      <c r="CE9" s="89">
        <f>'[1]December - 2022'!CH9</f>
        <v>25508</v>
      </c>
      <c r="CF9" s="574">
        <f>CE10-CE9</f>
        <v>10</v>
      </c>
      <c r="CG9" s="89">
        <f>'[1]December - 2022'!CJ9</f>
        <v>28364</v>
      </c>
      <c r="CH9" s="574">
        <f>CG10-CG9</f>
        <v>18</v>
      </c>
      <c r="CI9" s="89">
        <f>'[1]December - 2022'!CL9</f>
        <v>62228</v>
      </c>
      <c r="CJ9" s="574">
        <f>CI10-CI9</f>
        <v>34</v>
      </c>
      <c r="CK9" s="89">
        <f>'[1]December - 2022'!CN9</f>
        <v>267458</v>
      </c>
      <c r="CL9" s="574">
        <f>CK10-CK9</f>
        <v>73</v>
      </c>
      <c r="CM9" s="526">
        <f>'[1]December - 2022'!CO9</f>
        <v>73</v>
      </c>
      <c r="CN9" s="89">
        <f>'[1]December - 2022'!CQ9</f>
        <v>214182</v>
      </c>
      <c r="CO9" s="574">
        <f>CN10-CN9</f>
        <v>102</v>
      </c>
      <c r="CP9" s="526">
        <f>'[1]December - 2022'!CR9</f>
        <v>102</v>
      </c>
      <c r="CQ9" s="89">
        <f>'[1]December - 2022'!CT9</f>
        <v>353835</v>
      </c>
      <c r="CR9" s="574">
        <f>CQ10-CQ9</f>
        <v>166</v>
      </c>
      <c r="CS9" s="526">
        <f>'[1]December - 2022'!CU9</f>
        <v>166</v>
      </c>
      <c r="CT9" s="89">
        <f>'[1]December - 2022'!CW9</f>
        <v>693437</v>
      </c>
      <c r="CU9" s="528">
        <f>CT10-CT9</f>
        <v>168</v>
      </c>
      <c r="CV9" s="519"/>
      <c r="CW9" s="297">
        <f>'[1]December - 2022'!CZ9</f>
        <v>8807</v>
      </c>
      <c r="CX9" s="530">
        <f>CW10-CW9</f>
        <v>8</v>
      </c>
      <c r="CY9" s="298">
        <f>'[1]December - 2022'!DB9</f>
        <v>5981</v>
      </c>
      <c r="CZ9" s="530">
        <f>CY10-CY9</f>
        <v>5</v>
      </c>
      <c r="DA9" s="298">
        <f>'[1]December - 2022'!DD9</f>
        <v>32007</v>
      </c>
      <c r="DB9" s="530">
        <f>DA10-DA9</f>
        <v>16</v>
      </c>
      <c r="DC9" s="298">
        <f>'[1]December - 2022'!DF9</f>
        <v>32272</v>
      </c>
      <c r="DD9" s="530">
        <f>DC10-DC9</f>
        <v>15</v>
      </c>
      <c r="DE9" s="298">
        <f>'[1]December - 2022'!DH9</f>
        <v>21764</v>
      </c>
      <c r="DF9" s="530">
        <f>DE10-DE9</f>
        <v>10</v>
      </c>
      <c r="DG9" s="298">
        <f>'[1]December - 2022'!DJ9</f>
        <v>23989</v>
      </c>
      <c r="DH9" s="530">
        <f>DG10-DG9</f>
        <v>6</v>
      </c>
      <c r="DI9" s="298">
        <f>'[1]December - 2022'!DL9</f>
        <v>7013</v>
      </c>
      <c r="DJ9" s="530">
        <f>DI10-DI9</f>
        <v>9</v>
      </c>
      <c r="DK9" s="298">
        <f>'[1]December - 2022'!DN9</f>
        <v>9688</v>
      </c>
      <c r="DL9" s="530">
        <f>DK10-DK9</f>
        <v>8</v>
      </c>
      <c r="DM9" s="298">
        <f>'[1]December - 2022'!DP9</f>
        <v>3228</v>
      </c>
      <c r="DN9" s="530">
        <f>DM10-DM9</f>
        <v>4</v>
      </c>
      <c r="DO9" s="298">
        <f>'[1]December - 2022'!DR9</f>
        <v>6366</v>
      </c>
      <c r="DP9" s="530">
        <f>DO10-DO9</f>
        <v>9</v>
      </c>
      <c r="DQ9" s="298">
        <f>'[1]December - 2022'!DT9</f>
        <v>30245</v>
      </c>
      <c r="DR9" s="584">
        <f>DQ10-DQ9</f>
        <v>10</v>
      </c>
      <c r="DS9" s="535"/>
      <c r="DT9" s="210">
        <f>'[1]December - 2022'!DW9</f>
        <v>6235.5</v>
      </c>
      <c r="DU9" s="548">
        <f>DT10-DT9</f>
        <v>12</v>
      </c>
      <c r="DV9" s="91">
        <f>'[1]December - 2022'!DY9</f>
        <v>11223.7</v>
      </c>
      <c r="DW9" s="546">
        <f>DV10-DV9</f>
        <v>9.0999999999985448</v>
      </c>
      <c r="DX9" s="91">
        <f>'[1]December - 2022'!EA9</f>
        <v>4746.3</v>
      </c>
      <c r="DY9" s="548">
        <f>DX10-DX9</f>
        <v>6.8000000000001819</v>
      </c>
      <c r="DZ9" s="91">
        <f>'[1]December - 2022'!EC9</f>
        <v>5319.5</v>
      </c>
      <c r="EA9" s="548">
        <f>DZ10-DZ9</f>
        <v>6.8000000000001819</v>
      </c>
      <c r="EB9" s="91">
        <f>'[1]December - 2022'!EE9</f>
        <v>1122112</v>
      </c>
      <c r="EC9" s="548">
        <f>EB10-EB9</f>
        <v>608</v>
      </c>
      <c r="ED9" s="91">
        <f>'[1]December - 2022'!EI9</f>
        <v>230550</v>
      </c>
      <c r="EE9" s="550">
        <f>ED10-ED9</f>
        <v>154.89999999999418</v>
      </c>
      <c r="EF9" s="582"/>
      <c r="EG9" s="235">
        <f>'[1]December - 2022'!EL9</f>
        <v>12107000</v>
      </c>
      <c r="EH9" s="559">
        <f>EG10-EG9</f>
        <v>4400</v>
      </c>
      <c r="EI9" s="90">
        <f>'[1]December - 2022'!EN9</f>
        <v>931450</v>
      </c>
      <c r="EJ9" s="559">
        <f>EI10-EI9</f>
        <v>340</v>
      </c>
      <c r="EK9" s="90">
        <f>'[1]December - 2022'!EP9</f>
        <v>7205200</v>
      </c>
      <c r="EL9" s="559">
        <f>EK10-EK9</f>
        <v>2000</v>
      </c>
      <c r="EM9" s="90">
        <f>'[1]December - 2022'!ER9</f>
        <v>2494100</v>
      </c>
      <c r="EN9" s="559">
        <f>EM10-EM9</f>
        <v>400</v>
      </c>
      <c r="EO9" s="90">
        <f>'[1]December - 2022'!ET9</f>
        <v>1271830</v>
      </c>
      <c r="EP9" s="559">
        <f>EO10-EO9</f>
        <v>700</v>
      </c>
      <c r="EQ9" s="90">
        <f>'[1]December - 2022'!EV9</f>
        <v>16592300</v>
      </c>
      <c r="ER9" s="566">
        <f>EQ10-EQ9</f>
        <v>5600</v>
      </c>
      <c r="ES9" s="557"/>
      <c r="ET9" s="281">
        <f>'[1]December - 2022'!EY9</f>
        <v>41974</v>
      </c>
      <c r="EU9" s="531">
        <f>ET10-ET9</f>
        <v>16</v>
      </c>
      <c r="EV9" s="282">
        <f>'[1]December - 2022'!FA9</f>
        <v>36697</v>
      </c>
      <c r="EW9" s="531">
        <f>EV10-EV9</f>
        <v>13</v>
      </c>
      <c r="EX9" s="282">
        <f>'[1]December - 2022'!FC9</f>
        <v>7448</v>
      </c>
      <c r="EY9" s="531">
        <v>0</v>
      </c>
      <c r="EZ9" s="282">
        <f>'[1]December - 2022'!FE9</f>
        <v>59149</v>
      </c>
      <c r="FA9" s="531">
        <f>EZ10-EZ9</f>
        <v>15</v>
      </c>
      <c r="FB9" s="282">
        <f>'[1]December - 2022'!FG9</f>
        <v>49260</v>
      </c>
      <c r="FC9" s="562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9"/>
      <c r="E10" s="483"/>
      <c r="F10" s="168">
        <f>'[1]December - 2022'!H10</f>
        <v>238147</v>
      </c>
      <c r="G10" s="481"/>
      <c r="H10" s="483"/>
      <c r="I10" s="168">
        <f>'[1]December - 2022'!K10</f>
        <v>6008</v>
      </c>
      <c r="J10" s="481"/>
      <c r="K10" s="168">
        <f>'[1]December - 2022'!N10</f>
        <v>919221</v>
      </c>
      <c r="L10" s="480"/>
      <c r="M10" s="168">
        <f>'[1]December - 2022'!Q10</f>
        <v>243260</v>
      </c>
      <c r="N10" s="480"/>
      <c r="O10" s="168">
        <f>'[1]December - 2022'!U10</f>
        <v>115336</v>
      </c>
      <c r="P10" s="481"/>
      <c r="Q10" s="483"/>
      <c r="R10" s="168">
        <f>'[1]December - 2022'!X10</f>
        <v>6255</v>
      </c>
      <c r="S10" s="571"/>
      <c r="T10" s="478"/>
      <c r="U10" s="269">
        <f>'[1]December - 2022'!AE10</f>
        <v>8128103.7599999998</v>
      </c>
      <c r="V10" s="573"/>
      <c r="W10" s="499"/>
      <c r="X10" s="287">
        <f>'[1]December - 2022'!AH10</f>
        <v>15443460.48</v>
      </c>
      <c r="Y10" s="481"/>
      <c r="Z10" s="499"/>
      <c r="AA10" s="287">
        <f>'[1]December - 2022'!AK10</f>
        <v>15753173.52</v>
      </c>
      <c r="AB10" s="481"/>
      <c r="AC10" s="499"/>
      <c r="AD10" s="287">
        <f>'[1]December - 2022'!AN10</f>
        <v>18820779.599999998</v>
      </c>
      <c r="AE10" s="481"/>
      <c r="AF10" s="499"/>
      <c r="AG10" s="287">
        <f>'[1]December - 2022'!AQ10</f>
        <v>19153829.52</v>
      </c>
      <c r="AH10" s="481"/>
      <c r="AI10" s="499"/>
      <c r="AJ10" s="287">
        <f>'[1]December - 2022'!AT10</f>
        <v>17526337.919999998</v>
      </c>
      <c r="AK10" s="481"/>
      <c r="AL10" s="499"/>
      <c r="AM10" s="287">
        <f>'[1]December - 2022'!AW10</f>
        <v>14756898.24</v>
      </c>
      <c r="AN10" s="481"/>
      <c r="AO10" s="499"/>
      <c r="AP10" s="287">
        <f>'[1]December - 2022'!AZ10</f>
        <v>14277298.559999999</v>
      </c>
      <c r="AQ10" s="481"/>
      <c r="AR10" s="499"/>
      <c r="AS10" s="287">
        <f>'[1]December - 2022'!BC10</f>
        <v>11157805.68</v>
      </c>
      <c r="AT10" s="481"/>
      <c r="AU10" s="499"/>
      <c r="AV10" s="287">
        <f>'[1]December - 2022'!BF10</f>
        <v>17661097.439999998</v>
      </c>
      <c r="AW10" s="481"/>
      <c r="AX10" s="501"/>
      <c r="AY10" s="495"/>
      <c r="AZ10" s="272">
        <f>'[1]December - 2022'!BM10</f>
        <v>77840000</v>
      </c>
      <c r="BA10" s="503"/>
      <c r="BB10" s="497"/>
      <c r="BC10" s="272">
        <f>'[1]December - 2022'!BP10</f>
        <v>80452400</v>
      </c>
      <c r="BD10" s="503"/>
      <c r="BE10" s="497"/>
      <c r="BF10" s="272">
        <f>'[1]December - 2022'!BS10</f>
        <v>74702700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5"/>
      <c r="BU10" s="591"/>
      <c r="BV10" s="88">
        <f>'[1]December - 2022'!BY10</f>
        <v>0.68</v>
      </c>
      <c r="BW10" s="587"/>
      <c r="BX10" s="589"/>
      <c r="BY10" s="89">
        <f>'[1]December - 2022'!CB10</f>
        <v>64190</v>
      </c>
      <c r="BZ10" s="575"/>
      <c r="CA10" s="89">
        <f>'[1]December - 2022'!CD10</f>
        <v>55284</v>
      </c>
      <c r="CB10" s="575"/>
      <c r="CC10" s="89">
        <f>'[1]December - 2022'!CF10</f>
        <v>18702</v>
      </c>
      <c r="CD10" s="575"/>
      <c r="CE10" s="89">
        <f>'[1]December - 2022'!CH10</f>
        <v>25518</v>
      </c>
      <c r="CF10" s="575"/>
      <c r="CG10" s="89">
        <f>'[1]December - 2022'!CJ10</f>
        <v>28382</v>
      </c>
      <c r="CH10" s="575"/>
      <c r="CI10" s="89">
        <f>'[1]December - 2022'!CL10</f>
        <v>62262</v>
      </c>
      <c r="CJ10" s="575"/>
      <c r="CK10" s="89">
        <f>'[1]December - 2022'!CN10</f>
        <v>267531</v>
      </c>
      <c r="CL10" s="575"/>
      <c r="CM10" s="527"/>
      <c r="CN10" s="89">
        <f>'[1]December - 2022'!CQ10</f>
        <v>214284</v>
      </c>
      <c r="CO10" s="575"/>
      <c r="CP10" s="527"/>
      <c r="CQ10" s="89">
        <f>'[1]December - 2022'!CT10</f>
        <v>354001</v>
      </c>
      <c r="CR10" s="575"/>
      <c r="CS10" s="527"/>
      <c r="CT10" s="89">
        <f>'[1]December - 2022'!CW10</f>
        <v>693605</v>
      </c>
      <c r="CU10" s="529"/>
      <c r="CV10" s="519"/>
      <c r="CW10" s="256">
        <f>'[1]December - 2022'!CZ10</f>
        <v>8815</v>
      </c>
      <c r="CX10" s="531"/>
      <c r="CY10" s="257">
        <f>'[1]December - 2022'!DB10</f>
        <v>5986</v>
      </c>
      <c r="CZ10" s="531"/>
      <c r="DA10" s="257">
        <f>'[1]December - 2022'!DD10</f>
        <v>32023</v>
      </c>
      <c r="DB10" s="531"/>
      <c r="DC10" s="257">
        <f>'[1]December - 2022'!DF10</f>
        <v>32287</v>
      </c>
      <c r="DD10" s="531"/>
      <c r="DE10" s="257">
        <f>'[1]December - 2022'!DH10</f>
        <v>21774</v>
      </c>
      <c r="DF10" s="531"/>
      <c r="DG10" s="257">
        <f>'[1]December - 2022'!DJ10</f>
        <v>23995</v>
      </c>
      <c r="DH10" s="531"/>
      <c r="DI10" s="257">
        <f>'[1]December - 2022'!DL10</f>
        <v>7022</v>
      </c>
      <c r="DJ10" s="531"/>
      <c r="DK10" s="257">
        <f>'[1]December - 2022'!DN10</f>
        <v>9696</v>
      </c>
      <c r="DL10" s="531"/>
      <c r="DM10" s="257">
        <f>'[1]December - 2022'!DP10</f>
        <v>3232</v>
      </c>
      <c r="DN10" s="531"/>
      <c r="DO10" s="257">
        <f>'[1]December - 2022'!DR10</f>
        <v>6375</v>
      </c>
      <c r="DP10" s="531"/>
      <c r="DQ10" s="298">
        <f>'[1]December - 2022'!DT10</f>
        <v>30255</v>
      </c>
      <c r="DR10" s="562"/>
      <c r="DS10" s="535"/>
      <c r="DT10" s="210">
        <f>'[1]December - 2022'!DW10</f>
        <v>6247.5</v>
      </c>
      <c r="DU10" s="549"/>
      <c r="DV10" s="91">
        <f>'[1]December - 2022'!DY10</f>
        <v>11232.8</v>
      </c>
      <c r="DW10" s="547"/>
      <c r="DX10" s="91">
        <f>'[1]December - 2022'!EA10</f>
        <v>4753.1000000000004</v>
      </c>
      <c r="DY10" s="549"/>
      <c r="DZ10" s="91">
        <f>'[1]December - 2022'!EC10</f>
        <v>5326.3</v>
      </c>
      <c r="EA10" s="549"/>
      <c r="EB10" s="91">
        <f>'[1]December - 2022'!EE10</f>
        <v>1122720</v>
      </c>
      <c r="EC10" s="549"/>
      <c r="ED10" s="91">
        <f>'[1]December - 2022'!EI10</f>
        <v>230704.9</v>
      </c>
      <c r="EE10" s="551"/>
      <c r="EF10" s="582"/>
      <c r="EG10" s="235">
        <f>'[1]December - 2022'!EL10</f>
        <v>12111400</v>
      </c>
      <c r="EH10" s="560"/>
      <c r="EI10" s="90">
        <f>'[1]December - 2022'!EN10</f>
        <v>931790</v>
      </c>
      <c r="EJ10" s="560"/>
      <c r="EK10" s="90">
        <f>'[1]December - 2022'!EP10</f>
        <v>7207200</v>
      </c>
      <c r="EL10" s="560"/>
      <c r="EM10" s="90">
        <f>'[1]December - 2022'!ER10</f>
        <v>2494500</v>
      </c>
      <c r="EN10" s="560"/>
      <c r="EO10" s="90">
        <f>'[1]December - 2022'!ET10</f>
        <v>1272530</v>
      </c>
      <c r="EP10" s="560"/>
      <c r="EQ10" s="90">
        <f>'[1]December - 2022'!EV10</f>
        <v>16597900</v>
      </c>
      <c r="ER10" s="567"/>
      <c r="ES10" s="557"/>
      <c r="ET10" s="281">
        <f>'[1]December - 2022'!EY10</f>
        <v>41990</v>
      </c>
      <c r="EU10" s="561"/>
      <c r="EV10" s="282">
        <f>'[1]December - 2022'!FA10</f>
        <v>36710</v>
      </c>
      <c r="EW10" s="561"/>
      <c r="EX10" s="282">
        <f>'[1]December - 2022'!FC10</f>
        <v>7456</v>
      </c>
      <c r="EY10" s="561"/>
      <c r="EZ10" s="282">
        <f>'[1]December - 2022'!FE10</f>
        <v>59164</v>
      </c>
      <c r="FA10" s="561"/>
      <c r="FB10" s="282">
        <f>'[1]December - 2022'!FG10</f>
        <v>49296</v>
      </c>
      <c r="FC10" s="563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8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5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1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9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5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2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8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5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1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9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5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2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8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5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1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9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5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2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8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5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1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9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5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2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8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5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1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9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535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2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8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5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1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9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535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2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8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5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1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9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5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2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478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95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591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519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535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582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55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478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95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591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519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535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582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55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478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95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591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519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535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582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55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478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95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591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519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535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582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55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478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95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591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519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535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582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55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478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95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591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519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535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582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55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478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95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591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519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535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582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55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478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95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591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519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535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582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55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478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95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591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519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535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582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55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478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95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591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519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535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582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55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478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95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591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519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535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582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55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478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95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591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519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535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582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55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478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95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591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519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535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582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55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478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95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591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519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535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582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55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478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95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591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519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535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582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55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478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95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591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519"/>
      <c r="CW33" s="256">
        <f>'[1]December - 2022'!CZ33</f>
        <v>9885</v>
      </c>
      <c r="CX33" s="198">
        <f>'[1]December - 2022'!DA33</f>
        <v>910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535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582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55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-220713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-248178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-9452</v>
      </c>
      <c r="K34" s="168">
        <f>'[1]December - 2022'!N34</f>
        <v>0</v>
      </c>
      <c r="L34" s="170">
        <f>'[1]December - 2022'!O34</f>
        <v>-924213</v>
      </c>
      <c r="M34" s="168">
        <f>'[1]December - 2022'!Q34</f>
        <v>0</v>
      </c>
      <c r="N34" s="170">
        <f>'[1]December - 2022'!R34</f>
        <v>-245289</v>
      </c>
      <c r="O34" s="168">
        <f>'[1]December - 2022'!U34</f>
        <v>0</v>
      </c>
      <c r="P34" s="170">
        <f>'[1]December - 2022'!V34</f>
        <v>-117650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-6466</v>
      </c>
      <c r="T34" s="478"/>
      <c r="U34" s="169">
        <f>'[1]December - 2022'!AE34</f>
        <v>0</v>
      </c>
      <c r="V34" s="288">
        <f>'[1]December - 2022'!AF34</f>
        <v>-8190416.6400000006</v>
      </c>
      <c r="W34" s="92">
        <f>'[1]December - 2022'!AF34</f>
        <v>-8190416.6400000006</v>
      </c>
      <c r="X34" s="287">
        <f>'[1]December - 2022'!AH34</f>
        <v>0</v>
      </c>
      <c r="Y34" s="288">
        <f>'[1]December - 2022'!AI34</f>
        <v>-15547087.919999998</v>
      </c>
      <c r="Z34" s="92">
        <f>'[1]December - 2022'!AI34</f>
        <v>-15547087.919999998</v>
      </c>
      <c r="AA34" s="287">
        <f>'[1]December - 2022'!AK34</f>
        <v>0</v>
      </c>
      <c r="AB34" s="288">
        <f>'[1]December - 2022'!AL34</f>
        <v>-15828202.319999998</v>
      </c>
      <c r="AC34" s="92">
        <f>'[1]December - 2022'!AL34</f>
        <v>-15828202.319999998</v>
      </c>
      <c r="AD34" s="287">
        <f>'[1]December - 2022'!AN34</f>
        <v>0</v>
      </c>
      <c r="AE34" s="288">
        <f>'[1]December - 2022'!AO34</f>
        <v>-18913688.639999997</v>
      </c>
      <c r="AF34" s="92">
        <f>'[1]December - 2022'!AO34</f>
        <v>-18913688.639999997</v>
      </c>
      <c r="AG34" s="287">
        <f>'[1]December - 2022'!AQ34</f>
        <v>0</v>
      </c>
      <c r="AH34" s="288">
        <f>'[1]December - 2022'!AR34</f>
        <v>-19225594.080000002</v>
      </c>
      <c r="AI34" s="92">
        <f>'[1]December - 2022'!AR34</f>
        <v>-19225594.080000002</v>
      </c>
      <c r="AJ34" s="287">
        <f>'[1]December - 2022'!AT34</f>
        <v>0</v>
      </c>
      <c r="AK34" s="288">
        <f>'[1]December - 2022'!AU34</f>
        <v>-17655689.52</v>
      </c>
      <c r="AL34" s="92">
        <f>'[1]December - 2022'!AU34</f>
        <v>-17655689.52</v>
      </c>
      <c r="AM34" s="287">
        <f>'[1]December - 2022'!AW34</f>
        <v>0</v>
      </c>
      <c r="AN34" s="288">
        <f>'[1]December - 2022'!AX34</f>
        <v>-14855458.799999999</v>
      </c>
      <c r="AO34" s="92">
        <f>'[1]December - 2022'!AX34</f>
        <v>-14855458.799999999</v>
      </c>
      <c r="AP34" s="287">
        <f>'[1]December - 2022'!AZ34</f>
        <v>0</v>
      </c>
      <c r="AQ34" s="288">
        <f>'[1]December - 2022'!BA34</f>
        <v>-14382192.719999999</v>
      </c>
      <c r="AR34" s="92">
        <f>'[1]December - 2022'!BA34</f>
        <v>-14382192.719999999</v>
      </c>
      <c r="AS34" s="287">
        <f>'[1]December - 2022'!BC34</f>
        <v>0</v>
      </c>
      <c r="AT34" s="288">
        <f>'[1]December - 2022'!BD34</f>
        <v>-11229472.799999999</v>
      </c>
      <c r="AU34" s="92">
        <f>'[1]December - 2022'!BD34</f>
        <v>-11229472.799999999</v>
      </c>
      <c r="AV34" s="287">
        <f>'[1]December - 2022'!BF34</f>
        <v>0</v>
      </c>
      <c r="AW34" s="252">
        <f>'[1]December - 2022'!BG34</f>
        <v>-17792787.599999998</v>
      </c>
      <c r="AX34" s="253">
        <f>'[1]December - 2022'!BG34</f>
        <v>-17792787.599999998</v>
      </c>
      <c r="AY34" s="495"/>
      <c r="AZ34" s="272">
        <f>'[1]December - 2022'!BM34</f>
        <v>0</v>
      </c>
      <c r="BA34" s="179">
        <f>'[1]December - 2022'!BN34</f>
        <v>-78188000</v>
      </c>
      <c r="BB34" s="93">
        <f>'[1]December - 2022'!BN34</f>
        <v>-78188000</v>
      </c>
      <c r="BC34" s="272">
        <f>'[1]December - 2022'!BP34</f>
        <v>0</v>
      </c>
      <c r="BD34" s="245">
        <f>'[1]December - 2022'!BQ34</f>
        <v>-80932000</v>
      </c>
      <c r="BE34" s="93">
        <f>'[1]December - 2022'!BQ34</f>
        <v>-80932000</v>
      </c>
      <c r="BF34" s="272">
        <f>'[1]December - 2022'!BS34</f>
        <v>0</v>
      </c>
      <c r="BG34" s="245">
        <f>'[1]December - 2022'!BT34</f>
        <v>-75092800</v>
      </c>
      <c r="BH34" s="93">
        <f>'[1]December - 2022'!BT34</f>
        <v>-75092800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-10335730</v>
      </c>
      <c r="BU34" s="591"/>
      <c r="BV34" s="88">
        <f>'[1]December - 2022'!BY34</f>
        <v>0</v>
      </c>
      <c r="BW34" s="241">
        <f>'[1]December - 2022'!BZ34</f>
        <v>0.62</v>
      </c>
      <c r="BX34" s="88">
        <f>'[1]December - 2022'!BZ34</f>
        <v>0.62</v>
      </c>
      <c r="BY34" s="89">
        <f>'[1]December - 2022'!CB34</f>
        <v>0</v>
      </c>
      <c r="BZ34" s="191">
        <f>'[1]December - 2022'!CC34</f>
        <v>-64635</v>
      </c>
      <c r="CA34" s="89">
        <f>'[1]December - 2022'!CD34</f>
        <v>0</v>
      </c>
      <c r="CB34" s="191">
        <f>'[1]December - 2022'!CE34</f>
        <v>-55721</v>
      </c>
      <c r="CC34" s="89">
        <f>'[1]December - 2022'!CF34</f>
        <v>0</v>
      </c>
      <c r="CD34" s="191">
        <f>'[1]December - 2022'!CG34</f>
        <v>-18849</v>
      </c>
      <c r="CE34" s="89">
        <f>'[1]December - 2022'!CH34</f>
        <v>0</v>
      </c>
      <c r="CF34" s="191">
        <f>'[1]December - 2022'!CI34</f>
        <v>-25762</v>
      </c>
      <c r="CG34" s="89">
        <f>'[1]December - 2022'!CJ34</f>
        <v>0</v>
      </c>
      <c r="CH34" s="191">
        <f>'[1]December - 2022'!CK34</f>
        <v>-28718</v>
      </c>
      <c r="CI34" s="89">
        <f>'[1]December - 2022'!CL34</f>
        <v>0</v>
      </c>
      <c r="CJ34" s="191">
        <f>'[1]December - 2022'!CM34</f>
        <v>-63005</v>
      </c>
      <c r="CK34" s="89">
        <f>'[1]December - 2022'!CN34</f>
        <v>0</v>
      </c>
      <c r="CL34" s="246">
        <f>'[1]December - 2022'!CO34</f>
        <v>-269184</v>
      </c>
      <c r="CM34" s="89">
        <f>'[1]December - 2022'!CO34</f>
        <v>-269184</v>
      </c>
      <c r="CN34" s="89">
        <f>'[1]December - 2022'!CQ34</f>
        <v>0</v>
      </c>
      <c r="CO34" s="246">
        <f>'[1]December - 2022'!CR34</f>
        <v>-216722</v>
      </c>
      <c r="CP34" s="89">
        <f>'[1]December - 2022'!CR34</f>
        <v>-216722</v>
      </c>
      <c r="CQ34" s="89">
        <f>'[1]December - 2022'!CT34</f>
        <v>0</v>
      </c>
      <c r="CR34" s="246">
        <f>'[1]December - 2022'!CU34</f>
        <v>-359052</v>
      </c>
      <c r="CS34" s="89">
        <f>'[1]December - 2022'!CU34</f>
        <v>-359052</v>
      </c>
      <c r="CT34" s="89">
        <f>'[1]December - 2022'!CW34</f>
        <v>0</v>
      </c>
      <c r="CU34" s="191">
        <f>'[1]December - 2022'!CX34</f>
        <v>-697453</v>
      </c>
      <c r="CV34" s="519"/>
      <c r="CW34" s="256">
        <f>'[1]December - 2022'!CZ34</f>
        <v>0</v>
      </c>
      <c r="CX34" s="198">
        <f>'[1]December - 2022'!DA34</f>
        <v>-9885</v>
      </c>
      <c r="CY34" s="257">
        <f>'[1]December - 2022'!DB34</f>
        <v>0</v>
      </c>
      <c r="CZ34" s="198">
        <f>'[1]December - 2022'!DC34</f>
        <v>-6099</v>
      </c>
      <c r="DA34" s="257">
        <f>'[1]December - 2022'!DD34</f>
        <v>0</v>
      </c>
      <c r="DB34" s="198">
        <f>'[1]December - 2022'!DE34</f>
        <v>-32371</v>
      </c>
      <c r="DC34" s="257">
        <f>'[1]December - 2022'!DF34</f>
        <v>0</v>
      </c>
      <c r="DD34" s="198">
        <f>'[1]December - 2022'!DG34</f>
        <v>-32573</v>
      </c>
      <c r="DE34" s="257">
        <f>'[1]December - 2022'!DH34</f>
        <v>0</v>
      </c>
      <c r="DF34" s="198">
        <f>'[1]December - 2022'!DI34</f>
        <v>-22003</v>
      </c>
      <c r="DG34" s="257">
        <f>'[1]December - 2022'!DJ34</f>
        <v>0</v>
      </c>
      <c r="DH34" s="198">
        <f>'[1]December - 2022'!DK34</f>
        <v>-24137</v>
      </c>
      <c r="DI34" s="257">
        <f>'[1]December - 2022'!DL34</f>
        <v>0</v>
      </c>
      <c r="DJ34" s="198">
        <f>'[1]December - 2022'!DM34</f>
        <v>-7246</v>
      </c>
      <c r="DK34" s="257">
        <f>'[1]December - 2022'!DN34</f>
        <v>0</v>
      </c>
      <c r="DL34" s="198">
        <f>'[1]December - 2022'!DO34</f>
        <v>-9892</v>
      </c>
      <c r="DM34" s="257">
        <f>'[1]December - 2022'!DP34</f>
        <v>0</v>
      </c>
      <c r="DN34" s="198">
        <f>'[1]December - 2022'!DQ34</f>
        <v>-3324</v>
      </c>
      <c r="DO34" s="257">
        <f>'[1]December - 2022'!DR34</f>
        <v>0</v>
      </c>
      <c r="DP34" s="198">
        <f>'[1]December - 2022'!DS34</f>
        <v>-6562</v>
      </c>
      <c r="DQ34" s="257">
        <f>'[1]December - 2022'!DT34</f>
        <v>0</v>
      </c>
      <c r="DR34" s="206">
        <f>'[1]December - 2022'!DU34</f>
        <v>-30371</v>
      </c>
      <c r="DS34" s="535"/>
      <c r="DT34" s="210">
        <f>'[1]December - 2022'!DW34</f>
        <v>0</v>
      </c>
      <c r="DU34" s="221">
        <f>'[1]December - 2022'!DX34</f>
        <v>-6503.6</v>
      </c>
      <c r="DV34" s="91">
        <f>'[1]December - 2022'!DY34</f>
        <v>0</v>
      </c>
      <c r="DW34" s="215">
        <f>'[1]December - 2022'!DZ34</f>
        <v>-11410.8</v>
      </c>
      <c r="DX34" s="91">
        <f>'[1]December - 2022'!EA34</f>
        <v>0</v>
      </c>
      <c r="DY34" s="215">
        <f>'[1]December - 2022'!EB34</f>
        <v>-4901.8999999999996</v>
      </c>
      <c r="DZ34" s="91">
        <f>'[1]December - 2022'!EC34</f>
        <v>0</v>
      </c>
      <c r="EA34" s="215">
        <f>'[1]December - 2022'!ED34</f>
        <v>-5481.5</v>
      </c>
      <c r="EB34" s="91">
        <f>'[1]December - 2022'!EE34</f>
        <v>0</v>
      </c>
      <c r="EC34" s="215">
        <f>'[1]December - 2022'!EF34</f>
        <v>-1135747</v>
      </c>
      <c r="ED34" s="91">
        <f>'[1]December - 2022'!EI34</f>
        <v>0</v>
      </c>
      <c r="EE34" s="229">
        <f>'[1]December - 2022'!EJ34</f>
        <v>-233863.5</v>
      </c>
      <c r="EF34" s="582"/>
      <c r="EG34" s="235">
        <f>'[1]December - 2022'!EL34</f>
        <v>0</v>
      </c>
      <c r="EH34" s="230">
        <f>'[1]December - 2022'!EM34</f>
        <v>-12195100</v>
      </c>
      <c r="EI34" s="90">
        <f>'[1]December - 2022'!EN34</f>
        <v>0</v>
      </c>
      <c r="EJ34" s="230">
        <f>'[1]December - 2022'!EO34</f>
        <v>-937570</v>
      </c>
      <c r="EK34" s="90">
        <f>'[1]December - 2022'!EP34</f>
        <v>0</v>
      </c>
      <c r="EL34" s="230">
        <f>'[1]December - 2022'!EQ34</f>
        <v>-7250200</v>
      </c>
      <c r="EM34" s="90">
        <f>'[1]December - 2022'!ER34</f>
        <v>0</v>
      </c>
      <c r="EN34" s="230">
        <f>'[1]December - 2022'!ES34</f>
        <v>-2502700</v>
      </c>
      <c r="EO34" s="90">
        <f>'[1]December - 2022'!ET34</f>
        <v>0</v>
      </c>
      <c r="EP34" s="230">
        <f>'[1]December - 2022'!EU34</f>
        <v>-1287880</v>
      </c>
      <c r="EQ34" s="90">
        <f>'[1]December - 2022'!EV34</f>
        <v>0</v>
      </c>
      <c r="ER34" s="230">
        <f>'[1]December - 2022'!EW34</f>
        <v>-16667800</v>
      </c>
      <c r="ES34" s="557"/>
      <c r="ET34" s="281">
        <f>'[1]December - 2022'!EY34</f>
        <v>0</v>
      </c>
      <c r="EU34" s="275">
        <f>'[1]December - 2022'!EZ34</f>
        <v>-42358</v>
      </c>
      <c r="EV34" s="282">
        <f>'[1]December - 2022'!FA34</f>
        <v>0</v>
      </c>
      <c r="EW34" s="275">
        <f>'[1]December - 2022'!FB34</f>
        <v>-36975</v>
      </c>
      <c r="EX34" s="282">
        <f>'[1]December - 2022'!FC34</f>
        <v>0</v>
      </c>
      <c r="EY34" s="275">
        <f>'[1]December - 2022'!FD34</f>
        <v>-7672</v>
      </c>
      <c r="EZ34" s="282">
        <f>'[1]December - 2022'!FE34</f>
        <v>0</v>
      </c>
      <c r="FA34" s="275">
        <f>'[1]December - 2022'!FF34</f>
        <v>-59484</v>
      </c>
      <c r="FB34" s="282">
        <f>'[1]December - 2022'!FG34</f>
        <v>0</v>
      </c>
      <c r="FC34" s="276">
        <f>'[1]December - 2022'!FH34</f>
        <v>-50043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478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95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591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519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535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582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557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478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95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591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519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535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582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557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478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95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591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519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535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582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557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478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95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591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519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535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582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557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478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95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592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519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535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582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557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519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535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582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558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193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194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128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129</v>
      </c>
      <c r="BT42" s="424"/>
      <c r="BU42" s="30"/>
      <c r="BV42" s="576" t="s">
        <v>195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130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131</v>
      </c>
      <c r="BA43" s="580"/>
      <c r="BB43" s="580"/>
      <c r="BC43" s="580" t="s">
        <v>132</v>
      </c>
      <c r="BD43" s="580"/>
      <c r="BE43" s="580"/>
      <c r="BF43" s="580" t="s">
        <v>133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134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135</v>
      </c>
      <c r="CR43" s="405"/>
      <c r="CS43" s="406"/>
      <c r="CT43" s="376" t="s">
        <v>136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196</v>
      </c>
      <c r="B44" s="434"/>
      <c r="C44" s="435">
        <f>SUM(E9:E24)</f>
        <v>10438</v>
      </c>
      <c r="D44" s="436"/>
      <c r="E44" s="437"/>
      <c r="F44" s="438">
        <f>SUM(H9:H24)</f>
        <v>6583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1333.0399999999936</v>
      </c>
      <c r="P44" s="439"/>
      <c r="Q44" s="440"/>
      <c r="R44" s="444"/>
      <c r="S44" s="445"/>
      <c r="T44" s="413"/>
      <c r="U44" s="382">
        <f>SUM(W9:W24)</f>
        <v>35078.399999999441</v>
      </c>
      <c r="V44" s="383"/>
      <c r="W44" s="384"/>
      <c r="X44" s="382">
        <f>SUM(Z9:Z24)</f>
        <v>67818.240000000224</v>
      </c>
      <c r="Y44" s="383"/>
      <c r="Z44" s="384"/>
      <c r="AA44" s="382">
        <f>SUM(AC9:AC24)</f>
        <v>61143.599999999627</v>
      </c>
      <c r="AB44" s="383"/>
      <c r="AC44" s="384"/>
      <c r="AD44" s="382">
        <f>SUM(AF9:AF24)</f>
        <v>82044.480000000447</v>
      </c>
      <c r="AE44" s="383"/>
      <c r="AF44" s="384"/>
      <c r="AG44" s="382">
        <f>SUM(AI9:AI24)</f>
        <v>29426.879999998957</v>
      </c>
      <c r="AH44" s="383"/>
      <c r="AI44" s="384"/>
      <c r="AJ44" s="382">
        <f>SUM(AL9:AL24)</f>
        <v>85308.719999998808</v>
      </c>
      <c r="AK44" s="383"/>
      <c r="AL44" s="384"/>
      <c r="AM44" s="382">
        <f>SUM(AO9:AO24)</f>
        <v>64115.519999999553</v>
      </c>
      <c r="AN44" s="383"/>
      <c r="AO44" s="384"/>
      <c r="AP44" s="382">
        <f>SUM(AR9:AR24)</f>
        <v>67915.680000001565</v>
      </c>
      <c r="AQ44" s="383"/>
      <c r="AR44" s="384"/>
      <c r="AS44" s="382">
        <f>SUM(AU9:AU24)</f>
        <v>47063.519999999553</v>
      </c>
      <c r="AT44" s="383"/>
      <c r="AU44" s="384"/>
      <c r="AV44" s="382">
        <f>SUM(AX9:AX24)</f>
        <v>86088.239999998361</v>
      </c>
      <c r="AW44" s="383"/>
      <c r="AX44" s="383"/>
      <c r="AY44" s="388"/>
      <c r="AZ44" s="383">
        <f>SUM(BB9:BB24)</f>
        <v>292100</v>
      </c>
      <c r="BA44" s="383"/>
      <c r="BB44" s="383"/>
      <c r="BC44" s="382">
        <f>SUM(BE9:BE24)</f>
        <v>430900</v>
      </c>
      <c r="BD44" s="383"/>
      <c r="BE44" s="383"/>
      <c r="BF44" s="378">
        <f>SUM(BH9:BH24)</f>
        <v>133400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1071</v>
      </c>
      <c r="CL44" s="378"/>
      <c r="CM44" s="378"/>
      <c r="CN44" s="378">
        <f>SUM(CP9:CP24)</f>
        <v>1550</v>
      </c>
      <c r="CO44" s="378"/>
      <c r="CP44" s="378"/>
      <c r="CQ44" s="378">
        <f>SUM(CS9:CS24)</f>
        <v>3066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197</v>
      </c>
      <c r="B45" s="595"/>
      <c r="C45" s="596">
        <f>SUM(D9:D24)</f>
        <v>10259</v>
      </c>
      <c r="D45" s="596"/>
      <c r="E45" s="597"/>
      <c r="F45" s="596">
        <f>SUM(G9:G24)</f>
        <v>6238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1617</v>
      </c>
      <c r="P45" s="596"/>
      <c r="Q45" s="597"/>
      <c r="R45" s="599"/>
      <c r="S45" s="600"/>
      <c r="T45" s="414"/>
      <c r="U45" s="367">
        <f>SUM(V9:V24)</f>
        <v>35078.399999999441</v>
      </c>
      <c r="V45" s="367"/>
      <c r="W45" s="368"/>
      <c r="X45" s="367">
        <f>SUM(Y9:Y24)</f>
        <v>67818.240000000224</v>
      </c>
      <c r="Y45" s="367"/>
      <c r="Z45" s="368"/>
      <c r="AA45" s="367">
        <f>SUM(AB9:AB24)</f>
        <v>61143.599999999627</v>
      </c>
      <c r="AB45" s="367"/>
      <c r="AC45" s="368"/>
      <c r="AD45" s="367">
        <f>SUM(AE9:AE24)</f>
        <v>82044.480000000447</v>
      </c>
      <c r="AE45" s="367"/>
      <c r="AF45" s="368"/>
      <c r="AG45" s="367">
        <f>SUM(AH9:AH24)</f>
        <v>29426.879999998957</v>
      </c>
      <c r="AH45" s="367"/>
      <c r="AI45" s="368"/>
      <c r="AJ45" s="367">
        <f>SUM(AK9:AK24)</f>
        <v>85308.719999998808</v>
      </c>
      <c r="AK45" s="367"/>
      <c r="AL45" s="368"/>
      <c r="AM45" s="367">
        <f>SUM(AN9:AN24)</f>
        <v>64115.519999999553</v>
      </c>
      <c r="AN45" s="367"/>
      <c r="AO45" s="368"/>
      <c r="AP45" s="367">
        <f>SUM(AQ9:AQ24)</f>
        <v>67915.680000001565</v>
      </c>
      <c r="AQ45" s="367"/>
      <c r="AR45" s="368"/>
      <c r="AS45" s="367">
        <f>SUM(AT9:AT24)</f>
        <v>47063.519999999553</v>
      </c>
      <c r="AT45" s="367"/>
      <c r="AU45" s="368"/>
      <c r="AV45" s="367">
        <f>SUM(AW9:AW24)</f>
        <v>86088.239999998361</v>
      </c>
      <c r="AW45" s="367"/>
      <c r="AX45" s="367"/>
      <c r="AY45" s="388"/>
      <c r="AZ45" s="368">
        <f>SUM(BA9:BA24)</f>
        <v>292100</v>
      </c>
      <c r="BA45" s="378"/>
      <c r="BB45" s="378"/>
      <c r="BC45" s="378">
        <f>SUM(BD9:BD24)</f>
        <v>430900</v>
      </c>
      <c r="BD45" s="378"/>
      <c r="BE45" s="378"/>
      <c r="BF45" s="378">
        <f>SUM(BG9:BG24)</f>
        <v>133400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1071</v>
      </c>
      <c r="CL45" s="378"/>
      <c r="CM45" s="378"/>
      <c r="CN45" s="378">
        <f>SUM(CO9:CO24)</f>
        <v>1550</v>
      </c>
      <c r="CO45" s="378"/>
      <c r="CP45" s="378"/>
      <c r="CQ45" s="378">
        <f>SUM(CR9:CR24)</f>
        <v>3066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198</v>
      </c>
      <c r="B47" s="375"/>
      <c r="C47" s="363">
        <f>SUM(E9:E39)</f>
        <v>21843</v>
      </c>
      <c r="D47" s="364"/>
      <c r="E47" s="365"/>
      <c r="F47" s="363">
        <f>SUM(H9:H39)</f>
        <v>13803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2668.2599999999948</v>
      </c>
      <c r="P47" s="369"/>
      <c r="Q47" s="369"/>
      <c r="R47" s="363">
        <v>476</v>
      </c>
      <c r="S47" s="364"/>
      <c r="T47" s="370"/>
      <c r="U47" s="366">
        <f>SUM(W9:W39)</f>
        <v>-8125472.8800000008</v>
      </c>
      <c r="V47" s="367"/>
      <c r="W47" s="368"/>
      <c r="X47" s="366">
        <f>SUM(Z9:Z39)</f>
        <v>-15438880.799999999</v>
      </c>
      <c r="Y47" s="367"/>
      <c r="Z47" s="368"/>
      <c r="AA47" s="366">
        <f>SUM(AC9:AC39)</f>
        <v>-15753173.52</v>
      </c>
      <c r="AB47" s="367"/>
      <c r="AC47" s="368"/>
      <c r="AD47" s="366">
        <f>SUM(AF9:AF39)</f>
        <v>-18820730.879999999</v>
      </c>
      <c r="AE47" s="367"/>
      <c r="AF47" s="368"/>
      <c r="AG47" s="366">
        <f>SUM(AI9:AI39)</f>
        <v>-19140870</v>
      </c>
      <c r="AH47" s="367"/>
      <c r="AI47" s="368"/>
      <c r="AJ47" s="366">
        <f>SUM(AL9:AL39)</f>
        <v>-17520394.080000002</v>
      </c>
      <c r="AK47" s="367"/>
      <c r="AL47" s="368"/>
      <c r="AM47" s="366">
        <f>SUM(AO9:AO39)</f>
        <v>-14752513.439999999</v>
      </c>
      <c r="AN47" s="367"/>
      <c r="AO47" s="368"/>
      <c r="AP47" s="366">
        <f>SUM(AR9:AR39)</f>
        <v>-14272426.559999999</v>
      </c>
      <c r="AQ47" s="367"/>
      <c r="AR47" s="368"/>
      <c r="AS47" s="366">
        <f>SUM(AU9:AU39)</f>
        <v>-11154687.6</v>
      </c>
      <c r="AT47" s="367"/>
      <c r="AU47" s="368"/>
      <c r="AV47" s="366">
        <f>SUM(AX9:AX39)</f>
        <v>-17655543.359999999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-267458</v>
      </c>
      <c r="CL47" s="367"/>
      <c r="CM47" s="368"/>
      <c r="CN47" s="366">
        <f>SUM(CP9:CP39)</f>
        <v>-214182</v>
      </c>
      <c r="CO47" s="367"/>
      <c r="CP47" s="368"/>
      <c r="CQ47" s="366">
        <f>SUM(CS9:CS39)</f>
        <v>-353835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199</v>
      </c>
      <c r="B48" s="342"/>
      <c r="C48" s="363">
        <f>SUM(D10:D39)</f>
        <v>-205274</v>
      </c>
      <c r="D48" s="364"/>
      <c r="E48" s="365"/>
      <c r="F48" s="363">
        <f>SUM(G9:G39)</f>
        <v>-237720</v>
      </c>
      <c r="G48" s="364"/>
      <c r="H48" s="365"/>
      <c r="I48" s="363">
        <f>SUM(J10:J39)</f>
        <v>-6008</v>
      </c>
      <c r="J48" s="365"/>
      <c r="K48" s="363">
        <f>SUM(L9:L39)</f>
        <v>-918944</v>
      </c>
      <c r="L48" s="365"/>
      <c r="M48" s="363"/>
      <c r="N48" s="365"/>
      <c r="O48" s="363">
        <f>SUM(P9:P39)</f>
        <v>-115205</v>
      </c>
      <c r="P48" s="364"/>
      <c r="Q48" s="365"/>
      <c r="R48" s="363">
        <f>SUM(S9:S39)</f>
        <v>-6237</v>
      </c>
      <c r="S48" s="364"/>
      <c r="T48" s="370"/>
      <c r="U48" s="371">
        <f>SUM(V9:V39)</f>
        <v>-8125472.8800000008</v>
      </c>
      <c r="V48" s="372"/>
      <c r="W48" s="373"/>
      <c r="X48" s="371">
        <f>SUM(Y9:Y39)</f>
        <v>-15438880.799999999</v>
      </c>
      <c r="Y48" s="372"/>
      <c r="Z48" s="373"/>
      <c r="AA48" s="360">
        <f>SUM(AB9:AB39)</f>
        <v>-15753173.52</v>
      </c>
      <c r="AB48" s="361"/>
      <c r="AC48" s="362"/>
      <c r="AD48" s="360">
        <f>SUM(AE9:AE39)</f>
        <v>-18820730.879999999</v>
      </c>
      <c r="AE48" s="361"/>
      <c r="AF48" s="362"/>
      <c r="AG48" s="360">
        <f>SUM(AH9:AH39)</f>
        <v>-19140870</v>
      </c>
      <c r="AH48" s="361"/>
      <c r="AI48" s="362"/>
      <c r="AJ48" s="360">
        <f>SUM(AK9:AK39)</f>
        <v>-17520394.080000002</v>
      </c>
      <c r="AK48" s="361"/>
      <c r="AL48" s="362"/>
      <c r="AM48" s="360">
        <f>SUM(AN9:AN39)</f>
        <v>-14752513.439999999</v>
      </c>
      <c r="AN48" s="361"/>
      <c r="AO48" s="362"/>
      <c r="AP48" s="360">
        <f>SUM(AQ9:AQ39)</f>
        <v>-14272426.559999999</v>
      </c>
      <c r="AQ48" s="361"/>
      <c r="AR48" s="362"/>
      <c r="AS48" s="360">
        <f>SUM(AT9:AT39)</f>
        <v>-11154687.6</v>
      </c>
      <c r="AT48" s="361"/>
      <c r="AU48" s="362"/>
      <c r="AV48" s="360">
        <f>SUM(AW9:AW39)</f>
        <v>-17655543.359999999</v>
      </c>
      <c r="AW48" s="361"/>
      <c r="AX48" s="361"/>
      <c r="AY48" s="388"/>
      <c r="AZ48" s="351">
        <f>SUM(BA9:BA40)</f>
        <v>-77840000</v>
      </c>
      <c r="BA48" s="351"/>
      <c r="BB48" s="352"/>
      <c r="BC48" s="351">
        <f t="shared" ref="BC48" si="0">SUM(BD9:BD40)</f>
        <v>-80452400</v>
      </c>
      <c r="BD48" s="351"/>
      <c r="BE48" s="352"/>
      <c r="BF48" s="351">
        <f t="shared" ref="BF48" si="1">SUM(BG9:BG40)</f>
        <v>-74637500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-10178512</v>
      </c>
      <c r="BT48" s="603"/>
      <c r="BU48" s="395"/>
      <c r="BV48" s="607"/>
      <c r="BW48" s="608"/>
      <c r="BX48" s="117"/>
      <c r="BY48" s="348">
        <f>SUM(BZ9:BZ39)</f>
        <v>-64169</v>
      </c>
      <c r="BZ48" s="349"/>
      <c r="CA48" s="348">
        <f>SUM(CB9:CB39)</f>
        <v>-55264</v>
      </c>
      <c r="CB48" s="349"/>
      <c r="CC48" s="348">
        <f>SUM(CD9:CD39)</f>
        <v>-18695</v>
      </c>
      <c r="CD48" s="349"/>
      <c r="CE48" s="348">
        <f>SUM(CF9:CF39)</f>
        <v>-25508</v>
      </c>
      <c r="CF48" s="349"/>
      <c r="CG48" s="348">
        <f>SUM(CH9:CH39)</f>
        <v>-28364</v>
      </c>
      <c r="CH48" s="349"/>
      <c r="CI48" s="348">
        <f>SUM(CJ9:CJ39)</f>
        <v>-62228</v>
      </c>
      <c r="CJ48" s="349"/>
      <c r="CK48" s="348">
        <f>SUM(CL9:CL39)</f>
        <v>-267458</v>
      </c>
      <c r="CL48" s="350"/>
      <c r="CM48" s="349"/>
      <c r="CN48" s="348">
        <f>SUM(CO9:CO39)</f>
        <v>-214182</v>
      </c>
      <c r="CO48" s="350"/>
      <c r="CP48" s="349"/>
      <c r="CQ48" s="348">
        <f>SUM(CR9:CR39)</f>
        <v>-353835</v>
      </c>
      <c r="CR48" s="350"/>
      <c r="CS48" s="349"/>
      <c r="CT48" s="348">
        <f>SUM(CU9:CU39)</f>
        <v>-693437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227117</v>
      </c>
      <c r="D49" s="344"/>
      <c r="E49" s="359"/>
      <c r="F49" s="343">
        <f>F47-F48</f>
        <v>251523</v>
      </c>
      <c r="G49" s="344"/>
      <c r="H49" s="359"/>
      <c r="I49" s="343">
        <f>I47-I48</f>
        <v>13056.9</v>
      </c>
      <c r="J49" s="359"/>
      <c r="K49" s="343">
        <f>K47-K48</f>
        <v>926646.2</v>
      </c>
      <c r="L49" s="359"/>
      <c r="M49" s="343"/>
      <c r="N49" s="359"/>
      <c r="O49" s="374">
        <f>O47-O48</f>
        <v>117873.26</v>
      </c>
      <c r="P49" s="374"/>
      <c r="Q49" s="374"/>
      <c r="R49" s="343">
        <f>R47-R48</f>
        <v>6713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-78187300</v>
      </c>
      <c r="BA49" s="351"/>
      <c r="BB49" s="352"/>
      <c r="BC49" s="351">
        <f t="shared" ref="BC49" si="2">BC48-BC47</f>
        <v>-80813500</v>
      </c>
      <c r="BD49" s="351"/>
      <c r="BE49" s="352"/>
      <c r="BF49" s="351">
        <f t="shared" ref="BF49" si="3">BF48-BF47</f>
        <v>-75196342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697331</v>
      </c>
      <c r="CU49" s="356"/>
      <c r="CV49" s="519"/>
    </row>
    <row r="50" spans="1:159" ht="31.5" customHeight="1" thickBot="1" x14ac:dyDescent="0.3">
      <c r="A50" s="611" t="s">
        <v>137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200</v>
      </c>
      <c r="V50" s="613"/>
      <c r="W50" s="613"/>
      <c r="X50" s="613"/>
      <c r="Y50" s="613"/>
      <c r="Z50" s="614"/>
      <c r="AA50" s="331">
        <f>SUM(U47,X47,AA47,AD47,AG47,AJ47,AM47,AP47,AS47,AV47)</f>
        <v>-152634693.12</v>
      </c>
      <c r="AB50" s="332"/>
      <c r="AC50" s="332"/>
      <c r="AD50" s="332"/>
      <c r="AE50" s="332"/>
      <c r="AF50" s="333"/>
      <c r="AG50" s="615" t="s">
        <v>201</v>
      </c>
      <c r="AH50" s="616"/>
      <c r="AI50" s="616"/>
      <c r="AJ50" s="616"/>
      <c r="AK50" s="616"/>
      <c r="AL50" s="617"/>
      <c r="AM50" s="618">
        <f>SUM(U48,X48,AA48,AD48,AG48,AJ48,AM48,AP48,AS48,AV48)</f>
        <v>-152634693.12</v>
      </c>
      <c r="AN50" s="619"/>
      <c r="AO50" s="619"/>
      <c r="AP50" s="619"/>
      <c r="AQ50" s="619"/>
      <c r="AR50" s="620"/>
      <c r="AS50" s="338" t="s">
        <v>138</v>
      </c>
      <c r="AT50" s="339"/>
      <c r="AU50" s="340"/>
      <c r="AV50" s="338">
        <f>AA50-AM50</f>
        <v>0</v>
      </c>
      <c r="AW50" s="339"/>
      <c r="AX50" s="339"/>
      <c r="AY50" s="388"/>
      <c r="AZ50" s="621">
        <v>42751</v>
      </c>
      <c r="BA50" s="622"/>
      <c r="BB50" s="623"/>
      <c r="BC50" s="621">
        <v>43116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202</v>
      </c>
      <c r="V51" s="329"/>
      <c r="W51" s="329"/>
      <c r="X51" s="329"/>
      <c r="Y51" s="329"/>
      <c r="Z51" s="330"/>
      <c r="AA51" s="331">
        <f>SUM(U44:AX44)</f>
        <v>626003.27999999654</v>
      </c>
      <c r="AB51" s="332"/>
      <c r="AC51" s="332"/>
      <c r="AD51" s="332"/>
      <c r="AE51" s="332"/>
      <c r="AF51" s="333"/>
      <c r="AG51" s="334" t="s">
        <v>203</v>
      </c>
      <c r="AH51" s="335"/>
      <c r="AI51" s="335"/>
      <c r="AJ51" s="335"/>
      <c r="AK51" s="335"/>
      <c r="AL51" s="336"/>
      <c r="AM51" s="337">
        <f>SUM(U45:AX45)</f>
        <v>626003.27999999654</v>
      </c>
      <c r="AN51" s="337"/>
      <c r="AO51" s="337"/>
      <c r="AP51" s="337"/>
      <c r="AQ51" s="337"/>
      <c r="AR51" s="337"/>
      <c r="AS51" s="338" t="s">
        <v>138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-232929900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2022-12-25T13:25:16Z</dcterms:modified>
</cp:coreProperties>
</file>