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<sst xmlns="http://schemas.openxmlformats.org/spreadsheetml/2006/main" count="605" uniqueCount="75">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</sst>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89" workbookViewId="0">
      <selection activeCell="P200" sqref="P20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2.7</v>
      </c>
      <c r="G153" s="4">
        <f>'Gas Water'!M156</f>
        <v>2104</v>
      </c>
      <c r="H153" s="132">
        <v>13.68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2.7</v>
      </c>
      <c r="G154" s="4">
        <f>'Gas Water'!M157</f>
        <v>2090</v>
      </c>
      <c r="H154" s="132">
        <v>13.68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2.7</v>
      </c>
      <c r="G155" s="4">
        <f>'Gas Water'!M158</f>
        <v>2199</v>
      </c>
      <c r="H155" s="132">
        <v>13.68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2.7</v>
      </c>
      <c r="G156" s="4">
        <f>'Gas Water'!M159</f>
        <v>1989</v>
      </c>
      <c r="H156" s="132">
        <v>13.68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2.7</v>
      </c>
      <c r="G157" s="4">
        <f>'Gas Water'!M160</f>
        <v>1883</v>
      </c>
      <c r="H157" s="132">
        <v>13.68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2.7</v>
      </c>
      <c r="G158" s="4">
        <f>'Gas Water'!M161</f>
        <v>2207</v>
      </c>
      <c r="H158" s="132">
        <v>13.68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2.7</v>
      </c>
      <c r="G159" s="4">
        <f>'Gas Water'!M162</f>
        <v>2211</v>
      </c>
      <c r="H159" s="132">
        <v>13.68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2.7</v>
      </c>
      <c r="G160" s="4">
        <f>'Gas Water'!M163</f>
        <v>1972</v>
      </c>
      <c r="H160" s="132">
        <v>13.68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2.7</v>
      </c>
      <c r="G161" s="4">
        <f>'Gas Water'!M164</f>
        <v>2167</v>
      </c>
      <c r="H161" s="132">
        <v>13.68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2.7</v>
      </c>
      <c r="G162" s="4">
        <f>'Gas Water'!M165</f>
        <v>1791</v>
      </c>
      <c r="H162" s="132">
        <v>13.68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2.7</v>
      </c>
      <c r="G163" s="4">
        <f>'Gas Water'!M166</f>
        <v>2018</v>
      </c>
      <c r="H163" s="132">
        <v>13.68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2.7</v>
      </c>
      <c r="G164" s="4">
        <f>'Gas Water'!M167</f>
        <v>1875</v>
      </c>
      <c r="H164" s="132">
        <v>13.68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2.7</v>
      </c>
      <c r="G165" s="4">
        <f>'Gas Water'!M168</f>
        <v>1967</v>
      </c>
      <c r="H165" s="132">
        <v>13.68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2.7</v>
      </c>
      <c r="G166" s="4">
        <f>'Gas Water'!M169</f>
        <v>1704</v>
      </c>
      <c r="H166" s="132">
        <v>13.68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2.7</v>
      </c>
      <c r="G167" s="4">
        <f>'Gas Water'!M170</f>
        <v>1988</v>
      </c>
      <c r="H167" s="132">
        <v>13.68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2.7</v>
      </c>
      <c r="G168" s="4">
        <f>'Gas Water'!M171</f>
        <v>1889</v>
      </c>
      <c r="H168" s="132">
        <v>13.68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2.7</v>
      </c>
      <c r="G169" s="4">
        <f>'Gas Water'!M172</f>
        <v>2461</v>
      </c>
      <c r="H169" s="132">
        <v>13.68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2.7</v>
      </c>
      <c r="G170" s="4">
        <f>'Gas Water'!M173</f>
        <v>1893</v>
      </c>
      <c r="H170" s="132">
        <v>13.68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2.7</v>
      </c>
      <c r="G171" s="4">
        <f>'Gas Water'!M174</f>
        <v>1983</v>
      </c>
      <c r="H171" s="132">
        <v>13.68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2.7</v>
      </c>
      <c r="G172" s="4">
        <f>'Gas Water'!M175</f>
        <v>1814</v>
      </c>
      <c r="H172" s="132">
        <v>13.68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2.7</v>
      </c>
      <c r="G173" s="4">
        <f>'Gas Water'!M176</f>
        <v>1915</v>
      </c>
      <c r="H173" s="132">
        <v>13.68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2.7</v>
      </c>
      <c r="G174" s="4">
        <f>'Gas Water'!M177</f>
        <v>22731</v>
      </c>
      <c r="H174" s="132">
        <v>13.68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2.7</v>
      </c>
      <c r="G175" s="4">
        <f>'Gas Water'!M178</f>
        <v>1890</v>
      </c>
      <c r="H175" s="132">
        <v>13.68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2.7</v>
      </c>
      <c r="G176" s="4">
        <f>'Gas Water'!M179</f>
        <v>1760</v>
      </c>
      <c r="H176" s="132">
        <v>13.68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2.7</v>
      </c>
      <c r="G177" s="4">
        <f>'Gas Water'!M180</f>
        <v>1951</v>
      </c>
      <c r="H177" s="132">
        <v>13.68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2.7</v>
      </c>
      <c r="G178" s="4">
        <f>'Gas Water'!M181</f>
        <v>1802</v>
      </c>
      <c r="H178" s="132">
        <v>13.68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2.7</v>
      </c>
      <c r="G179" s="4">
        <f>'Gas Water'!M182</f>
        <v>1826</v>
      </c>
      <c r="H179" s="132">
        <v>13.68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2.7</v>
      </c>
      <c r="G180" s="4">
        <f>'Gas Water'!M183</f>
        <v>1987</v>
      </c>
      <c r="H180" s="132">
        <v>13.68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2.7</v>
      </c>
      <c r="G181" s="4">
        <f>'Gas Water'!M184</f>
        <v>1921</v>
      </c>
      <c r="H181" s="132">
        <v>13.68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2.7</v>
      </c>
      <c r="G182" s="4">
        <f>'Gas Water'!M185</f>
        <v>1749</v>
      </c>
      <c r="H182" s="132">
        <v>13.68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2.7</v>
      </c>
      <c r="G183" s="4">
        <f>'Gas Water'!M186</f>
        <v>1735</v>
      </c>
      <c r="H183" s="132">
        <v>13.68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2.7</v>
      </c>
      <c r="G184" s="4">
        <f>'Gas Water'!M187</f>
        <v>1765</v>
      </c>
      <c r="H184" s="132">
        <v>13.68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2.7</v>
      </c>
      <c r="G185" s="4">
        <f>'Gas Water'!M188</f>
        <v>1955</v>
      </c>
      <c r="H185" s="132">
        <v>13.68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2.7</v>
      </c>
      <c r="G186" s="4">
        <f>'Gas Water'!M189</f>
        <v>1731</v>
      </c>
      <c r="H186" s="132">
        <v>13.68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2.7</v>
      </c>
      <c r="G187" s="4">
        <f>'Gas Water'!M190</f>
        <v>1863</v>
      </c>
      <c r="H187" s="132">
        <v>13.68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2.7</v>
      </c>
      <c r="G188" s="4">
        <f>'Gas Water'!M191</f>
        <v>1805</v>
      </c>
      <c r="H188" s="132">
        <v>13.68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2">
        <v>2.7</v>
      </c>
      <c r="G189" s="4">
        <f>'Gas Water'!M192</f>
        <v>1713</v>
      </c>
      <c r="H189" s="132">
        <v>13.68</v>
      </c>
      <c r="I189" s="2">
        <f>'Gas Water'!L192</f>
        <v>284</v>
      </c>
      <c r="J189" s="132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2">
        <v>2.7</v>
      </c>
      <c r="G190" s="4">
        <f>'Gas Water'!M193</f>
        <v>1713</v>
      </c>
      <c r="H190" s="132">
        <v>13.68</v>
      </c>
      <c r="I190" s="2">
        <f>'Gas Water'!L193</f>
        <v>301</v>
      </c>
      <c r="J190" s="132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2">
        <v>2.7</v>
      </c>
      <c r="G191" s="4">
        <f>'Gas Water'!M194</f>
        <v>1701</v>
      </c>
      <c r="H191" s="132">
        <v>13.68</v>
      </c>
      <c r="I191" s="2">
        <f>'Gas Water'!L194</f>
        <v>309</v>
      </c>
      <c r="J191" s="132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2">
        <v>2.7</v>
      </c>
      <c r="G192" s="4">
        <f>'Gas Water'!M195</f>
        <v>1818</v>
      </c>
      <c r="H192" s="132">
        <v>13.68</v>
      </c>
      <c r="I192" s="2">
        <f>'Gas Water'!L195</f>
        <v>228</v>
      </c>
      <c r="J192" s="132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2">
        <v>2.7</v>
      </c>
      <c r="G193" s="4">
        <f>'Gas Water'!M196</f>
        <v>1805</v>
      </c>
      <c r="H193" s="132">
        <v>13.68</v>
      </c>
      <c r="I193" s="2">
        <f>'Gas Water'!L196</f>
        <v>255</v>
      </c>
      <c r="J193" s="132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2">
        <v>2.7</v>
      </c>
      <c r="G194" s="4">
        <f>'Gas Water'!M197</f>
        <v>1739</v>
      </c>
      <c r="H194" s="132">
        <v>13.68</v>
      </c>
      <c r="I194" s="2">
        <f>'Gas Water'!L197</f>
        <v>263</v>
      </c>
      <c r="J194" s="132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2">
        <v>2.7</v>
      </c>
      <c r="G195" s="4">
        <f>'Gas Water'!M198</f>
        <v>1769</v>
      </c>
      <c r="H195" s="132">
        <v>13.68</v>
      </c>
      <c r="I195" s="2">
        <f>'Gas Water'!L198</f>
        <v>275</v>
      </c>
      <c r="J195" s="132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32">
        <v>2.7</v>
      </c>
      <c r="G196" s="4">
        <f>'Gas Water'!M199</f>
        <v>1871</v>
      </c>
      <c r="H196" s="132">
        <v>13.68</v>
      </c>
      <c r="I196" s="2">
        <f>'Gas Water'!L199</f>
        <v>298</v>
      </c>
      <c r="J196" s="132">
        <v>22.4</v>
      </c>
      <c r="K196" s="5">
        <v>157</v>
      </c>
      <c r="L196" s="5">
        <v>314</v>
      </c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32">
        <v>2.7</v>
      </c>
      <c r="G197" s="4">
        <f>'Gas Water'!M200</f>
        <v>1622</v>
      </c>
      <c r="H197" s="132">
        <v>13.68</v>
      </c>
      <c r="I197" s="2">
        <f>'Gas Water'!L200</f>
        <v>282</v>
      </c>
      <c r="J197" s="132">
        <v>22.4</v>
      </c>
      <c r="K197" s="5">
        <v>156</v>
      </c>
      <c r="L197" s="5">
        <v>311</v>
      </c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32">
        <v>2.7</v>
      </c>
      <c r="G198" s="4">
        <f>'Gas Water'!M201</f>
        <v>1532</v>
      </c>
      <c r="H198" s="132">
        <v>13.68</v>
      </c>
      <c r="I198" s="2">
        <f>'Gas Water'!L201</f>
        <v>342</v>
      </c>
      <c r="J198" s="132">
        <v>22.4</v>
      </c>
      <c r="K198" s="5">
        <v>155</v>
      </c>
      <c r="L198" s="5">
        <v>312</v>
      </c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32">
        <v>2.7</v>
      </c>
      <c r="G199" s="4">
        <f>'Gas Water'!M202</f>
        <v>1513</v>
      </c>
      <c r="H199" s="132">
        <v>13.68</v>
      </c>
      <c r="I199" s="2">
        <f>'Gas Water'!L202</f>
        <v>315</v>
      </c>
      <c r="J199" s="132">
        <v>22.4</v>
      </c>
      <c r="K199" s="5">
        <v>154</v>
      </c>
      <c r="L199" s="5">
        <v>323</v>
      </c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32">
        <v>2.7</v>
      </c>
      <c r="G200" s="4">
        <f>'Gas Water'!M203</f>
        <v>1752</v>
      </c>
      <c r="H200" s="132">
        <v>13.68</v>
      </c>
      <c r="I200" s="2">
        <f>'Gas Water'!L203</f>
        <v>334</v>
      </c>
      <c r="J200" s="132">
        <v>22.4</v>
      </c>
      <c r="K200" s="5">
        <v>160</v>
      </c>
      <c r="L200" s="5">
        <v>329</v>
      </c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32">
        <v>2.7</v>
      </c>
      <c r="G201" s="4">
        <f>'Gas Water'!M204</f>
        <v>1761</v>
      </c>
      <c r="H201" s="132">
        <v>13.68</v>
      </c>
      <c r="I201" s="2">
        <f>'Gas Water'!L204</f>
        <v>384</v>
      </c>
      <c r="J201" s="132">
        <v>22.4</v>
      </c>
      <c r="K201" s="5">
        <v>157</v>
      </c>
      <c r="L201" s="5">
        <v>308</v>
      </c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32">
        <v>2.7</v>
      </c>
      <c r="G202" s="4">
        <f>'Gas Water'!M205</f>
        <v>1837</v>
      </c>
      <c r="H202" s="132">
        <v>13.68</v>
      </c>
      <c r="I202" s="2">
        <f>'Gas Water'!L205</f>
        <v>354</v>
      </c>
      <c r="J202" s="132">
        <v>22.4</v>
      </c>
      <c r="K202" s="5">
        <v>144</v>
      </c>
      <c r="L202" s="5">
        <v>290</v>
      </c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32">
        <v>2.7</v>
      </c>
      <c r="G203" s="4">
        <f>'Gas Water'!M206</f>
        <v>1623</v>
      </c>
      <c r="H203" s="132">
        <v>13.68</v>
      </c>
      <c r="I203" s="2">
        <f>'Gas Water'!L206</f>
        <v>333</v>
      </c>
      <c r="J203" s="132">
        <v>22.4</v>
      </c>
      <c r="K203" s="5">
        <v>157</v>
      </c>
      <c r="L203" s="5">
        <v>309</v>
      </c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32">
        <v>2.7</v>
      </c>
      <c r="G204" s="4">
        <f>'Gas Water'!M207</f>
        <v>1621</v>
      </c>
      <c r="H204" s="132">
        <v>13.68</v>
      </c>
      <c r="I204" s="2">
        <f>'Gas Water'!L207</f>
        <v>354</v>
      </c>
      <c r="J204" s="132">
        <v>22.4</v>
      </c>
      <c r="K204" s="5">
        <v>166</v>
      </c>
      <c r="L204" s="5">
        <v>288</v>
      </c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32">
        <v>2.7</v>
      </c>
      <c r="G205" s="4">
        <f>'Gas Water'!M208</f>
        <v>1536</v>
      </c>
      <c r="H205" s="132">
        <v>13.68</v>
      </c>
      <c r="I205" s="2">
        <f>'Gas Water'!L208</f>
        <v>297</v>
      </c>
      <c r="J205" s="132">
        <v>22.4</v>
      </c>
      <c r="K205" s="5">
        <v>161</v>
      </c>
      <c r="L205" s="5">
        <v>286</v>
      </c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32">
        <v>2.7</v>
      </c>
      <c r="G206" s="4">
        <f>'Gas Water'!M209</f>
        <v>1515</v>
      </c>
      <c r="H206" s="132">
        <v>13.68</v>
      </c>
      <c r="I206" s="2">
        <f>'Gas Water'!L209</f>
        <v>271</v>
      </c>
      <c r="J206" s="132">
        <v>22.4</v>
      </c>
      <c r="K206" s="5">
        <v>146</v>
      </c>
      <c r="L206" s="5">
        <v>291</v>
      </c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32">
        <v>2.7</v>
      </c>
      <c r="G207" s="4">
        <f>'Gas Water'!M210</f>
        <v>1435</v>
      </c>
      <c r="H207" s="132">
        <v>13.68</v>
      </c>
      <c r="I207" s="2">
        <f>'Gas Water'!L210</f>
        <v>296</v>
      </c>
      <c r="J207" s="132">
        <v>22.4</v>
      </c>
      <c r="K207" s="5">
        <v>146</v>
      </c>
      <c r="L207" s="5">
        <v>292</v>
      </c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32">
        <v>2.7</v>
      </c>
      <c r="G208" s="4">
        <f>'Gas Water'!M211</f>
        <v>1554</v>
      </c>
      <c r="H208" s="132">
        <v>13.68</v>
      </c>
      <c r="I208" s="2">
        <f>'Gas Water'!L211</f>
        <v>321</v>
      </c>
      <c r="J208" s="132">
        <v>22.4</v>
      </c>
      <c r="K208" s="5">
        <v>142</v>
      </c>
      <c r="L208" s="5">
        <v>287</v>
      </c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32">
        <v>2.7</v>
      </c>
      <c r="G209" s="4">
        <f>'Gas Water'!M212</f>
        <v>1550</v>
      </c>
      <c r="H209" s="132">
        <v>13.68</v>
      </c>
      <c r="I209" s="2">
        <f>'Gas Water'!L212</f>
        <v>324</v>
      </c>
      <c r="J209" s="132">
        <v>22.4</v>
      </c>
      <c r="K209" s="5">
        <v>145</v>
      </c>
      <c r="L209" s="5">
        <v>291</v>
      </c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32">
        <v>2.7</v>
      </c>
      <c r="G210" s="4">
        <f>'Gas Water'!M213</f>
        <v>1523</v>
      </c>
      <c r="H210" s="132">
        <v>13.68</v>
      </c>
      <c r="I210" s="2">
        <f>'Gas Water'!L213</f>
        <v>305</v>
      </c>
      <c r="J210" s="132">
        <v>22.4</v>
      </c>
      <c r="K210" s="5">
        <v>124</v>
      </c>
      <c r="L210" s="5">
        <v>262</v>
      </c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32">
        <v>2.7</v>
      </c>
      <c r="G211" s="4">
        <f>'Gas Water'!M214</f>
        <v>1459</v>
      </c>
      <c r="H211" s="132">
        <v>13.68</v>
      </c>
      <c r="I211" s="2">
        <f>'Gas Water'!L214</f>
        <v>371</v>
      </c>
      <c r="J211" s="132">
        <v>22.4</v>
      </c>
      <c r="K211" s="5">
        <v>137</v>
      </c>
      <c r="L211" s="5">
        <v>271</v>
      </c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82" workbookViewId="0">
      <selection activeCell="U197" sqref="U197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>
        <v>0.14199999999999999</v>
      </c>
      <c r="E191" s="137">
        <v>3051.6460000000002</v>
      </c>
      <c r="F191" s="138">
        <v>89.05</v>
      </c>
      <c r="G191" s="56"/>
      <c r="H191" s="56">
        <v>4140</v>
      </c>
      <c r="I191" s="56">
        <f t="shared" si="76"/>
        <v>40360.860000001041</v>
      </c>
      <c r="J191" s="56">
        <f t="shared" si="77"/>
        <v>1403.4599999999944</v>
      </c>
      <c r="K191" s="57">
        <f t="shared" si="72"/>
        <v>3.4772797209969217E-2</v>
      </c>
      <c r="L191" s="56">
        <f t="shared" si="73"/>
        <v>1403.4599999999944</v>
      </c>
      <c r="M191" s="57">
        <f t="shared" si="74"/>
        <v>3.4772797209969217E-2</v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>
        <v>0.14199999999999999</v>
      </c>
      <c r="E192" s="137">
        <v>3059.84</v>
      </c>
      <c r="F192" s="138">
        <v>89.347999999999999</v>
      </c>
      <c r="G192" s="56"/>
      <c r="H192" s="56">
        <v>4140</v>
      </c>
      <c r="I192" s="56">
        <f t="shared" si="76"/>
        <v>33923.159999999836</v>
      </c>
      <c r="J192" s="56">
        <f t="shared" si="77"/>
        <v>1233.7200000000075</v>
      </c>
      <c r="K192" s="57">
        <f t="shared" si="72"/>
        <v>3.6368074200635009E-2</v>
      </c>
      <c r="L192" s="56">
        <f t="shared" si="73"/>
        <v>1233.7200000000075</v>
      </c>
      <c r="M192" s="57">
        <f t="shared" si="74"/>
        <v>3.6368074200635009E-2</v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>
        <v>0.14199999999999999</v>
      </c>
      <c r="E193" s="137">
        <v>3068.49</v>
      </c>
      <c r="F193" s="138">
        <v>89.661000000000001</v>
      </c>
      <c r="G193" s="56"/>
      <c r="H193" s="56">
        <v>4140</v>
      </c>
      <c r="I193" s="56">
        <f t="shared" si="76"/>
        <v>35810.999999998494</v>
      </c>
      <c r="J193" s="56">
        <f t="shared" si="77"/>
        <v>1295.8200000000099</v>
      </c>
      <c r="K193" s="57">
        <f t="shared" si="72"/>
        <v>3.6184971098267696E-2</v>
      </c>
      <c r="L193" s="56">
        <f t="shared" si="73"/>
        <v>1295.8200000000099</v>
      </c>
      <c r="M193" s="57">
        <f t="shared" si="74"/>
        <v>3.6184971098267696E-2</v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>
        <v>0.14199999999999999</v>
      </c>
      <c r="E194" s="137">
        <v>3076.598</v>
      </c>
      <c r="F194" s="138">
        <v>89.864000000000004</v>
      </c>
      <c r="G194" s="56"/>
      <c r="H194" s="56">
        <v>4140</v>
      </c>
      <c r="I194" s="56">
        <f t="shared" si="76"/>
        <v>33567.120000000723</v>
      </c>
      <c r="J194" s="56">
        <f t="shared" si="77"/>
        <v>840.42000000001224</v>
      </c>
      <c r="K194" s="57">
        <f t="shared" si="72"/>
        <v>2.5037000493339737E-2</v>
      </c>
      <c r="L194" s="56">
        <f t="shared" si="73"/>
        <v>840.42000000001224</v>
      </c>
      <c r="M194" s="57">
        <f t="shared" si="74"/>
        <v>2.5037000493339737E-2</v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>
        <v>0.14199999999999999</v>
      </c>
      <c r="E195" s="137">
        <v>3084.5369999999998</v>
      </c>
      <c r="F195" s="138">
        <v>90.12</v>
      </c>
      <c r="G195" s="56"/>
      <c r="H195" s="56">
        <v>4140</v>
      </c>
      <c r="I195" s="56">
        <f t="shared" si="76"/>
        <v>32867.459999999381</v>
      </c>
      <c r="J195" s="56">
        <f t="shared" si="77"/>
        <v>1059.8400000000011</v>
      </c>
      <c r="K195" s="57">
        <f t="shared" si="72"/>
        <v>3.2245874795314912E-2</v>
      </c>
      <c r="L195" s="56">
        <f t="shared" si="73"/>
        <v>1059.8400000000011</v>
      </c>
      <c r="M195" s="57">
        <f t="shared" si="74"/>
        <v>3.2245874795314912E-2</v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>
        <v>0.14199999999999999</v>
      </c>
      <c r="E196" s="137">
        <v>3092.6619999999998</v>
      </c>
      <c r="F196" s="138">
        <v>90.462000000000003</v>
      </c>
      <c r="G196" s="56"/>
      <c r="H196" s="56">
        <v>4140</v>
      </c>
      <c r="I196" s="56">
        <f t="shared" si="76"/>
        <v>33637.5</v>
      </c>
      <c r="J196" s="56">
        <f t="shared" si="77"/>
        <v>1415.8799999999949</v>
      </c>
      <c r="K196" s="57">
        <f t="shared" si="72"/>
        <v>4.209230769230754E-2</v>
      </c>
      <c r="L196" s="56">
        <f t="shared" si="73"/>
        <v>1415.8799999999949</v>
      </c>
      <c r="M196" s="57">
        <f t="shared" si="74"/>
        <v>4.209230769230754E-2</v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>
        <v>0.14199999999999999</v>
      </c>
      <c r="E197" s="137">
        <v>3100.788</v>
      </c>
      <c r="F197" s="138">
        <v>90.685000000000002</v>
      </c>
      <c r="G197" s="56"/>
      <c r="H197" s="56">
        <v>4140</v>
      </c>
      <c r="I197" s="56">
        <f t="shared" si="76"/>
        <v>33641.640000000843</v>
      </c>
      <c r="J197" s="56">
        <f t="shared" si="77"/>
        <v>923.21999999999571</v>
      </c>
      <c r="K197" s="57">
        <f t="shared" si="72"/>
        <v>2.7442776273688577E-2</v>
      </c>
      <c r="L197" s="56">
        <f t="shared" si="73"/>
        <v>923.21999999999571</v>
      </c>
      <c r="M197" s="57">
        <f t="shared" si="74"/>
        <v>2.7442776273688577E-2</v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>
        <v>0.14199999999999999</v>
      </c>
      <c r="E198" s="137">
        <v>3109.0790000000002</v>
      </c>
      <c r="F198" s="138">
        <v>90.914000000000001</v>
      </c>
      <c r="G198" s="56"/>
      <c r="H198" s="56">
        <v>4140</v>
      </c>
      <c r="I198" s="56">
        <f t="shared" si="76"/>
        <v>34324.740000000689</v>
      </c>
      <c r="J198" s="56">
        <f t="shared" si="77"/>
        <v>948.05999999999676</v>
      </c>
      <c r="K198" s="57">
        <f t="shared" si="72"/>
        <v>2.7620311180797809E-2</v>
      </c>
      <c r="L198" s="56">
        <f t="shared" si="73"/>
        <v>948.05999999999676</v>
      </c>
      <c r="M198" s="57">
        <f t="shared" si="74"/>
        <v>2.7620311180797809E-2</v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>
        <v>0.14199999999999999</v>
      </c>
      <c r="E199" s="137">
        <v>3117.413</v>
      </c>
      <c r="F199" s="138">
        <v>91.177999999999997</v>
      </c>
      <c r="G199" s="56"/>
      <c r="H199" s="56">
        <v>4140</v>
      </c>
      <c r="I199" s="56">
        <f t="shared" si="76"/>
        <v>34502.759999999311</v>
      </c>
      <c r="J199" s="56">
        <f t="shared" si="77"/>
        <v>1092.9599999999825</v>
      </c>
      <c r="K199" s="57">
        <f t="shared" si="72"/>
        <v>3.1677465802735907E-2</v>
      </c>
      <c r="L199" s="56">
        <f t="shared" si="73"/>
        <v>1092.9599999999825</v>
      </c>
      <c r="M199" s="57">
        <f t="shared" si="74"/>
        <v>3.1677465802735907E-2</v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>
        <v>0.14199999999999999</v>
      </c>
      <c r="E200" s="137">
        <v>3125.893</v>
      </c>
      <c r="F200" s="138">
        <v>91.488</v>
      </c>
      <c r="G200" s="56"/>
      <c r="H200" s="56">
        <v>4140</v>
      </c>
      <c r="I200" s="56">
        <f t="shared" si="76"/>
        <v>35107.200000000077</v>
      </c>
      <c r="J200" s="56">
        <f t="shared" si="77"/>
        <v>1283.4000000000094</v>
      </c>
      <c r="K200" s="57">
        <f t="shared" si="72"/>
        <v>3.6556603773585092E-2</v>
      </c>
      <c r="L200" s="56">
        <f t="shared" si="73"/>
        <v>1283.4000000000094</v>
      </c>
      <c r="M200" s="57">
        <f t="shared" si="74"/>
        <v>3.6556603773585092E-2</v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>
        <v>0.14199999999999999</v>
      </c>
      <c r="E201" s="137">
        <v>3134.2260000000001</v>
      </c>
      <c r="F201" s="138">
        <v>91.734999999999999</v>
      </c>
      <c r="G201" s="56"/>
      <c r="H201" s="56">
        <v>4140</v>
      </c>
      <c r="I201" s="56">
        <f t="shared" si="76"/>
        <v>34498.620000000345</v>
      </c>
      <c r="J201" s="56">
        <f t="shared" si="77"/>
        <v>1022.5799999999995</v>
      </c>
      <c r="K201" s="57">
        <f t="shared" si="72"/>
        <v>2.9641185647425586E-2</v>
      </c>
      <c r="L201" s="56">
        <f t="shared" si="73"/>
        <v>1022.5799999999995</v>
      </c>
      <c r="M201" s="57">
        <f t="shared" si="74"/>
        <v>2.9641185647425586E-2</v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>
        <v>0.14199999999999999</v>
      </c>
      <c r="E202" s="137">
        <v>3142.636</v>
      </c>
      <c r="F202" s="138">
        <v>92.018000000000001</v>
      </c>
      <c r="G202" s="56"/>
      <c r="H202" s="56">
        <v>4140</v>
      </c>
      <c r="I202" s="56">
        <f t="shared" si="76"/>
        <v>34817.399999999398</v>
      </c>
      <c r="J202" s="56">
        <f t="shared" si="77"/>
        <v>1171.6200000000051</v>
      </c>
      <c r="K202" s="57">
        <f t="shared" si="72"/>
        <v>3.365041617122546E-2</v>
      </c>
      <c r="L202" s="56">
        <f t="shared" si="73"/>
        <v>1171.6200000000051</v>
      </c>
      <c r="M202" s="57">
        <f t="shared" si="74"/>
        <v>3.365041617122546E-2</v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>
        <v>0.14199999999999999</v>
      </c>
      <c r="E203" s="137">
        <v>3150.5450000000001</v>
      </c>
      <c r="F203" s="138">
        <v>92.278000000000006</v>
      </c>
      <c r="G203" s="56"/>
      <c r="H203" s="56">
        <v>4140</v>
      </c>
      <c r="I203" s="56">
        <f t="shared" si="76"/>
        <v>32743.260000000439</v>
      </c>
      <c r="J203" s="56">
        <f t="shared" si="77"/>
        <v>1076.4000000000212</v>
      </c>
      <c r="K203" s="57">
        <f t="shared" si="72"/>
        <v>3.2873941079782733E-2</v>
      </c>
      <c r="L203" s="56">
        <f t="shared" si="73"/>
        <v>1076.4000000000212</v>
      </c>
      <c r="M203" s="57">
        <f t="shared" si="74"/>
        <v>3.2873941079782733E-2</v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>
        <v>0.14199999999999999</v>
      </c>
      <c r="E204" s="137">
        <v>3158.66</v>
      </c>
      <c r="F204" s="138">
        <v>92.594999999999999</v>
      </c>
      <c r="G204" s="56"/>
      <c r="H204" s="56">
        <v>4140</v>
      </c>
      <c r="I204" s="56">
        <f t="shared" si="76"/>
        <v>33596.099999999096</v>
      </c>
      <c r="J204" s="56">
        <f t="shared" si="77"/>
        <v>1312.3799999999712</v>
      </c>
      <c r="K204" s="57">
        <f t="shared" si="72"/>
        <v>3.906346272335201E-2</v>
      </c>
      <c r="L204" s="56">
        <f t="shared" si="73"/>
        <v>1312.3799999999712</v>
      </c>
      <c r="M204" s="57">
        <f t="shared" si="74"/>
        <v>3.906346272335201E-2</v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>
        <v>0.14199999999999999</v>
      </c>
      <c r="E205" s="137">
        <v>3166.922</v>
      </c>
      <c r="F205" s="138">
        <v>92.876999999999995</v>
      </c>
      <c r="G205" s="56"/>
      <c r="H205" s="56">
        <v>4140</v>
      </c>
      <c r="I205" s="56">
        <f t="shared" si="76"/>
        <v>34204.680000000706</v>
      </c>
      <c r="J205" s="56">
        <f t="shared" si="77"/>
        <v>1167.4799999999855</v>
      </c>
      <c r="K205" s="57">
        <f t="shared" ref="K205:K268" si="81">IF(J205="","",+(J205/I205))</f>
        <v>3.4132171387072217E-2</v>
      </c>
      <c r="L205" s="56">
        <f t="shared" ref="L205:L223" si="82">IF(F205="","",+(F205-F204)*4140)</f>
        <v>1167.4799999999855</v>
      </c>
      <c r="M205" s="57">
        <f t="shared" ref="M205:M268" si="83">IF(L205="","",(L205/I205))</f>
        <v>3.4132171387072217E-2</v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>
        <v>0.14199999999999999</v>
      </c>
      <c r="E206" s="137">
        <v>3174.9989999999998</v>
      </c>
      <c r="F206" s="138">
        <v>93.097999999999999</v>
      </c>
      <c r="G206" s="56"/>
      <c r="H206" s="56">
        <v>4140</v>
      </c>
      <c r="I206" s="56">
        <f t="shared" si="76"/>
        <v>33438.779999999053</v>
      </c>
      <c r="J206" s="56">
        <f t="shared" si="77"/>
        <v>914.94000000001506</v>
      </c>
      <c r="K206" s="57">
        <f t="shared" si="81"/>
        <v>2.7361644174818608E-2</v>
      </c>
      <c r="L206" s="56">
        <f t="shared" si="82"/>
        <v>914.94000000001506</v>
      </c>
      <c r="M206" s="57">
        <f t="shared" si="83"/>
        <v>2.7361644174818608E-2</v>
      </c>
      <c r="N206" s="58">
        <v>66072019</v>
      </c>
      <c r="O206" s="58">
        <f t="shared" si="79"/>
        <v>0</v>
      </c>
      <c r="P206" s="66">
        <f>IF(J185="",0,+SUM(J185:J215)/SUM(I185:I215))</f>
        <v>3.5195747990666326E-2</v>
      </c>
      <c r="Q206" s="66">
        <f>IF(L185="",0,+SUM(L185:L215)/SUM(I185:I215))</f>
        <v>3.5195747990666326E-2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>
        <v>0.14199999999999999</v>
      </c>
      <c r="E207" s="137">
        <v>3182.6990000000001</v>
      </c>
      <c r="F207" s="138">
        <v>93.364999999999995</v>
      </c>
      <c r="G207" s="56"/>
      <c r="H207" s="56">
        <v>4140</v>
      </c>
      <c r="I207" s="56">
        <f t="shared" si="76"/>
        <v>31878.000000001128</v>
      </c>
      <c r="J207" s="56">
        <f t="shared" si="77"/>
        <v>1105.3799999999831</v>
      </c>
      <c r="K207" s="57">
        <f t="shared" si="81"/>
        <v>3.4675324675322916E-2</v>
      </c>
      <c r="L207" s="56">
        <f t="shared" si="82"/>
        <v>1105.3799999999831</v>
      </c>
      <c r="M207" s="57">
        <f t="shared" si="83"/>
        <v>3.4675324675322916E-2</v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>
        <v>0.14199999999999999</v>
      </c>
      <c r="E208" s="137">
        <v>3190.43</v>
      </c>
      <c r="F208" s="138">
        <v>93.66</v>
      </c>
      <c r="G208" s="56"/>
      <c r="H208" s="56">
        <v>4140</v>
      </c>
      <c r="I208" s="56">
        <f t="shared" si="76"/>
        <v>32006.339999999036</v>
      </c>
      <c r="J208" s="56">
        <f t="shared" si="77"/>
        <v>1221.300000000007</v>
      </c>
      <c r="K208" s="57">
        <f t="shared" si="81"/>
        <v>3.8158064933386443E-2</v>
      </c>
      <c r="L208" s="56">
        <f t="shared" si="82"/>
        <v>1221.300000000007</v>
      </c>
      <c r="M208" s="57">
        <f t="shared" si="83"/>
        <v>3.8158064933386443E-2</v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>
        <v>0.14199999999999999</v>
      </c>
      <c r="E209" s="137">
        <v>3198.4830000000002</v>
      </c>
      <c r="F209" s="138">
        <v>93.950999999999993</v>
      </c>
      <c r="G209" s="56"/>
      <c r="H209" s="56">
        <v>4140</v>
      </c>
      <c r="I209" s="56">
        <f t="shared" si="76"/>
        <v>33339.420000001403</v>
      </c>
      <c r="J209" s="56">
        <f t="shared" si="77"/>
        <v>1204.7399999999868</v>
      </c>
      <c r="K209" s="57">
        <f t="shared" si="81"/>
        <v>3.613560163913878E-2</v>
      </c>
      <c r="L209" s="56">
        <f t="shared" si="82"/>
        <v>1204.7399999999868</v>
      </c>
      <c r="M209" s="57">
        <f t="shared" si="83"/>
        <v>3.613560163913878E-2</v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>
        <v>0.14199999999999999</v>
      </c>
      <c r="E210" s="137">
        <v>3207.1959999999999</v>
      </c>
      <c r="F210" s="138">
        <v>94.284999999999997</v>
      </c>
      <c r="G210" s="56"/>
      <c r="H210" s="56">
        <v>4140</v>
      </c>
      <c r="I210" s="56">
        <f t="shared" si="76"/>
        <v>36071.819999998916</v>
      </c>
      <c r="J210" s="56">
        <f t="shared" si="77"/>
        <v>1382.7600000000132</v>
      </c>
      <c r="K210" s="57">
        <f t="shared" si="81"/>
        <v>3.8333524618387835E-2</v>
      </c>
      <c r="L210" s="56">
        <f t="shared" si="82"/>
        <v>1382.7600000000132</v>
      </c>
      <c r="M210" s="57">
        <f t="shared" si="83"/>
        <v>3.8333524618387835E-2</v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>
        <v>0.14199999999999999</v>
      </c>
      <c r="E211" s="137">
        <v>3215.7330000000002</v>
      </c>
      <c r="F211" s="138">
        <v>94.632999999999996</v>
      </c>
      <c r="G211" s="56"/>
      <c r="H211" s="56">
        <v>4140</v>
      </c>
      <c r="I211" s="56">
        <f t="shared" si="76"/>
        <v>35343.180000001084</v>
      </c>
      <c r="J211" s="56">
        <f t="shared" si="77"/>
        <v>1440.7199999999957</v>
      </c>
      <c r="K211" s="57">
        <f t="shared" si="81"/>
        <v>4.0763734332902458E-2</v>
      </c>
      <c r="L211" s="56">
        <f t="shared" si="82"/>
        <v>1440.7199999999957</v>
      </c>
      <c r="M211" s="57">
        <f t="shared" si="83"/>
        <v>4.0763734332902458E-2</v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>
        <v>0.14199999999999999</v>
      </c>
      <c r="E212" s="137">
        <v>3225.12</v>
      </c>
      <c r="F212" s="138">
        <v>95.063999999999993</v>
      </c>
      <c r="G212" s="56"/>
      <c r="H212" s="56">
        <v>4140</v>
      </c>
      <c r="I212" s="56">
        <f t="shared" si="76"/>
        <v>38862.179999998829</v>
      </c>
      <c r="J212" s="56">
        <f t="shared" si="77"/>
        <v>1784.3399999999892</v>
      </c>
      <c r="K212" s="57">
        <f t="shared" si="81"/>
        <v>4.5914562693087288E-2</v>
      </c>
      <c r="L212" s="56">
        <f t="shared" si="82"/>
        <v>1784.3399999999892</v>
      </c>
      <c r="M212" s="57">
        <f t="shared" si="83"/>
        <v>4.5914562693087288E-2</v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>
        <v>0.14199999999999999</v>
      </c>
      <c r="E213" s="137">
        <v>3234.7449999999999</v>
      </c>
      <c r="F213" s="138">
        <v>95.510999999999996</v>
      </c>
      <c r="G213" s="56"/>
      <c r="H213" s="56">
        <v>4140</v>
      </c>
      <c r="I213" s="56">
        <f t="shared" si="76"/>
        <v>39847.5</v>
      </c>
      <c r="J213" s="56">
        <f t="shared" si="77"/>
        <v>1850.5800000000113</v>
      </c>
      <c r="K213" s="57">
        <f t="shared" si="81"/>
        <v>4.6441558441558728E-2</v>
      </c>
      <c r="L213" s="56">
        <f t="shared" si="82"/>
        <v>1850.5800000000113</v>
      </c>
      <c r="M213" s="57">
        <f t="shared" si="83"/>
        <v>4.6441558441558728E-2</v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78" workbookViewId="0">
      <selection activeCell="P193" sqref="P193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4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 x14ac:dyDescent="0.2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 x14ac:dyDescent="0.2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 x14ac:dyDescent="0.2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N202" s="43"/>
      <c r="Q202" s="19">
        <f t="shared" si="96"/>
        <v>0</v>
      </c>
    </row>
    <row r="203" spans="2:17" ht="12.95" customHeight="1" x14ac:dyDescent="0.2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 x14ac:dyDescent="0.2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 x14ac:dyDescent="0.25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 x14ac:dyDescent="0.2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71" t="s">
        <v>65</v>
      </c>
      <c r="O206" s="171" t="s">
        <v>66</v>
      </c>
      <c r="Q206" s="19">
        <f t="shared" si="96"/>
        <v>0</v>
      </c>
    </row>
    <row r="207" spans="2:17" ht="12.95" customHeight="1" x14ac:dyDescent="0.2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72"/>
      <c r="O207" s="172"/>
      <c r="Q207" s="19">
        <f t="shared" si="96"/>
        <v>0</v>
      </c>
    </row>
    <row r="208" spans="2:17" ht="12.95" customHeight="1" thickBot="1" x14ac:dyDescent="0.25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73"/>
      <c r="O208" s="173"/>
      <c r="Q208" s="19">
        <f t="shared" si="96"/>
        <v>0</v>
      </c>
    </row>
    <row r="209" spans="2:17" ht="12.95" customHeight="1" thickBot="1" x14ac:dyDescent="0.25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9090</v>
      </c>
      <c r="O209" s="30">
        <f>SUM(M186:M216)</f>
        <v>48816</v>
      </c>
      <c r="Q209" s="19">
        <f t="shared" si="96"/>
        <v>0</v>
      </c>
    </row>
    <row r="210" spans="2:17" ht="12.95" customHeight="1" x14ac:dyDescent="0.2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71" t="s">
        <v>67</v>
      </c>
      <c r="O210" s="171" t="s">
        <v>68</v>
      </c>
      <c r="Q210" s="19">
        <f t="shared" si="96"/>
        <v>0</v>
      </c>
    </row>
    <row r="211" spans="2:17" ht="12.95" customHeight="1" thickBot="1" x14ac:dyDescent="0.25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73"/>
      <c r="O211" s="173"/>
      <c r="Q211" s="19">
        <f t="shared" si="96"/>
        <v>0</v>
      </c>
    </row>
    <row r="212" spans="2:17" ht="12.95" customHeight="1" thickBot="1" x14ac:dyDescent="0.25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313.44827586206895</v>
      </c>
      <c r="O212" s="30">
        <f>AVERAGE(M186:M216)</f>
        <v>1683.3103448275863</v>
      </c>
      <c r="Q212" s="19">
        <f t="shared" si="96"/>
        <v>0</v>
      </c>
    </row>
    <row r="213" spans="2:17" ht="12.95" customHeight="1" x14ac:dyDescent="0.2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 x14ac:dyDescent="0.2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2022-07-30T06:50:06Z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