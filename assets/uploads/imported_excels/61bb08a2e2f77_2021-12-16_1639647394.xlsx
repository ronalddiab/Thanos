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60" windowWidth="12210" windowHeight="12120" tabRatio="579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  <fileRecoveryPr repairLoad="1"/>
</workbook>
</file>

<file path=xl/calcChain.xml><?xml version="1.0" encoding="utf-8"?>
<calcChain xmlns="http://schemas.openxmlformats.org/spreadsheetml/2006/main">
  <c r="D19" i="73"/>
  <c r="P19" i="1"/>
  <c r="E12" i="2" l="1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K3"/>
  <c r="L3"/>
  <c r="M3"/>
  <c r="N3"/>
  <c r="S3"/>
  <c r="B3"/>
  <c r="B4" s="1"/>
  <c r="B5" s="1"/>
  <c r="B6" s="1"/>
  <c r="B7" s="1"/>
  <c r="B8" s="1"/>
  <c r="B13" s="1"/>
  <c r="B14" s="1"/>
  <c r="B15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8" s="1"/>
  <c r="B19" s="1"/>
  <c r="B20" s="1"/>
  <c r="B21" s="1"/>
  <c r="B22" s="1"/>
  <c r="B23" s="1"/>
  <c r="B24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8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F5" i="76" l="1"/>
  <c r="F6" s="1"/>
  <c r="F7" s="1"/>
  <c r="F8" s="1"/>
  <c r="F13" s="1"/>
  <c r="F14" s="1"/>
  <c r="F15" s="1"/>
  <c r="B25" i="3"/>
  <c r="B26" s="1"/>
  <c r="B27" s="1"/>
  <c r="B28" s="1"/>
  <c r="B29" s="1"/>
  <c r="B30" s="1"/>
  <c r="B31" s="1"/>
  <c r="B32" s="1"/>
  <c r="B33" s="1"/>
  <c r="C24"/>
  <c r="J18" i="76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4" s="1"/>
  <c r="F15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4" s="1"/>
  <c r="H15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8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13" s="1"/>
  <c r="F14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"/>
  <c r="H3"/>
  <c r="H6" s="1"/>
  <c r="H7" s="1"/>
  <c r="H13" s="1"/>
  <c r="H14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13" s="1"/>
  <c r="J14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13" s="1"/>
  <c r="L14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13" s="1"/>
  <c r="P14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13" s="1"/>
  <c r="W14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13" s="1"/>
  <c r="Y14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C3"/>
  <c r="D7" l="1"/>
  <c r="E6"/>
  <c r="F18" i="76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D13" i="2" l="1"/>
  <c r="E8"/>
  <c r="E7"/>
  <c r="Q20"/>
  <c r="Q19"/>
  <c r="E13" l="1"/>
  <c r="D14"/>
  <c r="E14" s="1"/>
  <c r="E15"/>
  <c r="D15" i="73"/>
  <c r="H12" i="77"/>
  <c r="E16" i="2" l="1"/>
  <c r="BA7" i="5"/>
  <c r="E17" i="2" l="1"/>
  <c r="I8" i="77"/>
  <c r="D19" i="2" l="1"/>
  <c r="E18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D20" l="1"/>
  <c r="E19"/>
  <c r="K4" i="76"/>
  <c r="AB26"/>
  <c r="AA28"/>
  <c r="AB28" s="1"/>
  <c r="AE28" s="1"/>
  <c r="AF28" s="1"/>
  <c r="D21" i="2" l="1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2" i="2" l="1"/>
  <c r="E21"/>
  <c r="F36" i="73"/>
  <c r="W30" i="76" s="1"/>
  <c r="D23" i="2" l="1"/>
  <c r="E22"/>
  <c r="AH38" i="1"/>
  <c r="AH37"/>
  <c r="AK38" i="5"/>
  <c r="F39"/>
  <c r="B39"/>
  <c r="P34" i="3"/>
  <c r="D24" i="2" l="1"/>
  <c r="E23"/>
  <c r="K77" i="74"/>
  <c r="K76"/>
  <c r="J77"/>
  <c r="J76"/>
  <c r="J75"/>
  <c r="D25" i="2" l="1"/>
  <c r="E24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D26" l="1"/>
  <c r="E25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D29" l="1"/>
  <c r="E28"/>
  <c r="Y27" i="5"/>
  <c r="G19" i="2"/>
  <c r="N18"/>
  <c r="R18" s="1"/>
  <c r="I19"/>
  <c r="AB19"/>
  <c r="K19"/>
  <c r="Z19"/>
  <c r="X19"/>
  <c r="M19"/>
  <c r="D30" l="1"/>
  <c r="E29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D31" l="1"/>
  <c r="E30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D32" i="2" l="1"/>
  <c r="E3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V35" i="1"/>
  <c r="AL35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F18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AC29" i="76" l="1"/>
  <c r="O30" s="1"/>
  <c r="P30" s="1"/>
  <c r="S5" i="2"/>
  <c r="T4"/>
  <c r="AD7" i="5"/>
  <c r="AC8"/>
  <c r="AF6"/>
  <c r="AE7"/>
  <c r="O14" i="76"/>
  <c r="P14" s="1"/>
  <c r="O31"/>
  <c r="P31" s="1"/>
  <c r="O12"/>
  <c r="P12" s="1"/>
  <c r="O11"/>
  <c r="P11" s="1"/>
  <c r="O20"/>
  <c r="P20" s="1"/>
  <c r="O19"/>
  <c r="P19" s="1"/>
  <c r="O25"/>
  <c r="P25" s="1"/>
  <c r="O23"/>
  <c r="P23" s="1"/>
  <c r="U5" i="2"/>
  <c r="V4"/>
  <c r="AD5" i="1"/>
  <c r="AC6"/>
  <c r="AH6" i="5"/>
  <c r="AG7"/>
  <c r="AD4" i="2"/>
  <c r="AC5"/>
  <c r="AE6" i="1"/>
  <c r="AF5"/>
  <c r="AH5" s="1"/>
  <c r="AC12" i="76"/>
  <c r="O27" l="1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O29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T5"/>
  <c r="S6"/>
  <c r="AI5" i="1"/>
  <c r="C5" i="65"/>
  <c r="E5" s="1"/>
  <c r="AD8" i="5"/>
  <c r="AC9"/>
  <c r="A2" i="63"/>
  <c r="AE4" i="2"/>
  <c r="AG4" s="1"/>
  <c r="AI6" i="5"/>
  <c r="P34" i="76"/>
  <c r="R34" s="1"/>
  <c r="T34" s="1"/>
  <c r="F32" i="81" s="1"/>
  <c r="AD6" i="1"/>
  <c r="AC7"/>
  <c r="AB36" i="76"/>
  <c r="AB38" s="1"/>
  <c r="AB33"/>
  <c r="AB34" s="1"/>
  <c r="D10" i="77"/>
  <c r="E10" s="1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I7" i="5" l="1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G10" s="1"/>
  <c r="AI12" i="5"/>
  <c r="AG9" i="2"/>
  <c r="AI13" i="5" l="1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F14" i="2" l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B17" i="76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AW21" i="7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H20" i="65" l="1"/>
  <c r="AI22" i="5"/>
  <c r="AF23"/>
  <c r="AE24"/>
  <c r="AF22" i="1"/>
  <c r="AH22" s="1"/>
  <c r="AE23"/>
  <c r="C6" i="5"/>
  <c r="B7"/>
  <c r="S22" i="2"/>
  <c r="T21"/>
  <c r="AY20" i="7"/>
  <c r="BJ20"/>
  <c r="Q18" i="76"/>
  <c r="R18" s="1"/>
  <c r="T18" s="1"/>
  <c r="F16" i="81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M2" i="81" s="1"/>
  <c r="AI28" i="5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AX28" i="7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G30" s="1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F31" i="2" l="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F32" i="2" l="1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Q1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B32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AB18" s="1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C18" i="3"/>
  <c r="AK18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AH18" s="1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B21" s="1"/>
  <c r="AG19"/>
  <c r="AH19" s="1"/>
  <c r="BK22" i="7"/>
  <c r="K22" i="3"/>
  <c r="J23"/>
  <c r="M24" l="1"/>
  <c r="L25"/>
  <c r="AC21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AH21" s="1"/>
  <c r="BK24" i="7"/>
  <c r="AG22" i="3" l="1"/>
  <c r="AH22" s="1"/>
  <c r="BK25" i="7"/>
  <c r="Z24" i="3"/>
  <c r="N24"/>
  <c r="AB24" s="1"/>
  <c r="K25"/>
  <c r="J26"/>
  <c r="AC23"/>
  <c r="F23" i="63"/>
  <c r="AK23" i="3"/>
  <c r="AE23"/>
  <c r="AF23" s="1"/>
  <c r="AL23"/>
  <c r="M26"/>
  <c r="L27"/>
  <c r="AG23" l="1"/>
  <c r="AH23" s="1"/>
  <c r="BK26" i="7"/>
  <c r="AC24" i="3"/>
  <c r="AE24"/>
  <c r="AF24" s="1"/>
  <c r="F24" i="63"/>
  <c r="AK24" i="3"/>
  <c r="AL24"/>
  <c r="N25"/>
  <c r="AB25" s="1"/>
  <c r="Z25"/>
  <c r="M27"/>
  <c r="L28"/>
  <c r="K26"/>
  <c r="J27"/>
  <c r="M28" l="1"/>
  <c r="L29"/>
  <c r="N26"/>
  <c r="AB26" s="1"/>
  <c r="Z26"/>
  <c r="AL25"/>
  <c r="AE25"/>
  <c r="AF25" s="1"/>
  <c r="AK25"/>
  <c r="AC25"/>
  <c r="F25" i="63"/>
  <c r="AG24" i="3"/>
  <c r="AH24" s="1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AH25" s="1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AB29" s="1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C29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AH29" s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D15" s="1"/>
  <c r="E13"/>
  <c r="AA13" s="1"/>
  <c r="E14" l="1"/>
  <c r="Q3" i="76"/>
  <c r="AA14" i="3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s="1"/>
  <c r="D20" l="1"/>
  <c r="E19"/>
  <c r="AA19" s="1"/>
  <c r="E20" l="1"/>
  <c r="AA20" s="1"/>
  <c r="D21"/>
  <c r="E21" l="1"/>
  <c r="AA21" s="1"/>
  <c r="D22"/>
  <c r="D23" s="1"/>
  <c r="D24" s="1"/>
  <c r="D25" l="1"/>
  <c r="E24"/>
  <c r="AA24" s="1"/>
  <c r="D26" l="1"/>
  <c r="E25"/>
  <c r="AA25" s="1"/>
  <c r="E26" l="1"/>
  <c r="AA26" s="1"/>
  <c r="D27"/>
  <c r="E27" l="1"/>
  <c r="AA27" s="1"/>
  <c r="D28"/>
  <c r="E28" l="1"/>
  <c r="AA28" s="1"/>
  <c r="D29"/>
  <c r="D30" l="1"/>
  <c r="E29"/>
  <c r="AA29" s="1"/>
  <c r="D31" l="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O4"/>
  <c r="Q2" i="3"/>
  <c r="K2"/>
  <c r="AS4" i="1"/>
  <c r="AQ4"/>
  <c r="AT35" l="1"/>
  <c r="P31" i="3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P32" i="3"/>
  <c r="Q31"/>
  <c r="AB2"/>
  <c r="W15" i="76"/>
  <c r="AK2" i="3"/>
  <c r="AU4" i="1"/>
  <c r="AE2" i="3"/>
  <c r="AU36" i="1" l="1"/>
  <c r="AU38" s="1"/>
  <c r="P33" i="3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<sst xmlns="http://schemas.openxmlformats.org/spreadsheetml/2006/main" count="669" uniqueCount="417">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</sst>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4" fillId="0" borderId="0" xfId="0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9643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2771840"/>
        <c:axId val="112773376"/>
      </c:lineChart>
      <c:catAx>
        <c:axId val="11277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73376"/>
        <c:crosses val="autoZero"/>
        <c:auto val="1"/>
        <c:lblAlgn val="ctr"/>
        <c:lblOffset val="100"/>
      </c:catAx>
      <c:valAx>
        <c:axId val="1127733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7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2781952"/>
        <c:axId val="110563712"/>
      </c:lineChart>
      <c:catAx>
        <c:axId val="112781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63712"/>
        <c:crosses val="autoZero"/>
        <c:auto val="1"/>
        <c:lblAlgn val="ctr"/>
        <c:lblOffset val="100"/>
      </c:catAx>
      <c:valAx>
        <c:axId val="110563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781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89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0596480"/>
        <c:axId val="110598016"/>
      </c:lineChart>
      <c:catAx>
        <c:axId val="11059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98016"/>
        <c:crosses val="autoZero"/>
        <c:auto val="1"/>
        <c:lblAlgn val="ctr"/>
        <c:lblOffset val="100"/>
      </c:catAx>
      <c:valAx>
        <c:axId val="110598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9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9566592"/>
        <c:axId val="129568128"/>
      </c:lineChart>
      <c:catAx>
        <c:axId val="12956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8128"/>
        <c:crosses val="autoZero"/>
        <c:auto val="1"/>
        <c:lblAlgn val="ctr"/>
        <c:lblOffset val="100"/>
      </c:catAx>
      <c:valAx>
        <c:axId val="129568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6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543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9584512"/>
        <c:axId val="129606784"/>
      </c:lineChart>
      <c:catAx>
        <c:axId val="12958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06784"/>
        <c:crosses val="autoZero"/>
        <c:auto val="1"/>
        <c:lblAlgn val="ctr"/>
        <c:lblOffset val="100"/>
      </c:catAx>
      <c:valAx>
        <c:axId val="129606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8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0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95937792"/>
        <c:axId val="195939328"/>
      </c:lineChart>
      <c:catAx>
        <c:axId val="19593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939328"/>
        <c:crosses val="autoZero"/>
        <c:auto val="1"/>
        <c:lblAlgn val="ctr"/>
        <c:lblOffset val="100"/>
      </c:catAx>
      <c:valAx>
        <c:axId val="195939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593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0604928"/>
        <c:axId val="100619008"/>
      </c:lineChart>
      <c:catAx>
        <c:axId val="10060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19008"/>
        <c:crosses val="autoZero"/>
        <c:auto val="1"/>
        <c:lblAlgn val="ctr"/>
        <c:lblOffset val="100"/>
      </c:catAx>
      <c:valAx>
        <c:axId val="100619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0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0643200"/>
        <c:axId val="100644736"/>
      </c:lineChart>
      <c:catAx>
        <c:axId val="100643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4736"/>
        <c:crosses val="autoZero"/>
        <c:auto val="1"/>
        <c:lblAlgn val="ctr"/>
        <c:lblOffset val="100"/>
      </c:catAx>
      <c:valAx>
        <c:axId val="10064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4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96036480"/>
        <c:axId val="196038016"/>
      </c:lineChart>
      <c:catAx>
        <c:axId val="19603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038016"/>
        <c:crosses val="autoZero"/>
        <c:auto val="1"/>
        <c:lblAlgn val="ctr"/>
        <c:lblOffset val="100"/>
      </c:catAx>
      <c:valAx>
        <c:axId val="196038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03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966"/>
          <c:w val="0.1272403315177594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96062592"/>
        <c:axId val="196072576"/>
      </c:lineChart>
      <c:catAx>
        <c:axId val="19606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072576"/>
        <c:crosses val="autoZero"/>
        <c:auto val="1"/>
        <c:lblAlgn val="ctr"/>
        <c:lblOffset val="100"/>
      </c:catAx>
      <c:valAx>
        <c:axId val="19607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06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96355200"/>
        <c:axId val="196356736"/>
      </c:lineChart>
      <c:catAx>
        <c:axId val="196355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356736"/>
        <c:crosses val="autoZero"/>
        <c:auto val="1"/>
        <c:lblAlgn val="ctr"/>
        <c:lblOffset val="100"/>
      </c:catAx>
      <c:valAx>
        <c:axId val="1963567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355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96393984"/>
        <c:axId val="196612864"/>
      </c:lineChart>
      <c:catAx>
        <c:axId val="19639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12864"/>
        <c:crosses val="autoZero"/>
        <c:auto val="1"/>
        <c:lblAlgn val="ctr"/>
        <c:lblOffset val="100"/>
      </c:catAx>
      <c:valAx>
        <c:axId val="19661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39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118</c:v>
                </c:pt>
                <c:pt idx="13">
                  <c:v>169</c:v>
                </c:pt>
                <c:pt idx="14">
                  <c:v>117</c:v>
                </c:pt>
                <c:pt idx="15">
                  <c:v>112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96666496"/>
        <c:axId val="196668032"/>
      </c:lineChart>
      <c:catAx>
        <c:axId val="19666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68032"/>
        <c:crosses val="autoZero"/>
        <c:auto val="1"/>
        <c:lblAlgn val="ctr"/>
        <c:lblOffset val="100"/>
      </c:catAx>
      <c:valAx>
        <c:axId val="19666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6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966"/>
          <c:w val="0.135416885389375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96561536"/>
        <c:axId val="196567424"/>
      </c:lineChart>
      <c:catAx>
        <c:axId val="19656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67424"/>
        <c:crosses val="autoZero"/>
        <c:auto val="1"/>
        <c:lblAlgn val="ctr"/>
        <c:lblOffset val="100"/>
      </c:catAx>
      <c:valAx>
        <c:axId val="196567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6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96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6833</c:v>
                </c:pt>
                <c:pt idx="13">
                  <c:v>5512.2000000001863</c:v>
                </c:pt>
                <c:pt idx="14">
                  <c:v>5313.7999999998137</c:v>
                </c:pt>
                <c:pt idx="15">
                  <c:v>9643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96584192"/>
        <c:axId val="196585728"/>
      </c:lineChart>
      <c:catAx>
        <c:axId val="19658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85728"/>
        <c:crosses val="autoZero"/>
        <c:auto val="1"/>
        <c:lblAlgn val="ctr"/>
        <c:lblOffset val="100"/>
      </c:catAx>
      <c:valAx>
        <c:axId val="196585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58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96696320"/>
        <c:axId val="196698112"/>
      </c:lineChart>
      <c:catAx>
        <c:axId val="19669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98112"/>
        <c:crosses val="autoZero"/>
        <c:auto val="1"/>
        <c:lblAlgn val="ctr"/>
        <c:lblOffset val="100"/>
      </c:catAx>
      <c:valAx>
        <c:axId val="19669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69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966"/>
          <c:w val="0.1354168853893751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96747264"/>
        <c:axId val="196748800"/>
      </c:lineChart>
      <c:catAx>
        <c:axId val="19674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748800"/>
        <c:crosses val="autoZero"/>
        <c:auto val="1"/>
        <c:lblAlgn val="ctr"/>
        <c:lblOffset val="100"/>
      </c:catAx>
      <c:valAx>
        <c:axId val="196748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74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80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-1603.3870967741896</c:v>
                </c:pt>
                <c:pt idx="12">
                  <c:v>-2076.7419354838567</c:v>
                </c:pt>
                <c:pt idx="13">
                  <c:v>-493</c:v>
                </c:pt>
                <c:pt idx="14">
                  <c:v>-2076.741935483893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96777472"/>
        <c:axId val="196779008"/>
      </c:lineChart>
      <c:catAx>
        <c:axId val="19677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779008"/>
        <c:crosses val="autoZero"/>
        <c:auto val="1"/>
        <c:lblAlgn val="ctr"/>
        <c:lblOffset val="100"/>
      </c:catAx>
      <c:valAx>
        <c:axId val="196779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777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96881792"/>
        <c:axId val="196887680"/>
      </c:lineChart>
      <c:catAx>
        <c:axId val="19688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87680"/>
        <c:crosses val="autoZero"/>
        <c:auto val="1"/>
        <c:lblAlgn val="ctr"/>
        <c:lblOffset val="100"/>
      </c:catAx>
      <c:valAx>
        <c:axId val="19688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8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5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96920448"/>
        <c:axId val="196921984"/>
      </c:lineChart>
      <c:catAx>
        <c:axId val="19692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21984"/>
        <c:crosses val="autoZero"/>
        <c:auto val="1"/>
        <c:lblAlgn val="ctr"/>
        <c:lblOffset val="100"/>
      </c:catAx>
      <c:valAx>
        <c:axId val="1969219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20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96831872"/>
        <c:axId val="196841856"/>
      </c:lineChart>
      <c:catAx>
        <c:axId val="19683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41856"/>
        <c:crosses val="autoZero"/>
        <c:auto val="1"/>
        <c:lblAlgn val="ctr"/>
        <c:lblOffset val="100"/>
      </c:catAx>
      <c:valAx>
        <c:axId val="196841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96936064"/>
        <c:axId val="196937600"/>
      </c:lineChart>
      <c:catAx>
        <c:axId val="19693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37600"/>
        <c:crosses val="autoZero"/>
        <c:auto val="1"/>
        <c:lblAlgn val="ctr"/>
        <c:lblOffset val="100"/>
      </c:catAx>
      <c:valAx>
        <c:axId val="196937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3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514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96953984"/>
        <c:axId val="196955520"/>
      </c:lineChart>
      <c:catAx>
        <c:axId val="19695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55520"/>
        <c:crosses val="autoZero"/>
        <c:auto val="1"/>
        <c:lblAlgn val="ctr"/>
        <c:lblOffset val="100"/>
      </c:catAx>
      <c:valAx>
        <c:axId val="196955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5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96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96996480"/>
        <c:axId val="196998272"/>
      </c:lineChart>
      <c:catAx>
        <c:axId val="19699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98272"/>
        <c:crosses val="autoZero"/>
        <c:auto val="1"/>
        <c:lblAlgn val="ctr"/>
        <c:lblOffset val="100"/>
      </c:catAx>
      <c:valAx>
        <c:axId val="19699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99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543"/>
          <c:w val="0.1234311819809425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97032192"/>
        <c:axId val="197058560"/>
      </c:lineChart>
      <c:catAx>
        <c:axId val="1970321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58560"/>
        <c:crosses val="autoZero"/>
        <c:auto val="1"/>
        <c:lblAlgn val="ctr"/>
        <c:lblOffset val="100"/>
      </c:catAx>
      <c:valAx>
        <c:axId val="197058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3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383"/>
          <c:w val="0.1569039853282405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237</c:v>
                </c:pt>
                <c:pt idx="12">
                  <c:v>296.5</c:v>
                </c:pt>
                <c:pt idx="13">
                  <c:v>253</c:v>
                </c:pt>
                <c:pt idx="14">
                  <c:v>363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97078400"/>
        <c:axId val="197092480"/>
      </c:lineChart>
      <c:catAx>
        <c:axId val="19707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92480"/>
        <c:crosses val="autoZero"/>
        <c:auto val="1"/>
        <c:lblAlgn val="ctr"/>
        <c:lblOffset val="100"/>
      </c:catAx>
      <c:valAx>
        <c:axId val="1970924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07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58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18.5</c:v>
                </c:pt>
                <c:pt idx="12">
                  <c:v>20</c:v>
                </c:pt>
                <c:pt idx="13">
                  <c:v>19</c:v>
                </c:pt>
                <c:pt idx="14">
                  <c:v>18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97146112"/>
        <c:axId val="197147648"/>
      </c:lineChart>
      <c:catAx>
        <c:axId val="19714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47648"/>
        <c:crosses val="autoZero"/>
        <c:auto val="1"/>
        <c:lblAlgn val="ctr"/>
        <c:lblOffset val="100"/>
      </c:catAx>
      <c:valAx>
        <c:axId val="197147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14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327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97571328"/>
        <c:axId val="197572864"/>
      </c:lineChart>
      <c:catAx>
        <c:axId val="1975713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572864"/>
        <c:crosses val="autoZero"/>
        <c:auto val="1"/>
        <c:lblAlgn val="ctr"/>
        <c:lblOffset val="100"/>
      </c:catAx>
      <c:valAx>
        <c:axId val="1975728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757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38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F36">
            <v>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G32">
            <v>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W32">
            <v>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A30">
            <v>0</v>
          </cell>
          <cell r="AB30">
            <v>7635837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222</v>
          </cell>
          <cell r="X32">
            <v>27.75</v>
          </cell>
          <cell r="Y32">
            <v>27.75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A34">
            <v>0</v>
          </cell>
          <cell r="AB34">
            <v>8475779.0700000003</v>
          </cell>
          <cell r="AC34">
            <v>0</v>
          </cell>
        </row>
      </sheetData>
      <sheetData sheetId="8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9">
          <cell r="B9">
            <v>0</v>
          </cell>
          <cell r="C9">
            <v>0</v>
          </cell>
        </row>
        <row r="10">
          <cell r="B10">
            <v>0</v>
          </cell>
          <cell r="C10">
            <v>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6">
          <cell r="B16">
            <v>0</v>
          </cell>
          <cell r="C16">
            <v>0</v>
          </cell>
        </row>
        <row r="17">
          <cell r="B17">
            <v>0</v>
          </cell>
          <cell r="C17">
            <v>0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3">
          <cell r="B23">
            <v>0</v>
          </cell>
          <cell r="C23">
            <v>0</v>
          </cell>
        </row>
        <row r="24">
          <cell r="B24">
            <v>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AT36">
            <v>0</v>
          </cell>
          <cell r="AU36">
            <v>0</v>
          </cell>
        </row>
      </sheetData>
      <sheetData sheetId="7"/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9" sqref="G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0.25114967597094123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0.24187690809181595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3.5299405537362716E-2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0.25830948522820885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0.34285295962016288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0.24888920322438729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0.29927533336043038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6833</v>
      </c>
      <c r="F13" s="315">
        <f>SUM('EDl log'!T15)</f>
        <v>0.15754218236777004</v>
      </c>
      <c r="G13" s="203">
        <f>-tanks!AW17</f>
        <v>118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2</v>
      </c>
      <c r="L13" s="316">
        <f>SUM(WATER!J17)</f>
        <v>120.96774193548387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5512.2000000001863</v>
      </c>
      <c r="F14" s="315">
        <f>SUM('EDl log'!T16)</f>
        <v>0.24283533063718221</v>
      </c>
      <c r="G14" s="203">
        <f>-tanks!AW18</f>
        <v>169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5313.7999999998137</v>
      </c>
      <c r="F15" s="315">
        <f>SUM('EDl log'!T17)</f>
        <v>8.2997184981685054E-2</v>
      </c>
      <c r="G15" s="203">
        <f>-tanks!AW19</f>
        <v>117</v>
      </c>
      <c r="H15" s="315">
        <f>SUM(tanks!AV19)</f>
        <v>0.60699999999999998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9643</v>
      </c>
      <c r="F16" s="315">
        <f>SUM('EDl log'!T18)</f>
        <v>0.14247904278112034</v>
      </c>
      <c r="G16" s="203">
        <f>-tanks!AW20</f>
        <v>112</v>
      </c>
      <c r="H16" s="315">
        <f>SUM(tanks!AV20)</f>
        <v>0.60699999999999998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0.60699999999999998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0.60699999999999998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0.60699999999999998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0.60699999999999998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0.60699999999999998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0.60699999999999998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0.60699999999999998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0.60699999999999998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0.60699999999999998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0.60699999999999998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0.60699999999999998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0.60699999999999998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0.60699999999999998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0.60699999999999998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0.60699999999999998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0.60699999999999998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1248</v>
      </c>
      <c r="F13" s="203">
        <f>ELEC!K15</f>
        <v>2454</v>
      </c>
      <c r="G13" s="203">
        <f>ELEC!I15</f>
        <v>596</v>
      </c>
      <c r="H13" s="203">
        <f>ELEC!E15</f>
        <v>2210</v>
      </c>
      <c r="I13" s="203">
        <f>ELEC!G15</f>
        <v>325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1040</v>
      </c>
      <c r="F14" s="203">
        <f>ELEC!K16</f>
        <v>1578</v>
      </c>
      <c r="G14" s="203">
        <f>ELEC!I16</f>
        <v>508</v>
      </c>
      <c r="H14" s="203">
        <f>ELEC!E16</f>
        <v>2104</v>
      </c>
      <c r="I14" s="203">
        <f>ELEC!G16</f>
        <v>282.20000000018626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1040</v>
      </c>
      <c r="F15" s="203">
        <f>ELEC!K17</f>
        <v>1600</v>
      </c>
      <c r="G15" s="203">
        <f>ELEC!I17</f>
        <v>524</v>
      </c>
      <c r="H15" s="203">
        <f>ELEC!E17</f>
        <v>1880</v>
      </c>
      <c r="I15" s="203">
        <f>ELEC!G17</f>
        <v>269.79999999981374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1028</v>
      </c>
      <c r="F16" s="203">
        <f>ELEC!K18</f>
        <v>1696</v>
      </c>
      <c r="G16" s="203">
        <f>ELEC!I18</f>
        <v>516</v>
      </c>
      <c r="H16" s="203">
        <f>ELEC!E18</f>
        <v>6144</v>
      </c>
      <c r="I16" s="203">
        <f>ELEC!G18</f>
        <v>259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K21" sqref="K2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v>86146</v>
      </c>
      <c r="E15" s="585">
        <f t="shared" si="7"/>
        <v>2210</v>
      </c>
      <c r="F15" s="573">
        <v>4106227</v>
      </c>
      <c r="G15" s="449">
        <f t="shared" si="14"/>
        <v>325</v>
      </c>
      <c r="H15" s="426">
        <v>17994290</v>
      </c>
      <c r="I15" s="449">
        <f t="shared" si="16"/>
        <v>596</v>
      </c>
      <c r="J15" s="426">
        <v>29635876</v>
      </c>
      <c r="K15" s="449">
        <f t="shared" si="18"/>
        <v>2454</v>
      </c>
      <c r="L15" s="426">
        <v>24482666</v>
      </c>
      <c r="M15" s="449">
        <f t="shared" si="20"/>
        <v>1248</v>
      </c>
      <c r="N15" s="297">
        <f t="shared" si="21"/>
        <v>6833</v>
      </c>
      <c r="O15" s="445">
        <f t="shared" si="32"/>
        <v>0</v>
      </c>
      <c r="P15" s="564">
        <v>18705.585999999999</v>
      </c>
      <c r="Q15" s="446">
        <f t="shared" si="1"/>
        <v>6721.9999999979336</v>
      </c>
      <c r="R15" s="428">
        <f t="shared" si="29"/>
        <v>111.00000000206637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v>33472</v>
      </c>
      <c r="X15" s="428">
        <f t="shared" si="31"/>
        <v>2</v>
      </c>
      <c r="Y15" s="426">
        <v>993956</v>
      </c>
      <c r="Z15" s="428">
        <f t="shared" si="30"/>
        <v>474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2</v>
      </c>
      <c r="AF15" s="451">
        <f t="shared" si="4"/>
        <v>474</v>
      </c>
      <c r="AG15" s="443">
        <f t="shared" si="33"/>
        <v>237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v>88250</v>
      </c>
      <c r="E16" s="585">
        <f t="shared" si="7"/>
        <v>2104</v>
      </c>
      <c r="F16" s="573">
        <v>4106509.2</v>
      </c>
      <c r="G16" s="449">
        <f t="shared" si="14"/>
        <v>282.20000000018626</v>
      </c>
      <c r="H16" s="426">
        <v>17994798</v>
      </c>
      <c r="I16" s="449">
        <f t="shared" si="16"/>
        <v>508</v>
      </c>
      <c r="J16" s="426">
        <v>29637454</v>
      </c>
      <c r="K16" s="449">
        <f t="shared" si="18"/>
        <v>1578</v>
      </c>
      <c r="L16" s="426">
        <v>24483706</v>
      </c>
      <c r="M16" s="449">
        <f t="shared" si="20"/>
        <v>1040</v>
      </c>
      <c r="N16" s="297">
        <f t="shared" si="21"/>
        <v>5512.2000000001863</v>
      </c>
      <c r="O16" s="445">
        <f t="shared" si="32"/>
        <v>0</v>
      </c>
      <c r="P16" s="564">
        <v>18710.710999999999</v>
      </c>
      <c r="Q16" s="446">
        <f t="shared" si="1"/>
        <v>5125</v>
      </c>
      <c r="R16" s="428">
        <f t="shared" si="29"/>
        <v>387.20000000018626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v>33474</v>
      </c>
      <c r="X16" s="428">
        <f t="shared" si="31"/>
        <v>2</v>
      </c>
      <c r="Y16" s="426">
        <v>994549</v>
      </c>
      <c r="Z16" s="428">
        <f t="shared" si="30"/>
        <v>593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2</v>
      </c>
      <c r="AF16" s="451">
        <f t="shared" si="4"/>
        <v>593</v>
      </c>
      <c r="AG16" s="443">
        <f t="shared" si="33"/>
        <v>296.5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v>90130</v>
      </c>
      <c r="E17" s="585">
        <f t="shared" si="7"/>
        <v>1880</v>
      </c>
      <c r="F17" s="573">
        <v>4106779</v>
      </c>
      <c r="G17" s="449">
        <f t="shared" si="14"/>
        <v>269.79999999981374</v>
      </c>
      <c r="H17" s="426">
        <v>17995322</v>
      </c>
      <c r="I17" s="449">
        <f t="shared" si="16"/>
        <v>524</v>
      </c>
      <c r="J17" s="426">
        <v>29639054</v>
      </c>
      <c r="K17" s="449">
        <f t="shared" si="18"/>
        <v>1600</v>
      </c>
      <c r="L17" s="426">
        <v>24484746</v>
      </c>
      <c r="M17" s="449">
        <f t="shared" si="20"/>
        <v>1040</v>
      </c>
      <c r="N17" s="297">
        <f t="shared" si="21"/>
        <v>5313.7999999998137</v>
      </c>
      <c r="O17" s="445">
        <f t="shared" si="32"/>
        <v>0</v>
      </c>
      <c r="P17" s="564">
        <v>18715.857</v>
      </c>
      <c r="Q17" s="446">
        <f t="shared" si="1"/>
        <v>5146.0000000006403</v>
      </c>
      <c r="R17" s="428">
        <f t="shared" si="29"/>
        <v>167.79999999917345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v>33475</v>
      </c>
      <c r="X17" s="428">
        <f>W17-W16</f>
        <v>1</v>
      </c>
      <c r="Y17" s="426">
        <v>994802</v>
      </c>
      <c r="Z17" s="428">
        <f>Y17-Y16</f>
        <v>253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1</v>
      </c>
      <c r="AF17" s="451">
        <f t="shared" si="4"/>
        <v>253</v>
      </c>
      <c r="AG17" s="443">
        <f t="shared" si="33"/>
        <v>253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v>96274</v>
      </c>
      <c r="E18" s="585">
        <f t="shared" si="7"/>
        <v>6144</v>
      </c>
      <c r="F18" s="573">
        <v>4107038</v>
      </c>
      <c r="G18" s="449">
        <f t="shared" si="14"/>
        <v>259</v>
      </c>
      <c r="H18" s="426">
        <v>17995838</v>
      </c>
      <c r="I18" s="449">
        <f t="shared" si="16"/>
        <v>516</v>
      </c>
      <c r="J18" s="426">
        <v>29640750</v>
      </c>
      <c r="K18" s="449">
        <f t="shared" si="18"/>
        <v>1696</v>
      </c>
      <c r="L18" s="426">
        <v>24485774</v>
      </c>
      <c r="M18" s="449">
        <f t="shared" si="20"/>
        <v>1028</v>
      </c>
      <c r="N18" s="297">
        <f>M18+K18+I18+G18+E18</f>
        <v>9643</v>
      </c>
      <c r="O18" s="445">
        <f t="shared" si="32"/>
        <v>0</v>
      </c>
      <c r="P18" s="564">
        <v>18721.030999999999</v>
      </c>
      <c r="Q18" s="446">
        <f t="shared" si="1"/>
        <v>5173.9999999990687</v>
      </c>
      <c r="R18" s="428">
        <f t="shared" si="29"/>
        <v>4469.0000000009313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v>33476</v>
      </c>
      <c r="X18" s="428">
        <f t="shared" si="31"/>
        <v>1</v>
      </c>
      <c r="Y18" s="426">
        <v>995165</v>
      </c>
      <c r="Z18" s="428">
        <f t="shared" si="30"/>
        <v>363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1</v>
      </c>
      <c r="AF18" s="451">
        <f t="shared" si="4"/>
        <v>363</v>
      </c>
      <c r="AG18" s="443">
        <f t="shared" si="33"/>
        <v>363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f t="shared" si="12"/>
        <v>96274</v>
      </c>
      <c r="E19" s="585">
        <f t="shared" si="7"/>
        <v>0</v>
      </c>
      <c r="F19" s="573">
        <f t="shared" si="13"/>
        <v>4107038</v>
      </c>
      <c r="G19" s="449">
        <f t="shared" si="14"/>
        <v>0</v>
      </c>
      <c r="H19" s="426">
        <f t="shared" si="15"/>
        <v>17995838</v>
      </c>
      <c r="I19" s="449">
        <f t="shared" si="16"/>
        <v>0</v>
      </c>
      <c r="J19" s="426">
        <f t="shared" si="17"/>
        <v>29640750</v>
      </c>
      <c r="K19" s="449">
        <f t="shared" si="18"/>
        <v>0</v>
      </c>
      <c r="L19" s="426">
        <f t="shared" si="19"/>
        <v>24485774</v>
      </c>
      <c r="M19" s="449">
        <f t="shared" si="20"/>
        <v>0</v>
      </c>
      <c r="N19" s="297">
        <f t="shared" si="21"/>
        <v>0</v>
      </c>
      <c r="O19" s="445">
        <f t="shared" si="32"/>
        <v>0</v>
      </c>
      <c r="P19" s="564">
        <f t="shared" si="22"/>
        <v>18721.030999999999</v>
      </c>
      <c r="Q19" s="446">
        <f>(P19-P18)*1000</f>
        <v>0</v>
      </c>
      <c r="R19" s="606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33476</v>
      </c>
      <c r="X19" s="428">
        <f t="shared" si="31"/>
        <v>0</v>
      </c>
      <c r="Y19" s="426">
        <f t="shared" si="25"/>
        <v>995165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96274</v>
      </c>
      <c r="E20" s="585">
        <f t="shared" si="7"/>
        <v>0</v>
      </c>
      <c r="F20" s="573">
        <f t="shared" si="13"/>
        <v>4107038</v>
      </c>
      <c r="G20" s="449">
        <f t="shared" si="14"/>
        <v>0</v>
      </c>
      <c r="H20" s="426">
        <f t="shared" si="15"/>
        <v>17995838</v>
      </c>
      <c r="I20" s="449">
        <f t="shared" si="16"/>
        <v>0</v>
      </c>
      <c r="J20" s="426">
        <f t="shared" si="17"/>
        <v>29640750</v>
      </c>
      <c r="K20" s="449">
        <f t="shared" si="18"/>
        <v>0</v>
      </c>
      <c r="L20" s="426">
        <f t="shared" si="19"/>
        <v>24485774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18721.030999999999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33476</v>
      </c>
      <c r="X20" s="428">
        <f t="shared" si="31"/>
        <v>0</v>
      </c>
      <c r="Y20" s="426">
        <f t="shared" si="25"/>
        <v>995165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96274</v>
      </c>
      <c r="E21" s="585">
        <f t="shared" si="7"/>
        <v>0</v>
      </c>
      <c r="F21" s="573">
        <f t="shared" si="13"/>
        <v>4107038</v>
      </c>
      <c r="G21" s="449">
        <f t="shared" si="14"/>
        <v>0</v>
      </c>
      <c r="H21" s="426">
        <f t="shared" si="15"/>
        <v>17995838</v>
      </c>
      <c r="I21" s="449">
        <f t="shared" si="16"/>
        <v>0</v>
      </c>
      <c r="J21" s="426">
        <f t="shared" si="17"/>
        <v>29640750</v>
      </c>
      <c r="K21" s="449">
        <f t="shared" si="18"/>
        <v>0</v>
      </c>
      <c r="L21" s="426">
        <f t="shared" si="19"/>
        <v>24485774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18721.030999999999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33476</v>
      </c>
      <c r="X21" s="428">
        <f t="shared" si="31"/>
        <v>0</v>
      </c>
      <c r="Y21" s="426">
        <f t="shared" si="25"/>
        <v>995165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f t="shared" si="12"/>
        <v>96274</v>
      </c>
      <c r="E22" s="585">
        <f t="shared" si="7"/>
        <v>0</v>
      </c>
      <c r="F22" s="573">
        <f t="shared" si="13"/>
        <v>4107038</v>
      </c>
      <c r="G22" s="449">
        <f t="shared" si="14"/>
        <v>0</v>
      </c>
      <c r="H22" s="426">
        <f t="shared" si="15"/>
        <v>17995838</v>
      </c>
      <c r="I22" s="449">
        <f t="shared" si="16"/>
        <v>0</v>
      </c>
      <c r="J22" s="426">
        <f t="shared" si="17"/>
        <v>29640750</v>
      </c>
      <c r="K22" s="449">
        <f t="shared" si="18"/>
        <v>0</v>
      </c>
      <c r="L22" s="426">
        <f t="shared" si="19"/>
        <v>24485774</v>
      </c>
      <c r="M22" s="449">
        <f t="shared" si="20"/>
        <v>0</v>
      </c>
      <c r="N22" s="297">
        <f t="shared" si="21"/>
        <v>0</v>
      </c>
      <c r="O22" s="445">
        <f t="shared" si="32"/>
        <v>0</v>
      </c>
      <c r="P22" s="564">
        <f t="shared" si="22"/>
        <v>18721.030999999999</v>
      </c>
      <c r="Q22" s="446">
        <f t="shared" si="1"/>
        <v>0</v>
      </c>
      <c r="R22" s="606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f t="shared" si="24"/>
        <v>33476</v>
      </c>
      <c r="X22" s="428">
        <f t="shared" si="31"/>
        <v>0</v>
      </c>
      <c r="Y22" s="426">
        <f t="shared" si="25"/>
        <v>995165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f t="shared" si="12"/>
        <v>96274</v>
      </c>
      <c r="E23" s="585">
        <f t="shared" si="7"/>
        <v>0</v>
      </c>
      <c r="F23" s="573">
        <f t="shared" si="13"/>
        <v>4107038</v>
      </c>
      <c r="G23" s="449">
        <f t="shared" si="14"/>
        <v>0</v>
      </c>
      <c r="H23" s="426">
        <f t="shared" si="15"/>
        <v>17995838</v>
      </c>
      <c r="I23" s="449">
        <f t="shared" si="16"/>
        <v>0</v>
      </c>
      <c r="J23" s="426">
        <f t="shared" si="17"/>
        <v>29640750</v>
      </c>
      <c r="K23" s="449">
        <f t="shared" si="18"/>
        <v>0</v>
      </c>
      <c r="L23" s="426">
        <f t="shared" si="19"/>
        <v>24485774</v>
      </c>
      <c r="M23" s="449">
        <f t="shared" si="20"/>
        <v>0</v>
      </c>
      <c r="N23" s="297">
        <f t="shared" si="21"/>
        <v>0</v>
      </c>
      <c r="O23" s="445">
        <f t="shared" si="32"/>
        <v>0</v>
      </c>
      <c r="P23" s="564">
        <f t="shared" si="22"/>
        <v>18721.030999999999</v>
      </c>
      <c r="Q23" s="446">
        <f t="shared" si="1"/>
        <v>0</v>
      </c>
      <c r="R23" s="606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33476</v>
      </c>
      <c r="X23" s="428">
        <f t="shared" si="31"/>
        <v>0</v>
      </c>
      <c r="Y23" s="426">
        <f t="shared" si="25"/>
        <v>995165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f t="shared" si="12"/>
        <v>96274</v>
      </c>
      <c r="E24" s="585">
        <f t="shared" si="7"/>
        <v>0</v>
      </c>
      <c r="F24" s="573">
        <f t="shared" si="13"/>
        <v>4107038</v>
      </c>
      <c r="G24" s="449">
        <f t="shared" si="14"/>
        <v>0</v>
      </c>
      <c r="H24" s="426">
        <f t="shared" si="15"/>
        <v>17995838</v>
      </c>
      <c r="I24" s="622">
        <f t="shared" si="16"/>
        <v>0</v>
      </c>
      <c r="J24" s="426">
        <f t="shared" si="17"/>
        <v>29640750</v>
      </c>
      <c r="K24" s="449">
        <f t="shared" si="18"/>
        <v>0</v>
      </c>
      <c r="L24" s="426">
        <f t="shared" si="19"/>
        <v>24485774</v>
      </c>
      <c r="M24" s="449">
        <f t="shared" si="20"/>
        <v>0</v>
      </c>
      <c r="N24" s="297">
        <f t="shared" si="21"/>
        <v>0</v>
      </c>
      <c r="O24" s="445">
        <f t="shared" si="32"/>
        <v>0</v>
      </c>
      <c r="P24" s="564">
        <f t="shared" si="22"/>
        <v>18721.030999999999</v>
      </c>
      <c r="Q24" s="446">
        <f t="shared" si="1"/>
        <v>0</v>
      </c>
      <c r="R24" s="606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33476</v>
      </c>
      <c r="X24" s="428">
        <f t="shared" si="31"/>
        <v>0</v>
      </c>
      <c r="Y24" s="426">
        <f t="shared" si="25"/>
        <v>995165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f t="shared" si="12"/>
        <v>96274</v>
      </c>
      <c r="E25" s="585">
        <f t="shared" si="7"/>
        <v>0</v>
      </c>
      <c r="F25" s="573">
        <f t="shared" si="13"/>
        <v>4107038</v>
      </c>
      <c r="G25" s="449">
        <f t="shared" si="14"/>
        <v>0</v>
      </c>
      <c r="H25" s="426">
        <f t="shared" si="15"/>
        <v>17995838</v>
      </c>
      <c r="I25" s="449">
        <f t="shared" si="16"/>
        <v>0</v>
      </c>
      <c r="J25" s="426">
        <f t="shared" si="17"/>
        <v>29640750</v>
      </c>
      <c r="K25" s="449">
        <f t="shared" si="18"/>
        <v>0</v>
      </c>
      <c r="L25" s="426">
        <f t="shared" si="19"/>
        <v>24485774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18721.030999999999</v>
      </c>
      <c r="Q25" s="446">
        <f t="shared" si="1"/>
        <v>0</v>
      </c>
      <c r="R25" s="606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33476</v>
      </c>
      <c r="X25" s="428">
        <f t="shared" si="31"/>
        <v>0</v>
      </c>
      <c r="Y25" s="426">
        <f t="shared" si="25"/>
        <v>995165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f t="shared" si="12"/>
        <v>96274</v>
      </c>
      <c r="E26" s="585">
        <f t="shared" si="7"/>
        <v>0</v>
      </c>
      <c r="F26" s="573">
        <f t="shared" si="13"/>
        <v>4107038</v>
      </c>
      <c r="G26" s="449">
        <f t="shared" si="14"/>
        <v>0</v>
      </c>
      <c r="H26" s="426">
        <f t="shared" si="15"/>
        <v>17995838</v>
      </c>
      <c r="I26" s="449">
        <f t="shared" si="16"/>
        <v>0</v>
      </c>
      <c r="J26" s="426">
        <f t="shared" si="17"/>
        <v>29640750</v>
      </c>
      <c r="K26" s="449">
        <f t="shared" si="18"/>
        <v>0</v>
      </c>
      <c r="L26" s="426">
        <f t="shared" si="19"/>
        <v>24485774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18721.030999999999</v>
      </c>
      <c r="Q26" s="446">
        <f t="shared" si="1"/>
        <v>0</v>
      </c>
      <c r="R26" s="606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33476</v>
      </c>
      <c r="X26" s="428">
        <f t="shared" si="31"/>
        <v>0</v>
      </c>
      <c r="Y26" s="426">
        <f t="shared" si="25"/>
        <v>995165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96274</v>
      </c>
      <c r="E27" s="585">
        <f t="shared" si="7"/>
        <v>0</v>
      </c>
      <c r="F27" s="573">
        <f t="shared" si="13"/>
        <v>4107038</v>
      </c>
      <c r="G27" s="449">
        <f t="shared" si="14"/>
        <v>0</v>
      </c>
      <c r="H27" s="426">
        <f t="shared" si="15"/>
        <v>17995838</v>
      </c>
      <c r="I27" s="449">
        <f t="shared" si="16"/>
        <v>0</v>
      </c>
      <c r="J27" s="426">
        <f t="shared" si="17"/>
        <v>29640750</v>
      </c>
      <c r="K27" s="449">
        <f t="shared" si="18"/>
        <v>0</v>
      </c>
      <c r="L27" s="426">
        <f t="shared" si="19"/>
        <v>24485774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18721.030999999999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33476</v>
      </c>
      <c r="X27" s="428">
        <f t="shared" si="31"/>
        <v>0</v>
      </c>
      <c r="Y27" s="426">
        <f t="shared" si="25"/>
        <v>995165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96274</v>
      </c>
      <c r="E28" s="585">
        <f t="shared" si="7"/>
        <v>0</v>
      </c>
      <c r="F28" s="573">
        <f t="shared" si="13"/>
        <v>4107038</v>
      </c>
      <c r="G28" s="449">
        <f>F28-F27</f>
        <v>0</v>
      </c>
      <c r="H28" s="426">
        <f t="shared" si="15"/>
        <v>17995838</v>
      </c>
      <c r="I28" s="449">
        <f t="shared" si="16"/>
        <v>0</v>
      </c>
      <c r="J28" s="426">
        <f t="shared" si="17"/>
        <v>29640750</v>
      </c>
      <c r="K28" s="449">
        <f t="shared" si="18"/>
        <v>0</v>
      </c>
      <c r="L28" s="426">
        <f t="shared" si="19"/>
        <v>24485774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18721.030999999999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33476</v>
      </c>
      <c r="X28" s="428">
        <f t="shared" si="31"/>
        <v>0</v>
      </c>
      <c r="Y28" s="426">
        <f t="shared" si="25"/>
        <v>995165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96274</v>
      </c>
      <c r="E29" s="585">
        <f t="shared" si="7"/>
        <v>0</v>
      </c>
      <c r="F29" s="573">
        <f t="shared" si="13"/>
        <v>4107038</v>
      </c>
      <c r="G29" s="449">
        <f t="shared" ref="G29" si="36">F29-F28</f>
        <v>0</v>
      </c>
      <c r="H29" s="426">
        <f t="shared" si="15"/>
        <v>17995838</v>
      </c>
      <c r="I29" s="449">
        <f t="shared" ref="I29" si="37">H29-H28</f>
        <v>0</v>
      </c>
      <c r="J29" s="426">
        <f t="shared" si="17"/>
        <v>29640750</v>
      </c>
      <c r="K29" s="449">
        <f t="shared" ref="K29" si="38">J29-J28</f>
        <v>0</v>
      </c>
      <c r="L29" s="426">
        <f t="shared" si="19"/>
        <v>24485774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18721.030999999999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33476</v>
      </c>
      <c r="X29" s="428">
        <f t="shared" ref="X29" si="45">W29-W28</f>
        <v>0</v>
      </c>
      <c r="Y29" s="426">
        <f t="shared" si="25"/>
        <v>995165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f t="shared" si="12"/>
        <v>96274</v>
      </c>
      <c r="E30" s="585">
        <f t="shared" si="7"/>
        <v>0</v>
      </c>
      <c r="F30" s="573">
        <f t="shared" si="13"/>
        <v>4107038</v>
      </c>
      <c r="G30" s="449">
        <f t="shared" si="14"/>
        <v>0</v>
      </c>
      <c r="H30" s="426">
        <f t="shared" si="15"/>
        <v>17995838</v>
      </c>
      <c r="I30" s="449">
        <f t="shared" si="16"/>
        <v>0</v>
      </c>
      <c r="J30" s="426">
        <f t="shared" si="17"/>
        <v>29640750</v>
      </c>
      <c r="K30" s="449">
        <f t="shared" si="18"/>
        <v>0</v>
      </c>
      <c r="L30" s="426">
        <f t="shared" si="19"/>
        <v>24485774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18721.030999999999</v>
      </c>
      <c r="Q30" s="446">
        <f t="shared" si="1"/>
        <v>0</v>
      </c>
      <c r="R30" s="606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33476</v>
      </c>
      <c r="X30" s="428">
        <f t="shared" si="31"/>
        <v>0</v>
      </c>
      <c r="Y30" s="426">
        <f t="shared" si="25"/>
        <v>995165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96274</v>
      </c>
      <c r="E31" s="585">
        <f t="shared" si="7"/>
        <v>0</v>
      </c>
      <c r="F31" s="573">
        <f t="shared" si="13"/>
        <v>4107038</v>
      </c>
      <c r="G31" s="449">
        <f t="shared" si="14"/>
        <v>0</v>
      </c>
      <c r="H31" s="426">
        <f t="shared" si="15"/>
        <v>17995838</v>
      </c>
      <c r="I31" s="449">
        <f t="shared" si="16"/>
        <v>0</v>
      </c>
      <c r="J31" s="426">
        <f t="shared" si="17"/>
        <v>29640750</v>
      </c>
      <c r="K31" s="449">
        <f t="shared" si="18"/>
        <v>0</v>
      </c>
      <c r="L31" s="426">
        <f t="shared" si="19"/>
        <v>24485774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18721.030999999999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33476</v>
      </c>
      <c r="X31" s="448">
        <f t="shared" si="31"/>
        <v>0</v>
      </c>
      <c r="Y31" s="426">
        <f t="shared" si="25"/>
        <v>995165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96274</v>
      </c>
      <c r="E32" s="585">
        <f t="shared" si="7"/>
        <v>0</v>
      </c>
      <c r="F32" s="573">
        <f t="shared" si="13"/>
        <v>4107038</v>
      </c>
      <c r="G32" s="449">
        <f t="shared" si="14"/>
        <v>0</v>
      </c>
      <c r="H32" s="426">
        <f t="shared" si="15"/>
        <v>17995838</v>
      </c>
      <c r="I32" s="449">
        <f t="shared" si="16"/>
        <v>0</v>
      </c>
      <c r="J32" s="426">
        <f t="shared" si="17"/>
        <v>29640750</v>
      </c>
      <c r="K32" s="449">
        <f t="shared" si="18"/>
        <v>0</v>
      </c>
      <c r="L32" s="426">
        <f t="shared" si="19"/>
        <v>24485774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18721.030999999999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33476</v>
      </c>
      <c r="X32" s="448">
        <f>W32-W31</f>
        <v>0</v>
      </c>
      <c r="Y32" s="426">
        <f t="shared" si="25"/>
        <v>995165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96274</v>
      </c>
      <c r="E33" s="585">
        <f t="shared" si="7"/>
        <v>0</v>
      </c>
      <c r="F33" s="573">
        <f t="shared" si="13"/>
        <v>4107038</v>
      </c>
      <c r="G33" s="449">
        <f t="shared" si="14"/>
        <v>0</v>
      </c>
      <c r="H33" s="426">
        <f t="shared" si="15"/>
        <v>17995838</v>
      </c>
      <c r="I33" s="449">
        <f t="shared" si="16"/>
        <v>0</v>
      </c>
      <c r="J33" s="426">
        <f t="shared" si="17"/>
        <v>29640750</v>
      </c>
      <c r="K33" s="449">
        <f t="shared" si="18"/>
        <v>0</v>
      </c>
      <c r="L33" s="426">
        <f t="shared" si="19"/>
        <v>24485774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18721.030999999999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33476</v>
      </c>
      <c r="X33" s="448">
        <f>W33-W32</f>
        <v>0</v>
      </c>
      <c r="Y33" s="426">
        <f t="shared" si="25"/>
        <v>995165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96274</v>
      </c>
      <c r="E34" s="585">
        <f t="shared" si="7"/>
        <v>0</v>
      </c>
      <c r="F34" s="573">
        <f t="shared" ref="F34" si="51">F33</f>
        <v>4107038</v>
      </c>
      <c r="G34" s="449">
        <f t="shared" ref="G34" si="52">F34-F33</f>
        <v>0</v>
      </c>
      <c r="H34" s="426">
        <f t="shared" si="15"/>
        <v>17995838</v>
      </c>
      <c r="I34" s="449">
        <f t="shared" si="16"/>
        <v>0</v>
      </c>
      <c r="J34" s="426">
        <f t="shared" si="17"/>
        <v>29640750</v>
      </c>
      <c r="K34" s="449">
        <f t="shared" ref="K34" si="53">J34-J33</f>
        <v>0</v>
      </c>
      <c r="L34" s="426">
        <f t="shared" si="19"/>
        <v>24485774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18721.030999999999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33476</v>
      </c>
      <c r="X34" s="448">
        <f>W34-W33</f>
        <v>0</v>
      </c>
      <c r="Y34" s="426">
        <f t="shared" si="25"/>
        <v>995165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4" activePane="bottomLeft" state="frozen"/>
      <selection activeCell="K1" sqref="K1"/>
      <selection pane="bottomLeft" activeCell="I19" sqref="I1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2" t="s">
        <v>2</v>
      </c>
      <c r="G1" s="633"/>
      <c r="H1" s="633"/>
      <c r="I1" s="634"/>
      <c r="J1" s="271">
        <f>J36</f>
        <v>74.05</v>
      </c>
      <c r="K1" s="635" t="s">
        <v>4</v>
      </c>
      <c r="L1" s="636"/>
      <c r="M1" s="636"/>
      <c r="N1" s="636"/>
      <c r="O1" s="637"/>
      <c r="P1" s="626" t="s">
        <v>6</v>
      </c>
      <c r="Q1" s="627"/>
      <c r="R1" s="627"/>
      <c r="S1" s="627"/>
      <c r="T1" s="628"/>
      <c r="U1" s="381"/>
      <c r="V1" s="27" t="s">
        <v>104</v>
      </c>
      <c r="W1" s="382"/>
      <c r="X1" s="626" t="s">
        <v>8</v>
      </c>
      <c r="Y1" s="627"/>
      <c r="Z1" s="627"/>
      <c r="AA1" s="627"/>
      <c r="AB1" s="627"/>
      <c r="AC1" s="629" t="s">
        <v>10</v>
      </c>
      <c r="AD1" s="630"/>
      <c r="AE1" s="630"/>
      <c r="AF1" s="631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4"/>
      <c r="R2" s="625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v>202</v>
      </c>
      <c r="C16" s="537">
        <v>208</v>
      </c>
      <c r="D16" s="45">
        <f t="shared" si="36"/>
        <v>6</v>
      </c>
      <c r="E16" s="45">
        <f t="shared" si="12"/>
        <v>50.28</v>
      </c>
      <c r="F16" s="537">
        <v>1933</v>
      </c>
      <c r="G16" s="52">
        <f t="shared" si="0"/>
        <v>2</v>
      </c>
      <c r="H16" s="537">
        <v>20312</v>
      </c>
      <c r="I16" s="380">
        <f t="shared" si="1"/>
        <v>118</v>
      </c>
      <c r="J16" s="66">
        <f t="shared" si="15"/>
        <v>59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2</v>
      </c>
      <c r="V16" s="62">
        <f t="shared" si="20"/>
        <v>118</v>
      </c>
      <c r="W16" s="384">
        <f t="shared" si="21"/>
        <v>59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118</v>
      </c>
      <c r="AJ16" s="303">
        <f>-tanks!AW17</f>
        <v>118</v>
      </c>
      <c r="AK16" s="303">
        <f t="shared" si="29"/>
        <v>0</v>
      </c>
      <c r="AL16" s="303">
        <f t="shared" si="8"/>
        <v>2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v>195</v>
      </c>
      <c r="C17" s="537">
        <v>202</v>
      </c>
      <c r="D17" s="45">
        <f t="shared" si="36"/>
        <v>6</v>
      </c>
      <c r="E17" s="45">
        <f t="shared" si="12"/>
        <v>50.28</v>
      </c>
      <c r="F17" s="537">
        <v>1934</v>
      </c>
      <c r="G17" s="52">
        <f t="shared" si="0"/>
        <v>1</v>
      </c>
      <c r="H17" s="537">
        <v>20372</v>
      </c>
      <c r="I17" s="380">
        <f t="shared" si="1"/>
        <v>60</v>
      </c>
      <c r="J17" s="66">
        <f t="shared" si="15"/>
        <v>60</v>
      </c>
      <c r="K17" s="537">
        <v>2368</v>
      </c>
      <c r="L17" s="52">
        <f t="shared" si="17"/>
        <v>1</v>
      </c>
      <c r="M17" s="537">
        <v>174856</v>
      </c>
      <c r="N17" s="380">
        <f t="shared" si="2"/>
        <v>72</v>
      </c>
      <c r="O17" s="64">
        <f t="shared" si="3"/>
        <v>1869</v>
      </c>
      <c r="P17" s="537">
        <v>2138</v>
      </c>
      <c r="Q17" s="537">
        <v>179372</v>
      </c>
      <c r="R17" s="379">
        <f t="shared" si="44"/>
        <v>37</v>
      </c>
      <c r="S17" s="52">
        <f t="shared" si="5"/>
        <v>1</v>
      </c>
      <c r="T17" s="67">
        <f t="shared" si="37"/>
        <v>0</v>
      </c>
      <c r="U17" s="386">
        <f t="shared" si="19"/>
        <v>3</v>
      </c>
      <c r="V17" s="62">
        <f t="shared" si="20"/>
        <v>169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169</v>
      </c>
      <c r="AJ17" s="303">
        <f>-tanks!AW18</f>
        <v>169</v>
      </c>
      <c r="AK17" s="303">
        <f t="shared" si="29"/>
        <v>0</v>
      </c>
      <c r="AL17" s="303">
        <f t="shared" si="8"/>
        <v>3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v>226</v>
      </c>
      <c r="C18" s="537">
        <v>233</v>
      </c>
      <c r="D18" s="45">
        <f t="shared" si="36"/>
        <v>-31</v>
      </c>
      <c r="E18" s="45">
        <f t="shared" si="12"/>
        <v>-259.78000000000003</v>
      </c>
      <c r="F18" s="537">
        <v>1935</v>
      </c>
      <c r="G18" s="52">
        <f t="shared" si="0"/>
        <v>1</v>
      </c>
      <c r="H18" s="537">
        <v>20451</v>
      </c>
      <c r="I18" s="380">
        <f t="shared" si="1"/>
        <v>79</v>
      </c>
      <c r="J18" s="66">
        <f t="shared" si="15"/>
        <v>79</v>
      </c>
      <c r="K18" s="537">
        <f t="shared" si="16"/>
        <v>2368</v>
      </c>
      <c r="L18" s="52">
        <f t="shared" si="17"/>
        <v>0</v>
      </c>
      <c r="M18" s="537">
        <f t="shared" si="18"/>
        <v>174856</v>
      </c>
      <c r="N18" s="380">
        <f t="shared" si="2"/>
        <v>0</v>
      </c>
      <c r="O18" s="64">
        <v>1869</v>
      </c>
      <c r="P18" s="537">
        <f t="shared" ref="P18:P35" si="45">P17</f>
        <v>2138</v>
      </c>
      <c r="Q18" s="537">
        <v>179410</v>
      </c>
      <c r="R18" s="379">
        <f t="shared" si="44"/>
        <v>38</v>
      </c>
      <c r="S18" s="52">
        <f t="shared" si="5"/>
        <v>0</v>
      </c>
      <c r="T18" s="67">
        <f t="shared" si="37"/>
        <v>0</v>
      </c>
      <c r="U18" s="386">
        <f t="shared" si="19"/>
        <v>1</v>
      </c>
      <c r="V18" s="62">
        <f t="shared" si="20"/>
        <v>117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6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117</v>
      </c>
      <c r="AJ18" s="303">
        <f>-tanks!AW19</f>
        <v>117</v>
      </c>
      <c r="AK18" s="303">
        <f t="shared" si="29"/>
        <v>0</v>
      </c>
      <c r="AL18" s="303">
        <f t="shared" si="8"/>
        <v>1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v>219</v>
      </c>
      <c r="C19" s="537">
        <v>227</v>
      </c>
      <c r="D19" s="45">
        <f t="shared" si="36"/>
        <v>6</v>
      </c>
      <c r="E19" s="45">
        <f t="shared" si="12"/>
        <v>50.28</v>
      </c>
      <c r="F19" s="537">
        <v>1936</v>
      </c>
      <c r="G19" s="52">
        <f t="shared" si="0"/>
        <v>1</v>
      </c>
      <c r="H19" s="537">
        <v>20563</v>
      </c>
      <c r="I19" s="380">
        <f t="shared" si="1"/>
        <v>112</v>
      </c>
      <c r="J19" s="66">
        <f t="shared" si="15"/>
        <v>112</v>
      </c>
      <c r="K19" s="537">
        <f t="shared" si="16"/>
        <v>2368</v>
      </c>
      <c r="L19" s="52">
        <f t="shared" si="17"/>
        <v>0</v>
      </c>
      <c r="M19" s="537">
        <f t="shared" si="18"/>
        <v>174856</v>
      </c>
      <c r="N19" s="380">
        <f t="shared" si="2"/>
        <v>0</v>
      </c>
      <c r="O19" s="64">
        <f t="shared" ref="O19:O35" si="47">O18</f>
        <v>1869</v>
      </c>
      <c r="P19" s="537">
        <f>P18</f>
        <v>2138</v>
      </c>
      <c r="Q19" s="537">
        <v>179410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1</v>
      </c>
      <c r="V19" s="62">
        <f t="shared" si="20"/>
        <v>112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6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112</v>
      </c>
      <c r="AJ19" s="303">
        <f>-tanks!AW20</f>
        <v>112</v>
      </c>
      <c r="AK19" s="303">
        <f t="shared" si="29"/>
        <v>0</v>
      </c>
      <c r="AL19" s="303">
        <f t="shared" si="8"/>
        <v>1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f t="shared" si="34"/>
        <v>219</v>
      </c>
      <c r="C20" s="537">
        <f t="shared" si="35"/>
        <v>227</v>
      </c>
      <c r="D20" s="45">
        <f>C19-C20</f>
        <v>0</v>
      </c>
      <c r="E20" s="45">
        <f t="shared" si="12"/>
        <v>0</v>
      </c>
      <c r="F20" s="537">
        <f t="shared" si="13"/>
        <v>1936</v>
      </c>
      <c r="G20" s="52">
        <f t="shared" si="0"/>
        <v>0</v>
      </c>
      <c r="H20" s="537">
        <f t="shared" si="14"/>
        <v>20563</v>
      </c>
      <c r="I20" s="380">
        <f t="shared" si="1"/>
        <v>0</v>
      </c>
      <c r="J20" s="66">
        <f t="shared" si="15"/>
        <v>0</v>
      </c>
      <c r="K20" s="537">
        <f t="shared" si="16"/>
        <v>2368</v>
      </c>
      <c r="L20" s="52">
        <f t="shared" si="17"/>
        <v>0</v>
      </c>
      <c r="M20" s="537">
        <f t="shared" si="18"/>
        <v>174856</v>
      </c>
      <c r="N20" s="380">
        <f t="shared" si="2"/>
        <v>0</v>
      </c>
      <c r="O20" s="64">
        <f t="shared" si="47"/>
        <v>1869</v>
      </c>
      <c r="P20" s="537">
        <f t="shared" si="45"/>
        <v>2138</v>
      </c>
      <c r="Q20" s="537">
        <f t="shared" ref="Q20:Q35" si="48">Q19</f>
        <v>179410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6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219</v>
      </c>
      <c r="C21" s="537">
        <f t="shared" si="35"/>
        <v>227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1936</v>
      </c>
      <c r="G21" s="52">
        <f t="shared" si="0"/>
        <v>0</v>
      </c>
      <c r="H21" s="537">
        <f t="shared" si="14"/>
        <v>20563</v>
      </c>
      <c r="I21" s="380">
        <f t="shared" si="1"/>
        <v>0</v>
      </c>
      <c r="J21" s="66">
        <f t="shared" si="15"/>
        <v>0</v>
      </c>
      <c r="K21" s="537">
        <f t="shared" si="16"/>
        <v>2368</v>
      </c>
      <c r="L21" s="52">
        <f t="shared" si="17"/>
        <v>0</v>
      </c>
      <c r="M21" s="537">
        <f t="shared" si="18"/>
        <v>174856</v>
      </c>
      <c r="N21" s="380">
        <f t="shared" si="2"/>
        <v>0</v>
      </c>
      <c r="O21" s="64">
        <f t="shared" si="47"/>
        <v>1869</v>
      </c>
      <c r="P21" s="537">
        <f t="shared" si="45"/>
        <v>2138</v>
      </c>
      <c r="Q21" s="537">
        <f t="shared" si="48"/>
        <v>179410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6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219</v>
      </c>
      <c r="C22" s="537">
        <f t="shared" si="35"/>
        <v>227</v>
      </c>
      <c r="D22" s="45">
        <f t="shared" si="49"/>
        <v>0</v>
      </c>
      <c r="E22" s="45">
        <f t="shared" si="12"/>
        <v>0</v>
      </c>
      <c r="F22" s="537">
        <f t="shared" si="13"/>
        <v>1936</v>
      </c>
      <c r="G22" s="52">
        <f t="shared" si="0"/>
        <v>0</v>
      </c>
      <c r="H22" s="537">
        <f t="shared" si="14"/>
        <v>20563</v>
      </c>
      <c r="I22" s="380">
        <f t="shared" si="1"/>
        <v>0</v>
      </c>
      <c r="J22" s="66">
        <f t="shared" si="15"/>
        <v>0</v>
      </c>
      <c r="K22" s="537">
        <f t="shared" si="16"/>
        <v>2368</v>
      </c>
      <c r="L22" s="52">
        <f t="shared" si="17"/>
        <v>0</v>
      </c>
      <c r="M22" s="537">
        <f t="shared" si="18"/>
        <v>174856</v>
      </c>
      <c r="N22" s="380">
        <f t="shared" si="2"/>
        <v>0</v>
      </c>
      <c r="O22" s="64">
        <f t="shared" si="47"/>
        <v>1869</v>
      </c>
      <c r="P22" s="537">
        <f t="shared" si="45"/>
        <v>2138</v>
      </c>
      <c r="Q22" s="537">
        <f t="shared" si="48"/>
        <v>179410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6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f t="shared" si="34"/>
        <v>219</v>
      </c>
      <c r="C23" s="537">
        <f t="shared" si="35"/>
        <v>227</v>
      </c>
      <c r="D23" s="45">
        <f t="shared" si="49"/>
        <v>0</v>
      </c>
      <c r="E23" s="45">
        <f t="shared" si="12"/>
        <v>0</v>
      </c>
      <c r="F23" s="537">
        <f t="shared" si="13"/>
        <v>1936</v>
      </c>
      <c r="G23" s="52">
        <f t="shared" si="0"/>
        <v>0</v>
      </c>
      <c r="H23" s="537">
        <f t="shared" si="14"/>
        <v>20563</v>
      </c>
      <c r="I23" s="380">
        <f t="shared" si="1"/>
        <v>0</v>
      </c>
      <c r="J23" s="66">
        <f t="shared" si="15"/>
        <v>0</v>
      </c>
      <c r="K23" s="537">
        <f t="shared" si="16"/>
        <v>2368</v>
      </c>
      <c r="L23" s="52">
        <f t="shared" si="17"/>
        <v>0</v>
      </c>
      <c r="M23" s="537">
        <f t="shared" si="18"/>
        <v>174856</v>
      </c>
      <c r="N23" s="380">
        <f t="shared" si="2"/>
        <v>0</v>
      </c>
      <c r="O23" s="64">
        <f t="shared" si="47"/>
        <v>1869</v>
      </c>
      <c r="P23" s="537">
        <f t="shared" si="45"/>
        <v>2138</v>
      </c>
      <c r="Q23" s="537">
        <f t="shared" si="48"/>
        <v>179410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0</v>
      </c>
      <c r="V23" s="62">
        <f t="shared" si="20"/>
        <v>0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6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f t="shared" si="34"/>
        <v>219</v>
      </c>
      <c r="C24" s="537">
        <f t="shared" si="35"/>
        <v>227</v>
      </c>
      <c r="D24" s="45">
        <f t="shared" si="49"/>
        <v>0</v>
      </c>
      <c r="E24" s="45">
        <f t="shared" si="12"/>
        <v>0</v>
      </c>
      <c r="F24" s="537">
        <f t="shared" si="13"/>
        <v>1936</v>
      </c>
      <c r="G24" s="52">
        <f t="shared" si="0"/>
        <v>0</v>
      </c>
      <c r="H24" s="537">
        <f t="shared" si="14"/>
        <v>20563</v>
      </c>
      <c r="I24" s="380">
        <f t="shared" si="1"/>
        <v>0</v>
      </c>
      <c r="J24" s="66">
        <f t="shared" si="15"/>
        <v>0</v>
      </c>
      <c r="K24" s="537">
        <f t="shared" si="16"/>
        <v>2368</v>
      </c>
      <c r="L24" s="52">
        <f t="shared" si="17"/>
        <v>0</v>
      </c>
      <c r="M24" s="537">
        <f t="shared" si="18"/>
        <v>174856</v>
      </c>
      <c r="N24" s="380">
        <f t="shared" si="2"/>
        <v>0</v>
      </c>
      <c r="O24" s="64">
        <f t="shared" si="47"/>
        <v>1869</v>
      </c>
      <c r="P24" s="537">
        <f t="shared" si="45"/>
        <v>2138</v>
      </c>
      <c r="Q24" s="537">
        <f t="shared" si="48"/>
        <v>179410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0</v>
      </c>
      <c r="V24" s="62">
        <f t="shared" si="20"/>
        <v>0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0</v>
      </c>
      <c r="AJ24" s="303">
        <f>-tanks!AW25</f>
        <v>0</v>
      </c>
      <c r="AK24" s="303">
        <f t="shared" si="29"/>
        <v>0</v>
      </c>
      <c r="AL24" s="303">
        <f t="shared" si="8"/>
        <v>0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f t="shared" si="34"/>
        <v>219</v>
      </c>
      <c r="C25" s="537">
        <f t="shared" si="35"/>
        <v>227</v>
      </c>
      <c r="D25" s="45">
        <f t="shared" si="49"/>
        <v>0</v>
      </c>
      <c r="E25" s="45">
        <f t="shared" si="12"/>
        <v>0</v>
      </c>
      <c r="F25" s="537">
        <f t="shared" si="13"/>
        <v>1936</v>
      </c>
      <c r="G25" s="52">
        <f t="shared" si="0"/>
        <v>0</v>
      </c>
      <c r="H25" s="537">
        <f t="shared" si="14"/>
        <v>20563</v>
      </c>
      <c r="I25" s="380">
        <f t="shared" si="1"/>
        <v>0</v>
      </c>
      <c r="J25" s="66">
        <f t="shared" si="15"/>
        <v>0</v>
      </c>
      <c r="K25" s="537">
        <f t="shared" si="16"/>
        <v>2368</v>
      </c>
      <c r="L25" s="52">
        <f t="shared" si="17"/>
        <v>0</v>
      </c>
      <c r="M25" s="537">
        <f t="shared" si="18"/>
        <v>174856</v>
      </c>
      <c r="N25" s="380">
        <f t="shared" si="2"/>
        <v>0</v>
      </c>
      <c r="O25" s="64">
        <f t="shared" si="47"/>
        <v>1869</v>
      </c>
      <c r="P25" s="537">
        <f t="shared" si="45"/>
        <v>2138</v>
      </c>
      <c r="Q25" s="537">
        <f t="shared" si="48"/>
        <v>179410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0</v>
      </c>
      <c r="V25" s="62">
        <f t="shared" si="20"/>
        <v>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0</v>
      </c>
      <c r="AJ25" s="303">
        <f>-tanks!AW26</f>
        <v>0</v>
      </c>
      <c r="AK25" s="303">
        <f t="shared" si="29"/>
        <v>0</v>
      </c>
      <c r="AL25" s="303">
        <f t="shared" si="8"/>
        <v>0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219</v>
      </c>
      <c r="C26" s="537">
        <f t="shared" si="35"/>
        <v>227</v>
      </c>
      <c r="D26" s="45">
        <f t="shared" si="49"/>
        <v>0</v>
      </c>
      <c r="E26" s="45">
        <f t="shared" si="12"/>
        <v>0</v>
      </c>
      <c r="F26" s="537">
        <f t="shared" si="13"/>
        <v>1936</v>
      </c>
      <c r="G26" s="52">
        <f t="shared" si="0"/>
        <v>0</v>
      </c>
      <c r="H26" s="537">
        <f t="shared" si="14"/>
        <v>20563</v>
      </c>
      <c r="I26" s="380">
        <f t="shared" si="1"/>
        <v>0</v>
      </c>
      <c r="J26" s="66">
        <f t="shared" si="15"/>
        <v>0</v>
      </c>
      <c r="K26" s="537">
        <f t="shared" si="16"/>
        <v>2368</v>
      </c>
      <c r="L26" s="52">
        <f t="shared" si="17"/>
        <v>0</v>
      </c>
      <c r="M26" s="537">
        <f t="shared" si="18"/>
        <v>174856</v>
      </c>
      <c r="N26" s="380">
        <f t="shared" si="2"/>
        <v>0</v>
      </c>
      <c r="O26" s="64">
        <f t="shared" si="47"/>
        <v>1869</v>
      </c>
      <c r="P26" s="537">
        <f t="shared" si="45"/>
        <v>2138</v>
      </c>
      <c r="Q26" s="537">
        <f t="shared" si="48"/>
        <v>179410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219</v>
      </c>
      <c r="C27" s="537">
        <f t="shared" si="35"/>
        <v>227</v>
      </c>
      <c r="D27" s="45">
        <f t="shared" si="49"/>
        <v>0</v>
      </c>
      <c r="E27" s="45">
        <f t="shared" si="12"/>
        <v>0</v>
      </c>
      <c r="F27" s="537">
        <f t="shared" si="13"/>
        <v>1936</v>
      </c>
      <c r="G27" s="52">
        <f t="shared" si="0"/>
        <v>0</v>
      </c>
      <c r="H27" s="537">
        <f t="shared" si="14"/>
        <v>20563</v>
      </c>
      <c r="I27" s="380">
        <f t="shared" si="1"/>
        <v>0</v>
      </c>
      <c r="J27" s="66">
        <f t="shared" si="15"/>
        <v>0</v>
      </c>
      <c r="K27" s="537">
        <f t="shared" si="16"/>
        <v>2368</v>
      </c>
      <c r="L27" s="52">
        <f t="shared" si="17"/>
        <v>0</v>
      </c>
      <c r="M27" s="537">
        <f t="shared" si="18"/>
        <v>174856</v>
      </c>
      <c r="N27" s="380">
        <f t="shared" si="2"/>
        <v>0</v>
      </c>
      <c r="O27" s="64">
        <f t="shared" si="47"/>
        <v>1869</v>
      </c>
      <c r="P27" s="537">
        <f t="shared" si="45"/>
        <v>2138</v>
      </c>
      <c r="Q27" s="537">
        <f t="shared" si="48"/>
        <v>179410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219</v>
      </c>
      <c r="C28" s="537">
        <f t="shared" si="35"/>
        <v>227</v>
      </c>
      <c r="D28" s="45">
        <f t="shared" si="49"/>
        <v>0</v>
      </c>
      <c r="E28" s="45">
        <f t="shared" si="12"/>
        <v>0</v>
      </c>
      <c r="F28" s="537">
        <f t="shared" si="13"/>
        <v>1936</v>
      </c>
      <c r="G28" s="52">
        <f t="shared" si="0"/>
        <v>0</v>
      </c>
      <c r="H28" s="537">
        <f t="shared" si="14"/>
        <v>20563</v>
      </c>
      <c r="I28" s="380">
        <f t="shared" si="1"/>
        <v>0</v>
      </c>
      <c r="J28" s="66">
        <f t="shared" si="15"/>
        <v>0</v>
      </c>
      <c r="K28" s="537">
        <f t="shared" si="16"/>
        <v>2368</v>
      </c>
      <c r="L28" s="52">
        <f t="shared" si="17"/>
        <v>0</v>
      </c>
      <c r="M28" s="537">
        <f t="shared" si="18"/>
        <v>174856</v>
      </c>
      <c r="N28" s="380">
        <f t="shared" si="2"/>
        <v>0</v>
      </c>
      <c r="O28" s="64">
        <f t="shared" si="47"/>
        <v>1869</v>
      </c>
      <c r="P28" s="537">
        <f t="shared" si="45"/>
        <v>2138</v>
      </c>
      <c r="Q28" s="537">
        <f t="shared" si="48"/>
        <v>179410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219</v>
      </c>
      <c r="C29" s="537">
        <f t="shared" si="35"/>
        <v>227</v>
      </c>
      <c r="D29" s="45">
        <f t="shared" si="49"/>
        <v>0</v>
      </c>
      <c r="E29" s="45">
        <f t="shared" si="12"/>
        <v>0</v>
      </c>
      <c r="F29" s="537">
        <f t="shared" si="13"/>
        <v>1936</v>
      </c>
      <c r="G29" s="52">
        <f t="shared" si="0"/>
        <v>0</v>
      </c>
      <c r="H29" s="537">
        <f t="shared" si="14"/>
        <v>20563</v>
      </c>
      <c r="I29" s="380">
        <f t="shared" si="1"/>
        <v>0</v>
      </c>
      <c r="J29" s="66">
        <f t="shared" si="15"/>
        <v>0</v>
      </c>
      <c r="K29" s="537">
        <f t="shared" si="16"/>
        <v>2368</v>
      </c>
      <c r="L29" s="52">
        <f t="shared" si="17"/>
        <v>0</v>
      </c>
      <c r="M29" s="537">
        <f t="shared" si="18"/>
        <v>174856</v>
      </c>
      <c r="N29" s="380">
        <f t="shared" si="2"/>
        <v>0</v>
      </c>
      <c r="O29" s="64">
        <f t="shared" si="47"/>
        <v>1869</v>
      </c>
      <c r="P29" s="537">
        <f t="shared" si="45"/>
        <v>2138</v>
      </c>
      <c r="Q29" s="537">
        <f t="shared" si="48"/>
        <v>179410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219</v>
      </c>
      <c r="C30" s="537">
        <f t="shared" si="35"/>
        <v>227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1936</v>
      </c>
      <c r="G30" s="52">
        <f t="shared" ref="G30" si="56">F30-F29</f>
        <v>0</v>
      </c>
      <c r="H30" s="537">
        <f t="shared" si="14"/>
        <v>20563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2368</v>
      </c>
      <c r="L30" s="52">
        <f t="shared" ref="L30" si="59">K30-K29</f>
        <v>0</v>
      </c>
      <c r="M30" s="537">
        <f t="shared" si="18"/>
        <v>174856</v>
      </c>
      <c r="N30" s="380">
        <f t="shared" ref="N30" si="60">M30-M29</f>
        <v>0</v>
      </c>
      <c r="O30" s="64">
        <f t="shared" si="47"/>
        <v>1869</v>
      </c>
      <c r="P30" s="537">
        <f t="shared" si="45"/>
        <v>2138</v>
      </c>
      <c r="Q30" s="537">
        <f t="shared" si="48"/>
        <v>179410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219</v>
      </c>
      <c r="C31" s="537">
        <f t="shared" si="35"/>
        <v>227</v>
      </c>
      <c r="D31" s="45">
        <f t="shared" si="49"/>
        <v>0</v>
      </c>
      <c r="E31" s="45">
        <f t="shared" si="12"/>
        <v>0</v>
      </c>
      <c r="F31" s="537">
        <f t="shared" si="13"/>
        <v>1936</v>
      </c>
      <c r="G31" s="52">
        <f t="shared" si="0"/>
        <v>0</v>
      </c>
      <c r="H31" s="537">
        <f t="shared" si="14"/>
        <v>20563</v>
      </c>
      <c r="I31" s="380">
        <f t="shared" si="1"/>
        <v>0</v>
      </c>
      <c r="J31" s="66">
        <f t="shared" si="15"/>
        <v>0</v>
      </c>
      <c r="K31" s="537">
        <f t="shared" si="16"/>
        <v>2368</v>
      </c>
      <c r="L31" s="52">
        <f t="shared" si="17"/>
        <v>0</v>
      </c>
      <c r="M31" s="537">
        <f t="shared" si="18"/>
        <v>174856</v>
      </c>
      <c r="N31" s="380">
        <f t="shared" si="2"/>
        <v>0</v>
      </c>
      <c r="O31" s="64">
        <f t="shared" si="47"/>
        <v>1869</v>
      </c>
      <c r="P31" s="537">
        <f t="shared" si="45"/>
        <v>2138</v>
      </c>
      <c r="Q31" s="537">
        <f t="shared" si="48"/>
        <v>179410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219</v>
      </c>
      <c r="C32" s="537">
        <f t="shared" si="35"/>
        <v>227</v>
      </c>
      <c r="D32" s="45">
        <f t="shared" si="49"/>
        <v>0</v>
      </c>
      <c r="E32" s="45">
        <f t="shared" si="12"/>
        <v>0</v>
      </c>
      <c r="F32" s="537">
        <f t="shared" si="13"/>
        <v>1936</v>
      </c>
      <c r="G32" s="52">
        <f t="shared" si="0"/>
        <v>0</v>
      </c>
      <c r="H32" s="537">
        <f t="shared" si="14"/>
        <v>20563</v>
      </c>
      <c r="I32" s="380">
        <f t="shared" si="1"/>
        <v>0</v>
      </c>
      <c r="J32" s="66">
        <f t="shared" si="15"/>
        <v>0</v>
      </c>
      <c r="K32" s="537">
        <f t="shared" si="16"/>
        <v>2368</v>
      </c>
      <c r="L32" s="52">
        <f t="shared" si="17"/>
        <v>0</v>
      </c>
      <c r="M32" s="537">
        <f t="shared" si="18"/>
        <v>174856</v>
      </c>
      <c r="N32" s="380">
        <f t="shared" si="2"/>
        <v>0</v>
      </c>
      <c r="O32" s="64">
        <f t="shared" si="47"/>
        <v>1869</v>
      </c>
      <c r="P32" s="537">
        <f t="shared" si="45"/>
        <v>2138</v>
      </c>
      <c r="Q32" s="537">
        <f t="shared" si="48"/>
        <v>179410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219</v>
      </c>
      <c r="C33" s="537">
        <f t="shared" si="35"/>
        <v>227</v>
      </c>
      <c r="D33" s="45">
        <f>C32-C33</f>
        <v>0</v>
      </c>
      <c r="E33" s="45">
        <f>D33*8.38</f>
        <v>0</v>
      </c>
      <c r="F33" s="537">
        <f t="shared" si="13"/>
        <v>1936</v>
      </c>
      <c r="G33" s="52">
        <f>F33-F32</f>
        <v>0</v>
      </c>
      <c r="H33" s="537">
        <f t="shared" si="14"/>
        <v>20563</v>
      </c>
      <c r="I33" s="380">
        <f>SUM(H33-H32)</f>
        <v>0</v>
      </c>
      <c r="J33" s="66">
        <f>IF(G33&gt;0,I33/G33,0)</f>
        <v>0</v>
      </c>
      <c r="K33" s="537">
        <f t="shared" si="16"/>
        <v>2368</v>
      </c>
      <c r="L33" s="52">
        <f>K33-K32</f>
        <v>0</v>
      </c>
      <c r="M33" s="537">
        <f t="shared" si="18"/>
        <v>174856</v>
      </c>
      <c r="N33" s="380">
        <f>M33-M32</f>
        <v>0</v>
      </c>
      <c r="O33" s="64">
        <f t="shared" si="47"/>
        <v>1869</v>
      </c>
      <c r="P33" s="537">
        <f t="shared" si="45"/>
        <v>2138</v>
      </c>
      <c r="Q33" s="537">
        <f t="shared" si="48"/>
        <v>179410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219</v>
      </c>
      <c r="C34" s="537">
        <f t="shared" si="35"/>
        <v>227</v>
      </c>
      <c r="D34" s="45">
        <f>C33-C34</f>
        <v>0</v>
      </c>
      <c r="E34" s="45">
        <f>D34*8.38</f>
        <v>0</v>
      </c>
      <c r="F34" s="537">
        <f t="shared" si="13"/>
        <v>1936</v>
      </c>
      <c r="G34" s="52">
        <f>F34-F33</f>
        <v>0</v>
      </c>
      <c r="H34" s="537">
        <f t="shared" si="14"/>
        <v>20563</v>
      </c>
      <c r="I34" s="380">
        <f>SUM(H34-H33)</f>
        <v>0</v>
      </c>
      <c r="J34" s="66">
        <f>IF(G34&gt;0,I34/G34,0)</f>
        <v>0</v>
      </c>
      <c r="K34" s="537">
        <f t="shared" si="16"/>
        <v>2368</v>
      </c>
      <c r="L34" s="52">
        <f>K34-K33</f>
        <v>0</v>
      </c>
      <c r="M34" s="537">
        <f t="shared" si="18"/>
        <v>174856</v>
      </c>
      <c r="N34" s="380">
        <f>M34-M33</f>
        <v>0</v>
      </c>
      <c r="O34" s="64">
        <f t="shared" si="47"/>
        <v>1869</v>
      </c>
      <c r="P34" s="537">
        <f t="shared" si="45"/>
        <v>2138</v>
      </c>
      <c r="Q34" s="537">
        <f t="shared" si="48"/>
        <v>179410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219</v>
      </c>
      <c r="C35" s="537">
        <f t="shared" si="35"/>
        <v>227</v>
      </c>
      <c r="D35" s="45">
        <f>C34-C35</f>
        <v>0</v>
      </c>
      <c r="E35" s="45">
        <f>D35*8.38</f>
        <v>0</v>
      </c>
      <c r="F35" s="537">
        <f t="shared" si="13"/>
        <v>1936</v>
      </c>
      <c r="G35" s="52">
        <f>F35-F34</f>
        <v>0</v>
      </c>
      <c r="H35" s="537">
        <f t="shared" si="14"/>
        <v>20563</v>
      </c>
      <c r="I35" s="380">
        <f>SUM(H35-H34)</f>
        <v>0</v>
      </c>
      <c r="J35" s="66">
        <f>IF(G35&gt;0,I35/G35,0)</f>
        <v>0</v>
      </c>
      <c r="K35" s="537">
        <f t="shared" si="16"/>
        <v>2368</v>
      </c>
      <c r="L35" s="52">
        <f>K35-K34</f>
        <v>0</v>
      </c>
      <c r="M35" s="537">
        <f t="shared" si="18"/>
        <v>174856</v>
      </c>
      <c r="N35" s="380">
        <f>M35-M34</f>
        <v>0</v>
      </c>
      <c r="O35" s="64">
        <f t="shared" si="47"/>
        <v>1869</v>
      </c>
      <c r="P35" s="537">
        <f t="shared" si="45"/>
        <v>2138</v>
      </c>
      <c r="Q35" s="537">
        <f t="shared" si="48"/>
        <v>179410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74.05</v>
      </c>
      <c r="U36" s="70">
        <f>SUM(U5:U35)</f>
        <v>17</v>
      </c>
      <c r="V36" s="62">
        <f>SUM(V5:V35)</f>
        <v>938</v>
      </c>
      <c r="AE36" s="71" t="s">
        <v>379</v>
      </c>
      <c r="AG36" s="329"/>
      <c r="AH36" s="62">
        <f>SUM(AH5:AH35)</f>
        <v>0</v>
      </c>
      <c r="AL36" s="62">
        <f>SUM(AL5:AL35)</f>
        <v>17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55.176470588235297</v>
      </c>
      <c r="AH37" s="62">
        <f>AF37+AA37</f>
        <v>0</v>
      </c>
      <c r="AI37" s="306">
        <f>SUM(AI5:AI35)</f>
        <v>938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19" activePane="bottomLeft" state="frozen"/>
      <selection pane="bottomLeft" activeCell="AQ31" sqref="AQ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8142030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1" t="s">
        <v>95</v>
      </c>
      <c r="AS2" s="642"/>
      <c r="AT2" s="642"/>
      <c r="AU2" s="642"/>
      <c r="AV2" s="643"/>
      <c r="AW2" s="641" t="s">
        <v>96</v>
      </c>
      <c r="AX2" s="642"/>
      <c r="AY2" s="643"/>
      <c r="AZ2" s="641" t="s">
        <v>98</v>
      </c>
      <c r="BA2" s="642"/>
      <c r="BB2" s="643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8" t="s">
        <v>126</v>
      </c>
      <c r="AO3" s="639"/>
      <c r="AP3" s="640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v>626310</v>
      </c>
      <c r="H17" s="5">
        <f t="shared" si="9"/>
        <v>2</v>
      </c>
      <c r="I17" s="5">
        <f t="shared" si="10"/>
        <v>2</v>
      </c>
      <c r="J17" s="319">
        <f t="shared" si="0"/>
        <v>120.96774193548387</v>
      </c>
      <c r="K17" s="5">
        <f>'Swimming Pool quality check '!H17</f>
        <v>6967</v>
      </c>
      <c r="L17" s="83">
        <f t="shared" si="41"/>
        <v>1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-1</v>
      </c>
      <c r="AL17" s="312">
        <f t="shared" si="27"/>
        <v>0</v>
      </c>
      <c r="AM17" s="312">
        <f>'General information '!D16</f>
        <v>18.5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v>117</v>
      </c>
      <c r="AU17" s="408">
        <f t="shared" si="43"/>
        <v>1.1000000000000001</v>
      </c>
      <c r="AV17" s="201">
        <v>131</v>
      </c>
      <c r="AW17" s="5">
        <v>2.9</v>
      </c>
      <c r="AX17" s="201">
        <v>122</v>
      </c>
      <c r="AY17" s="409">
        <f t="shared" si="37"/>
        <v>105.3</v>
      </c>
      <c r="AZ17" s="409">
        <f t="shared" si="38"/>
        <v>144.10000000000002</v>
      </c>
      <c r="BA17" s="409">
        <f t="shared" si="39"/>
        <v>353.8</v>
      </c>
      <c r="BB17" s="21">
        <f t="shared" si="40"/>
        <v>2.6999999999999886</v>
      </c>
      <c r="BC17" s="21">
        <f t="shared" si="30"/>
        <v>-1.0999999999999943</v>
      </c>
      <c r="BD17" s="21">
        <f t="shared" si="30"/>
        <v>-5.7999999999999545</v>
      </c>
      <c r="BE17" s="24">
        <f t="shared" si="31"/>
        <v>-4.1999999999999602</v>
      </c>
      <c r="BF17" s="96">
        <f t="shared" si="4"/>
        <v>6.1999999999999602</v>
      </c>
      <c r="BG17" s="82">
        <f t="shared" si="5"/>
        <v>-4.1999999999999602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626310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6967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20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117</v>
      </c>
      <c r="AU18" s="408">
        <f t="shared" si="43"/>
        <v>1.1000000000000001</v>
      </c>
      <c r="AV18" s="201">
        <v>130</v>
      </c>
      <c r="AW18" s="5">
        <v>2.9</v>
      </c>
      <c r="AX18" s="201">
        <v>120</v>
      </c>
      <c r="AY18" s="409">
        <f t="shared" si="37"/>
        <v>105.3</v>
      </c>
      <c r="AZ18" s="409">
        <f t="shared" si="38"/>
        <v>143</v>
      </c>
      <c r="BA18" s="409">
        <f t="shared" si="39"/>
        <v>348</v>
      </c>
      <c r="BB18" s="21">
        <f t="shared" si="40"/>
        <v>0</v>
      </c>
      <c r="BC18" s="21">
        <f t="shared" si="30"/>
        <v>-1.1000000000000227</v>
      </c>
      <c r="BD18" s="21">
        <f t="shared" si="30"/>
        <v>-5.8000000000000114</v>
      </c>
      <c r="BE18" s="24">
        <f t="shared" si="31"/>
        <v>-6.9000000000000341</v>
      </c>
      <c r="BF18" s="96">
        <f t="shared" si="4"/>
        <v>6.9000000000000341</v>
      </c>
      <c r="BG18" s="82">
        <f t="shared" si="5"/>
        <v>-6.9000000000000341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626310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6968</v>
      </c>
      <c r="L19" s="83">
        <f t="shared" si="41"/>
        <v>1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-1</v>
      </c>
      <c r="AL19" s="312">
        <f t="shared" si="27"/>
        <v>0</v>
      </c>
      <c r="AM19" s="312">
        <f>'General information '!D18</f>
        <v>19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v>181</v>
      </c>
      <c r="AU19" s="408">
        <f t="shared" si="43"/>
        <v>1.1000000000000001</v>
      </c>
      <c r="AV19" s="201">
        <v>129</v>
      </c>
      <c r="AW19" s="5">
        <v>2.9</v>
      </c>
      <c r="AX19" s="201">
        <v>119</v>
      </c>
      <c r="AY19" s="409">
        <f>AS19*AT19</f>
        <v>162.9</v>
      </c>
      <c r="AZ19" s="409">
        <f>AU19*AV19</f>
        <v>141.9</v>
      </c>
      <c r="BA19" s="409">
        <f>AW19*AX19</f>
        <v>345.09999999999997</v>
      </c>
      <c r="BB19" s="21">
        <f t="shared" si="40"/>
        <v>57.600000000000009</v>
      </c>
      <c r="BC19" s="21">
        <f t="shared" ref="BB19:BD20" si="47">AZ19-AZ18</f>
        <v>-1.0999999999999943</v>
      </c>
      <c r="BD19" s="21">
        <f t="shared" si="47"/>
        <v>-2.9000000000000341</v>
      </c>
      <c r="BE19" s="24">
        <f>SUM(BB19:BD19)</f>
        <v>53.59999999999998</v>
      </c>
      <c r="BF19" s="96">
        <f t="shared" si="4"/>
        <v>-53.59999999999998</v>
      </c>
      <c r="BG19" s="82">
        <f t="shared" si="5"/>
        <v>53.59999999999998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626310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6969</v>
      </c>
      <c r="L20" s="83">
        <f t="shared" si="41"/>
        <v>1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</v>
      </c>
      <c r="AL20" s="312">
        <f t="shared" si="27"/>
        <v>0</v>
      </c>
      <c r="AM20" s="312">
        <f>'General information '!D19</f>
        <v>18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181</v>
      </c>
      <c r="AU20" s="408">
        <f t="shared" si="43"/>
        <v>1.1000000000000001</v>
      </c>
      <c r="AV20" s="201">
        <v>127</v>
      </c>
      <c r="AW20" s="5">
        <v>2.9</v>
      </c>
      <c r="AX20" s="201">
        <v>118</v>
      </c>
      <c r="AY20" s="409">
        <f>AS20*AT20</f>
        <v>162.9</v>
      </c>
      <c r="AZ20" s="409">
        <f>AU20*AV20</f>
        <v>139.70000000000002</v>
      </c>
      <c r="BA20" s="409">
        <f>AW20*AX20</f>
        <v>342.2</v>
      </c>
      <c r="BB20" s="21">
        <f t="shared" si="47"/>
        <v>0</v>
      </c>
      <c r="BC20" s="21">
        <f t="shared" si="47"/>
        <v>-2.1999999999999886</v>
      </c>
      <c r="BD20" s="21">
        <f t="shared" si="47"/>
        <v>-2.8999999999999773</v>
      </c>
      <c r="BE20" s="24">
        <f>SUM(BB20:BD20)</f>
        <v>-5.0999999999999659</v>
      </c>
      <c r="BF20" s="96">
        <f t="shared" si="4"/>
        <v>5.0999999999999659</v>
      </c>
      <c r="BG20" s="82">
        <f t="shared" si="5"/>
        <v>-5.0999999999999659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32"/>
        <v>626310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6969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181</v>
      </c>
      <c r="AU21" s="408">
        <f t="shared" si="43"/>
        <v>1.1000000000000001</v>
      </c>
      <c r="AV21" s="201">
        <f t="shared" si="35"/>
        <v>127</v>
      </c>
      <c r="AW21" s="5">
        <v>2.9</v>
      </c>
      <c r="AX21" s="201">
        <f t="shared" si="36"/>
        <v>118</v>
      </c>
      <c r="AY21" s="409">
        <f>AS21*AT21</f>
        <v>162.9</v>
      </c>
      <c r="AZ21" s="409">
        <f>AU21*AV21</f>
        <v>139.70000000000002</v>
      </c>
      <c r="BA21" s="409">
        <f>AW21*AX21</f>
        <v>342.2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32"/>
        <v>626310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6969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49">AS21</f>
        <v>0.9</v>
      </c>
      <c r="AT22" s="201">
        <f t="shared" si="49"/>
        <v>181</v>
      </c>
      <c r="AU22" s="408">
        <f t="shared" si="43"/>
        <v>1.1000000000000001</v>
      </c>
      <c r="AV22" s="201">
        <f t="shared" si="35"/>
        <v>127</v>
      </c>
      <c r="AW22" s="5">
        <v>2.9</v>
      </c>
      <c r="AX22" s="201">
        <f t="shared" si="36"/>
        <v>118</v>
      </c>
      <c r="AY22" s="409">
        <f t="shared" si="37"/>
        <v>162.9</v>
      </c>
      <c r="AZ22" s="409">
        <f t="shared" si="38"/>
        <v>139.70000000000002</v>
      </c>
      <c r="BA22" s="409">
        <f t="shared" si="39"/>
        <v>342.2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32"/>
        <v>626310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6969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49"/>
        <v>0.9</v>
      </c>
      <c r="AT23" s="201">
        <f t="shared" si="49"/>
        <v>181</v>
      </c>
      <c r="AU23" s="408">
        <f t="shared" si="43"/>
        <v>1.1000000000000001</v>
      </c>
      <c r="AV23" s="201">
        <f t="shared" si="35"/>
        <v>127</v>
      </c>
      <c r="AW23" s="5">
        <v>2.9</v>
      </c>
      <c r="AX23" s="201">
        <f t="shared" si="36"/>
        <v>118</v>
      </c>
      <c r="AY23" s="409">
        <f t="shared" si="37"/>
        <v>162.9</v>
      </c>
      <c r="AZ23" s="409">
        <f t="shared" si="38"/>
        <v>139.70000000000002</v>
      </c>
      <c r="BA23" s="409">
        <f t="shared" si="39"/>
        <v>342.2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32"/>
        <v>626310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6969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49"/>
        <v>0.9</v>
      </c>
      <c r="AT24" s="201">
        <f t="shared" si="49"/>
        <v>181</v>
      </c>
      <c r="AU24" s="408">
        <f t="shared" si="43"/>
        <v>1.1000000000000001</v>
      </c>
      <c r="AV24" s="201">
        <f t="shared" si="35"/>
        <v>127</v>
      </c>
      <c r="AW24" s="5">
        <v>2.9</v>
      </c>
      <c r="AX24" s="201">
        <f t="shared" si="36"/>
        <v>118</v>
      </c>
      <c r="AY24" s="409">
        <f t="shared" si="37"/>
        <v>162.9</v>
      </c>
      <c r="AZ24" s="409">
        <f t="shared" si="38"/>
        <v>139.70000000000002</v>
      </c>
      <c r="BA24" s="409">
        <f t="shared" si="39"/>
        <v>342.2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32"/>
        <v>626310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6969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49"/>
        <v>0.9</v>
      </c>
      <c r="AT25" s="201">
        <f t="shared" si="49"/>
        <v>181</v>
      </c>
      <c r="AU25" s="408">
        <f t="shared" si="43"/>
        <v>1.1000000000000001</v>
      </c>
      <c r="AV25" s="201">
        <f t="shared" si="35"/>
        <v>127</v>
      </c>
      <c r="AW25" s="5">
        <v>2.9</v>
      </c>
      <c r="AX25" s="201">
        <f t="shared" si="36"/>
        <v>118</v>
      </c>
      <c r="AY25" s="409">
        <f t="shared" si="37"/>
        <v>162.9</v>
      </c>
      <c r="AZ25" s="409">
        <f t="shared" si="38"/>
        <v>139.70000000000002</v>
      </c>
      <c r="BA25" s="409">
        <f t="shared" si="39"/>
        <v>342.2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32"/>
        <v>626310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6969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49"/>
        <v>0.9</v>
      </c>
      <c r="AT26" s="201">
        <f t="shared" si="49"/>
        <v>181</v>
      </c>
      <c r="AU26" s="408">
        <f t="shared" si="43"/>
        <v>1.1000000000000001</v>
      </c>
      <c r="AV26" s="201">
        <f t="shared" si="35"/>
        <v>127</v>
      </c>
      <c r="AW26" s="5">
        <v>2.9</v>
      </c>
      <c r="AX26" s="201">
        <f t="shared" si="36"/>
        <v>118</v>
      </c>
      <c r="AY26" s="409">
        <f t="shared" si="37"/>
        <v>162.9</v>
      </c>
      <c r="AZ26" s="409">
        <f t="shared" si="38"/>
        <v>139.70000000000002</v>
      </c>
      <c r="BA26" s="409">
        <f t="shared" si="39"/>
        <v>342.2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32"/>
        <v>626310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6969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49"/>
        <v>0.9</v>
      </c>
      <c r="AT27" s="201">
        <f t="shared" si="49"/>
        <v>181</v>
      </c>
      <c r="AU27" s="408">
        <f t="shared" si="43"/>
        <v>1.1000000000000001</v>
      </c>
      <c r="AV27" s="201">
        <f t="shared" si="35"/>
        <v>127</v>
      </c>
      <c r="AW27" s="5">
        <v>2.9</v>
      </c>
      <c r="AX27" s="201">
        <f t="shared" si="36"/>
        <v>118</v>
      </c>
      <c r="AY27" s="409">
        <f t="shared" si="37"/>
        <v>162.9</v>
      </c>
      <c r="AZ27" s="409">
        <f t="shared" si="38"/>
        <v>139.70000000000002</v>
      </c>
      <c r="BA27" s="409">
        <f t="shared" si="39"/>
        <v>342.2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32"/>
        <v>626310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6969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49"/>
        <v>0.9</v>
      </c>
      <c r="AT28" s="201">
        <f t="shared" si="49"/>
        <v>181</v>
      </c>
      <c r="AU28" s="408">
        <f t="shared" si="43"/>
        <v>1.1000000000000001</v>
      </c>
      <c r="AV28" s="201">
        <f t="shared" si="35"/>
        <v>127</v>
      </c>
      <c r="AW28" s="5">
        <v>2.9</v>
      </c>
      <c r="AX28" s="201">
        <f t="shared" si="36"/>
        <v>118</v>
      </c>
      <c r="AY28" s="409">
        <f t="shared" si="37"/>
        <v>162.9</v>
      </c>
      <c r="AZ28" s="409">
        <f t="shared" si="38"/>
        <v>139.70000000000002</v>
      </c>
      <c r="BA28" s="409">
        <f t="shared" si="39"/>
        <v>342.2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32"/>
        <v>626310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6969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49"/>
        <v>0.9</v>
      </c>
      <c r="AT29" s="201">
        <f t="shared" si="49"/>
        <v>181</v>
      </c>
      <c r="AU29" s="408">
        <f t="shared" si="43"/>
        <v>1.1000000000000001</v>
      </c>
      <c r="AV29" s="201">
        <f t="shared" si="35"/>
        <v>127</v>
      </c>
      <c r="AW29" s="5">
        <v>2.9</v>
      </c>
      <c r="AX29" s="201">
        <f t="shared" si="36"/>
        <v>118</v>
      </c>
      <c r="AY29" s="409">
        <f t="shared" si="37"/>
        <v>162.9</v>
      </c>
      <c r="AZ29" s="409">
        <f t="shared" si="38"/>
        <v>139.70000000000002</v>
      </c>
      <c r="BA29" s="409">
        <f t="shared" si="39"/>
        <v>342.2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32"/>
        <v>626310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6969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49"/>
        <v>0.9</v>
      </c>
      <c r="AT30" s="201">
        <f t="shared" si="49"/>
        <v>181</v>
      </c>
      <c r="AU30" s="408">
        <f t="shared" si="43"/>
        <v>1.1000000000000001</v>
      </c>
      <c r="AV30" s="201">
        <f t="shared" si="35"/>
        <v>127</v>
      </c>
      <c r="AW30" s="5">
        <v>2.9</v>
      </c>
      <c r="AX30" s="201">
        <f t="shared" si="36"/>
        <v>118</v>
      </c>
      <c r="AY30" s="409">
        <f t="shared" si="37"/>
        <v>162.9</v>
      </c>
      <c r="AZ30" s="409">
        <f t="shared" si="38"/>
        <v>139.70000000000002</v>
      </c>
      <c r="BA30" s="409">
        <f t="shared" si="39"/>
        <v>342.2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32"/>
        <v>626310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6969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49"/>
        <v>0.9</v>
      </c>
      <c r="AT31" s="201">
        <f t="shared" si="49"/>
        <v>181</v>
      </c>
      <c r="AU31" s="408">
        <f t="shared" si="43"/>
        <v>1.1000000000000001</v>
      </c>
      <c r="AV31" s="201">
        <f t="shared" si="35"/>
        <v>127</v>
      </c>
      <c r="AW31" s="5">
        <v>2.9</v>
      </c>
      <c r="AX31" s="201">
        <f t="shared" si="36"/>
        <v>118</v>
      </c>
      <c r="AY31" s="409">
        <f t="shared" si="37"/>
        <v>162.9</v>
      </c>
      <c r="AZ31" s="409">
        <f>AU31*AV31</f>
        <v>139.70000000000002</v>
      </c>
      <c r="BA31" s="409">
        <f t="shared" si="39"/>
        <v>342.2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32"/>
        <v>626310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6969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49"/>
        <v>0.9</v>
      </c>
      <c r="AT32" s="201">
        <f t="shared" si="49"/>
        <v>181</v>
      </c>
      <c r="AU32" s="408">
        <f t="shared" si="43"/>
        <v>1.1000000000000001</v>
      </c>
      <c r="AV32" s="201">
        <f t="shared" si="35"/>
        <v>127</v>
      </c>
      <c r="AW32" s="5">
        <v>2.9</v>
      </c>
      <c r="AX32" s="201">
        <f t="shared" si="36"/>
        <v>118</v>
      </c>
      <c r="AY32" s="409">
        <f t="shared" si="37"/>
        <v>162.9</v>
      </c>
      <c r="AZ32" s="409">
        <f t="shared" si="38"/>
        <v>139.70000000000002</v>
      </c>
      <c r="BA32" s="409">
        <f t="shared" si="39"/>
        <v>342.2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32"/>
        <v>626310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6969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49"/>
        <v>0.9</v>
      </c>
      <c r="AT33" s="201">
        <f t="shared" si="49"/>
        <v>181</v>
      </c>
      <c r="AU33" s="408">
        <f t="shared" si="43"/>
        <v>1.1000000000000001</v>
      </c>
      <c r="AV33" s="201">
        <f t="shared" si="35"/>
        <v>127</v>
      </c>
      <c r="AW33" s="5">
        <v>2.9</v>
      </c>
      <c r="AX33" s="201">
        <f t="shared" si="36"/>
        <v>118</v>
      </c>
      <c r="AY33" s="409">
        <f t="shared" si="37"/>
        <v>162.9</v>
      </c>
      <c r="AZ33" s="409">
        <f t="shared" si="38"/>
        <v>139.70000000000002</v>
      </c>
      <c r="BA33" s="409">
        <f t="shared" si="39"/>
        <v>342.2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32"/>
        <v>626310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6969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0">AT33</f>
        <v>181</v>
      </c>
      <c r="AU34" s="408">
        <f>AU33</f>
        <v>1.1000000000000001</v>
      </c>
      <c r="AV34" s="201">
        <f t="shared" si="35"/>
        <v>127</v>
      </c>
      <c r="AW34" s="5">
        <v>2.9</v>
      </c>
      <c r="AX34" s="201">
        <f t="shared" si="36"/>
        <v>118</v>
      </c>
      <c r="AY34" s="409">
        <f t="shared" si="37"/>
        <v>162.9</v>
      </c>
      <c r="AZ34" s="409">
        <f>AU34*AV34</f>
        <v>139.70000000000002</v>
      </c>
      <c r="BA34" s="409">
        <f>AW34*AX34</f>
        <v>342.2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32"/>
        <v>626310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6969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0"/>
        <v>181</v>
      </c>
      <c r="AU35" s="408">
        <f>AU34</f>
        <v>1.1000000000000001</v>
      </c>
      <c r="AV35" s="201">
        <f t="shared" si="35"/>
        <v>127</v>
      </c>
      <c r="AW35" s="5">
        <v>2.9</v>
      </c>
      <c r="AX35" s="201">
        <f t="shared" si="36"/>
        <v>118</v>
      </c>
      <c r="AY35" s="409">
        <f t="shared" si="37"/>
        <v>162.9</v>
      </c>
      <c r="AZ35" s="409">
        <f>AU35*AV35</f>
        <v>139.70000000000002</v>
      </c>
      <c r="BA35" s="409">
        <f>AW35*AX35</f>
        <v>342.2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32"/>
        <v>626310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6969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0"/>
        <v>181</v>
      </c>
      <c r="AU36" s="408">
        <f>AU35</f>
        <v>1.1000000000000001</v>
      </c>
      <c r="AV36" s="201">
        <f t="shared" si="35"/>
        <v>127</v>
      </c>
      <c r="AW36" s="5">
        <v>2.9</v>
      </c>
      <c r="AX36" s="201">
        <f t="shared" si="36"/>
        <v>118</v>
      </c>
      <c r="AY36" s="409">
        <f t="shared" ref="AY36" si="54">AS36*AT36</f>
        <v>162.9</v>
      </c>
      <c r="AZ36" s="409">
        <f>AU36*AV36</f>
        <v>139.70000000000002</v>
      </c>
      <c r="BA36" s="409">
        <f>AW36*AX36</f>
        <v>342.2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332</v>
      </c>
      <c r="I37" s="395">
        <f>SUM(I6:I36)</f>
        <v>332</v>
      </c>
      <c r="L37" s="258">
        <f>SUM(L7:L36)</f>
        <v>15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-15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332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332</v>
      </c>
      <c r="H39" s="1">
        <f>SUM(H38+C38)</f>
        <v>7500</v>
      </c>
      <c r="K39" s="1">
        <f>SUM(H39/G39)</f>
        <v>22.590361445783131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opLeftCell="L1" zoomScale="70" zoomScaleNormal="70" workbookViewId="0">
      <pane ySplit="1" topLeftCell="A2" activePane="bottomLeft" state="frozen"/>
      <selection pane="bottomLeft" activeCell="R18" sqref="R18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v>11234</v>
      </c>
      <c r="C14" s="276">
        <f t="shared" si="9"/>
        <v>9</v>
      </c>
      <c r="D14" s="503">
        <f t="shared" si="10"/>
        <v>571516</v>
      </c>
      <c r="E14" s="276">
        <f t="shared" si="11"/>
        <v>2250</v>
      </c>
      <c r="F14" s="276">
        <f t="shared" si="0"/>
        <v>250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v>13359</v>
      </c>
      <c r="S14" s="276">
        <f t="shared" si="4"/>
        <v>2</v>
      </c>
      <c r="T14" s="503">
        <f t="shared" si="18"/>
        <v>279246</v>
      </c>
      <c r="U14" s="276">
        <f t="shared" si="19"/>
        <v>500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11</v>
      </c>
      <c r="AA14" s="276">
        <f t="shared" si="21"/>
        <v>2750</v>
      </c>
      <c r="AB14" s="276">
        <f t="shared" si="22"/>
        <v>500</v>
      </c>
      <c r="AC14" s="276">
        <f t="shared" si="23"/>
        <v>250</v>
      </c>
      <c r="AD14" s="73">
        <f>ELEC!Q15</f>
        <v>6721.9999999979336</v>
      </c>
      <c r="AE14" s="73">
        <f t="shared" si="28"/>
        <v>611.0909090907212</v>
      </c>
      <c r="AF14" s="387">
        <f t="shared" si="29"/>
        <v>0.38193181818170074</v>
      </c>
      <c r="AG14" s="387">
        <f t="shared" si="29"/>
        <v>2.3870738636356297E-4</v>
      </c>
      <c r="AH14" s="388">
        <f t="shared" si="24"/>
        <v>249.99976129261364</v>
      </c>
      <c r="AI14" s="73">
        <f t="shared" si="31"/>
        <v>1730.1350210965147</v>
      </c>
      <c r="AJ14" s="278">
        <f t="shared" si="7"/>
        <v>0.25738396624472576</v>
      </c>
      <c r="AK14" s="278">
        <f t="shared" si="8"/>
        <v>157.28500191786497</v>
      </c>
      <c r="AL14">
        <f t="shared" si="25"/>
        <v>1</v>
      </c>
    </row>
    <row r="15" spans="1:38" ht="16.5" thickBot="1">
      <c r="A15" s="4">
        <f>ELEC!C16</f>
        <v>44543</v>
      </c>
      <c r="B15" s="502">
        <v>11236</v>
      </c>
      <c r="C15" s="276">
        <f t="shared" si="9"/>
        <v>2</v>
      </c>
      <c r="D15" s="503">
        <f t="shared" si="10"/>
        <v>572016</v>
      </c>
      <c r="E15" s="276">
        <f t="shared" si="11"/>
        <v>500</v>
      </c>
      <c r="F15" s="276">
        <f t="shared" si="0"/>
        <v>250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v>13367</v>
      </c>
      <c r="S15" s="276">
        <f t="shared" si="4"/>
        <v>8</v>
      </c>
      <c r="T15" s="503">
        <f t="shared" si="18"/>
        <v>281246</v>
      </c>
      <c r="U15" s="276">
        <f t="shared" si="19"/>
        <v>2000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10</v>
      </c>
      <c r="AA15" s="276">
        <f t="shared" si="21"/>
        <v>2500</v>
      </c>
      <c r="AB15" s="276">
        <f t="shared" si="22"/>
        <v>500</v>
      </c>
      <c r="AC15" s="276">
        <f t="shared" si="23"/>
        <v>250</v>
      </c>
      <c r="AD15" s="73">
        <f>ELEC!Q16</f>
        <v>5125</v>
      </c>
      <c r="AE15" s="73">
        <f t="shared" si="28"/>
        <v>512.5</v>
      </c>
      <c r="AF15" s="387">
        <f t="shared" si="29"/>
        <v>0.3203125</v>
      </c>
      <c r="AG15" s="387">
        <f t="shared" si="29"/>
        <v>2.0019531249999999E-4</v>
      </c>
      <c r="AH15" s="388">
        <f t="shared" si="24"/>
        <v>249.99979980468751</v>
      </c>
      <c r="AI15" s="73">
        <f t="shared" si="31"/>
        <v>1319.0928270042195</v>
      </c>
      <c r="AJ15" s="278">
        <f t="shared" si="7"/>
        <v>0.25738396624472576</v>
      </c>
      <c r="AK15" s="278">
        <f t="shared" si="8"/>
        <v>131.90928270042195</v>
      </c>
      <c r="AL15">
        <f t="shared" si="25"/>
        <v>1</v>
      </c>
    </row>
    <row r="16" spans="1:38" ht="16.5" thickBot="1">
      <c r="A16" s="4">
        <f>ELEC!C17</f>
        <v>44544</v>
      </c>
      <c r="B16" s="502">
        <v>11243</v>
      </c>
      <c r="C16" s="276">
        <f t="shared" si="9"/>
        <v>7</v>
      </c>
      <c r="D16" s="503">
        <f t="shared" si="10"/>
        <v>573766</v>
      </c>
      <c r="E16" s="276">
        <f t="shared" si="11"/>
        <v>1750</v>
      </c>
      <c r="F16" s="276">
        <f t="shared" si="0"/>
        <v>250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v>13369</v>
      </c>
      <c r="S16" s="276">
        <f t="shared" si="4"/>
        <v>2</v>
      </c>
      <c r="T16" s="503">
        <f t="shared" si="18"/>
        <v>281746</v>
      </c>
      <c r="U16" s="276">
        <f t="shared" si="19"/>
        <v>500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9</v>
      </c>
      <c r="AA16" s="276">
        <f t="shared" si="21"/>
        <v>2250</v>
      </c>
      <c r="AB16" s="276">
        <f t="shared" si="22"/>
        <v>500</v>
      </c>
      <c r="AC16" s="276">
        <f t="shared" si="23"/>
        <v>250</v>
      </c>
      <c r="AD16" s="73">
        <f>ELEC!Q17</f>
        <v>5146.0000000006403</v>
      </c>
      <c r="AE16" s="73">
        <f t="shared" si="28"/>
        <v>571.77777777784888</v>
      </c>
      <c r="AF16" s="387">
        <f t="shared" si="29"/>
        <v>0.35736111111115554</v>
      </c>
      <c r="AG16" s="387">
        <f t="shared" si="29"/>
        <v>2.233506944444722E-4</v>
      </c>
      <c r="AH16" s="388">
        <f t="shared" si="24"/>
        <v>249.99977664930555</v>
      </c>
      <c r="AI16" s="73">
        <f t="shared" si="31"/>
        <v>1324.4978902955236</v>
      </c>
      <c r="AJ16" s="278">
        <f t="shared" si="7"/>
        <v>0.25738396624472576</v>
      </c>
      <c r="AK16" s="278">
        <f t="shared" si="8"/>
        <v>147.16643225505817</v>
      </c>
      <c r="AL16">
        <f t="shared" si="25"/>
        <v>1</v>
      </c>
    </row>
    <row r="17" spans="1:38" ht="16.5" thickBot="1">
      <c r="A17" s="4">
        <f>ELEC!C18</f>
        <v>44545</v>
      </c>
      <c r="B17" s="502">
        <v>11245</v>
      </c>
      <c r="C17" s="276">
        <f t="shared" si="9"/>
        <v>2</v>
      </c>
      <c r="D17" s="503">
        <f t="shared" si="10"/>
        <v>574266</v>
      </c>
      <c r="E17" s="276">
        <f t="shared" si="11"/>
        <v>500</v>
      </c>
      <c r="F17" s="276">
        <f t="shared" si="0"/>
        <v>250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v>13377</v>
      </c>
      <c r="S17" s="276">
        <f t="shared" si="4"/>
        <v>8</v>
      </c>
      <c r="T17" s="503">
        <f t="shared" si="18"/>
        <v>283746</v>
      </c>
      <c r="U17" s="276">
        <f t="shared" si="19"/>
        <v>2000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10</v>
      </c>
      <c r="AA17" s="276">
        <f t="shared" si="21"/>
        <v>2500</v>
      </c>
      <c r="AB17" s="276">
        <f t="shared" si="22"/>
        <v>500</v>
      </c>
      <c r="AC17" s="276">
        <f t="shared" si="23"/>
        <v>250</v>
      </c>
      <c r="AD17" s="73">
        <f>ELEC!Q18</f>
        <v>5173.9999999990687</v>
      </c>
      <c r="AE17" s="73">
        <f t="shared" si="28"/>
        <v>517.39999999990687</v>
      </c>
      <c r="AF17" s="387">
        <f t="shared" si="29"/>
        <v>0.32337499999994179</v>
      </c>
      <c r="AG17" s="387">
        <f t="shared" si="29"/>
        <v>2.0210937499996363E-4</v>
      </c>
      <c r="AH17" s="388">
        <f t="shared" si="24"/>
        <v>249.99979789062499</v>
      </c>
      <c r="AI17" s="73">
        <f t="shared" si="31"/>
        <v>1331.7046413499713</v>
      </c>
      <c r="AJ17" s="278">
        <f t="shared" si="7"/>
        <v>0.25738396624472576</v>
      </c>
      <c r="AK17" s="278">
        <f t="shared" si="8"/>
        <v>133.17046413499713</v>
      </c>
      <c r="AL17">
        <f t="shared" si="25"/>
        <v>1</v>
      </c>
    </row>
    <row r="18" spans="1:38" ht="16.5" thickBot="1">
      <c r="A18" s="4">
        <f>ELEC!C19</f>
        <v>44546</v>
      </c>
      <c r="B18" s="502">
        <f t="shared" si="26"/>
        <v>11245</v>
      </c>
      <c r="C18" s="276">
        <f t="shared" si="9"/>
        <v>0</v>
      </c>
      <c r="D18" s="503">
        <f t="shared" si="10"/>
        <v>574266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13377</v>
      </c>
      <c r="S18" s="276">
        <f t="shared" si="4"/>
        <v>0</v>
      </c>
      <c r="T18" s="503">
        <f t="shared" si="18"/>
        <v>283746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0</v>
      </c>
      <c r="AA18" s="276">
        <f t="shared" si="21"/>
        <v>0</v>
      </c>
      <c r="AB18" s="276">
        <f t="shared" si="22"/>
        <v>250</v>
      </c>
      <c r="AC18" s="276">
        <f t="shared" si="23"/>
        <v>0</v>
      </c>
      <c r="AD18" s="73">
        <f>ELEC!Q19</f>
        <v>0</v>
      </c>
      <c r="AE18" s="73" t="e">
        <f t="shared" si="28"/>
        <v>#DIV/0!</v>
      </c>
      <c r="AF18" s="387" t="e">
        <f t="shared" si="29"/>
        <v>#DIV/0!</v>
      </c>
      <c r="AG18" s="387" t="e">
        <f t="shared" si="29"/>
        <v>#DIV/0!</v>
      </c>
      <c r="AH18" s="388" t="e">
        <f t="shared" si="24"/>
        <v>#DIV/0!</v>
      </c>
      <c r="AI18" s="73">
        <f t="shared" si="31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5"/>
        <v>0</v>
      </c>
    </row>
    <row r="19" spans="1:38" ht="16.5" thickBot="1">
      <c r="A19" s="4">
        <f>ELEC!C20</f>
        <v>44547</v>
      </c>
      <c r="B19" s="502">
        <f t="shared" si="26"/>
        <v>11245</v>
      </c>
      <c r="C19" s="276">
        <f t="shared" si="9"/>
        <v>0</v>
      </c>
      <c r="D19" s="503">
        <f t="shared" si="10"/>
        <v>574266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13377</v>
      </c>
      <c r="S19" s="276">
        <f t="shared" si="4"/>
        <v>0</v>
      </c>
      <c r="T19" s="503">
        <f t="shared" si="18"/>
        <v>283746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11245</v>
      </c>
      <c r="C20" s="276">
        <f>B20-B19</f>
        <v>0</v>
      </c>
      <c r="D20" s="503">
        <f t="shared" si="10"/>
        <v>574266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13377</v>
      </c>
      <c r="S20" s="276">
        <f t="shared" si="4"/>
        <v>0</v>
      </c>
      <c r="T20" s="503">
        <f t="shared" si="18"/>
        <v>283746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f t="shared" si="26"/>
        <v>11245</v>
      </c>
      <c r="C21" s="276">
        <f>B21-B20</f>
        <v>0</v>
      </c>
      <c r="D21" s="503">
        <f t="shared" si="10"/>
        <v>574266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7"/>
        <v>13377</v>
      </c>
      <c r="S21" s="276">
        <f t="shared" si="4"/>
        <v>0</v>
      </c>
      <c r="T21" s="503">
        <f t="shared" si="18"/>
        <v>283746</v>
      </c>
      <c r="U21" s="276">
        <f t="shared" si="19"/>
        <v>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0</v>
      </c>
      <c r="AA21" s="276">
        <f t="shared" si="21"/>
        <v>0</v>
      </c>
      <c r="AB21" s="276">
        <f t="shared" si="22"/>
        <v>250</v>
      </c>
      <c r="AC21" s="276">
        <f t="shared" si="23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4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5"/>
        <v>0</v>
      </c>
    </row>
    <row r="22" spans="1:38" ht="16.5" thickBot="1">
      <c r="A22" s="4">
        <f>ELEC!C23</f>
        <v>44550</v>
      </c>
      <c r="B22" s="502">
        <f t="shared" si="26"/>
        <v>11245</v>
      </c>
      <c r="C22" s="276">
        <f t="shared" si="9"/>
        <v>0</v>
      </c>
      <c r="D22" s="503">
        <f t="shared" si="10"/>
        <v>574266</v>
      </c>
      <c r="E22" s="276">
        <f>150*C22</f>
        <v>0</v>
      </c>
      <c r="F22" s="276">
        <f t="shared" si="0"/>
        <v>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7"/>
        <v>13377</v>
      </c>
      <c r="S22" s="276">
        <f t="shared" si="4"/>
        <v>0</v>
      </c>
      <c r="T22" s="503">
        <f t="shared" si="18"/>
        <v>283746</v>
      </c>
      <c r="U22" s="276">
        <f t="shared" si="19"/>
        <v>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1"/>
        <v>0</v>
      </c>
      <c r="AB22" s="276">
        <f t="shared" si="22"/>
        <v>250</v>
      </c>
      <c r="AC22" s="276">
        <f t="shared" si="23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4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5"/>
        <v>0</v>
      </c>
    </row>
    <row r="23" spans="1:38" ht="16.5" thickBot="1">
      <c r="A23" s="4">
        <f>ELEC!C24</f>
        <v>44551</v>
      </c>
      <c r="B23" s="502">
        <f t="shared" si="26"/>
        <v>11245</v>
      </c>
      <c r="C23" s="276">
        <f t="shared" si="9"/>
        <v>0</v>
      </c>
      <c r="D23" s="503">
        <f t="shared" si="10"/>
        <v>574266</v>
      </c>
      <c r="E23" s="276">
        <f>150*C23</f>
        <v>0</v>
      </c>
      <c r="F23" s="276">
        <f t="shared" si="0"/>
        <v>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13377</v>
      </c>
      <c r="S23" s="276">
        <f>R23-R22</f>
        <v>0</v>
      </c>
      <c r="T23" s="503">
        <f t="shared" si="18"/>
        <v>283746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0</v>
      </c>
      <c r="AA23" s="276">
        <f t="shared" si="21"/>
        <v>0</v>
      </c>
      <c r="AB23" s="276">
        <f t="shared" si="22"/>
        <v>250</v>
      </c>
      <c r="AC23" s="276">
        <f t="shared" si="23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4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5"/>
        <v>0</v>
      </c>
    </row>
    <row r="24" spans="1:38" ht="16.5" thickBot="1">
      <c r="A24" s="4">
        <f>ELEC!C25</f>
        <v>44552</v>
      </c>
      <c r="B24" s="502">
        <f t="shared" si="26"/>
        <v>11245</v>
      </c>
      <c r="C24" s="276">
        <f t="shared" si="9"/>
        <v>0</v>
      </c>
      <c r="D24" s="503">
        <f t="shared" si="10"/>
        <v>574266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13377</v>
      </c>
      <c r="S24" s="276">
        <f t="shared" si="4"/>
        <v>0</v>
      </c>
      <c r="T24" s="503">
        <f t="shared" si="18"/>
        <v>283746</v>
      </c>
      <c r="U24" s="276">
        <f t="shared" si="19"/>
        <v>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11245</v>
      </c>
      <c r="C25" s="276">
        <f t="shared" si="9"/>
        <v>0</v>
      </c>
      <c r="D25" s="503">
        <f t="shared" si="10"/>
        <v>574266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13377</v>
      </c>
      <c r="S25" s="276">
        <f t="shared" si="4"/>
        <v>0</v>
      </c>
      <c r="T25" s="503">
        <f t="shared" si="18"/>
        <v>283746</v>
      </c>
      <c r="U25" s="276">
        <f t="shared" si="19"/>
        <v>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11245</v>
      </c>
      <c r="C26" s="276">
        <f>B26-B25</f>
        <v>0</v>
      </c>
      <c r="D26" s="503">
        <f t="shared" si="10"/>
        <v>574266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13377</v>
      </c>
      <c r="S26" s="276">
        <f t="shared" ref="S26" si="35">R26-R25</f>
        <v>0</v>
      </c>
      <c r="T26" s="503">
        <f t="shared" si="18"/>
        <v>283746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11245</v>
      </c>
      <c r="C27" s="276">
        <f>B27-B26</f>
        <v>0</v>
      </c>
      <c r="D27" s="503">
        <f t="shared" si="10"/>
        <v>574266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13377</v>
      </c>
      <c r="S27" s="276">
        <f t="shared" si="4"/>
        <v>0</v>
      </c>
      <c r="T27" s="503">
        <f t="shared" si="18"/>
        <v>283746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11245</v>
      </c>
      <c r="C28" s="276">
        <f t="shared" si="9"/>
        <v>0</v>
      </c>
      <c r="D28" s="503">
        <f t="shared" si="10"/>
        <v>574266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13377</v>
      </c>
      <c r="S28" s="276">
        <f t="shared" si="4"/>
        <v>0</v>
      </c>
      <c r="T28" s="503">
        <f t="shared" si="18"/>
        <v>283746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11245</v>
      </c>
      <c r="C29" s="276">
        <f t="shared" si="9"/>
        <v>0</v>
      </c>
      <c r="D29" s="503">
        <f t="shared" si="10"/>
        <v>574266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13377</v>
      </c>
      <c r="S29" s="276">
        <f t="shared" si="4"/>
        <v>0</v>
      </c>
      <c r="T29" s="503">
        <f>T28+U29</f>
        <v>283746</v>
      </c>
      <c r="U29" s="276">
        <f>V29*S29</f>
        <v>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11245</v>
      </c>
      <c r="C30" s="276">
        <f t="shared" si="9"/>
        <v>0</v>
      </c>
      <c r="D30" s="503">
        <f t="shared" si="10"/>
        <v>574266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13377</v>
      </c>
      <c r="S30" s="276">
        <f t="shared" si="4"/>
        <v>0</v>
      </c>
      <c r="T30" s="503">
        <f t="shared" si="18"/>
        <v>283746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11245</v>
      </c>
      <c r="C31" s="276">
        <f>B31-B30</f>
        <v>0</v>
      </c>
      <c r="D31" s="503">
        <f t="shared" si="10"/>
        <v>574266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13377</v>
      </c>
      <c r="S31" s="276">
        <f>R31-R30</f>
        <v>0</v>
      </c>
      <c r="T31" s="503">
        <f t="shared" si="18"/>
        <v>283746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11245</v>
      </c>
      <c r="C32" s="276">
        <f>B32-B31</f>
        <v>0</v>
      </c>
      <c r="D32" s="503">
        <f t="shared" si="10"/>
        <v>574266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13377</v>
      </c>
      <c r="S32" s="276">
        <f>R32-R31</f>
        <v>0</v>
      </c>
      <c r="T32" s="503">
        <f t="shared" si="18"/>
        <v>283746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11245</v>
      </c>
      <c r="C33" s="276">
        <f>B33-B32</f>
        <v>0</v>
      </c>
      <c r="D33" s="503">
        <f t="shared" si="10"/>
        <v>574266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13377</v>
      </c>
      <c r="S33" s="276">
        <f>R33-R32</f>
        <v>0</v>
      </c>
      <c r="T33" s="503">
        <f t="shared" si="18"/>
        <v>283746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112</v>
      </c>
      <c r="V34" s="40"/>
      <c r="X34">
        <v>341</v>
      </c>
      <c r="Z34" s="404">
        <f>SUM(Z3:Z33)</f>
        <v>112</v>
      </c>
      <c r="AF34" s="387">
        <f t="shared" si="38"/>
        <v>0</v>
      </c>
      <c r="AL34">
        <f>SUM(AL3:AL33)</f>
        <v>11</v>
      </c>
    </row>
    <row r="35" spans="1:38">
      <c r="C35" s="40">
        <f>SUM(C3:C33)</f>
        <v>47</v>
      </c>
      <c r="K35" s="40">
        <f>SUM(K3:K33)</f>
        <v>0</v>
      </c>
      <c r="S35" s="40">
        <f>SUM(S3:S33)</f>
        <v>65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10" zoomScale="85" zoomScaleNormal="85" workbookViewId="0">
      <pane xSplit="1" topLeftCell="AQ1" activePane="topRight" state="frozen"/>
      <selection pane="topRight" activeCell="AU47" sqref="AU4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6" t="s">
        <v>108</v>
      </c>
      <c r="AS3" s="646" t="s">
        <v>231</v>
      </c>
      <c r="AT3" s="644" t="s">
        <v>299</v>
      </c>
      <c r="AU3" s="645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7"/>
      <c r="AS4" s="647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1730.1350210965147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202</v>
      </c>
      <c r="C17" s="203">
        <f t="shared" si="18"/>
        <v>4346.2580645161288</v>
      </c>
      <c r="D17">
        <f t="shared" si="19"/>
        <v>202</v>
      </c>
      <c r="E17" s="203">
        <f t="shared" si="18"/>
        <v>4346.2580645161288</v>
      </c>
      <c r="F17">
        <f t="shared" si="20"/>
        <v>202</v>
      </c>
      <c r="G17" s="203">
        <f t="shared" si="1"/>
        <v>4346.2580645161288</v>
      </c>
      <c r="H17" s="203">
        <f t="shared" si="21"/>
        <v>202</v>
      </c>
      <c r="I17" s="203">
        <f t="shared" si="2"/>
        <v>4346.2580645161288</v>
      </c>
      <c r="J17" s="203">
        <f t="shared" si="22"/>
        <v>202</v>
      </c>
      <c r="K17" s="203">
        <f t="shared" si="3"/>
        <v>4346.2580645161288</v>
      </c>
      <c r="L17" s="203">
        <f t="shared" si="23"/>
        <v>202</v>
      </c>
      <c r="M17" s="203">
        <f t="shared" si="4"/>
        <v>4346.2580645161288</v>
      </c>
      <c r="N17" s="203">
        <f t="shared" si="24"/>
        <v>202</v>
      </c>
      <c r="O17" s="203">
        <f t="shared" si="5"/>
        <v>4346.2580645161288</v>
      </c>
      <c r="P17" s="203">
        <f t="shared" si="25"/>
        <v>202</v>
      </c>
      <c r="Q17" s="203">
        <f t="shared" si="6"/>
        <v>4346.2580645161288</v>
      </c>
      <c r="R17" s="203">
        <f t="shared" si="26"/>
        <v>202</v>
      </c>
      <c r="S17" s="203">
        <f t="shared" si="7"/>
        <v>4346.2580645161288</v>
      </c>
      <c r="T17" s="203">
        <f t="shared" si="27"/>
        <v>202</v>
      </c>
      <c r="U17" s="203">
        <f t="shared" si="8"/>
        <v>4346.2580645161288</v>
      </c>
      <c r="V17" s="203">
        <f t="shared" si="28"/>
        <v>202</v>
      </c>
      <c r="W17" s="203">
        <f t="shared" si="9"/>
        <v>4346.2580645161288</v>
      </c>
      <c r="X17" s="35">
        <f t="shared" si="10"/>
        <v>0.65161290322580645</v>
      </c>
      <c r="Y17" s="36">
        <f t="shared" si="29"/>
        <v>47808.838709677417</v>
      </c>
      <c r="Z17" s="203">
        <f>'B5'!C16</f>
        <v>208</v>
      </c>
      <c r="AA17" s="203">
        <f t="shared" si="30"/>
        <v>2080</v>
      </c>
      <c r="AB17" s="203">
        <f t="shared" si="31"/>
        <v>208</v>
      </c>
      <c r="AC17" s="203">
        <f t="shared" si="30"/>
        <v>2080</v>
      </c>
      <c r="AD17" s="203">
        <f t="shared" si="32"/>
        <v>208</v>
      </c>
      <c r="AE17" s="203">
        <f t="shared" si="11"/>
        <v>2080</v>
      </c>
      <c r="AF17" s="203">
        <f t="shared" si="33"/>
        <v>208</v>
      </c>
      <c r="AG17" s="203">
        <f t="shared" si="12"/>
        <v>2080</v>
      </c>
      <c r="AH17" s="203">
        <f t="shared" si="34"/>
        <v>208</v>
      </c>
      <c r="AI17" s="203">
        <f t="shared" si="13"/>
        <v>2080</v>
      </c>
      <c r="AJ17" s="203">
        <f t="shared" si="35"/>
        <v>208</v>
      </c>
      <c r="AK17" s="203">
        <f t="shared" si="14"/>
        <v>2080</v>
      </c>
      <c r="AL17" s="203">
        <f t="shared" si="36"/>
        <v>208</v>
      </c>
      <c r="AM17" s="203">
        <f t="shared" si="15"/>
        <v>2080</v>
      </c>
      <c r="AN17" s="35">
        <f t="shared" si="16"/>
        <v>0.74285714285714288</v>
      </c>
      <c r="AO17" s="36">
        <f>SUM(AA17+AC17+AE17+AG17+AI17+AK17+AM17)</f>
        <v>14560</v>
      </c>
      <c r="AQ17" s="223">
        <f t="shared" si="37"/>
        <v>0.67084907722574394</v>
      </c>
      <c r="AR17" s="38">
        <f t="shared" si="38"/>
        <v>62368.838709677417</v>
      </c>
      <c r="AS17" s="197">
        <f t="shared" si="42"/>
        <v>-1603.3870967741896</v>
      </c>
      <c r="AU17" s="3"/>
      <c r="AV17" s="485">
        <f t="shared" si="45"/>
        <v>0.63400000000000001</v>
      </c>
      <c r="AW17" s="279">
        <f>-SUM('B5'!AI16)</f>
        <v>-118</v>
      </c>
      <c r="AX17" s="279">
        <f t="shared" si="17"/>
        <v>-1485.3870967741896</v>
      </c>
      <c r="AY17" s="37">
        <f t="shared" si="39"/>
        <v>-1603.3870967741896</v>
      </c>
      <c r="AZ17" s="100">
        <f>ELEC!A15</f>
        <v>0</v>
      </c>
      <c r="BA17" s="118">
        <f>'General information '!D16</f>
        <v>18.5</v>
      </c>
      <c r="BB17" s="378">
        <f>SUM('General information '!E16)</f>
        <v>0.54</v>
      </c>
      <c r="BC17" s="3">
        <f t="shared" si="44"/>
        <v>0</v>
      </c>
      <c r="BD17" s="102">
        <v>19222</v>
      </c>
      <c r="BE17" s="14">
        <f>(305/1185)*ELEC!Q16</f>
        <v>1319.0928270042195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-371.34677419354739</v>
      </c>
      <c r="BK17" s="538">
        <f>GEN!AF14</f>
        <v>0.38193181818170074</v>
      </c>
    </row>
    <row r="18" spans="1:64">
      <c r="A18" s="425">
        <f>ELEC!C16</f>
        <v>44543</v>
      </c>
      <c r="B18">
        <f>'B5'!B17</f>
        <v>195</v>
      </c>
      <c r="C18" s="203">
        <f t="shared" si="18"/>
        <v>4195.6451612903229</v>
      </c>
      <c r="D18">
        <f t="shared" si="19"/>
        <v>195</v>
      </c>
      <c r="E18" s="203">
        <f t="shared" si="18"/>
        <v>4195.6451612903229</v>
      </c>
      <c r="F18">
        <f t="shared" si="20"/>
        <v>195</v>
      </c>
      <c r="G18" s="203">
        <f t="shared" si="1"/>
        <v>4195.6451612903229</v>
      </c>
      <c r="H18" s="203">
        <f t="shared" si="21"/>
        <v>195</v>
      </c>
      <c r="I18" s="203">
        <f t="shared" si="2"/>
        <v>4195.6451612903229</v>
      </c>
      <c r="J18" s="203">
        <f t="shared" si="22"/>
        <v>195</v>
      </c>
      <c r="K18" s="203">
        <f t="shared" si="3"/>
        <v>4195.6451612903229</v>
      </c>
      <c r="L18" s="203">
        <f t="shared" si="23"/>
        <v>195</v>
      </c>
      <c r="M18" s="203">
        <f t="shared" si="4"/>
        <v>4195.6451612903229</v>
      </c>
      <c r="N18" s="203">
        <f t="shared" si="24"/>
        <v>195</v>
      </c>
      <c r="O18" s="203">
        <f t="shared" si="5"/>
        <v>4195.6451612903229</v>
      </c>
      <c r="P18" s="203">
        <f t="shared" si="25"/>
        <v>195</v>
      </c>
      <c r="Q18" s="203">
        <f t="shared" si="6"/>
        <v>4195.6451612903229</v>
      </c>
      <c r="R18" s="203">
        <f t="shared" si="26"/>
        <v>195</v>
      </c>
      <c r="S18" s="203">
        <f t="shared" si="7"/>
        <v>4195.6451612903229</v>
      </c>
      <c r="T18" s="203">
        <f t="shared" si="27"/>
        <v>195</v>
      </c>
      <c r="U18" s="203">
        <f t="shared" si="8"/>
        <v>4195.6451612903229</v>
      </c>
      <c r="V18" s="203">
        <f t="shared" si="28"/>
        <v>195</v>
      </c>
      <c r="W18" s="203">
        <f t="shared" si="9"/>
        <v>4195.6451612903229</v>
      </c>
      <c r="X18" s="35">
        <f t="shared" si="10"/>
        <v>0.62903225806451624</v>
      </c>
      <c r="Y18" s="36">
        <f t="shared" si="29"/>
        <v>46152.09677419356</v>
      </c>
      <c r="Z18" s="203">
        <f>'B5'!C17</f>
        <v>202</v>
      </c>
      <c r="AA18" s="203">
        <f t="shared" si="30"/>
        <v>2020</v>
      </c>
      <c r="AB18" s="203">
        <f t="shared" si="31"/>
        <v>202</v>
      </c>
      <c r="AC18" s="203">
        <f t="shared" si="30"/>
        <v>2020</v>
      </c>
      <c r="AD18" s="203">
        <f t="shared" si="32"/>
        <v>202</v>
      </c>
      <c r="AE18" s="203">
        <f t="shared" si="11"/>
        <v>2020</v>
      </c>
      <c r="AF18" s="203">
        <f t="shared" si="33"/>
        <v>202</v>
      </c>
      <c r="AG18" s="203">
        <f t="shared" si="12"/>
        <v>2020</v>
      </c>
      <c r="AH18" s="203">
        <f t="shared" si="34"/>
        <v>202</v>
      </c>
      <c r="AI18" s="203">
        <f t="shared" si="13"/>
        <v>2020</v>
      </c>
      <c r="AJ18" s="203">
        <f t="shared" si="35"/>
        <v>202</v>
      </c>
      <c r="AK18" s="203">
        <f t="shared" si="14"/>
        <v>2020</v>
      </c>
      <c r="AL18" s="203">
        <f t="shared" si="36"/>
        <v>202</v>
      </c>
      <c r="AM18" s="203">
        <f t="shared" si="15"/>
        <v>2020</v>
      </c>
      <c r="AN18" s="35">
        <f t="shared" si="16"/>
        <v>0.72142857142857142</v>
      </c>
      <c r="AO18" s="36">
        <f t="shared" si="41"/>
        <v>14140</v>
      </c>
      <c r="AQ18" s="223">
        <f t="shared" si="37"/>
        <v>0.64851131304930154</v>
      </c>
      <c r="AR18" s="38">
        <f t="shared" si="38"/>
        <v>60292.09677419356</v>
      </c>
      <c r="AS18" s="197">
        <f>SUM(AR18-AR17-AT18)</f>
        <v>-2076.7419354838567</v>
      </c>
      <c r="AT18" s="340"/>
      <c r="AU18" s="549"/>
      <c r="AV18" s="485">
        <f t="shared" si="45"/>
        <v>0.63400000000000001</v>
      </c>
      <c r="AW18" s="279">
        <f>-SUM('B5'!AI17)</f>
        <v>-169</v>
      </c>
      <c r="AX18" s="279">
        <f t="shared" si="17"/>
        <v>-1907.7419354838567</v>
      </c>
      <c r="AY18" s="37">
        <f t="shared" si="39"/>
        <v>-2076.7419354838567</v>
      </c>
      <c r="AZ18" s="100">
        <f>ELEC!A16</f>
        <v>0</v>
      </c>
      <c r="BA18" s="118">
        <f>'General information '!D17</f>
        <v>20</v>
      </c>
      <c r="BB18" s="378">
        <f>SUM('General information '!E17)</f>
        <v>0.54</v>
      </c>
      <c r="BC18" s="3">
        <f t="shared" si="44"/>
        <v>0</v>
      </c>
      <c r="BD18" s="102">
        <v>19222</v>
      </c>
      <c r="BE18" s="14">
        <f>(305/1185)*ELEC!Q17</f>
        <v>1324.4978902955236</v>
      </c>
      <c r="BF18" s="14"/>
      <c r="BG18" s="14" t="e">
        <f>#REF!-BE18</f>
        <v>#REF!</v>
      </c>
      <c r="BH18" s="11"/>
      <c r="BI18">
        <v>5</v>
      </c>
      <c r="BJ18">
        <f t="shared" si="46"/>
        <v>-381.54838709677131</v>
      </c>
      <c r="BK18" s="538">
        <f>GEN!AF15</f>
        <v>0.3203125</v>
      </c>
    </row>
    <row r="19" spans="1:64">
      <c r="A19" s="425">
        <f>ELEC!C17</f>
        <v>44544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41"/>
        <v>16310</v>
      </c>
      <c r="AQ19" s="223">
        <f t="shared" si="37"/>
        <v>0.75077010620838502</v>
      </c>
      <c r="AR19" s="38">
        <f t="shared" si="38"/>
        <v>69799.09677419356</v>
      </c>
      <c r="AS19" s="197">
        <f t="shared" ref="AS19:AS36" si="47">SUM(AR19-AR18-AT19)</f>
        <v>-493</v>
      </c>
      <c r="AT19" s="340">
        <v>10000</v>
      </c>
      <c r="AU19" s="549">
        <v>0.60699999999999998</v>
      </c>
      <c r="AV19" s="485">
        <f t="shared" si="45"/>
        <v>0.60699999999999998</v>
      </c>
      <c r="AW19" s="279">
        <f>-SUM('B5'!AI18)</f>
        <v>-117</v>
      </c>
      <c r="AX19" s="279">
        <f t="shared" si="17"/>
        <v>-376</v>
      </c>
      <c r="AY19" s="37">
        <f t="shared" si="39"/>
        <v>-493</v>
      </c>
      <c r="AZ19" s="100">
        <f>ELEC!A17</f>
        <v>0</v>
      </c>
      <c r="BA19" s="118">
        <f>'General information '!D18</f>
        <v>19</v>
      </c>
      <c r="BB19" s="378">
        <f>SUM('General information '!E18)</f>
        <v>0.63</v>
      </c>
      <c r="BC19" s="3">
        <f t="shared" si="44"/>
        <v>1</v>
      </c>
      <c r="BD19" s="102">
        <v>19222</v>
      </c>
      <c r="BE19" s="14">
        <f>(305/1185)*ELEC!Q18</f>
        <v>1331.7046413499713</v>
      </c>
      <c r="BF19" s="14"/>
      <c r="BG19" s="14" t="e">
        <f>#REF!-BE19</f>
        <v>#REF!</v>
      </c>
      <c r="BH19" s="11"/>
      <c r="BI19">
        <v>6</v>
      </c>
      <c r="BJ19">
        <f t="shared" si="46"/>
        <v>-62.666666666666664</v>
      </c>
      <c r="BK19" s="538">
        <f>GEN!AF16</f>
        <v>0.35736111111115554</v>
      </c>
    </row>
    <row r="20" spans="1:64">
      <c r="A20" s="425">
        <f>ELEC!C18</f>
        <v>44545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227</v>
      </c>
      <c r="AA20" s="203">
        <f t="shared" si="30"/>
        <v>2270</v>
      </c>
      <c r="AB20" s="203">
        <f t="shared" si="31"/>
        <v>227</v>
      </c>
      <c r="AC20" s="203">
        <f t="shared" si="30"/>
        <v>2270</v>
      </c>
      <c r="AD20" s="203">
        <f t="shared" si="32"/>
        <v>227</v>
      </c>
      <c r="AE20" s="203">
        <f t="shared" si="11"/>
        <v>2270</v>
      </c>
      <c r="AF20" s="203">
        <f t="shared" si="33"/>
        <v>227</v>
      </c>
      <c r="AG20" s="203">
        <f t="shared" si="12"/>
        <v>2270</v>
      </c>
      <c r="AH20" s="203">
        <f t="shared" si="34"/>
        <v>227</v>
      </c>
      <c r="AI20" s="203">
        <f t="shared" si="13"/>
        <v>2270</v>
      </c>
      <c r="AJ20" s="203">
        <f t="shared" si="35"/>
        <v>227</v>
      </c>
      <c r="AK20" s="203">
        <f t="shared" si="14"/>
        <v>2270</v>
      </c>
      <c r="AL20" s="203">
        <f t="shared" si="36"/>
        <v>227</v>
      </c>
      <c r="AM20" s="203">
        <f t="shared" si="15"/>
        <v>2270</v>
      </c>
      <c r="AN20" s="35">
        <f t="shared" si="16"/>
        <v>0.81071428571428572</v>
      </c>
      <c r="AO20" s="36">
        <f t="shared" si="41"/>
        <v>15890</v>
      </c>
      <c r="AQ20" s="223">
        <f t="shared" si="37"/>
        <v>0.72843234203194218</v>
      </c>
      <c r="AR20" s="38">
        <f t="shared" si="38"/>
        <v>67722.354838709667</v>
      </c>
      <c r="AS20" s="197">
        <f t="shared" si="47"/>
        <v>-2076.741935483893</v>
      </c>
      <c r="AT20" s="340"/>
      <c r="AU20" s="549"/>
      <c r="AV20" s="485">
        <f t="shared" si="45"/>
        <v>0.60699999999999998</v>
      </c>
      <c r="AW20" s="279">
        <f>-SUM('B5'!AI19)</f>
        <v>-112</v>
      </c>
      <c r="AX20" s="279">
        <f t="shared" si="17"/>
        <v>-1964.741935483893</v>
      </c>
      <c r="AY20" s="37">
        <f t="shared" si="39"/>
        <v>-2076.741935483893</v>
      </c>
      <c r="AZ20" s="100">
        <f>ELEC!A18</f>
        <v>0</v>
      </c>
      <c r="BA20" s="118">
        <f>'General information '!D19</f>
        <v>18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-280.67741935484185</v>
      </c>
      <c r="BK20" s="538">
        <f>GEN!AF17</f>
        <v>0.32337499999994179</v>
      </c>
      <c r="BL20" s="203"/>
    </row>
    <row r="21" spans="1:64">
      <c r="A21" s="425">
        <f>ELEC!C19</f>
        <v>44546</v>
      </c>
      <c r="B21">
        <f>'B5'!B20</f>
        <v>219</v>
      </c>
      <c r="C21" s="203">
        <f t="shared" si="18"/>
        <v>4712.0322580645161</v>
      </c>
      <c r="D21">
        <f t="shared" si="19"/>
        <v>219</v>
      </c>
      <c r="E21" s="203">
        <f t="shared" si="18"/>
        <v>4712.0322580645161</v>
      </c>
      <c r="F21">
        <f t="shared" si="20"/>
        <v>219</v>
      </c>
      <c r="G21" s="203">
        <f t="shared" si="1"/>
        <v>4712.0322580645161</v>
      </c>
      <c r="H21" s="203">
        <f t="shared" si="21"/>
        <v>219</v>
      </c>
      <c r="I21" s="203">
        <f t="shared" si="2"/>
        <v>4712.0322580645161</v>
      </c>
      <c r="J21" s="203">
        <f t="shared" si="22"/>
        <v>219</v>
      </c>
      <c r="K21" s="203">
        <f t="shared" si="3"/>
        <v>4712.0322580645161</v>
      </c>
      <c r="L21" s="203">
        <f t="shared" si="23"/>
        <v>219</v>
      </c>
      <c r="M21" s="203">
        <f t="shared" si="4"/>
        <v>4712.0322580645161</v>
      </c>
      <c r="N21" s="203">
        <f t="shared" si="24"/>
        <v>219</v>
      </c>
      <c r="O21" s="203">
        <f t="shared" si="5"/>
        <v>4712.0322580645161</v>
      </c>
      <c r="P21" s="203">
        <f t="shared" si="25"/>
        <v>219</v>
      </c>
      <c r="Q21" s="203">
        <f t="shared" si="6"/>
        <v>4712.0322580645161</v>
      </c>
      <c r="R21" s="203">
        <f t="shared" si="26"/>
        <v>219</v>
      </c>
      <c r="S21" s="203">
        <f t="shared" si="7"/>
        <v>4712.0322580645161</v>
      </c>
      <c r="T21" s="203">
        <f t="shared" si="27"/>
        <v>219</v>
      </c>
      <c r="U21" s="203">
        <f t="shared" si="8"/>
        <v>4712.0322580645161</v>
      </c>
      <c r="V21" s="203">
        <f t="shared" si="28"/>
        <v>219</v>
      </c>
      <c r="W21" s="203">
        <f t="shared" si="9"/>
        <v>4712.0322580645161</v>
      </c>
      <c r="X21" s="35">
        <f t="shared" si="10"/>
        <v>0.70645161290322578</v>
      </c>
      <c r="Y21" s="36">
        <f t="shared" si="29"/>
        <v>51832.354838709674</v>
      </c>
      <c r="Z21" s="203">
        <f>'B5'!C20</f>
        <v>227</v>
      </c>
      <c r="AA21" s="203">
        <f t="shared" si="30"/>
        <v>2270</v>
      </c>
      <c r="AB21" s="203">
        <f t="shared" si="31"/>
        <v>227</v>
      </c>
      <c r="AC21" s="203">
        <f t="shared" si="30"/>
        <v>2270</v>
      </c>
      <c r="AD21" s="203">
        <f t="shared" si="32"/>
        <v>227</v>
      </c>
      <c r="AE21" s="203">
        <f t="shared" si="11"/>
        <v>2270</v>
      </c>
      <c r="AF21" s="203">
        <f t="shared" si="33"/>
        <v>227</v>
      </c>
      <c r="AG21" s="203">
        <f t="shared" si="12"/>
        <v>2270</v>
      </c>
      <c r="AH21" s="203">
        <f t="shared" si="34"/>
        <v>227</v>
      </c>
      <c r="AI21" s="203">
        <f t="shared" si="13"/>
        <v>2270</v>
      </c>
      <c r="AJ21" s="203">
        <f t="shared" si="35"/>
        <v>227</v>
      </c>
      <c r="AK21" s="203">
        <f t="shared" si="14"/>
        <v>2270</v>
      </c>
      <c r="AL21" s="203">
        <f t="shared" si="36"/>
        <v>227</v>
      </c>
      <c r="AM21" s="203">
        <f t="shared" si="15"/>
        <v>2270</v>
      </c>
      <c r="AN21" s="35">
        <f t="shared" si="16"/>
        <v>0.81071428571428572</v>
      </c>
      <c r="AO21" s="36">
        <f t="shared" si="41"/>
        <v>15890</v>
      </c>
      <c r="AQ21" s="223">
        <f t="shared" si="37"/>
        <v>0.72843234203194218</v>
      </c>
      <c r="AR21" s="38">
        <f t="shared" si="38"/>
        <v>67722.354838709667</v>
      </c>
      <c r="AS21" s="197">
        <f t="shared" si="47"/>
        <v>0</v>
      </c>
      <c r="AT21" s="340"/>
      <c r="AU21" s="549"/>
      <c r="AV21" s="485">
        <f t="shared" si="45"/>
        <v>0.60699999999999998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44547</v>
      </c>
      <c r="B22">
        <f>'B5'!B21</f>
        <v>219</v>
      </c>
      <c r="C22" s="203">
        <f t="shared" si="18"/>
        <v>4712.0322580645161</v>
      </c>
      <c r="D22">
        <f t="shared" si="19"/>
        <v>219</v>
      </c>
      <c r="E22" s="203">
        <f t="shared" si="18"/>
        <v>4712.0322580645161</v>
      </c>
      <c r="F22">
        <f t="shared" si="20"/>
        <v>219</v>
      </c>
      <c r="G22" s="203">
        <f t="shared" si="1"/>
        <v>4712.0322580645161</v>
      </c>
      <c r="H22" s="203">
        <f t="shared" si="21"/>
        <v>219</v>
      </c>
      <c r="I22" s="203">
        <f t="shared" si="2"/>
        <v>4712.0322580645161</v>
      </c>
      <c r="J22" s="203">
        <f t="shared" si="22"/>
        <v>219</v>
      </c>
      <c r="K22" s="203">
        <f t="shared" si="3"/>
        <v>4712.0322580645161</v>
      </c>
      <c r="L22" s="203">
        <f t="shared" si="23"/>
        <v>219</v>
      </c>
      <c r="M22" s="203">
        <f t="shared" si="4"/>
        <v>4712.0322580645161</v>
      </c>
      <c r="N22" s="203">
        <f t="shared" si="24"/>
        <v>219</v>
      </c>
      <c r="O22" s="203">
        <f t="shared" si="5"/>
        <v>4712.0322580645161</v>
      </c>
      <c r="P22" s="203">
        <f t="shared" si="25"/>
        <v>219</v>
      </c>
      <c r="Q22" s="203">
        <f t="shared" si="6"/>
        <v>4712.0322580645161</v>
      </c>
      <c r="R22" s="203">
        <f t="shared" si="26"/>
        <v>219</v>
      </c>
      <c r="S22" s="203">
        <f t="shared" si="7"/>
        <v>4712.0322580645161</v>
      </c>
      <c r="T22" s="203">
        <f t="shared" si="27"/>
        <v>219</v>
      </c>
      <c r="U22" s="203">
        <f t="shared" si="8"/>
        <v>4712.0322580645161</v>
      </c>
      <c r="V22" s="203">
        <f t="shared" si="28"/>
        <v>219</v>
      </c>
      <c r="W22" s="203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3">
        <f>'B5'!C21</f>
        <v>227</v>
      </c>
      <c r="AA22" s="203">
        <f t="shared" si="30"/>
        <v>2270</v>
      </c>
      <c r="AB22" s="203">
        <f t="shared" si="31"/>
        <v>227</v>
      </c>
      <c r="AC22" s="203">
        <f t="shared" si="30"/>
        <v>2270</v>
      </c>
      <c r="AD22" s="203">
        <f t="shared" si="32"/>
        <v>227</v>
      </c>
      <c r="AE22" s="203">
        <f t="shared" si="11"/>
        <v>2270</v>
      </c>
      <c r="AF22" s="203">
        <f t="shared" si="33"/>
        <v>227</v>
      </c>
      <c r="AG22" s="203">
        <f t="shared" si="12"/>
        <v>2270</v>
      </c>
      <c r="AH22" s="203">
        <f t="shared" si="34"/>
        <v>227</v>
      </c>
      <c r="AI22" s="203">
        <f t="shared" si="13"/>
        <v>2270</v>
      </c>
      <c r="AJ22" s="203">
        <f t="shared" si="35"/>
        <v>227</v>
      </c>
      <c r="AK22" s="203">
        <f t="shared" si="14"/>
        <v>2270</v>
      </c>
      <c r="AL22" s="203">
        <f t="shared" si="36"/>
        <v>227</v>
      </c>
      <c r="AM22" s="203">
        <f t="shared" si="15"/>
        <v>2270</v>
      </c>
      <c r="AN22" s="35">
        <f t="shared" si="16"/>
        <v>0.81071428571428572</v>
      </c>
      <c r="AO22" s="36">
        <f t="shared" si="41"/>
        <v>15890</v>
      </c>
      <c r="AQ22" s="223">
        <f t="shared" si="37"/>
        <v>0.72843234203194218</v>
      </c>
      <c r="AR22" s="38">
        <f t="shared" si="38"/>
        <v>67722.354838709667</v>
      </c>
      <c r="AS22" s="197">
        <f t="shared" si="47"/>
        <v>0</v>
      </c>
      <c r="AT22" s="340"/>
      <c r="AU22" s="549"/>
      <c r="AV22" s="485">
        <f t="shared" si="43"/>
        <v>0.60699999999999998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219</v>
      </c>
      <c r="C23" s="203">
        <f t="shared" si="18"/>
        <v>4712.0322580645161</v>
      </c>
      <c r="D23">
        <f t="shared" si="19"/>
        <v>219</v>
      </c>
      <c r="E23" s="203">
        <f t="shared" si="18"/>
        <v>4712.0322580645161</v>
      </c>
      <c r="F23">
        <f t="shared" si="20"/>
        <v>219</v>
      </c>
      <c r="G23" s="203">
        <f t="shared" si="1"/>
        <v>4712.0322580645161</v>
      </c>
      <c r="H23" s="203">
        <f t="shared" si="21"/>
        <v>219</v>
      </c>
      <c r="I23" s="203">
        <f t="shared" si="2"/>
        <v>4712.0322580645161</v>
      </c>
      <c r="J23" s="203">
        <f t="shared" si="22"/>
        <v>219</v>
      </c>
      <c r="K23" s="203">
        <f t="shared" si="3"/>
        <v>4712.0322580645161</v>
      </c>
      <c r="L23" s="203">
        <f t="shared" si="23"/>
        <v>219</v>
      </c>
      <c r="M23" s="203">
        <f t="shared" si="4"/>
        <v>4712.0322580645161</v>
      </c>
      <c r="N23" s="203">
        <f t="shared" si="24"/>
        <v>219</v>
      </c>
      <c r="O23" s="203">
        <f t="shared" si="5"/>
        <v>4712.0322580645161</v>
      </c>
      <c r="P23" s="203">
        <f t="shared" si="25"/>
        <v>219</v>
      </c>
      <c r="Q23" s="203">
        <f t="shared" si="6"/>
        <v>4712.0322580645161</v>
      </c>
      <c r="R23" s="203">
        <f t="shared" si="26"/>
        <v>219</v>
      </c>
      <c r="S23" s="203">
        <f t="shared" si="7"/>
        <v>4712.0322580645161</v>
      </c>
      <c r="T23" s="203">
        <f t="shared" si="27"/>
        <v>219</v>
      </c>
      <c r="U23" s="203">
        <f t="shared" si="8"/>
        <v>4712.0322580645161</v>
      </c>
      <c r="V23" s="203">
        <f t="shared" si="28"/>
        <v>219</v>
      </c>
      <c r="W23" s="203">
        <f t="shared" si="9"/>
        <v>4712.0322580645161</v>
      </c>
      <c r="X23" s="35">
        <f t="shared" si="10"/>
        <v>0.70645161290322578</v>
      </c>
      <c r="Y23" s="36">
        <f t="shared" si="29"/>
        <v>51832.354838709674</v>
      </c>
      <c r="Z23" s="203">
        <f>'B5'!C22</f>
        <v>227</v>
      </c>
      <c r="AA23" s="203">
        <f t="shared" si="30"/>
        <v>2270</v>
      </c>
      <c r="AB23" s="203">
        <f t="shared" si="31"/>
        <v>227</v>
      </c>
      <c r="AC23" s="203">
        <f t="shared" si="30"/>
        <v>2270</v>
      </c>
      <c r="AD23" s="203">
        <f t="shared" si="32"/>
        <v>227</v>
      </c>
      <c r="AE23" s="203">
        <f t="shared" si="11"/>
        <v>2270</v>
      </c>
      <c r="AF23" s="203">
        <f t="shared" si="33"/>
        <v>227</v>
      </c>
      <c r="AG23" s="203">
        <f t="shared" si="12"/>
        <v>2270</v>
      </c>
      <c r="AH23" s="203">
        <f t="shared" si="34"/>
        <v>227</v>
      </c>
      <c r="AI23" s="203">
        <f t="shared" si="13"/>
        <v>2270</v>
      </c>
      <c r="AJ23" s="203">
        <f t="shared" si="35"/>
        <v>227</v>
      </c>
      <c r="AK23" s="203">
        <f t="shared" si="14"/>
        <v>2270</v>
      </c>
      <c r="AL23" s="203">
        <f t="shared" si="36"/>
        <v>227</v>
      </c>
      <c r="AM23" s="203">
        <f t="shared" si="15"/>
        <v>2270</v>
      </c>
      <c r="AN23" s="35">
        <f t="shared" si="16"/>
        <v>0.81071428571428572</v>
      </c>
      <c r="AO23" s="36">
        <f t="shared" si="41"/>
        <v>15890</v>
      </c>
      <c r="AQ23" s="223">
        <f t="shared" si="37"/>
        <v>0.72843234203194218</v>
      </c>
      <c r="AR23" s="38">
        <f t="shared" si="38"/>
        <v>67722.354838709667</v>
      </c>
      <c r="AS23" s="197">
        <f t="shared" si="47"/>
        <v>0</v>
      </c>
      <c r="AT23" s="340"/>
      <c r="AU23" s="549"/>
      <c r="AV23" s="485">
        <f t="shared" si="43"/>
        <v>0.60699999999999998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227</v>
      </c>
      <c r="AA24" s="203">
        <f t="shared" si="30"/>
        <v>2270</v>
      </c>
      <c r="AB24" s="203">
        <f t="shared" si="31"/>
        <v>227</v>
      </c>
      <c r="AC24" s="203">
        <f t="shared" si="30"/>
        <v>2270</v>
      </c>
      <c r="AD24" s="203">
        <f t="shared" si="32"/>
        <v>227</v>
      </c>
      <c r="AE24" s="203">
        <f t="shared" si="11"/>
        <v>2270</v>
      </c>
      <c r="AF24" s="203">
        <f t="shared" si="33"/>
        <v>227</v>
      </c>
      <c r="AG24" s="203">
        <f t="shared" si="12"/>
        <v>2270</v>
      </c>
      <c r="AH24" s="203">
        <f t="shared" si="34"/>
        <v>227</v>
      </c>
      <c r="AI24" s="203">
        <f t="shared" si="13"/>
        <v>2270</v>
      </c>
      <c r="AJ24" s="203">
        <f t="shared" si="35"/>
        <v>227</v>
      </c>
      <c r="AK24" s="203">
        <f t="shared" si="14"/>
        <v>2270</v>
      </c>
      <c r="AL24" s="203">
        <f t="shared" si="36"/>
        <v>227</v>
      </c>
      <c r="AM24" s="203">
        <f t="shared" si="15"/>
        <v>2270</v>
      </c>
      <c r="AN24" s="35">
        <f t="shared" si="16"/>
        <v>0.81071428571428572</v>
      </c>
      <c r="AO24" s="36">
        <f t="shared" si="41"/>
        <v>15890</v>
      </c>
      <c r="AQ24" s="223">
        <f t="shared" si="37"/>
        <v>0.72843234203194218</v>
      </c>
      <c r="AR24" s="38">
        <f t="shared" si="38"/>
        <v>67722.354838709667</v>
      </c>
      <c r="AS24" s="197">
        <f t="shared" si="47"/>
        <v>0</v>
      </c>
      <c r="AT24" s="340"/>
      <c r="AU24" s="549"/>
      <c r="AV24" s="485">
        <f t="shared" si="43"/>
        <v>0.60699999999999998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44550</v>
      </c>
      <c r="B25">
        <f>'B5'!B24</f>
        <v>219</v>
      </c>
      <c r="C25" s="203">
        <f t="shared" si="18"/>
        <v>4712.0322580645161</v>
      </c>
      <c r="D25">
        <f t="shared" si="19"/>
        <v>219</v>
      </c>
      <c r="E25" s="203">
        <f t="shared" si="18"/>
        <v>4712.0322580645161</v>
      </c>
      <c r="F25">
        <f t="shared" si="20"/>
        <v>219</v>
      </c>
      <c r="G25" s="203">
        <f t="shared" si="1"/>
        <v>4712.0322580645161</v>
      </c>
      <c r="H25" s="203">
        <f t="shared" si="21"/>
        <v>219</v>
      </c>
      <c r="I25" s="203">
        <f t="shared" si="2"/>
        <v>4712.0322580645161</v>
      </c>
      <c r="J25" s="203">
        <f t="shared" si="22"/>
        <v>219</v>
      </c>
      <c r="K25" s="203">
        <f t="shared" si="3"/>
        <v>4712.0322580645161</v>
      </c>
      <c r="L25" s="203">
        <f t="shared" si="23"/>
        <v>219</v>
      </c>
      <c r="M25" s="203">
        <f t="shared" si="4"/>
        <v>4712.0322580645161</v>
      </c>
      <c r="N25" s="203">
        <f t="shared" si="24"/>
        <v>219</v>
      </c>
      <c r="O25" s="203">
        <f t="shared" si="5"/>
        <v>4712.0322580645161</v>
      </c>
      <c r="P25" s="203">
        <f t="shared" si="25"/>
        <v>219</v>
      </c>
      <c r="Q25" s="203">
        <f t="shared" si="6"/>
        <v>4712.0322580645161</v>
      </c>
      <c r="R25" s="203">
        <f t="shared" si="26"/>
        <v>219</v>
      </c>
      <c r="S25" s="203">
        <f t="shared" si="7"/>
        <v>4712.0322580645161</v>
      </c>
      <c r="T25" s="203">
        <f t="shared" si="27"/>
        <v>219</v>
      </c>
      <c r="U25" s="203">
        <f t="shared" si="8"/>
        <v>4712.0322580645161</v>
      </c>
      <c r="V25" s="203">
        <f t="shared" si="28"/>
        <v>219</v>
      </c>
      <c r="W25" s="203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3">
        <f>'B5'!C24</f>
        <v>227</v>
      </c>
      <c r="AA25" s="203">
        <f t="shared" si="30"/>
        <v>2270</v>
      </c>
      <c r="AB25" s="203">
        <f t="shared" si="31"/>
        <v>227</v>
      </c>
      <c r="AC25" s="203">
        <f t="shared" si="30"/>
        <v>2270</v>
      </c>
      <c r="AD25" s="203">
        <f t="shared" si="32"/>
        <v>227</v>
      </c>
      <c r="AE25" s="203">
        <f t="shared" si="11"/>
        <v>2270</v>
      </c>
      <c r="AF25" s="203">
        <f t="shared" si="33"/>
        <v>227</v>
      </c>
      <c r="AG25" s="203">
        <f t="shared" si="12"/>
        <v>2270</v>
      </c>
      <c r="AH25" s="203">
        <f t="shared" si="34"/>
        <v>227</v>
      </c>
      <c r="AI25" s="203">
        <f t="shared" si="13"/>
        <v>2270</v>
      </c>
      <c r="AJ25" s="203">
        <f t="shared" si="35"/>
        <v>227</v>
      </c>
      <c r="AK25" s="203">
        <f t="shared" si="14"/>
        <v>2270</v>
      </c>
      <c r="AL25" s="203">
        <f t="shared" si="36"/>
        <v>227</v>
      </c>
      <c r="AM25" s="203">
        <f t="shared" si="15"/>
        <v>2270</v>
      </c>
      <c r="AN25" s="35">
        <f t="shared" si="16"/>
        <v>0.81071428571428572</v>
      </c>
      <c r="AO25" s="36">
        <f t="shared" si="41"/>
        <v>15890</v>
      </c>
      <c r="AQ25" s="223">
        <f t="shared" si="37"/>
        <v>0.72843234203194218</v>
      </c>
      <c r="AR25" s="38">
        <f t="shared" si="38"/>
        <v>67722.354838709667</v>
      </c>
      <c r="AS25" s="197">
        <f t="shared" si="47"/>
        <v>0</v>
      </c>
      <c r="AT25" s="340"/>
      <c r="AU25" s="550"/>
      <c r="AV25" s="485">
        <f t="shared" si="43"/>
        <v>0.60699999999999998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44551</v>
      </c>
      <c r="B26">
        <f>'B5'!B25</f>
        <v>219</v>
      </c>
      <c r="C26" s="203">
        <f t="shared" si="18"/>
        <v>4712.0322580645161</v>
      </c>
      <c r="D26">
        <f t="shared" si="19"/>
        <v>219</v>
      </c>
      <c r="E26" s="203">
        <f t="shared" si="18"/>
        <v>4712.0322580645161</v>
      </c>
      <c r="F26">
        <f t="shared" si="20"/>
        <v>219</v>
      </c>
      <c r="G26" s="203">
        <f t="shared" si="1"/>
        <v>4712.0322580645161</v>
      </c>
      <c r="H26" s="203">
        <f t="shared" si="21"/>
        <v>219</v>
      </c>
      <c r="I26" s="203">
        <f t="shared" si="2"/>
        <v>4712.0322580645161</v>
      </c>
      <c r="J26" s="203">
        <f t="shared" si="22"/>
        <v>219</v>
      </c>
      <c r="K26" s="203">
        <f t="shared" si="3"/>
        <v>4712.0322580645161</v>
      </c>
      <c r="L26" s="203">
        <f t="shared" si="23"/>
        <v>219</v>
      </c>
      <c r="M26" s="203">
        <f t="shared" si="4"/>
        <v>4712.0322580645161</v>
      </c>
      <c r="N26" s="203">
        <f t="shared" si="24"/>
        <v>219</v>
      </c>
      <c r="O26" s="203">
        <f t="shared" si="5"/>
        <v>4712.0322580645161</v>
      </c>
      <c r="P26" s="203">
        <f t="shared" si="25"/>
        <v>219</v>
      </c>
      <c r="Q26" s="203">
        <f t="shared" si="6"/>
        <v>4712.0322580645161</v>
      </c>
      <c r="R26" s="203">
        <f t="shared" si="26"/>
        <v>219</v>
      </c>
      <c r="S26" s="203">
        <f t="shared" si="7"/>
        <v>4712.0322580645161</v>
      </c>
      <c r="T26" s="203">
        <f t="shared" si="27"/>
        <v>219</v>
      </c>
      <c r="U26" s="203">
        <f t="shared" si="8"/>
        <v>4712.0322580645161</v>
      </c>
      <c r="V26" s="203">
        <f t="shared" si="28"/>
        <v>219</v>
      </c>
      <c r="W26" s="203">
        <f t="shared" si="9"/>
        <v>4712.0322580645161</v>
      </c>
      <c r="X26" s="35">
        <f t="shared" si="10"/>
        <v>0.70645161290322578</v>
      </c>
      <c r="Y26" s="36">
        <f t="shared" si="29"/>
        <v>51832.354838709674</v>
      </c>
      <c r="Z26" s="203">
        <f>'B5'!C25</f>
        <v>227</v>
      </c>
      <c r="AA26" s="203">
        <f t="shared" si="30"/>
        <v>2270</v>
      </c>
      <c r="AB26" s="203">
        <f t="shared" si="31"/>
        <v>227</v>
      </c>
      <c r="AC26" s="203">
        <f t="shared" si="30"/>
        <v>2270</v>
      </c>
      <c r="AD26" s="203">
        <f t="shared" si="32"/>
        <v>227</v>
      </c>
      <c r="AE26" s="203">
        <f t="shared" si="11"/>
        <v>2270</v>
      </c>
      <c r="AF26" s="203">
        <f t="shared" si="33"/>
        <v>227</v>
      </c>
      <c r="AG26" s="203">
        <f t="shared" si="12"/>
        <v>2270</v>
      </c>
      <c r="AH26" s="203">
        <f t="shared" si="34"/>
        <v>227</v>
      </c>
      <c r="AI26" s="203">
        <f t="shared" si="13"/>
        <v>2270</v>
      </c>
      <c r="AJ26" s="203">
        <f t="shared" si="35"/>
        <v>227</v>
      </c>
      <c r="AK26" s="203">
        <f t="shared" si="14"/>
        <v>2270</v>
      </c>
      <c r="AL26" s="203">
        <f t="shared" si="36"/>
        <v>227</v>
      </c>
      <c r="AM26" s="203">
        <f t="shared" si="15"/>
        <v>2270</v>
      </c>
      <c r="AN26" s="35">
        <f t="shared" si="16"/>
        <v>0.81071428571428572</v>
      </c>
      <c r="AO26" s="36">
        <f t="shared" si="41"/>
        <v>15890</v>
      </c>
      <c r="AQ26" s="223">
        <f t="shared" si="37"/>
        <v>0.72843234203194218</v>
      </c>
      <c r="AR26" s="38">
        <f t="shared" si="38"/>
        <v>67722.354838709667</v>
      </c>
      <c r="AS26" s="197">
        <f t="shared" si="47"/>
        <v>0</v>
      </c>
      <c r="AT26" s="340"/>
      <c r="AU26" s="549"/>
      <c r="AV26" s="485">
        <f t="shared" si="43"/>
        <v>0.60699999999999998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44552</v>
      </c>
      <c r="B27">
        <f>'B5'!B26</f>
        <v>219</v>
      </c>
      <c r="C27" s="203">
        <f t="shared" si="18"/>
        <v>4712.0322580645161</v>
      </c>
      <c r="D27">
        <f t="shared" si="19"/>
        <v>219</v>
      </c>
      <c r="E27" s="203">
        <f t="shared" si="18"/>
        <v>4712.0322580645161</v>
      </c>
      <c r="F27">
        <f t="shared" si="20"/>
        <v>219</v>
      </c>
      <c r="G27" s="203">
        <f t="shared" si="1"/>
        <v>4712.0322580645161</v>
      </c>
      <c r="H27" s="203">
        <f t="shared" si="21"/>
        <v>219</v>
      </c>
      <c r="I27" s="203">
        <f t="shared" si="2"/>
        <v>4712.0322580645161</v>
      </c>
      <c r="J27" s="203">
        <f t="shared" si="22"/>
        <v>219</v>
      </c>
      <c r="K27" s="203">
        <f t="shared" si="3"/>
        <v>4712.0322580645161</v>
      </c>
      <c r="L27" s="203">
        <f t="shared" si="23"/>
        <v>219</v>
      </c>
      <c r="M27" s="203">
        <f t="shared" si="4"/>
        <v>4712.0322580645161</v>
      </c>
      <c r="N27" s="203">
        <f t="shared" si="24"/>
        <v>219</v>
      </c>
      <c r="O27" s="203">
        <f t="shared" si="5"/>
        <v>4712.0322580645161</v>
      </c>
      <c r="P27" s="203">
        <f t="shared" si="25"/>
        <v>219</v>
      </c>
      <c r="Q27" s="203">
        <f t="shared" si="6"/>
        <v>4712.0322580645161</v>
      </c>
      <c r="R27" s="203">
        <f t="shared" si="26"/>
        <v>219</v>
      </c>
      <c r="S27" s="203">
        <f t="shared" si="7"/>
        <v>4712.0322580645161</v>
      </c>
      <c r="T27" s="203">
        <f t="shared" si="27"/>
        <v>219</v>
      </c>
      <c r="U27" s="203">
        <f t="shared" si="8"/>
        <v>4712.0322580645161</v>
      </c>
      <c r="V27" s="203">
        <f t="shared" si="28"/>
        <v>219</v>
      </c>
      <c r="W27" s="203">
        <f t="shared" si="9"/>
        <v>4712.0322580645161</v>
      </c>
      <c r="X27" s="35">
        <f t="shared" si="10"/>
        <v>0.70645161290322578</v>
      </c>
      <c r="Y27" s="36">
        <f t="shared" si="29"/>
        <v>51832.354838709674</v>
      </c>
      <c r="Z27" s="203">
        <f>'B5'!C26</f>
        <v>227</v>
      </c>
      <c r="AA27" s="203">
        <f t="shared" si="30"/>
        <v>2270</v>
      </c>
      <c r="AB27" s="203">
        <f t="shared" si="31"/>
        <v>227</v>
      </c>
      <c r="AC27" s="203">
        <f t="shared" si="30"/>
        <v>2270</v>
      </c>
      <c r="AD27" s="203">
        <f t="shared" si="32"/>
        <v>227</v>
      </c>
      <c r="AE27" s="203">
        <f t="shared" si="11"/>
        <v>2270</v>
      </c>
      <c r="AF27" s="203">
        <f t="shared" si="33"/>
        <v>227</v>
      </c>
      <c r="AG27" s="203">
        <f t="shared" si="12"/>
        <v>2270</v>
      </c>
      <c r="AH27" s="203">
        <f t="shared" si="34"/>
        <v>227</v>
      </c>
      <c r="AI27" s="203">
        <f t="shared" si="13"/>
        <v>2270</v>
      </c>
      <c r="AJ27" s="203">
        <f t="shared" si="35"/>
        <v>227</v>
      </c>
      <c r="AK27" s="203">
        <f t="shared" si="14"/>
        <v>2270</v>
      </c>
      <c r="AL27" s="203">
        <f t="shared" si="36"/>
        <v>227</v>
      </c>
      <c r="AM27" s="203">
        <f t="shared" si="15"/>
        <v>2270</v>
      </c>
      <c r="AN27" s="35">
        <f t="shared" si="16"/>
        <v>0.81071428571428572</v>
      </c>
      <c r="AO27" s="36">
        <f t="shared" si="41"/>
        <v>15890</v>
      </c>
      <c r="AQ27" s="223">
        <f t="shared" si="37"/>
        <v>0.72843234203194218</v>
      </c>
      <c r="AR27" s="38">
        <f t="shared" si="38"/>
        <v>67722.354838709667</v>
      </c>
      <c r="AS27" s="197">
        <f t="shared" si="47"/>
        <v>0</v>
      </c>
      <c r="AT27" s="340"/>
      <c r="AU27" s="549"/>
      <c r="AV27" s="485">
        <f t="shared" si="43"/>
        <v>0.60699999999999998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219</v>
      </c>
      <c r="C28" s="203">
        <f t="shared" si="18"/>
        <v>4712.0322580645161</v>
      </c>
      <c r="D28">
        <f t="shared" si="19"/>
        <v>219</v>
      </c>
      <c r="E28" s="203">
        <f t="shared" si="18"/>
        <v>4712.0322580645161</v>
      </c>
      <c r="F28">
        <f t="shared" si="20"/>
        <v>219</v>
      </c>
      <c r="G28" s="203">
        <f t="shared" si="1"/>
        <v>4712.0322580645161</v>
      </c>
      <c r="H28" s="203">
        <f t="shared" si="21"/>
        <v>219</v>
      </c>
      <c r="I28" s="203">
        <f t="shared" si="2"/>
        <v>4712.0322580645161</v>
      </c>
      <c r="J28" s="203">
        <f t="shared" si="22"/>
        <v>219</v>
      </c>
      <c r="K28" s="203">
        <f t="shared" si="3"/>
        <v>4712.0322580645161</v>
      </c>
      <c r="L28" s="203">
        <f t="shared" si="23"/>
        <v>219</v>
      </c>
      <c r="M28" s="203">
        <f t="shared" si="4"/>
        <v>4712.0322580645161</v>
      </c>
      <c r="N28" s="203">
        <f t="shared" si="24"/>
        <v>219</v>
      </c>
      <c r="O28" s="203">
        <f t="shared" si="5"/>
        <v>4712.0322580645161</v>
      </c>
      <c r="P28" s="203">
        <f t="shared" si="25"/>
        <v>219</v>
      </c>
      <c r="Q28" s="203">
        <f t="shared" si="6"/>
        <v>4712.0322580645161</v>
      </c>
      <c r="R28" s="203">
        <f t="shared" si="26"/>
        <v>219</v>
      </c>
      <c r="S28" s="203">
        <f t="shared" si="7"/>
        <v>4712.0322580645161</v>
      </c>
      <c r="T28" s="203">
        <f t="shared" si="27"/>
        <v>219</v>
      </c>
      <c r="U28" s="203">
        <f t="shared" si="8"/>
        <v>4712.0322580645161</v>
      </c>
      <c r="V28" s="203">
        <f t="shared" si="28"/>
        <v>219</v>
      </c>
      <c r="W28" s="203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3">
        <f>'B5'!C27</f>
        <v>227</v>
      </c>
      <c r="AA28" s="203">
        <f t="shared" si="30"/>
        <v>2270</v>
      </c>
      <c r="AB28" s="203">
        <f t="shared" si="31"/>
        <v>227</v>
      </c>
      <c r="AC28" s="203">
        <f t="shared" si="30"/>
        <v>2270</v>
      </c>
      <c r="AD28" s="203">
        <f t="shared" si="32"/>
        <v>227</v>
      </c>
      <c r="AE28" s="203">
        <f t="shared" si="11"/>
        <v>2270</v>
      </c>
      <c r="AF28" s="203">
        <f t="shared" si="33"/>
        <v>227</v>
      </c>
      <c r="AG28" s="203">
        <f t="shared" si="12"/>
        <v>2270</v>
      </c>
      <c r="AH28" s="203">
        <f t="shared" si="34"/>
        <v>227</v>
      </c>
      <c r="AI28" s="203">
        <f t="shared" si="13"/>
        <v>2270</v>
      </c>
      <c r="AJ28" s="203">
        <f t="shared" si="35"/>
        <v>227</v>
      </c>
      <c r="AK28" s="203">
        <f t="shared" si="14"/>
        <v>2270</v>
      </c>
      <c r="AL28" s="203">
        <f t="shared" si="36"/>
        <v>227</v>
      </c>
      <c r="AM28" s="203">
        <f t="shared" si="15"/>
        <v>2270</v>
      </c>
      <c r="AN28" s="35">
        <f t="shared" si="16"/>
        <v>0.81071428571428572</v>
      </c>
      <c r="AO28" s="36">
        <f t="shared" si="41"/>
        <v>15890</v>
      </c>
      <c r="AQ28" s="223">
        <f t="shared" si="37"/>
        <v>0.72843234203194218</v>
      </c>
      <c r="AR28" s="38">
        <f t="shared" si="38"/>
        <v>67722.354838709667</v>
      </c>
      <c r="AS28" s="197">
        <f t="shared" si="47"/>
        <v>0</v>
      </c>
      <c r="AT28" s="340"/>
      <c r="AU28" s="550"/>
      <c r="AV28" s="485">
        <f t="shared" si="43"/>
        <v>0.60699999999999998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219</v>
      </c>
      <c r="C29" s="203">
        <f t="shared" si="18"/>
        <v>4712.0322580645161</v>
      </c>
      <c r="D29">
        <f t="shared" si="19"/>
        <v>219</v>
      </c>
      <c r="E29" s="203">
        <f t="shared" si="18"/>
        <v>4712.0322580645161</v>
      </c>
      <c r="F29">
        <f t="shared" si="20"/>
        <v>219</v>
      </c>
      <c r="G29" s="203">
        <f t="shared" si="1"/>
        <v>4712.0322580645161</v>
      </c>
      <c r="H29" s="203">
        <f t="shared" si="21"/>
        <v>219</v>
      </c>
      <c r="I29" s="203">
        <f t="shared" si="2"/>
        <v>4712.0322580645161</v>
      </c>
      <c r="J29" s="203">
        <f t="shared" si="22"/>
        <v>219</v>
      </c>
      <c r="K29" s="203">
        <f t="shared" si="3"/>
        <v>4712.0322580645161</v>
      </c>
      <c r="L29" s="203">
        <f t="shared" si="23"/>
        <v>219</v>
      </c>
      <c r="M29" s="203">
        <f t="shared" si="4"/>
        <v>4712.0322580645161</v>
      </c>
      <c r="N29" s="203">
        <f t="shared" si="24"/>
        <v>219</v>
      </c>
      <c r="O29" s="203">
        <f t="shared" si="5"/>
        <v>4712.0322580645161</v>
      </c>
      <c r="P29" s="203">
        <f t="shared" si="25"/>
        <v>219</v>
      </c>
      <c r="Q29" s="203">
        <f t="shared" si="6"/>
        <v>4712.0322580645161</v>
      </c>
      <c r="R29" s="203">
        <f t="shared" si="26"/>
        <v>219</v>
      </c>
      <c r="S29" s="203">
        <f t="shared" si="7"/>
        <v>4712.0322580645161</v>
      </c>
      <c r="T29" s="203">
        <f t="shared" si="27"/>
        <v>219</v>
      </c>
      <c r="U29" s="203">
        <f t="shared" si="8"/>
        <v>4712.0322580645161</v>
      </c>
      <c r="V29" s="203">
        <f t="shared" si="28"/>
        <v>219</v>
      </c>
      <c r="W29" s="203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3">
        <f>'B5'!C28</f>
        <v>227</v>
      </c>
      <c r="AA29" s="203">
        <f t="shared" si="30"/>
        <v>2270</v>
      </c>
      <c r="AB29" s="203">
        <f t="shared" si="31"/>
        <v>227</v>
      </c>
      <c r="AC29" s="203">
        <f t="shared" si="30"/>
        <v>2270</v>
      </c>
      <c r="AD29" s="203">
        <f t="shared" si="32"/>
        <v>227</v>
      </c>
      <c r="AE29" s="203">
        <f t="shared" si="11"/>
        <v>2270</v>
      </c>
      <c r="AF29" s="203">
        <f t="shared" si="33"/>
        <v>227</v>
      </c>
      <c r="AG29" s="203">
        <f t="shared" si="12"/>
        <v>2270</v>
      </c>
      <c r="AH29" s="203">
        <f t="shared" si="34"/>
        <v>227</v>
      </c>
      <c r="AI29" s="203">
        <f t="shared" si="13"/>
        <v>2270</v>
      </c>
      <c r="AJ29" s="203">
        <f t="shared" si="35"/>
        <v>227</v>
      </c>
      <c r="AK29" s="203">
        <f t="shared" si="14"/>
        <v>2270</v>
      </c>
      <c r="AL29" s="203">
        <f t="shared" si="36"/>
        <v>227</v>
      </c>
      <c r="AM29" s="203">
        <f t="shared" si="15"/>
        <v>2270</v>
      </c>
      <c r="AN29" s="35">
        <f t="shared" si="16"/>
        <v>0.81071428571428572</v>
      </c>
      <c r="AO29" s="36">
        <f t="shared" si="41"/>
        <v>15890</v>
      </c>
      <c r="AQ29" s="223">
        <f t="shared" si="37"/>
        <v>0.72843234203194218</v>
      </c>
      <c r="AR29" s="38">
        <f t="shared" si="38"/>
        <v>67722.354838709667</v>
      </c>
      <c r="AS29" s="197">
        <f>SUM(AR29-AR28-AT29)</f>
        <v>0</v>
      </c>
      <c r="AT29" s="340"/>
      <c r="AU29" s="550"/>
      <c r="AV29" s="485">
        <f t="shared" si="43"/>
        <v>0.60699999999999998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219</v>
      </c>
      <c r="C30" s="203">
        <f t="shared" si="18"/>
        <v>4712.0322580645161</v>
      </c>
      <c r="D30">
        <f t="shared" ref="D30:D35" si="48">SUM(B30)</f>
        <v>219</v>
      </c>
      <c r="E30" s="203">
        <f t="shared" si="18"/>
        <v>4712.0322580645161</v>
      </c>
      <c r="F30">
        <f t="shared" ref="F30:F35" si="49">SUM(D30)</f>
        <v>219</v>
      </c>
      <c r="G30" s="203">
        <f t="shared" si="1"/>
        <v>4712.0322580645161</v>
      </c>
      <c r="H30" s="203">
        <f t="shared" ref="H30:H35" si="50">SUM(F30)</f>
        <v>219</v>
      </c>
      <c r="I30" s="203">
        <f t="shared" si="2"/>
        <v>4712.0322580645161</v>
      </c>
      <c r="J30" s="203">
        <f t="shared" ref="J30:J35" si="51">SUM(H30)</f>
        <v>219</v>
      </c>
      <c r="K30" s="203">
        <f t="shared" si="3"/>
        <v>4712.0322580645161</v>
      </c>
      <c r="L30" s="203">
        <f t="shared" ref="L30:L35" si="52">SUM(J30)</f>
        <v>219</v>
      </c>
      <c r="M30" s="203">
        <f t="shared" si="4"/>
        <v>4712.0322580645161</v>
      </c>
      <c r="N30" s="203">
        <f t="shared" ref="N30:N35" si="53">SUM(L30)</f>
        <v>219</v>
      </c>
      <c r="O30" s="203">
        <f t="shared" si="5"/>
        <v>4712.0322580645161</v>
      </c>
      <c r="P30" s="203">
        <f t="shared" ref="P30:P35" si="54">SUM(N30)</f>
        <v>219</v>
      </c>
      <c r="Q30" s="203">
        <f t="shared" si="6"/>
        <v>4712.0322580645161</v>
      </c>
      <c r="R30" s="203">
        <f t="shared" ref="R30:R35" si="55">SUM(P30)</f>
        <v>219</v>
      </c>
      <c r="S30" s="203">
        <f t="shared" si="7"/>
        <v>4712.0322580645161</v>
      </c>
      <c r="T30" s="203">
        <f t="shared" ref="T30:T35" si="56">SUM(R30)</f>
        <v>219</v>
      </c>
      <c r="U30" s="203">
        <f t="shared" si="8"/>
        <v>4712.0322580645161</v>
      </c>
      <c r="V30" s="203">
        <f t="shared" ref="V30:V35" si="57">SUM(T30)</f>
        <v>219</v>
      </c>
      <c r="W30" s="203">
        <f t="shared" si="9"/>
        <v>4712.0322580645161</v>
      </c>
      <c r="X30" s="35">
        <f t="shared" ref="X30:X35" si="58">SUM(Y30/73370)</f>
        <v>0.70645161290322578</v>
      </c>
      <c r="Y30" s="36">
        <f t="shared" ref="Y30:Y35" si="59">SUM(C30+E30+G30+I30+K30+M30+O30+Q30+S30+U30+W30)</f>
        <v>51832.354838709674</v>
      </c>
      <c r="Z30" s="203">
        <f>'B5'!C29</f>
        <v>227</v>
      </c>
      <c r="AA30" s="203">
        <f t="shared" si="30"/>
        <v>2270</v>
      </c>
      <c r="AB30" s="203">
        <f t="shared" ref="AB30:AB35" si="60">SUM(Z30)</f>
        <v>227</v>
      </c>
      <c r="AC30" s="203">
        <f t="shared" si="30"/>
        <v>2270</v>
      </c>
      <c r="AD30" s="203">
        <f t="shared" ref="AD30:AD35" si="61">SUM(AB30)</f>
        <v>227</v>
      </c>
      <c r="AE30" s="203">
        <f t="shared" si="11"/>
        <v>2270</v>
      </c>
      <c r="AF30" s="203">
        <f t="shared" ref="AF30:AF35" si="62">SUM(AD30)</f>
        <v>227</v>
      </c>
      <c r="AG30" s="203">
        <f t="shared" si="12"/>
        <v>2270</v>
      </c>
      <c r="AH30" s="203">
        <f t="shared" ref="AH30:AH35" si="63">SUM(AF30)</f>
        <v>227</v>
      </c>
      <c r="AI30" s="203">
        <f t="shared" si="13"/>
        <v>2270</v>
      </c>
      <c r="AJ30" s="203">
        <f t="shared" ref="AJ30:AJ35" si="64">SUM(AH30)</f>
        <v>227</v>
      </c>
      <c r="AK30" s="203">
        <f t="shared" si="14"/>
        <v>2270</v>
      </c>
      <c r="AL30" s="203">
        <f t="shared" ref="AL30:AL35" si="65">SUM(AJ30)</f>
        <v>227</v>
      </c>
      <c r="AM30" s="203">
        <f t="shared" si="15"/>
        <v>2270</v>
      </c>
      <c r="AN30" s="35">
        <f t="shared" ref="AN30:AN35" si="66">SUM(AO30/19600)</f>
        <v>0.81071428571428572</v>
      </c>
      <c r="AO30" s="36">
        <f t="shared" ref="AO30:AO35" si="67">SUM(AA30+AC30+AE30+AG30+AI30+AK30+AM30)</f>
        <v>15890</v>
      </c>
      <c r="AQ30" s="223">
        <f t="shared" si="37"/>
        <v>0.72843234203194218</v>
      </c>
      <c r="AR30" s="38">
        <f t="shared" si="38"/>
        <v>67722.354838709667</v>
      </c>
      <c r="AS30" s="197">
        <f>SUM(AR30-AR29-AT30)</f>
        <v>0</v>
      </c>
      <c r="AT30" s="340"/>
      <c r="AU30" s="550"/>
      <c r="AV30" s="485">
        <f t="shared" si="43"/>
        <v>0.60699999999999998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219</v>
      </c>
      <c r="C31" s="203">
        <f t="shared" si="18"/>
        <v>4712.0322580645161</v>
      </c>
      <c r="D31">
        <f t="shared" si="48"/>
        <v>219</v>
      </c>
      <c r="E31" s="203">
        <f t="shared" si="18"/>
        <v>4712.0322580645161</v>
      </c>
      <c r="F31">
        <f t="shared" si="49"/>
        <v>219</v>
      </c>
      <c r="G31" s="203">
        <f t="shared" si="1"/>
        <v>4712.0322580645161</v>
      </c>
      <c r="H31" s="203">
        <f t="shared" si="50"/>
        <v>219</v>
      </c>
      <c r="I31" s="203">
        <f t="shared" si="2"/>
        <v>4712.0322580645161</v>
      </c>
      <c r="J31" s="203">
        <f t="shared" si="51"/>
        <v>219</v>
      </c>
      <c r="K31" s="203">
        <f t="shared" si="3"/>
        <v>4712.0322580645161</v>
      </c>
      <c r="L31" s="203">
        <f t="shared" si="52"/>
        <v>219</v>
      </c>
      <c r="M31" s="203">
        <f t="shared" si="4"/>
        <v>4712.0322580645161</v>
      </c>
      <c r="N31" s="203">
        <f t="shared" si="53"/>
        <v>219</v>
      </c>
      <c r="O31" s="203">
        <f t="shared" si="5"/>
        <v>4712.0322580645161</v>
      </c>
      <c r="P31" s="203">
        <f t="shared" si="54"/>
        <v>219</v>
      </c>
      <c r="Q31" s="203">
        <f t="shared" si="6"/>
        <v>4712.0322580645161</v>
      </c>
      <c r="R31" s="203">
        <f t="shared" si="55"/>
        <v>219</v>
      </c>
      <c r="S31" s="203">
        <f t="shared" si="7"/>
        <v>4712.0322580645161</v>
      </c>
      <c r="T31" s="203">
        <f t="shared" si="56"/>
        <v>219</v>
      </c>
      <c r="U31" s="203">
        <f t="shared" si="8"/>
        <v>4712.0322580645161</v>
      </c>
      <c r="V31" s="203">
        <f t="shared" si="57"/>
        <v>219</v>
      </c>
      <c r="W31" s="203">
        <f t="shared" si="9"/>
        <v>4712.0322580645161</v>
      </c>
      <c r="X31" s="35">
        <f t="shared" si="58"/>
        <v>0.70645161290322578</v>
      </c>
      <c r="Y31" s="36">
        <f t="shared" si="59"/>
        <v>51832.354838709674</v>
      </c>
      <c r="Z31" s="203">
        <f>'B5'!C30</f>
        <v>227</v>
      </c>
      <c r="AA31" s="203">
        <f t="shared" si="30"/>
        <v>2270</v>
      </c>
      <c r="AB31" s="203">
        <f t="shared" si="60"/>
        <v>227</v>
      </c>
      <c r="AC31" s="203">
        <f t="shared" si="30"/>
        <v>2270</v>
      </c>
      <c r="AD31" s="203">
        <f t="shared" si="61"/>
        <v>227</v>
      </c>
      <c r="AE31" s="203">
        <f t="shared" si="11"/>
        <v>2270</v>
      </c>
      <c r="AF31" s="203">
        <f t="shared" si="62"/>
        <v>227</v>
      </c>
      <c r="AG31" s="203">
        <f t="shared" si="12"/>
        <v>2270</v>
      </c>
      <c r="AH31" s="203">
        <f t="shared" si="63"/>
        <v>227</v>
      </c>
      <c r="AI31" s="203">
        <f t="shared" si="13"/>
        <v>2270</v>
      </c>
      <c r="AJ31" s="203">
        <f t="shared" si="64"/>
        <v>227</v>
      </c>
      <c r="AK31" s="203">
        <f t="shared" si="14"/>
        <v>2270</v>
      </c>
      <c r="AL31" s="203">
        <f t="shared" si="65"/>
        <v>227</v>
      </c>
      <c r="AM31" s="203">
        <f t="shared" si="15"/>
        <v>2270</v>
      </c>
      <c r="AN31" s="35">
        <f t="shared" si="66"/>
        <v>0.81071428571428572</v>
      </c>
      <c r="AO31" s="36">
        <f t="shared" si="67"/>
        <v>15890</v>
      </c>
      <c r="AQ31" s="223">
        <f t="shared" si="37"/>
        <v>0.72843234203194218</v>
      </c>
      <c r="AR31" s="38">
        <f t="shared" si="38"/>
        <v>67722.354838709667</v>
      </c>
      <c r="AS31" s="197">
        <f t="shared" si="47"/>
        <v>0</v>
      </c>
      <c r="AT31" s="340"/>
      <c r="AU31" s="575"/>
      <c r="AV31" s="485">
        <f t="shared" si="43"/>
        <v>0.60699999999999998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219</v>
      </c>
      <c r="C32" s="203">
        <f t="shared" si="18"/>
        <v>4712.0322580645161</v>
      </c>
      <c r="D32">
        <f t="shared" si="48"/>
        <v>219</v>
      </c>
      <c r="E32" s="203">
        <f t="shared" si="18"/>
        <v>4712.0322580645161</v>
      </c>
      <c r="F32">
        <f t="shared" si="49"/>
        <v>219</v>
      </c>
      <c r="G32" s="203">
        <f t="shared" si="1"/>
        <v>4712.0322580645161</v>
      </c>
      <c r="H32" s="203">
        <f t="shared" si="50"/>
        <v>219</v>
      </c>
      <c r="I32" s="203">
        <f t="shared" si="2"/>
        <v>4712.0322580645161</v>
      </c>
      <c r="J32" s="203">
        <f t="shared" si="51"/>
        <v>219</v>
      </c>
      <c r="K32" s="203">
        <f t="shared" si="3"/>
        <v>4712.0322580645161</v>
      </c>
      <c r="L32" s="203">
        <f t="shared" si="52"/>
        <v>219</v>
      </c>
      <c r="M32" s="203">
        <f t="shared" si="4"/>
        <v>4712.0322580645161</v>
      </c>
      <c r="N32" s="203">
        <f t="shared" si="53"/>
        <v>219</v>
      </c>
      <c r="O32" s="203">
        <f t="shared" si="5"/>
        <v>4712.0322580645161</v>
      </c>
      <c r="P32" s="203">
        <f t="shared" si="54"/>
        <v>219</v>
      </c>
      <c r="Q32" s="203">
        <f t="shared" si="6"/>
        <v>4712.0322580645161</v>
      </c>
      <c r="R32" s="203">
        <f t="shared" si="55"/>
        <v>219</v>
      </c>
      <c r="S32" s="203">
        <f t="shared" si="7"/>
        <v>4712.0322580645161</v>
      </c>
      <c r="T32" s="203">
        <f t="shared" si="56"/>
        <v>219</v>
      </c>
      <c r="U32" s="203">
        <f t="shared" si="8"/>
        <v>4712.0322580645161</v>
      </c>
      <c r="V32" s="203">
        <f t="shared" si="57"/>
        <v>219</v>
      </c>
      <c r="W32" s="203">
        <f t="shared" si="9"/>
        <v>4712.0322580645161</v>
      </c>
      <c r="X32" s="35">
        <f t="shared" si="58"/>
        <v>0.70645161290322578</v>
      </c>
      <c r="Y32" s="36">
        <f t="shared" si="59"/>
        <v>51832.354838709674</v>
      </c>
      <c r="Z32" s="203">
        <f>'B5'!C31</f>
        <v>227</v>
      </c>
      <c r="AA32" s="203">
        <f t="shared" si="30"/>
        <v>2270</v>
      </c>
      <c r="AB32" s="203">
        <f t="shared" si="60"/>
        <v>227</v>
      </c>
      <c r="AC32" s="203">
        <f t="shared" si="30"/>
        <v>2270</v>
      </c>
      <c r="AD32" s="203">
        <f t="shared" si="61"/>
        <v>227</v>
      </c>
      <c r="AE32" s="203">
        <f t="shared" si="11"/>
        <v>2270</v>
      </c>
      <c r="AF32" s="203">
        <f t="shared" si="62"/>
        <v>227</v>
      </c>
      <c r="AG32" s="203">
        <f t="shared" si="12"/>
        <v>2270</v>
      </c>
      <c r="AH32" s="203">
        <f t="shared" si="63"/>
        <v>227</v>
      </c>
      <c r="AI32" s="203">
        <f t="shared" si="13"/>
        <v>2270</v>
      </c>
      <c r="AJ32" s="203">
        <f t="shared" si="64"/>
        <v>227</v>
      </c>
      <c r="AK32" s="203">
        <f t="shared" si="14"/>
        <v>2270</v>
      </c>
      <c r="AL32" s="203">
        <f t="shared" si="65"/>
        <v>227</v>
      </c>
      <c r="AM32" s="203">
        <f t="shared" si="15"/>
        <v>2270</v>
      </c>
      <c r="AN32" s="35">
        <f t="shared" si="66"/>
        <v>0.81071428571428572</v>
      </c>
      <c r="AO32" s="36">
        <f t="shared" si="67"/>
        <v>15890</v>
      </c>
      <c r="AQ32" s="223">
        <f t="shared" si="37"/>
        <v>0.72843234203194218</v>
      </c>
      <c r="AR32" s="38">
        <f t="shared" si="38"/>
        <v>67722.354838709667</v>
      </c>
      <c r="AS32" s="197">
        <f t="shared" si="47"/>
        <v>0</v>
      </c>
      <c r="AT32" s="340"/>
      <c r="AU32" s="549"/>
      <c r="AV32" s="485">
        <f>IF(AT32&gt;0,AU32,AV31)</f>
        <v>0.60699999999999998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219</v>
      </c>
      <c r="C33" s="203">
        <f t="shared" si="18"/>
        <v>4712.0322580645161</v>
      </c>
      <c r="D33">
        <f t="shared" si="48"/>
        <v>219</v>
      </c>
      <c r="E33" s="203">
        <f t="shared" si="18"/>
        <v>4712.0322580645161</v>
      </c>
      <c r="F33">
        <f t="shared" si="49"/>
        <v>219</v>
      </c>
      <c r="G33" s="203">
        <f t="shared" si="1"/>
        <v>4712.0322580645161</v>
      </c>
      <c r="H33" s="203">
        <f t="shared" si="50"/>
        <v>219</v>
      </c>
      <c r="I33" s="203">
        <f t="shared" si="2"/>
        <v>4712.0322580645161</v>
      </c>
      <c r="J33" s="203">
        <f t="shared" si="51"/>
        <v>219</v>
      </c>
      <c r="K33" s="203">
        <f t="shared" si="3"/>
        <v>4712.0322580645161</v>
      </c>
      <c r="L33" s="203">
        <f t="shared" si="52"/>
        <v>219</v>
      </c>
      <c r="M33" s="203">
        <f t="shared" si="4"/>
        <v>4712.0322580645161</v>
      </c>
      <c r="N33" s="203">
        <f t="shared" si="53"/>
        <v>219</v>
      </c>
      <c r="O33" s="203">
        <f t="shared" si="5"/>
        <v>4712.0322580645161</v>
      </c>
      <c r="P33" s="203">
        <f t="shared" si="54"/>
        <v>219</v>
      </c>
      <c r="Q33" s="203">
        <f t="shared" si="6"/>
        <v>4712.0322580645161</v>
      </c>
      <c r="R33" s="203">
        <f t="shared" si="55"/>
        <v>219</v>
      </c>
      <c r="S33" s="203">
        <f t="shared" si="7"/>
        <v>4712.0322580645161</v>
      </c>
      <c r="T33" s="203">
        <f t="shared" si="56"/>
        <v>219</v>
      </c>
      <c r="U33" s="203">
        <f t="shared" si="8"/>
        <v>4712.0322580645161</v>
      </c>
      <c r="V33" s="203">
        <f t="shared" si="57"/>
        <v>219</v>
      </c>
      <c r="W33" s="203">
        <f t="shared" si="9"/>
        <v>4712.0322580645161</v>
      </c>
      <c r="X33" s="35">
        <f t="shared" si="58"/>
        <v>0.70645161290322578</v>
      </c>
      <c r="Y33" s="36">
        <f t="shared" si="59"/>
        <v>51832.354838709674</v>
      </c>
      <c r="Z33" s="203">
        <f>'B5'!C32</f>
        <v>227</v>
      </c>
      <c r="AA33" s="203">
        <f t="shared" si="30"/>
        <v>2270</v>
      </c>
      <c r="AB33" s="203">
        <f t="shared" si="60"/>
        <v>227</v>
      </c>
      <c r="AC33" s="203">
        <f t="shared" si="30"/>
        <v>2270</v>
      </c>
      <c r="AD33" s="203">
        <f t="shared" si="61"/>
        <v>227</v>
      </c>
      <c r="AE33" s="203">
        <f t="shared" si="11"/>
        <v>2270</v>
      </c>
      <c r="AF33" s="203">
        <f t="shared" si="62"/>
        <v>227</v>
      </c>
      <c r="AG33" s="203">
        <f t="shared" si="12"/>
        <v>2270</v>
      </c>
      <c r="AH33" s="203">
        <f t="shared" si="63"/>
        <v>227</v>
      </c>
      <c r="AI33" s="203">
        <f t="shared" si="13"/>
        <v>2270</v>
      </c>
      <c r="AJ33" s="203">
        <f t="shared" si="64"/>
        <v>227</v>
      </c>
      <c r="AK33" s="203">
        <f t="shared" si="14"/>
        <v>2270</v>
      </c>
      <c r="AL33" s="203">
        <f t="shared" si="65"/>
        <v>227</v>
      </c>
      <c r="AM33" s="203">
        <f t="shared" si="15"/>
        <v>2270</v>
      </c>
      <c r="AN33" s="35">
        <f t="shared" si="66"/>
        <v>0.81071428571428572</v>
      </c>
      <c r="AO33" s="36">
        <f t="shared" si="67"/>
        <v>15890</v>
      </c>
      <c r="AQ33" s="223">
        <f t="shared" si="37"/>
        <v>0.72843234203194218</v>
      </c>
      <c r="AR33" s="38">
        <f t="shared" si="38"/>
        <v>67722.354838709667</v>
      </c>
      <c r="AS33" s="197">
        <f>SUM(AR33-AR32-AT33)</f>
        <v>0</v>
      </c>
      <c r="AT33" s="340"/>
      <c r="AU33" s="549"/>
      <c r="AV33" s="485">
        <f>IF(AT33&gt;0,AU33,AV32)</f>
        <v>0.60699999999999998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219</v>
      </c>
      <c r="C34" s="203">
        <f>B34*$B$4</f>
        <v>4712.0322580645161</v>
      </c>
      <c r="D34">
        <f t="shared" si="48"/>
        <v>219</v>
      </c>
      <c r="E34" s="203">
        <f>D34*$B$4</f>
        <v>4712.0322580645161</v>
      </c>
      <c r="F34">
        <f t="shared" si="49"/>
        <v>219</v>
      </c>
      <c r="G34" s="203">
        <f>F34*$B$4</f>
        <v>4712.0322580645161</v>
      </c>
      <c r="H34" s="203">
        <f t="shared" si="50"/>
        <v>219</v>
      </c>
      <c r="I34" s="203">
        <f>H34*$B$4</f>
        <v>4712.0322580645161</v>
      </c>
      <c r="J34" s="203">
        <f t="shared" si="51"/>
        <v>219</v>
      </c>
      <c r="K34" s="203">
        <f>J34*$B$4</f>
        <v>4712.0322580645161</v>
      </c>
      <c r="L34" s="203">
        <f t="shared" si="52"/>
        <v>219</v>
      </c>
      <c r="M34" s="203">
        <f>L34*$B$4</f>
        <v>4712.0322580645161</v>
      </c>
      <c r="N34" s="203">
        <f t="shared" si="53"/>
        <v>219</v>
      </c>
      <c r="O34" s="203">
        <f>N34*$B$4</f>
        <v>4712.0322580645161</v>
      </c>
      <c r="P34" s="203">
        <f t="shared" si="54"/>
        <v>219</v>
      </c>
      <c r="Q34" s="203">
        <f>P34*$B$4</f>
        <v>4712.0322580645161</v>
      </c>
      <c r="R34" s="203">
        <f t="shared" si="55"/>
        <v>219</v>
      </c>
      <c r="S34" s="203">
        <f>R34*$B$4</f>
        <v>4712.0322580645161</v>
      </c>
      <c r="T34" s="203">
        <f t="shared" si="56"/>
        <v>219</v>
      </c>
      <c r="U34" s="203">
        <f>T34*$B$4</f>
        <v>4712.0322580645161</v>
      </c>
      <c r="V34" s="203">
        <f t="shared" si="57"/>
        <v>219</v>
      </c>
      <c r="W34" s="203">
        <f>V34*$B$4</f>
        <v>4712.0322580645161</v>
      </c>
      <c r="X34" s="35">
        <f t="shared" si="58"/>
        <v>0.70645161290322578</v>
      </c>
      <c r="Y34" s="36">
        <f t="shared" si="59"/>
        <v>51832.354838709674</v>
      </c>
      <c r="Z34" s="203">
        <f>'B5'!C33</f>
        <v>227</v>
      </c>
      <c r="AA34" s="203">
        <f>SUM(Z34*$Z$4)</f>
        <v>2270</v>
      </c>
      <c r="AB34" s="203">
        <f t="shared" si="60"/>
        <v>227</v>
      </c>
      <c r="AC34" s="203">
        <f>SUM(AB34*$Z$4)</f>
        <v>2270</v>
      </c>
      <c r="AD34" s="203">
        <f t="shared" si="61"/>
        <v>227</v>
      </c>
      <c r="AE34" s="203">
        <f>SUM(AD34*$Z$4)</f>
        <v>2270</v>
      </c>
      <c r="AF34" s="203">
        <f t="shared" si="62"/>
        <v>227</v>
      </c>
      <c r="AG34" s="203">
        <f>SUM(AF34*$Z$4)</f>
        <v>2270</v>
      </c>
      <c r="AH34" s="203">
        <f t="shared" si="63"/>
        <v>227</v>
      </c>
      <c r="AI34" s="203">
        <f>SUM(AH34*$Z$4)</f>
        <v>2270</v>
      </c>
      <c r="AJ34" s="203">
        <f t="shared" si="64"/>
        <v>227</v>
      </c>
      <c r="AK34" s="203">
        <f>SUM(AJ34*$Z$4)</f>
        <v>2270</v>
      </c>
      <c r="AL34" s="203">
        <f t="shared" si="65"/>
        <v>227</v>
      </c>
      <c r="AM34" s="203">
        <f>SUM(AL34*$Z$4)</f>
        <v>2270</v>
      </c>
      <c r="AN34" s="35">
        <f t="shared" si="66"/>
        <v>0.81071428571428572</v>
      </c>
      <c r="AO34" s="36">
        <f t="shared" si="67"/>
        <v>15890</v>
      </c>
      <c r="AQ34" s="223">
        <f>SUM(AR34/92970)</f>
        <v>0.72843234203194218</v>
      </c>
      <c r="AR34" s="38">
        <f t="shared" si="38"/>
        <v>67722.354838709667</v>
      </c>
      <c r="AS34" s="197">
        <f t="shared" si="47"/>
        <v>0</v>
      </c>
      <c r="AT34" s="340"/>
      <c r="AU34" s="549"/>
      <c r="AV34" s="485">
        <f>IF(AT34&gt;0,AU34,AV33)</f>
        <v>0.60699999999999998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219</v>
      </c>
      <c r="C35" s="203">
        <f>B35*$B$4</f>
        <v>4712.0322580645161</v>
      </c>
      <c r="D35">
        <f t="shared" si="48"/>
        <v>219</v>
      </c>
      <c r="E35" s="203">
        <f>D35*$B$4</f>
        <v>4712.0322580645161</v>
      </c>
      <c r="F35">
        <f t="shared" si="49"/>
        <v>219</v>
      </c>
      <c r="G35" s="203">
        <f>F35*$B$4</f>
        <v>4712.0322580645161</v>
      </c>
      <c r="H35" s="203">
        <f t="shared" si="50"/>
        <v>219</v>
      </c>
      <c r="I35" s="203">
        <f>H35*$B$4</f>
        <v>4712.0322580645161</v>
      </c>
      <c r="J35" s="203">
        <f t="shared" si="51"/>
        <v>219</v>
      </c>
      <c r="K35" s="203">
        <f>J35*$B$4</f>
        <v>4712.0322580645161</v>
      </c>
      <c r="L35" s="203">
        <f t="shared" si="52"/>
        <v>219</v>
      </c>
      <c r="M35" s="203">
        <f>L35*$B$4</f>
        <v>4712.0322580645161</v>
      </c>
      <c r="N35" s="203">
        <f t="shared" si="53"/>
        <v>219</v>
      </c>
      <c r="O35" s="203">
        <f>N35*$B$4</f>
        <v>4712.0322580645161</v>
      </c>
      <c r="P35" s="203">
        <f t="shared" si="54"/>
        <v>219</v>
      </c>
      <c r="Q35" s="203">
        <f>P35*$B$4</f>
        <v>4712.0322580645161</v>
      </c>
      <c r="R35" s="203">
        <f t="shared" si="55"/>
        <v>219</v>
      </c>
      <c r="S35" s="203">
        <f>R35*$B$4</f>
        <v>4712.0322580645161</v>
      </c>
      <c r="T35" s="203">
        <f t="shared" si="56"/>
        <v>219</v>
      </c>
      <c r="U35" s="203">
        <f>T35*$B$4</f>
        <v>4712.0322580645161</v>
      </c>
      <c r="V35" s="203">
        <f t="shared" si="57"/>
        <v>219</v>
      </c>
      <c r="W35" s="203">
        <f>V35*$B$4</f>
        <v>4712.0322580645161</v>
      </c>
      <c r="X35" s="35">
        <f t="shared" si="58"/>
        <v>0.70645161290322578</v>
      </c>
      <c r="Y35" s="36">
        <f t="shared" si="59"/>
        <v>51832.354838709674</v>
      </c>
      <c r="Z35" s="203">
        <f>'B5'!C34</f>
        <v>227</v>
      </c>
      <c r="AA35" s="203">
        <f>SUM(Z35*$Z$4)</f>
        <v>2270</v>
      </c>
      <c r="AB35" s="203">
        <f t="shared" si="60"/>
        <v>227</v>
      </c>
      <c r="AC35" s="203">
        <f>SUM(AB35*$Z$4)</f>
        <v>2270</v>
      </c>
      <c r="AD35" s="203">
        <f t="shared" si="61"/>
        <v>227</v>
      </c>
      <c r="AE35" s="203">
        <f>SUM(AD35*$Z$4)</f>
        <v>2270</v>
      </c>
      <c r="AF35" s="203">
        <f t="shared" si="62"/>
        <v>227</v>
      </c>
      <c r="AG35" s="203">
        <f>SUM(AF35*$Z$4)</f>
        <v>2270</v>
      </c>
      <c r="AH35" s="203">
        <f t="shared" si="63"/>
        <v>227</v>
      </c>
      <c r="AI35" s="203">
        <f>SUM(AH35*$Z$4)</f>
        <v>2270</v>
      </c>
      <c r="AJ35" s="203">
        <f t="shared" si="64"/>
        <v>227</v>
      </c>
      <c r="AK35" s="203">
        <f>SUM(AJ35*$Z$4)</f>
        <v>2270</v>
      </c>
      <c r="AL35" s="203">
        <f t="shared" si="65"/>
        <v>227</v>
      </c>
      <c r="AM35" s="203">
        <f>SUM(AL35*$Z$4)</f>
        <v>2270</v>
      </c>
      <c r="AN35" s="35">
        <f t="shared" si="66"/>
        <v>0.81071428571428572</v>
      </c>
      <c r="AO35" s="36">
        <f t="shared" si="67"/>
        <v>15890</v>
      </c>
      <c r="AQ35" s="223">
        <f>SUM(AR35/92970)</f>
        <v>0.72843234203194218</v>
      </c>
      <c r="AR35" s="38">
        <f t="shared" si="38"/>
        <v>67722.354838709667</v>
      </c>
      <c r="AS35" s="197">
        <f t="shared" si="47"/>
        <v>0</v>
      </c>
      <c r="AT35" s="340"/>
      <c r="AU35" s="549"/>
      <c r="AV35" s="539">
        <f>IF(AT35&gt;0,AU35,AV34)</f>
        <v>0.60699999999999998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219</v>
      </c>
      <c r="C36" s="203">
        <f>B36*$B$4</f>
        <v>4712.0322580645161</v>
      </c>
      <c r="D36">
        <f t="shared" ref="D36" si="68">SUM(B36)</f>
        <v>219</v>
      </c>
      <c r="E36" s="203">
        <f>D36*$B$4</f>
        <v>4712.0322580645161</v>
      </c>
      <c r="F36">
        <f t="shared" ref="F36" si="69">SUM(D36)</f>
        <v>219</v>
      </c>
      <c r="G36" s="203">
        <f>F36*$B$4</f>
        <v>4712.0322580645161</v>
      </c>
      <c r="H36" s="203">
        <f t="shared" ref="H36" si="70">SUM(F36)</f>
        <v>219</v>
      </c>
      <c r="I36" s="203">
        <f>H36*$B$4</f>
        <v>4712.0322580645161</v>
      </c>
      <c r="J36" s="203">
        <f t="shared" ref="J36" si="71">SUM(H36)</f>
        <v>219</v>
      </c>
      <c r="K36" s="203">
        <f>J36*$B$4</f>
        <v>4712.0322580645161</v>
      </c>
      <c r="L36" s="203">
        <f t="shared" ref="L36" si="72">SUM(J36)</f>
        <v>219</v>
      </c>
      <c r="M36" s="203">
        <f>L36*$B$4</f>
        <v>4712.0322580645161</v>
      </c>
      <c r="N36" s="203">
        <f t="shared" ref="N36" si="73">SUM(L36)</f>
        <v>219</v>
      </c>
      <c r="O36" s="203">
        <f>N36*$B$4</f>
        <v>4712.0322580645161</v>
      </c>
      <c r="P36" s="203">
        <f t="shared" ref="P36" si="74">SUM(N36)</f>
        <v>219</v>
      </c>
      <c r="Q36" s="203">
        <f>P36*$B$4</f>
        <v>4712.0322580645161</v>
      </c>
      <c r="R36" s="203">
        <f t="shared" ref="R36" si="75">SUM(P36)</f>
        <v>219</v>
      </c>
      <c r="S36" s="203">
        <f>R36*$B$4</f>
        <v>4712.0322580645161</v>
      </c>
      <c r="T36" s="203">
        <f t="shared" ref="T36" si="76">SUM(R36)</f>
        <v>219</v>
      </c>
      <c r="U36" s="203">
        <f>T36*$B$4</f>
        <v>4712.0322580645161</v>
      </c>
      <c r="V36" s="203">
        <f t="shared" ref="V36" si="77">SUM(T36)</f>
        <v>219</v>
      </c>
      <c r="W36" s="203">
        <f>V36*$B$4</f>
        <v>4712.0322580645161</v>
      </c>
      <c r="X36" s="35">
        <f t="shared" ref="X36" si="78">SUM(Y36/73370)</f>
        <v>0.70645161290322578</v>
      </c>
      <c r="Y36" s="36">
        <f t="shared" ref="Y36" si="79">SUM(C36+E36+G36+I36+K36+M36+O36+Q36+S36+U36+W36)</f>
        <v>51832.354838709674</v>
      </c>
      <c r="Z36" s="203">
        <f>'B5'!C35</f>
        <v>227</v>
      </c>
      <c r="AA36" s="203">
        <f>SUM(Z36*$Z$4)</f>
        <v>2270</v>
      </c>
      <c r="AB36" s="203">
        <f t="shared" ref="AB36" si="80">SUM(Z36)</f>
        <v>227</v>
      </c>
      <c r="AC36" s="203">
        <f>SUM(AB36*$Z$4)</f>
        <v>2270</v>
      </c>
      <c r="AD36" s="203">
        <f t="shared" ref="AD36" si="81">SUM(AB36)</f>
        <v>227</v>
      </c>
      <c r="AE36" s="203">
        <f>SUM(AD36*$Z$4)</f>
        <v>2270</v>
      </c>
      <c r="AF36" s="203">
        <f t="shared" ref="AF36" si="82">SUM(AD36)</f>
        <v>227</v>
      </c>
      <c r="AG36" s="203">
        <f>SUM(AF36*$Z$4)</f>
        <v>2270</v>
      </c>
      <c r="AH36" s="203">
        <f t="shared" ref="AH36" si="83">SUM(AF36)</f>
        <v>227</v>
      </c>
      <c r="AI36" s="203">
        <f>SUM(AH36*$Z$4)</f>
        <v>2270</v>
      </c>
      <c r="AJ36" s="203">
        <f t="shared" ref="AJ36" si="84">SUM(AH36)</f>
        <v>227</v>
      </c>
      <c r="AK36" s="203">
        <f>SUM(AJ36*$Z$4)</f>
        <v>2270</v>
      </c>
      <c r="AL36" s="203">
        <f t="shared" ref="AL36" si="85">SUM(AJ36)</f>
        <v>227</v>
      </c>
      <c r="AM36" s="203">
        <f>SUM(AL36*$Z$4)</f>
        <v>2270</v>
      </c>
      <c r="AN36" s="35">
        <f t="shared" ref="AN36" si="86">SUM(AO36/19600)</f>
        <v>0.81071428571428572</v>
      </c>
      <c r="AO36" s="36">
        <f t="shared" ref="AO36" si="87">SUM(AA36+AC36+AE36+AG36+AI36+AK36+AM36)</f>
        <v>15890</v>
      </c>
      <c r="AQ36" s="223">
        <f>SUM(AR36/92970)</f>
        <v>0.72843234203194218</v>
      </c>
      <c r="AR36" s="38">
        <f t="shared" si="38"/>
        <v>67722.354838709667</v>
      </c>
      <c r="AS36" s="197">
        <f t="shared" si="47"/>
        <v>0</v>
      </c>
      <c r="AT36" s="340"/>
      <c r="AU36" s="549"/>
      <c r="AV36" s="539">
        <f>IF(AT36&gt;0,AU36,AV35)</f>
        <v>0.60699999999999998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20000</v>
      </c>
      <c r="AU37" s="545">
        <f>SUM(AU6:AU36)/AS37</f>
        <v>0.62050000000000005</v>
      </c>
      <c r="AX37" s="203">
        <f>SUM(AX6:AX36)</f>
        <v>-18615.322580645166</v>
      </c>
      <c r="AY37" s="203">
        <f>SUM(AY6:AY36)</f>
        <v>-19553.322580645166</v>
      </c>
    </row>
    <row r="38" spans="1:63">
      <c r="AS38" s="206"/>
      <c r="AT38" s="82">
        <f>+AT37*AU37</f>
        <v>12410.000000000002</v>
      </c>
    </row>
    <row r="40" spans="1:63">
      <c r="AS40" s="165">
        <f>SUM(AS6:AS36)/'EDl log'!A35</f>
        <v>-3258.8870967741946</v>
      </c>
      <c r="AT40" s="203"/>
    </row>
    <row r="41" spans="1:63">
      <c r="AX41">
        <v>43309</v>
      </c>
    </row>
    <row r="42" spans="1:63">
      <c r="AR42" s="203">
        <f>AR36-22000</f>
        <v>45722.354838709667</v>
      </c>
      <c r="AU42" s="203"/>
      <c r="AX42">
        <f>AX37/AX41</f>
        <v>-0.42982573092533116</v>
      </c>
    </row>
    <row r="43" spans="1:63">
      <c r="AR43">
        <f>AR42/5500</f>
        <v>8.3131554252199393</v>
      </c>
    </row>
    <row r="44" spans="1:63">
      <c r="AR44">
        <f>AR43*2</f>
        <v>16.626310850439879</v>
      </c>
    </row>
    <row r="45" spans="1:63">
      <c r="AR45" s="203"/>
    </row>
    <row r="46" spans="1:63">
      <c r="AT46" s="62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A16" zoomScale="70" zoomScaleNormal="70" workbookViewId="0">
      <selection activeCell="K17" sqref="K1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1435.4767096774119</v>
      </c>
      <c r="R4" s="285">
        <f>SUM(P4:Q4)</f>
        <v>1590.2797482479998</v>
      </c>
      <c r="S4" s="287">
        <f>SUM(ELEC!N4)</f>
        <v>6332</v>
      </c>
      <c r="T4" s="321">
        <f>IF(S4&gt;0,R4/S4,0)</f>
        <v>0.25114967597094123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2"/>
      <c r="AC4" s="663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1185.1950322580724</v>
      </c>
      <c r="R5" s="285">
        <f t="shared" ref="R5:R30" si="13">SUM(P5:Q5)</f>
        <v>1339.9980708286603</v>
      </c>
      <c r="S5" s="287">
        <f>SUM(ELEC!N5)</f>
        <v>5540</v>
      </c>
      <c r="T5" s="321">
        <f>IF(S5&gt;0,R5/S5,0)</f>
        <v>0.24187690809181595</v>
      </c>
      <c r="U5" s="245"/>
      <c r="V5" s="656"/>
      <c r="W5" s="657"/>
      <c r="X5" s="657"/>
      <c r="Y5" s="658"/>
      <c r="Z5" s="26" t="s">
        <v>202</v>
      </c>
      <c r="AA5" s="26">
        <v>5000</v>
      </c>
      <c r="AB5" s="664"/>
      <c r="AC5" s="665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9"/>
      <c r="W6" s="660"/>
      <c r="X6" s="660"/>
      <c r="Y6" s="661"/>
      <c r="Z6" s="668"/>
      <c r="AA6" s="669"/>
      <c r="AB6" s="664"/>
      <c r="AC6" s="665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1" t="s">
        <v>203</v>
      </c>
      <c r="W7" s="652"/>
      <c r="X7" s="653" t="s">
        <v>204</v>
      </c>
      <c r="Y7" s="654"/>
      <c r="Z7" s="655"/>
      <c r="AA7" s="170"/>
      <c r="AB7" s="666"/>
      <c r="AC7" s="667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82.726661290325794</v>
      </c>
      <c r="R8" s="285">
        <f t="shared" si="13"/>
        <v>237.52969986091369</v>
      </c>
      <c r="S8" s="287">
        <f>SUM(ELEC!N8)</f>
        <v>6729</v>
      </c>
      <c r="T8" s="321">
        <f>IF(S8&gt;0,R8/S8,0)</f>
        <v>3.5299405537362716E-2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1046.6233709677285</v>
      </c>
      <c r="R9" s="285">
        <f>SUM(P9:Q9)</f>
        <v>1286.1229269512519</v>
      </c>
      <c r="S9" s="287">
        <f>SUM(ELEC!N9)</f>
        <v>4979</v>
      </c>
      <c r="T9" s="321">
        <f t="shared" si="16"/>
        <v>0.25830948522820885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1665.682209677439</v>
      </c>
      <c r="R10" s="285">
        <f t="shared" si="13"/>
        <v>1828.4348336543287</v>
      </c>
      <c r="S10" s="287">
        <f>SUM(ELEC!N10)</f>
        <v>5333</v>
      </c>
      <c r="T10" s="321">
        <f t="shared" si="16"/>
        <v>0.34285295962016288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1245.1833709677287</v>
      </c>
      <c r="R11" s="285">
        <f t="shared" si="13"/>
        <v>1424.6417992563929</v>
      </c>
      <c r="S11" s="287">
        <f>SUM(ELEC!N11)</f>
        <v>5724</v>
      </c>
      <c r="T11" s="321">
        <f t="shared" si="16"/>
        <v>0.24888920322438729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1332.0533709677468</v>
      </c>
      <c r="R12" s="285">
        <f t="shared" si="13"/>
        <v>1494.8802901353497</v>
      </c>
      <c r="S12" s="287">
        <f>SUM(ELEC!N12)</f>
        <v>4995</v>
      </c>
      <c r="T12" s="321">
        <f t="shared" si="16"/>
        <v>0.29927533336043038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921.68269354838469</v>
      </c>
      <c r="R15" s="285">
        <f>SUM(P15:Q15)</f>
        <v>1076.4857321189727</v>
      </c>
      <c r="S15" s="287">
        <f>SUM(ELEC!N15)</f>
        <v>6833</v>
      </c>
      <c r="T15" s="321">
        <f>IF(S15&gt;0,R15/S15,0)</f>
        <v>0.15754218236777004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v>160049</v>
      </c>
      <c r="G16" s="160">
        <f t="shared" si="1"/>
        <v>0</v>
      </c>
      <c r="H16" s="607"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1183.7538709677331</v>
      </c>
      <c r="R16" s="285">
        <f>SUM(P16:Q16)</f>
        <v>1338.556909538321</v>
      </c>
      <c r="S16" s="287">
        <f>SUM(ELEC!N16)</f>
        <v>5512.2000000001863</v>
      </c>
      <c r="T16" s="321">
        <f>IF(S16&gt;0,R16/S16,0)</f>
        <v>0.24283533063718221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v>1104986</v>
      </c>
      <c r="C17" s="254">
        <f t="shared" si="0"/>
        <v>640</v>
      </c>
      <c r="D17" s="295">
        <f t="shared" si="14"/>
        <v>638</v>
      </c>
      <c r="E17" s="295">
        <f t="shared" si="15"/>
        <v>1104984</v>
      </c>
      <c r="F17" s="607">
        <v>160089</v>
      </c>
      <c r="G17" s="160">
        <f>F17-F16</f>
        <v>40</v>
      </c>
      <c r="H17" s="607">
        <v>545188</v>
      </c>
      <c r="I17" s="161">
        <f t="shared" si="2"/>
        <v>598</v>
      </c>
      <c r="J17" s="607">
        <v>399707</v>
      </c>
      <c r="K17" s="162">
        <f>J17-J16</f>
        <v>0</v>
      </c>
      <c r="L17" s="284">
        <f>SUM(G17*$Y$28)/1507.5</f>
        <v>8.4908789386401331</v>
      </c>
      <c r="M17" s="284">
        <f>SUM(I17*$Y$27)/1507.5</f>
        <v>44.428524046434497</v>
      </c>
      <c r="N17" s="284">
        <f>SUM(K17*$Y$26)/1507.5</f>
        <v>0</v>
      </c>
      <c r="O17" s="284">
        <f t="shared" si="6"/>
        <v>154.80303857058792</v>
      </c>
      <c r="P17" s="285">
        <f>SUM(L17:O17)</f>
        <v>207.72244155566256</v>
      </c>
      <c r="Q17" s="285">
        <f>SUM(-tanks!AX19*tanks!$AU$37)</f>
        <v>233.30800000000002</v>
      </c>
      <c r="R17" s="285">
        <f>SUM(P17:Q17)</f>
        <v>441.03044155566261</v>
      </c>
      <c r="S17" s="287">
        <f>SUM(ELEC!N17)</f>
        <v>5313.7999999998137</v>
      </c>
      <c r="T17" s="321">
        <f>IF(S17&gt;0,R17/S17,0)</f>
        <v>8.2997184981685054E-2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1104986</v>
      </c>
      <c r="C18" s="254">
        <f>SUM(B18-B17)</f>
        <v>0</v>
      </c>
      <c r="D18" s="295">
        <f>SUM(G18+I18+K18)</f>
        <v>0</v>
      </c>
      <c r="E18" s="295">
        <f t="shared" si="15"/>
        <v>1104986</v>
      </c>
      <c r="F18" s="607">
        <f t="shared" si="8"/>
        <v>160089</v>
      </c>
      <c r="G18" s="160">
        <f t="shared" si="1"/>
        <v>0</v>
      </c>
      <c r="H18" s="607">
        <f t="shared" si="9"/>
        <v>545188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1219.1223709677556</v>
      </c>
      <c r="R18" s="285">
        <f t="shared" si="13"/>
        <v>1373.9254095383435</v>
      </c>
      <c r="S18" s="287">
        <f>SUM(ELEC!N18)</f>
        <v>9643</v>
      </c>
      <c r="T18" s="321">
        <f t="shared" si="16"/>
        <v>0.14247904278112034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f t="shared" si="7"/>
        <v>1104986</v>
      </c>
      <c r="C19" s="254">
        <f t="shared" si="0"/>
        <v>0</v>
      </c>
      <c r="D19" s="295">
        <f t="shared" si="14"/>
        <v>0</v>
      </c>
      <c r="E19" s="295">
        <f t="shared" si="15"/>
        <v>1104986</v>
      </c>
      <c r="F19" s="607">
        <f t="shared" si="8"/>
        <v>160089</v>
      </c>
      <c r="G19" s="160">
        <f t="shared" si="1"/>
        <v>0</v>
      </c>
      <c r="H19" s="607">
        <f t="shared" si="9"/>
        <v>545188</v>
      </c>
      <c r="I19" s="161">
        <f t="shared" si="2"/>
        <v>0</v>
      </c>
      <c r="J19" s="607">
        <f t="shared" si="10"/>
        <v>399707</v>
      </c>
      <c r="K19" s="162">
        <f t="shared" si="11"/>
        <v>0</v>
      </c>
      <c r="L19" s="284">
        <f t="shared" si="17"/>
        <v>0</v>
      </c>
      <c r="M19" s="284">
        <f t="shared" si="18"/>
        <v>0</v>
      </c>
      <c r="N19" s="284">
        <f t="shared" si="19"/>
        <v>0</v>
      </c>
      <c r="O19" s="284">
        <f t="shared" si="6"/>
        <v>154.80303857058792</v>
      </c>
      <c r="P19" s="285">
        <f t="shared" si="12"/>
        <v>154.80303857058792</v>
      </c>
      <c r="Q19" s="285">
        <f>SUM(-tanks!AX21*tanks!$AU$37)</f>
        <v>0</v>
      </c>
      <c r="R19" s="285">
        <f t="shared" si="13"/>
        <v>154.80303857058792</v>
      </c>
      <c r="S19" s="287">
        <f>SUM(ELEC!N19)</f>
        <v>0</v>
      </c>
      <c r="T19" s="321">
        <f t="shared" si="16"/>
        <v>0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1104986</v>
      </c>
      <c r="C20" s="254">
        <f t="shared" si="0"/>
        <v>0</v>
      </c>
      <c r="D20" s="295">
        <f t="shared" si="14"/>
        <v>0</v>
      </c>
      <c r="E20" s="295">
        <f t="shared" si="15"/>
        <v>1104986</v>
      </c>
      <c r="F20" s="607">
        <f t="shared" si="8"/>
        <v>160089</v>
      </c>
      <c r="G20" s="160">
        <f t="shared" si="1"/>
        <v>0</v>
      </c>
      <c r="H20" s="607">
        <f t="shared" si="9"/>
        <v>545188</v>
      </c>
      <c r="I20" s="161">
        <f t="shared" si="2"/>
        <v>0</v>
      </c>
      <c r="J20" s="607">
        <f t="shared" si="10"/>
        <v>399707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1104986</v>
      </c>
      <c r="C21" s="254">
        <f t="shared" si="0"/>
        <v>0</v>
      </c>
      <c r="D21" s="295">
        <f t="shared" si="14"/>
        <v>0</v>
      </c>
      <c r="E21" s="295">
        <f t="shared" si="15"/>
        <v>1104986</v>
      </c>
      <c r="F21" s="607">
        <f t="shared" si="8"/>
        <v>160089</v>
      </c>
      <c r="G21" s="160">
        <f t="shared" si="1"/>
        <v>0</v>
      </c>
      <c r="H21" s="607">
        <f t="shared" si="9"/>
        <v>545188</v>
      </c>
      <c r="I21" s="161">
        <f t="shared" si="2"/>
        <v>0</v>
      </c>
      <c r="J21" s="607">
        <f t="shared" si="10"/>
        <v>399707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2"/>
      <c r="AC21" s="663"/>
    </row>
    <row r="22" spans="1:32" ht="20.100000000000001" customHeight="1">
      <c r="A22" s="163">
        <f>ELEC!C22</f>
        <v>44549</v>
      </c>
      <c r="B22" s="607">
        <f t="shared" si="7"/>
        <v>1104986</v>
      </c>
      <c r="C22" s="254">
        <f t="shared" si="0"/>
        <v>0</v>
      </c>
      <c r="D22" s="295">
        <f t="shared" si="14"/>
        <v>0</v>
      </c>
      <c r="E22" s="295">
        <f t="shared" si="15"/>
        <v>1104986</v>
      </c>
      <c r="F22" s="607">
        <f t="shared" si="8"/>
        <v>160089</v>
      </c>
      <c r="G22" s="160">
        <f t="shared" si="1"/>
        <v>0</v>
      </c>
      <c r="H22" s="607">
        <f t="shared" si="9"/>
        <v>545188</v>
      </c>
      <c r="I22" s="161">
        <f t="shared" si="2"/>
        <v>0</v>
      </c>
      <c r="J22" s="607">
        <f t="shared" si="10"/>
        <v>399707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6"/>
      <c r="W22" s="657"/>
      <c r="X22" s="657"/>
      <c r="Y22" s="658"/>
      <c r="Z22" s="26" t="s">
        <v>202</v>
      </c>
      <c r="AA22" s="26">
        <v>5000</v>
      </c>
      <c r="AB22" s="664"/>
      <c r="AC22" s="665"/>
    </row>
    <row r="23" spans="1:32" ht="20.100000000000001" customHeight="1">
      <c r="A23" s="163">
        <f>ELEC!C23</f>
        <v>44550</v>
      </c>
      <c r="B23" s="607">
        <f t="shared" si="7"/>
        <v>1104986</v>
      </c>
      <c r="C23" s="254">
        <f t="shared" si="0"/>
        <v>0</v>
      </c>
      <c r="D23" s="295">
        <f t="shared" si="14"/>
        <v>0</v>
      </c>
      <c r="E23" s="295">
        <f t="shared" si="15"/>
        <v>1104986</v>
      </c>
      <c r="F23" s="607">
        <f t="shared" si="8"/>
        <v>160089</v>
      </c>
      <c r="G23" s="160">
        <f t="shared" si="1"/>
        <v>0</v>
      </c>
      <c r="H23" s="607">
        <f t="shared" si="9"/>
        <v>545188</v>
      </c>
      <c r="I23" s="161">
        <f t="shared" si="2"/>
        <v>0</v>
      </c>
      <c r="J23" s="607">
        <f t="shared" si="10"/>
        <v>399707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9"/>
      <c r="W23" s="660"/>
      <c r="X23" s="660"/>
      <c r="Y23" s="661"/>
      <c r="Z23" s="668"/>
      <c r="AA23" s="669"/>
      <c r="AB23" s="664"/>
      <c r="AC23" s="665"/>
    </row>
    <row r="24" spans="1:32" ht="20.100000000000001" customHeight="1">
      <c r="A24" s="163">
        <f>ELEC!C24</f>
        <v>44551</v>
      </c>
      <c r="B24" s="607">
        <f t="shared" si="7"/>
        <v>1104986</v>
      </c>
      <c r="C24" s="254">
        <f t="shared" si="0"/>
        <v>0</v>
      </c>
      <c r="D24" s="295">
        <f t="shared" si="14"/>
        <v>0</v>
      </c>
      <c r="E24" s="295">
        <f t="shared" si="15"/>
        <v>1104986</v>
      </c>
      <c r="F24" s="607">
        <f t="shared" si="8"/>
        <v>160089</v>
      </c>
      <c r="G24" s="160">
        <f t="shared" si="1"/>
        <v>0</v>
      </c>
      <c r="H24" s="607">
        <f t="shared" si="9"/>
        <v>545188</v>
      </c>
      <c r="I24" s="161">
        <f t="shared" si="2"/>
        <v>0</v>
      </c>
      <c r="J24" s="607">
        <f t="shared" si="10"/>
        <v>399707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1" t="s">
        <v>203</v>
      </c>
      <c r="W24" s="652"/>
      <c r="X24" s="653" t="s">
        <v>204</v>
      </c>
      <c r="Y24" s="654"/>
      <c r="Z24" s="655"/>
      <c r="AA24" s="170"/>
      <c r="AB24" s="666"/>
      <c r="AC24" s="667"/>
    </row>
    <row r="25" spans="1:32" ht="20.100000000000001" customHeight="1">
      <c r="A25" s="163">
        <f>ELEC!C25</f>
        <v>44552</v>
      </c>
      <c r="B25" s="607">
        <f t="shared" si="7"/>
        <v>1104986</v>
      </c>
      <c r="C25" s="254">
        <f t="shared" si="0"/>
        <v>0</v>
      </c>
      <c r="D25" s="295">
        <f t="shared" si="14"/>
        <v>0</v>
      </c>
      <c r="E25" s="295">
        <f t="shared" si="15"/>
        <v>1104986</v>
      </c>
      <c r="F25" s="607">
        <f t="shared" si="8"/>
        <v>160089</v>
      </c>
      <c r="G25" s="160">
        <f t="shared" si="1"/>
        <v>0</v>
      </c>
      <c r="H25" s="607">
        <f t="shared" si="9"/>
        <v>545188</v>
      </c>
      <c r="I25" s="161">
        <f t="shared" si="2"/>
        <v>0</v>
      </c>
      <c r="J25" s="607">
        <f t="shared" si="10"/>
        <v>399707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f t="shared" si="7"/>
        <v>1104986</v>
      </c>
      <c r="C26" s="254">
        <f t="shared" si="0"/>
        <v>0</v>
      </c>
      <c r="D26" s="295">
        <f t="shared" si="14"/>
        <v>0</v>
      </c>
      <c r="E26" s="295">
        <f t="shared" si="15"/>
        <v>1104986</v>
      </c>
      <c r="F26" s="607">
        <f t="shared" si="8"/>
        <v>160089</v>
      </c>
      <c r="G26" s="160">
        <f t="shared" si="1"/>
        <v>0</v>
      </c>
      <c r="H26" s="607">
        <f t="shared" si="9"/>
        <v>545188</v>
      </c>
      <c r="I26" s="161">
        <f t="shared" si="2"/>
        <v>0</v>
      </c>
      <c r="J26" s="607">
        <f t="shared" si="10"/>
        <v>399707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399707</v>
      </c>
      <c r="X26" s="172" t="s">
        <v>199</v>
      </c>
      <c r="Y26" s="172">
        <v>80</v>
      </c>
      <c r="Z26" s="172">
        <v>1</v>
      </c>
      <c r="AA26" s="323">
        <f>(W26-V26)*Z26</f>
        <v>91</v>
      </c>
      <c r="AB26" s="323">
        <f>AA26*Y26</f>
        <v>7280</v>
      </c>
      <c r="AC26" s="244">
        <f>AC9</f>
        <v>1033333</v>
      </c>
      <c r="AD26" s="476">
        <f>SUM(K36)</f>
        <v>4.4893931919092259E-2</v>
      </c>
    </row>
    <row r="27" spans="1:32" ht="20.100000000000001" customHeight="1">
      <c r="A27" s="163">
        <f>ELEC!C27</f>
        <v>44554</v>
      </c>
      <c r="B27" s="607">
        <f t="shared" si="7"/>
        <v>1104986</v>
      </c>
      <c r="C27" s="254">
        <f t="shared" si="0"/>
        <v>0</v>
      </c>
      <c r="D27" s="295">
        <f t="shared" si="14"/>
        <v>0</v>
      </c>
      <c r="E27" s="295">
        <f t="shared" si="15"/>
        <v>1104986</v>
      </c>
      <c r="F27" s="607">
        <f t="shared" si="8"/>
        <v>160089</v>
      </c>
      <c r="G27" s="160">
        <f t="shared" si="1"/>
        <v>0</v>
      </c>
      <c r="H27" s="607">
        <f t="shared" si="9"/>
        <v>545188</v>
      </c>
      <c r="I27" s="161">
        <f t="shared" si="2"/>
        <v>0</v>
      </c>
      <c r="J27" s="607">
        <f t="shared" si="10"/>
        <v>399707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545188</v>
      </c>
      <c r="X27" s="172" t="s">
        <v>212</v>
      </c>
      <c r="Y27" s="172">
        <v>112</v>
      </c>
      <c r="Z27" s="172">
        <v>1</v>
      </c>
      <c r="AA27" s="323">
        <f>(W27-V27)*Z27</f>
        <v>1717</v>
      </c>
      <c r="AB27" s="323">
        <f>SUM(AA27*Y27)</f>
        <v>192304</v>
      </c>
      <c r="AC27" s="244">
        <f>AC10</f>
        <v>6200000</v>
      </c>
      <c r="AD27" s="476">
        <f>SUM(I36)</f>
        <v>0.8470646275283672</v>
      </c>
    </row>
    <row r="28" spans="1:32" ht="20.100000000000001" customHeight="1">
      <c r="A28" s="163">
        <f>ELEC!C28</f>
        <v>44555</v>
      </c>
      <c r="B28" s="607">
        <f t="shared" si="7"/>
        <v>1104986</v>
      </c>
      <c r="C28" s="254">
        <f t="shared" si="0"/>
        <v>0</v>
      </c>
      <c r="D28" s="295">
        <f t="shared" si="14"/>
        <v>0</v>
      </c>
      <c r="E28" s="295">
        <f>B27+D28</f>
        <v>1104986</v>
      </c>
      <c r="F28" s="607">
        <f t="shared" si="8"/>
        <v>160089</v>
      </c>
      <c r="G28" s="160">
        <f t="shared" si="1"/>
        <v>0</v>
      </c>
      <c r="H28" s="607">
        <f t="shared" si="9"/>
        <v>545188</v>
      </c>
      <c r="I28" s="161">
        <f t="shared" si="2"/>
        <v>0</v>
      </c>
      <c r="J28" s="607">
        <f t="shared" si="10"/>
        <v>399707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160089</v>
      </c>
      <c r="X28" s="172" t="s">
        <v>197</v>
      </c>
      <c r="Y28" s="172">
        <v>320</v>
      </c>
      <c r="Z28" s="172">
        <v>1</v>
      </c>
      <c r="AA28" s="323">
        <f>(W28-V28)*Z28</f>
        <v>216</v>
      </c>
      <c r="AB28" s="323">
        <f>SUM(AA28*Y28)</f>
        <v>69120</v>
      </c>
      <c r="AC28" s="244">
        <f>AC11</f>
        <v>1000</v>
      </c>
      <c r="AD28" s="476">
        <f>SUM(G36)</f>
        <v>0.10656142081894426</v>
      </c>
      <c r="AE28" s="40">
        <f>SUM(AB28*5%)</f>
        <v>3456</v>
      </c>
      <c r="AF28" s="82">
        <f>SUM(AE28/7)*31</f>
        <v>15305.142857142857</v>
      </c>
    </row>
    <row r="29" spans="1:32" ht="20.100000000000001" customHeight="1">
      <c r="A29" s="163">
        <f>ELEC!C29</f>
        <v>44556</v>
      </c>
      <c r="B29" s="607">
        <f t="shared" si="7"/>
        <v>1104986</v>
      </c>
      <c r="C29" s="254">
        <f t="shared" si="0"/>
        <v>0</v>
      </c>
      <c r="D29" s="295">
        <f t="shared" si="14"/>
        <v>0</v>
      </c>
      <c r="E29" s="295">
        <f>B28+D29</f>
        <v>1104986</v>
      </c>
      <c r="F29" s="607">
        <f t="shared" si="8"/>
        <v>160089</v>
      </c>
      <c r="G29" s="160">
        <f t="shared" si="1"/>
        <v>0</v>
      </c>
      <c r="H29" s="607">
        <f t="shared" si="9"/>
        <v>545188</v>
      </c>
      <c r="I29" s="161">
        <f t="shared" si="2"/>
        <v>0</v>
      </c>
      <c r="J29" s="607">
        <f t="shared" si="10"/>
        <v>399707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2024</v>
      </c>
      <c r="AB29" s="323">
        <f>SUM(AB26:AB28)</f>
        <v>268704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f t="shared" si="7"/>
        <v>1104986</v>
      </c>
      <c r="C30" s="254">
        <f t="shared" si="0"/>
        <v>0</v>
      </c>
      <c r="D30" s="295">
        <f t="shared" si="14"/>
        <v>0</v>
      </c>
      <c r="E30" s="295">
        <f t="shared" si="15"/>
        <v>1104986</v>
      </c>
      <c r="F30" s="607">
        <f t="shared" si="8"/>
        <v>160089</v>
      </c>
      <c r="G30" s="160">
        <f t="shared" si="1"/>
        <v>0</v>
      </c>
      <c r="H30" s="607">
        <f t="shared" si="9"/>
        <v>545188</v>
      </c>
      <c r="I30" s="161">
        <f t="shared" si="2"/>
        <v>0</v>
      </c>
      <c r="J30" s="607">
        <f t="shared" si="10"/>
        <v>399707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7503037</v>
      </c>
      <c r="AC30" s="244"/>
    </row>
    <row r="31" spans="1:32" ht="20.100000000000001" customHeight="1">
      <c r="A31" s="163">
        <f>ELEC!C31</f>
        <v>44558</v>
      </c>
      <c r="B31" s="607">
        <f t="shared" si="7"/>
        <v>1104986</v>
      </c>
      <c r="C31" s="254">
        <f>SUM(B31-B30)</f>
        <v>0</v>
      </c>
      <c r="D31" s="295">
        <f t="shared" si="14"/>
        <v>0</v>
      </c>
      <c r="E31" s="295">
        <f>B30+D31</f>
        <v>1104986</v>
      </c>
      <c r="F31" s="607">
        <f t="shared" si="8"/>
        <v>160089</v>
      </c>
      <c r="G31" s="160">
        <f>F31-F30</f>
        <v>0</v>
      </c>
      <c r="H31" s="607">
        <f t="shared" si="9"/>
        <v>545188</v>
      </c>
      <c r="I31" s="161">
        <f>H31-H30</f>
        <v>0</v>
      </c>
      <c r="J31" s="607">
        <f t="shared" si="10"/>
        <v>399707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1104986</v>
      </c>
      <c r="C32" s="254">
        <f>SUM(B32-B31)</f>
        <v>0</v>
      </c>
      <c r="D32" s="295">
        <f t="shared" si="14"/>
        <v>0</v>
      </c>
      <c r="E32" s="295">
        <f>B31+D32</f>
        <v>1104986</v>
      </c>
      <c r="F32" s="607">
        <f t="shared" si="8"/>
        <v>160089</v>
      </c>
      <c r="G32" s="160">
        <f>F32-F31</f>
        <v>0</v>
      </c>
      <c r="H32" s="607">
        <f t="shared" si="9"/>
        <v>545188</v>
      </c>
      <c r="I32" s="161">
        <f>H32-H31</f>
        <v>0</v>
      </c>
      <c r="J32" s="607">
        <f t="shared" si="10"/>
        <v>399707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112</v>
      </c>
      <c r="X32" s="222">
        <f>SUM(W32/A35)</f>
        <v>18.666666666666668</v>
      </c>
      <c r="Y32" s="250">
        <f>SUM(X32/1)</f>
        <v>18.666666666666668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1104986</v>
      </c>
      <c r="C33" s="254">
        <f>SUM(B33-B32)</f>
        <v>0</v>
      </c>
      <c r="D33" s="295">
        <f t="shared" si="14"/>
        <v>0</v>
      </c>
      <c r="E33" s="295">
        <f>B32+D33</f>
        <v>1104986</v>
      </c>
      <c r="F33" s="607">
        <f t="shared" si="8"/>
        <v>160089</v>
      </c>
      <c r="G33" s="160">
        <f>F33-F32</f>
        <v>0</v>
      </c>
      <c r="H33" s="607">
        <f t="shared" si="9"/>
        <v>545188</v>
      </c>
      <c r="I33" s="161">
        <f>H33-H32</f>
        <v>0</v>
      </c>
      <c r="J33" s="607">
        <f t="shared" si="10"/>
        <v>399707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825334.07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1104986</v>
      </c>
      <c r="C34" s="254">
        <f>SUM(B34-B33)</f>
        <v>0</v>
      </c>
      <c r="D34" s="295">
        <f t="shared" ref="D34" si="20">SUM(G34+I34+K34)</f>
        <v>0</v>
      </c>
      <c r="E34" s="295">
        <f>B33+D34</f>
        <v>1104986</v>
      </c>
      <c r="F34" s="607">
        <f t="shared" si="8"/>
        <v>160089</v>
      </c>
      <c r="G34" s="160">
        <f>F34-F33</f>
        <v>0</v>
      </c>
      <c r="H34" s="607">
        <f t="shared" si="9"/>
        <v>545188</v>
      </c>
      <c r="I34" s="161">
        <f>H34-H33</f>
        <v>0</v>
      </c>
      <c r="J34" s="607">
        <f t="shared" si="10"/>
        <v>399707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8328371.0700000003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337.83333333333331</v>
      </c>
      <c r="D35" s="173"/>
      <c r="E35" s="173"/>
      <c r="F35" s="568"/>
      <c r="G35" s="568">
        <f>SUM(G4:G34)/A35</f>
        <v>36</v>
      </c>
      <c r="H35" s="173"/>
      <c r="I35" s="173">
        <f>SUM(I4:I34)/A35</f>
        <v>286.16666666666669</v>
      </c>
      <c r="K35" s="173">
        <f>SUM(K4:K34)/A35</f>
        <v>15.166666666666666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0.99851998026640376</v>
      </c>
      <c r="G36" s="225">
        <f>IF(C35&gt;0,G35/C35,0)</f>
        <v>0.10656142081894426</v>
      </c>
      <c r="H36" s="212"/>
      <c r="I36" s="225">
        <f>SUM(I35/C35)</f>
        <v>0.8470646275283672</v>
      </c>
      <c r="J36" s="212"/>
      <c r="K36" s="225">
        <f>SUM(K35/C35)</f>
        <v>4.4893931919092259E-2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4977.1389718076289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4977.1389718076289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8"/>
      <c r="AC45" s="648"/>
      <c r="AD45" s="543"/>
      <c r="AE45" s="17"/>
      <c r="AF45" s="17"/>
    </row>
    <row r="46" spans="1:32">
      <c r="V46" s="648"/>
      <c r="W46" s="648"/>
      <c r="X46" s="648"/>
      <c r="Y46" s="648"/>
      <c r="Z46" s="508"/>
      <c r="AA46" s="508"/>
      <c r="AB46" s="648"/>
      <c r="AC46" s="648"/>
      <c r="AD46" s="543"/>
      <c r="AE46" s="17"/>
      <c r="AF46" s="17"/>
    </row>
    <row r="47" spans="1:32">
      <c r="V47" s="648"/>
      <c r="W47" s="648"/>
      <c r="X47" s="648"/>
      <c r="Y47" s="648"/>
      <c r="Z47" s="648"/>
      <c r="AA47" s="648"/>
      <c r="AB47" s="648"/>
      <c r="AC47" s="648"/>
      <c r="AD47" s="543"/>
      <c r="AE47" s="17"/>
      <c r="AF47" s="17"/>
    </row>
    <row r="48" spans="1:32">
      <c r="V48" s="649"/>
      <c r="W48" s="649"/>
      <c r="X48" s="650"/>
      <c r="Y48" s="650"/>
      <c r="Z48" s="650"/>
      <c r="AA48" s="509"/>
      <c r="AB48" s="648"/>
      <c r="AC48" s="648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19" sqref="E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0" t="s">
        <v>193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2"/>
    </row>
    <row r="2" spans="1:15" ht="15.75" customHeight="1" thickBot="1">
      <c r="A2" s="673"/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5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>
        <v>22</v>
      </c>
      <c r="C16" s="37">
        <v>15</v>
      </c>
      <c r="D16" s="26">
        <f t="shared" si="3"/>
        <v>18.5</v>
      </c>
      <c r="E16" s="325">
        <v>0.54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>
        <v>23</v>
      </c>
      <c r="C17" s="37">
        <v>17</v>
      </c>
      <c r="D17" s="26">
        <f t="shared" si="3"/>
        <v>20</v>
      </c>
      <c r="E17" s="410">
        <v>0.54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>
        <v>21</v>
      </c>
      <c r="C18" s="37">
        <v>17</v>
      </c>
      <c r="D18" s="26">
        <f t="shared" si="3"/>
        <v>19</v>
      </c>
      <c r="E18" s="325">
        <v>0.63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>
        <v>20</v>
      </c>
      <c r="C19" s="37">
        <v>16</v>
      </c>
      <c r="D19" s="26">
        <f t="shared" si="3"/>
        <v>18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34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2</v>
      </c>
      <c r="B13" s="3">
        <f>ELEC!AF15</f>
        <v>474</v>
      </c>
      <c r="C13" s="3">
        <f>ELEC!N15</f>
        <v>6833</v>
      </c>
      <c r="D13" s="3">
        <f t="shared" si="0"/>
        <v>111.00000000206637</v>
      </c>
      <c r="E13" s="3">
        <f>ELEC!Q15</f>
        <v>6721.9999999979336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-4.1999999999999602</v>
      </c>
      <c r="J13" s="9">
        <f>'B5'!A15</f>
        <v>44541</v>
      </c>
    </row>
    <row r="14" spans="1:10">
      <c r="A14" s="3">
        <f>ELEC!T16+ELEC!X16+ELEC!AB16</f>
        <v>2</v>
      </c>
      <c r="B14" s="3">
        <f>ELEC!AF16</f>
        <v>593</v>
      </c>
      <c r="C14" s="3">
        <f>ELEC!N16</f>
        <v>5512.2000000001863</v>
      </c>
      <c r="D14" s="3">
        <f t="shared" si="0"/>
        <v>387.20000000018626</v>
      </c>
      <c r="E14" s="3">
        <f>ELEC!Q16</f>
        <v>5125</v>
      </c>
      <c r="F14" s="3">
        <f>GEN!Z14</f>
        <v>11</v>
      </c>
      <c r="G14" s="3">
        <f>WATER!C17+WATER!H17</f>
        <v>2</v>
      </c>
      <c r="H14" s="3">
        <f>WATER!L17</f>
        <v>1</v>
      </c>
      <c r="I14" s="15">
        <f>WATER!BC17+WATER!BD17+WATER!BE18-Sheet1!G14</f>
        <v>-15.799999999999983</v>
      </c>
      <c r="J14" s="9">
        <f>'B5'!A16</f>
        <v>44542</v>
      </c>
    </row>
    <row r="15" spans="1:10">
      <c r="A15" s="3">
        <f>ELEC!T17+ELEC!X17+ELEC!AB17</f>
        <v>1</v>
      </c>
      <c r="B15" s="3">
        <f>ELEC!AF17</f>
        <v>253</v>
      </c>
      <c r="C15" s="3">
        <f>ELEC!N17</f>
        <v>5313.7999999998137</v>
      </c>
      <c r="D15" s="3">
        <f t="shared" si="0"/>
        <v>167.79999999917345</v>
      </c>
      <c r="E15" s="3">
        <f>ELEC!Q17</f>
        <v>5146.0000000006403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46.699999999999946</v>
      </c>
      <c r="J15" s="9">
        <f>'B5'!A17</f>
        <v>44543</v>
      </c>
    </row>
    <row r="16" spans="1:10">
      <c r="A16" s="3">
        <f>ELEC!T18+ELEC!X18+ELEC!AB18</f>
        <v>1</v>
      </c>
      <c r="B16" s="3">
        <f>ELEC!AF18</f>
        <v>363</v>
      </c>
      <c r="C16" s="3">
        <f>ELEC!N18</f>
        <v>9643</v>
      </c>
      <c r="D16" s="3">
        <f t="shared" si="0"/>
        <v>4469.0000000009313</v>
      </c>
      <c r="E16" s="3">
        <f>ELEC!Q18</f>
        <v>5173.9999999990687</v>
      </c>
      <c r="F16" s="3">
        <f>GEN!Z16</f>
        <v>9</v>
      </c>
      <c r="G16" s="3">
        <f>WATER!C19+WATER!H19</f>
        <v>0</v>
      </c>
      <c r="H16" s="3">
        <f>WATER!L19</f>
        <v>1</v>
      </c>
      <c r="I16" s="15">
        <f>WATER!BC19+WATER!BD19+WATER!BE20-Sheet1!G16</f>
        <v>-9.0999999999999943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0</v>
      </c>
      <c r="H17" s="3">
        <f>WATER!L20</f>
        <v>1</v>
      </c>
      <c r="I17" s="15">
        <f>WATER!BC20+WATER!BD20+WATER!BE21-Sheet1!G17</f>
        <v>-5.0999999999999659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9"/>
      <c r="B1" s="676" t="s">
        <v>119</v>
      </c>
      <c r="C1" s="676" t="s">
        <v>118</v>
      </c>
      <c r="D1" s="681" t="s">
        <v>113</v>
      </c>
      <c r="E1" s="681" t="s">
        <v>114</v>
      </c>
      <c r="F1" s="682" t="s">
        <v>120</v>
      </c>
      <c r="G1" s="683" t="s">
        <v>75</v>
      </c>
      <c r="H1" s="684" t="s">
        <v>115</v>
      </c>
      <c r="I1" s="685" t="s">
        <v>116</v>
      </c>
      <c r="J1" s="684" t="s">
        <v>117</v>
      </c>
      <c r="K1" s="678" t="s">
        <v>121</v>
      </c>
      <c r="L1" s="678" t="s">
        <v>122</v>
      </c>
      <c r="M1" s="678" t="s">
        <v>123</v>
      </c>
      <c r="N1" s="678" t="s">
        <v>124</v>
      </c>
    </row>
    <row r="2" spans="1:14">
      <c r="A2" s="680"/>
      <c r="B2" s="677"/>
      <c r="C2" s="677"/>
      <c r="D2" s="681"/>
      <c r="E2" s="681"/>
      <c r="F2" s="682"/>
      <c r="G2" s="683"/>
      <c r="H2" s="684"/>
      <c r="I2" s="686"/>
      <c r="J2" s="684"/>
      <c r="K2" s="678"/>
      <c r="L2" s="678"/>
      <c r="M2" s="678"/>
      <c r="N2" s="67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118</v>
      </c>
      <c r="C16" s="76">
        <f>'B5'!AH16</f>
        <v>0</v>
      </c>
      <c r="D16" s="76">
        <f>GEN!AI14</f>
        <v>1730.1350210965147</v>
      </c>
      <c r="E16" s="239">
        <f t="shared" si="0"/>
        <v>1848.1350210965147</v>
      </c>
      <c r="F16" s="75">
        <f>WATER!L16</f>
        <v>0</v>
      </c>
      <c r="G16" s="78">
        <f>WATER!BG16</f>
        <v>0</v>
      </c>
      <c r="H16" s="79">
        <f>ELEC!AF15</f>
        <v>474</v>
      </c>
      <c r="I16" s="79">
        <f>ELEC!Q15</f>
        <v>6721.9999999979336</v>
      </c>
      <c r="J16" s="79">
        <f>ELEC!R15</f>
        <v>111.00000000206637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169</v>
      </c>
      <c r="C17" s="76">
        <f>'B5'!AH17</f>
        <v>0</v>
      </c>
      <c r="D17" s="76">
        <f>GEN!AI15</f>
        <v>1319.0928270042195</v>
      </c>
      <c r="E17" s="239">
        <f t="shared" si="0"/>
        <v>1488.0928270042195</v>
      </c>
      <c r="F17" s="75">
        <f>WATER!L17</f>
        <v>1</v>
      </c>
      <c r="G17" s="78">
        <f>WATER!BG17</f>
        <v>-4.1999999999999602</v>
      </c>
      <c r="H17" s="79">
        <f>ELEC!AF16</f>
        <v>593</v>
      </c>
      <c r="I17" s="79">
        <f>ELEC!Q16</f>
        <v>5125</v>
      </c>
      <c r="J17" s="79">
        <f>ELEC!R16</f>
        <v>387.20000000018626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117</v>
      </c>
      <c r="C18" s="76">
        <f>'B5'!AH18</f>
        <v>0</v>
      </c>
      <c r="D18" s="76">
        <f>GEN!AI16</f>
        <v>1324.4978902955236</v>
      </c>
      <c r="E18" s="239">
        <f t="shared" si="0"/>
        <v>1441.4978902955236</v>
      </c>
      <c r="F18" s="75">
        <f>WATER!L18</f>
        <v>0</v>
      </c>
      <c r="G18" s="78">
        <f>WATER!BG18</f>
        <v>-6.9000000000000341</v>
      </c>
      <c r="H18" s="79">
        <f>ELEC!AF17</f>
        <v>253</v>
      </c>
      <c r="I18" s="79">
        <f>ELEC!Q17</f>
        <v>5146.0000000006403</v>
      </c>
      <c r="J18" s="79">
        <f>ELEC!R17</f>
        <v>167.79999999917345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112</v>
      </c>
      <c r="C19" s="76">
        <f>'B5'!AH19</f>
        <v>0</v>
      </c>
      <c r="D19" s="76">
        <f>GEN!AI17</f>
        <v>1331.7046413499713</v>
      </c>
      <c r="E19" s="239">
        <f t="shared" si="0"/>
        <v>1443.7046413499713</v>
      </c>
      <c r="F19" s="75">
        <f>WATER!L19</f>
        <v>1</v>
      </c>
      <c r="G19" s="78">
        <f>WATER!BG19</f>
        <v>53.59999999999998</v>
      </c>
      <c r="H19" s="79">
        <f>ELEC!AF18</f>
        <v>363</v>
      </c>
      <c r="I19" s="79">
        <f>ELEC!Q18</f>
        <v>5173.9999999990687</v>
      </c>
      <c r="J19" s="79">
        <f>ELEC!R18</f>
        <v>4469.0000000009313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1</v>
      </c>
      <c r="G20" s="78">
        <f>WATER!BG20</f>
        <v>-5.0999999999999659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7" t="s">
        <v>151</v>
      </c>
      <c r="U3" s="687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3</v>
      </c>
      <c r="E18">
        <f t="shared" si="0"/>
        <v>270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S44" sqref="S44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316</v>
      </c>
      <c r="C1" s="701"/>
      <c r="D1" s="703"/>
      <c r="E1" s="700" t="s">
        <v>317</v>
      </c>
      <c r="F1" s="701"/>
      <c r="G1" s="702"/>
      <c r="H1" s="697" t="s">
        <v>321</v>
      </c>
      <c r="I1" s="694" t="s">
        <v>322</v>
      </c>
      <c r="J1" s="691" t="s">
        <v>43</v>
      </c>
    </row>
    <row r="2" spans="1:18" ht="38.25" thickBot="1">
      <c r="A2" s="689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8"/>
      <c r="I2" s="695"/>
      <c r="J2" s="692"/>
    </row>
    <row r="3" spans="1:18" ht="24" customHeight="1" thickBot="1">
      <c r="A3" s="690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9"/>
      <c r="I3" s="696"/>
      <c r="J3" s="693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>
        <v>3</v>
      </c>
      <c r="C17" s="608">
        <v>8</v>
      </c>
      <c r="D17" s="608">
        <v>0</v>
      </c>
      <c r="E17" s="608">
        <v>0</v>
      </c>
      <c r="F17" s="608">
        <v>0</v>
      </c>
      <c r="G17" s="608">
        <v>0</v>
      </c>
      <c r="H17" s="604">
        <v>6967</v>
      </c>
      <c r="I17" s="602">
        <f t="shared" si="4"/>
        <v>1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>
        <v>2.5</v>
      </c>
      <c r="C18" s="608">
        <v>8</v>
      </c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6967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>
        <v>2.5</v>
      </c>
      <c r="C19" s="608">
        <v>7.8</v>
      </c>
      <c r="D19" s="608">
        <v>0</v>
      </c>
      <c r="E19" s="608">
        <v>0</v>
      </c>
      <c r="F19" s="608">
        <v>0</v>
      </c>
      <c r="G19" s="608">
        <v>0</v>
      </c>
      <c r="H19" s="604">
        <v>6968</v>
      </c>
      <c r="I19" s="602">
        <f t="shared" si="4"/>
        <v>1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>
        <v>2.5</v>
      </c>
      <c r="C20" s="608">
        <v>7.9</v>
      </c>
      <c r="D20" s="608">
        <v>0</v>
      </c>
      <c r="E20" s="608">
        <v>0</v>
      </c>
      <c r="F20" s="608">
        <v>0</v>
      </c>
      <c r="G20" s="608">
        <v>0</v>
      </c>
      <c r="H20" s="604">
        <v>6969</v>
      </c>
      <c r="I20" s="602">
        <f t="shared" si="4"/>
        <v>1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/>
      <c r="C21" s="608"/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6969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6969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6969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6969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/>
      <c r="C25" s="608"/>
      <c r="D25" s="608">
        <v>0</v>
      </c>
      <c r="E25" s="608">
        <v>0</v>
      </c>
      <c r="F25" s="608">
        <v>0</v>
      </c>
      <c r="G25" s="608">
        <v>0</v>
      </c>
      <c r="H25" s="604">
        <f t="shared" si="1"/>
        <v>6969</v>
      </c>
      <c r="I25" s="602">
        <f t="shared" si="4"/>
        <v>0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/>
      <c r="C26" s="608"/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6969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/>
      <c r="C27" s="608"/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6969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/>
      <c r="C28" s="608"/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6969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6969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6969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6969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/>
      <c r="C32" s="608"/>
      <c r="D32" s="608">
        <v>0</v>
      </c>
      <c r="E32" s="608">
        <v>0</v>
      </c>
      <c r="F32" s="608">
        <v>0</v>
      </c>
      <c r="G32" s="608">
        <v>0</v>
      </c>
      <c r="H32" s="604">
        <f t="shared" si="1"/>
        <v>6969</v>
      </c>
      <c r="I32" s="602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6969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6969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6969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6969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4" t="s">
        <v>161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  <c r="N1" s="704"/>
      <c r="O1" s="704"/>
      <c r="P1" s="704"/>
      <c r="Q1" s="704"/>
      <c r="R1" s="704"/>
      <c r="S1" s="704"/>
      <c r="T1" s="704"/>
      <c r="U1" s="704"/>
      <c r="V1" s="704"/>
      <c r="W1" s="704"/>
      <c r="X1" s="704"/>
    </row>
    <row r="2" spans="1:28" ht="19.5">
      <c r="A2" s="705"/>
      <c r="B2" s="705"/>
      <c r="C2" s="705"/>
      <c r="D2" s="705"/>
      <c r="E2" s="705"/>
      <c r="F2" s="705"/>
      <c r="G2" s="705"/>
      <c r="H2" s="705"/>
      <c r="I2" s="705"/>
      <c r="J2" s="705"/>
      <c r="K2" s="705"/>
      <c r="L2" s="705"/>
      <c r="M2" s="705"/>
      <c r="N2" s="705"/>
      <c r="O2" s="705"/>
      <c r="P2" s="705"/>
      <c r="Q2" s="705"/>
      <c r="R2" s="705"/>
      <c r="S2" s="705"/>
      <c r="T2" s="705"/>
      <c r="U2" s="705"/>
      <c r="V2" s="705"/>
      <c r="W2" s="705"/>
      <c r="X2" s="705"/>
    </row>
    <row r="3" spans="1:28" ht="19.5">
      <c r="A3" s="705" t="s">
        <v>162</v>
      </c>
      <c r="B3" s="705"/>
      <c r="C3" s="705"/>
      <c r="D3" s="705"/>
      <c r="E3" s="705"/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/>
      <c r="Q3" s="705"/>
      <c r="R3" s="705"/>
      <c r="S3" s="705"/>
      <c r="T3" s="705"/>
      <c r="U3" s="705"/>
      <c r="V3" s="705"/>
      <c r="W3" s="705"/>
      <c r="X3" s="705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5" t="s">
        <v>404</v>
      </c>
      <c r="B5" s="705"/>
      <c r="C5" s="705"/>
      <c r="D5" s="705"/>
      <c r="E5" s="705"/>
      <c r="F5" s="705"/>
      <c r="G5" s="705"/>
      <c r="H5" s="705"/>
      <c r="I5" s="705"/>
      <c r="J5" s="705"/>
      <c r="K5" s="705"/>
      <c r="L5" s="705"/>
      <c r="M5" s="705"/>
      <c r="N5" s="705"/>
      <c r="O5" s="705"/>
      <c r="P5" s="705"/>
      <c r="Q5" s="705"/>
      <c r="R5" s="705"/>
      <c r="S5" s="705"/>
      <c r="T5" s="705"/>
      <c r="U5" s="705"/>
      <c r="V5" s="705"/>
      <c r="W5" s="705"/>
      <c r="X5" s="705"/>
    </row>
    <row r="6" spans="1:28" ht="15.75" thickBot="1">
      <c r="A6" s="706"/>
      <c r="B6" s="706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</row>
    <row r="7" spans="1:28" ht="15.75" thickBot="1">
      <c r="A7" s="708" t="s">
        <v>163</v>
      </c>
      <c r="B7" s="709"/>
      <c r="C7" s="710" t="s">
        <v>164</v>
      </c>
      <c r="D7" s="711"/>
      <c r="E7" s="711"/>
      <c r="F7" s="711"/>
      <c r="G7" s="711"/>
      <c r="H7" s="711"/>
      <c r="I7" s="711"/>
      <c r="J7" s="711"/>
      <c r="K7" s="712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22</v>
      </c>
      <c r="W59" s="261">
        <f>'General information '!C16</f>
        <v>15</v>
      </c>
      <c r="X59" s="119">
        <f t="shared" si="5"/>
        <v>0.19999999999999929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23</v>
      </c>
      <c r="W60" s="261">
        <f>'General information '!C17</f>
        <v>17</v>
      </c>
      <c r="X60" s="119">
        <f t="shared" si="5"/>
        <v>1.6999999999999993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21</v>
      </c>
      <c r="W61" s="261">
        <f>'General information '!C18</f>
        <v>17</v>
      </c>
      <c r="X61" s="119">
        <f t="shared" si="5"/>
        <v>0.69999999999999929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20</v>
      </c>
      <c r="W62" s="261">
        <f>'General information '!C19</f>
        <v>16</v>
      </c>
      <c r="X62" s="119">
        <f t="shared" si="5"/>
        <v>-0.30000000000000071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0</v>
      </c>
      <c r="W63" s="261">
        <f>'General information '!C20</f>
        <v>0</v>
      </c>
      <c r="X63" s="119">
        <f t="shared" si="5"/>
        <v>-18.3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0</v>
      </c>
      <c r="W66" s="261">
        <f>'General information '!C23</f>
        <v>0</v>
      </c>
      <c r="X66" s="119">
        <f t="shared" si="5"/>
        <v>-18.3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0</v>
      </c>
      <c r="W67" s="261">
        <f>'General information '!C24</f>
        <v>0</v>
      </c>
      <c r="X67" s="119">
        <f t="shared" si="5"/>
        <v>-18.3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-369.7000000000001</v>
      </c>
      <c r="W81" s="119">
        <f>SUMIF(X48:X78,"&gt;0")</f>
        <v>6.399999999999995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3" t="s">
        <v>174</v>
      </c>
      <c r="O84" s="713" t="s">
        <v>175</v>
      </c>
      <c r="P84" s="134"/>
      <c r="T84" s="134"/>
      <c r="X84" s="134"/>
    </row>
    <row r="85" spans="1:24" ht="20.25" thickBot="1">
      <c r="D85" s="134"/>
      <c r="I85" s="715" t="s">
        <v>182</v>
      </c>
      <c r="J85" s="716"/>
      <c r="K85" s="716"/>
      <c r="L85" s="716"/>
      <c r="N85" s="714"/>
      <c r="O85" s="714"/>
      <c r="P85" s="134"/>
      <c r="R85" s="17"/>
      <c r="S85" s="17"/>
      <c r="T85" s="140"/>
      <c r="U85" s="141"/>
      <c r="X85" s="134"/>
    </row>
    <row r="86" spans="1:24" ht="18.75" thickBot="1">
      <c r="D86" s="134"/>
      <c r="I86" s="717" t="s">
        <v>183</v>
      </c>
      <c r="J86" s="717"/>
      <c r="K86" s="717"/>
      <c r="L86" s="717"/>
      <c r="N86" s="142">
        <f>B43+F43+J43+N43+R43+V43+B81+F81+J81+N81+R81+V81</f>
        <v>-1694.7</v>
      </c>
      <c r="O86" s="142">
        <f>C43+G43+K43+O43+S43+W43+C81+G81+K81+O81+S81+W81</f>
        <v>1203.7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7"/>
      <c r="C88" s="707"/>
      <c r="D88" s="707"/>
      <c r="E88" s="707"/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07"/>
      <c r="W88" s="707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214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16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332</v>
      </c>
      <c r="C7" s="184">
        <v>8200</v>
      </c>
      <c r="D7" s="187">
        <f>SUM(C7)*D4</f>
        <v>12361500</v>
      </c>
      <c r="E7" s="185">
        <f>SUM(I7/G4)</f>
        <v>543.8125</v>
      </c>
      <c r="F7" s="185">
        <f>SUM(E7*F4)</f>
        <v>16858.1875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20000</v>
      </c>
      <c r="C8" s="466">
        <f>SUM(tanks!AU37)</f>
        <v>0.62050000000000005</v>
      </c>
      <c r="D8" s="191">
        <f>SUM(B8*C8)*D4</f>
        <v>18708075.000000004</v>
      </c>
      <c r="E8" s="192">
        <f>SUM(D8/D4/F4)</f>
        <v>400.32258064516134</v>
      </c>
      <c r="F8" s="192">
        <f>SUM(E8*F4)</f>
        <v>12410.000000000002</v>
      </c>
      <c r="G8" s="574">
        <f>E8*$G$4</f>
        <v>6405.1612903225814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2024</v>
      </c>
      <c r="C10" s="181"/>
      <c r="D10" s="183">
        <f>'EDl log'!AB30</f>
        <v>7503037</v>
      </c>
      <c r="E10" s="182">
        <f>SUM(D10/D4/F4)</f>
        <v>160.55287005831062</v>
      </c>
      <c r="F10" s="182">
        <f>SUM(E10*F4)</f>
        <v>4977.1389718076289</v>
      </c>
      <c r="G10" s="478">
        <f>E10*$G$4</f>
        <v>2568.8459209329699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1104.6879507034719</v>
      </c>
      <c r="F12" s="180">
        <f>SUM(F6:F10)</f>
        <v>34245.326471807632</v>
      </c>
      <c r="G12" s="179">
        <f>SUM(G6:G10)</f>
        <v>17174.00721125555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-62954.892788744444</v>
      </c>
      <c r="I14" s="406">
        <f>SUM(G12-I12)</f>
        <v>-34069.912509174559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34</v>
      </c>
      <c r="C16" s="416">
        <f>'[17]Utility Cost '!B16</f>
        <v>16.903225806451612</v>
      </c>
      <c r="D16" s="415"/>
      <c r="E16" s="580">
        <f>B16-C16</f>
        <v>17.096774193548388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112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0</v>
      </c>
      <c r="F18" s="495">
        <f>B18-D18</f>
        <v>-90.666666666666657</v>
      </c>
    </row>
    <row r="19" spans="1:10">
      <c r="A19" s="489" t="s">
        <v>412</v>
      </c>
      <c r="B19" s="493">
        <f>GEN!AL34</f>
        <v>11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10.181818181818182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2021-12-16T09:00:04Z</dcterms:modified>
</cp:coreProperties>
</file>