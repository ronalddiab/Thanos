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8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3" i="18"/>
  <c r="E3"/>
  <c r="C9" i="1"/>
  <c r="AD6" i="3" l="1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J56"/>
  <c r="D2" i="1"/>
  <c r="D8" i="18"/>
  <c r="F8" s="1"/>
  <c r="F42" i="15"/>
  <c r="E42"/>
  <c r="G42" l="1"/>
  <c r="B6" i="23" l="1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5"/>
  <c r="I27" i="24"/>
  <c r="I28"/>
  <c r="I29"/>
  <c r="I30"/>
  <c r="I31"/>
  <c r="I32"/>
  <c r="I33"/>
  <c r="F23"/>
  <c r="F24"/>
  <c r="F25"/>
  <c r="F26"/>
  <c r="F27"/>
  <c r="F28"/>
  <c r="F29"/>
  <c r="F30"/>
  <c r="F31"/>
  <c r="F32"/>
  <c r="F33"/>
  <c r="F34"/>
  <c r="D56" i="3"/>
  <c r="C11" i="1" l="1"/>
  <c r="T10"/>
  <c r="T11"/>
  <c r="F3" i="24" s="1"/>
  <c r="T12" i="1"/>
  <c r="F4" i="24" s="1"/>
  <c r="T13" i="1"/>
  <c r="F5" i="24" s="1"/>
  <c r="T14" i="1"/>
  <c r="F6" i="24" s="1"/>
  <c r="T15" i="1"/>
  <c r="F7" i="24" s="1"/>
  <c r="T16" i="1"/>
  <c r="F8" i="24" s="1"/>
  <c r="T17" i="1"/>
  <c r="F9" i="24" s="1"/>
  <c r="T18" i="1"/>
  <c r="F10" i="24" s="1"/>
  <c r="T19" i="1"/>
  <c r="F11" i="24" s="1"/>
  <c r="T20" i="1"/>
  <c r="F12" i="24" s="1"/>
  <c r="T21" i="1"/>
  <c r="F13" i="24" s="1"/>
  <c r="T22" i="1"/>
  <c r="F14" i="24" s="1"/>
  <c r="T23" i="1"/>
  <c r="F15" i="24" s="1"/>
  <c r="T24" i="1"/>
  <c r="F16" i="24" s="1"/>
  <c r="T25" i="1"/>
  <c r="F17" i="24" s="1"/>
  <c r="T26" i="1"/>
  <c r="F18" i="24" s="1"/>
  <c r="T27" i="1"/>
  <c r="F19" i="24" s="1"/>
  <c r="T28" i="1"/>
  <c r="F20" i="24" s="1"/>
  <c r="T29" i="1"/>
  <c r="F21" i="24" s="1"/>
  <c r="T30" i="1"/>
  <c r="F22" i="24" s="1"/>
  <c r="T31" i="1"/>
  <c r="T32"/>
  <c r="T33"/>
  <c r="T34"/>
  <c r="T35"/>
  <c r="T36"/>
  <c r="T37"/>
  <c r="T38"/>
  <c r="T39"/>
  <c r="T40"/>
  <c r="T41"/>
  <c r="T42"/>
  <c r="T43"/>
  <c r="T44"/>
  <c r="AI45"/>
  <c r="AH45"/>
  <c r="AG45"/>
  <c r="AF45"/>
  <c r="AE45"/>
  <c r="AD45"/>
  <c r="AC45"/>
  <c r="AB45"/>
  <c r="AA45"/>
  <c r="Z45"/>
  <c r="Y45"/>
  <c r="X45"/>
  <c r="W45"/>
  <c r="V45"/>
  <c r="R45"/>
  <c r="Q45"/>
  <c r="P45"/>
  <c r="O45"/>
  <c r="N45"/>
  <c r="M45"/>
  <c r="L45"/>
  <c r="K45"/>
  <c r="J45"/>
  <c r="I45"/>
  <c r="H45"/>
  <c r="G45"/>
  <c r="F45"/>
  <c r="E45"/>
  <c r="D45"/>
  <c r="AJ44"/>
  <c r="S44"/>
  <c r="AJ43"/>
  <c r="S43"/>
  <c r="B43"/>
  <c r="AJ42"/>
  <c r="S42"/>
  <c r="E34" i="24" s="1"/>
  <c r="AJ41" i="1"/>
  <c r="C35" i="23" s="1"/>
  <c r="S41" i="1"/>
  <c r="E33" i="24" s="1"/>
  <c r="AJ40" i="1"/>
  <c r="C34" i="23" s="1"/>
  <c r="S40" i="1"/>
  <c r="AJ39"/>
  <c r="C33" i="23" s="1"/>
  <c r="S39" i="1"/>
  <c r="AJ38"/>
  <c r="C32" i="23" s="1"/>
  <c r="S38" i="1"/>
  <c r="E30" i="24" s="1"/>
  <c r="AJ37" i="1"/>
  <c r="C31" i="23" s="1"/>
  <c r="S37" i="1"/>
  <c r="E29" i="24" s="1"/>
  <c r="AJ36" i="1"/>
  <c r="C30" i="23" s="1"/>
  <c r="S36" i="1"/>
  <c r="AJ35"/>
  <c r="C29" i="23" s="1"/>
  <c r="S35" i="1"/>
  <c r="AJ34"/>
  <c r="S34"/>
  <c r="E26" i="24" s="1"/>
  <c r="AJ33" i="1"/>
  <c r="S33"/>
  <c r="E25" i="24" s="1"/>
  <c r="AJ32" i="1"/>
  <c r="S32"/>
  <c r="AJ31"/>
  <c r="S31"/>
  <c r="AJ30"/>
  <c r="S30"/>
  <c r="E22" i="24" s="1"/>
  <c r="AJ29" i="1"/>
  <c r="S29"/>
  <c r="E21" i="24" s="1"/>
  <c r="AJ28" i="1"/>
  <c r="S28"/>
  <c r="AJ27"/>
  <c r="S27"/>
  <c r="AJ26"/>
  <c r="S26"/>
  <c r="E18" i="24" s="1"/>
  <c r="AJ25" i="1"/>
  <c r="S25"/>
  <c r="AJ24"/>
  <c r="S24"/>
  <c r="AJ23"/>
  <c r="S23"/>
  <c r="E15" i="24" s="1"/>
  <c r="AJ22" i="1"/>
  <c r="S22"/>
  <c r="AJ21"/>
  <c r="S21"/>
  <c r="AJ20"/>
  <c r="S20"/>
  <c r="AJ19"/>
  <c r="S19"/>
  <c r="AJ18"/>
  <c r="S18"/>
  <c r="AJ17"/>
  <c r="S17"/>
  <c r="AJ16"/>
  <c r="S16"/>
  <c r="AJ15"/>
  <c r="S15"/>
  <c r="AJ14"/>
  <c r="S14"/>
  <c r="AJ13"/>
  <c r="S13"/>
  <c r="E5" i="24" s="1"/>
  <c r="AJ12" i="1"/>
  <c r="S12"/>
  <c r="AJ11"/>
  <c r="S11"/>
  <c r="AJ10"/>
  <c r="S10"/>
  <c r="T9"/>
  <c r="S9"/>
  <c r="AR9" s="1"/>
  <c r="C5" i="23" l="1"/>
  <c r="I3" i="24"/>
  <c r="C7" i="23"/>
  <c r="I5" i="24"/>
  <c r="C9" i="23"/>
  <c r="I7" i="24"/>
  <c r="C11" i="23"/>
  <c r="I9" i="24"/>
  <c r="C13" i="23"/>
  <c r="I11" i="24"/>
  <c r="C15" i="23"/>
  <c r="I13" i="24"/>
  <c r="C17" i="23"/>
  <c r="I15" i="24"/>
  <c r="C21" i="23"/>
  <c r="I19" i="24"/>
  <c r="C23" i="23"/>
  <c r="I21" i="24"/>
  <c r="C25" i="23"/>
  <c r="I23" i="24"/>
  <c r="C27" i="23"/>
  <c r="I25" i="24"/>
  <c r="C6" i="23"/>
  <c r="I4" i="24"/>
  <c r="C8" i="23"/>
  <c r="I6" i="24"/>
  <c r="C10" i="23"/>
  <c r="I8" i="24"/>
  <c r="C12" i="23"/>
  <c r="I10" i="24"/>
  <c r="C14" i="23"/>
  <c r="I12" i="24"/>
  <c r="C16" i="23"/>
  <c r="I14" i="24"/>
  <c r="C20" i="23"/>
  <c r="I18" i="24"/>
  <c r="C22" i="23"/>
  <c r="I20" i="24"/>
  <c r="C24" i="23"/>
  <c r="I22" i="24"/>
  <c r="C26" i="23"/>
  <c r="I24" i="24"/>
  <c r="C28" i="23"/>
  <c r="I26" i="24"/>
  <c r="D6" i="23"/>
  <c r="E4" i="24"/>
  <c r="D12" i="23"/>
  <c r="E10" i="24"/>
  <c r="D16" i="23"/>
  <c r="E14" i="24"/>
  <c r="D10" i="23"/>
  <c r="E8" i="24"/>
  <c r="D5" i="23"/>
  <c r="E3" i="24"/>
  <c r="D11" i="23"/>
  <c r="E9" i="24"/>
  <c r="D13" i="23"/>
  <c r="E11" i="24"/>
  <c r="D15" i="23"/>
  <c r="E13" i="24"/>
  <c r="D8" i="23"/>
  <c r="E6" i="24"/>
  <c r="D14" i="23"/>
  <c r="E12" i="24"/>
  <c r="D9" i="23"/>
  <c r="E7" i="24"/>
  <c r="D21" i="23"/>
  <c r="E19" i="24"/>
  <c r="D25" i="23"/>
  <c r="E23" i="24"/>
  <c r="D29" i="23"/>
  <c r="E27" i="24"/>
  <c r="D33" i="23"/>
  <c r="E31" i="24"/>
  <c r="D22" i="23"/>
  <c r="E20" i="24"/>
  <c r="D26" i="23"/>
  <c r="E24" i="24"/>
  <c r="D30" i="23"/>
  <c r="E28" i="24"/>
  <c r="D34" i="23"/>
  <c r="E32" i="24"/>
  <c r="C19" i="23"/>
  <c r="I17" i="24"/>
  <c r="D19" i="23"/>
  <c r="E17" i="24"/>
  <c r="C18" i="23"/>
  <c r="I16" i="24"/>
  <c r="D18" i="23"/>
  <c r="E16" i="24"/>
  <c r="AR33" i="1"/>
  <c r="AS33" s="1"/>
  <c r="AR37"/>
  <c r="AS37" s="1"/>
  <c r="AR44"/>
  <c r="AS44" s="1"/>
  <c r="AR43"/>
  <c r="AS43" s="1"/>
  <c r="AR29"/>
  <c r="AS29" s="1"/>
  <c r="AR41"/>
  <c r="AS41" s="1"/>
  <c r="AR10"/>
  <c r="AR30"/>
  <c r="AS30" s="1"/>
  <c r="AR34"/>
  <c r="AS34" s="1"/>
  <c r="AR38"/>
  <c r="AS38" s="1"/>
  <c r="U10"/>
  <c r="D32" i="23"/>
  <c r="D28"/>
  <c r="D24"/>
  <c r="D31"/>
  <c r="D27"/>
  <c r="D23"/>
  <c r="AR13" i="1"/>
  <c r="AS13" s="1"/>
  <c r="AR26"/>
  <c r="D7" i="23"/>
  <c r="D20"/>
  <c r="AR25" i="1"/>
  <c r="U24"/>
  <c r="F18" i="11" s="1"/>
  <c r="U23" i="1"/>
  <c r="F17" i="11" s="1"/>
  <c r="D17" i="23"/>
  <c r="U19" i="1"/>
  <c r="F13" i="11" s="1"/>
  <c r="AJ45" i="1"/>
  <c r="AR12"/>
  <c r="U11"/>
  <c r="F5" i="11" s="1"/>
  <c r="U15" i="1"/>
  <c r="F9" i="11" s="1"/>
  <c r="AR27" i="1"/>
  <c r="AR31"/>
  <c r="AR35"/>
  <c r="AR28"/>
  <c r="AR32"/>
  <c r="AR36"/>
  <c r="AR40"/>
  <c r="AR39"/>
  <c r="U16"/>
  <c r="F10" i="11" s="1"/>
  <c r="U20" i="1"/>
  <c r="F14" i="11" s="1"/>
  <c r="U17" i="1"/>
  <c r="F11" i="11" s="1"/>
  <c r="U21" i="1"/>
  <c r="F15" i="11" s="1"/>
  <c r="T45" i="1"/>
  <c r="U14"/>
  <c r="F8" i="11" s="1"/>
  <c r="U18" i="1"/>
  <c r="F12" i="11" s="1"/>
  <c r="U22" i="1"/>
  <c r="F16" i="11" s="1"/>
  <c r="U28" i="1"/>
  <c r="F22" i="11" s="1"/>
  <c r="U29" i="1"/>
  <c r="F23" i="11" s="1"/>
  <c r="U30" i="1"/>
  <c r="F24" i="11" s="1"/>
  <c r="U31" i="1"/>
  <c r="F25" i="11" s="1"/>
  <c r="U32" i="1"/>
  <c r="F26" i="11" s="1"/>
  <c r="U33" i="1"/>
  <c r="F27" i="11" s="1"/>
  <c r="U34" i="1"/>
  <c r="F28" i="11" s="1"/>
  <c r="U35" i="1"/>
  <c r="F29" i="11" s="1"/>
  <c r="U36" i="1"/>
  <c r="F30" i="11" s="1"/>
  <c r="U37" i="1"/>
  <c r="F31" i="11" s="1"/>
  <c r="U38" i="1"/>
  <c r="F32" i="11" s="1"/>
  <c r="U39" i="1"/>
  <c r="F33" i="11" s="1"/>
  <c r="U40" i="1"/>
  <c r="F34" i="11" s="1"/>
  <c r="U41" i="1"/>
  <c r="AR42"/>
  <c r="S45"/>
  <c r="T47" s="1"/>
  <c r="T48" s="1"/>
  <c r="AT11"/>
  <c r="U12"/>
  <c r="F6" i="11" s="1"/>
  <c r="U13" i="1"/>
  <c r="F7" i="11" s="1"/>
  <c r="U25" i="1"/>
  <c r="F19" i="11" s="1"/>
  <c r="U26" i="1"/>
  <c r="F20" i="11" s="1"/>
  <c r="U27" i="1"/>
  <c r="F21" i="11" s="1"/>
  <c r="S47" i="1"/>
  <c r="AR11"/>
  <c r="AR14"/>
  <c r="AR15"/>
  <c r="AR16"/>
  <c r="AR17"/>
  <c r="AR18"/>
  <c r="AR19"/>
  <c r="AR20"/>
  <c r="AR21"/>
  <c r="AR22"/>
  <c r="AR23"/>
  <c r="AR24"/>
  <c r="AC33" i="12" l="1"/>
  <c r="AC28"/>
  <c r="AC24"/>
  <c r="AC25"/>
  <c r="AC36"/>
  <c r="AC32"/>
  <c r="AC8"/>
  <c r="AC29"/>
  <c r="AS42" i="1"/>
  <c r="AC37" i="12"/>
  <c r="AS36" i="1"/>
  <c r="AC31" i="12"/>
  <c r="AS31" i="1"/>
  <c r="AC26" i="12"/>
  <c r="AS40" i="1"/>
  <c r="AC35" i="12"/>
  <c r="AS35" i="1"/>
  <c r="AC30" i="12"/>
  <c r="AS39" i="1"/>
  <c r="AC34" i="12"/>
  <c r="AS28" i="1"/>
  <c r="AC23" i="12"/>
  <c r="AS26" i="1"/>
  <c r="AC21" i="12"/>
  <c r="AS32" i="1"/>
  <c r="AC27" i="12"/>
  <c r="AS24" i="1"/>
  <c r="AC19" i="12"/>
  <c r="AS20" i="1"/>
  <c r="AC15" i="12"/>
  <c r="AS16" i="1"/>
  <c r="AC11" i="12"/>
  <c r="AS21" i="1"/>
  <c r="AC16" i="12"/>
  <c r="C12" i="1"/>
  <c r="AT12" s="1"/>
  <c r="AC6" i="12"/>
  <c r="AS22" i="1"/>
  <c r="AC17" i="12"/>
  <c r="AS27" i="1"/>
  <c r="AC22" i="12"/>
  <c r="AS17" i="1"/>
  <c r="AC12" i="12"/>
  <c r="AS25" i="1"/>
  <c r="AC20" i="12"/>
  <c r="AS18" i="1"/>
  <c r="AC13" i="12"/>
  <c r="AS14" i="1"/>
  <c r="AC9" i="12"/>
  <c r="AS23" i="1"/>
  <c r="AC18" i="12"/>
  <c r="AS19" i="1"/>
  <c r="AC14" i="12"/>
  <c r="AS15" i="1"/>
  <c r="AC10" i="12"/>
  <c r="AS12" i="1"/>
  <c r="AC7" i="12"/>
  <c r="U45" i="1"/>
  <c r="AR45"/>
  <c r="AR47" s="1"/>
  <c r="AR48" s="1"/>
  <c r="AS1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AF37" i="13"/>
  <c r="AG37"/>
  <c r="AH37"/>
  <c r="Y37"/>
  <c r="Z37" s="1"/>
  <c r="AA37" s="1"/>
  <c r="U37"/>
  <c r="V37" s="1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D36"/>
  <c r="F36" s="1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AH5" i="3"/>
  <c r="AH6"/>
  <c r="AE5"/>
  <c r="AB5"/>
  <c r="Y5"/>
  <c r="V5"/>
  <c r="V6"/>
  <c r="O5"/>
  <c r="O6"/>
  <c r="L5"/>
  <c r="L6"/>
  <c r="I5"/>
  <c r="I6"/>
  <c r="F5"/>
  <c r="F6"/>
  <c r="E5"/>
  <c r="E6"/>
  <c r="H23" i="23"/>
  <c r="J23"/>
  <c r="H24"/>
  <c r="J24"/>
  <c r="H25"/>
  <c r="I25"/>
  <c r="J25"/>
  <c r="H26"/>
  <c r="I26"/>
  <c r="J26"/>
  <c r="H27"/>
  <c r="I27"/>
  <c r="J27"/>
  <c r="H28"/>
  <c r="I28"/>
  <c r="J28"/>
  <c r="F29"/>
  <c r="H29"/>
  <c r="I29"/>
  <c r="J29"/>
  <c r="F30"/>
  <c r="H30"/>
  <c r="I30"/>
  <c r="J30"/>
  <c r="F31"/>
  <c r="H31"/>
  <c r="I31"/>
  <c r="J31"/>
  <c r="F32"/>
  <c r="H32"/>
  <c r="I32"/>
  <c r="J32"/>
  <c r="F33"/>
  <c r="H33"/>
  <c r="I33"/>
  <c r="J33"/>
  <c r="F34"/>
  <c r="H34"/>
  <c r="I34"/>
  <c r="J34"/>
  <c r="F35"/>
  <c r="G35"/>
  <c r="H35"/>
  <c r="I35"/>
  <c r="J35"/>
  <c r="F36"/>
  <c r="H36"/>
  <c r="J36"/>
  <c r="D36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30"/>
  <c r="AD31"/>
  <c r="AD32"/>
  <c r="AD33"/>
  <c r="AD34"/>
  <c r="AD35"/>
  <c r="AD36"/>
  <c r="AD37"/>
  <c r="D46"/>
  <c r="F46"/>
  <c r="H46"/>
  <c r="J46"/>
  <c r="B13" i="14"/>
  <c r="B14"/>
  <c r="B15"/>
  <c r="B16"/>
  <c r="C13" i="1" l="1"/>
  <c r="C14" s="1"/>
  <c r="AS45"/>
  <c r="L19" i="22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H19" i="23" s="1"/>
  <c r="AC21" i="13"/>
  <c r="H20" i="23" s="1"/>
  <c r="AC22" i="13"/>
  <c r="H21" i="23" s="1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AT13" i="1" l="1"/>
  <c r="C15"/>
  <c r="AT14"/>
  <c r="L73" i="22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C16" i="1" l="1"/>
  <c r="AT15"/>
  <c r="C17" l="1"/>
  <c r="AT16"/>
  <c r="AJ7" i="3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C18" i="1" l="1"/>
  <c r="AT17"/>
  <c r="J5" i="18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N7" i="3"/>
  <c r="J4" i="18"/>
  <c r="J3"/>
  <c r="C6" i="10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9"/>
  <c r="K30"/>
  <c r="K31"/>
  <c r="K32"/>
  <c r="K33"/>
  <c r="K34"/>
  <c r="K35"/>
  <c r="A3" i="18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C19" i="1" l="1"/>
  <c r="AT18"/>
  <c r="N6" i="3"/>
  <c r="F31"/>
  <c r="G6" i="10"/>
  <c r="G7"/>
  <c r="G8"/>
  <c r="G9"/>
  <c r="G10"/>
  <c r="G11"/>
  <c r="G12"/>
  <c r="G13"/>
  <c r="G14"/>
  <c r="F30"/>
  <c r="F29"/>
  <c r="F30" i="3"/>
  <c r="F29"/>
  <c r="C20" i="1" l="1"/>
  <c r="AT19"/>
  <c r="G35" i="10"/>
  <c r="D35" i="23"/>
  <c r="G33" i="10"/>
  <c r="G29"/>
  <c r="G25"/>
  <c r="G21"/>
  <c r="G17"/>
  <c r="G34"/>
  <c r="G30"/>
  <c r="G26"/>
  <c r="G22"/>
  <c r="G18"/>
  <c r="G31"/>
  <c r="G27"/>
  <c r="G23"/>
  <c r="G19"/>
  <c r="G32"/>
  <c r="G28"/>
  <c r="G24"/>
  <c r="G20"/>
  <c r="G16"/>
  <c r="G15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C21" i="1" l="1"/>
  <c r="AT20"/>
  <c r="H27" i="3"/>
  <c r="AE13"/>
  <c r="AC4" i="18"/>
  <c r="AB6" i="3"/>
  <c r="C22" i="1" l="1"/>
  <c r="AT21"/>
  <c r="AB7" i="3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H22" i="23" s="1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C23" i="1" l="1"/>
  <c r="AT22"/>
  <c r="K18" i="14"/>
  <c r="K19"/>
  <c r="K20"/>
  <c r="D58" i="3"/>
  <c r="N17" i="12"/>
  <c r="P17" s="1"/>
  <c r="E16" i="3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D47" i="3"/>
  <c r="D48"/>
  <c r="D49"/>
  <c r="D50"/>
  <c r="D51"/>
  <c r="D52"/>
  <c r="D53"/>
  <c r="D54"/>
  <c r="D55"/>
  <c r="D57"/>
  <c r="D59"/>
  <c r="D60"/>
  <c r="D61"/>
  <c r="D62"/>
  <c r="D63"/>
  <c r="D64"/>
  <c r="D65"/>
  <c r="D66"/>
  <c r="D67"/>
  <c r="D68"/>
  <c r="D69"/>
  <c r="D70"/>
  <c r="D71"/>
  <c r="D72"/>
  <c r="C24" i="1" l="1"/>
  <c r="AT23"/>
  <c r="K15" i="10"/>
  <c r="F15" i="23"/>
  <c r="S14" i="18"/>
  <c r="S12"/>
  <c r="S9"/>
  <c r="S10"/>
  <c r="S8"/>
  <c r="S7"/>
  <c r="C25" i="1" l="1"/>
  <c r="AT24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AT25" i="1" l="1"/>
  <c r="C26"/>
  <c r="S15" i="18"/>
  <c r="S34"/>
  <c r="K9" i="12"/>
  <c r="M9" s="1"/>
  <c r="AT26" i="1" l="1"/>
  <c r="C27"/>
  <c r="K10" i="13"/>
  <c r="E10" i="14"/>
  <c r="K11" i="13"/>
  <c r="E11" i="14"/>
  <c r="K8" i="13"/>
  <c r="E8" i="14"/>
  <c r="K9" i="13"/>
  <c r="E9" i="14"/>
  <c r="S6" i="18"/>
  <c r="L6" i="10"/>
  <c r="S5" i="18"/>
  <c r="G5" i="10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AT27" i="1" l="1"/>
  <c r="C28"/>
  <c r="S4" i="18"/>
  <c r="S35"/>
  <c r="F9" i="10"/>
  <c r="F11"/>
  <c r="F12"/>
  <c r="F14"/>
  <c r="F15"/>
  <c r="F16"/>
  <c r="F18"/>
  <c r="F19"/>
  <c r="F20"/>
  <c r="F22"/>
  <c r="F33"/>
  <c r="F34"/>
  <c r="F35"/>
  <c r="I34" i="24"/>
  <c r="AT28" i="1" l="1"/>
  <c r="C29"/>
  <c r="E15" i="14"/>
  <c r="F32" i="10"/>
  <c r="F27"/>
  <c r="F25"/>
  <c r="F23"/>
  <c r="F21"/>
  <c r="F31"/>
  <c r="F28"/>
  <c r="F26"/>
  <c r="F24"/>
  <c r="E16" i="14"/>
  <c r="E14"/>
  <c r="K7" i="13"/>
  <c r="E7" i="14"/>
  <c r="K13" i="13"/>
  <c r="E13" i="14"/>
  <c r="F11"/>
  <c r="F8"/>
  <c r="K6" i="13"/>
  <c r="E6" i="14"/>
  <c r="E12"/>
  <c r="K12" i="13"/>
  <c r="F17" i="10"/>
  <c r="F13"/>
  <c r="F10"/>
  <c r="F8"/>
  <c r="F7"/>
  <c r="F6"/>
  <c r="F5"/>
  <c r="C30" i="1" l="1"/>
  <c r="AT29"/>
  <c r="F16" i="14"/>
  <c r="F15"/>
  <c r="F10"/>
  <c r="F13"/>
  <c r="F14"/>
  <c r="F7"/>
  <c r="F9"/>
  <c r="F6"/>
  <c r="F12"/>
  <c r="E14" i="3"/>
  <c r="K13" i="10" s="1"/>
  <c r="E15" i="3"/>
  <c r="K14" i="10" s="1"/>
  <c r="AT30" i="1" l="1"/>
  <c r="C31"/>
  <c r="J50" i="3"/>
  <c r="J51"/>
  <c r="J52"/>
  <c r="J53"/>
  <c r="J54"/>
  <c r="J55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C32" i="1" l="1"/>
  <c r="AT31"/>
  <c r="AT32" l="1"/>
  <c r="C33"/>
  <c r="L24" i="10"/>
  <c r="L23" l="1"/>
  <c r="AT33" i="1"/>
  <c r="C34"/>
  <c r="L22" i="10"/>
  <c r="L21"/>
  <c r="L20"/>
  <c r="L17"/>
  <c r="L16"/>
  <c r="L14"/>
  <c r="L15"/>
  <c r="L13"/>
  <c r="L12"/>
  <c r="L11"/>
  <c r="L10"/>
  <c r="L18"/>
  <c r="L19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AT34" i="1" l="1"/>
  <c r="C35"/>
  <c r="F8" i="23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C36" i="1" l="1"/>
  <c r="AT35"/>
  <c r="Z26" i="12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T36" i="1" l="1"/>
  <c r="C37"/>
  <c r="AM37" i="3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F26" l="1"/>
  <c r="K26" i="10"/>
  <c r="F23" i="23"/>
  <c r="K23" i="10"/>
  <c r="F27" i="23"/>
  <c r="K27" i="10"/>
  <c r="F28" i="23"/>
  <c r="K28" i="10"/>
  <c r="F24" i="23"/>
  <c r="K24" i="10"/>
  <c r="F25" i="23"/>
  <c r="K25" i="10"/>
  <c r="F22" i="23"/>
  <c r="K22" i="10"/>
  <c r="AT37" i="1"/>
  <c r="C38"/>
  <c r="F21" i="23"/>
  <c r="K21" i="10"/>
  <c r="K20"/>
  <c r="K19"/>
  <c r="K18"/>
  <c r="K17"/>
  <c r="K16"/>
  <c r="F12" i="23"/>
  <c r="K12" i="10"/>
  <c r="F11" i="23"/>
  <c r="K11" i="10"/>
  <c r="F10" i="23"/>
  <c r="K10" i="10"/>
  <c r="F9" i="23"/>
  <c r="K9" i="10"/>
  <c r="AN29" i="3"/>
  <c r="G28" i="23" s="1"/>
  <c r="AN31" i="3"/>
  <c r="G30" i="23" s="1"/>
  <c r="AN30" i="3"/>
  <c r="G29" i="23" s="1"/>
  <c r="G34" i="24"/>
  <c r="AT38" i="1" l="1"/>
  <c r="C39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1" s="1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H7" s="1"/>
  <c r="M7" s="1"/>
  <c r="T7" s="1"/>
  <c r="Y7" s="1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H23" s="1"/>
  <c r="M23" s="1"/>
  <c r="T23" s="1"/>
  <c r="Y23" s="1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1" s="1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L36" i="11"/>
  <c r="L34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I24" i="23" s="1"/>
  <c r="V22" i="18"/>
  <c r="D22"/>
  <c r="F22" s="1"/>
  <c r="I23" i="23" s="1"/>
  <c r="V21" i="18"/>
  <c r="D21"/>
  <c r="F21" s="1"/>
  <c r="I22" i="23" s="1"/>
  <c r="V20" i="18"/>
  <c r="D20"/>
  <c r="F20" s="1"/>
  <c r="I21" i="23" s="1"/>
  <c r="V19" i="18"/>
  <c r="D19"/>
  <c r="F19" s="1"/>
  <c r="I20" i="23" s="1"/>
  <c r="V18" i="18"/>
  <c r="D18"/>
  <c r="F18" s="1"/>
  <c r="I19" i="23" s="1"/>
  <c r="V17" i="18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V7"/>
  <c r="D7"/>
  <c r="F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G34" i="23" s="1"/>
  <c r="S35" i="3"/>
  <c r="N31" i="25"/>
  <c r="O35" i="3"/>
  <c r="L35"/>
  <c r="L31" i="25"/>
  <c r="I35" i="3"/>
  <c r="M31" i="25"/>
  <c r="F35" i="3"/>
  <c r="C35"/>
  <c r="AK34"/>
  <c r="AE34"/>
  <c r="Y34"/>
  <c r="V34"/>
  <c r="AN34"/>
  <c r="G33" i="23" s="1"/>
  <c r="N30" i="25"/>
  <c r="O34" i="3"/>
  <c r="L34"/>
  <c r="L30" i="25"/>
  <c r="I34" i="3"/>
  <c r="M30" i="25"/>
  <c r="F34" i="3"/>
  <c r="C34"/>
  <c r="AK33"/>
  <c r="AE33"/>
  <c r="Y33"/>
  <c r="V33"/>
  <c r="AN33"/>
  <c r="G32" i="23" s="1"/>
  <c r="N29" i="25"/>
  <c r="O33" i="3"/>
  <c r="L33"/>
  <c r="L29" i="25"/>
  <c r="I33" i="3"/>
  <c r="M29" i="25"/>
  <c r="F33" i="3"/>
  <c r="C33"/>
  <c r="AK32"/>
  <c r="AE32"/>
  <c r="Y32"/>
  <c r="V32"/>
  <c r="AN32"/>
  <c r="G31" i="23" s="1"/>
  <c r="N28" i="25"/>
  <c r="O32" i="3"/>
  <c r="L32"/>
  <c r="L28" i="25"/>
  <c r="I32" i="3"/>
  <c r="M28" i="25"/>
  <c r="F32" i="3"/>
  <c r="C32"/>
  <c r="AK31"/>
  <c r="AE31"/>
  <c r="Y31"/>
  <c r="V31"/>
  <c r="N27" i="25"/>
  <c r="O31" i="3"/>
  <c r="L31"/>
  <c r="L27" i="25"/>
  <c r="I31" i="3"/>
  <c r="M27" i="25"/>
  <c r="C31" i="3"/>
  <c r="AK30"/>
  <c r="AE30"/>
  <c r="Y30"/>
  <c r="V30"/>
  <c r="N26" i="25"/>
  <c r="O30" i="3"/>
  <c r="L30"/>
  <c r="L26" i="25"/>
  <c r="I30" i="3"/>
  <c r="M26" i="25"/>
  <c r="C30" i="3"/>
  <c r="AK29"/>
  <c r="AE29"/>
  <c r="Y29"/>
  <c r="V29"/>
  <c r="N25" i="25"/>
  <c r="O29" i="3"/>
  <c r="L29"/>
  <c r="L25" i="25"/>
  <c r="I29" i="3"/>
  <c r="M25" i="25"/>
  <c r="C29" i="3"/>
  <c r="AK28"/>
  <c r="AE28"/>
  <c r="Y28"/>
  <c r="V28"/>
  <c r="AN28"/>
  <c r="G27" i="23" s="1"/>
  <c r="N24" i="25"/>
  <c r="O28" i="3"/>
  <c r="L28"/>
  <c r="L24" i="25"/>
  <c r="I28" i="3"/>
  <c r="M24" i="25"/>
  <c r="C28" i="3"/>
  <c r="AK27"/>
  <c r="AE27"/>
  <c r="Y27"/>
  <c r="V27"/>
  <c r="AN27"/>
  <c r="G26" i="23" s="1"/>
  <c r="N23" i="25"/>
  <c r="O27" i="3"/>
  <c r="L27"/>
  <c r="L23" i="25"/>
  <c r="I27" i="3"/>
  <c r="M23" i="25"/>
  <c r="C27" i="3"/>
  <c r="AK26"/>
  <c r="AE26"/>
  <c r="Y26"/>
  <c r="V26"/>
  <c r="AN26"/>
  <c r="G25" i="23" s="1"/>
  <c r="N22" i="25"/>
  <c r="O26" i="3"/>
  <c r="L26"/>
  <c r="L22" i="25"/>
  <c r="I26" i="3"/>
  <c r="M22" i="25"/>
  <c r="F26" i="3"/>
  <c r="C26"/>
  <c r="AK25"/>
  <c r="AE25"/>
  <c r="Y25"/>
  <c r="V25"/>
  <c r="AN25"/>
  <c r="G24" i="23" s="1"/>
  <c r="N21" i="25"/>
  <c r="L25" i="3"/>
  <c r="L21" i="25"/>
  <c r="I25" i="3"/>
  <c r="M21" i="25"/>
  <c r="F25" i="3"/>
  <c r="C25"/>
  <c r="AK24"/>
  <c r="AE24"/>
  <c r="Y24"/>
  <c r="V24"/>
  <c r="AN24"/>
  <c r="G23" i="23" s="1"/>
  <c r="N20" i="25"/>
  <c r="L20"/>
  <c r="M20"/>
  <c r="F24" i="3"/>
  <c r="C24"/>
  <c r="AK23"/>
  <c r="AE23"/>
  <c r="Y23"/>
  <c r="V23"/>
  <c r="AN23"/>
  <c r="G22" i="23" s="1"/>
  <c r="N19" i="25"/>
  <c r="L19"/>
  <c r="M19"/>
  <c r="C23" i="3"/>
  <c r="AK22"/>
  <c r="AE22"/>
  <c r="Y22"/>
  <c r="V22"/>
  <c r="AN22"/>
  <c r="G21" i="23" s="1"/>
  <c r="N18" i="25"/>
  <c r="L18"/>
  <c r="M18"/>
  <c r="C22" i="3"/>
  <c r="AK21"/>
  <c r="AE21"/>
  <c r="Y21"/>
  <c r="V21"/>
  <c r="AN21"/>
  <c r="G20" i="23" s="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D13"/>
  <c r="N13" s="1"/>
  <c r="D12"/>
  <c r="N12" s="1"/>
  <c r="D10"/>
  <c r="N10" s="1"/>
  <c r="D9"/>
  <c r="N9" s="1"/>
  <c r="D8"/>
  <c r="N8" s="1"/>
  <c r="H5" i="11"/>
  <c r="C6" i="14"/>
  <c r="G6" i="11"/>
  <c r="AT39" i="1" l="1"/>
  <c r="C40"/>
  <c r="A1" i="12"/>
  <c r="X32" i="18"/>
  <c r="X31"/>
  <c r="X5"/>
  <c r="J6" i="23" s="1"/>
  <c r="X9" i="18"/>
  <c r="J10" i="23" s="1"/>
  <c r="X13" i="18"/>
  <c r="J14" i="23" s="1"/>
  <c r="X18" i="18"/>
  <c r="J19" i="23" s="1"/>
  <c r="X6" i="18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J22" i="23" s="1"/>
  <c r="X20" i="18"/>
  <c r="J21" i="23" s="1"/>
  <c r="X19" i="18"/>
  <c r="J20" i="23" s="1"/>
  <c r="X17" i="18"/>
  <c r="J18" i="23" s="1"/>
  <c r="S11" i="14"/>
  <c r="AI13" i="13"/>
  <c r="S22" i="14"/>
  <c r="S27"/>
  <c r="AI9" i="13"/>
  <c r="L6" i="18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I19" i="10"/>
  <c r="Q19" s="1"/>
  <c r="I26"/>
  <c r="Q26" s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I11" i="23"/>
  <c r="G32" i="14"/>
  <c r="G36"/>
  <c r="G31"/>
  <c r="G35"/>
  <c r="G30"/>
  <c r="G34"/>
  <c r="G37"/>
  <c r="G29"/>
  <c r="G33"/>
  <c r="I9" i="23"/>
  <c r="I8"/>
  <c r="O8" i="14"/>
  <c r="I7" i="23"/>
  <c r="K77" i="3"/>
  <c r="M37" i="13" s="1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G25"/>
  <c r="J24" i="13"/>
  <c r="K26"/>
  <c r="H25" i="11"/>
  <c r="K18" i="13"/>
  <c r="L18" s="1"/>
  <c r="H17" i="11"/>
  <c r="I17" s="1"/>
  <c r="K22" i="13"/>
  <c r="L22" s="1"/>
  <c r="H21" i="11"/>
  <c r="I21" s="1"/>
  <c r="C24" i="14"/>
  <c r="E25"/>
  <c r="O25" s="1"/>
  <c r="H24" i="11"/>
  <c r="I24" s="1"/>
  <c r="K25" i="13"/>
  <c r="J27"/>
  <c r="C28" i="14"/>
  <c r="K30" i="13"/>
  <c r="H29" i="11"/>
  <c r="J32" i="13"/>
  <c r="K34"/>
  <c r="H33" i="11"/>
  <c r="K36" i="13"/>
  <c r="H35" i="1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G28"/>
  <c r="E20" i="14"/>
  <c r="O20" s="1"/>
  <c r="K20" i="13"/>
  <c r="L20" s="1"/>
  <c r="H19" i="11"/>
  <c r="I19" s="1"/>
  <c r="D34" i="14"/>
  <c r="N34" s="1"/>
  <c r="R34" s="1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G29"/>
  <c r="J28" i="13"/>
  <c r="D29" i="14"/>
  <c r="N29" s="1"/>
  <c r="R29" s="1"/>
  <c r="J29" i="13"/>
  <c r="K31"/>
  <c r="H30" i="11"/>
  <c r="D33" i="14"/>
  <c r="N33" s="1"/>
  <c r="R33" s="1"/>
  <c r="G34" i="11"/>
  <c r="J33" i="13"/>
  <c r="C36" i="14"/>
  <c r="H16" i="11"/>
  <c r="I16" s="1"/>
  <c r="K17" i="13"/>
  <c r="L17" s="1"/>
  <c r="C20" i="14"/>
  <c r="E21"/>
  <c r="O21" s="1"/>
  <c r="H20" i="11"/>
  <c r="I20" s="1"/>
  <c r="K21" i="13"/>
  <c r="L21" s="1"/>
  <c r="E24" i="14"/>
  <c r="O24" s="1"/>
  <c r="K24" i="13"/>
  <c r="H23" i="11"/>
  <c r="I23" s="1"/>
  <c r="J26" i="13"/>
  <c r="E28" i="14"/>
  <c r="O28" s="1"/>
  <c r="K28" i="13"/>
  <c r="H27" i="11"/>
  <c r="E29" i="14"/>
  <c r="O29" s="1"/>
  <c r="H28" i="11"/>
  <c r="K29" i="13"/>
  <c r="J31"/>
  <c r="C32" i="14"/>
  <c r="E33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G32" i="26" s="1"/>
  <c r="L35" i="11"/>
  <c r="I24" i="10"/>
  <c r="Q24" s="1"/>
  <c r="G33" i="11"/>
  <c r="G27"/>
  <c r="I35" i="10"/>
  <c r="Q35" s="1"/>
  <c r="D37" i="14"/>
  <c r="G5" i="11"/>
  <c r="I5" s="1"/>
  <c r="G32"/>
  <c r="G26"/>
  <c r="M18" i="14"/>
  <c r="G14" i="26" s="1"/>
  <c r="L17" i="11"/>
  <c r="M20" i="14"/>
  <c r="G16" i="26" s="1"/>
  <c r="L19" i="11"/>
  <c r="M22" i="14"/>
  <c r="G18" i="26" s="1"/>
  <c r="L21" i="11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J36" i="13"/>
  <c r="F36" i="11"/>
  <c r="G30"/>
  <c r="AI30" i="13"/>
  <c r="AI26"/>
  <c r="J35"/>
  <c r="AI15"/>
  <c r="K56" i="3"/>
  <c r="M16" i="13" s="1"/>
  <c r="N17"/>
  <c r="P13" i="25"/>
  <c r="I17" i="14"/>
  <c r="L16" i="11"/>
  <c r="K15"/>
  <c r="P12" i="25"/>
  <c r="I16" i="14"/>
  <c r="L15" i="11"/>
  <c r="G31"/>
  <c r="D30" i="14"/>
  <c r="N30" s="1"/>
  <c r="R30" s="1"/>
  <c r="F30"/>
  <c r="H14" i="11"/>
  <c r="I14" s="1"/>
  <c r="K15" i="13"/>
  <c r="L15" s="1"/>
  <c r="L14" i="11"/>
  <c r="K14"/>
  <c r="N15" i="13"/>
  <c r="I15" i="14"/>
  <c r="H13" i="11"/>
  <c r="I13" s="1"/>
  <c r="K14" i="13"/>
  <c r="L14" s="1"/>
  <c r="L13" i="11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O6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I22"/>
  <c r="Q22" s="1"/>
  <c r="I33"/>
  <c r="Q33" s="1"/>
  <c r="AI14" i="13"/>
  <c r="AI20"/>
  <c r="AI28"/>
  <c r="AI32"/>
  <c r="AI33"/>
  <c r="AI36"/>
  <c r="AJ37" s="1"/>
  <c r="I29" i="10"/>
  <c r="Q29" s="1"/>
  <c r="I34"/>
  <c r="Q34" s="1"/>
  <c r="AI7" i="13"/>
  <c r="AI11"/>
  <c r="AI17"/>
  <c r="AI21"/>
  <c r="AI24"/>
  <c r="AI35"/>
  <c r="I20" i="10"/>
  <c r="Q20" s="1"/>
  <c r="I25"/>
  <c r="Q25" s="1"/>
  <c r="AI8" i="13"/>
  <c r="AI12"/>
  <c r="AJ13" s="1"/>
  <c r="AI25"/>
  <c r="AI27"/>
  <c r="AI29"/>
  <c r="AI31"/>
  <c r="AI34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E7" i="13"/>
  <c r="AI6"/>
  <c r="AT40" i="1" l="1"/>
  <c r="C41"/>
  <c r="AJ9" i="13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G7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AJ25"/>
  <c r="AJ29"/>
  <c r="AJ14"/>
  <c r="AJ35"/>
  <c r="AJ10"/>
  <c r="AJ20"/>
  <c r="AJ24"/>
  <c r="AJ12"/>
  <c r="AJ33"/>
  <c r="G31" i="26"/>
  <c r="M39" i="14"/>
  <c r="O35"/>
  <c r="O39" s="1"/>
  <c r="E39"/>
  <c r="D39"/>
  <c r="F35"/>
  <c r="T8" i="10"/>
  <c r="U8"/>
  <c r="X9"/>
  <c r="Z5"/>
  <c r="S37"/>
  <c r="S39" s="1"/>
  <c r="R8"/>
  <c r="AJ6" i="13"/>
  <c r="AJ7"/>
  <c r="F7"/>
  <c r="E8"/>
  <c r="N39" i="14"/>
  <c r="R7"/>
  <c r="R39" s="1"/>
  <c r="AT41" i="1" l="1"/>
  <c r="C42"/>
  <c r="F39" i="14"/>
  <c r="U9" i="10"/>
  <c r="X10"/>
  <c r="T9"/>
  <c r="S9"/>
  <c r="Z9" s="1"/>
  <c r="R9"/>
  <c r="V8"/>
  <c r="W8" s="1"/>
  <c r="F8" i="13"/>
  <c r="E9"/>
  <c r="G8"/>
  <c r="C43" i="1" l="1"/>
  <c r="AT43" s="1"/>
  <c r="AT42"/>
  <c r="V9" i="10"/>
  <c r="W9" s="1"/>
  <c r="X11"/>
  <c r="S10"/>
  <c r="Z10" s="1"/>
  <c r="U10"/>
  <c r="R10"/>
  <c r="T10"/>
  <c r="F9" i="13"/>
  <c r="E10"/>
  <c r="G9"/>
  <c r="X12" i="10" l="1"/>
  <c r="T11"/>
  <c r="R11"/>
  <c r="U11"/>
  <c r="S11"/>
  <c r="Z11" s="1"/>
  <c r="V10"/>
  <c r="W10" s="1"/>
  <c r="F10" i="13"/>
  <c r="E11"/>
  <c r="G10"/>
  <c r="V11" i="10" l="1"/>
  <c r="W11" s="1"/>
  <c r="T12"/>
  <c r="U12"/>
  <c r="X13"/>
  <c r="R12"/>
  <c r="S12"/>
  <c r="Z12" s="1"/>
  <c r="F11" i="13"/>
  <c r="E12"/>
  <c r="G11"/>
  <c r="U13" i="10" l="1"/>
  <c r="X14"/>
  <c r="T13"/>
  <c r="S13"/>
  <c r="Z13" s="1"/>
  <c r="R13"/>
  <c r="V12"/>
  <c r="W12" s="1"/>
  <c r="F12" i="13"/>
  <c r="E13"/>
  <c r="G12"/>
  <c r="V13" i="10" l="1"/>
  <c r="W13" s="1"/>
  <c r="X15"/>
  <c r="U14"/>
  <c r="T14"/>
  <c r="S14"/>
  <c r="Z14" s="1"/>
  <c r="R14"/>
  <c r="F13" i="13"/>
  <c r="E14"/>
  <c r="G13"/>
  <c r="X16" i="10" l="1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F23" i="13"/>
  <c r="E24"/>
  <c r="G23"/>
  <c r="V24" i="10" l="1"/>
  <c r="W24" s="1"/>
  <c r="X26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E11" i="25"/>
  <c r="C33" i="24"/>
  <c r="C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K32" i="26" l="1"/>
  <c r="X32" i="25" s="1"/>
  <c r="F30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H9" i="24"/>
  <c r="K8" i="25" s="1"/>
  <c r="F4" l="1"/>
  <c r="F9"/>
  <c r="F25"/>
  <c r="F22"/>
  <c r="F20"/>
  <c r="F29"/>
  <c r="F12"/>
  <c r="F21"/>
  <c r="E2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E21"/>
  <c r="E22"/>
  <c r="E25"/>
  <c r="E28"/>
  <c r="E29"/>
  <c r="E32"/>
  <c r="E4"/>
  <c r="E6"/>
  <c r="E8"/>
  <c r="E12"/>
  <c r="E14"/>
  <c r="E32" i="26" l="1"/>
  <c r="F32"/>
  <c r="G32" i="25"/>
  <c r="F2"/>
  <c r="H27" i="24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E17"/>
  <c r="H26" i="24"/>
  <c r="K25" i="25" s="1"/>
  <c r="E7"/>
  <c r="E3"/>
  <c r="E24"/>
  <c r="E20"/>
  <c r="E16"/>
  <c r="H25" i="24"/>
  <c r="K24" i="25" s="1"/>
  <c r="E10"/>
  <c r="E27"/>
  <c r="E23"/>
  <c r="E19"/>
  <c r="E15"/>
  <c r="F2" i="26"/>
  <c r="E13" i="25"/>
  <c r="E9"/>
  <c r="E5"/>
  <c r="E26"/>
  <c r="E18"/>
  <c r="E3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E30" i="25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AN17"/>
  <c r="AN12"/>
  <c r="G11" i="23" s="1"/>
  <c r="AN18" i="3"/>
  <c r="G17" i="23" s="1"/>
  <c r="AN11" i="3"/>
  <c r="AN15"/>
  <c r="U38"/>
  <c r="AN38" s="1"/>
  <c r="W16" i="25" l="1"/>
  <c r="G19" i="23"/>
  <c r="W15" i="25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H6" i="13" l="1"/>
  <c r="E5" i="23"/>
  <c r="H3" i="13"/>
  <c r="J5" i="11"/>
  <c r="E6" i="23" l="1"/>
  <c r="H7" i="13"/>
  <c r="J6" i="11"/>
  <c r="H8" i="13" l="1"/>
  <c r="J7" i="11"/>
  <c r="E7" i="23"/>
  <c r="E8" l="1"/>
  <c r="J8" i="11"/>
  <c r="H9" i="13"/>
  <c r="E9" i="23" l="1"/>
  <c r="J9" i="11"/>
  <c r="H10" i="13"/>
  <c r="E10" i="23" l="1"/>
  <c r="H11" i="13"/>
  <c r="J10" i="11"/>
  <c r="E11" i="23" l="1"/>
  <c r="J11" i="11"/>
  <c r="H12" i="13"/>
  <c r="J12" i="11" l="1"/>
  <c r="H13" i="13"/>
  <c r="E12" i="23"/>
  <c r="E13" l="1"/>
  <c r="H14" i="13"/>
  <c r="J13" i="11"/>
  <c r="E14" i="23" l="1"/>
  <c r="H15" i="13"/>
  <c r="J14" i="11"/>
  <c r="H16" i="13" l="1"/>
  <c r="J15" i="11"/>
  <c r="E15" i="23"/>
  <c r="E16" l="1"/>
  <c r="J16" i="11"/>
  <c r="H17" i="13"/>
  <c r="H18" l="1"/>
  <c r="J17" i="11"/>
  <c r="E17" i="23"/>
  <c r="E18" l="1"/>
  <c r="H19" i="13"/>
  <c r="J18" i="11"/>
  <c r="H20" i="13" l="1"/>
  <c r="E19" i="23"/>
  <c r="J19" i="11"/>
  <c r="E20" i="23" l="1"/>
  <c r="H21" i="13"/>
  <c r="J20" i="11"/>
  <c r="E21" i="23" l="1"/>
  <c r="J21" i="11"/>
  <c r="H22" i="13"/>
  <c r="E22" i="23" l="1"/>
  <c r="H23" i="13"/>
  <c r="J22" i="11"/>
  <c r="E23" i="23" l="1"/>
  <c r="H24" i="13"/>
  <c r="J23" i="11"/>
  <c r="H25" i="13" l="1"/>
  <c r="J24" i="11"/>
  <c r="E24" i="23"/>
  <c r="E25" l="1"/>
  <c r="H26" i="13"/>
  <c r="J25" i="11"/>
  <c r="E26" i="23" l="1"/>
  <c r="J26" i="11"/>
  <c r="H27" i="13"/>
  <c r="H28" l="1"/>
  <c r="E27" i="23"/>
  <c r="J27" i="11"/>
  <c r="E28" i="23" l="1"/>
  <c r="J28" i="11"/>
  <c r="H29" i="13"/>
  <c r="J29" i="11" l="1"/>
  <c r="E29" i="23"/>
  <c r="H30" i="13"/>
  <c r="J30" i="11" l="1"/>
  <c r="E30" i="23"/>
  <c r="H31" i="13"/>
  <c r="H32" l="1"/>
  <c r="J31" i="11"/>
  <c r="E31" i="23"/>
  <c r="E32" l="1"/>
  <c r="H33" i="13"/>
  <c r="J32" i="11"/>
  <c r="H34" i="13" l="1"/>
  <c r="J33" i="11"/>
  <c r="E33" i="23"/>
  <c r="E34" l="1"/>
  <c r="J34" i="11"/>
  <c r="H35" i="13"/>
  <c r="H36" l="1"/>
  <c r="J35" i="11"/>
  <c r="E35" i="23"/>
  <c r="E36" l="1"/>
  <c r="J36" i="11"/>
</calcChain>
</file>

<file path=xl/sharedStrings.xml><?xml version="1.0" encoding="utf-8"?>
<sst xmlns="http://schemas.openxmlformats.org/spreadsheetml/2006/main" count="549" uniqueCount="332">
  <si>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</si>
  <si>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</si>
  <si>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</si>
  <si>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</si>
  <si>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</si>
  <si>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</si>
  <si>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</si>
  <si>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</si>
  <si>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</si>
  <si>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</si>
  <si>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</si>
  <si>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</si>
  <si>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</si>
  <si>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</si>
  <si>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</si>
  <si>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</si>
  <si>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</si>
  <si>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</si>
  <si>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</si>
  <si>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</si>
  <si>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</si>
  <si>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</si>
  <si>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</si>
  <si>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</si>
  <si>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</si>
  <si>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</si>
  <si>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</si>
  <si>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</si>
  <si>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</si>
  <si>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</si>
  <si>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</si>
  <si>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</si>
  <si>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</si>
  <si>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</si>
  <si>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</si>
  <si>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</si>
  <si>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</si>
  <si>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</si>
  <si>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</si>
  <si>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</si>
  <si>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</si>
  <si>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</si>
  <si>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</si>
  <si>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</si>
  <si>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</si>
  <si>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</si>
  <si>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</si>
  <si>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</si>
  <si>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</si>
  <si>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</si>
  <si>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</si>
  <si>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</si>
  <si>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</si>
  <si>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</si>
  <si>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</si>
  <si>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</si>
  <si>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</si>
  <si>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</si>
  <si>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</si>
  <si>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</si>
  <si>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</si>
  <si>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</si>
  <si>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</si>
  <si>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</si>
  <si>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</si>
  <si>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</si>
  <si>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</si>
  <si>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</si>
  <si>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</si>
  <si>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</si>
  <si>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</si>
  <si>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</si>
  <si>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</si>
  <si>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</si>
  <si>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</si>
  <si>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</si>
  <si>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</si>
  <si>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</si>
  <si>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</si>
  <si>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</si>
  <si>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</si>
  <si>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</si>
  <si>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</si>
  <si>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</si>
  <si>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</si>
  <si>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</si>
  <si>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</si>
  <si>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</si>
  <si>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</si>
  <si>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</si>
  <si>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</si>
  <si>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</si>
  <si>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</si>
  <si>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</si>
  <si>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</si>
  <si>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</si>
  <si>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</si>
  <si>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</si>
  <si>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</si>
  <si>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</si>
  <si>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</si>
  <si>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</si>
  <si>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</si>
  <si>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</si>
  <si>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</si>
  <si>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</si>
  <si>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</si>
  <si>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</si>
  <si>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</si>
  <si>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</si>
  <si>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</si>
  <si>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</si>
  <si>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</si>
  <si>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</si>
  <si>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</si>
  <si>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</si>
  <si>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</si>
  <si>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</si>
  <si>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</si>
  <si>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</si>
  <si>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</si>
  <si>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</si>
  <si>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</si>
  <si>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</si>
  <si>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</si>
  <si>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</si>
  <si>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</si>
  <si>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</si>
  <si>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</si>
  <si>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</si>
  <si>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</si>
  <si>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</si>
  <si>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</si>
  <si>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</si>
  <si>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</si>
  <si>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</si>
  <si>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</si>
  <si>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</si>
  <si>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</si>
  <si>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</si>
  <si>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</si>
  <si>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</si>
  <si>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</si>
  <si>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</si>
  <si>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</si>
  <si>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</si>
  <si>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</si>
  <si>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</si>
  <si>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</si>
  <si>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</si>
  <si>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</si>
  <si>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</si>
  <si>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</si>
  <si>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</si>
  <si>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</si>
  <si>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</si>
  <si>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</si>
  <si>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</si>
  <si>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</si>
  <si>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</si>
  <si>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</si>
  <si>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</si>
  <si>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</si>
  <si>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</si>
  <si>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</si>
  <si>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</si>
  <si>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</si>
  <si>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</si>
  <si>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</si>
  <si>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</si>
  <si>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</si>
  <si>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</si>
  <si>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</si>
  <si>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</si>
  <si>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</si>
  <si>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</si>
  <si>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</si>
  <si>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</si>
  <si>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</si>
  <si>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</si>
  <si>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</si>
  <si>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</si>
  <si>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</si>
  <si>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</si>
  <si>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</si>
  <si>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</si>
  <si>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</si>
  <si>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</si>
  <si>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</si>
  <si>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</si>
  <si>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</si>
  <si>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</si>
  <si>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</si>
  <si>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</si>
  <si>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</si>
  <si>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</si>
  <si>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</si>
  <si>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</si>
  <si>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</si>
  <si>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</si>
  <si>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</si>
  <si>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</si>
  <si>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</si>
  <si>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</si>
  <si>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</si>
  <si>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</si>
  <si>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</si>
  <si>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</si>
  <si>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</si>
  <si>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</si>
  <si>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</si>
  <si>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</si>
  <si>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</si>
  <si>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</si>
  <si>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</si>
  <si>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</si>
  <si>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</si>
  <si>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</si>
  <si>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</si>
  <si>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</si>
  <si>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</si>
  <si>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</si>
  <si>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</si>
  <si>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</si>
  <si>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</si>
  <si>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</si>
  <si>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</si>
  <si>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</si>
  <si>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</si>
  <si>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</si>
  <si>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</si>
  <si>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</si>
  <si>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</si>
  <si>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</si>
  <si>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</si>
  <si>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</si>
  <si>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</si>
  <si>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</si>
  <si>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</si>
  <si>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</si>
  <si>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</si>
  <si>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</si>
  <si>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</si>
  <si>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</si>
  <si>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</si>
  <si>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</si>
  <si>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</si>
  <si>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</si>
  <si>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</si>
  <si>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</si>
  <si>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</si>
  <si>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</si>
  <si>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</si>
  <si>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</si>
  <si>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</si>
  <si>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</si>
  <si>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</si>
  <si>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</si>
  <si>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</si>
  <si>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</si>
  <si>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</si>
  <si>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</si>
  <si>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</si>
  <si>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</si>
  <si>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</si>
  <si>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</si>
  <si>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</si>
  <si>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</si>
  <si>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</si>
  <si>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</si>
  <si>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</si>
  <si>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</si>
  <si>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</si>
  <si>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</si>
  <si>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</si>
  <si>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</si>
  <si>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</si>
  <si>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</si>
  <si>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</si>
  <si>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</si>
  <si>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</si>
  <si>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</si>
  <si>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</si>
  <si>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</si>
  <si>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</si>
  <si>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</si>
  <si>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</si>
  <si>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</si>
  <si>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</si>
  <si>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</si>
  <si>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</si>
  <si>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</si>
  <si>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</si>
  <si>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</si>
  <si>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</si>
  <si>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</si>
  <si>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</si>
  <si>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</si>
  <si>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</si>
  <si>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</si>
  <si>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</si>
  <si>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</si>
  <si>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</si>
  <si>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</si>
  <si>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</si>
  <si>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</si>
  <si>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</si>
  <si>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</si>
  <si>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</si>
  <si>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</si>
  <si>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</si>
  <si>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</si>
  <si>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</si>
  <si>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</si>
  <si>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 xml:space="preserve"> UTILITY REPORT </t>
  </si>
  <si>
    <t xml:space="preserve">Four Seasons Safari Lodge Serengeti - Water Report </t>
  </si>
  <si>
    <t>Generator and Diseal Summry Report</t>
  </si>
  <si>
    <t>Cash paid</t>
  </si>
  <si>
    <t>T728CXC</t>
  </si>
  <si>
    <t>Michael</t>
  </si>
  <si>
    <t>Elihuruma</t>
  </si>
  <si>
    <t>T726DCD</t>
  </si>
  <si>
    <t>Shabani</t>
  </si>
  <si>
    <t>T132CWQ</t>
  </si>
  <si>
    <t>Godlesen</t>
  </si>
  <si>
    <t>Elihiruma</t>
  </si>
  <si>
    <t>T880DKQ</t>
  </si>
  <si>
    <t>Stevin</t>
  </si>
  <si>
    <t>T853DDW</t>
  </si>
  <si>
    <t>Othuman</t>
  </si>
  <si>
    <t>Raha</t>
  </si>
  <si>
    <t xml:space="preserve">Puma 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</si>
</sst>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11"/>
      <color rgb="FF00000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72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0" fontId="0" fillId="0" borderId="1" xfId="6" applyNumberFormat="1" applyFont="1" applyBorder="1" applyAlignment="1">
      <alignment horizontal="center" vertical="center" wrapText="1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0" fontId="0" fillId="0" borderId="6" xfId="6" applyNumberFormat="1" applyFont="1" applyBorder="1" applyAlignment="1">
      <alignment horizontal="center" vertical="center" wrapText="1"/>
    </xf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10" borderId="1" xfId="0" applyFill="1" applyBorder="1" applyAlignment="1">
      <alignment horizontal="center"/>
    </xf>
    <xf numFmtId="0" fontId="64" fillId="0" borderId="26" xfId="0" applyNumberFormat="1" applyFont="1" applyFill="1" applyBorder="1" applyAlignment="1">
      <alignment horizontal="right"/>
    </xf>
    <xf numFmtId="0" fontId="0" fillId="0" borderId="26" xfId="0" applyFill="1" applyBorder="1" applyAlignment="1"/>
    <xf numFmtId="0" fontId="4" fillId="0" borderId="0" xfId="0" applyFont="1" applyAlignment="1">
      <alignment horizontal="center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31" fillId="10" borderId="17" xfId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0" borderId="54" xfId="1" applyFont="1" applyBorder="1" applyAlignment="1">
      <alignment horizontal="center"/>
    </xf>
    <xf numFmtId="165" fontId="16" fillId="0" borderId="58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0" borderId="16" xfId="1" applyFont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16" fillId="16" borderId="16" xfId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165" fontId="42" fillId="0" borderId="0" xfId="0" applyNumberFormat="1" applyFont="1" applyAlignment="1">
      <alignment horizontal="center"/>
    </xf>
    <xf numFmtId="14" fontId="4" fillId="0" borderId="40" xfId="0" applyNumberFormat="1" applyFont="1" applyBorder="1" applyAlignment="1"/>
    <xf numFmtId="0" fontId="4" fillId="0" borderId="26" xfId="0" applyFont="1" applyBorder="1" applyAlignment="1"/>
    <xf numFmtId="0" fontId="4" fillId="0" borderId="26" xfId="0" applyFont="1" applyBorder="1" applyAlignment="1">
      <alignment horizontal="center"/>
    </xf>
    <xf numFmtId="0" fontId="4" fillId="0" borderId="49" xfId="0" applyNumberFormat="1" applyFont="1" applyBorder="1" applyAlignment="1">
      <alignment horizontal="center"/>
    </xf>
    <xf numFmtId="0" fontId="0" fillId="0" borderId="60" xfId="0" applyFill="1" applyBorder="1"/>
    <xf numFmtId="0" fontId="23" fillId="0" borderId="52" xfId="0" applyFont="1" applyFill="1" applyBorder="1" applyAlignment="1">
      <alignment horizontal="center" vertical="center" wrapText="1"/>
    </xf>
    <xf numFmtId="0" fontId="23" fillId="0" borderId="34" xfId="0" applyFont="1" applyFill="1" applyBorder="1" applyAlignment="1">
      <alignment horizontal="center" vertical="center" wrapText="1"/>
    </xf>
    <xf numFmtId="165" fontId="16" fillId="8" borderId="80" xfId="1" applyFont="1" applyFill="1" applyBorder="1" applyAlignment="1">
      <alignment horizontal="center"/>
    </xf>
    <xf numFmtId="9" fontId="1" fillId="0" borderId="36" xfId="9" applyNumberFormat="1" applyFont="1" applyBorder="1" applyAlignment="1">
      <alignment horizontal="center" vertical="center"/>
    </xf>
    <xf numFmtId="9" fontId="1" fillId="0" borderId="5" xfId="9" applyNumberFormat="1" applyFont="1" applyBorder="1" applyAlignment="1">
      <alignment horizontal="center" vertical="center"/>
    </xf>
    <xf numFmtId="9" fontId="66" fillId="0" borderId="1" xfId="0" applyNumberFormat="1" applyFont="1" applyFill="1" applyBorder="1" applyAlignment="1">
      <alignment horizontal="center"/>
    </xf>
    <xf numFmtId="166" fontId="16" fillId="7" borderId="55" xfId="1" applyNumberFormat="1" applyFont="1" applyFill="1" applyBorder="1" applyAlignment="1">
      <alignment horizontal="center"/>
    </xf>
    <xf numFmtId="166" fontId="16" fillId="11" borderId="55" xfId="1" applyNumberFormat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169" fontId="27" fillId="0" borderId="52" xfId="0" applyNumberFormat="1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169" fontId="2" fillId="0" borderId="0" xfId="0" applyNumberFormat="1" applyFont="1" applyBorder="1" applyAlignment="1">
      <alignment horizontal="center" vertical="center"/>
    </xf>
    <xf numFmtId="169" fontId="2" fillId="0" borderId="24" xfId="0" applyNumberFormat="1" applyFont="1" applyBorder="1" applyAlignment="1">
      <alignment horizontal="center" vertic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81401344"/>
        <c:axId val="8140288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81408768"/>
        <c:axId val="81410304"/>
      </c:lineChart>
      <c:catAx>
        <c:axId val="8140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02880"/>
        <c:crosses val="autoZero"/>
        <c:auto val="1"/>
        <c:lblAlgn val="ctr"/>
        <c:lblOffset val="100"/>
      </c:catAx>
      <c:valAx>
        <c:axId val="8140288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01344"/>
        <c:crosses val="autoZero"/>
        <c:crossBetween val="between"/>
        <c:majorUnit val="200"/>
      </c:valAx>
      <c:catAx>
        <c:axId val="81408768"/>
        <c:scaling>
          <c:orientation val="minMax"/>
        </c:scaling>
        <c:delete val="1"/>
        <c:axPos val="b"/>
        <c:tickLblPos val="none"/>
        <c:crossAx val="81410304"/>
        <c:crosses val="autoZero"/>
        <c:auto val="1"/>
        <c:lblAlgn val="ctr"/>
        <c:lblOffset val="100"/>
      </c:catAx>
      <c:valAx>
        <c:axId val="814103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087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81444224"/>
        <c:axId val="8144601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81447552"/>
        <c:axId val="81453440"/>
      </c:lineChart>
      <c:catAx>
        <c:axId val="81444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46016"/>
        <c:crosses val="autoZero"/>
        <c:auto val="1"/>
        <c:lblAlgn val="ctr"/>
        <c:lblOffset val="100"/>
      </c:catAx>
      <c:valAx>
        <c:axId val="814460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44224"/>
        <c:crosses val="autoZero"/>
        <c:crossBetween val="between"/>
        <c:majorUnit val="200"/>
      </c:valAx>
      <c:catAx>
        <c:axId val="81447552"/>
        <c:scaling>
          <c:orientation val="minMax"/>
        </c:scaling>
        <c:delete val="1"/>
        <c:axPos val="b"/>
        <c:tickLblPos val="none"/>
        <c:crossAx val="81453440"/>
        <c:crosses val="autoZero"/>
        <c:auto val="1"/>
        <c:lblAlgn val="ctr"/>
        <c:lblOffset val="100"/>
      </c:catAx>
      <c:valAx>
        <c:axId val="814534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4475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82429056"/>
        <c:axId val="82430592"/>
      </c:lineChart>
      <c:catAx>
        <c:axId val="8242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30592"/>
        <c:crosses val="autoZero"/>
        <c:auto val="1"/>
        <c:lblAlgn val="ctr"/>
        <c:lblOffset val="200"/>
        <c:tickLblSkip val="1"/>
      </c:catAx>
      <c:valAx>
        <c:axId val="824305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42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82602624"/>
        <c:axId val="82608512"/>
      </c:lineChart>
      <c:catAx>
        <c:axId val="826026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08512"/>
        <c:crosses val="autoZero"/>
        <c:auto val="1"/>
        <c:lblAlgn val="ctr"/>
        <c:lblOffset val="100"/>
      </c:catAx>
      <c:valAx>
        <c:axId val="8260851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6026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83186048"/>
        <c:axId val="83187968"/>
      </c:lineChart>
      <c:catAx>
        <c:axId val="83186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87968"/>
        <c:crosses val="autoZero"/>
        <c:auto val="1"/>
        <c:lblAlgn val="ctr"/>
        <c:lblOffset val="100"/>
      </c:catAx>
      <c:valAx>
        <c:axId val="831879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1860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83217024"/>
        <c:axId val="83378944"/>
      </c:lineChart>
      <c:catAx>
        <c:axId val="8321702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78944"/>
        <c:crosses val="autoZero"/>
        <c:auto val="1"/>
        <c:lblAlgn val="ctr"/>
        <c:lblOffset val="100"/>
      </c:catAx>
      <c:valAx>
        <c:axId val="8337894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21702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83371136"/>
        <c:axId val="83372672"/>
      </c:lineChart>
      <c:catAx>
        <c:axId val="833711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72672"/>
        <c:crosses val="autoZero"/>
        <c:auto val="1"/>
        <c:lblAlgn val="ctr"/>
        <c:lblOffset val="100"/>
      </c:catAx>
      <c:valAx>
        <c:axId val="833726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3711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84221312"/>
        <c:axId val="84235392"/>
      </c:lineChart>
      <c:catAx>
        <c:axId val="842213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35392"/>
        <c:crosses val="autoZero"/>
        <c:auto val="1"/>
        <c:lblAlgn val="ctr"/>
        <c:lblOffset val="100"/>
      </c:catAx>
      <c:valAx>
        <c:axId val="84235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2213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84415232"/>
        <c:axId val="84416768"/>
      </c:lineChart>
      <c:catAx>
        <c:axId val="8441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16768"/>
        <c:crosses val="autoZero"/>
        <c:auto val="1"/>
        <c:lblAlgn val="ctr"/>
        <c:lblOffset val="100"/>
      </c:catAx>
      <c:valAx>
        <c:axId val="84416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1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6871"/>
          <c:y val="7.471324705111745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84441344"/>
        <c:axId val="84447232"/>
      </c:lineChart>
      <c:catAx>
        <c:axId val="84441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47232"/>
        <c:crosses val="autoZero"/>
        <c:auto val="1"/>
        <c:lblAlgn val="ctr"/>
        <c:lblOffset val="200"/>
        <c:tickLblSkip val="1"/>
      </c:catAx>
      <c:valAx>
        <c:axId val="8444723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41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84746240"/>
        <c:axId val="84747776"/>
      </c:lineChart>
      <c:catAx>
        <c:axId val="84746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47776"/>
        <c:crosses val="autoZero"/>
        <c:auto val="1"/>
        <c:lblAlgn val="ctr"/>
        <c:lblOffset val="100"/>
      </c:catAx>
      <c:valAx>
        <c:axId val="84747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746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84952576"/>
        <c:axId val="84954496"/>
      </c:lineChart>
      <c:catAx>
        <c:axId val="849525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54496"/>
        <c:crosses val="autoZero"/>
        <c:auto val="1"/>
        <c:lblAlgn val="ctr"/>
        <c:lblOffset val="100"/>
      </c:catAx>
      <c:valAx>
        <c:axId val="8495449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5257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5131264"/>
        <c:axId val="85133184"/>
      </c:lineChart>
      <c:catAx>
        <c:axId val="851312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33184"/>
        <c:crosses val="autoZero"/>
        <c:auto val="1"/>
        <c:lblAlgn val="ctr"/>
        <c:lblOffset val="100"/>
      </c:catAx>
      <c:valAx>
        <c:axId val="851331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312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5158144"/>
        <c:axId val="85159936"/>
      </c:lineChart>
      <c:catAx>
        <c:axId val="85158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59936"/>
        <c:crosses val="autoZero"/>
        <c:auto val="1"/>
        <c:lblAlgn val="ctr"/>
        <c:lblOffset val="100"/>
      </c:catAx>
      <c:valAx>
        <c:axId val="8515993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158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85476096"/>
        <c:axId val="85477632"/>
      </c:lineChart>
      <c:catAx>
        <c:axId val="85476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77632"/>
        <c:crosses val="autoZero"/>
        <c:auto val="1"/>
        <c:lblAlgn val="ctr"/>
        <c:lblOffset val="100"/>
      </c:catAx>
      <c:valAx>
        <c:axId val="85477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76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5505920"/>
        <c:axId val="85507456"/>
      </c:lineChart>
      <c:catAx>
        <c:axId val="85505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07456"/>
        <c:crosses val="autoZero"/>
        <c:auto val="1"/>
        <c:lblAlgn val="ctr"/>
        <c:lblOffset val="100"/>
      </c:catAx>
      <c:valAx>
        <c:axId val="85507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505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7137"/>
          <c:y val="7.4713247051117801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86127360"/>
        <c:axId val="8612889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86138880"/>
        <c:axId val="86140416"/>
      </c:lineChart>
      <c:catAx>
        <c:axId val="8612736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28896"/>
        <c:crosses val="autoZero"/>
        <c:lblAlgn val="ctr"/>
        <c:lblOffset val="100"/>
        <c:tickMarkSkip val="1"/>
      </c:catAx>
      <c:valAx>
        <c:axId val="8612889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27360"/>
        <c:crosses val="autoZero"/>
        <c:crossBetween val="between"/>
      </c:valAx>
      <c:catAx>
        <c:axId val="86138880"/>
        <c:scaling>
          <c:orientation val="minMax"/>
        </c:scaling>
        <c:delete val="1"/>
        <c:axPos val="b"/>
        <c:numFmt formatCode="[$-409]d\-mmm\-yy;@" sourceLinked="1"/>
        <c:tickLblPos val="none"/>
        <c:crossAx val="86140416"/>
        <c:crosses val="autoZero"/>
        <c:lblAlgn val="ctr"/>
        <c:lblOffset val="100"/>
      </c:catAx>
      <c:valAx>
        <c:axId val="86140416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388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6173184"/>
        <c:axId val="86174720"/>
      </c:lineChart>
      <c:catAx>
        <c:axId val="86173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74720"/>
        <c:crosses val="autoZero"/>
        <c:auto val="1"/>
        <c:lblAlgn val="ctr"/>
        <c:lblOffset val="100"/>
      </c:catAx>
      <c:valAx>
        <c:axId val="8617472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17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7374848"/>
        <c:axId val="87405312"/>
      </c:lineChart>
      <c:catAx>
        <c:axId val="8737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405312"/>
        <c:crosses val="autoZero"/>
        <c:auto val="1"/>
        <c:lblAlgn val="ctr"/>
        <c:lblOffset val="100"/>
      </c:catAx>
      <c:valAx>
        <c:axId val="8740531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7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8116224"/>
        <c:axId val="8812211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8123648"/>
        <c:axId val="88137728"/>
      </c:lineChart>
      <c:catAx>
        <c:axId val="881162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22112"/>
        <c:crosses val="autoZero"/>
        <c:lblAlgn val="ctr"/>
        <c:lblOffset val="100"/>
        <c:tickMarkSkip val="1"/>
      </c:catAx>
      <c:valAx>
        <c:axId val="88122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16224"/>
        <c:crosses val="autoZero"/>
        <c:crossBetween val="between"/>
      </c:valAx>
      <c:catAx>
        <c:axId val="88123648"/>
        <c:scaling>
          <c:orientation val="minMax"/>
        </c:scaling>
        <c:delete val="1"/>
        <c:axPos val="b"/>
        <c:numFmt formatCode="General" sourceLinked="1"/>
        <c:tickLblPos val="none"/>
        <c:crossAx val="88137728"/>
        <c:crosses val="autoZero"/>
        <c:lblAlgn val="ctr"/>
        <c:lblOffset val="100"/>
      </c:catAx>
      <c:valAx>
        <c:axId val="8813772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1236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8284544"/>
        <c:axId val="88306816"/>
      </c:lineChart>
      <c:catAx>
        <c:axId val="88284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06816"/>
        <c:crosses val="autoZero"/>
        <c:auto val="1"/>
        <c:lblAlgn val="ctr"/>
        <c:lblOffset val="100"/>
      </c:catAx>
      <c:valAx>
        <c:axId val="88306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284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8327296"/>
        <c:axId val="88328832"/>
      </c:lineChart>
      <c:catAx>
        <c:axId val="883272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28832"/>
        <c:crosses val="autoZero"/>
        <c:auto val="1"/>
        <c:lblAlgn val="ctr"/>
        <c:lblOffset val="100"/>
      </c:catAx>
      <c:valAx>
        <c:axId val="883288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32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2301696"/>
        <c:axId val="8230323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02567936"/>
        <c:axId val="102569472"/>
      </c:lineChart>
      <c:catAx>
        <c:axId val="8230169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03232"/>
        <c:crosses val="autoZero"/>
        <c:lblAlgn val="ctr"/>
        <c:lblOffset val="100"/>
        <c:tickMarkSkip val="1"/>
      </c:catAx>
      <c:valAx>
        <c:axId val="823032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301696"/>
        <c:crosses val="autoZero"/>
        <c:crossBetween val="between"/>
      </c:valAx>
      <c:catAx>
        <c:axId val="102567936"/>
        <c:scaling>
          <c:orientation val="minMax"/>
        </c:scaling>
        <c:delete val="1"/>
        <c:axPos val="b"/>
        <c:numFmt formatCode="[$-409]d\-mmm\-yy;@" sourceLinked="1"/>
        <c:tickLblPos val="none"/>
        <c:crossAx val="102569472"/>
        <c:crosses val="autoZero"/>
        <c:lblAlgn val="ctr"/>
        <c:lblOffset val="100"/>
      </c:catAx>
      <c:valAx>
        <c:axId val="10256947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679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02591488"/>
        <c:axId val="1025973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02598912"/>
        <c:axId val="102600704"/>
      </c:lineChart>
      <c:catAx>
        <c:axId val="1025914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97376"/>
        <c:crosses val="autoZero"/>
        <c:lblAlgn val="ctr"/>
        <c:lblOffset val="100"/>
        <c:tickMarkSkip val="1"/>
      </c:catAx>
      <c:valAx>
        <c:axId val="102597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91488"/>
        <c:crosses val="autoZero"/>
        <c:crossBetween val="between"/>
      </c:valAx>
      <c:catAx>
        <c:axId val="102598912"/>
        <c:scaling>
          <c:orientation val="minMax"/>
        </c:scaling>
        <c:delete val="1"/>
        <c:axPos val="b"/>
        <c:numFmt formatCode="General" sourceLinked="1"/>
        <c:tickLblPos val="none"/>
        <c:crossAx val="102600704"/>
        <c:crosses val="autoZero"/>
        <c:lblAlgn val="ctr"/>
        <c:lblOffset val="100"/>
      </c:catAx>
      <c:valAx>
        <c:axId val="1026007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9891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03217408"/>
        <c:axId val="10341990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03421440"/>
        <c:axId val="103422976"/>
      </c:lineChart>
      <c:catAx>
        <c:axId val="10321740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19904"/>
        <c:crosses val="autoZero"/>
        <c:lblAlgn val="ctr"/>
        <c:lblOffset val="100"/>
        <c:tickMarkSkip val="1"/>
      </c:catAx>
      <c:valAx>
        <c:axId val="10341990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217408"/>
        <c:crosses val="autoZero"/>
        <c:crossBetween val="between"/>
      </c:valAx>
      <c:catAx>
        <c:axId val="103421440"/>
        <c:scaling>
          <c:orientation val="minMax"/>
        </c:scaling>
        <c:delete val="1"/>
        <c:axPos val="b"/>
        <c:numFmt formatCode="[$-409]d\-mmm\-yy;@" sourceLinked="1"/>
        <c:tickLblPos val="none"/>
        <c:crossAx val="103422976"/>
        <c:crosses val="autoZero"/>
        <c:lblAlgn val="ctr"/>
        <c:lblOffset val="100"/>
      </c:catAx>
      <c:valAx>
        <c:axId val="10342297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2144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03469824"/>
        <c:axId val="10347136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03477248"/>
        <c:axId val="103478784"/>
      </c:lineChart>
      <c:catAx>
        <c:axId val="10346982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71360"/>
        <c:crosses val="autoZero"/>
        <c:lblAlgn val="ctr"/>
        <c:lblOffset val="100"/>
        <c:tickMarkSkip val="1"/>
      </c:catAx>
      <c:valAx>
        <c:axId val="1034713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69824"/>
        <c:crosses val="autoZero"/>
        <c:crossBetween val="between"/>
      </c:valAx>
      <c:catAx>
        <c:axId val="103477248"/>
        <c:scaling>
          <c:orientation val="minMax"/>
        </c:scaling>
        <c:delete val="1"/>
        <c:axPos val="b"/>
        <c:numFmt formatCode="General" sourceLinked="1"/>
        <c:tickLblPos val="none"/>
        <c:crossAx val="103478784"/>
        <c:crosses val="autoZero"/>
        <c:lblAlgn val="ctr"/>
        <c:lblOffset val="100"/>
      </c:catAx>
      <c:valAx>
        <c:axId val="10347878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47724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07587456"/>
        <c:axId val="107597824"/>
      </c:lineChart>
      <c:catAx>
        <c:axId val="107587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97824"/>
        <c:crosses val="autoZero"/>
        <c:auto val="1"/>
        <c:lblAlgn val="ctr"/>
        <c:lblOffset val="100"/>
      </c:catAx>
      <c:valAx>
        <c:axId val="10759782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874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04755584"/>
        <c:axId val="104757504"/>
      </c:lineChart>
      <c:catAx>
        <c:axId val="1047555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57504"/>
        <c:crosses val="autoZero"/>
        <c:auto val="1"/>
        <c:lblAlgn val="ctr"/>
        <c:lblOffset val="100"/>
      </c:catAx>
      <c:valAx>
        <c:axId val="10475750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555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104745600"/>
        <c:axId val="104784256"/>
      </c:lineChart>
      <c:catAx>
        <c:axId val="10474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84256"/>
        <c:crosses val="autoZero"/>
        <c:auto val="1"/>
        <c:lblAlgn val="ctr"/>
        <c:lblOffset val="200"/>
        <c:tickLblSkip val="1"/>
      </c:catAx>
      <c:valAx>
        <c:axId val="1047842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74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07782528"/>
        <c:axId val="107784064"/>
      </c:lineChart>
      <c:catAx>
        <c:axId val="107782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84064"/>
        <c:crosses val="autoZero"/>
        <c:auto val="1"/>
        <c:lblAlgn val="ctr"/>
        <c:lblOffset val="100"/>
      </c:catAx>
      <c:valAx>
        <c:axId val="1077840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82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09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07796352"/>
        <c:axId val="107797888"/>
      </c:lineChart>
      <c:catAx>
        <c:axId val="10779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97888"/>
        <c:crosses val="autoZero"/>
        <c:auto val="1"/>
        <c:lblAlgn val="ctr"/>
        <c:lblOffset val="100"/>
      </c:catAx>
      <c:valAx>
        <c:axId val="1077978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79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0.41609084652443218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08883328"/>
        <c:axId val="109053440"/>
      </c:lineChart>
      <c:catAx>
        <c:axId val="1088833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53440"/>
        <c:crosses val="autoZero"/>
        <c:auto val="1"/>
        <c:lblAlgn val="ctr"/>
        <c:lblOffset val="100"/>
      </c:catAx>
      <c:valAx>
        <c:axId val="1090534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8833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58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09094784"/>
        <c:axId val="109105536"/>
      </c:lineChart>
      <c:catAx>
        <c:axId val="1090947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105536"/>
        <c:crosses val="autoZero"/>
        <c:auto val="1"/>
        <c:lblAlgn val="ctr"/>
        <c:lblOffset val="100"/>
      </c:catAx>
      <c:valAx>
        <c:axId val="10910553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09478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2906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10309760"/>
        <c:axId val="110311296"/>
      </c:lineChart>
      <c:catAx>
        <c:axId val="110309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311296"/>
        <c:crosses val="autoZero"/>
        <c:auto val="1"/>
        <c:lblAlgn val="ctr"/>
        <c:lblOffset val="200"/>
        <c:tickLblSkip val="1"/>
      </c:catAx>
      <c:valAx>
        <c:axId val="11031129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3097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10348160"/>
        <c:axId val="110349696"/>
      </c:lineChart>
      <c:catAx>
        <c:axId val="1103481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349696"/>
        <c:crosses val="autoZero"/>
        <c:auto val="1"/>
        <c:lblAlgn val="ctr"/>
        <c:lblOffset val="100"/>
      </c:catAx>
      <c:valAx>
        <c:axId val="11034969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3481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09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09841792"/>
        <c:axId val="109892736"/>
      </c:lineChart>
      <c:catAx>
        <c:axId val="10984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92736"/>
        <c:crosses val="autoZero"/>
        <c:auto val="1"/>
        <c:lblAlgn val="ctr"/>
        <c:lblOffset val="100"/>
      </c:catAx>
      <c:valAx>
        <c:axId val="1098927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84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46310272"/>
        <c:axId val="146312192"/>
      </c:lineChart>
      <c:catAx>
        <c:axId val="1463102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312192"/>
        <c:crosses val="autoZero"/>
        <c:auto val="1"/>
        <c:lblAlgn val="ctr"/>
        <c:lblOffset val="100"/>
      </c:catAx>
      <c:valAx>
        <c:axId val="1463121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31027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46333056"/>
        <c:axId val="145823232"/>
      </c:lineChart>
      <c:catAx>
        <c:axId val="1463330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823232"/>
        <c:crosses val="autoZero"/>
        <c:auto val="1"/>
        <c:lblAlgn val="ctr"/>
        <c:lblOffset val="100"/>
      </c:catAx>
      <c:valAx>
        <c:axId val="14582323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3330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45852288"/>
        <c:axId val="145853824"/>
      </c:lineChart>
      <c:catAx>
        <c:axId val="14585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853824"/>
        <c:crosses val="autoZero"/>
        <c:auto val="1"/>
        <c:lblAlgn val="ctr"/>
        <c:lblOffset val="200"/>
        <c:tickLblSkip val="1"/>
      </c:catAx>
      <c:valAx>
        <c:axId val="14585382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585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46292096"/>
        <c:axId val="146617472"/>
      </c:lineChart>
      <c:catAx>
        <c:axId val="146292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17472"/>
        <c:crosses val="autoZero"/>
        <c:auto val="1"/>
        <c:lblAlgn val="ctr"/>
        <c:lblOffset val="100"/>
      </c:catAx>
      <c:valAx>
        <c:axId val="146617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292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28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46646144"/>
        <c:axId val="146647680"/>
      </c:lineChart>
      <c:catAx>
        <c:axId val="1466461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47680"/>
        <c:crosses val="autoZero"/>
        <c:auto val="1"/>
        <c:lblAlgn val="ctr"/>
        <c:lblOffset val="100"/>
      </c:catAx>
      <c:valAx>
        <c:axId val="146647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6461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46811520"/>
        <c:axId val="146842368"/>
      </c:lineChart>
      <c:catAx>
        <c:axId val="1468115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42368"/>
        <c:crosses val="autoZero"/>
        <c:auto val="1"/>
        <c:lblAlgn val="ctr"/>
        <c:lblOffset val="100"/>
      </c:catAx>
      <c:valAx>
        <c:axId val="14684236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8115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47408000"/>
        <c:axId val="147409920"/>
      </c:lineChart>
      <c:catAx>
        <c:axId val="1474080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09920"/>
        <c:crosses val="autoZero"/>
        <c:auto val="1"/>
        <c:lblAlgn val="ctr"/>
        <c:lblOffset val="100"/>
      </c:catAx>
      <c:valAx>
        <c:axId val="14740992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080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47434880"/>
        <c:axId val="147453056"/>
      </c:lineChart>
      <c:catAx>
        <c:axId val="147434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53056"/>
        <c:crosses val="autoZero"/>
        <c:auto val="1"/>
        <c:lblAlgn val="ctr"/>
        <c:lblOffset val="200"/>
        <c:tickLblSkip val="1"/>
      </c:catAx>
      <c:valAx>
        <c:axId val="1474530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434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47219584"/>
        <c:axId val="147221120"/>
      </c:lineChart>
      <c:catAx>
        <c:axId val="14721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21120"/>
        <c:crosses val="autoZero"/>
        <c:auto val="1"/>
        <c:lblAlgn val="ctr"/>
        <c:lblOffset val="100"/>
      </c:catAx>
      <c:valAx>
        <c:axId val="147221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21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928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47921536"/>
        <c:axId val="147931520"/>
      </c:lineChart>
      <c:catAx>
        <c:axId val="147921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931520"/>
        <c:crosses val="autoZero"/>
        <c:auto val="1"/>
        <c:lblAlgn val="ctr"/>
        <c:lblOffset val="100"/>
      </c:catAx>
      <c:valAx>
        <c:axId val="147931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7921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25979</xdr:colOff>
      <xdr:row>1</xdr:row>
      <xdr:rowOff>34635</xdr:rowOff>
    </xdr:from>
    <xdr:to>
      <xdr:col>2</xdr:col>
      <xdr:colOff>132485</xdr:colOff>
      <xdr:row>5</xdr:row>
      <xdr:rowOff>251113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2115" y="181840"/>
          <a:ext cx="1402772" cy="10217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185738</xdr:colOff>
      <xdr:row>0</xdr:row>
      <xdr:rowOff>128586</xdr:rowOff>
    </xdr:from>
    <xdr:to>
      <xdr:col>1</xdr:col>
      <xdr:colOff>528639</xdr:colOff>
      <xdr:row>4</xdr:row>
      <xdr:rowOff>82693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5338" y="128586"/>
          <a:ext cx="1000126" cy="7351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%20JANUARY,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</sheetNames>
    <sheetDataSet>
      <sheetData sheetId="0"/>
      <sheetData sheetId="1"/>
      <sheetData sheetId="2"/>
      <sheetData sheetId="3"/>
      <sheetData sheetId="4"/>
      <sheetData sheetId="5">
        <row r="34">
          <cell r="E34">
            <v>9077.7999999999993</v>
          </cell>
          <cell r="W34">
            <v>7987.2</v>
          </cell>
        </row>
      </sheetData>
      <sheetData sheetId="6"/>
      <sheetData sheetId="7"/>
      <sheetData sheetId="8">
        <row r="43">
          <cell r="C43">
            <v>38934.209999999992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R13" sqref="R13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5" width="12.5703125" style="417" customWidth="1"/>
    <col min="6" max="6" width="12.5703125" style="11" customWidth="1"/>
    <col min="7" max="7" width="11.5703125" style="11"/>
    <col min="8" max="8" width="11.5703125" style="424"/>
    <col min="9" max="9" width="11.5703125" style="11"/>
    <col min="10" max="10" width="11.5703125" style="424"/>
    <col min="11" max="11" width="11.5703125" style="417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13" customFormat="1" ht="60.75" thickBot="1">
      <c r="A1" s="407" t="s">
        <v>271</v>
      </c>
      <c r="B1" s="408" t="s">
        <v>272</v>
      </c>
      <c r="C1" s="408" t="s">
        <v>273</v>
      </c>
      <c r="D1" s="409" t="s">
        <v>274</v>
      </c>
      <c r="E1" s="410" t="s">
        <v>275</v>
      </c>
      <c r="F1" s="411" t="s">
        <v>276</v>
      </c>
      <c r="G1" s="411" t="s">
        <v>277</v>
      </c>
      <c r="H1" s="422" t="s">
        <v>278</v>
      </c>
      <c r="I1" s="411" t="s">
        <v>279</v>
      </c>
      <c r="J1" s="422" t="s">
        <v>280</v>
      </c>
      <c r="K1" s="410" t="s">
        <v>281</v>
      </c>
      <c r="L1" s="412" t="s">
        <v>282</v>
      </c>
    </row>
    <row r="2" spans="1:12">
      <c r="A2" s="414" t="s">
        <v>283</v>
      </c>
      <c r="B2" s="415">
        <v>1</v>
      </c>
      <c r="C2" s="415">
        <v>1</v>
      </c>
      <c r="D2" s="416">
        <v>2021</v>
      </c>
      <c r="E2" s="417">
        <f>'UTILITY REPORT 1'!F3</f>
        <v>2906</v>
      </c>
      <c r="F2" s="418">
        <f>('UTILITY REPORT 1'!E3*'UTILITY REPORT 1'!D3)/'UTILITY REPORT 1'!F3</f>
        <v>0.41609084652443218</v>
      </c>
      <c r="G2" s="418">
        <f>IF('Utility summery'!M6&lt;0,"0",'Utility summery'!M6)</f>
        <v>0</v>
      </c>
      <c r="H2" s="423">
        <v>0</v>
      </c>
      <c r="I2" s="418">
        <f>IF('UTILITY REPORT 1'!G3&lt;0,"0",'UTILITY REPORT 1'!G3)</f>
        <v>58</v>
      </c>
      <c r="J2" s="423">
        <v>0</v>
      </c>
      <c r="K2" s="417">
        <f>'UTILITY REPORT 1'!C3</f>
        <v>0</v>
      </c>
      <c r="L2" s="419" t="e">
        <f>E2*F2+G2*H2+#REF!*#REF!+I2*J2</f>
        <v>#REF!</v>
      </c>
    </row>
    <row r="3" spans="1:12">
      <c r="A3" s="414" t="s">
        <v>283</v>
      </c>
      <c r="B3" s="415">
        <f>B2+1</f>
        <v>2</v>
      </c>
      <c r="C3" s="415">
        <v>1</v>
      </c>
      <c r="D3" s="416">
        <v>2021</v>
      </c>
      <c r="E3" s="417">
        <f>'UTILITY REPORT 1'!F4</f>
        <v>0</v>
      </c>
      <c r="F3" s="418" t="e">
        <f>('UTILITY REPORT 1'!E4*'UTILITY REPORT 1'!D4)/'UTILITY REPORT 1'!F4</f>
        <v>#DIV/0!</v>
      </c>
      <c r="G3" s="418">
        <f>IF('Utility summery'!M7&lt;0,"0",'Utility summery'!M7)</f>
        <v>0</v>
      </c>
      <c r="H3" s="423">
        <v>0</v>
      </c>
      <c r="I3" s="418" t="str">
        <f>IF('UTILITY REPORT 1'!G4&lt;0,"0",'UTILITY REPORT 1'!G4)</f>
        <v>0</v>
      </c>
      <c r="J3" s="423">
        <v>0</v>
      </c>
      <c r="K3" s="417">
        <f>'UTILITY REPORT 1'!C4</f>
        <v>0</v>
      </c>
      <c r="L3" s="419" t="e">
        <f>E3*F3+G3*H3+#REF!*#REF!+I3*J3</f>
        <v>#DIV/0!</v>
      </c>
    </row>
    <row r="4" spans="1:12">
      <c r="A4" s="414" t="s">
        <v>283</v>
      </c>
      <c r="B4" s="415">
        <f t="shared" ref="B4:B30" si="0">B3+1</f>
        <v>3</v>
      </c>
      <c r="C4" s="415">
        <v>1</v>
      </c>
      <c r="D4" s="416">
        <v>2021</v>
      </c>
      <c r="E4" s="417">
        <f>'UTILITY REPORT 1'!F5</f>
        <v>0</v>
      </c>
      <c r="F4" s="418" t="e">
        <f>('UTILITY REPORT 1'!E5*'UTILITY REPORT 1'!D5)/'UTILITY REPORT 1'!F5</f>
        <v>#DIV/0!</v>
      </c>
      <c r="G4" s="418">
        <f>IF('Utility summery'!M8&lt;0,"0",'Utility summery'!M8)</f>
        <v>0</v>
      </c>
      <c r="H4" s="423">
        <v>0</v>
      </c>
      <c r="I4" s="418">
        <f>IF('UTILITY REPORT 1'!G5&lt;0,"0",'UTILITY REPORT 1'!G5)</f>
        <v>0</v>
      </c>
      <c r="J4" s="423">
        <v>0</v>
      </c>
      <c r="K4" s="417">
        <f>'UTILITY REPORT 1'!C5</f>
        <v>0</v>
      </c>
      <c r="L4" s="419" t="e">
        <f>E4*F4+G4*H4+#REF!*#REF!+I4*J4</f>
        <v>#DIV/0!</v>
      </c>
    </row>
    <row r="5" spans="1:12">
      <c r="A5" s="414" t="s">
        <v>283</v>
      </c>
      <c r="B5" s="415">
        <f t="shared" si="0"/>
        <v>4</v>
      </c>
      <c r="C5" s="415">
        <v>1</v>
      </c>
      <c r="D5" s="416">
        <v>2021</v>
      </c>
      <c r="E5" s="417">
        <f>'UTILITY REPORT 1'!F6</f>
        <v>0</v>
      </c>
      <c r="F5" s="418" t="e">
        <f>('UTILITY REPORT 1'!E6*'UTILITY REPORT 1'!D6)/'UTILITY REPORT 1'!F6</f>
        <v>#DIV/0!</v>
      </c>
      <c r="G5" s="418">
        <f>IF('Utility summery'!M9&lt;0,"0",'Utility summery'!M9)</f>
        <v>0</v>
      </c>
      <c r="H5" s="423">
        <v>0</v>
      </c>
      <c r="I5" s="418">
        <f>IF('UTILITY REPORT 1'!G6&lt;0,"0",'UTILITY REPORT 1'!G6)</f>
        <v>0</v>
      </c>
      <c r="J5" s="423">
        <v>0</v>
      </c>
      <c r="K5" s="417">
        <f>'UTILITY REPORT 1'!C6</f>
        <v>0</v>
      </c>
      <c r="L5" s="419" t="e">
        <f>E5*F5+G5*H5+#REF!*#REF!+I5*J5</f>
        <v>#DIV/0!</v>
      </c>
    </row>
    <row r="6" spans="1:12">
      <c r="A6" s="414" t="s">
        <v>283</v>
      </c>
      <c r="B6" s="415">
        <f t="shared" si="0"/>
        <v>5</v>
      </c>
      <c r="C6" s="415">
        <v>1</v>
      </c>
      <c r="D6" s="416">
        <v>2021</v>
      </c>
      <c r="E6" s="417">
        <f>'UTILITY REPORT 1'!F7</f>
        <v>0</v>
      </c>
      <c r="F6" s="418" t="e">
        <f>('UTILITY REPORT 1'!E7*'UTILITY REPORT 1'!D7)/'UTILITY REPORT 1'!F7</f>
        <v>#DIV/0!</v>
      </c>
      <c r="G6" s="418">
        <f>IF('Utility summery'!M10&lt;0,"0",'Utility summery'!M10)</f>
        <v>0</v>
      </c>
      <c r="H6" s="423">
        <v>0</v>
      </c>
      <c r="I6" s="418">
        <f>IF('UTILITY REPORT 1'!G7&lt;0,"0",'UTILITY REPORT 1'!G7)</f>
        <v>0</v>
      </c>
      <c r="J6" s="423">
        <v>0</v>
      </c>
      <c r="K6" s="417">
        <f>'UTILITY REPORT 1'!C7</f>
        <v>0</v>
      </c>
      <c r="L6" s="419" t="e">
        <f>E6*F6+G6*H6+#REF!*#REF!+I6*J6</f>
        <v>#DIV/0!</v>
      </c>
    </row>
    <row r="7" spans="1:12">
      <c r="A7" s="414" t="s">
        <v>283</v>
      </c>
      <c r="B7" s="415">
        <f t="shared" si="0"/>
        <v>6</v>
      </c>
      <c r="C7" s="415">
        <v>1</v>
      </c>
      <c r="D7" s="416">
        <v>2021</v>
      </c>
      <c r="E7" s="417">
        <f>'UTILITY REPORT 1'!F8</f>
        <v>0</v>
      </c>
      <c r="F7" s="418" t="e">
        <f>('UTILITY REPORT 1'!E8*'UTILITY REPORT 1'!D8)/'UTILITY REPORT 1'!F8</f>
        <v>#DIV/0!</v>
      </c>
      <c r="G7" s="418">
        <f>IF('Utility summery'!M11&lt;0,"0",'Utility summery'!M11)</f>
        <v>0</v>
      </c>
      <c r="H7" s="423">
        <v>0</v>
      </c>
      <c r="I7" s="418">
        <f>IF('UTILITY REPORT 1'!G8&lt;0,"0",'UTILITY REPORT 1'!G8)</f>
        <v>0</v>
      </c>
      <c r="J7" s="423">
        <v>0</v>
      </c>
      <c r="K7" s="417">
        <f>'UTILITY REPORT 1'!C8</f>
        <v>0</v>
      </c>
      <c r="L7" s="419" t="e">
        <f>E7*F7+G7*H7+#REF!*#REF!+I7*J7</f>
        <v>#DIV/0!</v>
      </c>
    </row>
    <row r="8" spans="1:12">
      <c r="A8" s="414" t="s">
        <v>283</v>
      </c>
      <c r="B8" s="415">
        <f t="shared" si="0"/>
        <v>7</v>
      </c>
      <c r="C8" s="415">
        <v>1</v>
      </c>
      <c r="D8" s="416">
        <v>2021</v>
      </c>
      <c r="E8" s="417">
        <f>'UTILITY REPORT 1'!F9</f>
        <v>0</v>
      </c>
      <c r="F8" s="418" t="e">
        <f>('UTILITY REPORT 1'!E9*'UTILITY REPORT 1'!D9)/'UTILITY REPORT 1'!F9</f>
        <v>#DIV/0!</v>
      </c>
      <c r="G8" s="418">
        <f>IF('Utility summery'!M12&lt;0,"0",'Utility summery'!M12)</f>
        <v>0</v>
      </c>
      <c r="H8" s="423">
        <v>0</v>
      </c>
      <c r="I8" s="418">
        <f>IF('UTILITY REPORT 1'!G9&lt;0,"0",'UTILITY REPORT 1'!G9)</f>
        <v>0</v>
      </c>
      <c r="J8" s="423">
        <v>0</v>
      </c>
      <c r="K8" s="417">
        <f>'UTILITY REPORT 1'!C9</f>
        <v>0</v>
      </c>
      <c r="L8" s="419" t="e">
        <f>E8*F8+G8*H8+#REF!*#REF!+I8*J8</f>
        <v>#DIV/0!</v>
      </c>
    </row>
    <row r="9" spans="1:12">
      <c r="A9" s="414" t="s">
        <v>283</v>
      </c>
      <c r="B9" s="415">
        <f t="shared" si="0"/>
        <v>8</v>
      </c>
      <c r="C9" s="415">
        <v>1</v>
      </c>
      <c r="D9" s="416">
        <v>2021</v>
      </c>
      <c r="E9" s="417">
        <f>'UTILITY REPORT 1'!F10</f>
        <v>0</v>
      </c>
      <c r="F9" s="418" t="e">
        <f>('UTILITY REPORT 1'!E10*'UTILITY REPORT 1'!D10)/'UTILITY REPORT 1'!F10</f>
        <v>#DIV/0!</v>
      </c>
      <c r="G9" s="418">
        <f>IF('Utility summery'!M13&lt;0,"0",'Utility summery'!M13)</f>
        <v>0</v>
      </c>
      <c r="H9" s="423">
        <v>0</v>
      </c>
      <c r="I9" s="418">
        <f>IF('UTILITY REPORT 1'!G10&lt;0,"0",'UTILITY REPORT 1'!G10)</f>
        <v>0</v>
      </c>
      <c r="J9" s="423">
        <v>0</v>
      </c>
      <c r="K9" s="417">
        <f>'UTILITY REPORT 1'!C10</f>
        <v>0</v>
      </c>
      <c r="L9" s="419" t="e">
        <f>E9*F9+G9*H9+#REF!*#REF!+I9*J9</f>
        <v>#DIV/0!</v>
      </c>
    </row>
    <row r="10" spans="1:12">
      <c r="A10" s="414" t="s">
        <v>283</v>
      </c>
      <c r="B10" s="415">
        <f t="shared" si="0"/>
        <v>9</v>
      </c>
      <c r="C10" s="415">
        <v>1</v>
      </c>
      <c r="D10" s="416">
        <v>2021</v>
      </c>
      <c r="E10" s="417">
        <f>'UTILITY REPORT 1'!F11</f>
        <v>0</v>
      </c>
      <c r="F10" s="418" t="e">
        <f>('UTILITY REPORT 1'!E11*'UTILITY REPORT 1'!D11)/'UTILITY REPORT 1'!F11</f>
        <v>#DIV/0!</v>
      </c>
      <c r="G10" s="418">
        <f>IF('Utility summery'!M14&lt;0,"0",'Utility summery'!M14)</f>
        <v>0</v>
      </c>
      <c r="H10" s="423">
        <v>0</v>
      </c>
      <c r="I10" s="418">
        <f>IF('UTILITY REPORT 1'!G11&lt;0,"0",'UTILITY REPORT 1'!G11)</f>
        <v>0</v>
      </c>
      <c r="J10" s="423">
        <v>0</v>
      </c>
      <c r="K10" s="417">
        <f>'UTILITY REPORT 1'!C11</f>
        <v>0</v>
      </c>
      <c r="L10" s="419" t="e">
        <f>E10*F10+G10*H10+#REF!*#REF!+I10*J10</f>
        <v>#DIV/0!</v>
      </c>
    </row>
    <row r="11" spans="1:12">
      <c r="A11" s="414" t="s">
        <v>283</v>
      </c>
      <c r="B11" s="415">
        <f t="shared" si="0"/>
        <v>10</v>
      </c>
      <c r="C11" s="415">
        <v>1</v>
      </c>
      <c r="D11" s="416">
        <v>2021</v>
      </c>
      <c r="E11" s="417">
        <f>'UTILITY REPORT 1'!F12</f>
        <v>0</v>
      </c>
      <c r="F11" s="418" t="e">
        <f>('UTILITY REPORT 1'!E12*'UTILITY REPORT 1'!D12)/'UTILITY REPORT 1'!F12</f>
        <v>#DIV/0!</v>
      </c>
      <c r="G11" s="418">
        <f>IF('Utility summery'!M15&lt;0,"0",'Utility summery'!M15)</f>
        <v>0</v>
      </c>
      <c r="H11" s="423">
        <v>0</v>
      </c>
      <c r="I11" s="418">
        <f>IF('UTILITY REPORT 1'!G12&lt;0,"0",'UTILITY REPORT 1'!G12)</f>
        <v>0</v>
      </c>
      <c r="J11" s="423">
        <v>0</v>
      </c>
      <c r="K11" s="417">
        <f>'UTILITY REPORT 1'!C12</f>
        <v>0</v>
      </c>
      <c r="L11" s="419" t="e">
        <f>E11*F11+G11*H11+#REF!*#REF!+I11*J11</f>
        <v>#DIV/0!</v>
      </c>
    </row>
    <row r="12" spans="1:12">
      <c r="A12" s="414" t="s">
        <v>283</v>
      </c>
      <c r="B12" s="415">
        <f t="shared" si="0"/>
        <v>11</v>
      </c>
      <c r="C12" s="415">
        <v>1</v>
      </c>
      <c r="D12" s="416">
        <v>2021</v>
      </c>
      <c r="E12" s="417">
        <f>'UTILITY REPORT 1'!F13</f>
        <v>0</v>
      </c>
      <c r="F12" s="418" t="e">
        <f>('UTILITY REPORT 1'!E13*'UTILITY REPORT 1'!D13)/'UTILITY REPORT 1'!F13</f>
        <v>#DIV/0!</v>
      </c>
      <c r="G12" s="418">
        <f>IF('Utility summery'!M16&lt;0,"0",'Utility summery'!M16)</f>
        <v>0</v>
      </c>
      <c r="H12" s="423">
        <v>0</v>
      </c>
      <c r="I12" s="418">
        <f>IF('UTILITY REPORT 1'!G13&lt;0,"0",'UTILITY REPORT 1'!G13)</f>
        <v>0</v>
      </c>
      <c r="J12" s="423">
        <v>0</v>
      </c>
      <c r="K12" s="417">
        <f>'UTILITY REPORT 1'!C13</f>
        <v>0</v>
      </c>
      <c r="L12" s="419" t="e">
        <f>E12*F12+G12*H12+#REF!*#REF!+I12*J12</f>
        <v>#DIV/0!</v>
      </c>
    </row>
    <row r="13" spans="1:12">
      <c r="A13" s="414" t="s">
        <v>283</v>
      </c>
      <c r="B13" s="415">
        <f t="shared" si="0"/>
        <v>12</v>
      </c>
      <c r="C13" s="415">
        <v>1</v>
      </c>
      <c r="D13" s="416">
        <v>2021</v>
      </c>
      <c r="E13" s="417">
        <f>'UTILITY REPORT 1'!F14</f>
        <v>0</v>
      </c>
      <c r="F13" s="418" t="e">
        <f>('UTILITY REPORT 1'!E14*'UTILITY REPORT 1'!D14)/'UTILITY REPORT 1'!F14</f>
        <v>#DIV/0!</v>
      </c>
      <c r="G13" s="418">
        <f>IF('Utility summery'!M17&lt;0,"0",'Utility summery'!M17)</f>
        <v>0</v>
      </c>
      <c r="H13" s="423">
        <v>0</v>
      </c>
      <c r="I13" s="418">
        <f>IF('UTILITY REPORT 1'!G14&lt;0,"0",'UTILITY REPORT 1'!G14)</f>
        <v>0</v>
      </c>
      <c r="J13" s="423">
        <v>0</v>
      </c>
      <c r="K13" s="417">
        <f>'UTILITY REPORT 1'!C14</f>
        <v>0</v>
      </c>
      <c r="L13" s="419" t="e">
        <f>E13*F13+G13*H13+#REF!*#REF!+I13*J13</f>
        <v>#DIV/0!</v>
      </c>
    </row>
    <row r="14" spans="1:12">
      <c r="A14" s="414" t="s">
        <v>283</v>
      </c>
      <c r="B14" s="415">
        <f t="shared" si="0"/>
        <v>13</v>
      </c>
      <c r="C14" s="415">
        <v>1</v>
      </c>
      <c r="D14" s="416">
        <v>2021</v>
      </c>
      <c r="E14" s="417">
        <f>'UTILITY REPORT 1'!F15</f>
        <v>0</v>
      </c>
      <c r="F14" s="418" t="e">
        <f>('UTILITY REPORT 1'!E15*'UTILITY REPORT 1'!D15)/'UTILITY REPORT 1'!F15</f>
        <v>#DIV/0!</v>
      </c>
      <c r="G14" s="418">
        <f>IF('Utility summery'!M18&lt;0,"0",'Utility summery'!M18)</f>
        <v>0</v>
      </c>
      <c r="H14" s="423">
        <v>0</v>
      </c>
      <c r="I14" s="418">
        <f>IF('UTILITY REPORT 1'!G15&lt;0,"0",'UTILITY REPORT 1'!G15)</f>
        <v>0</v>
      </c>
      <c r="J14" s="423">
        <v>0</v>
      </c>
      <c r="K14" s="417">
        <f>'UTILITY REPORT 1'!C15</f>
        <v>0</v>
      </c>
      <c r="L14" s="419" t="e">
        <f>E14*F14+G14*H14+#REF!*#REF!+I14*J14</f>
        <v>#DIV/0!</v>
      </c>
    </row>
    <row r="15" spans="1:12">
      <c r="A15" s="414" t="s">
        <v>283</v>
      </c>
      <c r="B15" s="415">
        <f t="shared" si="0"/>
        <v>14</v>
      </c>
      <c r="C15" s="415">
        <v>1</v>
      </c>
      <c r="D15" s="416">
        <v>2021</v>
      </c>
      <c r="E15" s="417">
        <f>'UTILITY REPORT 1'!F16</f>
        <v>0</v>
      </c>
      <c r="F15" s="418" t="e">
        <f>('UTILITY REPORT 1'!E16*'UTILITY REPORT 1'!D16)/'UTILITY REPORT 1'!F16</f>
        <v>#DIV/0!</v>
      </c>
      <c r="G15" s="418">
        <f>IF('Utility summery'!M19&lt;0,"0",'Utility summery'!M19)</f>
        <v>0</v>
      </c>
      <c r="H15" s="423">
        <v>0</v>
      </c>
      <c r="I15" s="418">
        <f>IF('UTILITY REPORT 1'!G16&lt;0,"0",'UTILITY REPORT 1'!G16)</f>
        <v>0</v>
      </c>
      <c r="J15" s="423">
        <v>0</v>
      </c>
      <c r="K15" s="417">
        <f>'UTILITY REPORT 1'!C16</f>
        <v>0</v>
      </c>
      <c r="L15" s="419" t="e">
        <f>E15*F15+G15*H15+#REF!*#REF!+I15*J15</f>
        <v>#DIV/0!</v>
      </c>
    </row>
    <row r="16" spans="1:12">
      <c r="A16" s="414" t="s">
        <v>283</v>
      </c>
      <c r="B16" s="415">
        <f t="shared" si="0"/>
        <v>15</v>
      </c>
      <c r="C16" s="415">
        <v>1</v>
      </c>
      <c r="D16" s="416">
        <v>2021</v>
      </c>
      <c r="E16" s="417">
        <f>'UTILITY REPORT 1'!F17</f>
        <v>0</v>
      </c>
      <c r="F16" s="418" t="e">
        <f>('UTILITY REPORT 1'!E17*'UTILITY REPORT 1'!D17)/'UTILITY REPORT 1'!F17</f>
        <v>#DIV/0!</v>
      </c>
      <c r="G16" s="418">
        <f>IF('Utility summery'!M20&lt;0,"0",'Utility summery'!M20)</f>
        <v>0</v>
      </c>
      <c r="H16" s="423">
        <v>0</v>
      </c>
      <c r="I16" s="418">
        <f>IF('UTILITY REPORT 1'!G17&lt;0,"0",'UTILITY REPORT 1'!G17)</f>
        <v>0</v>
      </c>
      <c r="J16" s="423">
        <v>0</v>
      </c>
      <c r="K16" s="417">
        <f>'UTILITY REPORT 1'!C17</f>
        <v>0</v>
      </c>
      <c r="L16" s="419" t="e">
        <f>E16*F16+G16*H16+#REF!*#REF!+I16*J16</f>
        <v>#DIV/0!</v>
      </c>
    </row>
    <row r="17" spans="1:12">
      <c r="A17" s="414" t="s">
        <v>283</v>
      </c>
      <c r="B17" s="415">
        <f t="shared" si="0"/>
        <v>16</v>
      </c>
      <c r="C17" s="415">
        <v>1</v>
      </c>
      <c r="D17" s="416">
        <v>2021</v>
      </c>
      <c r="E17" s="417">
        <f>'UTILITY REPORT 1'!F18</f>
        <v>0</v>
      </c>
      <c r="F17" s="418" t="e">
        <f>('UTILITY REPORT 1'!E18*'UTILITY REPORT 1'!D18)/'UTILITY REPORT 1'!F18</f>
        <v>#DIV/0!</v>
      </c>
      <c r="G17" s="418">
        <f>IF('Utility summery'!M21&lt;0,"0",'Utility summery'!M21)</f>
        <v>0</v>
      </c>
      <c r="H17" s="423">
        <v>0</v>
      </c>
      <c r="I17" s="418">
        <f>IF('UTILITY REPORT 1'!G18&lt;0,"0",'UTILITY REPORT 1'!G18)</f>
        <v>0</v>
      </c>
      <c r="J17" s="423">
        <v>0</v>
      </c>
      <c r="K17" s="417">
        <f>'UTILITY REPORT 1'!C18</f>
        <v>0</v>
      </c>
      <c r="L17" s="419" t="e">
        <f>E17*F17+G17*H17+#REF!*#REF!+I17*J17</f>
        <v>#DIV/0!</v>
      </c>
    </row>
    <row r="18" spans="1:12">
      <c r="A18" s="414" t="s">
        <v>283</v>
      </c>
      <c r="B18" s="415">
        <f t="shared" si="0"/>
        <v>17</v>
      </c>
      <c r="C18" s="415">
        <v>1</v>
      </c>
      <c r="D18" s="416">
        <v>2021</v>
      </c>
      <c r="E18" s="417">
        <f>'UTILITY REPORT 1'!F19</f>
        <v>0</v>
      </c>
      <c r="F18" s="418" t="e">
        <f>('UTILITY REPORT 1'!E19*'UTILITY REPORT 1'!D19)/'UTILITY REPORT 1'!F19</f>
        <v>#DIV/0!</v>
      </c>
      <c r="G18" s="418">
        <f>IF('Utility summery'!M22&lt;0,"0",'Utility summery'!M22)</f>
        <v>0</v>
      </c>
      <c r="H18" s="423">
        <v>0</v>
      </c>
      <c r="I18" s="418">
        <f>IF('UTILITY REPORT 1'!G19&lt;0,"0",'UTILITY REPORT 1'!G19)</f>
        <v>0</v>
      </c>
      <c r="J18" s="423">
        <v>0</v>
      </c>
      <c r="K18" s="417">
        <f>'UTILITY REPORT 1'!C19</f>
        <v>0</v>
      </c>
      <c r="L18" s="419" t="e">
        <f>E18*F18+G18*H18+#REF!*#REF!+I18*J18</f>
        <v>#DIV/0!</v>
      </c>
    </row>
    <row r="19" spans="1:12">
      <c r="A19" s="414" t="s">
        <v>283</v>
      </c>
      <c r="B19" s="415">
        <f t="shared" si="0"/>
        <v>18</v>
      </c>
      <c r="C19" s="415">
        <v>1</v>
      </c>
      <c r="D19" s="416">
        <v>2021</v>
      </c>
      <c r="E19" s="417">
        <f>'UTILITY REPORT 1'!F20</f>
        <v>0</v>
      </c>
      <c r="F19" s="418" t="e">
        <f>('UTILITY REPORT 1'!E20*'UTILITY REPORT 1'!D20)/'UTILITY REPORT 1'!F20</f>
        <v>#DIV/0!</v>
      </c>
      <c r="G19" s="418">
        <f>IF('Utility summery'!M23&lt;0,"0",'Utility summery'!M23)</f>
        <v>0</v>
      </c>
      <c r="H19" s="423">
        <v>0</v>
      </c>
      <c r="I19" s="418">
        <f>IF('UTILITY REPORT 1'!G20&lt;0,"0",'UTILITY REPORT 1'!G20)</f>
        <v>0</v>
      </c>
      <c r="J19" s="423">
        <v>0</v>
      </c>
      <c r="K19" s="417">
        <f>'UTILITY REPORT 1'!C20</f>
        <v>0</v>
      </c>
      <c r="L19" s="419" t="e">
        <f>E19*F19+G19*H19+#REF!*#REF!+I19*J19</f>
        <v>#DIV/0!</v>
      </c>
    </row>
    <row r="20" spans="1:12">
      <c r="A20" s="414" t="s">
        <v>283</v>
      </c>
      <c r="B20" s="415">
        <f t="shared" si="0"/>
        <v>19</v>
      </c>
      <c r="C20" s="415">
        <v>1</v>
      </c>
      <c r="D20" s="416">
        <v>2021</v>
      </c>
      <c r="E20" s="417">
        <f>'UTILITY REPORT 1'!F21</f>
        <v>0</v>
      </c>
      <c r="F20" s="418" t="e">
        <f>('UTILITY REPORT 1'!E21*'UTILITY REPORT 1'!D21)/'UTILITY REPORT 1'!F21</f>
        <v>#DIV/0!</v>
      </c>
      <c r="G20" s="418">
        <f>IF('Utility summery'!M24&lt;0,"0",'Utility summery'!M24)</f>
        <v>0</v>
      </c>
      <c r="H20" s="423">
        <v>0</v>
      </c>
      <c r="I20" s="418">
        <f>IF('UTILITY REPORT 1'!G21&lt;0,"0",'UTILITY REPORT 1'!G21)</f>
        <v>0</v>
      </c>
      <c r="J20" s="423">
        <v>0</v>
      </c>
      <c r="K20" s="417">
        <f>'UTILITY REPORT 1'!C21</f>
        <v>0</v>
      </c>
      <c r="L20" s="419" t="e">
        <f>E20*F20+G20*H20+#REF!*#REF!+I20*J20</f>
        <v>#DIV/0!</v>
      </c>
    </row>
    <row r="21" spans="1:12">
      <c r="A21" s="414" t="s">
        <v>283</v>
      </c>
      <c r="B21" s="415">
        <f t="shared" si="0"/>
        <v>20</v>
      </c>
      <c r="C21" s="415">
        <v>1</v>
      </c>
      <c r="D21" s="416">
        <v>2021</v>
      </c>
      <c r="E21" s="417">
        <f>'UTILITY REPORT 1'!F22</f>
        <v>0</v>
      </c>
      <c r="F21" s="418" t="e">
        <f>('UTILITY REPORT 1'!E22*'UTILITY REPORT 1'!D22)/'UTILITY REPORT 1'!F22</f>
        <v>#DIV/0!</v>
      </c>
      <c r="G21" s="418">
        <f>IF('Utility summery'!M25&lt;0,"0",'Utility summery'!M25)</f>
        <v>0</v>
      </c>
      <c r="H21" s="423">
        <v>0</v>
      </c>
      <c r="I21" s="418">
        <f>IF('UTILITY REPORT 1'!G22&lt;0,"0",'UTILITY REPORT 1'!G22)</f>
        <v>0</v>
      </c>
      <c r="J21" s="423">
        <v>0</v>
      </c>
      <c r="K21" s="417">
        <f>'UTILITY REPORT 1'!C22</f>
        <v>0</v>
      </c>
      <c r="L21" s="419" t="e">
        <f>E21*F21+G21*H21+#REF!*#REF!+I21*J21</f>
        <v>#DIV/0!</v>
      </c>
    </row>
    <row r="22" spans="1:12">
      <c r="A22" s="414" t="s">
        <v>283</v>
      </c>
      <c r="B22" s="415">
        <f t="shared" si="0"/>
        <v>21</v>
      </c>
      <c r="C22" s="415">
        <v>1</v>
      </c>
      <c r="D22" s="416">
        <v>2021</v>
      </c>
      <c r="E22" s="417">
        <f>'UTILITY REPORT 1'!F23</f>
        <v>0</v>
      </c>
      <c r="F22" s="418" t="e">
        <f>('UTILITY REPORT 1'!E23*'UTILITY REPORT 1'!D23)/'UTILITY REPORT 1'!F23</f>
        <v>#DIV/0!</v>
      </c>
      <c r="G22" s="418">
        <f>IF('Utility summery'!M26&lt;0,"0",'Utility summery'!M26)</f>
        <v>0</v>
      </c>
      <c r="H22" s="423">
        <v>0</v>
      </c>
      <c r="I22" s="418">
        <f>IF('UTILITY REPORT 1'!G23&lt;0,"0",'UTILITY REPORT 1'!G23)</f>
        <v>0</v>
      </c>
      <c r="J22" s="423">
        <v>0</v>
      </c>
      <c r="K22" s="417">
        <f>'UTILITY REPORT 1'!C23</f>
        <v>0</v>
      </c>
      <c r="L22" s="419" t="e">
        <f>E22*F22+G22*H22+#REF!*#REF!+I22*J22</f>
        <v>#DIV/0!</v>
      </c>
    </row>
    <row r="23" spans="1:12">
      <c r="A23" s="414" t="s">
        <v>283</v>
      </c>
      <c r="B23" s="415">
        <f t="shared" si="0"/>
        <v>22</v>
      </c>
      <c r="C23" s="415">
        <v>1</v>
      </c>
      <c r="D23" s="416">
        <v>2021</v>
      </c>
      <c r="E23" s="417">
        <f>'UTILITY REPORT 1'!F24</f>
        <v>0</v>
      </c>
      <c r="F23" s="418" t="e">
        <f>('UTILITY REPORT 1'!E24*'UTILITY REPORT 1'!D24)/'UTILITY REPORT 1'!F24</f>
        <v>#DIV/0!</v>
      </c>
      <c r="G23" s="418">
        <f>IF('Utility summery'!M27&lt;0,"0",'Utility summery'!M27)</f>
        <v>0</v>
      </c>
      <c r="H23" s="423">
        <v>0</v>
      </c>
      <c r="I23" s="418">
        <f>IF('UTILITY REPORT 1'!G24&lt;0,"0",'UTILITY REPORT 1'!G24)</f>
        <v>0</v>
      </c>
      <c r="J23" s="423">
        <v>0</v>
      </c>
      <c r="K23" s="417">
        <f>'UTILITY REPORT 1'!C24</f>
        <v>0</v>
      </c>
      <c r="L23" s="419" t="e">
        <f>E23*F23+G23*H23+#REF!*#REF!+I23*J23</f>
        <v>#DIV/0!</v>
      </c>
    </row>
    <row r="24" spans="1:12">
      <c r="A24" s="414" t="s">
        <v>283</v>
      </c>
      <c r="B24" s="415">
        <f t="shared" si="0"/>
        <v>23</v>
      </c>
      <c r="C24" s="415">
        <v>1</v>
      </c>
      <c r="D24" s="416">
        <v>2021</v>
      </c>
      <c r="E24" s="417">
        <f>'UTILITY REPORT 1'!F25</f>
        <v>0</v>
      </c>
      <c r="F24" s="418" t="e">
        <f>('UTILITY REPORT 1'!E25*'UTILITY REPORT 1'!D25)/'UTILITY REPORT 1'!F25</f>
        <v>#DIV/0!</v>
      </c>
      <c r="G24" s="418">
        <f>IF('Utility summery'!M28&lt;0,"0",'Utility summery'!M28)</f>
        <v>0</v>
      </c>
      <c r="H24" s="423">
        <v>0</v>
      </c>
      <c r="I24" s="418">
        <f>IF('UTILITY REPORT 1'!G25&lt;0,"0",'UTILITY REPORT 1'!G25)</f>
        <v>0</v>
      </c>
      <c r="J24" s="423">
        <v>0</v>
      </c>
      <c r="K24" s="417">
        <f>'UTILITY REPORT 1'!C25</f>
        <v>0</v>
      </c>
      <c r="L24" s="419" t="e">
        <f>E24*F24+G24*H24+#REF!*#REF!+I24*J24</f>
        <v>#DIV/0!</v>
      </c>
    </row>
    <row r="25" spans="1:12">
      <c r="A25" s="414" t="s">
        <v>283</v>
      </c>
      <c r="B25" s="415">
        <f t="shared" si="0"/>
        <v>24</v>
      </c>
      <c r="C25" s="415">
        <v>1</v>
      </c>
      <c r="D25" s="416">
        <v>2021</v>
      </c>
      <c r="E25" s="417">
        <f>'UTILITY REPORT 1'!F26</f>
        <v>0</v>
      </c>
      <c r="F25" s="418" t="e">
        <f>('UTILITY REPORT 1'!E26*'UTILITY REPORT 1'!D26)/'UTILITY REPORT 1'!F26</f>
        <v>#DIV/0!</v>
      </c>
      <c r="G25" s="418">
        <f>IF('Utility summery'!M29&lt;0,"0",'Utility summery'!M29)</f>
        <v>0</v>
      </c>
      <c r="H25" s="423">
        <v>0</v>
      </c>
      <c r="I25" s="418">
        <f>IF('UTILITY REPORT 1'!G26&lt;0,"0",'UTILITY REPORT 1'!G26)</f>
        <v>0</v>
      </c>
      <c r="J25" s="423">
        <v>0</v>
      </c>
      <c r="K25" s="417">
        <f>'UTILITY REPORT 1'!C26</f>
        <v>0</v>
      </c>
      <c r="L25" s="419" t="e">
        <f>E25*F25+G25*H25+#REF!*#REF!+I25*J25</f>
        <v>#DIV/0!</v>
      </c>
    </row>
    <row r="26" spans="1:12">
      <c r="A26" s="414" t="s">
        <v>283</v>
      </c>
      <c r="B26" s="415">
        <f>B25+1</f>
        <v>25</v>
      </c>
      <c r="C26" s="415">
        <v>1</v>
      </c>
      <c r="D26" s="416">
        <v>2021</v>
      </c>
      <c r="E26" s="417">
        <f>'UTILITY REPORT 1'!F27</f>
        <v>0</v>
      </c>
      <c r="F26" s="418" t="e">
        <f>('UTILITY REPORT 1'!E27*'UTILITY REPORT 1'!D27)/'UTILITY REPORT 1'!F27</f>
        <v>#DIV/0!</v>
      </c>
      <c r="G26" s="418">
        <f>IF('Utility summery'!M30&lt;0,"0",'Utility summery'!M30)</f>
        <v>0</v>
      </c>
      <c r="H26" s="423">
        <v>0</v>
      </c>
      <c r="I26" s="418">
        <f>IF('UTILITY REPORT 1'!G27&lt;0,"0",'UTILITY REPORT 1'!G27)</f>
        <v>0</v>
      </c>
      <c r="J26" s="423">
        <v>0</v>
      </c>
      <c r="K26" s="417">
        <f>'UTILITY REPORT 1'!C27</f>
        <v>0</v>
      </c>
      <c r="L26" s="419" t="e">
        <f>E26*F26+G26*H26+#REF!*#REF!+I26*J26</f>
        <v>#DIV/0!</v>
      </c>
    </row>
    <row r="27" spans="1:12">
      <c r="A27" s="414" t="s">
        <v>283</v>
      </c>
      <c r="B27" s="415">
        <f t="shared" si="0"/>
        <v>26</v>
      </c>
      <c r="C27" s="415">
        <v>1</v>
      </c>
      <c r="D27" s="416">
        <v>2021</v>
      </c>
      <c r="E27" s="417">
        <f>'UTILITY REPORT 1'!F28</f>
        <v>0</v>
      </c>
      <c r="F27" s="418" t="e">
        <f>('UTILITY REPORT 1'!E28*'UTILITY REPORT 1'!D28)/'UTILITY REPORT 1'!F28</f>
        <v>#DIV/0!</v>
      </c>
      <c r="G27" s="418">
        <f>IF('Utility summery'!M31&lt;0,"0",'Utility summery'!M31)</f>
        <v>0</v>
      </c>
      <c r="H27" s="423">
        <v>0</v>
      </c>
      <c r="I27" s="418">
        <f>IF('UTILITY REPORT 1'!G28&lt;0,"0",'UTILITY REPORT 1'!G28)</f>
        <v>0</v>
      </c>
      <c r="J27" s="423">
        <v>0</v>
      </c>
      <c r="K27" s="417">
        <f>'UTILITY REPORT 1'!C28</f>
        <v>0</v>
      </c>
      <c r="L27" s="419" t="e">
        <f>E27*F27+G27*H27+#REF!*#REF!+I27*J27</f>
        <v>#DIV/0!</v>
      </c>
    </row>
    <row r="28" spans="1:12">
      <c r="A28" s="414" t="s">
        <v>283</v>
      </c>
      <c r="B28" s="415">
        <f t="shared" si="0"/>
        <v>27</v>
      </c>
      <c r="C28" s="415">
        <v>1</v>
      </c>
      <c r="D28" s="416">
        <v>2021</v>
      </c>
      <c r="E28" s="417">
        <f>'UTILITY REPORT 1'!F29</f>
        <v>0</v>
      </c>
      <c r="F28" s="418" t="e">
        <f>('UTILITY REPORT 1'!E29*'UTILITY REPORT 1'!D29)/'UTILITY REPORT 1'!F29</f>
        <v>#DIV/0!</v>
      </c>
      <c r="G28" s="418">
        <f>IF('Utility summery'!M32&lt;0,"0",'Utility summery'!M32)</f>
        <v>0</v>
      </c>
      <c r="H28" s="423">
        <v>0</v>
      </c>
      <c r="I28" s="418">
        <f>IF('UTILITY REPORT 1'!G29&lt;0,"0",'UTILITY REPORT 1'!G29)</f>
        <v>0</v>
      </c>
      <c r="J28" s="423">
        <v>0</v>
      </c>
      <c r="K28" s="417">
        <f>'UTILITY REPORT 1'!C29</f>
        <v>0</v>
      </c>
      <c r="L28" s="419" t="e">
        <f>E28*F28+G28*H28+#REF!*#REF!+I28*J28</f>
        <v>#DIV/0!</v>
      </c>
    </row>
    <row r="29" spans="1:12">
      <c r="A29" s="414" t="s">
        <v>283</v>
      </c>
      <c r="B29" s="415">
        <f t="shared" si="0"/>
        <v>28</v>
      </c>
      <c r="C29" s="415">
        <v>1</v>
      </c>
      <c r="D29" s="416">
        <v>2021</v>
      </c>
      <c r="E29" s="417">
        <f>'UTILITY REPORT 1'!F30</f>
        <v>0</v>
      </c>
      <c r="F29" s="418" t="e">
        <f>('UTILITY REPORT 1'!E30*'UTILITY REPORT 1'!D30)/'UTILITY REPORT 1'!F30</f>
        <v>#DIV/0!</v>
      </c>
      <c r="G29" s="418">
        <f>IF('Utility summery'!M33&lt;0,"0",'Utility summery'!M33)</f>
        <v>0</v>
      </c>
      <c r="H29" s="423">
        <v>0</v>
      </c>
      <c r="I29" s="418">
        <f>IF('UTILITY REPORT 1'!G30&lt;0,"0",'UTILITY REPORT 1'!G30)</f>
        <v>0</v>
      </c>
      <c r="J29" s="423">
        <v>0</v>
      </c>
      <c r="K29" s="417">
        <f>'UTILITY REPORT 1'!C30</f>
        <v>0</v>
      </c>
      <c r="L29" s="419" t="e">
        <f>E29*F29+G29*H29+#REF!*#REF!+I29*J29</f>
        <v>#DIV/0!</v>
      </c>
    </row>
    <row r="30" spans="1:12">
      <c r="A30" s="414" t="s">
        <v>283</v>
      </c>
      <c r="B30" s="415">
        <f t="shared" si="0"/>
        <v>29</v>
      </c>
      <c r="C30" s="415">
        <v>1</v>
      </c>
      <c r="D30" s="416">
        <v>2021</v>
      </c>
      <c r="E30" s="417">
        <f>'UTILITY REPORT 1'!F31</f>
        <v>0</v>
      </c>
      <c r="F30" s="418" t="e">
        <f>('UTILITY REPORT 1'!E31*'UTILITY REPORT 1'!D31)/'UTILITY REPORT 1'!F31</f>
        <v>#DIV/0!</v>
      </c>
      <c r="G30" s="418">
        <f>IF('Utility summery'!M34&lt;0,"0",'Utility summery'!M34)</f>
        <v>0</v>
      </c>
      <c r="H30" s="423">
        <v>0</v>
      </c>
      <c r="I30" s="418">
        <f>IF('UTILITY REPORT 1'!G31&lt;0,"0",'UTILITY REPORT 1'!G31)</f>
        <v>0</v>
      </c>
      <c r="J30" s="423">
        <v>0</v>
      </c>
      <c r="K30" s="417">
        <f>'UTILITY REPORT 1'!C31</f>
        <v>0</v>
      </c>
      <c r="L30" s="419" t="e">
        <f>E30*F30+G30*H30+#REF!*#REF!+I30*J30</f>
        <v>#DIV/0!</v>
      </c>
    </row>
    <row r="31" spans="1:12">
      <c r="A31" s="414" t="s">
        <v>283</v>
      </c>
      <c r="B31" s="415">
        <v>30</v>
      </c>
      <c r="C31" s="415">
        <v>1</v>
      </c>
      <c r="D31" s="416">
        <v>2021</v>
      </c>
      <c r="E31" s="417">
        <f>'UTILITY REPORT 1'!F32</f>
        <v>0</v>
      </c>
      <c r="F31" s="418" t="e">
        <f>('UTILITY REPORT 1'!E32*'UTILITY REPORT 1'!D32)/'UTILITY REPORT 1'!F32</f>
        <v>#DIV/0!</v>
      </c>
      <c r="G31" s="418">
        <f>IF('Utility summery'!M35&lt;0,"0",'Utility summery'!M35)</f>
        <v>0</v>
      </c>
      <c r="H31" s="423">
        <v>0</v>
      </c>
      <c r="I31" s="418">
        <f>IF('UTILITY REPORT 1'!G32&lt;0,"0",'UTILITY REPORT 1'!G32)</f>
        <v>0</v>
      </c>
      <c r="J31" s="423">
        <v>0</v>
      </c>
      <c r="K31" s="417">
        <f>'UTILITY REPORT 1'!C32</f>
        <v>0</v>
      </c>
      <c r="L31" s="419" t="e">
        <f>E31*F31+G31*H31+#REF!*#REF!+I31*J31</f>
        <v>#DIV/0!</v>
      </c>
    </row>
    <row r="32" spans="1:12">
      <c r="A32" s="414" t="s">
        <v>283</v>
      </c>
      <c r="B32" s="415">
        <v>31</v>
      </c>
      <c r="C32" s="415">
        <v>1</v>
      </c>
      <c r="D32" s="416">
        <v>2021</v>
      </c>
      <c r="E32" s="417">
        <f>'UTILITY REPORT 1'!F33</f>
        <v>0</v>
      </c>
      <c r="F32" s="418" t="e">
        <f>('UTILITY REPORT 1'!E33*'UTILITY REPORT 1'!D33)/'UTILITY REPORT 1'!F33</f>
        <v>#DIV/0!</v>
      </c>
      <c r="G32" s="418">
        <f>IF('Utility summery'!M36&lt;0,"0",'Utility summery'!M36)</f>
        <v>0</v>
      </c>
      <c r="H32" s="423">
        <v>0</v>
      </c>
      <c r="I32" s="418">
        <f>IF('UTILITY REPORT 1'!G33&lt;0,"0",'UTILITY REPORT 1'!G33)</f>
        <v>0</v>
      </c>
      <c r="J32" s="423">
        <v>0</v>
      </c>
      <c r="K32" s="417">
        <f>'UTILITY REPORT 1'!C33</f>
        <v>0</v>
      </c>
    </row>
    <row r="33" spans="6:10">
      <c r="F33" s="418"/>
      <c r="G33" s="418"/>
      <c r="H33" s="423"/>
      <c r="I33" s="418" t="s">
        <v>253</v>
      </c>
      <c r="J33" s="423"/>
    </row>
    <row r="34" spans="6:10">
      <c r="F34" s="418"/>
      <c r="G34" s="418"/>
      <c r="H34" s="423"/>
      <c r="I34" s="418"/>
      <c r="J34" s="423"/>
    </row>
    <row r="35" spans="6:10">
      <c r="F35" s="418"/>
      <c r="G35" s="418"/>
      <c r="H35" s="423"/>
      <c r="I35" s="418"/>
      <c r="J35" s="423"/>
    </row>
    <row r="36" spans="6:10">
      <c r="F36" s="418"/>
      <c r="G36" s="418"/>
      <c r="H36" s="423"/>
      <c r="I36" s="418"/>
      <c r="J36" s="423"/>
    </row>
    <row r="37" spans="6:10">
      <c r="F37" s="418"/>
      <c r="G37" s="418"/>
      <c r="H37" s="423"/>
      <c r="I37" s="418"/>
      <c r="J37" s="423"/>
    </row>
    <row r="38" spans="6:10">
      <c r="F38" s="418"/>
      <c r="G38" s="418"/>
      <c r="H38" s="423"/>
      <c r="I38" s="418"/>
      <c r="J38" s="423"/>
    </row>
    <row r="39" spans="6:10">
      <c r="F39" s="418"/>
      <c r="G39" s="418"/>
      <c r="H39" s="423"/>
      <c r="I39" s="418"/>
      <c r="J39" s="42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4" sqref="D14"/>
    </sheetView>
  </sheetViews>
  <sheetFormatPr defaultColWidth="11.5703125" defaultRowHeight="12.75"/>
  <cols>
    <col min="1" max="1" width="12.42578125" style="11" customWidth="1"/>
    <col min="2" max="3" width="11.5703125" style="415"/>
    <col min="4" max="4" width="13.42578125" style="416" customWidth="1"/>
    <col min="5" max="6" width="12.5703125" style="11" customWidth="1"/>
    <col min="7" max="7" width="12.5703125" style="417" customWidth="1"/>
    <col min="8" max="10" width="11.5703125" style="11"/>
    <col min="11" max="11" width="12.5703125" style="417" customWidth="1"/>
    <col min="12" max="12" width="11.5703125" style="11"/>
    <col min="13" max="14" width="11.5703125" style="417"/>
    <col min="15" max="15" width="0" style="11" hidden="1" customWidth="1"/>
    <col min="16" max="16" width="13.42578125" style="11" customWidth="1"/>
    <col min="17" max="22" width="11.5703125" style="11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13" customFormat="1" ht="60.75" thickBot="1">
      <c r="A1" s="464" t="s">
        <v>271</v>
      </c>
      <c r="B1" s="465" t="s">
        <v>272</v>
      </c>
      <c r="C1" s="465" t="s">
        <v>273</v>
      </c>
      <c r="D1" s="466" t="s">
        <v>274</v>
      </c>
      <c r="E1" s="467" t="s">
        <v>287</v>
      </c>
      <c r="F1" s="467" t="s">
        <v>286</v>
      </c>
      <c r="G1" s="468" t="s">
        <v>275</v>
      </c>
      <c r="H1" s="467" t="s">
        <v>284</v>
      </c>
      <c r="I1" s="467" t="s">
        <v>285</v>
      </c>
      <c r="J1" s="467" t="s">
        <v>288</v>
      </c>
      <c r="K1" s="468" t="s">
        <v>266</v>
      </c>
      <c r="L1" s="467" t="s">
        <v>289</v>
      </c>
      <c r="M1" s="468" t="s">
        <v>290</v>
      </c>
      <c r="N1" s="468" t="s">
        <v>291</v>
      </c>
      <c r="O1" s="468" t="s">
        <v>291</v>
      </c>
      <c r="P1" s="468" t="s">
        <v>304</v>
      </c>
      <c r="Q1" s="468" t="s">
        <v>292</v>
      </c>
      <c r="R1" s="468" t="s">
        <v>293</v>
      </c>
      <c r="S1" s="468" t="s">
        <v>294</v>
      </c>
      <c r="T1" s="468" t="s">
        <v>295</v>
      </c>
      <c r="U1" s="468" t="s">
        <v>296</v>
      </c>
      <c r="V1" s="468" t="s">
        <v>297</v>
      </c>
      <c r="W1" s="471" t="s">
        <v>305</v>
      </c>
      <c r="X1" s="472" t="s">
        <v>281</v>
      </c>
    </row>
    <row r="2" spans="1:24">
      <c r="A2" s="459" t="s">
        <v>283</v>
      </c>
      <c r="B2" s="460">
        <v>1</v>
      </c>
      <c r="C2" s="460">
        <v>1</v>
      </c>
      <c r="D2" s="461">
        <v>2021</v>
      </c>
      <c r="E2" s="462">
        <f>'UTILITY REPORT 1'!I3</f>
        <v>97.65</v>
      </c>
      <c r="F2" s="462">
        <f>'UTILITY REPORT 1'!E3</f>
        <v>1209.1599999999999</v>
      </c>
      <c r="G2" s="463">
        <f>'UTILITY REPORT 1'!F3</f>
        <v>2906</v>
      </c>
      <c r="H2" s="462">
        <f>IF('Kit report'!F4&lt;0,"0",'Kit report'!F4)</f>
        <v>252.00000000004366</v>
      </c>
      <c r="I2" s="462">
        <f>IF('Kit report'!X4&lt;0,"0",'Kit report'!X4)</f>
        <v>320.00000000007276</v>
      </c>
      <c r="J2" s="462" t="str">
        <f>IF('Utility summery'!H6&lt;0,"0",'Utility summery'!H6)</f>
        <v>0</v>
      </c>
      <c r="K2" s="463">
        <f>IF('UTILITY REPORT 1'!H3&lt;0,"0",'UTILITY REPORT 1'!H3)</f>
        <v>49</v>
      </c>
      <c r="L2" s="462">
        <f>'Water-Meter'!K6</f>
        <v>0</v>
      </c>
      <c r="M2" s="463">
        <f>'Water-Meter'!H6</f>
        <v>0</v>
      </c>
      <c r="N2" s="463">
        <f>'Water-Meter'!Q6</f>
        <v>5</v>
      </c>
      <c r="O2" s="462" t="e">
        <f>K2*E2+H2*I2+#REF!*#REF!+J2*L2</f>
        <v>#REF!</v>
      </c>
      <c r="P2" s="462">
        <f>'Water-Meter'!E6</f>
        <v>58</v>
      </c>
      <c r="Q2" s="405">
        <f>IF('Water-Meter'!U6&lt;0,"0",'Water-Meter'!U6)</f>
        <v>82</v>
      </c>
      <c r="R2" s="405" t="str">
        <f>IF('Water-Meter'!X6&lt;0,"0",'Water-Meter'!X6)</f>
        <v>0</v>
      </c>
      <c r="S2" s="405" t="str">
        <f>IF('Water-Meter'!AA6&lt;0,"0",'Water-Meter'!AA6)</f>
        <v>0</v>
      </c>
      <c r="T2" s="405" t="str">
        <f>IF('Water-Meter'!AD6&lt;0,"0",'Water-Meter'!AD6)</f>
        <v>0</v>
      </c>
      <c r="U2" s="405" t="str">
        <f>IF('Water-Meter'!AG6&lt;0,"0",'Water-Meter'!AG6)</f>
        <v>0</v>
      </c>
      <c r="V2" s="405" t="str">
        <f>IF('Water-Meter'!AJ6&lt;0,"0",'Water-Meter'!AJ6)</f>
        <v>0</v>
      </c>
      <c r="W2" s="30">
        <f>'Water-Meter'!AN6</f>
        <v>82</v>
      </c>
      <c r="X2" s="473">
        <f>Total!K2</f>
        <v>0</v>
      </c>
    </row>
    <row r="3" spans="1:24">
      <c r="A3" s="458" t="s">
        <v>283</v>
      </c>
      <c r="B3" s="455">
        <f>B2+1</f>
        <v>2</v>
      </c>
      <c r="C3" s="460">
        <v>1</v>
      </c>
      <c r="D3" s="461">
        <v>2021</v>
      </c>
      <c r="E3" s="456">
        <f>'UTILITY REPORT 1'!I4</f>
        <v>0</v>
      </c>
      <c r="F3" s="456">
        <f>'UTILITY REPORT 1'!E4</f>
        <v>0</v>
      </c>
      <c r="G3" s="457">
        <f>'UTILITY REPORT 1'!F4</f>
        <v>0</v>
      </c>
      <c r="H3" s="456" t="str">
        <f>IF('Kit report'!F5&lt;0,"0",'Kit report'!F5)</f>
        <v>0</v>
      </c>
      <c r="I3" s="456" t="str">
        <f>IF('Kit report'!X5&lt;0,"0",'Kit report'!X5)</f>
        <v>0</v>
      </c>
      <c r="J3" s="456">
        <f>IF('Utility summery'!H7&lt;0,"0",'Utility summery'!H7)</f>
        <v>0</v>
      </c>
      <c r="K3" s="457" t="str">
        <f>IF('UTILITY REPORT 1'!H4&lt;0,"0",'UTILITY REPORT 1'!H4)</f>
        <v>0</v>
      </c>
      <c r="L3" s="456">
        <f>'Water-Meter'!K7</f>
        <v>0</v>
      </c>
      <c r="M3" s="457">
        <f>'Water-Meter'!H7</f>
        <v>0</v>
      </c>
      <c r="N3" s="457" t="str">
        <f>'Water-Meter'!Q7</f>
        <v>0</v>
      </c>
      <c r="O3" s="456" t="e">
        <f>K3*E3+H3*I3+#REF!*#REF!+J3*L3</f>
        <v>#REF!</v>
      </c>
      <c r="P3" s="462" t="str">
        <f>'Water-Meter'!E7</f>
        <v>0</v>
      </c>
      <c r="Q3" s="242" t="str">
        <f>IF('Water-Meter'!U7&lt;0,"0",'Water-Meter'!U7)</f>
        <v>0</v>
      </c>
      <c r="R3" s="242">
        <f>IF('Water-Meter'!X7&lt;0,"0",'Water-Meter'!X7)</f>
        <v>0</v>
      </c>
      <c r="S3" s="242">
        <f>IF('Water-Meter'!AA7&lt;0,"0",'Water-Meter'!AA7)</f>
        <v>0</v>
      </c>
      <c r="T3" s="242">
        <f>IF('Water-Meter'!AD7&lt;0,"0",'Water-Meter'!AD7)</f>
        <v>0</v>
      </c>
      <c r="U3" s="242">
        <f>IF('Water-Meter'!AG7&lt;0,"0",'Water-Meter'!AG7)</f>
        <v>0</v>
      </c>
      <c r="V3" s="242">
        <f>IF('Water-Meter'!AJ7&lt;0,"0",'Water-Meter'!AJ7)</f>
        <v>0</v>
      </c>
      <c r="W3" s="30">
        <f>'Water-Meter'!AN7</f>
        <v>0</v>
      </c>
      <c r="X3" s="473">
        <f>Total!K3</f>
        <v>0</v>
      </c>
    </row>
    <row r="4" spans="1:24">
      <c r="A4" s="458" t="s">
        <v>283</v>
      </c>
      <c r="B4" s="455">
        <f t="shared" ref="B4:B30" si="0">B3+1</f>
        <v>3</v>
      </c>
      <c r="C4" s="460">
        <v>1</v>
      </c>
      <c r="D4" s="461">
        <v>2021</v>
      </c>
      <c r="E4" s="456">
        <f>'UTILITY REPORT 1'!I5</f>
        <v>0</v>
      </c>
      <c r="F4" s="456">
        <f>'UTILITY REPORT 1'!E5</f>
        <v>0</v>
      </c>
      <c r="G4" s="457">
        <f>'UTILITY REPORT 1'!F5</f>
        <v>0</v>
      </c>
      <c r="H4" s="456">
        <f>IF('Kit report'!F6&lt;0,"0",'Kit report'!F6)</f>
        <v>0</v>
      </c>
      <c r="I4" s="456">
        <f>IF('Kit report'!X6&lt;0,"0",'Kit report'!X6)</f>
        <v>0</v>
      </c>
      <c r="J4" s="456">
        <f>IF('Utility summery'!H8&lt;0,"0",'Utility summery'!H8)</f>
        <v>0</v>
      </c>
      <c r="K4" s="457">
        <f>IF('UTILITY REPORT 1'!H5&lt;0,"0",'UTILITY REPORT 1'!H5)</f>
        <v>0</v>
      </c>
      <c r="L4" s="456">
        <f>'Water-Meter'!K8</f>
        <v>0</v>
      </c>
      <c r="M4" s="457">
        <f>'Water-Meter'!H8</f>
        <v>0</v>
      </c>
      <c r="N4" s="457">
        <f>'Water-Meter'!Q8</f>
        <v>0</v>
      </c>
      <c r="O4" s="456" t="e">
        <f>K4*E4+H4*I4+#REF!*#REF!+J4*L4</f>
        <v>#REF!</v>
      </c>
      <c r="P4" s="462">
        <f>'Water-Meter'!E8</f>
        <v>0</v>
      </c>
      <c r="Q4" s="242">
        <f>IF('Water-Meter'!U8&lt;0,"0",'Water-Meter'!U8)</f>
        <v>0</v>
      </c>
      <c r="R4" s="242">
        <f>IF('Water-Meter'!X8&lt;0,"0",'Water-Meter'!X8)</f>
        <v>0</v>
      </c>
      <c r="S4" s="242">
        <f>IF('Water-Meter'!AA8&lt;0,"0",'Water-Meter'!AA8)</f>
        <v>0</v>
      </c>
      <c r="T4" s="242">
        <f>IF('Water-Meter'!AD8&lt;0,"0",'Water-Meter'!AD8)</f>
        <v>0</v>
      </c>
      <c r="U4" s="242">
        <f>IF('Water-Meter'!AG8&lt;0,"0",'Water-Meter'!AG8)</f>
        <v>0</v>
      </c>
      <c r="V4" s="242">
        <f>IF('Water-Meter'!AJ8&lt;0,"0",'Water-Meter'!AJ8)</f>
        <v>0</v>
      </c>
      <c r="W4" s="30">
        <f>'Water-Meter'!AN8</f>
        <v>0</v>
      </c>
      <c r="X4" s="473">
        <f>Total!K4</f>
        <v>0</v>
      </c>
    </row>
    <row r="5" spans="1:24">
      <c r="A5" s="458" t="s">
        <v>283</v>
      </c>
      <c r="B5" s="455">
        <f t="shared" si="0"/>
        <v>4</v>
      </c>
      <c r="C5" s="460">
        <v>1</v>
      </c>
      <c r="D5" s="461">
        <v>2021</v>
      </c>
      <c r="E5" s="456">
        <f>'UTILITY REPORT 1'!I6</f>
        <v>0</v>
      </c>
      <c r="F5" s="456">
        <f>'UTILITY REPORT 1'!E6</f>
        <v>0</v>
      </c>
      <c r="G5" s="457">
        <f>'UTILITY REPORT 1'!F6</f>
        <v>0</v>
      </c>
      <c r="H5" s="456">
        <f>IF('Kit report'!F7&lt;0,"0",'Kit report'!F7)</f>
        <v>0</v>
      </c>
      <c r="I5" s="456">
        <f>IF('Kit report'!X7&lt;0,"0",'Kit report'!X7)</f>
        <v>0</v>
      </c>
      <c r="J5" s="456">
        <f>IF('Utility summery'!H9&lt;0,"0",'Utility summery'!H9)</f>
        <v>0</v>
      </c>
      <c r="K5" s="457">
        <f>IF('UTILITY REPORT 1'!H6&lt;0,"0",'UTILITY REPORT 1'!H6)</f>
        <v>0</v>
      </c>
      <c r="L5" s="456">
        <f>'Water-Meter'!K9</f>
        <v>0</v>
      </c>
      <c r="M5" s="457">
        <f>'Water-Meter'!H9</f>
        <v>0</v>
      </c>
      <c r="N5" s="457">
        <f>'Water-Meter'!Q9</f>
        <v>0</v>
      </c>
      <c r="O5" s="456" t="e">
        <f>K5*E5+H5*I5+#REF!*#REF!+J5*L5</f>
        <v>#REF!</v>
      </c>
      <c r="P5" s="462">
        <f>'Water-Meter'!E9</f>
        <v>0</v>
      </c>
      <c r="Q5" s="242">
        <f>IF('Water-Meter'!U9&lt;0,"0",'Water-Meter'!U9)</f>
        <v>0</v>
      </c>
      <c r="R5" s="242">
        <f>IF('Water-Meter'!X9&lt;0,"0",'Water-Meter'!X9)</f>
        <v>0</v>
      </c>
      <c r="S5" s="242">
        <f>IF('Water-Meter'!AA9&lt;0,"0",'Water-Meter'!AA9)</f>
        <v>0</v>
      </c>
      <c r="T5" s="242">
        <f>IF('Water-Meter'!AD9&lt;0,"0",'Water-Meter'!AD9)</f>
        <v>0</v>
      </c>
      <c r="U5" s="242">
        <f>IF('Water-Meter'!AG9&lt;0,"0",'Water-Meter'!AG9)</f>
        <v>0</v>
      </c>
      <c r="V5" s="242">
        <f>IF('Water-Meter'!AJ9&lt;0,"0",'Water-Meter'!AJ9)</f>
        <v>0</v>
      </c>
      <c r="W5" s="30">
        <f>'Water-Meter'!AN9</f>
        <v>0</v>
      </c>
      <c r="X5" s="473">
        <f>Total!K5</f>
        <v>0</v>
      </c>
    </row>
    <row r="6" spans="1:24">
      <c r="A6" s="458" t="s">
        <v>283</v>
      </c>
      <c r="B6" s="455">
        <f t="shared" si="0"/>
        <v>5</v>
      </c>
      <c r="C6" s="460">
        <v>1</v>
      </c>
      <c r="D6" s="461">
        <v>2021</v>
      </c>
      <c r="E6" s="456">
        <f>'UTILITY REPORT 1'!I7</f>
        <v>0</v>
      </c>
      <c r="F6" s="456">
        <f>'UTILITY REPORT 1'!E7</f>
        <v>0</v>
      </c>
      <c r="G6" s="457">
        <f>'UTILITY REPORT 1'!F7</f>
        <v>0</v>
      </c>
      <c r="H6" s="456">
        <f>IF('Kit report'!F8&lt;0,"0",'Kit report'!F8)</f>
        <v>0</v>
      </c>
      <c r="I6" s="456">
        <f>IF('Kit report'!X8&lt;0,"0",'Kit report'!X8)</f>
        <v>0</v>
      </c>
      <c r="J6" s="456">
        <f>IF('Utility summery'!H10&lt;0,"0",'Utility summery'!H10)</f>
        <v>0</v>
      </c>
      <c r="K6" s="457">
        <f>IF('UTILITY REPORT 1'!H7&lt;0,"0",'UTILITY REPORT 1'!H7)</f>
        <v>0</v>
      </c>
      <c r="L6" s="456">
        <f>'Water-Meter'!K10</f>
        <v>0</v>
      </c>
      <c r="M6" s="457">
        <f>'Water-Meter'!H10</f>
        <v>0</v>
      </c>
      <c r="N6" s="457">
        <f>'Water-Meter'!Q10</f>
        <v>0</v>
      </c>
      <c r="O6" s="456" t="e">
        <f>K6*E6+H6*I6+#REF!*#REF!+J6*L6</f>
        <v>#REF!</v>
      </c>
      <c r="P6" s="462">
        <f>'Water-Meter'!E10</f>
        <v>0</v>
      </c>
      <c r="Q6" s="242">
        <f>IF('Water-Meter'!U10&lt;0,"0",'Water-Meter'!U10)</f>
        <v>0</v>
      </c>
      <c r="R6" s="242">
        <f>IF('Water-Meter'!X10&lt;0,"0",'Water-Meter'!X10)</f>
        <v>0</v>
      </c>
      <c r="S6" s="242">
        <f>IF('Water-Meter'!AA10&lt;0,"0",'Water-Meter'!AA10)</f>
        <v>0</v>
      </c>
      <c r="T6" s="242">
        <f>IF('Water-Meter'!AD10&lt;0,"0",'Water-Meter'!AD10)</f>
        <v>0</v>
      </c>
      <c r="U6" s="242">
        <f>IF('Water-Meter'!AG10&lt;0,"0",'Water-Meter'!AG10)</f>
        <v>0</v>
      </c>
      <c r="V6" s="242">
        <f>IF('Water-Meter'!AJ10&lt;0,"0",'Water-Meter'!AJ10)</f>
        <v>0</v>
      </c>
      <c r="W6" s="30">
        <f>'Water-Meter'!AN10</f>
        <v>0</v>
      </c>
      <c r="X6" s="473">
        <f>Total!K6</f>
        <v>0</v>
      </c>
    </row>
    <row r="7" spans="1:24">
      <c r="A7" s="458" t="s">
        <v>283</v>
      </c>
      <c r="B7" s="455">
        <f t="shared" si="0"/>
        <v>6</v>
      </c>
      <c r="C7" s="460">
        <v>1</v>
      </c>
      <c r="D7" s="461">
        <v>2021</v>
      </c>
      <c r="E7" s="456">
        <f>'UTILITY REPORT 1'!I8</f>
        <v>0</v>
      </c>
      <c r="F7" s="456">
        <f>'UTILITY REPORT 1'!E8</f>
        <v>0</v>
      </c>
      <c r="G7" s="457">
        <f>'UTILITY REPORT 1'!F8</f>
        <v>0</v>
      </c>
      <c r="H7" s="456">
        <f>IF('Kit report'!F9&lt;0,"0",'Kit report'!F9)</f>
        <v>0</v>
      </c>
      <c r="I7" s="456">
        <f>IF('Kit report'!X9&lt;0,"0",'Kit report'!X9)</f>
        <v>0</v>
      </c>
      <c r="J7" s="456">
        <f>IF('Utility summery'!H11&lt;0,"0",'Utility summery'!H11)</f>
        <v>0</v>
      </c>
      <c r="K7" s="457">
        <f>IF('UTILITY REPORT 1'!H8&lt;0,"0",'UTILITY REPORT 1'!H8)</f>
        <v>0</v>
      </c>
      <c r="L7" s="456">
        <f>'Water-Meter'!K11</f>
        <v>0</v>
      </c>
      <c r="M7" s="457">
        <f>'Water-Meter'!H11</f>
        <v>0</v>
      </c>
      <c r="N7" s="457">
        <f>'Water-Meter'!Q11</f>
        <v>0</v>
      </c>
      <c r="O7" s="456" t="e">
        <f>K7*E7+H7*I7+#REF!*#REF!+J7*L7</f>
        <v>#REF!</v>
      </c>
      <c r="P7" s="462">
        <f>'Water-Meter'!E11</f>
        <v>0</v>
      </c>
      <c r="Q7" s="242">
        <f>IF('Water-Meter'!U11&lt;0,"0",'Water-Meter'!U11)</f>
        <v>0</v>
      </c>
      <c r="R7" s="242">
        <f>IF('Water-Meter'!X11&lt;0,"0",'Water-Meter'!X11)</f>
        <v>0</v>
      </c>
      <c r="S7" s="242">
        <f>IF('Water-Meter'!AA11&lt;0,"0",'Water-Meter'!AA11)</f>
        <v>0</v>
      </c>
      <c r="T7" s="242">
        <f>IF('Water-Meter'!AD11&lt;0,"0",'Water-Meter'!AD11)</f>
        <v>0</v>
      </c>
      <c r="U7" s="242">
        <f>IF('Water-Meter'!AG11&lt;0,"0",'Water-Meter'!AG11)</f>
        <v>0</v>
      </c>
      <c r="V7" s="242">
        <f>IF('Water-Meter'!AJ11&lt;0,"0",'Water-Meter'!AJ11)</f>
        <v>0</v>
      </c>
      <c r="W7" s="30">
        <f>'Water-Meter'!AN11</f>
        <v>0</v>
      </c>
      <c r="X7" s="473">
        <f>Total!K7</f>
        <v>0</v>
      </c>
    </row>
    <row r="8" spans="1:24">
      <c r="A8" s="458" t="s">
        <v>283</v>
      </c>
      <c r="B8" s="455">
        <f t="shared" si="0"/>
        <v>7</v>
      </c>
      <c r="C8" s="460">
        <v>1</v>
      </c>
      <c r="D8" s="461">
        <v>2021</v>
      </c>
      <c r="E8" s="456">
        <f>'UTILITY REPORT 1'!I9</f>
        <v>0</v>
      </c>
      <c r="F8" s="456">
        <f>'UTILITY REPORT 1'!E9</f>
        <v>0</v>
      </c>
      <c r="G8" s="457">
        <f>'UTILITY REPORT 1'!F9</f>
        <v>0</v>
      </c>
      <c r="H8" s="456">
        <f>IF('Kit report'!F10&lt;0,"0",'Kit report'!F10)</f>
        <v>0</v>
      </c>
      <c r="I8" s="456">
        <f>IF('Kit report'!X10&lt;0,"0",'Kit report'!X10)</f>
        <v>0</v>
      </c>
      <c r="J8" s="456">
        <f>IF('Utility summery'!H12&lt;0,"0",'Utility summery'!H12)</f>
        <v>0</v>
      </c>
      <c r="K8" s="457">
        <f>IF('UTILITY REPORT 1'!H9&lt;0,"0",'UTILITY REPORT 1'!H9)</f>
        <v>0</v>
      </c>
      <c r="L8" s="456">
        <f>'Water-Meter'!K12</f>
        <v>0</v>
      </c>
      <c r="M8" s="457">
        <f>'Water-Meter'!H12</f>
        <v>0</v>
      </c>
      <c r="N8" s="457">
        <f>'Water-Meter'!Q12</f>
        <v>0</v>
      </c>
      <c r="O8" s="456" t="e">
        <f>K8*E8+H8*I8+#REF!*#REF!+J8*L8</f>
        <v>#REF!</v>
      </c>
      <c r="P8" s="462">
        <f>'Water-Meter'!E12</f>
        <v>0</v>
      </c>
      <c r="Q8" s="242">
        <f>IF('Water-Meter'!U12&lt;0,"0",'Water-Meter'!U12)</f>
        <v>0</v>
      </c>
      <c r="R8" s="242">
        <f>IF('Water-Meter'!X12&lt;0,"0",'Water-Meter'!X12)</f>
        <v>0</v>
      </c>
      <c r="S8" s="242">
        <f>IF('Water-Meter'!AA12&lt;0,"0",'Water-Meter'!AA12)</f>
        <v>0</v>
      </c>
      <c r="T8" s="242">
        <f>IF('Water-Meter'!AD12&lt;0,"0",'Water-Meter'!AD12)</f>
        <v>0</v>
      </c>
      <c r="U8" s="242">
        <f>IF('Water-Meter'!AG12&lt;0,"0",'Water-Meter'!AG12)</f>
        <v>0</v>
      </c>
      <c r="V8" s="242">
        <f>IF('Water-Meter'!AJ12&lt;0,"0",'Water-Meter'!AJ12)</f>
        <v>0</v>
      </c>
      <c r="W8" s="30">
        <f>'Water-Meter'!AN12</f>
        <v>0</v>
      </c>
      <c r="X8" s="473">
        <f>Total!K8</f>
        <v>0</v>
      </c>
    </row>
    <row r="9" spans="1:24">
      <c r="A9" s="458" t="s">
        <v>283</v>
      </c>
      <c r="B9" s="455">
        <f t="shared" si="0"/>
        <v>8</v>
      </c>
      <c r="C9" s="460">
        <v>1</v>
      </c>
      <c r="D9" s="461">
        <v>2021</v>
      </c>
      <c r="E9" s="456">
        <f>'UTILITY REPORT 1'!I10</f>
        <v>0</v>
      </c>
      <c r="F9" s="456">
        <f>'UTILITY REPORT 1'!E10</f>
        <v>0</v>
      </c>
      <c r="G9" s="457">
        <f>'UTILITY REPORT 1'!F10</f>
        <v>0</v>
      </c>
      <c r="H9" s="456">
        <f>IF('Kit report'!F11&lt;0,"0",'Kit report'!F11)</f>
        <v>0</v>
      </c>
      <c r="I9" s="456">
        <f>IF('Kit report'!X11&lt;0,"0",'Kit report'!X11)</f>
        <v>0</v>
      </c>
      <c r="J9" s="456">
        <f>IF('Utility summery'!H13&lt;0,"0",'Utility summery'!H13)</f>
        <v>0</v>
      </c>
      <c r="K9" s="457">
        <f>IF('UTILITY REPORT 1'!H10&lt;0,"0",'UTILITY REPORT 1'!H10)</f>
        <v>0</v>
      </c>
      <c r="L9" s="456">
        <f>'Water-Meter'!K13</f>
        <v>0</v>
      </c>
      <c r="M9" s="457">
        <f>'Water-Meter'!H13</f>
        <v>0</v>
      </c>
      <c r="N9" s="457">
        <f>'Water-Meter'!Q13</f>
        <v>0</v>
      </c>
      <c r="O9" s="456" t="e">
        <f>K9*E9+H9*I9+#REF!*#REF!+J9*L9</f>
        <v>#REF!</v>
      </c>
      <c r="P9" s="462">
        <f>'Water-Meter'!E13</f>
        <v>0</v>
      </c>
      <c r="Q9" s="242">
        <f>IF('Water-Meter'!U13&lt;0,"0",'Water-Meter'!U13)</f>
        <v>0</v>
      </c>
      <c r="R9" s="242">
        <f>IF('Water-Meter'!X13&lt;0,"0",'Water-Meter'!X13)</f>
        <v>0</v>
      </c>
      <c r="S9" s="242">
        <f>IF('Water-Meter'!AA13&lt;0,"0",'Water-Meter'!AA13)</f>
        <v>0</v>
      </c>
      <c r="T9" s="242">
        <f>IF('Water-Meter'!AD13&lt;0,"0",'Water-Meter'!AD13)</f>
        <v>0</v>
      </c>
      <c r="U9" s="242">
        <f>IF('Water-Meter'!AG13&lt;0,"0",'Water-Meter'!AG13)</f>
        <v>0</v>
      </c>
      <c r="V9" s="242">
        <f>IF('Water-Meter'!AJ13&lt;0,"0",'Water-Meter'!AJ13)</f>
        <v>0</v>
      </c>
      <c r="W9" s="30">
        <f>'Water-Meter'!AN13</f>
        <v>0</v>
      </c>
      <c r="X9" s="473">
        <f>Total!K9</f>
        <v>0</v>
      </c>
    </row>
    <row r="10" spans="1:24">
      <c r="A10" s="458" t="s">
        <v>283</v>
      </c>
      <c r="B10" s="455">
        <f t="shared" si="0"/>
        <v>9</v>
      </c>
      <c r="C10" s="460">
        <v>1</v>
      </c>
      <c r="D10" s="461">
        <v>2021</v>
      </c>
      <c r="E10" s="456">
        <f>'UTILITY REPORT 1'!I11</f>
        <v>0</v>
      </c>
      <c r="F10" s="456">
        <f>'UTILITY REPORT 1'!E11</f>
        <v>0</v>
      </c>
      <c r="G10" s="457">
        <f>'UTILITY REPORT 1'!F11</f>
        <v>0</v>
      </c>
      <c r="H10" s="456">
        <f>IF('Kit report'!F12&lt;0,"0",'Kit report'!F12)</f>
        <v>0</v>
      </c>
      <c r="I10" s="456">
        <f>IF('Kit report'!X12&lt;0,"0",'Kit report'!X12)</f>
        <v>0</v>
      </c>
      <c r="J10" s="456">
        <f>IF('Utility summery'!H14&lt;0,"0",'Utility summery'!H14)</f>
        <v>0</v>
      </c>
      <c r="K10" s="457">
        <f>IF('UTILITY REPORT 1'!H11&lt;0,"0",'UTILITY REPORT 1'!H11)</f>
        <v>0</v>
      </c>
      <c r="L10" s="456">
        <f>'Water-Meter'!K14</f>
        <v>0</v>
      </c>
      <c r="M10" s="457">
        <f>'Water-Meter'!H14</f>
        <v>0</v>
      </c>
      <c r="N10" s="457">
        <f>'Water-Meter'!Q14</f>
        <v>0</v>
      </c>
      <c r="O10" s="456" t="e">
        <f>K10*E10+H10*I10+#REF!*#REF!+J10*L10</f>
        <v>#REF!</v>
      </c>
      <c r="P10" s="462">
        <f>'Water-Meter'!E14</f>
        <v>0</v>
      </c>
      <c r="Q10" s="242">
        <f>IF('Water-Meter'!U14&lt;0,"0",'Water-Meter'!U14)</f>
        <v>0</v>
      </c>
      <c r="R10" s="242">
        <f>IF('Water-Meter'!X14&lt;0,"0",'Water-Meter'!X14)</f>
        <v>0</v>
      </c>
      <c r="S10" s="242">
        <f>IF('Water-Meter'!AA14&lt;0,"0",'Water-Meter'!AA14)</f>
        <v>0</v>
      </c>
      <c r="T10" s="242">
        <f>IF('Water-Meter'!AD14&lt;0,"0",'Water-Meter'!AD14)</f>
        <v>0</v>
      </c>
      <c r="U10" s="242">
        <f>IF('Water-Meter'!AG14&lt;0,"0",'Water-Meter'!AG14)</f>
        <v>0</v>
      </c>
      <c r="V10" s="242">
        <f>IF('Water-Meter'!AJ14&lt;0,"0",'Water-Meter'!AJ14)</f>
        <v>0</v>
      </c>
      <c r="W10" s="30">
        <f>'Water-Meter'!AN14</f>
        <v>0</v>
      </c>
      <c r="X10" s="473">
        <f>Total!K10</f>
        <v>0</v>
      </c>
    </row>
    <row r="11" spans="1:24">
      <c r="A11" s="458" t="s">
        <v>283</v>
      </c>
      <c r="B11" s="455">
        <f t="shared" si="0"/>
        <v>10</v>
      </c>
      <c r="C11" s="460">
        <v>1</v>
      </c>
      <c r="D11" s="461">
        <v>2021</v>
      </c>
      <c r="E11" s="456">
        <f>'UTILITY REPORT 1'!I12</f>
        <v>0</v>
      </c>
      <c r="F11" s="456">
        <f>'UTILITY REPORT 1'!E12</f>
        <v>0</v>
      </c>
      <c r="G11" s="457">
        <f>'UTILITY REPORT 1'!F12</f>
        <v>0</v>
      </c>
      <c r="H11" s="456">
        <f>IF('Kit report'!F13&lt;0,"0",'Kit report'!F13)</f>
        <v>0</v>
      </c>
      <c r="I11" s="456">
        <f>IF('Kit report'!X13&lt;0,"0",'Kit report'!X13)</f>
        <v>0</v>
      </c>
      <c r="J11" s="456">
        <f>IF('Utility summery'!H15&lt;0,"0",'Utility summery'!H15)</f>
        <v>0</v>
      </c>
      <c r="K11" s="457">
        <f>IF('UTILITY REPORT 1'!H12&lt;0,"0",'UTILITY REPORT 1'!H12)</f>
        <v>0</v>
      </c>
      <c r="L11" s="456">
        <f>'Water-Meter'!K15</f>
        <v>0</v>
      </c>
      <c r="M11" s="457">
        <f>'Water-Meter'!H15</f>
        <v>0</v>
      </c>
      <c r="N11" s="457">
        <f>'Water-Meter'!Q15</f>
        <v>0</v>
      </c>
      <c r="O11" s="456" t="e">
        <f>K11*E11+H11*I11+#REF!*#REF!+J11*L11</f>
        <v>#REF!</v>
      </c>
      <c r="P11" s="462">
        <f>'Water-Meter'!E15</f>
        <v>0</v>
      </c>
      <c r="Q11" s="242">
        <f>IF('Water-Meter'!U15&lt;0,"0",'Water-Meter'!U15)</f>
        <v>0</v>
      </c>
      <c r="R11" s="242">
        <f>IF('Water-Meter'!X15&lt;0,"0",'Water-Meter'!X15)</f>
        <v>0</v>
      </c>
      <c r="S11" s="242">
        <f>IF('Water-Meter'!AA15&lt;0,"0",'Water-Meter'!AA15)</f>
        <v>0</v>
      </c>
      <c r="T11" s="242">
        <f>IF('Water-Meter'!AD15&lt;0,"0",'Water-Meter'!AD15)</f>
        <v>0</v>
      </c>
      <c r="U11" s="242">
        <f>IF('Water-Meter'!AG15&lt;0,"0",'Water-Meter'!AG15)</f>
        <v>0</v>
      </c>
      <c r="V11" s="242">
        <f>IF('Water-Meter'!AJ15&lt;0,"0",'Water-Meter'!AJ15)</f>
        <v>0</v>
      </c>
      <c r="W11" s="30">
        <f>'Water-Meter'!AN15</f>
        <v>0</v>
      </c>
      <c r="X11" s="473">
        <f>Total!K11</f>
        <v>0</v>
      </c>
    </row>
    <row r="12" spans="1:24">
      <c r="A12" s="458" t="s">
        <v>283</v>
      </c>
      <c r="B12" s="455">
        <f t="shared" si="0"/>
        <v>11</v>
      </c>
      <c r="C12" s="460">
        <v>1</v>
      </c>
      <c r="D12" s="461">
        <v>2021</v>
      </c>
      <c r="E12" s="456">
        <f>'UTILITY REPORT 1'!I13</f>
        <v>0</v>
      </c>
      <c r="F12" s="456">
        <f>'UTILITY REPORT 1'!E13</f>
        <v>0</v>
      </c>
      <c r="G12" s="457">
        <f>'UTILITY REPORT 1'!F13</f>
        <v>0</v>
      </c>
      <c r="H12" s="456">
        <f>IF('Kit report'!F14&lt;0,"0",'Kit report'!F14)</f>
        <v>0</v>
      </c>
      <c r="I12" s="456">
        <f>IF('Kit report'!X14&lt;0,"0",'Kit report'!X14)</f>
        <v>0</v>
      </c>
      <c r="J12" s="456">
        <f>IF('Utility summery'!H16&lt;0,"0",'Utility summery'!H16)</f>
        <v>0</v>
      </c>
      <c r="K12" s="457">
        <f>IF('UTILITY REPORT 1'!H13&lt;0,"0",'UTILITY REPORT 1'!H13)</f>
        <v>0</v>
      </c>
      <c r="L12" s="456">
        <f>'Water-Meter'!K16</f>
        <v>0</v>
      </c>
      <c r="M12" s="457">
        <f>'Water-Meter'!H16</f>
        <v>0</v>
      </c>
      <c r="N12" s="457">
        <f>'Water-Meter'!Q16</f>
        <v>0</v>
      </c>
      <c r="O12" s="456" t="e">
        <f>K12*E12+H12*I12+#REF!*#REF!+J12*L12</f>
        <v>#REF!</v>
      </c>
      <c r="P12" s="462">
        <f>'Water-Meter'!E16</f>
        <v>0</v>
      </c>
      <c r="Q12" s="242">
        <f>IF('Water-Meter'!U16&lt;0,"0",'Water-Meter'!U16)</f>
        <v>0</v>
      </c>
      <c r="R12" s="242">
        <f>IF('Water-Meter'!X16&lt;0,"0",'Water-Meter'!X16)</f>
        <v>0</v>
      </c>
      <c r="S12" s="242">
        <f>IF('Water-Meter'!AA16&lt;0,"0",'Water-Meter'!AA16)</f>
        <v>0</v>
      </c>
      <c r="T12" s="242">
        <f>IF('Water-Meter'!AD16&lt;0,"0",'Water-Meter'!AD16)</f>
        <v>0</v>
      </c>
      <c r="U12" s="242">
        <f>IF('Water-Meter'!AG16&lt;0,"0",'Water-Meter'!AG16)</f>
        <v>0</v>
      </c>
      <c r="V12" s="242">
        <f>IF('Water-Meter'!AJ16&lt;0,"0",'Water-Meter'!AJ16)</f>
        <v>0</v>
      </c>
      <c r="W12" s="30">
        <f>'Water-Meter'!AN16</f>
        <v>0</v>
      </c>
      <c r="X12" s="473">
        <f>Total!K12</f>
        <v>0</v>
      </c>
    </row>
    <row r="13" spans="1:24">
      <c r="A13" s="458" t="s">
        <v>283</v>
      </c>
      <c r="B13" s="455">
        <f t="shared" si="0"/>
        <v>12</v>
      </c>
      <c r="C13" s="460">
        <v>1</v>
      </c>
      <c r="D13" s="461">
        <v>2021</v>
      </c>
      <c r="E13" s="456">
        <f>'UTILITY REPORT 1'!I14</f>
        <v>0</v>
      </c>
      <c r="F13" s="456">
        <f>'UTILITY REPORT 1'!E14</f>
        <v>0</v>
      </c>
      <c r="G13" s="457">
        <f>'UTILITY REPORT 1'!F14</f>
        <v>0</v>
      </c>
      <c r="H13" s="456">
        <f>IF('Kit report'!F15&lt;0,"0",'Kit report'!F15)</f>
        <v>0</v>
      </c>
      <c r="I13" s="456">
        <f>IF('Kit report'!X15&lt;0,"0",'Kit report'!X15)</f>
        <v>0</v>
      </c>
      <c r="J13" s="456">
        <f>IF('Utility summery'!H17&lt;0,"0",'Utility summery'!H17)</f>
        <v>0</v>
      </c>
      <c r="K13" s="457">
        <f>IF('UTILITY REPORT 1'!H14&lt;0,"0",'UTILITY REPORT 1'!H14)</f>
        <v>0</v>
      </c>
      <c r="L13" s="456">
        <f>'Water-Meter'!K17</f>
        <v>0</v>
      </c>
      <c r="M13" s="457">
        <f>'Water-Meter'!H17</f>
        <v>0</v>
      </c>
      <c r="N13" s="457">
        <f>'Water-Meter'!Q17</f>
        <v>0</v>
      </c>
      <c r="O13" s="456" t="e">
        <f>K13*E13+H13*I13+#REF!*#REF!+J13*L13</f>
        <v>#REF!</v>
      </c>
      <c r="P13" s="462">
        <f>'Water-Meter'!E17</f>
        <v>0</v>
      </c>
      <c r="Q13" s="242">
        <f>IF('Water-Meter'!U17&lt;0,"0",'Water-Meter'!U17)</f>
        <v>0</v>
      </c>
      <c r="R13" s="242">
        <f>IF('Water-Meter'!X17&lt;0,"0",'Water-Meter'!X17)</f>
        <v>0</v>
      </c>
      <c r="S13" s="242">
        <f>IF('Water-Meter'!AA17&lt;0,"0",'Water-Meter'!AA17)</f>
        <v>0</v>
      </c>
      <c r="T13" s="242">
        <f>IF('Water-Meter'!AD17&lt;0,"0",'Water-Meter'!AD17)</f>
        <v>0</v>
      </c>
      <c r="U13" s="242">
        <f>IF('Water-Meter'!AG17&lt;0,"0",'Water-Meter'!AG17)</f>
        <v>0</v>
      </c>
      <c r="V13" s="242">
        <f>IF('Water-Meter'!AJ17&lt;0,"0",'Water-Meter'!AJ17)</f>
        <v>0</v>
      </c>
      <c r="W13" s="30">
        <f>'Water-Meter'!AN17</f>
        <v>0</v>
      </c>
      <c r="X13" s="473">
        <f>Total!K13</f>
        <v>0</v>
      </c>
    </row>
    <row r="14" spans="1:24">
      <c r="A14" s="458" t="s">
        <v>283</v>
      </c>
      <c r="B14" s="455">
        <f t="shared" si="0"/>
        <v>13</v>
      </c>
      <c r="C14" s="460">
        <v>1</v>
      </c>
      <c r="D14" s="461">
        <v>2021</v>
      </c>
      <c r="E14" s="456">
        <f>'UTILITY REPORT 1'!I15</f>
        <v>0</v>
      </c>
      <c r="F14" s="456">
        <f>'UTILITY REPORT 1'!E15</f>
        <v>0</v>
      </c>
      <c r="G14" s="457">
        <f>'UTILITY REPORT 1'!F15</f>
        <v>0</v>
      </c>
      <c r="H14" s="456">
        <f>IF('Kit report'!F16&lt;0,"0",'Kit report'!F16)</f>
        <v>0</v>
      </c>
      <c r="I14" s="456">
        <f>IF('Kit report'!X16&lt;0,"0",'Kit report'!X16)</f>
        <v>0</v>
      </c>
      <c r="J14" s="456">
        <f>IF('Utility summery'!H18&lt;0,"0",'Utility summery'!H18)</f>
        <v>0</v>
      </c>
      <c r="K14" s="457">
        <f>IF('UTILITY REPORT 1'!H15&lt;0,"0",'UTILITY REPORT 1'!H15)</f>
        <v>0</v>
      </c>
      <c r="L14" s="456">
        <f>'Water-Meter'!K18</f>
        <v>0</v>
      </c>
      <c r="M14" s="457">
        <f>'Water-Meter'!H18</f>
        <v>0</v>
      </c>
      <c r="N14" s="457">
        <f>'Water-Meter'!Q18</f>
        <v>0</v>
      </c>
      <c r="O14" s="456" t="e">
        <f>K14*E14+H14*I14+#REF!*#REF!+J14*L14</f>
        <v>#REF!</v>
      </c>
      <c r="P14" s="462">
        <f>'Water-Meter'!E18</f>
        <v>0</v>
      </c>
      <c r="Q14" s="242">
        <f>IF('Water-Meter'!U18&lt;0,"0",'Water-Meter'!U18)</f>
        <v>0</v>
      </c>
      <c r="R14" s="242">
        <f>IF('Water-Meter'!X18&lt;0,"0",'Water-Meter'!X18)</f>
        <v>0</v>
      </c>
      <c r="S14" s="242">
        <f>IF('Water-Meter'!AA18&lt;0,"0",'Water-Meter'!AA18)</f>
        <v>0</v>
      </c>
      <c r="T14" s="242">
        <f>IF('Water-Meter'!AD18&lt;0,"0",'Water-Meter'!AD18)</f>
        <v>0</v>
      </c>
      <c r="U14" s="242">
        <f>IF('Water-Meter'!AG18&lt;0,"0",'Water-Meter'!AG18)</f>
        <v>0</v>
      </c>
      <c r="V14" s="242">
        <f>IF('Water-Meter'!AJ18&lt;0,"0",'Water-Meter'!AJ18)</f>
        <v>0</v>
      </c>
      <c r="W14" s="30">
        <f>'Water-Meter'!AN18</f>
        <v>0</v>
      </c>
      <c r="X14" s="473">
        <f>Total!K14</f>
        <v>0</v>
      </c>
    </row>
    <row r="15" spans="1:24">
      <c r="A15" s="458" t="s">
        <v>283</v>
      </c>
      <c r="B15" s="455">
        <f t="shared" si="0"/>
        <v>14</v>
      </c>
      <c r="C15" s="460">
        <v>1</v>
      </c>
      <c r="D15" s="461">
        <v>2021</v>
      </c>
      <c r="E15" s="456">
        <f>'UTILITY REPORT 1'!I16</f>
        <v>0</v>
      </c>
      <c r="F15" s="456">
        <f>'UTILITY REPORT 1'!E16</f>
        <v>0</v>
      </c>
      <c r="G15" s="457">
        <f>'UTILITY REPORT 1'!F16</f>
        <v>0</v>
      </c>
      <c r="H15" s="456">
        <f>IF('Kit report'!F17&lt;0,"0",'Kit report'!F17)</f>
        <v>0</v>
      </c>
      <c r="I15" s="456">
        <f>IF('Kit report'!X17&lt;0,"0",'Kit report'!X17)</f>
        <v>0</v>
      </c>
      <c r="J15" s="456">
        <f>IF('Utility summery'!H19&lt;0,"0",'Utility summery'!H19)</f>
        <v>0</v>
      </c>
      <c r="K15" s="457">
        <f>IF('UTILITY REPORT 1'!H16&lt;0,"0",'UTILITY REPORT 1'!H16)</f>
        <v>0</v>
      </c>
      <c r="L15" s="456">
        <f>'Water-Meter'!K19</f>
        <v>0</v>
      </c>
      <c r="M15" s="457">
        <f>'Water-Meter'!H19</f>
        <v>0</v>
      </c>
      <c r="N15" s="457">
        <f>'Water-Meter'!Q19</f>
        <v>0</v>
      </c>
      <c r="O15" s="456" t="e">
        <f>K15*E15+H15*I15+#REF!*#REF!+J15*L15</f>
        <v>#REF!</v>
      </c>
      <c r="P15" s="462">
        <f>'Water-Meter'!E19</f>
        <v>0</v>
      </c>
      <c r="Q15" s="242">
        <f>IF('Water-Meter'!U19&lt;0,"0",'Water-Meter'!U19)</f>
        <v>0</v>
      </c>
      <c r="R15" s="242">
        <f>IF('Water-Meter'!X19&lt;0,"0",'Water-Meter'!X19)</f>
        <v>0</v>
      </c>
      <c r="S15" s="242">
        <f>IF('Water-Meter'!AA19&lt;0,"0",'Water-Meter'!AA19)</f>
        <v>0</v>
      </c>
      <c r="T15" s="242">
        <f>IF('Water-Meter'!AD19&lt;0,"0",'Water-Meter'!AD19)</f>
        <v>0</v>
      </c>
      <c r="U15" s="242">
        <f>IF('Water-Meter'!AG19&lt;0,"0",'Water-Meter'!AG19)</f>
        <v>0</v>
      </c>
      <c r="V15" s="242">
        <f>IF('Water-Meter'!AJ19&lt;0,"0",'Water-Meter'!AJ19)</f>
        <v>0</v>
      </c>
      <c r="W15" s="30">
        <f>'Water-Meter'!AN19</f>
        <v>0</v>
      </c>
      <c r="X15" s="473">
        <f>Total!K15</f>
        <v>0</v>
      </c>
    </row>
    <row r="16" spans="1:24">
      <c r="A16" s="458" t="s">
        <v>283</v>
      </c>
      <c r="B16" s="455">
        <f t="shared" si="0"/>
        <v>15</v>
      </c>
      <c r="C16" s="460">
        <v>1</v>
      </c>
      <c r="D16" s="461">
        <v>2021</v>
      </c>
      <c r="E16" s="456">
        <f>'UTILITY REPORT 1'!I17</f>
        <v>0</v>
      </c>
      <c r="F16" s="456">
        <f>'UTILITY REPORT 1'!E17</f>
        <v>0</v>
      </c>
      <c r="G16" s="457">
        <f>'UTILITY REPORT 1'!F17</f>
        <v>0</v>
      </c>
      <c r="H16" s="456">
        <f>IF('Kit report'!F18&lt;0,"0",'Kit report'!F18)</f>
        <v>0</v>
      </c>
      <c r="I16" s="456">
        <f>IF('Kit report'!X18&lt;0,"0",'Kit report'!X18)</f>
        <v>0</v>
      </c>
      <c r="J16" s="456">
        <f>IF('Utility summery'!H20&lt;0,"0",'Utility summery'!H20)</f>
        <v>0</v>
      </c>
      <c r="K16" s="457">
        <f>IF('UTILITY REPORT 1'!H17&lt;0,"0",'UTILITY REPORT 1'!H17)</f>
        <v>0</v>
      </c>
      <c r="L16" s="456">
        <f>'Water-Meter'!K20</f>
        <v>0</v>
      </c>
      <c r="M16" s="457">
        <f>'Water-Meter'!H20</f>
        <v>0</v>
      </c>
      <c r="N16" s="457">
        <f>'Water-Meter'!Q20</f>
        <v>0</v>
      </c>
      <c r="O16" s="456" t="e">
        <f>K16*E16+H16*I16+#REF!*#REF!+J16*L16</f>
        <v>#REF!</v>
      </c>
      <c r="P16" s="462">
        <f>'Water-Meter'!E20</f>
        <v>0</v>
      </c>
      <c r="Q16" s="242">
        <f>IF('Water-Meter'!U20&lt;0,"0",'Water-Meter'!U20)</f>
        <v>0</v>
      </c>
      <c r="R16" s="242">
        <f>IF('Water-Meter'!X20&lt;0,"0",'Water-Meter'!X20)</f>
        <v>0</v>
      </c>
      <c r="S16" s="242">
        <f>IF('Water-Meter'!AA20&lt;0,"0",'Water-Meter'!AA20)</f>
        <v>0</v>
      </c>
      <c r="T16" s="242">
        <f>IF('Water-Meter'!AD20&lt;0,"0",'Water-Meter'!AD20)</f>
        <v>0</v>
      </c>
      <c r="U16" s="242">
        <f>IF('Water-Meter'!AG20&lt;0,"0",'Water-Meter'!AG20)</f>
        <v>0</v>
      </c>
      <c r="V16" s="242">
        <f>IF('Water-Meter'!AJ20&lt;0,"0",'Water-Meter'!AJ20)</f>
        <v>0</v>
      </c>
      <c r="W16" s="30">
        <f>'Water-Meter'!AN20</f>
        <v>0</v>
      </c>
      <c r="X16" s="473">
        <f>Total!K16</f>
        <v>0</v>
      </c>
    </row>
    <row r="17" spans="1:24">
      <c r="A17" s="458" t="s">
        <v>283</v>
      </c>
      <c r="B17" s="455">
        <f t="shared" si="0"/>
        <v>16</v>
      </c>
      <c r="C17" s="460">
        <v>1</v>
      </c>
      <c r="D17" s="461">
        <v>2021</v>
      </c>
      <c r="E17" s="456">
        <f>'UTILITY REPORT 1'!I18</f>
        <v>0</v>
      </c>
      <c r="F17" s="456">
        <f>'UTILITY REPORT 1'!E18</f>
        <v>0</v>
      </c>
      <c r="G17" s="457">
        <f>'UTILITY REPORT 1'!F18</f>
        <v>0</v>
      </c>
      <c r="H17" s="456">
        <f>IF('Kit report'!F19&lt;0,"0",'Kit report'!F19)</f>
        <v>0</v>
      </c>
      <c r="I17" s="456">
        <f>IF('Kit report'!X19&lt;0,"0",'Kit report'!X19)</f>
        <v>0</v>
      </c>
      <c r="J17" s="456">
        <f>IF('Utility summery'!H21&lt;0,"0",'Utility summery'!H21)</f>
        <v>0</v>
      </c>
      <c r="K17" s="457">
        <f>IF('UTILITY REPORT 1'!H18&lt;0,"0",'UTILITY REPORT 1'!H18)</f>
        <v>0</v>
      </c>
      <c r="L17" s="456">
        <f>'Water-Meter'!K21</f>
        <v>0</v>
      </c>
      <c r="M17" s="457">
        <f>'Water-Meter'!H21</f>
        <v>0</v>
      </c>
      <c r="N17" s="457">
        <f>'Water-Meter'!Q21</f>
        <v>0</v>
      </c>
      <c r="O17" s="456" t="e">
        <f>K17*E17+H17*I17+#REF!*#REF!+J17*L17</f>
        <v>#REF!</v>
      </c>
      <c r="P17" s="462">
        <f>'Water-Meter'!E21</f>
        <v>0</v>
      </c>
      <c r="Q17" s="242">
        <f>IF('Water-Meter'!U21&lt;0,"0",'Water-Meter'!U21)</f>
        <v>0</v>
      </c>
      <c r="R17" s="242">
        <f>IF('Water-Meter'!X21&lt;0,"0",'Water-Meter'!X21)</f>
        <v>0</v>
      </c>
      <c r="S17" s="242">
        <f>IF('Water-Meter'!AA21&lt;0,"0",'Water-Meter'!AA21)</f>
        <v>0</v>
      </c>
      <c r="T17" s="242">
        <f>IF('Water-Meter'!AD21&lt;0,"0",'Water-Meter'!AD21)</f>
        <v>0</v>
      </c>
      <c r="U17" s="242">
        <f>IF('Water-Meter'!AG21&lt;0,"0",'Water-Meter'!AG21)</f>
        <v>0</v>
      </c>
      <c r="V17" s="242">
        <f>IF('Water-Meter'!AJ21&lt;0,"0",'Water-Meter'!AJ21)</f>
        <v>0</v>
      </c>
      <c r="W17" s="30">
        <f>'Water-Meter'!AN21</f>
        <v>0</v>
      </c>
      <c r="X17" s="473">
        <f>Total!K17</f>
        <v>0</v>
      </c>
    </row>
    <row r="18" spans="1:24">
      <c r="A18" s="458" t="s">
        <v>283</v>
      </c>
      <c r="B18" s="455">
        <f t="shared" si="0"/>
        <v>17</v>
      </c>
      <c r="C18" s="460">
        <v>1</v>
      </c>
      <c r="D18" s="461">
        <v>2021</v>
      </c>
      <c r="E18" s="456">
        <f>'UTILITY REPORT 1'!I19</f>
        <v>0</v>
      </c>
      <c r="F18" s="456">
        <f>'UTILITY REPORT 1'!E19</f>
        <v>0</v>
      </c>
      <c r="G18" s="457">
        <f>'UTILITY REPORT 1'!F19</f>
        <v>0</v>
      </c>
      <c r="H18" s="456">
        <f>IF('Kit report'!F20&lt;0,"0",'Kit report'!F20)</f>
        <v>0</v>
      </c>
      <c r="I18" s="456">
        <f>IF('Kit report'!X20&lt;0,"0",'Kit report'!X20)</f>
        <v>0</v>
      </c>
      <c r="J18" s="456">
        <f>IF('Utility summery'!H22&lt;0,"0",'Utility summery'!H22)</f>
        <v>0</v>
      </c>
      <c r="K18" s="457">
        <f>IF('UTILITY REPORT 1'!H19&lt;0,"0",'UTILITY REPORT 1'!H19)</f>
        <v>0</v>
      </c>
      <c r="L18" s="456">
        <f>'Water-Meter'!K22</f>
        <v>0</v>
      </c>
      <c r="M18" s="457">
        <f>'Water-Meter'!H22</f>
        <v>0</v>
      </c>
      <c r="N18" s="457">
        <f>'Water-Meter'!Q22</f>
        <v>0</v>
      </c>
      <c r="O18" s="456" t="e">
        <f>K18*E18+H18*I18+#REF!*#REF!+J18*L18</f>
        <v>#REF!</v>
      </c>
      <c r="P18" s="462">
        <f>'Water-Meter'!E22</f>
        <v>0</v>
      </c>
      <c r="Q18" s="242">
        <f>IF('Water-Meter'!U22&lt;0,"0",'Water-Meter'!U22)</f>
        <v>0</v>
      </c>
      <c r="R18" s="242">
        <f>IF('Water-Meter'!X22&lt;0,"0",'Water-Meter'!X22)</f>
        <v>0</v>
      </c>
      <c r="S18" s="242">
        <f>IF('Water-Meter'!AA22&lt;0,"0",'Water-Meter'!AA22)</f>
        <v>0</v>
      </c>
      <c r="T18" s="242">
        <f>IF('Water-Meter'!AD22&lt;0,"0",'Water-Meter'!AD22)</f>
        <v>0</v>
      </c>
      <c r="U18" s="242">
        <f>IF('Water-Meter'!AG22&lt;0,"0",'Water-Meter'!AG22)</f>
        <v>0</v>
      </c>
      <c r="V18" s="242">
        <f>IF('Water-Meter'!AJ22&lt;0,"0",'Water-Meter'!AJ22)</f>
        <v>0</v>
      </c>
      <c r="W18" s="30">
        <f>'Water-Meter'!AN22</f>
        <v>0</v>
      </c>
      <c r="X18" s="473">
        <f>Total!K18</f>
        <v>0</v>
      </c>
    </row>
    <row r="19" spans="1:24">
      <c r="A19" s="458" t="s">
        <v>283</v>
      </c>
      <c r="B19" s="455">
        <f t="shared" si="0"/>
        <v>18</v>
      </c>
      <c r="C19" s="460">
        <v>1</v>
      </c>
      <c r="D19" s="461">
        <v>2021</v>
      </c>
      <c r="E19" s="456">
        <f>'UTILITY REPORT 1'!I20</f>
        <v>0</v>
      </c>
      <c r="F19" s="456">
        <f>'UTILITY REPORT 1'!E20</f>
        <v>0</v>
      </c>
      <c r="G19" s="457">
        <f>'UTILITY REPORT 1'!F20</f>
        <v>0</v>
      </c>
      <c r="H19" s="456">
        <f>IF('Kit report'!F21&lt;0,"0",'Kit report'!F21)</f>
        <v>0</v>
      </c>
      <c r="I19" s="456">
        <f>IF('Kit report'!X21&lt;0,"0",'Kit report'!X21)</f>
        <v>0</v>
      </c>
      <c r="J19" s="456">
        <f>IF('Utility summery'!H23&lt;0,"0",'Utility summery'!H23)</f>
        <v>0</v>
      </c>
      <c r="K19" s="457">
        <f>IF('UTILITY REPORT 1'!H20&lt;0,"0",'UTILITY REPORT 1'!H20)</f>
        <v>0</v>
      </c>
      <c r="L19" s="456">
        <f>'Water-Meter'!K23</f>
        <v>0</v>
      </c>
      <c r="M19" s="457">
        <f>'Water-Meter'!H23</f>
        <v>0</v>
      </c>
      <c r="N19" s="457">
        <f>'Water-Meter'!Q23</f>
        <v>0</v>
      </c>
      <c r="O19" s="456" t="e">
        <f>K19*E19+H19*I19+#REF!*#REF!+J19*L19</f>
        <v>#REF!</v>
      </c>
      <c r="P19" s="462">
        <f>'Water-Meter'!E23</f>
        <v>0</v>
      </c>
      <c r="Q19" s="242">
        <f>IF('Water-Meter'!U23&lt;0,"0",'Water-Meter'!U23)</f>
        <v>0</v>
      </c>
      <c r="R19" s="242">
        <f>IF('Water-Meter'!X23&lt;0,"0",'Water-Meter'!X23)</f>
        <v>0</v>
      </c>
      <c r="S19" s="242">
        <f>IF('Water-Meter'!AA23&lt;0,"0",'Water-Meter'!AA23)</f>
        <v>0</v>
      </c>
      <c r="T19" s="242">
        <f>IF('Water-Meter'!AD23&lt;0,"0",'Water-Meter'!AD23)</f>
        <v>0</v>
      </c>
      <c r="U19" s="242">
        <f>IF('Water-Meter'!AG23&lt;0,"0",'Water-Meter'!AG23)</f>
        <v>0</v>
      </c>
      <c r="V19" s="242">
        <f>IF('Water-Meter'!AJ23&lt;0,"0",'Water-Meter'!AJ23)</f>
        <v>0</v>
      </c>
      <c r="W19" s="30">
        <f>'Water-Meter'!AN23</f>
        <v>0</v>
      </c>
      <c r="X19" s="473">
        <f>Total!K19</f>
        <v>0</v>
      </c>
    </row>
    <row r="20" spans="1:24">
      <c r="A20" s="458" t="s">
        <v>283</v>
      </c>
      <c r="B20" s="455">
        <f t="shared" si="0"/>
        <v>19</v>
      </c>
      <c r="C20" s="460">
        <v>1</v>
      </c>
      <c r="D20" s="461">
        <v>2021</v>
      </c>
      <c r="E20" s="456">
        <f>'UTILITY REPORT 1'!I21</f>
        <v>0</v>
      </c>
      <c r="F20" s="456">
        <f>'UTILITY REPORT 1'!E21</f>
        <v>0</v>
      </c>
      <c r="G20" s="457">
        <f>'UTILITY REPORT 1'!F21</f>
        <v>0</v>
      </c>
      <c r="H20" s="456">
        <f>IF('Kit report'!F22&lt;0,"0",'Kit report'!F22)</f>
        <v>0</v>
      </c>
      <c r="I20" s="456">
        <f>IF('Kit report'!X22&lt;0,"0",'Kit report'!X22)</f>
        <v>0</v>
      </c>
      <c r="J20" s="456">
        <f>IF('Utility summery'!H24&lt;0,"0",'Utility summery'!H24)</f>
        <v>0</v>
      </c>
      <c r="K20" s="457">
        <f>IF('UTILITY REPORT 1'!H21&lt;0,"0",'UTILITY REPORT 1'!H21)</f>
        <v>0</v>
      </c>
      <c r="L20" s="456">
        <f>'Water-Meter'!K24</f>
        <v>0</v>
      </c>
      <c r="M20" s="457">
        <f>'Water-Meter'!H24</f>
        <v>0</v>
      </c>
      <c r="N20" s="457">
        <f>'Water-Meter'!Q24</f>
        <v>0</v>
      </c>
      <c r="O20" s="456" t="e">
        <f>K20*E20+H20*I20+#REF!*#REF!+J20*L20</f>
        <v>#REF!</v>
      </c>
      <c r="P20" s="462">
        <f>'Water-Meter'!E24</f>
        <v>0</v>
      </c>
      <c r="Q20" s="242">
        <f>IF('Water-Meter'!U24&lt;0,"0",'Water-Meter'!U24)</f>
        <v>0</v>
      </c>
      <c r="R20" s="242">
        <f>IF('Water-Meter'!X24&lt;0,"0",'Water-Meter'!X24)</f>
        <v>0</v>
      </c>
      <c r="S20" s="242">
        <f>IF('Water-Meter'!AA24&lt;0,"0",'Water-Meter'!AA24)</f>
        <v>0</v>
      </c>
      <c r="T20" s="242">
        <f>IF('Water-Meter'!AD24&lt;0,"0",'Water-Meter'!AD24)</f>
        <v>0</v>
      </c>
      <c r="U20" s="242">
        <f>IF('Water-Meter'!AG24&lt;0,"0",'Water-Meter'!AG24)</f>
        <v>0</v>
      </c>
      <c r="V20" s="242">
        <f>IF('Water-Meter'!AJ24&lt;0,"0",'Water-Meter'!AJ24)</f>
        <v>0</v>
      </c>
      <c r="W20" s="30">
        <f>'Water-Meter'!AN24</f>
        <v>0</v>
      </c>
      <c r="X20" s="473">
        <f>Total!K20</f>
        <v>0</v>
      </c>
    </row>
    <row r="21" spans="1:24">
      <c r="A21" s="458" t="s">
        <v>283</v>
      </c>
      <c r="B21" s="455">
        <f t="shared" si="0"/>
        <v>20</v>
      </c>
      <c r="C21" s="460">
        <v>1</v>
      </c>
      <c r="D21" s="461">
        <v>2021</v>
      </c>
      <c r="E21" s="456">
        <f>'UTILITY REPORT 1'!I22</f>
        <v>0</v>
      </c>
      <c r="F21" s="456">
        <f>'UTILITY REPORT 1'!E22</f>
        <v>0</v>
      </c>
      <c r="G21" s="457">
        <f>'UTILITY REPORT 1'!F22</f>
        <v>0</v>
      </c>
      <c r="H21" s="456">
        <f>IF('Kit report'!F23&lt;0,"0",'Kit report'!F23)</f>
        <v>0</v>
      </c>
      <c r="I21" s="456">
        <f>IF('Kit report'!X23&lt;0,"0",'Kit report'!X23)</f>
        <v>0</v>
      </c>
      <c r="J21" s="456">
        <f>IF('Utility summery'!H25&lt;0,"0",'Utility summery'!H25)</f>
        <v>0</v>
      </c>
      <c r="K21" s="457">
        <f>IF('UTILITY REPORT 1'!H22&lt;0,"0",'UTILITY REPORT 1'!H22)</f>
        <v>0</v>
      </c>
      <c r="L21" s="456">
        <f>'Water-Meter'!K25</f>
        <v>0</v>
      </c>
      <c r="M21" s="457">
        <f>'Water-Meter'!H25</f>
        <v>0</v>
      </c>
      <c r="N21" s="457">
        <f>'Water-Meter'!Q25</f>
        <v>0</v>
      </c>
      <c r="O21" s="456" t="e">
        <f>K21*E21+H21*I21+#REF!*#REF!+J21*L21</f>
        <v>#REF!</v>
      </c>
      <c r="P21" s="462">
        <f>'Water-Meter'!E25</f>
        <v>0</v>
      </c>
      <c r="Q21" s="242">
        <f>IF('Water-Meter'!U25&lt;0,"0",'Water-Meter'!U25)</f>
        <v>0</v>
      </c>
      <c r="R21" s="242">
        <f>IF('Water-Meter'!X25&lt;0,"0",'Water-Meter'!X25)</f>
        <v>0</v>
      </c>
      <c r="S21" s="242">
        <f>IF('Water-Meter'!AA25&lt;0,"0",'Water-Meter'!AA25)</f>
        <v>0</v>
      </c>
      <c r="T21" s="242">
        <f>IF('Water-Meter'!AD25&lt;0,"0",'Water-Meter'!AD25)</f>
        <v>0</v>
      </c>
      <c r="U21" s="242">
        <f>IF('Water-Meter'!AG25&lt;0,"0",'Water-Meter'!AG25)</f>
        <v>0</v>
      </c>
      <c r="V21" s="242">
        <f>IF('Water-Meter'!AJ25&lt;0,"0",'Water-Meter'!AJ25)</f>
        <v>0</v>
      </c>
      <c r="W21" s="30">
        <f>'Water-Meter'!AN25</f>
        <v>0</v>
      </c>
      <c r="X21" s="473">
        <f>Total!K21</f>
        <v>0</v>
      </c>
    </row>
    <row r="22" spans="1:24">
      <c r="A22" s="458" t="s">
        <v>283</v>
      </c>
      <c r="B22" s="455">
        <f t="shared" si="0"/>
        <v>21</v>
      </c>
      <c r="C22" s="460">
        <v>1</v>
      </c>
      <c r="D22" s="461">
        <v>2021</v>
      </c>
      <c r="E22" s="456">
        <f>'UTILITY REPORT 1'!I23</f>
        <v>0</v>
      </c>
      <c r="F22" s="456">
        <f>'UTILITY REPORT 1'!E23</f>
        <v>0</v>
      </c>
      <c r="G22" s="457">
        <f>'UTILITY REPORT 1'!F23</f>
        <v>0</v>
      </c>
      <c r="H22" s="456">
        <f>IF('Kit report'!F24&lt;0,"0",'Kit report'!F24)</f>
        <v>0</v>
      </c>
      <c r="I22" s="456">
        <f>IF('Kit report'!X24&lt;0,"0",'Kit report'!X24)</f>
        <v>0</v>
      </c>
      <c r="J22" s="456">
        <f>IF('Utility summery'!H26&lt;0,"0",'Utility summery'!H26)</f>
        <v>0</v>
      </c>
      <c r="K22" s="457">
        <f>IF('UTILITY REPORT 1'!H23&lt;0,"0",'UTILITY REPORT 1'!H23)</f>
        <v>0</v>
      </c>
      <c r="L22" s="456">
        <f>'Water-Meter'!K26</f>
        <v>0</v>
      </c>
      <c r="M22" s="457">
        <f>'Water-Meter'!H26</f>
        <v>0</v>
      </c>
      <c r="N22" s="457">
        <f>'Water-Meter'!Q26</f>
        <v>0</v>
      </c>
      <c r="O22" s="456" t="e">
        <f>K22*E22+H22*I22+#REF!*#REF!+J22*L22</f>
        <v>#REF!</v>
      </c>
      <c r="P22" s="462">
        <f>'Water-Meter'!E26</f>
        <v>0</v>
      </c>
      <c r="Q22" s="242">
        <f>IF('Water-Meter'!U26&lt;0,"0",'Water-Meter'!U26)</f>
        <v>0</v>
      </c>
      <c r="R22" s="242">
        <f>IF('Water-Meter'!X26&lt;0,"0",'Water-Meter'!X26)</f>
        <v>0</v>
      </c>
      <c r="S22" s="242">
        <f>IF('Water-Meter'!AA26&lt;0,"0",'Water-Meter'!AA26)</f>
        <v>0</v>
      </c>
      <c r="T22" s="242">
        <f>IF('Water-Meter'!AD26&lt;0,"0",'Water-Meter'!AD26)</f>
        <v>0</v>
      </c>
      <c r="U22" s="242">
        <f>IF('Water-Meter'!AG26&lt;0,"0",'Water-Meter'!AG26)</f>
        <v>0</v>
      </c>
      <c r="V22" s="242">
        <f>IF('Water-Meter'!AJ26&lt;0,"0",'Water-Meter'!AJ26)</f>
        <v>0</v>
      </c>
      <c r="W22" s="30">
        <f>'Water-Meter'!AN26</f>
        <v>0</v>
      </c>
      <c r="X22" s="473">
        <f>Total!K22</f>
        <v>0</v>
      </c>
    </row>
    <row r="23" spans="1:24">
      <c r="A23" s="458" t="s">
        <v>283</v>
      </c>
      <c r="B23" s="455">
        <f t="shared" si="0"/>
        <v>22</v>
      </c>
      <c r="C23" s="460">
        <v>1</v>
      </c>
      <c r="D23" s="461">
        <v>2021</v>
      </c>
      <c r="E23" s="456">
        <f>'UTILITY REPORT 1'!I24</f>
        <v>0</v>
      </c>
      <c r="F23" s="456">
        <f>'UTILITY REPORT 1'!E24</f>
        <v>0</v>
      </c>
      <c r="G23" s="457">
        <f>'UTILITY REPORT 1'!F24</f>
        <v>0</v>
      </c>
      <c r="H23" s="456">
        <f>IF('Kit report'!F25&lt;0,"0",'Kit report'!F25)</f>
        <v>0</v>
      </c>
      <c r="I23" s="456">
        <f>IF('Kit report'!X25&lt;0,"0",'Kit report'!X25)</f>
        <v>0</v>
      </c>
      <c r="J23" s="456">
        <f>IF('Utility summery'!H27&lt;0,"0",'Utility summery'!H27)</f>
        <v>0</v>
      </c>
      <c r="K23" s="457">
        <f>IF('UTILITY REPORT 1'!H24&lt;0,"0",'UTILITY REPORT 1'!H24)</f>
        <v>0</v>
      </c>
      <c r="L23" s="456">
        <f>'Water-Meter'!K27</f>
        <v>0</v>
      </c>
      <c r="M23" s="457">
        <f>'Water-Meter'!H27</f>
        <v>0</v>
      </c>
      <c r="N23" s="457">
        <f>'Water-Meter'!Q27</f>
        <v>0</v>
      </c>
      <c r="O23" s="456" t="e">
        <f>K23*E23+H23*I23+#REF!*#REF!+J23*L23</f>
        <v>#REF!</v>
      </c>
      <c r="P23" s="462">
        <f>'Water-Meter'!E27</f>
        <v>0</v>
      </c>
      <c r="Q23" s="242">
        <f>IF('Water-Meter'!U27&lt;0,"0",'Water-Meter'!U27)</f>
        <v>0</v>
      </c>
      <c r="R23" s="242">
        <f>IF('Water-Meter'!X27&lt;0,"0",'Water-Meter'!X27)</f>
        <v>0</v>
      </c>
      <c r="S23" s="242">
        <f>IF('Water-Meter'!AA27&lt;0,"0",'Water-Meter'!AA27)</f>
        <v>0</v>
      </c>
      <c r="T23" s="242">
        <f>IF('Water-Meter'!AD27&lt;0,"0",'Water-Meter'!AD27)</f>
        <v>0</v>
      </c>
      <c r="U23" s="242">
        <f>IF('Water-Meter'!AG27&lt;0,"0",'Water-Meter'!AG27)</f>
        <v>0</v>
      </c>
      <c r="V23" s="242">
        <f>IF('Water-Meter'!AJ27&lt;0,"0",'Water-Meter'!AJ27)</f>
        <v>0</v>
      </c>
      <c r="W23" s="30">
        <f>'Water-Meter'!AN27</f>
        <v>0</v>
      </c>
      <c r="X23" s="473">
        <f>Total!K23</f>
        <v>0</v>
      </c>
    </row>
    <row r="24" spans="1:24">
      <c r="A24" s="458" t="s">
        <v>283</v>
      </c>
      <c r="B24" s="455">
        <f t="shared" si="0"/>
        <v>23</v>
      </c>
      <c r="C24" s="460">
        <v>1</v>
      </c>
      <c r="D24" s="461">
        <v>2021</v>
      </c>
      <c r="E24" s="456">
        <f>'UTILITY REPORT 1'!I25</f>
        <v>0</v>
      </c>
      <c r="F24" s="456">
        <f>'UTILITY REPORT 1'!E25</f>
        <v>0</v>
      </c>
      <c r="G24" s="457">
        <f>'UTILITY REPORT 1'!F25</f>
        <v>0</v>
      </c>
      <c r="H24" s="456">
        <f>IF('Kit report'!F26&lt;0,"0",'Kit report'!F26)</f>
        <v>0</v>
      </c>
      <c r="I24" s="456">
        <f>IF('Kit report'!X26&lt;0,"0",'Kit report'!X26)</f>
        <v>0</v>
      </c>
      <c r="J24" s="456">
        <f>IF('Utility summery'!H28&lt;0,"0",'Utility summery'!H28)</f>
        <v>0</v>
      </c>
      <c r="K24" s="457">
        <f>IF('UTILITY REPORT 1'!H25&lt;0,"0",'UTILITY REPORT 1'!H25)</f>
        <v>0</v>
      </c>
      <c r="L24" s="456">
        <f>'Water-Meter'!K28</f>
        <v>0</v>
      </c>
      <c r="M24" s="457">
        <f>'Water-Meter'!H28</f>
        <v>0</v>
      </c>
      <c r="N24" s="457">
        <f>'Water-Meter'!Q28</f>
        <v>0</v>
      </c>
      <c r="O24" s="456" t="e">
        <f>K24*E24+H24*I24+#REF!*#REF!+J24*L24</f>
        <v>#REF!</v>
      </c>
      <c r="P24" s="462">
        <f>'Water-Meter'!E28</f>
        <v>0</v>
      </c>
      <c r="Q24" s="242">
        <f>IF('Water-Meter'!U28&lt;0,"0",'Water-Meter'!U28)</f>
        <v>0</v>
      </c>
      <c r="R24" s="242">
        <f>IF('Water-Meter'!X28&lt;0,"0",'Water-Meter'!X28)</f>
        <v>0</v>
      </c>
      <c r="S24" s="242">
        <f>IF('Water-Meter'!AA28&lt;0,"0",'Water-Meter'!AA28)</f>
        <v>0</v>
      </c>
      <c r="T24" s="242">
        <f>IF('Water-Meter'!AD28&lt;0,"0",'Water-Meter'!AD28)</f>
        <v>0</v>
      </c>
      <c r="U24" s="242">
        <f>IF('Water-Meter'!AG28&lt;0,"0",'Water-Meter'!AG28)</f>
        <v>0</v>
      </c>
      <c r="V24" s="242">
        <f>IF('Water-Meter'!AJ28&lt;0,"0",'Water-Meter'!AJ28)</f>
        <v>0</v>
      </c>
      <c r="W24" s="30">
        <f>'Water-Meter'!AN28</f>
        <v>0</v>
      </c>
      <c r="X24" s="473">
        <f>Total!K24</f>
        <v>0</v>
      </c>
    </row>
    <row r="25" spans="1:24">
      <c r="A25" s="458" t="s">
        <v>283</v>
      </c>
      <c r="B25" s="455">
        <f t="shared" si="0"/>
        <v>24</v>
      </c>
      <c r="C25" s="460">
        <v>1</v>
      </c>
      <c r="D25" s="461">
        <v>2021</v>
      </c>
      <c r="E25" s="456">
        <f>'UTILITY REPORT 1'!I26</f>
        <v>0</v>
      </c>
      <c r="F25" s="456">
        <f>'UTILITY REPORT 1'!E26</f>
        <v>0</v>
      </c>
      <c r="G25" s="457">
        <f>'UTILITY REPORT 1'!F26</f>
        <v>0</v>
      </c>
      <c r="H25" s="456">
        <f>IF('Kit report'!F27&lt;0,"0",'Kit report'!F27)</f>
        <v>0</v>
      </c>
      <c r="I25" s="456">
        <f>IF('Kit report'!X27&lt;0,"0",'Kit report'!X27)</f>
        <v>0</v>
      </c>
      <c r="J25" s="456">
        <f>IF('Utility summery'!H29&lt;0,"0",'Utility summery'!H29)</f>
        <v>0</v>
      </c>
      <c r="K25" s="457">
        <f>IF('UTILITY REPORT 1'!H26&lt;0,"0",'UTILITY REPORT 1'!H26)</f>
        <v>0</v>
      </c>
      <c r="L25" s="456">
        <f>'Water-Meter'!K29</f>
        <v>0</v>
      </c>
      <c r="M25" s="457">
        <f>'Water-Meter'!H29</f>
        <v>0</v>
      </c>
      <c r="N25" s="457">
        <f>'Water-Meter'!Q29</f>
        <v>0</v>
      </c>
      <c r="O25" s="456" t="e">
        <f>K25*E25+H25*I25+#REF!*#REF!+J25*L25</f>
        <v>#REF!</v>
      </c>
      <c r="P25" s="462">
        <f>'Water-Meter'!E29</f>
        <v>0</v>
      </c>
      <c r="Q25" s="242">
        <f>IF('Water-Meter'!U29&lt;0,"0",'Water-Meter'!U29)</f>
        <v>0</v>
      </c>
      <c r="R25" s="242">
        <f>IF('Water-Meter'!X29&lt;0,"0",'Water-Meter'!X29)</f>
        <v>0</v>
      </c>
      <c r="S25" s="242">
        <f>IF('Water-Meter'!AA29&lt;0,"0",'Water-Meter'!AA29)</f>
        <v>0</v>
      </c>
      <c r="T25" s="242">
        <f>IF('Water-Meter'!AD29&lt;0,"0",'Water-Meter'!AD29)</f>
        <v>0</v>
      </c>
      <c r="U25" s="242">
        <f>IF('Water-Meter'!AG29&lt;0,"0",'Water-Meter'!AG29)</f>
        <v>0</v>
      </c>
      <c r="V25" s="242">
        <f>IF('Water-Meter'!AJ29&lt;0,"0",'Water-Meter'!AJ29)</f>
        <v>0</v>
      </c>
      <c r="W25" s="30">
        <f>'Water-Meter'!AN29</f>
        <v>0</v>
      </c>
      <c r="X25" s="473">
        <f>Total!K25</f>
        <v>0</v>
      </c>
    </row>
    <row r="26" spans="1:24">
      <c r="A26" s="458" t="s">
        <v>283</v>
      </c>
      <c r="B26" s="455">
        <f>B25+1</f>
        <v>25</v>
      </c>
      <c r="C26" s="460">
        <v>1</v>
      </c>
      <c r="D26" s="461">
        <v>2021</v>
      </c>
      <c r="E26" s="456">
        <f>'UTILITY REPORT 1'!I27</f>
        <v>0</v>
      </c>
      <c r="F26" s="456">
        <f>'UTILITY REPORT 1'!E27</f>
        <v>0</v>
      </c>
      <c r="G26" s="457">
        <f>'UTILITY REPORT 1'!F27</f>
        <v>0</v>
      </c>
      <c r="H26" s="456">
        <f>IF('Kit report'!F28&lt;0,"0",'Kit report'!F28)</f>
        <v>0</v>
      </c>
      <c r="I26" s="456">
        <f>IF('Kit report'!X28&lt;0,"0",'Kit report'!X28)</f>
        <v>0</v>
      </c>
      <c r="J26" s="456">
        <f>IF('Utility summery'!H30&lt;0,"0",'Utility summery'!H30)</f>
        <v>0</v>
      </c>
      <c r="K26" s="457">
        <f>IF('UTILITY REPORT 1'!H27&lt;0,"0",'UTILITY REPORT 1'!H27)</f>
        <v>0</v>
      </c>
      <c r="L26" s="456">
        <f>'Water-Meter'!K30</f>
        <v>0</v>
      </c>
      <c r="M26" s="457">
        <f>'Water-Meter'!H30</f>
        <v>0</v>
      </c>
      <c r="N26" s="457">
        <f>'Water-Meter'!Q30</f>
        <v>0</v>
      </c>
      <c r="O26" s="456" t="e">
        <f>K26*E26+H26*I26+#REF!*#REF!+J26*L26</f>
        <v>#REF!</v>
      </c>
      <c r="P26" s="462">
        <f>'Water-Meter'!E30</f>
        <v>0</v>
      </c>
      <c r="Q26" s="242">
        <f>IF('Water-Meter'!U30&lt;0,"0",'Water-Meter'!U30)</f>
        <v>0</v>
      </c>
      <c r="R26" s="242">
        <f>IF('Water-Meter'!X30&lt;0,"0",'Water-Meter'!X30)</f>
        <v>0</v>
      </c>
      <c r="S26" s="242">
        <f>IF('Water-Meter'!AA30&lt;0,"0",'Water-Meter'!AA30)</f>
        <v>0</v>
      </c>
      <c r="T26" s="242">
        <f>IF('Water-Meter'!AD30&lt;0,"0",'Water-Meter'!AD30)</f>
        <v>0</v>
      </c>
      <c r="U26" s="242">
        <f>IF('Water-Meter'!AG30&lt;0,"0",'Water-Meter'!AG30)</f>
        <v>0</v>
      </c>
      <c r="V26" s="242">
        <f>IF('Water-Meter'!AJ30&lt;0,"0",'Water-Meter'!AJ30)</f>
        <v>0</v>
      </c>
      <c r="W26" s="30">
        <f>'Water-Meter'!AN30</f>
        <v>0</v>
      </c>
      <c r="X26" s="473">
        <f>Total!K26</f>
        <v>0</v>
      </c>
    </row>
    <row r="27" spans="1:24">
      <c r="A27" s="458" t="s">
        <v>283</v>
      </c>
      <c r="B27" s="455">
        <f t="shared" si="0"/>
        <v>26</v>
      </c>
      <c r="C27" s="460">
        <v>1</v>
      </c>
      <c r="D27" s="461">
        <v>2021</v>
      </c>
      <c r="E27" s="456">
        <f>'UTILITY REPORT 1'!I28</f>
        <v>0</v>
      </c>
      <c r="F27" s="456">
        <f>'UTILITY REPORT 1'!E28</f>
        <v>0</v>
      </c>
      <c r="G27" s="457">
        <f>'UTILITY REPORT 1'!F28</f>
        <v>0</v>
      </c>
      <c r="H27" s="456">
        <f>IF('Kit report'!F29&lt;0,"0",'Kit report'!F29)</f>
        <v>0</v>
      </c>
      <c r="I27" s="456">
        <f>IF('Kit report'!X29&lt;0,"0",'Kit report'!X29)</f>
        <v>0</v>
      </c>
      <c r="J27" s="456">
        <f>IF('Utility summery'!H31&lt;0,"0",'Utility summery'!H31)</f>
        <v>0</v>
      </c>
      <c r="K27" s="457">
        <f>IF('UTILITY REPORT 1'!H28&lt;0,"0",'UTILITY REPORT 1'!H28)</f>
        <v>0</v>
      </c>
      <c r="L27" s="456">
        <f>'Water-Meter'!K31</f>
        <v>0</v>
      </c>
      <c r="M27" s="457">
        <f>'Water-Meter'!H31</f>
        <v>0</v>
      </c>
      <c r="N27" s="457">
        <f>'Water-Meter'!Q31</f>
        <v>0</v>
      </c>
      <c r="O27" s="456" t="e">
        <f>K27*E27+H27*I27+#REF!*#REF!+J27*L27</f>
        <v>#REF!</v>
      </c>
      <c r="P27" s="462">
        <f>'Water-Meter'!E31</f>
        <v>0</v>
      </c>
      <c r="Q27" s="242">
        <f>IF('Water-Meter'!U31&lt;0,"0",'Water-Meter'!U31)</f>
        <v>0</v>
      </c>
      <c r="R27" s="242">
        <f>IF('Water-Meter'!X31&lt;0,"0",'Water-Meter'!X31)</f>
        <v>0</v>
      </c>
      <c r="S27" s="242">
        <f>IF('Water-Meter'!AA31&lt;0,"0",'Water-Meter'!AA31)</f>
        <v>0</v>
      </c>
      <c r="T27" s="242">
        <f>IF('Water-Meter'!AD31&lt;0,"0",'Water-Meter'!AD31)</f>
        <v>0</v>
      </c>
      <c r="U27" s="242">
        <f>IF('Water-Meter'!AG31&lt;0,"0",'Water-Meter'!AG31)</f>
        <v>0</v>
      </c>
      <c r="V27" s="242">
        <f>IF('Water-Meter'!AJ31&lt;0,"0",'Water-Meter'!AJ31)</f>
        <v>0</v>
      </c>
      <c r="W27" s="30">
        <f>'Water-Meter'!AN31</f>
        <v>0</v>
      </c>
      <c r="X27" s="473">
        <f>Total!K27</f>
        <v>0</v>
      </c>
    </row>
    <row r="28" spans="1:24">
      <c r="A28" s="458" t="s">
        <v>283</v>
      </c>
      <c r="B28" s="455">
        <f t="shared" si="0"/>
        <v>27</v>
      </c>
      <c r="C28" s="460">
        <v>1</v>
      </c>
      <c r="D28" s="461">
        <v>2021</v>
      </c>
      <c r="E28" s="456">
        <f>'UTILITY REPORT 1'!I29</f>
        <v>0</v>
      </c>
      <c r="F28" s="456">
        <f>'UTILITY REPORT 1'!E29</f>
        <v>0</v>
      </c>
      <c r="G28" s="457">
        <f>'UTILITY REPORT 1'!F29</f>
        <v>0</v>
      </c>
      <c r="H28" s="456">
        <f>IF('Kit report'!F30&lt;0,"0",'Kit report'!F30)</f>
        <v>0</v>
      </c>
      <c r="I28" s="456">
        <f>IF('Kit report'!X30&lt;0,"0",'Kit report'!X30)</f>
        <v>0</v>
      </c>
      <c r="J28" s="456">
        <f>IF('Utility summery'!H32&lt;0,"0",'Utility summery'!H32)</f>
        <v>0</v>
      </c>
      <c r="K28" s="457">
        <f>IF('UTILITY REPORT 1'!H29&lt;0,"0",'UTILITY REPORT 1'!H29)</f>
        <v>0</v>
      </c>
      <c r="L28" s="456">
        <f>'Water-Meter'!K32</f>
        <v>0</v>
      </c>
      <c r="M28" s="457">
        <f>'Water-Meter'!H32</f>
        <v>0</v>
      </c>
      <c r="N28" s="457">
        <f>'Water-Meter'!Q32</f>
        <v>0</v>
      </c>
      <c r="O28" s="456" t="e">
        <f>K28*E28+H28*I28+#REF!*#REF!+J28*L28</f>
        <v>#REF!</v>
      </c>
      <c r="P28" s="462">
        <f>'Water-Meter'!E32</f>
        <v>0</v>
      </c>
      <c r="Q28" s="242">
        <f>IF('Water-Meter'!U32&lt;0,"0",'Water-Meter'!U32)</f>
        <v>0</v>
      </c>
      <c r="R28" s="242">
        <f>IF('Water-Meter'!X32&lt;0,"0",'Water-Meter'!X32)</f>
        <v>0</v>
      </c>
      <c r="S28" s="242">
        <f>IF('Water-Meter'!AA32&lt;0,"0",'Water-Meter'!AA32)</f>
        <v>0</v>
      </c>
      <c r="T28" s="242">
        <f>IF('Water-Meter'!AD32&lt;0,"0",'Water-Meter'!AD32)</f>
        <v>0</v>
      </c>
      <c r="U28" s="242">
        <f>IF('Water-Meter'!AG32&lt;0,"0",'Water-Meter'!AG32)</f>
        <v>0</v>
      </c>
      <c r="V28" s="242">
        <f>IF('Water-Meter'!AJ32&lt;0,"0",'Water-Meter'!AJ32)</f>
        <v>0</v>
      </c>
      <c r="W28" s="30">
        <f>'Water-Meter'!AN32</f>
        <v>0</v>
      </c>
      <c r="X28" s="473">
        <f>Total!K28</f>
        <v>0</v>
      </c>
    </row>
    <row r="29" spans="1:24">
      <c r="A29" s="458" t="s">
        <v>283</v>
      </c>
      <c r="B29" s="455">
        <f t="shared" si="0"/>
        <v>28</v>
      </c>
      <c r="C29" s="460">
        <v>1</v>
      </c>
      <c r="D29" s="461">
        <v>2021</v>
      </c>
      <c r="E29" s="456">
        <f>'UTILITY REPORT 1'!I30</f>
        <v>0</v>
      </c>
      <c r="F29" s="456">
        <f>'UTILITY REPORT 1'!E30</f>
        <v>0</v>
      </c>
      <c r="G29" s="457">
        <f>'UTILITY REPORT 1'!F30</f>
        <v>0</v>
      </c>
      <c r="H29" s="456">
        <f>IF('Kit report'!F31&lt;0,"0",'Kit report'!F31)</f>
        <v>0</v>
      </c>
      <c r="I29" s="456">
        <f>IF('Kit report'!X31&lt;0,"0",'Kit report'!X31)</f>
        <v>0</v>
      </c>
      <c r="J29" s="456">
        <f>IF('Utility summery'!H33&lt;0,"0",'Utility summery'!H33)</f>
        <v>0</v>
      </c>
      <c r="K29" s="457">
        <f>IF('UTILITY REPORT 1'!H30&lt;0,"0",'UTILITY REPORT 1'!H30)</f>
        <v>0</v>
      </c>
      <c r="L29" s="456">
        <f>'Water-Meter'!K33</f>
        <v>0</v>
      </c>
      <c r="M29" s="457">
        <f>'Water-Meter'!H33</f>
        <v>0</v>
      </c>
      <c r="N29" s="457">
        <f>'Water-Meter'!Q33</f>
        <v>0</v>
      </c>
      <c r="O29" s="456" t="e">
        <f>K29*E29+H29*I29+#REF!*#REF!+J29*L29</f>
        <v>#REF!</v>
      </c>
      <c r="P29" s="462">
        <f>'Water-Meter'!E33</f>
        <v>0</v>
      </c>
      <c r="Q29" s="242">
        <f>IF('Water-Meter'!U33&lt;0,"0",'Water-Meter'!U33)</f>
        <v>0</v>
      </c>
      <c r="R29" s="242">
        <f>IF('Water-Meter'!X33&lt;0,"0",'Water-Meter'!X33)</f>
        <v>0</v>
      </c>
      <c r="S29" s="242">
        <f>IF('Water-Meter'!AA33&lt;0,"0",'Water-Meter'!AA33)</f>
        <v>0</v>
      </c>
      <c r="T29" s="242">
        <f>IF('Water-Meter'!AD33&lt;0,"0",'Water-Meter'!AD33)</f>
        <v>0</v>
      </c>
      <c r="U29" s="242">
        <f>IF('Water-Meter'!AG33&lt;0,"0",'Water-Meter'!AG33)</f>
        <v>0</v>
      </c>
      <c r="V29" s="242">
        <f>IF('Water-Meter'!AJ33&lt;0,"0",'Water-Meter'!AJ33)</f>
        <v>0</v>
      </c>
      <c r="W29" s="30">
        <f>'Water-Meter'!AN33</f>
        <v>0</v>
      </c>
      <c r="X29" s="473">
        <f>Total!K29</f>
        <v>0</v>
      </c>
    </row>
    <row r="30" spans="1:24">
      <c r="A30" s="458" t="s">
        <v>283</v>
      </c>
      <c r="B30" s="455">
        <f t="shared" si="0"/>
        <v>29</v>
      </c>
      <c r="C30" s="460">
        <v>1</v>
      </c>
      <c r="D30" s="461">
        <v>2021</v>
      </c>
      <c r="E30" s="456">
        <f>'UTILITY REPORT 1'!I31</f>
        <v>0</v>
      </c>
      <c r="F30" s="456">
        <f>'UTILITY REPORT 1'!E31</f>
        <v>0</v>
      </c>
      <c r="G30" s="457">
        <f>'UTILITY REPORT 1'!F31</f>
        <v>0</v>
      </c>
      <c r="H30" s="456">
        <f>IF('Kit report'!F32&lt;0,"0",'Kit report'!F32)</f>
        <v>0</v>
      </c>
      <c r="I30" s="456">
        <f>IF('Kit report'!X32&lt;0,"0",'Kit report'!X32)</f>
        <v>0</v>
      </c>
      <c r="J30" s="456">
        <f>IF('Utility summery'!H34&lt;0,"0",'Utility summery'!H34)</f>
        <v>0</v>
      </c>
      <c r="K30" s="457">
        <f>IF('UTILITY REPORT 1'!H31&lt;0,"0",'UTILITY REPORT 1'!H31)</f>
        <v>0</v>
      </c>
      <c r="L30" s="456">
        <f>'Water-Meter'!K34</f>
        <v>0</v>
      </c>
      <c r="M30" s="457">
        <f>'Water-Meter'!H34</f>
        <v>0</v>
      </c>
      <c r="N30" s="457">
        <f>'Water-Meter'!Q34</f>
        <v>0</v>
      </c>
      <c r="O30" s="456" t="e">
        <f>K30*E30+H30*I30+#REF!*#REF!+J30*L30</f>
        <v>#REF!</v>
      </c>
      <c r="P30" s="462">
        <f>'Water-Meter'!E34</f>
        <v>0</v>
      </c>
      <c r="Q30" s="242">
        <f>IF('Water-Meter'!U34&lt;0,"0",'Water-Meter'!U34)</f>
        <v>0</v>
      </c>
      <c r="R30" s="242">
        <f>IF('Water-Meter'!X34&lt;0,"0",'Water-Meter'!X34)</f>
        <v>0</v>
      </c>
      <c r="S30" s="242">
        <f>IF('Water-Meter'!AA34&lt;0,"0",'Water-Meter'!AA34)</f>
        <v>0</v>
      </c>
      <c r="T30" s="242">
        <f>IF('Water-Meter'!AD34&lt;0,"0",'Water-Meter'!AD34)</f>
        <v>0</v>
      </c>
      <c r="U30" s="242">
        <f>IF('Water-Meter'!AG34&lt;0,"0",'Water-Meter'!AG34)</f>
        <v>0</v>
      </c>
      <c r="V30" s="242">
        <f>IF('Water-Meter'!AJ34&lt;0,"0",'Water-Meter'!AJ34)</f>
        <v>0</v>
      </c>
      <c r="W30" s="30">
        <f>'Water-Meter'!AN34</f>
        <v>0</v>
      </c>
      <c r="X30" s="473">
        <f>Total!K30</f>
        <v>0</v>
      </c>
    </row>
    <row r="31" spans="1:24">
      <c r="A31" s="458" t="s">
        <v>283</v>
      </c>
      <c r="B31" s="455">
        <v>30</v>
      </c>
      <c r="C31" s="460">
        <v>1</v>
      </c>
      <c r="D31" s="461">
        <v>2021</v>
      </c>
      <c r="E31" s="456">
        <f>'UTILITY REPORT 1'!I32</f>
        <v>0</v>
      </c>
      <c r="F31" s="456">
        <f>'UTILITY REPORT 1'!E32</f>
        <v>0</v>
      </c>
      <c r="G31" s="457">
        <f>'UTILITY REPORT 1'!F32</f>
        <v>0</v>
      </c>
      <c r="H31" s="456">
        <f>IF('Kit report'!F33&lt;0,"0",'Kit report'!F33)</f>
        <v>0</v>
      </c>
      <c r="I31" s="456">
        <f>IF('Kit report'!X33&lt;0,"0",'Kit report'!X33)</f>
        <v>0</v>
      </c>
      <c r="J31" s="456">
        <f>IF('Utility summery'!H35&lt;0,"0",'Utility summery'!H35)</f>
        <v>0</v>
      </c>
      <c r="K31" s="457">
        <f>IF('UTILITY REPORT 1'!H32&lt;0,"0",'UTILITY REPORT 1'!H32)</f>
        <v>0</v>
      </c>
      <c r="L31" s="456">
        <f>'Water-Meter'!K35</f>
        <v>0</v>
      </c>
      <c r="M31" s="457">
        <f>'Water-Meter'!H35</f>
        <v>0</v>
      </c>
      <c r="N31" s="457">
        <f>'Water-Meter'!Q35</f>
        <v>0</v>
      </c>
      <c r="O31" s="456" t="e">
        <f>K31*E31+H31*I31+#REF!*#REF!+J31*L31</f>
        <v>#REF!</v>
      </c>
      <c r="P31" s="462">
        <f>'Water-Meter'!E35</f>
        <v>0</v>
      </c>
      <c r="Q31" s="242">
        <f>IF('Water-Meter'!U35&lt;0,"0",'Water-Meter'!U35)</f>
        <v>0</v>
      </c>
      <c r="R31" s="242">
        <f>IF('Water-Meter'!X35&lt;0,"0",'Water-Meter'!X35)</f>
        <v>0</v>
      </c>
      <c r="S31" s="242">
        <f>IF('Water-Meter'!AA35&lt;0,"0",'Water-Meter'!AA35)</f>
        <v>0</v>
      </c>
      <c r="T31" s="242">
        <f>IF('Water-Meter'!AD35&lt;0,"0",'Water-Meter'!AD35)</f>
        <v>0</v>
      </c>
      <c r="U31" s="242">
        <f>IF('Water-Meter'!AG35&lt;0,"0",'Water-Meter'!AG35)</f>
        <v>0</v>
      </c>
      <c r="V31" s="242">
        <f>IF('Water-Meter'!AJ35&lt;0,"0",'Water-Meter'!AJ35)</f>
        <v>0</v>
      </c>
      <c r="W31" s="30">
        <f>'Water-Meter'!AN35</f>
        <v>0</v>
      </c>
      <c r="X31" s="473">
        <f>Total!K31</f>
        <v>0</v>
      </c>
    </row>
    <row r="32" spans="1:24">
      <c r="A32" s="458" t="s">
        <v>283</v>
      </c>
      <c r="B32" s="455">
        <v>31</v>
      </c>
      <c r="C32" s="460">
        <v>1</v>
      </c>
      <c r="D32" s="461">
        <v>2021</v>
      </c>
      <c r="E32" s="456">
        <f>'UTILITY REPORT 1'!I33</f>
        <v>0</v>
      </c>
      <c r="F32" s="456">
        <f>'UTILITY REPORT 1'!E33</f>
        <v>0</v>
      </c>
      <c r="G32" s="457">
        <f>'UTILITY REPORT 1'!F33</f>
        <v>0</v>
      </c>
      <c r="H32" s="456">
        <f>IF('Kit report'!F34&lt;0,"0",'Kit report'!F34)</f>
        <v>0</v>
      </c>
      <c r="I32" s="456">
        <f>IF('Kit report'!X34&lt;0,"0",'Kit report'!X34)</f>
        <v>0</v>
      </c>
      <c r="J32" s="456">
        <f>IF('Utility summery'!H36&lt;0,"0",'Utility summery'!H36)</f>
        <v>0</v>
      </c>
      <c r="K32" s="457">
        <f>IF('UTILITY REPORT 1'!H33&lt;0,"0",'UTILITY REPORT 1'!H33)</f>
        <v>0</v>
      </c>
      <c r="L32" s="456">
        <f>'Water-Meter'!K36</f>
        <v>0</v>
      </c>
      <c r="M32" s="457">
        <f>'Water-Meter'!H36</f>
        <v>0</v>
      </c>
      <c r="N32" s="457">
        <f>'Water-Meter'!Q36</f>
        <v>0</v>
      </c>
      <c r="O32" s="242"/>
      <c r="P32" s="462">
        <f>'Water-Meter'!E36</f>
        <v>0</v>
      </c>
      <c r="Q32" s="242">
        <f>IF('Water-Meter'!U36&lt;0,"0",'Water-Meter'!U36)</f>
        <v>0</v>
      </c>
      <c r="R32" s="242">
        <f>IF('Water-Meter'!X36&lt;0,"0",'Water-Meter'!X36)</f>
        <v>0</v>
      </c>
      <c r="S32" s="242">
        <f>IF('Water-Meter'!AA36&lt;0,"0",'Water-Meter'!AA36)</f>
        <v>0</v>
      </c>
      <c r="T32" s="242">
        <f>IF('Water-Meter'!AD36&lt;0,"0",'Water-Meter'!AD36)</f>
        <v>0</v>
      </c>
      <c r="U32" s="242">
        <f>IF('Water-Meter'!AG36&lt;0,"0",'Water-Meter'!AG36)</f>
        <v>0</v>
      </c>
      <c r="V32" s="242">
        <f>IF('Water-Meter'!AJ36&lt;0,"0",'Water-Meter'!AJ36)</f>
        <v>0</v>
      </c>
      <c r="W32" s="30">
        <f>'Water-Meter'!AN36</f>
        <v>0</v>
      </c>
      <c r="X32" s="473">
        <f>Total!K32</f>
        <v>0</v>
      </c>
    </row>
    <row r="33" spans="5:12">
      <c r="E33" s="418"/>
      <c r="F33" s="418"/>
      <c r="H33" s="418"/>
      <c r="I33" s="418"/>
      <c r="J33" s="418"/>
      <c r="L33" s="418"/>
    </row>
    <row r="34" spans="5:12">
      <c r="E34" s="418"/>
      <c r="F34" s="418"/>
      <c r="H34" s="418"/>
      <c r="I34" s="418"/>
      <c r="J34" s="418"/>
      <c r="L34" s="418"/>
    </row>
    <row r="35" spans="5:12">
      <c r="E35" s="418"/>
      <c r="F35" s="418"/>
      <c r="H35" s="418"/>
      <c r="I35" s="418"/>
      <c r="J35" s="418"/>
      <c r="L35" s="418"/>
    </row>
    <row r="36" spans="5:12">
      <c r="E36" s="418"/>
      <c r="F36" s="418"/>
      <c r="H36" s="418"/>
      <c r="I36" s="418"/>
      <c r="J36" s="418"/>
      <c r="L36" s="418"/>
    </row>
    <row r="37" spans="5:12">
      <c r="E37" s="418"/>
      <c r="F37" s="418"/>
      <c r="H37" s="418"/>
      <c r="I37" s="418"/>
      <c r="J37" s="418"/>
      <c r="L37" s="418"/>
    </row>
    <row r="38" spans="5:12">
      <c r="E38" s="418"/>
      <c r="F38" s="418"/>
      <c r="H38" s="418"/>
      <c r="I38" s="418"/>
      <c r="J38" s="418"/>
      <c r="L38" s="4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I16" sqref="I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34" t="s">
        <v>314</v>
      </c>
      <c r="B1" s="834"/>
      <c r="C1" s="834"/>
      <c r="D1" s="834"/>
      <c r="E1" s="834"/>
      <c r="F1" s="834"/>
      <c r="G1" s="834"/>
      <c r="H1" s="834"/>
    </row>
    <row r="2" spans="1:9" ht="48" customHeight="1" thickBot="1">
      <c r="A2" s="241" t="s">
        <v>0</v>
      </c>
      <c r="B2" s="131" t="s">
        <v>1</v>
      </c>
      <c r="C2" s="403" t="s">
        <v>268</v>
      </c>
      <c r="D2" s="285" t="s">
        <v>269</v>
      </c>
      <c r="E2" s="401" t="s">
        <v>267</v>
      </c>
      <c r="F2" s="285" t="s">
        <v>264</v>
      </c>
      <c r="G2" s="285" t="s">
        <v>265</v>
      </c>
      <c r="H2" s="403" t="s">
        <v>266</v>
      </c>
      <c r="I2" s="285" t="s">
        <v>270</v>
      </c>
    </row>
    <row r="3" spans="1:9" ht="13.5">
      <c r="A3" s="402">
        <f>Gen!A11</f>
        <v>44228</v>
      </c>
      <c r="B3" s="404">
        <f>Gen!B11</f>
        <v>0</v>
      </c>
      <c r="C3" s="405">
        <f>'Summery Report'!E5</f>
        <v>0</v>
      </c>
      <c r="D3" s="406">
        <v>1</v>
      </c>
      <c r="E3" s="405">
        <f>Gen!S11</f>
        <v>1209.1599999999999</v>
      </c>
      <c r="F3" s="405">
        <f>Gen!T11</f>
        <v>2906</v>
      </c>
      <c r="G3" s="405">
        <f>'Water-Meter'!E6</f>
        <v>58</v>
      </c>
      <c r="H3" s="405">
        <f>'Utility report '!AC6</f>
        <v>49</v>
      </c>
      <c r="I3" s="405">
        <f>Gen!AJ11</f>
        <v>97.65</v>
      </c>
    </row>
    <row r="4" spans="1:9" ht="13.5">
      <c r="A4" s="402">
        <f>Gen!A12</f>
        <v>44229</v>
      </c>
      <c r="B4" s="404">
        <f>Gen!B12</f>
        <v>0</v>
      </c>
      <c r="C4" s="405">
        <f>'Summery Report'!E6</f>
        <v>0</v>
      </c>
      <c r="D4" s="406">
        <v>1</v>
      </c>
      <c r="E4" s="405">
        <f>Gen!S12</f>
        <v>0</v>
      </c>
      <c r="F4" s="405">
        <f>Gen!T12</f>
        <v>0</v>
      </c>
      <c r="G4" s="405" t="str">
        <f>'Water-Meter'!E7</f>
        <v>0</v>
      </c>
      <c r="H4" s="405">
        <f>'Utility report '!AC7</f>
        <v>-45884</v>
      </c>
      <c r="I4" s="405">
        <f>Gen!AJ12</f>
        <v>0</v>
      </c>
    </row>
    <row r="5" spans="1:9" ht="13.5">
      <c r="A5" s="402">
        <f>Gen!A13</f>
        <v>44230</v>
      </c>
      <c r="B5" s="404">
        <f>Gen!B13</f>
        <v>0</v>
      </c>
      <c r="C5" s="405">
        <f>'Summery Report'!E7</f>
        <v>0</v>
      </c>
      <c r="D5" s="406">
        <v>1</v>
      </c>
      <c r="E5" s="405">
        <f>Gen!S13</f>
        <v>0</v>
      </c>
      <c r="F5" s="405">
        <f>Gen!T13</f>
        <v>0</v>
      </c>
      <c r="G5" s="405">
        <f>'Water-Meter'!E8</f>
        <v>0</v>
      </c>
      <c r="H5" s="405">
        <f>'Utility report '!AC8</f>
        <v>0</v>
      </c>
      <c r="I5" s="405">
        <f>Gen!AJ13</f>
        <v>0</v>
      </c>
    </row>
    <row r="6" spans="1:9" ht="13.5">
      <c r="A6" s="402">
        <f>Gen!A14</f>
        <v>44231</v>
      </c>
      <c r="B6" s="404">
        <f>Gen!B14</f>
        <v>0</v>
      </c>
      <c r="C6" s="405">
        <f>'Summery Report'!E8</f>
        <v>0</v>
      </c>
      <c r="D6" s="406">
        <v>1</v>
      </c>
      <c r="E6" s="405">
        <f>Gen!S14</f>
        <v>0</v>
      </c>
      <c r="F6" s="405">
        <f>Gen!T14</f>
        <v>0</v>
      </c>
      <c r="G6" s="405">
        <f>'Water-Meter'!E9</f>
        <v>0</v>
      </c>
      <c r="H6" s="405">
        <f>'Utility report '!AC9</f>
        <v>0</v>
      </c>
      <c r="I6" s="405">
        <f>Gen!AJ14</f>
        <v>0</v>
      </c>
    </row>
    <row r="7" spans="1:9" ht="13.5">
      <c r="A7" s="402">
        <f>Gen!A15</f>
        <v>44232</v>
      </c>
      <c r="B7" s="404">
        <f>Gen!B15</f>
        <v>0</v>
      </c>
      <c r="C7" s="405">
        <f>'Summery Report'!E9</f>
        <v>0</v>
      </c>
      <c r="D7" s="406">
        <v>1</v>
      </c>
      <c r="E7" s="405">
        <f>Gen!S15</f>
        <v>0</v>
      </c>
      <c r="F7" s="405">
        <f>Gen!T15</f>
        <v>0</v>
      </c>
      <c r="G7" s="405">
        <f>'Water-Meter'!E10</f>
        <v>0</v>
      </c>
      <c r="H7" s="405">
        <f>'Utility report '!AC10</f>
        <v>0</v>
      </c>
      <c r="I7" s="405">
        <f>Gen!AJ15</f>
        <v>0</v>
      </c>
    </row>
    <row r="8" spans="1:9" ht="13.5">
      <c r="A8" s="402">
        <f>Gen!A16</f>
        <v>44233</v>
      </c>
      <c r="B8" s="404">
        <f>Gen!B16</f>
        <v>0</v>
      </c>
      <c r="C8" s="405">
        <f>'Summery Report'!E10</f>
        <v>0</v>
      </c>
      <c r="D8" s="406">
        <v>1</v>
      </c>
      <c r="E8" s="405">
        <f>Gen!S16</f>
        <v>0</v>
      </c>
      <c r="F8" s="405">
        <f>Gen!T16</f>
        <v>0</v>
      </c>
      <c r="G8" s="405">
        <f>'Water-Meter'!E11</f>
        <v>0</v>
      </c>
      <c r="H8" s="405">
        <f>'Utility report '!AC11</f>
        <v>0</v>
      </c>
      <c r="I8" s="405">
        <f>Gen!AJ16</f>
        <v>0</v>
      </c>
    </row>
    <row r="9" spans="1:9" ht="13.5">
      <c r="A9" s="402">
        <f>Gen!A17</f>
        <v>44234</v>
      </c>
      <c r="B9" s="404">
        <f>Gen!B17</f>
        <v>0</v>
      </c>
      <c r="C9" s="405">
        <f>'Summery Report'!E11</f>
        <v>0</v>
      </c>
      <c r="D9" s="406">
        <v>1</v>
      </c>
      <c r="E9" s="405">
        <f>Gen!S17</f>
        <v>0</v>
      </c>
      <c r="F9" s="405">
        <f>Gen!T17</f>
        <v>0</v>
      </c>
      <c r="G9" s="405">
        <f>'Water-Meter'!E12</f>
        <v>0</v>
      </c>
      <c r="H9" s="405">
        <f>'Utility report '!AC12</f>
        <v>0</v>
      </c>
      <c r="I9" s="405">
        <f>Gen!AJ17</f>
        <v>0</v>
      </c>
    </row>
    <row r="10" spans="1:9" ht="13.5">
      <c r="A10" s="402">
        <f>Gen!A18</f>
        <v>44235</v>
      </c>
      <c r="B10" s="404">
        <f>Gen!B18</f>
        <v>0</v>
      </c>
      <c r="C10" s="405">
        <f>'Summery Report'!E12</f>
        <v>0</v>
      </c>
      <c r="D10" s="406">
        <v>1</v>
      </c>
      <c r="E10" s="405">
        <f>Gen!S18</f>
        <v>0</v>
      </c>
      <c r="F10" s="405">
        <f>Gen!T18</f>
        <v>0</v>
      </c>
      <c r="G10" s="405">
        <f>'Water-Meter'!E13</f>
        <v>0</v>
      </c>
      <c r="H10" s="405">
        <f>'Utility report '!AC13</f>
        <v>0</v>
      </c>
      <c r="I10" s="405">
        <f>Gen!AJ18</f>
        <v>0</v>
      </c>
    </row>
    <row r="11" spans="1:9" ht="13.5">
      <c r="A11" s="402">
        <f>Gen!A19</f>
        <v>44236</v>
      </c>
      <c r="B11" s="404">
        <f>Gen!B19</f>
        <v>0</v>
      </c>
      <c r="C11" s="405">
        <f>'Summery Report'!E13</f>
        <v>0</v>
      </c>
      <c r="D11" s="406">
        <v>1</v>
      </c>
      <c r="E11" s="405">
        <f>Gen!S19</f>
        <v>0</v>
      </c>
      <c r="F11" s="405">
        <f>Gen!T19</f>
        <v>0</v>
      </c>
      <c r="G11" s="405">
        <f>'Water-Meter'!E14</f>
        <v>0</v>
      </c>
      <c r="H11" s="405">
        <f>'Utility report '!AC14</f>
        <v>0</v>
      </c>
      <c r="I11" s="405">
        <f>Gen!AJ19</f>
        <v>0</v>
      </c>
    </row>
    <row r="12" spans="1:9" ht="13.5">
      <c r="A12" s="402">
        <f>Gen!A20</f>
        <v>44237</v>
      </c>
      <c r="B12" s="404">
        <f>Gen!B20</f>
        <v>0</v>
      </c>
      <c r="C12" s="405">
        <f>'Summery Report'!E14</f>
        <v>0</v>
      </c>
      <c r="D12" s="406">
        <v>1</v>
      </c>
      <c r="E12" s="405">
        <f>Gen!S20</f>
        <v>0</v>
      </c>
      <c r="F12" s="405">
        <f>Gen!T20</f>
        <v>0</v>
      </c>
      <c r="G12" s="405">
        <f>'Water-Meter'!E15</f>
        <v>0</v>
      </c>
      <c r="H12" s="405">
        <f>'Utility report '!AC15</f>
        <v>0</v>
      </c>
      <c r="I12" s="405">
        <f>Gen!AJ20</f>
        <v>0</v>
      </c>
    </row>
    <row r="13" spans="1:9" ht="13.5">
      <c r="A13" s="402">
        <f>Gen!A21</f>
        <v>44238</v>
      </c>
      <c r="B13" s="404">
        <f>Gen!B21</f>
        <v>0</v>
      </c>
      <c r="C13" s="405">
        <f>'Summery Report'!E15</f>
        <v>0</v>
      </c>
      <c r="D13" s="406">
        <v>1</v>
      </c>
      <c r="E13" s="405">
        <f>Gen!S21</f>
        <v>0</v>
      </c>
      <c r="F13" s="405">
        <f>Gen!T21</f>
        <v>0</v>
      </c>
      <c r="G13" s="405">
        <f>'Water-Meter'!E16</f>
        <v>0</v>
      </c>
      <c r="H13" s="405">
        <f>'Utility report '!AC16</f>
        <v>0</v>
      </c>
      <c r="I13" s="405">
        <f>Gen!AJ21</f>
        <v>0</v>
      </c>
    </row>
    <row r="14" spans="1:9" ht="13.5">
      <c r="A14" s="402">
        <f>Gen!A22</f>
        <v>44239</v>
      </c>
      <c r="B14" s="404">
        <f>Gen!B22</f>
        <v>0</v>
      </c>
      <c r="C14" s="405">
        <f>'Summery Report'!E16</f>
        <v>0</v>
      </c>
      <c r="D14" s="406">
        <v>1</v>
      </c>
      <c r="E14" s="405">
        <f>Gen!S22</f>
        <v>0</v>
      </c>
      <c r="F14" s="405">
        <f>Gen!T22</f>
        <v>0</v>
      </c>
      <c r="G14" s="405">
        <f>'Water-Meter'!E17</f>
        <v>0</v>
      </c>
      <c r="H14" s="405">
        <f>'Utility report '!AC17</f>
        <v>0</v>
      </c>
      <c r="I14" s="405">
        <f>Gen!AJ22</f>
        <v>0</v>
      </c>
    </row>
    <row r="15" spans="1:9" ht="13.5">
      <c r="A15" s="402">
        <f>Gen!A23</f>
        <v>44240</v>
      </c>
      <c r="B15" s="404">
        <f>Gen!B23</f>
        <v>0</v>
      </c>
      <c r="C15" s="405">
        <f>'Summery Report'!E17</f>
        <v>0</v>
      </c>
      <c r="D15" s="406">
        <v>1</v>
      </c>
      <c r="E15" s="405">
        <f>Gen!S23</f>
        <v>0</v>
      </c>
      <c r="F15" s="405">
        <f>Gen!T23</f>
        <v>0</v>
      </c>
      <c r="G15" s="405">
        <f>'Water-Meter'!E18</f>
        <v>0</v>
      </c>
      <c r="H15" s="405">
        <f>'Utility report '!AC18</f>
        <v>0</v>
      </c>
      <c r="I15" s="405">
        <f>Gen!AJ23</f>
        <v>0</v>
      </c>
    </row>
    <row r="16" spans="1:9" ht="13.5">
      <c r="A16" s="402">
        <f>Gen!A24</f>
        <v>44241</v>
      </c>
      <c r="B16" s="404">
        <f>Gen!B24</f>
        <v>0</v>
      </c>
      <c r="C16" s="405">
        <f>'Summery Report'!E18</f>
        <v>0</v>
      </c>
      <c r="D16" s="406">
        <v>1</v>
      </c>
      <c r="E16" s="405">
        <f>Gen!S24</f>
        <v>0</v>
      </c>
      <c r="F16" s="405">
        <f>Gen!T24</f>
        <v>0</v>
      </c>
      <c r="G16" s="405">
        <f>'Water-Meter'!E19</f>
        <v>0</v>
      </c>
      <c r="H16" s="405">
        <f>'Utility report '!AC19</f>
        <v>0</v>
      </c>
      <c r="I16" s="405">
        <f>Gen!AJ24</f>
        <v>0</v>
      </c>
    </row>
    <row r="17" spans="1:9" ht="13.5">
      <c r="A17" s="402">
        <f>Gen!A25</f>
        <v>44242</v>
      </c>
      <c r="B17" s="404">
        <f>Gen!B25</f>
        <v>0</v>
      </c>
      <c r="C17" s="405">
        <f>'Summery Report'!E19</f>
        <v>0</v>
      </c>
      <c r="D17" s="406">
        <v>1</v>
      </c>
      <c r="E17" s="405">
        <f>Gen!S25</f>
        <v>0</v>
      </c>
      <c r="F17" s="405">
        <f>Gen!T25</f>
        <v>0</v>
      </c>
      <c r="G17" s="405">
        <f>'Water-Meter'!E20</f>
        <v>0</v>
      </c>
      <c r="H17" s="405">
        <f>'Utility report '!AC20</f>
        <v>0</v>
      </c>
      <c r="I17" s="405">
        <f>Gen!AJ25</f>
        <v>0</v>
      </c>
    </row>
    <row r="18" spans="1:9" ht="13.5">
      <c r="A18" s="402">
        <f>Gen!A26</f>
        <v>44243</v>
      </c>
      <c r="B18" s="404">
        <f>Gen!B26</f>
        <v>0</v>
      </c>
      <c r="C18" s="405">
        <f>'Summery Report'!E20</f>
        <v>0</v>
      </c>
      <c r="D18" s="406">
        <v>1</v>
      </c>
      <c r="E18" s="405">
        <f>Gen!S26</f>
        <v>0</v>
      </c>
      <c r="F18" s="405">
        <f>Gen!T26</f>
        <v>0</v>
      </c>
      <c r="G18" s="405">
        <f>'Water-Meter'!E21</f>
        <v>0</v>
      </c>
      <c r="H18" s="405">
        <f>'Utility report '!AC21</f>
        <v>0</v>
      </c>
      <c r="I18" s="405">
        <f>Gen!AJ26</f>
        <v>0</v>
      </c>
    </row>
    <row r="19" spans="1:9" ht="13.5">
      <c r="A19" s="402">
        <f>Gen!A27</f>
        <v>44244</v>
      </c>
      <c r="B19" s="404">
        <f>Gen!B27</f>
        <v>0</v>
      </c>
      <c r="C19" s="405">
        <f>'Summery Report'!E21</f>
        <v>0</v>
      </c>
      <c r="D19" s="406">
        <v>1</v>
      </c>
      <c r="E19" s="405">
        <f>Gen!S27</f>
        <v>0</v>
      </c>
      <c r="F19" s="405">
        <f>Gen!T27</f>
        <v>0</v>
      </c>
      <c r="G19" s="405">
        <f>'Water-Meter'!E22</f>
        <v>0</v>
      </c>
      <c r="H19" s="405">
        <f>'Utility report '!AC22</f>
        <v>0</v>
      </c>
      <c r="I19" s="405">
        <f>Gen!AJ27</f>
        <v>0</v>
      </c>
    </row>
    <row r="20" spans="1:9" ht="13.5">
      <c r="A20" s="402">
        <f>Gen!A28</f>
        <v>44245</v>
      </c>
      <c r="B20" s="404">
        <f>Gen!B28</f>
        <v>0</v>
      </c>
      <c r="C20" s="405">
        <f>'Summery Report'!E22</f>
        <v>0</v>
      </c>
      <c r="D20" s="406">
        <v>1</v>
      </c>
      <c r="E20" s="405">
        <f>Gen!S28</f>
        <v>0</v>
      </c>
      <c r="F20" s="405">
        <f>Gen!T28</f>
        <v>0</v>
      </c>
      <c r="G20" s="405">
        <f>'Water-Meter'!E23</f>
        <v>0</v>
      </c>
      <c r="H20" s="405">
        <f>'Utility report '!AC23</f>
        <v>0</v>
      </c>
      <c r="I20" s="405">
        <f>Gen!AJ28</f>
        <v>0</v>
      </c>
    </row>
    <row r="21" spans="1:9" ht="13.5">
      <c r="A21" s="402">
        <f>Gen!A29</f>
        <v>44246</v>
      </c>
      <c r="B21" s="404">
        <f>Gen!B29</f>
        <v>0</v>
      </c>
      <c r="C21" s="405">
        <f>'Summery Report'!E23</f>
        <v>0</v>
      </c>
      <c r="D21" s="406">
        <v>1</v>
      </c>
      <c r="E21" s="405">
        <f>Gen!S29</f>
        <v>0</v>
      </c>
      <c r="F21" s="405">
        <f>Gen!T29</f>
        <v>0</v>
      </c>
      <c r="G21" s="405">
        <f>'Water-Meter'!E24</f>
        <v>0</v>
      </c>
      <c r="H21" s="405">
        <f>'Utility report '!AC24</f>
        <v>0</v>
      </c>
      <c r="I21" s="405">
        <f>Gen!AJ29</f>
        <v>0</v>
      </c>
    </row>
    <row r="22" spans="1:9" ht="13.5">
      <c r="A22" s="402">
        <f>Gen!A30</f>
        <v>44247</v>
      </c>
      <c r="B22" s="404">
        <f>Gen!B30</f>
        <v>0</v>
      </c>
      <c r="C22" s="405">
        <f>'Summery Report'!E24</f>
        <v>0</v>
      </c>
      <c r="D22" s="406">
        <v>1</v>
      </c>
      <c r="E22" s="405">
        <f>Gen!S30</f>
        <v>0</v>
      </c>
      <c r="F22" s="405">
        <f>Gen!T30</f>
        <v>0</v>
      </c>
      <c r="G22" s="405">
        <f>'Water-Meter'!E25</f>
        <v>0</v>
      </c>
      <c r="H22" s="405">
        <f>'Utility report '!AC25</f>
        <v>0</v>
      </c>
      <c r="I22" s="405">
        <f>Gen!AJ30</f>
        <v>0</v>
      </c>
    </row>
    <row r="23" spans="1:9" ht="13.5">
      <c r="A23" s="402">
        <f>Gen!A31</f>
        <v>44248</v>
      </c>
      <c r="B23" s="404">
        <f>Gen!B31</f>
        <v>0</v>
      </c>
      <c r="C23" s="405">
        <f>'Summery Report'!E25</f>
        <v>0</v>
      </c>
      <c r="D23" s="406">
        <v>1</v>
      </c>
      <c r="E23" s="405">
        <f>Gen!S31</f>
        <v>0</v>
      </c>
      <c r="F23" s="405">
        <f>Gen!T31</f>
        <v>0</v>
      </c>
      <c r="G23" s="405">
        <f>'Water-Meter'!E26</f>
        <v>0</v>
      </c>
      <c r="H23" s="405">
        <f>'Utility report '!AC26</f>
        <v>0</v>
      </c>
      <c r="I23" s="405">
        <f>Gen!AJ31</f>
        <v>0</v>
      </c>
    </row>
    <row r="24" spans="1:9" ht="13.5">
      <c r="A24" s="402">
        <f>Gen!A32</f>
        <v>44249</v>
      </c>
      <c r="B24" s="404">
        <f>Gen!B32</f>
        <v>0</v>
      </c>
      <c r="C24" s="405">
        <f>'Summery Report'!E26</f>
        <v>0</v>
      </c>
      <c r="D24" s="406">
        <v>1</v>
      </c>
      <c r="E24" s="405">
        <f>Gen!S32</f>
        <v>0</v>
      </c>
      <c r="F24" s="405">
        <f>Gen!T32</f>
        <v>0</v>
      </c>
      <c r="G24" s="405">
        <f>'Water-Meter'!E27</f>
        <v>0</v>
      </c>
      <c r="H24" s="405">
        <f>'Utility report '!AC27</f>
        <v>0</v>
      </c>
      <c r="I24" s="405">
        <f>Gen!AJ32</f>
        <v>0</v>
      </c>
    </row>
    <row r="25" spans="1:9" ht="13.5">
      <c r="A25" s="402">
        <f>Gen!A33</f>
        <v>44250</v>
      </c>
      <c r="B25" s="404">
        <f>Gen!B33</f>
        <v>0</v>
      </c>
      <c r="C25" s="405">
        <f>'Summery Report'!E27</f>
        <v>0</v>
      </c>
      <c r="D25" s="406">
        <v>1</v>
      </c>
      <c r="E25" s="405">
        <f>Gen!S33</f>
        <v>0</v>
      </c>
      <c r="F25" s="405">
        <f>Gen!T33</f>
        <v>0</v>
      </c>
      <c r="G25" s="405">
        <f>'Water-Meter'!E28</f>
        <v>0</v>
      </c>
      <c r="H25" s="405">
        <f>'Utility report '!AC28</f>
        <v>0</v>
      </c>
      <c r="I25" s="405">
        <f>Gen!AJ33</f>
        <v>0</v>
      </c>
    </row>
    <row r="26" spans="1:9" ht="13.5">
      <c r="A26" s="402">
        <f>Gen!A34</f>
        <v>44251</v>
      </c>
      <c r="B26" s="404">
        <f>Gen!B34</f>
        <v>0</v>
      </c>
      <c r="C26" s="405">
        <f>'Summery Report'!E28</f>
        <v>0</v>
      </c>
      <c r="D26" s="406">
        <v>1</v>
      </c>
      <c r="E26" s="405">
        <f>Gen!S34</f>
        <v>0</v>
      </c>
      <c r="F26" s="405">
        <f>Gen!T34</f>
        <v>0</v>
      </c>
      <c r="G26" s="405">
        <f>'Water-Meter'!E29</f>
        <v>0</v>
      </c>
      <c r="H26" s="405">
        <f>'Utility report '!AC29</f>
        <v>0</v>
      </c>
      <c r="I26" s="405">
        <f>Gen!AJ34</f>
        <v>0</v>
      </c>
    </row>
    <row r="27" spans="1:9" ht="13.5">
      <c r="A27" s="402">
        <f>Gen!A35</f>
        <v>44252</v>
      </c>
      <c r="B27" s="404">
        <f>Gen!B35</f>
        <v>0</v>
      </c>
      <c r="C27" s="405">
        <f>'Summery Report'!E29</f>
        <v>0</v>
      </c>
      <c r="D27" s="406">
        <v>1</v>
      </c>
      <c r="E27" s="405">
        <f>Gen!S35</f>
        <v>0</v>
      </c>
      <c r="F27" s="405">
        <f>Gen!T35</f>
        <v>0</v>
      </c>
      <c r="G27" s="405">
        <f>'Water-Meter'!E30</f>
        <v>0</v>
      </c>
      <c r="H27" s="405">
        <f>'Utility report '!AC30</f>
        <v>0</v>
      </c>
      <c r="I27" s="405">
        <f>Gen!AJ35</f>
        <v>0</v>
      </c>
    </row>
    <row r="28" spans="1:9" ht="13.5">
      <c r="A28" s="402">
        <f>Gen!A36</f>
        <v>44253</v>
      </c>
      <c r="B28" s="404">
        <f>Gen!B36</f>
        <v>0</v>
      </c>
      <c r="C28" s="405">
        <f>'Summery Report'!E30</f>
        <v>0</v>
      </c>
      <c r="D28" s="406">
        <v>1</v>
      </c>
      <c r="E28" s="405">
        <f>Gen!S36</f>
        <v>0</v>
      </c>
      <c r="F28" s="405">
        <f>Gen!T36</f>
        <v>0</v>
      </c>
      <c r="G28" s="405">
        <f>'Water-Meter'!E31</f>
        <v>0</v>
      </c>
      <c r="H28" s="405">
        <f>'Utility report '!AC31</f>
        <v>0</v>
      </c>
      <c r="I28" s="405">
        <f>Gen!AJ36</f>
        <v>0</v>
      </c>
    </row>
    <row r="29" spans="1:9" ht="13.5">
      <c r="A29" s="402">
        <f>Gen!A37</f>
        <v>44254</v>
      </c>
      <c r="B29" s="404">
        <f>Gen!B37</f>
        <v>0</v>
      </c>
      <c r="C29" s="405">
        <f>'Summery Report'!E31</f>
        <v>0</v>
      </c>
      <c r="D29" s="406">
        <v>1</v>
      </c>
      <c r="E29" s="405">
        <f>Gen!S37</f>
        <v>0</v>
      </c>
      <c r="F29" s="405">
        <f>Gen!T37</f>
        <v>0</v>
      </c>
      <c r="G29" s="405">
        <f>'Water-Meter'!E32</f>
        <v>0</v>
      </c>
      <c r="H29" s="405">
        <f>'Utility report '!AC32</f>
        <v>0</v>
      </c>
      <c r="I29" s="405">
        <f>Gen!AJ37</f>
        <v>0</v>
      </c>
    </row>
    <row r="30" spans="1:9" ht="13.5">
      <c r="A30" s="402">
        <f>Gen!A38</f>
        <v>44255</v>
      </c>
      <c r="B30" s="404">
        <f>Gen!B38</f>
        <v>0</v>
      </c>
      <c r="C30" s="405">
        <f>'Summery Report'!E32</f>
        <v>0</v>
      </c>
      <c r="D30" s="406">
        <v>1</v>
      </c>
      <c r="E30" s="405">
        <f>Gen!S38</f>
        <v>0</v>
      </c>
      <c r="F30" s="405">
        <f>Gen!T38</f>
        <v>0</v>
      </c>
      <c r="G30" s="405">
        <f>'Water-Meter'!E33</f>
        <v>0</v>
      </c>
      <c r="H30" s="405">
        <f>'Utility report '!AC33</f>
        <v>0</v>
      </c>
      <c r="I30" s="405">
        <f>Gen!AJ38</f>
        <v>0</v>
      </c>
    </row>
    <row r="31" spans="1:9" ht="13.5">
      <c r="A31" s="402">
        <f>Gen!A39</f>
        <v>0</v>
      </c>
      <c r="B31" s="404">
        <f>Gen!B39</f>
        <v>0</v>
      </c>
      <c r="C31" s="405">
        <f>'Summery Report'!E33</f>
        <v>0</v>
      </c>
      <c r="D31" s="406">
        <v>1</v>
      </c>
      <c r="E31" s="405">
        <f>Gen!S39</f>
        <v>0</v>
      </c>
      <c r="F31" s="405">
        <f>Gen!T39</f>
        <v>0</v>
      </c>
      <c r="G31" s="405">
        <f>'Water-Meter'!E34</f>
        <v>0</v>
      </c>
      <c r="H31" s="405">
        <f>'Utility report '!AC34</f>
        <v>0</v>
      </c>
      <c r="I31" s="405">
        <f>Gen!AJ39</f>
        <v>0</v>
      </c>
    </row>
    <row r="32" spans="1:9" ht="13.5">
      <c r="A32" s="402">
        <f>Gen!A40</f>
        <v>0</v>
      </c>
      <c r="B32" s="404">
        <f>Gen!B40</f>
        <v>0</v>
      </c>
      <c r="C32" s="405">
        <f>'Summery Report'!E34</f>
        <v>0</v>
      </c>
      <c r="D32" s="406">
        <v>1</v>
      </c>
      <c r="E32" s="405">
        <f>Gen!S40</f>
        <v>0</v>
      </c>
      <c r="F32" s="405">
        <f>Gen!T40</f>
        <v>0</v>
      </c>
      <c r="G32" s="405">
        <f>'Water-Meter'!E35</f>
        <v>0</v>
      </c>
      <c r="H32" s="405">
        <f>'Utility report '!AC35</f>
        <v>0</v>
      </c>
      <c r="I32" s="405">
        <f>Gen!AJ40</f>
        <v>0</v>
      </c>
    </row>
    <row r="33" spans="1:9" ht="13.5">
      <c r="A33" s="402">
        <f>Gen!A41</f>
        <v>0</v>
      </c>
      <c r="B33" s="404">
        <f>Gen!B41</f>
        <v>0</v>
      </c>
      <c r="C33" s="405">
        <f>'Summery Report'!E35</f>
        <v>0</v>
      </c>
      <c r="D33" s="406">
        <v>1</v>
      </c>
      <c r="E33" s="405">
        <f>Gen!S41</f>
        <v>0</v>
      </c>
      <c r="F33" s="405">
        <f>Gen!T41</f>
        <v>0</v>
      </c>
      <c r="G33" s="405">
        <f>'Water-Meter'!E36</f>
        <v>0</v>
      </c>
      <c r="H33" s="405">
        <f>'Utility report '!AC36</f>
        <v>0</v>
      </c>
      <c r="I33" s="405">
        <f>Gen!AJ41</f>
        <v>0</v>
      </c>
    </row>
    <row r="34" spans="1:9" ht="13.5">
      <c r="A34" s="402"/>
      <c r="B34" s="404">
        <f>Gen!B42</f>
        <v>0</v>
      </c>
      <c r="C34" s="405">
        <f>'Summery Report'!E36</f>
        <v>0</v>
      </c>
      <c r="D34" s="406">
        <v>2</v>
      </c>
      <c r="E34" s="405">
        <f>Gen!S42</f>
        <v>0</v>
      </c>
      <c r="F34" s="405">
        <f>Gen!T42</f>
        <v>0</v>
      </c>
      <c r="G34" s="405">
        <f>'Water-Meter'!E37</f>
        <v>0</v>
      </c>
      <c r="H34" s="405">
        <f>'Utility report '!AC37</f>
        <v>0</v>
      </c>
      <c r="I34" s="405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775" t="s">
        <v>0</v>
      </c>
      <c r="B4" s="776" t="s">
        <v>141</v>
      </c>
      <c r="C4" s="777" t="s">
        <v>248</v>
      </c>
      <c r="D4" s="835" t="s">
        <v>135</v>
      </c>
      <c r="E4" s="835"/>
      <c r="F4" s="835"/>
      <c r="G4" s="836" t="s">
        <v>20</v>
      </c>
      <c r="H4" s="836"/>
      <c r="I4" s="836"/>
      <c r="J4" s="837" t="s">
        <v>54</v>
      </c>
      <c r="K4" s="837"/>
      <c r="L4" s="837"/>
      <c r="M4" s="837"/>
      <c r="N4" s="838" t="s">
        <v>143</v>
      </c>
      <c r="O4" s="838"/>
      <c r="P4" s="838"/>
      <c r="Q4" s="778"/>
      <c r="R4" s="778"/>
      <c r="S4" s="779"/>
    </row>
    <row r="5" spans="1:19" ht="25.5">
      <c r="A5" s="780"/>
      <c r="B5" s="781"/>
      <c r="C5" s="782"/>
      <c r="D5" s="783" t="s">
        <v>136</v>
      </c>
      <c r="E5" s="783" t="s">
        <v>137</v>
      </c>
      <c r="F5" s="783" t="s">
        <v>121</v>
      </c>
      <c r="G5" s="784" t="s">
        <v>138</v>
      </c>
      <c r="H5" s="784" t="s">
        <v>19</v>
      </c>
      <c r="I5" s="785" t="s">
        <v>139</v>
      </c>
      <c r="J5" s="786" t="s">
        <v>142</v>
      </c>
      <c r="K5" s="786" t="s">
        <v>140</v>
      </c>
      <c r="L5" s="786" t="s">
        <v>140</v>
      </c>
      <c r="M5" s="787" t="s">
        <v>18</v>
      </c>
      <c r="N5" s="788" t="s">
        <v>144</v>
      </c>
      <c r="O5" s="788" t="s">
        <v>146</v>
      </c>
      <c r="P5" s="789" t="s">
        <v>145</v>
      </c>
      <c r="Q5" s="790" t="s">
        <v>148</v>
      </c>
      <c r="R5" s="790" t="s">
        <v>147</v>
      </c>
      <c r="S5" s="791" t="s">
        <v>149</v>
      </c>
    </row>
    <row r="6" spans="1:19" ht="14.25">
      <c r="A6" s="450">
        <f>Gen!A11</f>
        <v>44228</v>
      </c>
      <c r="B6" s="6">
        <f>'Summery Report'!E5</f>
        <v>0</v>
      </c>
      <c r="C6" s="6">
        <f>Gen!U11</f>
        <v>0.41609084652443218</v>
      </c>
      <c r="D6" s="152">
        <f>Gen!T11</f>
        <v>2906</v>
      </c>
      <c r="E6" s="152">
        <f>Gen!AK11</f>
        <v>0</v>
      </c>
      <c r="F6" s="152">
        <f>Gen!AS11</f>
        <v>0</v>
      </c>
      <c r="G6" s="153">
        <f>'Utility report '!AC6</f>
        <v>49</v>
      </c>
      <c r="H6" s="153">
        <f>'Utility report '!AE6</f>
        <v>-211010</v>
      </c>
      <c r="I6" s="296">
        <f>'Water-Meter'!E6</f>
        <v>58</v>
      </c>
      <c r="J6" s="154">
        <f>'Lpg (2)'!B10</f>
        <v>0</v>
      </c>
      <c r="K6" s="154">
        <f>'Lpg (2)'!C10</f>
        <v>0</v>
      </c>
      <c r="L6" s="154">
        <f>'Lpg (2)'!D10</f>
        <v>0</v>
      </c>
      <c r="M6" s="449">
        <f>'Lpg (2)'!G10</f>
        <v>0</v>
      </c>
      <c r="N6" s="6"/>
      <c r="O6" s="151">
        <f>E6</f>
        <v>0</v>
      </c>
      <c r="P6" s="150" t="e">
        <f>'[1]Lpg (2)'!#REF!</f>
        <v>#REF!</v>
      </c>
      <c r="Q6" s="151" t="e">
        <f>'[1]Summery Report'!#REF!</f>
        <v>#REF!</v>
      </c>
      <c r="R6" s="151" t="e">
        <f t="shared" ref="R6:R37" si="0">N6/B6</f>
        <v>#DIV/0!</v>
      </c>
      <c r="S6" s="451" t="e">
        <f t="shared" ref="S6:S37" si="1">Q6/B6</f>
        <v>#REF!</v>
      </c>
    </row>
    <row r="7" spans="1:19" ht="14.25">
      <c r="A7" s="450">
        <f>Gen!A12</f>
        <v>44229</v>
      </c>
      <c r="B7" s="6">
        <f>'Summery Report'!E6</f>
        <v>0</v>
      </c>
      <c r="C7" s="6" t="e">
        <f>Gen!U12</f>
        <v>#DIV/0!</v>
      </c>
      <c r="D7" s="152">
        <f>Gen!T12</f>
        <v>0</v>
      </c>
      <c r="E7" s="152">
        <f>Gen!AK12</f>
        <v>0</v>
      </c>
      <c r="F7" s="152">
        <f>Gen!AS12</f>
        <v>0</v>
      </c>
      <c r="G7" s="153">
        <f>'Utility report '!AC7</f>
        <v>-45884</v>
      </c>
      <c r="H7" s="153">
        <f>'Utility report '!AE7</f>
        <v>0</v>
      </c>
      <c r="I7" s="296" t="str">
        <f>'Water-Meter'!E7</f>
        <v>0</v>
      </c>
      <c r="J7" s="154">
        <f>'Lpg (2)'!B11</f>
        <v>0</v>
      </c>
      <c r="K7" s="154">
        <f>'Lpg (2)'!C11</f>
        <v>0</v>
      </c>
      <c r="L7" s="154">
        <f>'Lpg (2)'!D11</f>
        <v>0</v>
      </c>
      <c r="M7" s="449">
        <f>'Lpg (2)'!G11</f>
        <v>0</v>
      </c>
      <c r="N7" s="151">
        <f>D7*1.4</f>
        <v>0</v>
      </c>
      <c r="O7" s="151">
        <f>E7*1.4</f>
        <v>0</v>
      </c>
      <c r="P7" s="150" t="e">
        <f>'[1]Lpg (2)'!#REF!</f>
        <v>#REF!</v>
      </c>
      <c r="Q7" s="151" t="e">
        <f>'[1]Summery Report'!#REF!</f>
        <v>#REF!</v>
      </c>
      <c r="R7" s="151" t="e">
        <f t="shared" si="0"/>
        <v>#DIV/0!</v>
      </c>
      <c r="S7" s="451" t="e">
        <f t="shared" si="1"/>
        <v>#REF!</v>
      </c>
    </row>
    <row r="8" spans="1:19" ht="14.25">
      <c r="A8" s="450">
        <f>Gen!A13</f>
        <v>44230</v>
      </c>
      <c r="B8" s="6">
        <f>'Summery Report'!E7</f>
        <v>0</v>
      </c>
      <c r="C8" s="6" t="e">
        <f>Gen!U13</f>
        <v>#DIV/0!</v>
      </c>
      <c r="D8" s="152">
        <f>Gen!T13</f>
        <v>0</v>
      </c>
      <c r="E8" s="152">
        <f>Gen!AK13</f>
        <v>0</v>
      </c>
      <c r="F8" s="152">
        <f>Gen!AS13</f>
        <v>0</v>
      </c>
      <c r="G8" s="153">
        <f>'Utility report '!AC8</f>
        <v>0</v>
      </c>
      <c r="H8" s="153">
        <f>'Utility report '!AE8</f>
        <v>0</v>
      </c>
      <c r="I8" s="296">
        <f>'Water-Meter'!E8</f>
        <v>0</v>
      </c>
      <c r="J8" s="154">
        <f>'Lpg (2)'!B12</f>
        <v>0</v>
      </c>
      <c r="K8" s="154">
        <f>'Lpg (2)'!C12</f>
        <v>0</v>
      </c>
      <c r="L8" s="154">
        <f>'Lpg (2)'!D12</f>
        <v>0</v>
      </c>
      <c r="M8" s="449">
        <f>'Lpg (2)'!G12</f>
        <v>0</v>
      </c>
      <c r="N8" s="151">
        <f t="shared" ref="N8:O36" si="2">D8*1.4</f>
        <v>0</v>
      </c>
      <c r="O8" s="151">
        <f t="shared" si="2"/>
        <v>0</v>
      </c>
      <c r="P8" s="150" t="e">
        <f>'[1]Lpg (2)'!#REF!</f>
        <v>#REF!</v>
      </c>
      <c r="Q8" s="151" t="e">
        <f>'[1]Summery Report'!#REF!</f>
        <v>#REF!</v>
      </c>
      <c r="R8" s="151" t="e">
        <f t="shared" si="0"/>
        <v>#DIV/0!</v>
      </c>
      <c r="S8" s="451" t="e">
        <f t="shared" si="1"/>
        <v>#REF!</v>
      </c>
    </row>
    <row r="9" spans="1:19" ht="14.25">
      <c r="A9" s="450">
        <f>Gen!A14</f>
        <v>44231</v>
      </c>
      <c r="B9" s="6">
        <f>'Summery Report'!E8</f>
        <v>0</v>
      </c>
      <c r="C9" s="6" t="e">
        <f>Gen!U14</f>
        <v>#DIV/0!</v>
      </c>
      <c r="D9" s="152">
        <f>Gen!T14</f>
        <v>0</v>
      </c>
      <c r="E9" s="152">
        <f>Gen!AK14</f>
        <v>0</v>
      </c>
      <c r="F9" s="152">
        <f>Gen!AS14</f>
        <v>0</v>
      </c>
      <c r="G9" s="153">
        <f>'Utility report '!AC9</f>
        <v>0</v>
      </c>
      <c r="H9" s="153">
        <f>'Utility report '!AE9</f>
        <v>0</v>
      </c>
      <c r="I9" s="296">
        <f>'Water-Meter'!E9</f>
        <v>0</v>
      </c>
      <c r="J9" s="154">
        <f>'Lpg (2)'!B13</f>
        <v>0</v>
      </c>
      <c r="K9" s="154">
        <f>'Lpg (2)'!C13</f>
        <v>0</v>
      </c>
      <c r="L9" s="154">
        <f>'Lpg (2)'!D13</f>
        <v>0</v>
      </c>
      <c r="M9" s="449">
        <f>'Lpg (2)'!G13</f>
        <v>0</v>
      </c>
      <c r="N9" s="151">
        <f t="shared" si="2"/>
        <v>0</v>
      </c>
      <c r="O9" s="151">
        <f t="shared" si="2"/>
        <v>0</v>
      </c>
      <c r="P9" s="150" t="e">
        <f>'[1]Lpg (2)'!#REF!</f>
        <v>#REF!</v>
      </c>
      <c r="Q9" s="151" t="e">
        <f>'[1]Summery Report'!#REF!</f>
        <v>#REF!</v>
      </c>
      <c r="R9" s="151" t="e">
        <f t="shared" si="0"/>
        <v>#DIV/0!</v>
      </c>
      <c r="S9" s="451" t="e">
        <f t="shared" si="1"/>
        <v>#REF!</v>
      </c>
    </row>
    <row r="10" spans="1:19" ht="14.25">
      <c r="A10" s="450">
        <f>Gen!A15</f>
        <v>44232</v>
      </c>
      <c r="B10" s="6">
        <f>'Summery Report'!E9</f>
        <v>0</v>
      </c>
      <c r="C10" s="6" t="e">
        <f>Gen!U15</f>
        <v>#DIV/0!</v>
      </c>
      <c r="D10" s="152">
        <f>Gen!T15</f>
        <v>0</v>
      </c>
      <c r="E10" s="152">
        <f>Gen!AK15</f>
        <v>0</v>
      </c>
      <c r="F10" s="152">
        <f>Gen!AS15</f>
        <v>0</v>
      </c>
      <c r="G10" s="153">
        <f>'Utility report '!AC10</f>
        <v>0</v>
      </c>
      <c r="H10" s="153">
        <f>'Utility report '!AE10</f>
        <v>0</v>
      </c>
      <c r="I10" s="296">
        <f>'Water-Meter'!E10</f>
        <v>0</v>
      </c>
      <c r="J10" s="154">
        <f>'Lpg (2)'!B14</f>
        <v>0</v>
      </c>
      <c r="K10" s="154">
        <f>'Lpg (2)'!C14</f>
        <v>0</v>
      </c>
      <c r="L10" s="154">
        <f>'Lpg (2)'!D14</f>
        <v>0</v>
      </c>
      <c r="M10" s="449">
        <f>'Lpg (2)'!G14</f>
        <v>0</v>
      </c>
      <c r="N10" s="151">
        <f t="shared" si="2"/>
        <v>0</v>
      </c>
      <c r="O10" s="151">
        <f t="shared" si="2"/>
        <v>0</v>
      </c>
      <c r="P10" s="150" t="e">
        <f>'[1]Lpg (2)'!#REF!</f>
        <v>#REF!</v>
      </c>
      <c r="Q10" s="151" t="e">
        <f>'[1]Summery Report'!#REF!</f>
        <v>#REF!</v>
      </c>
      <c r="R10" s="151" t="e">
        <f t="shared" si="0"/>
        <v>#DIV/0!</v>
      </c>
      <c r="S10" s="451" t="e">
        <f t="shared" si="1"/>
        <v>#REF!</v>
      </c>
    </row>
    <row r="11" spans="1:19" ht="14.25">
      <c r="A11" s="450">
        <f>Gen!A16</f>
        <v>44233</v>
      </c>
      <c r="B11" s="6">
        <f>'Summery Report'!E10</f>
        <v>0</v>
      </c>
      <c r="C11" s="6" t="e">
        <f>Gen!U16</f>
        <v>#DIV/0!</v>
      </c>
      <c r="D11" s="152">
        <f>Gen!T16</f>
        <v>0</v>
      </c>
      <c r="E11" s="152">
        <f>Gen!AK16</f>
        <v>0</v>
      </c>
      <c r="F11" s="152">
        <f>Gen!AS16</f>
        <v>0</v>
      </c>
      <c r="G11" s="153">
        <f>'Utility report '!AC11</f>
        <v>0</v>
      </c>
      <c r="H11" s="153">
        <f>'Utility report '!AE11</f>
        <v>0</v>
      </c>
      <c r="I11" s="296">
        <f>'Water-Meter'!E11</f>
        <v>0</v>
      </c>
      <c r="J11" s="154">
        <f>'Lpg (2)'!B15</f>
        <v>0</v>
      </c>
      <c r="K11" s="154">
        <f>'Lpg (2)'!C15</f>
        <v>0</v>
      </c>
      <c r="L11" s="154">
        <f>'Lpg (2)'!D15</f>
        <v>0</v>
      </c>
      <c r="M11" s="449">
        <f>'Lpg (2)'!G15</f>
        <v>0</v>
      </c>
      <c r="N11" s="151">
        <f t="shared" si="2"/>
        <v>0</v>
      </c>
      <c r="O11" s="151">
        <f t="shared" si="2"/>
        <v>0</v>
      </c>
      <c r="P11" s="150" t="e">
        <f>'[1]Lpg (2)'!#REF!</f>
        <v>#REF!</v>
      </c>
      <c r="Q11" s="151" t="e">
        <f>'[1]Summery Report'!#REF!</f>
        <v>#REF!</v>
      </c>
      <c r="R11" s="151" t="e">
        <f t="shared" si="0"/>
        <v>#DIV/0!</v>
      </c>
      <c r="S11" s="451" t="e">
        <f t="shared" si="1"/>
        <v>#REF!</v>
      </c>
    </row>
    <row r="12" spans="1:19" ht="14.25">
      <c r="A12" s="450">
        <f>Gen!A17</f>
        <v>44234</v>
      </c>
      <c r="B12" s="6">
        <f>'Summery Report'!E11</f>
        <v>0</v>
      </c>
      <c r="C12" s="6" t="e">
        <f>Gen!U17</f>
        <v>#DIV/0!</v>
      </c>
      <c r="D12" s="152">
        <f>Gen!T17</f>
        <v>0</v>
      </c>
      <c r="E12" s="152">
        <f>Gen!AK17</f>
        <v>0</v>
      </c>
      <c r="F12" s="152">
        <f>Gen!AS17</f>
        <v>0</v>
      </c>
      <c r="G12" s="153">
        <f>'Utility report '!AC12</f>
        <v>0</v>
      </c>
      <c r="H12" s="153">
        <f>'Utility report '!AE12</f>
        <v>0</v>
      </c>
      <c r="I12" s="296">
        <f>'Water-Meter'!E12</f>
        <v>0</v>
      </c>
      <c r="J12" s="154">
        <f>'Lpg (2)'!B16</f>
        <v>0</v>
      </c>
      <c r="K12" s="154">
        <f>'Lpg (2)'!C16</f>
        <v>0</v>
      </c>
      <c r="L12" s="154">
        <f>'Lpg (2)'!D16</f>
        <v>0</v>
      </c>
      <c r="M12" s="449">
        <f>'Lpg (2)'!G16</f>
        <v>0</v>
      </c>
      <c r="N12" s="151">
        <f t="shared" si="2"/>
        <v>0</v>
      </c>
      <c r="O12" s="151">
        <f t="shared" si="2"/>
        <v>0</v>
      </c>
      <c r="P12" s="150" t="e">
        <f>'[1]Lpg (2)'!#REF!</f>
        <v>#REF!</v>
      </c>
      <c r="Q12" s="151" t="e">
        <f>'[1]Summery Report'!#REF!</f>
        <v>#REF!</v>
      </c>
      <c r="R12" s="151" t="e">
        <f t="shared" si="0"/>
        <v>#DIV/0!</v>
      </c>
      <c r="S12" s="451" t="e">
        <f t="shared" si="1"/>
        <v>#REF!</v>
      </c>
    </row>
    <row r="13" spans="1:19" ht="14.25">
      <c r="A13" s="450">
        <f>Gen!A18</f>
        <v>44235</v>
      </c>
      <c r="B13" s="6">
        <f>'Summery Report'!E12</f>
        <v>0</v>
      </c>
      <c r="C13" s="6" t="e">
        <f>Gen!U18</f>
        <v>#DIV/0!</v>
      </c>
      <c r="D13" s="152">
        <f>Gen!T18</f>
        <v>0</v>
      </c>
      <c r="E13" s="152">
        <f>Gen!AK18</f>
        <v>0</v>
      </c>
      <c r="F13" s="152">
        <f>Gen!AS18</f>
        <v>0</v>
      </c>
      <c r="G13" s="153">
        <f>'Utility report '!AC13</f>
        <v>0</v>
      </c>
      <c r="H13" s="153">
        <f>'Utility report '!AE13</f>
        <v>0</v>
      </c>
      <c r="I13" s="296">
        <f>'Water-Meter'!E13</f>
        <v>0</v>
      </c>
      <c r="J13" s="154">
        <f>'Lpg (2)'!B17</f>
        <v>0</v>
      </c>
      <c r="K13" s="154">
        <f>'Lpg (2)'!C17</f>
        <v>0</v>
      </c>
      <c r="L13" s="154">
        <f>'Lpg (2)'!D17</f>
        <v>0</v>
      </c>
      <c r="M13" s="449">
        <f>'Lpg (2)'!G17</f>
        <v>0</v>
      </c>
      <c r="N13" s="151">
        <f t="shared" si="2"/>
        <v>0</v>
      </c>
      <c r="O13" s="151">
        <f t="shared" si="2"/>
        <v>0</v>
      </c>
      <c r="P13" s="150" t="e">
        <f>'[1]Lpg (2)'!#REF!</f>
        <v>#REF!</v>
      </c>
      <c r="Q13" s="151" t="e">
        <f>'[1]Summery Report'!#REF!</f>
        <v>#REF!</v>
      </c>
      <c r="R13" s="151" t="e">
        <f t="shared" si="0"/>
        <v>#DIV/0!</v>
      </c>
      <c r="S13" s="451" t="e">
        <f t="shared" si="1"/>
        <v>#REF!</v>
      </c>
    </row>
    <row r="14" spans="1:19" ht="14.25">
      <c r="A14" s="450">
        <f>Gen!A19</f>
        <v>44236</v>
      </c>
      <c r="B14" s="6">
        <f>'Summery Report'!E13</f>
        <v>0</v>
      </c>
      <c r="C14" s="6" t="e">
        <f>Gen!U19</f>
        <v>#DIV/0!</v>
      </c>
      <c r="D14" s="152">
        <f>Gen!T19</f>
        <v>0</v>
      </c>
      <c r="E14" s="152">
        <f>Gen!AK19</f>
        <v>0</v>
      </c>
      <c r="F14" s="152">
        <f>Gen!AS19</f>
        <v>0</v>
      </c>
      <c r="G14" s="153">
        <f>'Utility report '!AC14</f>
        <v>0</v>
      </c>
      <c r="H14" s="153">
        <f>'Utility report '!AE14</f>
        <v>0</v>
      </c>
      <c r="I14" s="296">
        <f>'Water-Meter'!E14</f>
        <v>0</v>
      </c>
      <c r="J14" s="154">
        <f>'Lpg (2)'!B18</f>
        <v>0</v>
      </c>
      <c r="K14" s="154">
        <f>'Lpg (2)'!C18</f>
        <v>0</v>
      </c>
      <c r="L14" s="154">
        <f>'Lpg (2)'!D18</f>
        <v>0</v>
      </c>
      <c r="M14" s="449">
        <f>'Lpg (2)'!G18</f>
        <v>0</v>
      </c>
      <c r="N14" s="151">
        <f t="shared" si="2"/>
        <v>0</v>
      </c>
      <c r="O14" s="151">
        <f t="shared" si="2"/>
        <v>0</v>
      </c>
      <c r="P14" s="150" t="e">
        <f>'[1]Lpg (2)'!#REF!</f>
        <v>#REF!</v>
      </c>
      <c r="Q14" s="151" t="e">
        <f>'[1]Summery Report'!#REF!</f>
        <v>#REF!</v>
      </c>
      <c r="R14" s="151" t="e">
        <f t="shared" si="0"/>
        <v>#DIV/0!</v>
      </c>
      <c r="S14" s="451" t="e">
        <f t="shared" si="1"/>
        <v>#REF!</v>
      </c>
    </row>
    <row r="15" spans="1:19" ht="14.25">
      <c r="A15" s="450">
        <f>Gen!A20</f>
        <v>44237</v>
      </c>
      <c r="B15" s="6">
        <f>'Summery Report'!E14</f>
        <v>0</v>
      </c>
      <c r="C15" s="6" t="e">
        <f>Gen!U20</f>
        <v>#DIV/0!</v>
      </c>
      <c r="D15" s="152">
        <f>Gen!T20</f>
        <v>0</v>
      </c>
      <c r="E15" s="152">
        <f>Gen!AK20</f>
        <v>0</v>
      </c>
      <c r="F15" s="152">
        <f>Gen!AS20</f>
        <v>0</v>
      </c>
      <c r="G15" s="153">
        <f>'Utility report '!AC15</f>
        <v>0</v>
      </c>
      <c r="H15" s="153">
        <f>'Utility report '!AE15</f>
        <v>0</v>
      </c>
      <c r="I15" s="296">
        <f>'Water-Meter'!E15</f>
        <v>0</v>
      </c>
      <c r="J15" s="154">
        <f>'Lpg (2)'!B19</f>
        <v>0</v>
      </c>
      <c r="K15" s="154">
        <f>'Lpg (2)'!C19</f>
        <v>0</v>
      </c>
      <c r="L15" s="154">
        <f>'Lpg (2)'!D19</f>
        <v>0</v>
      </c>
      <c r="M15" s="449">
        <f>'Lpg (2)'!G19</f>
        <v>0</v>
      </c>
      <c r="N15" s="151">
        <f t="shared" si="2"/>
        <v>0</v>
      </c>
      <c r="O15" s="151">
        <f t="shared" si="2"/>
        <v>0</v>
      </c>
      <c r="P15" s="150" t="e">
        <f>'[1]Lpg (2)'!#REF!</f>
        <v>#REF!</v>
      </c>
      <c r="Q15" s="151" t="e">
        <f>'[1]Summery Report'!#REF!</f>
        <v>#REF!</v>
      </c>
      <c r="R15" s="151" t="e">
        <f t="shared" si="0"/>
        <v>#DIV/0!</v>
      </c>
      <c r="S15" s="451" t="e">
        <f t="shared" si="1"/>
        <v>#REF!</v>
      </c>
    </row>
    <row r="16" spans="1:19" ht="14.25">
      <c r="A16" s="450">
        <f>Gen!A21</f>
        <v>44238</v>
      </c>
      <c r="B16" s="6">
        <f>'Summery Report'!E15</f>
        <v>0</v>
      </c>
      <c r="C16" s="6" t="e">
        <f>Gen!U21</f>
        <v>#DIV/0!</v>
      </c>
      <c r="D16" s="152">
        <f>Gen!T21</f>
        <v>0</v>
      </c>
      <c r="E16" s="152">
        <f>Gen!AK21</f>
        <v>0</v>
      </c>
      <c r="F16" s="152">
        <f>Gen!AS21</f>
        <v>0</v>
      </c>
      <c r="G16" s="153">
        <f>'Utility report '!AC16</f>
        <v>0</v>
      </c>
      <c r="H16" s="153">
        <f>'Utility report '!AE16</f>
        <v>0</v>
      </c>
      <c r="I16" s="296">
        <f>'Water-Meter'!E16</f>
        <v>0</v>
      </c>
      <c r="J16" s="154">
        <f>'Lpg (2)'!B20</f>
        <v>0</v>
      </c>
      <c r="K16" s="154">
        <f>'Lpg (2)'!C20</f>
        <v>0</v>
      </c>
      <c r="L16" s="154">
        <f>'Lpg (2)'!D20</f>
        <v>0</v>
      </c>
      <c r="M16" s="449">
        <f>'Lpg (2)'!G20</f>
        <v>0</v>
      </c>
      <c r="N16" s="151">
        <f t="shared" si="2"/>
        <v>0</v>
      </c>
      <c r="O16" s="151">
        <f t="shared" si="2"/>
        <v>0</v>
      </c>
      <c r="P16" s="150" t="e">
        <f>'[1]Lpg (2)'!#REF!</f>
        <v>#REF!</v>
      </c>
      <c r="Q16" s="151" t="e">
        <f>'[1]Summery Report'!#REF!</f>
        <v>#REF!</v>
      </c>
      <c r="R16" s="151" t="e">
        <f t="shared" si="0"/>
        <v>#DIV/0!</v>
      </c>
      <c r="S16" s="451" t="e">
        <f t="shared" si="1"/>
        <v>#REF!</v>
      </c>
    </row>
    <row r="17" spans="1:19" ht="14.25">
      <c r="A17" s="450">
        <f>Gen!A22</f>
        <v>44239</v>
      </c>
      <c r="B17" s="6">
        <f>'Summery Report'!E16</f>
        <v>0</v>
      </c>
      <c r="C17" s="6" t="e">
        <f>Gen!U22</f>
        <v>#DIV/0!</v>
      </c>
      <c r="D17" s="152">
        <f>Gen!T22</f>
        <v>0</v>
      </c>
      <c r="E17" s="152">
        <f>Gen!AK22</f>
        <v>0</v>
      </c>
      <c r="F17" s="152">
        <f>Gen!AS22</f>
        <v>0</v>
      </c>
      <c r="G17" s="153">
        <f>'Utility report '!AC17</f>
        <v>0</v>
      </c>
      <c r="H17" s="153">
        <f>'Utility report '!AE17</f>
        <v>0</v>
      </c>
      <c r="I17" s="296">
        <f>'Water-Meter'!E17</f>
        <v>0</v>
      </c>
      <c r="J17" s="154">
        <f>'Lpg (2)'!B21</f>
        <v>0</v>
      </c>
      <c r="K17" s="154">
        <f>'Lpg (2)'!C22</f>
        <v>0</v>
      </c>
      <c r="L17" s="154">
        <f>'Lpg (2)'!D21</f>
        <v>0</v>
      </c>
      <c r="M17" s="449">
        <f>'Lpg (2)'!G21</f>
        <v>0</v>
      </c>
      <c r="N17" s="151">
        <f t="shared" si="2"/>
        <v>0</v>
      </c>
      <c r="O17" s="151">
        <f t="shared" si="2"/>
        <v>0</v>
      </c>
      <c r="P17" s="150" t="e">
        <f>'[1]Lpg (2)'!#REF!</f>
        <v>#REF!</v>
      </c>
      <c r="Q17" s="151" t="e">
        <f>'[1]Summery Report'!#REF!</f>
        <v>#REF!</v>
      </c>
      <c r="R17" s="151" t="e">
        <f t="shared" si="0"/>
        <v>#DIV/0!</v>
      </c>
      <c r="S17" s="451" t="e">
        <f t="shared" si="1"/>
        <v>#REF!</v>
      </c>
    </row>
    <row r="18" spans="1:19" ht="14.25">
      <c r="A18" s="450">
        <f>Gen!A23</f>
        <v>44240</v>
      </c>
      <c r="B18" s="6">
        <f>'Summery Report'!E17</f>
        <v>0</v>
      </c>
      <c r="C18" s="6" t="e">
        <f>Gen!U23</f>
        <v>#DIV/0!</v>
      </c>
      <c r="D18" s="152">
        <f>Gen!T23</f>
        <v>0</v>
      </c>
      <c r="E18" s="152">
        <f>Gen!AK23</f>
        <v>0</v>
      </c>
      <c r="F18" s="152">
        <f>Gen!AS23</f>
        <v>0</v>
      </c>
      <c r="G18" s="153">
        <f>'Utility report '!AC18</f>
        <v>0</v>
      </c>
      <c r="H18" s="153">
        <f>'Utility report '!AE18</f>
        <v>0</v>
      </c>
      <c r="I18" s="296">
        <f>'Water-Meter'!E18</f>
        <v>0</v>
      </c>
      <c r="J18" s="154">
        <f>'Lpg (2)'!B22</f>
        <v>0</v>
      </c>
      <c r="K18" s="154">
        <f>'Lpg (2)'!C23</f>
        <v>0</v>
      </c>
      <c r="L18" s="154">
        <f>'Lpg (2)'!D22</f>
        <v>0</v>
      </c>
      <c r="M18" s="449">
        <f>'Lpg (2)'!G22</f>
        <v>0</v>
      </c>
      <c r="N18" s="151">
        <f t="shared" si="2"/>
        <v>0</v>
      </c>
      <c r="O18" s="151">
        <f t="shared" si="2"/>
        <v>0</v>
      </c>
      <c r="P18" s="150" t="e">
        <f>'[1]Lpg (2)'!#REF!</f>
        <v>#REF!</v>
      </c>
      <c r="Q18" s="151" t="e">
        <f>'[1]Summery Report'!#REF!</f>
        <v>#REF!</v>
      </c>
      <c r="R18" s="151" t="e">
        <f t="shared" si="0"/>
        <v>#DIV/0!</v>
      </c>
      <c r="S18" s="451" t="e">
        <f t="shared" si="1"/>
        <v>#REF!</v>
      </c>
    </row>
    <row r="19" spans="1:19" ht="14.25">
      <c r="A19" s="450">
        <f>Gen!A24</f>
        <v>44241</v>
      </c>
      <c r="B19" s="6">
        <f>'Summery Report'!E18</f>
        <v>0</v>
      </c>
      <c r="C19" s="6" t="e">
        <f>Gen!U24</f>
        <v>#DIV/0!</v>
      </c>
      <c r="D19" s="152">
        <f>Gen!T24</f>
        <v>0</v>
      </c>
      <c r="E19" s="152">
        <f>Gen!AK24</f>
        <v>0</v>
      </c>
      <c r="F19" s="152">
        <f>Gen!AS24</f>
        <v>0</v>
      </c>
      <c r="G19" s="153">
        <f>'Utility report '!AC19</f>
        <v>0</v>
      </c>
      <c r="H19" s="153">
        <f>'Utility report '!AE19</f>
        <v>0</v>
      </c>
      <c r="I19" s="296">
        <f>'Water-Meter'!E19</f>
        <v>0</v>
      </c>
      <c r="J19" s="154">
        <f>'Lpg (2)'!B23</f>
        <v>0</v>
      </c>
      <c r="K19" s="154">
        <f>'Lpg (2)'!C24</f>
        <v>0</v>
      </c>
      <c r="L19" s="154">
        <f>'Lpg (2)'!D23</f>
        <v>0</v>
      </c>
      <c r="M19" s="449">
        <f>'Lpg (2)'!G23</f>
        <v>0</v>
      </c>
      <c r="N19" s="151">
        <f t="shared" si="2"/>
        <v>0</v>
      </c>
      <c r="O19" s="151">
        <f t="shared" si="2"/>
        <v>0</v>
      </c>
      <c r="P19" s="150" t="e">
        <f>'[1]Lpg (2)'!#REF!</f>
        <v>#REF!</v>
      </c>
      <c r="Q19" s="151" t="e">
        <f>'[1]Summery Report'!#REF!</f>
        <v>#REF!</v>
      </c>
      <c r="R19" s="151" t="e">
        <f t="shared" si="0"/>
        <v>#DIV/0!</v>
      </c>
      <c r="S19" s="451" t="e">
        <f t="shared" si="1"/>
        <v>#REF!</v>
      </c>
    </row>
    <row r="20" spans="1:19" ht="14.25">
      <c r="A20" s="450">
        <f>Gen!A25</f>
        <v>44242</v>
      </c>
      <c r="B20" s="6">
        <f>'Summery Report'!E19</f>
        <v>0</v>
      </c>
      <c r="C20" s="6" t="e">
        <f>Gen!U25</f>
        <v>#DIV/0!</v>
      </c>
      <c r="D20" s="152">
        <f>Gen!T25</f>
        <v>0</v>
      </c>
      <c r="E20" s="152">
        <f>Gen!AK25</f>
        <v>0</v>
      </c>
      <c r="F20" s="152">
        <f>Gen!AS25</f>
        <v>0</v>
      </c>
      <c r="G20" s="153">
        <f>'Utility report '!AC20</f>
        <v>0</v>
      </c>
      <c r="H20" s="153">
        <f>'Utility report '!AE20</f>
        <v>0</v>
      </c>
      <c r="I20" s="296">
        <f>'Water-Meter'!E20</f>
        <v>0</v>
      </c>
      <c r="J20" s="154">
        <f>'Lpg (2)'!B24</f>
        <v>0</v>
      </c>
      <c r="K20" s="154">
        <f>'Lpg (2)'!C25</f>
        <v>0</v>
      </c>
      <c r="L20" s="154">
        <f>'Lpg (2)'!D24</f>
        <v>0</v>
      </c>
      <c r="M20" s="449">
        <f>'Lpg (2)'!G24</f>
        <v>0</v>
      </c>
      <c r="N20" s="151">
        <f t="shared" si="2"/>
        <v>0</v>
      </c>
      <c r="O20" s="151">
        <f t="shared" si="2"/>
        <v>0</v>
      </c>
      <c r="P20" s="150" t="e">
        <f>'[1]Lpg (2)'!#REF!</f>
        <v>#REF!</v>
      </c>
      <c r="Q20" s="151" t="e">
        <f>'[1]Summery Report'!#REF!</f>
        <v>#REF!</v>
      </c>
      <c r="R20" s="151" t="e">
        <f t="shared" si="0"/>
        <v>#DIV/0!</v>
      </c>
      <c r="S20" s="451" t="e">
        <f t="shared" si="1"/>
        <v>#REF!</v>
      </c>
    </row>
    <row r="21" spans="1:19" ht="14.25">
      <c r="A21" s="450">
        <f>Gen!A26</f>
        <v>44243</v>
      </c>
      <c r="B21" s="6">
        <f>'Summery Report'!E20</f>
        <v>0</v>
      </c>
      <c r="C21" s="6" t="e">
        <f>Gen!U26</f>
        <v>#DIV/0!</v>
      </c>
      <c r="D21" s="152">
        <f>Gen!T26</f>
        <v>0</v>
      </c>
      <c r="E21" s="152">
        <f>Gen!AK26</f>
        <v>0</v>
      </c>
      <c r="F21" s="152">
        <f>Gen!AS26</f>
        <v>0</v>
      </c>
      <c r="G21" s="153">
        <f>'Utility report '!AC21</f>
        <v>0</v>
      </c>
      <c r="H21" s="153">
        <f>'Utility report '!AE21</f>
        <v>0</v>
      </c>
      <c r="I21" s="296">
        <f>'Water-Meter'!E21</f>
        <v>0</v>
      </c>
      <c r="J21" s="154">
        <f>'Lpg (2)'!B25</f>
        <v>0</v>
      </c>
      <c r="K21" s="154">
        <f>'Lpg (2)'!C25</f>
        <v>0</v>
      </c>
      <c r="L21" s="154">
        <f>'Lpg (2)'!D25</f>
        <v>0</v>
      </c>
      <c r="M21" s="449">
        <f>'Lpg (2)'!G25</f>
        <v>0</v>
      </c>
      <c r="N21" s="151">
        <f t="shared" si="2"/>
        <v>0</v>
      </c>
      <c r="O21" s="151">
        <f t="shared" si="2"/>
        <v>0</v>
      </c>
      <c r="P21" s="150" t="e">
        <f>'[1]Lpg (2)'!#REF!</f>
        <v>#REF!</v>
      </c>
      <c r="Q21" s="151" t="e">
        <f>'[1]Summery Report'!#REF!</f>
        <v>#REF!</v>
      </c>
      <c r="R21" s="151" t="e">
        <f t="shared" si="0"/>
        <v>#DIV/0!</v>
      </c>
      <c r="S21" s="451" t="e">
        <f t="shared" si="1"/>
        <v>#REF!</v>
      </c>
    </row>
    <row r="22" spans="1:19" ht="14.25">
      <c r="A22" s="450">
        <f>Gen!A27</f>
        <v>44244</v>
      </c>
      <c r="B22" s="6">
        <f>'Summery Report'!E21</f>
        <v>0</v>
      </c>
      <c r="C22" s="6" t="e">
        <f>Gen!U27</f>
        <v>#DIV/0!</v>
      </c>
      <c r="D22" s="152">
        <f>Gen!T27</f>
        <v>0</v>
      </c>
      <c r="E22" s="152">
        <f>Gen!AK27</f>
        <v>0</v>
      </c>
      <c r="F22" s="152">
        <f>Gen!AS27</f>
        <v>0</v>
      </c>
      <c r="G22" s="153">
        <f>'Utility report '!AC22</f>
        <v>0</v>
      </c>
      <c r="H22" s="153">
        <f>'Utility report '!AE22</f>
        <v>0</v>
      </c>
      <c r="I22" s="296">
        <f>'Water-Meter'!E22</f>
        <v>0</v>
      </c>
      <c r="J22" s="154">
        <f>'Lpg (2)'!B26</f>
        <v>0</v>
      </c>
      <c r="K22" s="154">
        <f>'Lpg (2)'!C26</f>
        <v>0</v>
      </c>
      <c r="L22" s="154">
        <f>'Lpg (2)'!D26</f>
        <v>0</v>
      </c>
      <c r="M22" s="449">
        <f>'Lpg (2)'!G26</f>
        <v>0</v>
      </c>
      <c r="N22" s="151">
        <f t="shared" si="2"/>
        <v>0</v>
      </c>
      <c r="O22" s="151">
        <f t="shared" si="2"/>
        <v>0</v>
      </c>
      <c r="P22" s="150" t="e">
        <f>'[1]Lpg (2)'!#REF!</f>
        <v>#REF!</v>
      </c>
      <c r="Q22" s="151" t="e">
        <f>'[1]Summery Report'!#REF!</f>
        <v>#REF!</v>
      </c>
      <c r="R22" s="151" t="e">
        <f t="shared" si="0"/>
        <v>#DIV/0!</v>
      </c>
      <c r="S22" s="451" t="e">
        <f t="shared" si="1"/>
        <v>#REF!</v>
      </c>
    </row>
    <row r="23" spans="1:19" ht="14.25">
      <c r="A23" s="450">
        <f>Gen!A28</f>
        <v>44245</v>
      </c>
      <c r="B23" s="6">
        <f>'Summery Report'!E22</f>
        <v>0</v>
      </c>
      <c r="C23" s="6" t="e">
        <f>Gen!U28</f>
        <v>#DIV/0!</v>
      </c>
      <c r="D23" s="152">
        <f>Gen!T28</f>
        <v>0</v>
      </c>
      <c r="E23" s="152">
        <f>Gen!AK28</f>
        <v>0</v>
      </c>
      <c r="F23" s="152">
        <f>Gen!AS28</f>
        <v>0</v>
      </c>
      <c r="G23" s="153">
        <f>'Utility report '!AC23</f>
        <v>0</v>
      </c>
      <c r="H23" s="153">
        <f>'Utility report '!AE23</f>
        <v>0</v>
      </c>
      <c r="I23" s="296">
        <f>'Water-Meter'!E23</f>
        <v>0</v>
      </c>
      <c r="J23" s="154">
        <f>'Lpg (2)'!B27</f>
        <v>0</v>
      </c>
      <c r="K23" s="154">
        <f>'Lpg (2)'!C27</f>
        <v>0</v>
      </c>
      <c r="L23" s="154">
        <f>'Lpg (2)'!D27</f>
        <v>0</v>
      </c>
      <c r="M23" s="449">
        <f>'Lpg (2)'!G27</f>
        <v>0</v>
      </c>
      <c r="N23" s="151">
        <f t="shared" si="2"/>
        <v>0</v>
      </c>
      <c r="O23" s="151">
        <f t="shared" si="2"/>
        <v>0</v>
      </c>
      <c r="P23" s="150" t="e">
        <f>'[1]Lpg (2)'!#REF!</f>
        <v>#REF!</v>
      </c>
      <c r="Q23" s="151" t="e">
        <f>'[1]Summery Report'!#REF!</f>
        <v>#REF!</v>
      </c>
      <c r="R23" s="151" t="e">
        <f t="shared" si="0"/>
        <v>#DIV/0!</v>
      </c>
      <c r="S23" s="451" t="e">
        <f t="shared" si="1"/>
        <v>#REF!</v>
      </c>
    </row>
    <row r="24" spans="1:19" ht="14.25">
      <c r="A24" s="450">
        <f>Gen!A29</f>
        <v>44246</v>
      </c>
      <c r="B24" s="6">
        <f>'Summery Report'!E23</f>
        <v>0</v>
      </c>
      <c r="C24" s="6" t="e">
        <f>Gen!U29</f>
        <v>#DIV/0!</v>
      </c>
      <c r="D24" s="152">
        <f>Gen!T29</f>
        <v>0</v>
      </c>
      <c r="E24" s="152">
        <f>Gen!AK29</f>
        <v>0</v>
      </c>
      <c r="F24" s="152">
        <f>Gen!AS29</f>
        <v>0</v>
      </c>
      <c r="G24" s="153">
        <f>'Utility report '!AC24</f>
        <v>0</v>
      </c>
      <c r="H24" s="153">
        <f>'Utility report '!AE24</f>
        <v>0</v>
      </c>
      <c r="I24" s="296">
        <f>'Water-Meter'!E24</f>
        <v>0</v>
      </c>
      <c r="J24" s="154">
        <f>'Lpg (2)'!B28</f>
        <v>0</v>
      </c>
      <c r="K24" s="154">
        <f>'Lpg (2)'!C28</f>
        <v>0</v>
      </c>
      <c r="L24" s="154">
        <f>'Lpg (2)'!D28</f>
        <v>0</v>
      </c>
      <c r="M24" s="449">
        <f>'Lpg (2)'!G28</f>
        <v>0</v>
      </c>
      <c r="N24" s="151">
        <f t="shared" si="2"/>
        <v>0</v>
      </c>
      <c r="O24" s="151">
        <f t="shared" si="2"/>
        <v>0</v>
      </c>
      <c r="P24" s="150" t="e">
        <f>'[1]Lpg (2)'!#REF!</f>
        <v>#REF!</v>
      </c>
      <c r="Q24" s="151" t="e">
        <f>'[1]Summery Report'!#REF!</f>
        <v>#REF!</v>
      </c>
      <c r="R24" s="151" t="e">
        <f t="shared" si="0"/>
        <v>#DIV/0!</v>
      </c>
      <c r="S24" s="451" t="e">
        <f t="shared" si="1"/>
        <v>#REF!</v>
      </c>
    </row>
    <row r="25" spans="1:19" ht="14.25">
      <c r="A25" s="450">
        <f>Gen!A30</f>
        <v>44247</v>
      </c>
      <c r="B25" s="6">
        <f>'Summery Report'!E24</f>
        <v>0</v>
      </c>
      <c r="C25" s="6" t="e">
        <f>Gen!U30</f>
        <v>#DIV/0!</v>
      </c>
      <c r="D25" s="152">
        <f>Gen!T30</f>
        <v>0</v>
      </c>
      <c r="E25" s="152">
        <f>Gen!AK30</f>
        <v>0</v>
      </c>
      <c r="F25" s="152">
        <f>Gen!AS30</f>
        <v>0</v>
      </c>
      <c r="G25" s="153">
        <f>'Utility report '!AC25</f>
        <v>0</v>
      </c>
      <c r="H25" s="153">
        <f>'Utility report '!AE25</f>
        <v>0</v>
      </c>
      <c r="I25" s="296">
        <f>'Water-Meter'!E25</f>
        <v>0</v>
      </c>
      <c r="J25" s="154">
        <f>'Lpg (2)'!B29</f>
        <v>0</v>
      </c>
      <c r="K25" s="154">
        <f>'Lpg (2)'!C29</f>
        <v>0</v>
      </c>
      <c r="L25" s="154">
        <f>'Lpg (2)'!D29</f>
        <v>0</v>
      </c>
      <c r="M25" s="449">
        <f>'Lpg (2)'!G29</f>
        <v>0</v>
      </c>
      <c r="N25" s="151">
        <f t="shared" si="2"/>
        <v>0</v>
      </c>
      <c r="O25" s="151">
        <f t="shared" si="2"/>
        <v>0</v>
      </c>
      <c r="P25" s="150" t="e">
        <f>'[1]Lpg (2)'!#REF!</f>
        <v>#REF!</v>
      </c>
      <c r="Q25" s="151" t="e">
        <f>'[1]Summery Report'!#REF!</f>
        <v>#REF!</v>
      </c>
      <c r="R25" s="151" t="e">
        <f t="shared" si="0"/>
        <v>#DIV/0!</v>
      </c>
      <c r="S25" s="451" t="e">
        <f t="shared" si="1"/>
        <v>#REF!</v>
      </c>
    </row>
    <row r="26" spans="1:19" ht="14.25">
      <c r="A26" s="450">
        <f>Gen!A31</f>
        <v>44248</v>
      </c>
      <c r="B26" s="6">
        <f>'Summery Report'!E25</f>
        <v>0</v>
      </c>
      <c r="C26" s="6" t="e">
        <f>Gen!U31</f>
        <v>#DIV/0!</v>
      </c>
      <c r="D26" s="152">
        <f>Gen!T31</f>
        <v>0</v>
      </c>
      <c r="E26" s="152">
        <f>Gen!AK31</f>
        <v>0</v>
      </c>
      <c r="F26" s="152">
        <f>Gen!AS31</f>
        <v>0</v>
      </c>
      <c r="G26" s="153">
        <f>'Utility report '!AC26</f>
        <v>0</v>
      </c>
      <c r="H26" s="153">
        <f>'Utility report '!AE26</f>
        <v>0</v>
      </c>
      <c r="I26" s="296">
        <f>'Water-Meter'!E26</f>
        <v>0</v>
      </c>
      <c r="J26" s="154">
        <f>'Lpg (2)'!B30</f>
        <v>0</v>
      </c>
      <c r="K26" s="154">
        <f>'Lpg (2)'!C30</f>
        <v>0</v>
      </c>
      <c r="L26" s="154">
        <f>'Lpg (2)'!D30</f>
        <v>0</v>
      </c>
      <c r="M26" s="449">
        <f>'Lpg (2)'!G30</f>
        <v>0</v>
      </c>
      <c r="N26" s="151">
        <f t="shared" si="2"/>
        <v>0</v>
      </c>
      <c r="O26" s="151">
        <f t="shared" si="2"/>
        <v>0</v>
      </c>
      <c r="P26" s="150" t="e">
        <f>'[1]Lpg (2)'!#REF!</f>
        <v>#REF!</v>
      </c>
      <c r="Q26" s="151" t="e">
        <f>'[1]Summery Report'!#REF!</f>
        <v>#REF!</v>
      </c>
      <c r="R26" s="151" t="e">
        <f t="shared" si="0"/>
        <v>#DIV/0!</v>
      </c>
      <c r="S26" s="451" t="e">
        <f t="shared" si="1"/>
        <v>#REF!</v>
      </c>
    </row>
    <row r="27" spans="1:19" ht="14.25">
      <c r="A27" s="450">
        <f>Gen!A32</f>
        <v>44249</v>
      </c>
      <c r="B27" s="6">
        <f>'Summery Report'!E26</f>
        <v>0</v>
      </c>
      <c r="C27" s="6" t="e">
        <f>Gen!U32</f>
        <v>#DIV/0!</v>
      </c>
      <c r="D27" s="152">
        <f>Gen!T32</f>
        <v>0</v>
      </c>
      <c r="E27" s="152">
        <f>Gen!AK32</f>
        <v>0</v>
      </c>
      <c r="F27" s="152">
        <f>Gen!AS32</f>
        <v>0</v>
      </c>
      <c r="G27" s="153">
        <f>'Utility report '!AC27</f>
        <v>0</v>
      </c>
      <c r="H27" s="153">
        <f>'Utility report '!AE27</f>
        <v>0</v>
      </c>
      <c r="I27" s="296">
        <f>'Water-Meter'!E27</f>
        <v>0</v>
      </c>
      <c r="J27" s="154">
        <f>'Lpg (2)'!B31</f>
        <v>0</v>
      </c>
      <c r="K27" s="154">
        <f>'Lpg (2)'!C31</f>
        <v>0</v>
      </c>
      <c r="L27" s="154">
        <f>'Lpg (2)'!D31</f>
        <v>0</v>
      </c>
      <c r="M27" s="449">
        <f>'Lpg (2)'!G31</f>
        <v>0</v>
      </c>
      <c r="N27" s="151">
        <f t="shared" si="2"/>
        <v>0</v>
      </c>
      <c r="O27" s="151">
        <f t="shared" si="2"/>
        <v>0</v>
      </c>
      <c r="P27" s="150" t="e">
        <f>'[1]Lpg (2)'!#REF!</f>
        <v>#REF!</v>
      </c>
      <c r="Q27" s="151" t="e">
        <f>'[1]Summery Report'!#REF!</f>
        <v>#REF!</v>
      </c>
      <c r="R27" s="151" t="e">
        <f t="shared" si="0"/>
        <v>#DIV/0!</v>
      </c>
      <c r="S27" s="451" t="e">
        <f t="shared" si="1"/>
        <v>#REF!</v>
      </c>
    </row>
    <row r="28" spans="1:19" ht="14.25">
      <c r="A28" s="450">
        <f>Gen!A33</f>
        <v>44250</v>
      </c>
      <c r="B28" s="6">
        <f>'Summery Report'!E27</f>
        <v>0</v>
      </c>
      <c r="C28" s="6" t="e">
        <f>Gen!U33</f>
        <v>#DIV/0!</v>
      </c>
      <c r="D28" s="152">
        <f>Gen!T33</f>
        <v>0</v>
      </c>
      <c r="E28" s="152">
        <f>Gen!AK33</f>
        <v>0</v>
      </c>
      <c r="F28" s="152">
        <f>Gen!AS33</f>
        <v>0</v>
      </c>
      <c r="G28" s="153">
        <f>'Utility report '!AC28</f>
        <v>0</v>
      </c>
      <c r="H28" s="153">
        <f>'Utility report '!AE28</f>
        <v>0</v>
      </c>
      <c r="I28" s="296">
        <f>'Water-Meter'!E28</f>
        <v>0</v>
      </c>
      <c r="J28" s="154">
        <f>'Lpg (2)'!B32</f>
        <v>0</v>
      </c>
      <c r="K28" s="154">
        <f>'Lpg (2)'!C32</f>
        <v>0</v>
      </c>
      <c r="L28" s="154">
        <f>'Lpg (2)'!D32</f>
        <v>0</v>
      </c>
      <c r="M28" s="449">
        <f>'Lpg (2)'!G32</f>
        <v>0</v>
      </c>
      <c r="N28" s="151">
        <f t="shared" si="2"/>
        <v>0</v>
      </c>
      <c r="O28" s="151">
        <f t="shared" si="2"/>
        <v>0</v>
      </c>
      <c r="P28" s="150" t="e">
        <f>'[1]Lpg (2)'!#REF!</f>
        <v>#REF!</v>
      </c>
      <c r="Q28" s="151" t="e">
        <f>'[1]Summery Report'!#REF!</f>
        <v>#REF!</v>
      </c>
      <c r="R28" s="151" t="e">
        <f t="shared" si="0"/>
        <v>#DIV/0!</v>
      </c>
      <c r="S28" s="451" t="e">
        <f t="shared" si="1"/>
        <v>#REF!</v>
      </c>
    </row>
    <row r="29" spans="1:19" ht="14.25">
      <c r="A29" s="450">
        <f>Gen!A34</f>
        <v>44251</v>
      </c>
      <c r="B29" s="6">
        <f>'Summery Report'!E28</f>
        <v>0</v>
      </c>
      <c r="C29" s="6" t="e">
        <f>Gen!U34</f>
        <v>#DIV/0!</v>
      </c>
      <c r="D29" s="152">
        <f>Gen!T34</f>
        <v>0</v>
      </c>
      <c r="E29" s="152">
        <f>Gen!AK34</f>
        <v>0</v>
      </c>
      <c r="F29" s="152">
        <f>Gen!AS34</f>
        <v>0</v>
      </c>
      <c r="G29" s="153">
        <f>'Utility report '!AC29</f>
        <v>0</v>
      </c>
      <c r="H29" s="153">
        <f>'Utility report '!AE29</f>
        <v>0</v>
      </c>
      <c r="I29" s="296">
        <f>'Water-Meter'!E29</f>
        <v>0</v>
      </c>
      <c r="J29" s="154">
        <f>'Lpg (2)'!B33</f>
        <v>0</v>
      </c>
      <c r="K29" s="154">
        <f>'Lpg (2)'!C33</f>
        <v>0</v>
      </c>
      <c r="L29" s="154">
        <f>'Lpg (2)'!D33</f>
        <v>0</v>
      </c>
      <c r="M29" s="449">
        <f>'Lpg (2)'!G33</f>
        <v>0</v>
      </c>
      <c r="N29" s="151">
        <f t="shared" si="2"/>
        <v>0</v>
      </c>
      <c r="O29" s="151">
        <f t="shared" si="2"/>
        <v>0</v>
      </c>
      <c r="P29" s="150" t="e">
        <f>'[1]Lpg (2)'!#REF!</f>
        <v>#REF!</v>
      </c>
      <c r="Q29" s="151" t="e">
        <f>'[1]Summery Report'!#REF!</f>
        <v>#REF!</v>
      </c>
      <c r="R29" s="151" t="e">
        <f t="shared" si="0"/>
        <v>#DIV/0!</v>
      </c>
      <c r="S29" s="451" t="e">
        <f t="shared" si="1"/>
        <v>#REF!</v>
      </c>
    </row>
    <row r="30" spans="1:19" ht="14.25">
      <c r="A30" s="450">
        <f>Gen!A35</f>
        <v>44252</v>
      </c>
      <c r="B30" s="6">
        <f>'Summery Report'!E29</f>
        <v>0</v>
      </c>
      <c r="C30" s="6" t="e">
        <f>Gen!U35</f>
        <v>#DIV/0!</v>
      </c>
      <c r="D30" s="152">
        <f>Gen!T35</f>
        <v>0</v>
      </c>
      <c r="E30" s="152">
        <f>Gen!AK35</f>
        <v>0</v>
      </c>
      <c r="F30" s="152">
        <f>Gen!AS35</f>
        <v>0</v>
      </c>
      <c r="G30" s="153">
        <f>'Utility report '!AC30</f>
        <v>0</v>
      </c>
      <c r="H30" s="153">
        <f>'Utility report '!AE30</f>
        <v>0</v>
      </c>
      <c r="I30" s="296">
        <f>'Water-Meter'!E30</f>
        <v>0</v>
      </c>
      <c r="J30" s="154">
        <f>'Lpg (2)'!B34</f>
        <v>0</v>
      </c>
      <c r="K30" s="154">
        <f>'Lpg (2)'!C34</f>
        <v>0</v>
      </c>
      <c r="L30" s="154">
        <f>'Lpg (2)'!D34</f>
        <v>0</v>
      </c>
      <c r="M30" s="449">
        <f>'Lpg (2)'!G34</f>
        <v>0</v>
      </c>
      <c r="N30" s="151">
        <f t="shared" si="2"/>
        <v>0</v>
      </c>
      <c r="O30" s="151">
        <f t="shared" si="2"/>
        <v>0</v>
      </c>
      <c r="P30" s="150" t="e">
        <f>'[1]Lpg (2)'!#REF!</f>
        <v>#REF!</v>
      </c>
      <c r="Q30" s="151" t="e">
        <f>'[1]Summery Report'!#REF!</f>
        <v>#REF!</v>
      </c>
      <c r="R30" s="151" t="e">
        <f t="shared" si="0"/>
        <v>#DIV/0!</v>
      </c>
      <c r="S30" s="451" t="e">
        <f t="shared" si="1"/>
        <v>#REF!</v>
      </c>
    </row>
    <row r="31" spans="1:19" ht="14.25">
      <c r="A31" s="450">
        <f>Gen!A36</f>
        <v>44253</v>
      </c>
      <c r="B31" s="6">
        <f>'Summery Report'!E30</f>
        <v>0</v>
      </c>
      <c r="C31" s="6" t="e">
        <f>Gen!U36</f>
        <v>#DIV/0!</v>
      </c>
      <c r="D31" s="152">
        <f>Gen!T36</f>
        <v>0</v>
      </c>
      <c r="E31" s="152">
        <f>Gen!AK36</f>
        <v>0</v>
      </c>
      <c r="F31" s="152">
        <f>Gen!AS36</f>
        <v>0</v>
      </c>
      <c r="G31" s="153">
        <f>'Utility report '!AC31</f>
        <v>0</v>
      </c>
      <c r="H31" s="153">
        <f>'Utility report '!AE31</f>
        <v>0</v>
      </c>
      <c r="I31" s="296">
        <f>'Water-Meter'!E31</f>
        <v>0</v>
      </c>
      <c r="J31" s="154">
        <f>'Lpg (2)'!B35</f>
        <v>0</v>
      </c>
      <c r="K31" s="154">
        <f>'Lpg (2)'!C35</f>
        <v>0</v>
      </c>
      <c r="L31" s="154">
        <f>'Lpg (2)'!D35</f>
        <v>0</v>
      </c>
      <c r="M31" s="449">
        <f>'Lpg (2)'!G35</f>
        <v>0</v>
      </c>
      <c r="N31" s="151">
        <f t="shared" si="2"/>
        <v>0</v>
      </c>
      <c r="O31" s="151">
        <f t="shared" si="2"/>
        <v>0</v>
      </c>
      <c r="P31" s="150" t="e">
        <f>'[1]Lpg (2)'!#REF!</f>
        <v>#REF!</v>
      </c>
      <c r="Q31" s="151" t="e">
        <f>'[1]Summery Report'!#REF!</f>
        <v>#REF!</v>
      </c>
      <c r="R31" s="151" t="e">
        <f t="shared" si="0"/>
        <v>#DIV/0!</v>
      </c>
      <c r="S31" s="451" t="e">
        <f t="shared" si="1"/>
        <v>#REF!</v>
      </c>
    </row>
    <row r="32" spans="1:19" ht="14.25">
      <c r="A32" s="450">
        <f>Gen!A37</f>
        <v>44254</v>
      </c>
      <c r="B32" s="6">
        <f>'Summery Report'!E31</f>
        <v>0</v>
      </c>
      <c r="C32" s="6" t="e">
        <f>Gen!U37</f>
        <v>#DIV/0!</v>
      </c>
      <c r="D32" s="152">
        <f>Gen!T37</f>
        <v>0</v>
      </c>
      <c r="E32" s="152">
        <f>Gen!AK37</f>
        <v>0</v>
      </c>
      <c r="F32" s="152">
        <f>Gen!AS37</f>
        <v>0</v>
      </c>
      <c r="G32" s="153">
        <f>'Utility report '!AC32</f>
        <v>0</v>
      </c>
      <c r="H32" s="153">
        <f>'Utility report '!AE32</f>
        <v>0</v>
      </c>
      <c r="I32" s="296">
        <f>'Water-Meter'!E32</f>
        <v>0</v>
      </c>
      <c r="J32" s="154">
        <f>'Lpg (2)'!B36</f>
        <v>0</v>
      </c>
      <c r="K32" s="154">
        <f>'Lpg (2)'!C36</f>
        <v>0</v>
      </c>
      <c r="L32" s="154">
        <f>'Lpg (2)'!D36</f>
        <v>0</v>
      </c>
      <c r="M32" s="449">
        <f>'Lpg (2)'!G36</f>
        <v>0</v>
      </c>
      <c r="N32" s="151">
        <f t="shared" si="2"/>
        <v>0</v>
      </c>
      <c r="O32" s="151">
        <f t="shared" si="2"/>
        <v>0</v>
      </c>
      <c r="P32" s="150" t="e">
        <f>'[1]Lpg (2)'!#REF!</f>
        <v>#REF!</v>
      </c>
      <c r="Q32" s="151" t="e">
        <f>'[1]Summery Report'!#REF!</f>
        <v>#REF!</v>
      </c>
      <c r="R32" s="151" t="e">
        <f t="shared" si="0"/>
        <v>#DIV/0!</v>
      </c>
      <c r="S32" s="451" t="e">
        <f t="shared" si="1"/>
        <v>#REF!</v>
      </c>
    </row>
    <row r="33" spans="1:19" ht="14.25">
      <c r="A33" s="450">
        <f>Gen!A38</f>
        <v>44255</v>
      </c>
      <c r="B33" s="6">
        <f>'Summery Report'!E32</f>
        <v>0</v>
      </c>
      <c r="C33" s="6" t="e">
        <f>Gen!U38</f>
        <v>#DIV/0!</v>
      </c>
      <c r="D33" s="152">
        <f>Gen!T38</f>
        <v>0</v>
      </c>
      <c r="E33" s="152">
        <f>Gen!AK38</f>
        <v>0</v>
      </c>
      <c r="F33" s="152">
        <f>Gen!AS38</f>
        <v>0</v>
      </c>
      <c r="G33" s="153">
        <f>'Utility report '!AC33</f>
        <v>0</v>
      </c>
      <c r="H33" s="153">
        <f>'Utility report '!AE33</f>
        <v>0</v>
      </c>
      <c r="I33" s="296">
        <f>'Water-Meter'!E33</f>
        <v>0</v>
      </c>
      <c r="J33" s="154">
        <f>'Lpg (2)'!B37</f>
        <v>0</v>
      </c>
      <c r="K33" s="154">
        <f>'Lpg (2)'!C37</f>
        <v>0</v>
      </c>
      <c r="L33" s="154">
        <f>'Lpg (2)'!D37</f>
        <v>0</v>
      </c>
      <c r="M33" s="449">
        <f>'Lpg (2)'!G37</f>
        <v>0</v>
      </c>
      <c r="N33" s="151">
        <f t="shared" si="2"/>
        <v>0</v>
      </c>
      <c r="O33" s="151">
        <f t="shared" si="2"/>
        <v>0</v>
      </c>
      <c r="P33" s="150" t="e">
        <f>'[1]Lpg (2)'!#REF!</f>
        <v>#REF!</v>
      </c>
      <c r="Q33" s="151" t="e">
        <f>'[1]Summery Report'!#REF!</f>
        <v>#REF!</v>
      </c>
      <c r="R33" s="151" t="e">
        <f t="shared" si="0"/>
        <v>#DIV/0!</v>
      </c>
      <c r="S33" s="451" t="e">
        <f t="shared" si="1"/>
        <v>#REF!</v>
      </c>
    </row>
    <row r="34" spans="1:19" ht="14.25">
      <c r="A34" s="450">
        <f>Gen!A39</f>
        <v>0</v>
      </c>
      <c r="B34" s="6">
        <f>'Summery Report'!E33</f>
        <v>0</v>
      </c>
      <c r="C34" s="6" t="e">
        <f>Gen!U39</f>
        <v>#DIV/0!</v>
      </c>
      <c r="D34" s="152">
        <f>Gen!T39</f>
        <v>0</v>
      </c>
      <c r="E34" s="152">
        <f>Gen!AK39</f>
        <v>0</v>
      </c>
      <c r="F34" s="152">
        <f>Gen!AS39</f>
        <v>0</v>
      </c>
      <c r="G34" s="153">
        <f>'Utility report '!AC34</f>
        <v>0</v>
      </c>
      <c r="H34" s="153">
        <f>'Utility report '!AE34</f>
        <v>0</v>
      </c>
      <c r="I34" s="296">
        <f>'Water-Meter'!E34</f>
        <v>0</v>
      </c>
      <c r="J34" s="154">
        <f>'Lpg (2)'!B38</f>
        <v>0</v>
      </c>
      <c r="K34" s="154">
        <f>'Lpg (2)'!C38</f>
        <v>0</v>
      </c>
      <c r="L34" s="154">
        <f>'Lpg (2)'!D38</f>
        <v>0</v>
      </c>
      <c r="M34" s="449">
        <f>'Lpg (2)'!G38</f>
        <v>0</v>
      </c>
      <c r="N34" s="151">
        <f t="shared" si="2"/>
        <v>0</v>
      </c>
      <c r="O34" s="151">
        <f t="shared" si="2"/>
        <v>0</v>
      </c>
      <c r="P34" s="150" t="e">
        <f>'[1]Lpg (2)'!#REF!</f>
        <v>#REF!</v>
      </c>
      <c r="Q34" s="151" t="e">
        <f>'[1]Summery Report'!#REF!</f>
        <v>#REF!</v>
      </c>
      <c r="R34" s="151" t="e">
        <f t="shared" si="0"/>
        <v>#DIV/0!</v>
      </c>
      <c r="S34" s="451" t="e">
        <f t="shared" si="1"/>
        <v>#REF!</v>
      </c>
    </row>
    <row r="35" spans="1:19" ht="14.25">
      <c r="A35" s="450">
        <f>Gen!A40</f>
        <v>0</v>
      </c>
      <c r="B35" s="6">
        <f>'Summery Report'!E34</f>
        <v>0</v>
      </c>
      <c r="C35" s="6" t="e">
        <f>Gen!U40</f>
        <v>#DIV/0!</v>
      </c>
      <c r="D35" s="152">
        <f>Gen!T40</f>
        <v>0</v>
      </c>
      <c r="E35" s="152">
        <f>Gen!AK40</f>
        <v>0</v>
      </c>
      <c r="F35" s="152">
        <f>Gen!AS40</f>
        <v>0</v>
      </c>
      <c r="G35" s="153">
        <f>'Utility report '!AC35</f>
        <v>0</v>
      </c>
      <c r="H35" s="153">
        <f>'Utility report '!AE35</f>
        <v>0</v>
      </c>
      <c r="I35" s="296">
        <f>'Water-Meter'!E35</f>
        <v>0</v>
      </c>
      <c r="J35" s="154">
        <f>'Lpg (2)'!B39</f>
        <v>0</v>
      </c>
      <c r="K35" s="154">
        <f>'Lpg (2)'!C39</f>
        <v>0</v>
      </c>
      <c r="L35" s="154">
        <f>'Lpg (2)'!D39</f>
        <v>0</v>
      </c>
      <c r="M35" s="449">
        <f>'Lpg (2)'!G39</f>
        <v>0</v>
      </c>
      <c r="N35" s="151">
        <f t="shared" si="2"/>
        <v>0</v>
      </c>
      <c r="O35" s="151">
        <f t="shared" si="2"/>
        <v>0</v>
      </c>
      <c r="P35" s="150" t="e">
        <f>'[1]Lpg (2)'!#REF!</f>
        <v>#REF!</v>
      </c>
      <c r="Q35" s="151" t="e">
        <f>'[1]Summery Report'!#REF!</f>
        <v>#REF!</v>
      </c>
      <c r="R35" s="151" t="e">
        <f t="shared" si="0"/>
        <v>#DIV/0!</v>
      </c>
      <c r="S35" s="451" t="e">
        <f t="shared" si="1"/>
        <v>#REF!</v>
      </c>
    </row>
    <row r="36" spans="1:19" ht="14.25">
      <c r="A36" s="450">
        <f>Gen!A41</f>
        <v>0</v>
      </c>
      <c r="B36" s="6">
        <f>'Summery Report'!E35</f>
        <v>0</v>
      </c>
      <c r="C36" s="6" t="e">
        <f>Gen!U41</f>
        <v>#DIV/0!</v>
      </c>
      <c r="D36" s="152">
        <f>Gen!T41</f>
        <v>0</v>
      </c>
      <c r="E36" s="152">
        <f>Gen!AK41</f>
        <v>0</v>
      </c>
      <c r="F36" s="152">
        <f>Gen!AS41</f>
        <v>0</v>
      </c>
      <c r="G36" s="153">
        <f>'Utility report '!AC36</f>
        <v>0</v>
      </c>
      <c r="H36" s="153">
        <f>'Utility report '!AE36</f>
        <v>0</v>
      </c>
      <c r="I36" s="296">
        <f>'Water-Meter'!E36</f>
        <v>0</v>
      </c>
      <c r="J36" s="154">
        <f>'Lpg (2)'!B40</f>
        <v>0</v>
      </c>
      <c r="K36" s="154">
        <f>'Lpg (2)'!C40</f>
        <v>0</v>
      </c>
      <c r="L36" s="154">
        <f>'Lpg (2)'!D40</f>
        <v>0</v>
      </c>
      <c r="M36" s="449">
        <f>'Lpg (2)'!G40</f>
        <v>0</v>
      </c>
      <c r="N36" s="151">
        <f t="shared" si="2"/>
        <v>0</v>
      </c>
      <c r="O36" s="151">
        <f t="shared" si="2"/>
        <v>0</v>
      </c>
      <c r="P36" s="150" t="e">
        <f>'[1]Lpg (2)'!#REF!</f>
        <v>#REF!</v>
      </c>
      <c r="Q36" s="151" t="e">
        <f>'[1]Summery Report'!#REF!</f>
        <v>#REF!</v>
      </c>
      <c r="R36" s="151" t="e">
        <f t="shared" si="0"/>
        <v>#DIV/0!</v>
      </c>
      <c r="S36" s="451" t="e">
        <f t="shared" si="1"/>
        <v>#REF!</v>
      </c>
    </row>
    <row r="37" spans="1:19" ht="14.25">
      <c r="A37" s="450">
        <f>Gen!A42</f>
        <v>0</v>
      </c>
      <c r="B37" s="6">
        <f>'Summery Report'!E36</f>
        <v>0</v>
      </c>
      <c r="C37" s="6">
        <f>Gen!U42</f>
        <v>0</v>
      </c>
      <c r="D37" s="152">
        <f>Gen!T42</f>
        <v>0</v>
      </c>
      <c r="E37" s="152">
        <f>Gen!AK42</f>
        <v>0</v>
      </c>
      <c r="F37" s="152">
        <f>Gen!AS42</f>
        <v>0</v>
      </c>
      <c r="G37" s="153">
        <f>'Utility report '!AC37</f>
        <v>0</v>
      </c>
      <c r="H37" s="153">
        <f>'Utility report '!AE37</f>
        <v>0</v>
      </c>
      <c r="I37" s="296">
        <f>'Water-Meter'!E37</f>
        <v>0</v>
      </c>
      <c r="J37" s="154">
        <f>'Lpg (2)'!B41</f>
        <v>0</v>
      </c>
      <c r="K37" s="154">
        <f>'Lpg (2)'!C41</f>
        <v>0</v>
      </c>
      <c r="L37" s="154">
        <f>'Lpg (2)'!D41</f>
        <v>0</v>
      </c>
      <c r="M37" s="449">
        <f>'Lpg (2)'!G41</f>
        <v>0</v>
      </c>
      <c r="N37" s="6"/>
      <c r="O37" s="6"/>
      <c r="P37" s="6"/>
      <c r="Q37" s="151" t="e">
        <f>'[1]Summery Report'!#REF!</f>
        <v>#REF!</v>
      </c>
      <c r="R37" s="151" t="e">
        <f t="shared" si="0"/>
        <v>#DIV/0!</v>
      </c>
      <c r="S37" s="451" t="e">
        <f t="shared" si="1"/>
        <v>#REF!</v>
      </c>
    </row>
    <row r="38" spans="1:19" ht="14.25">
      <c r="A38" s="45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52"/>
    </row>
    <row r="39" spans="1:19" ht="13.5" thickBot="1">
      <c r="A39" s="54" t="s">
        <v>13</v>
      </c>
      <c r="B39" s="453">
        <f>SUM(B7:B37)</f>
        <v>0</v>
      </c>
      <c r="C39" s="453" t="e">
        <f>SUM(C7:C35)</f>
        <v>#DIV/0!</v>
      </c>
      <c r="D39" s="453">
        <f>SUM(D7:D35)</f>
        <v>0</v>
      </c>
      <c r="E39" s="453">
        <f t="shared" ref="E39:S39" si="3">SUM(E7:E35)</f>
        <v>0</v>
      </c>
      <c r="F39" s="453">
        <f t="shared" si="3"/>
        <v>0</v>
      </c>
      <c r="G39" s="453">
        <f t="shared" si="3"/>
        <v>-45884</v>
      </c>
      <c r="H39" s="453">
        <f t="shared" si="3"/>
        <v>0</v>
      </c>
      <c r="I39" s="453">
        <f t="shared" si="3"/>
        <v>0</v>
      </c>
      <c r="J39" s="453">
        <f t="shared" si="3"/>
        <v>0</v>
      </c>
      <c r="K39" s="453">
        <f t="shared" si="3"/>
        <v>0</v>
      </c>
      <c r="L39" s="453">
        <f t="shared" si="3"/>
        <v>0</v>
      </c>
      <c r="M39" s="453">
        <f t="shared" si="3"/>
        <v>0</v>
      </c>
      <c r="N39" s="453">
        <f t="shared" si="3"/>
        <v>0</v>
      </c>
      <c r="O39" s="453">
        <f t="shared" si="3"/>
        <v>0</v>
      </c>
      <c r="P39" s="453" t="e">
        <f t="shared" si="3"/>
        <v>#REF!</v>
      </c>
      <c r="Q39" s="453" t="e">
        <f t="shared" si="3"/>
        <v>#REF!</v>
      </c>
      <c r="R39" s="453" t="e">
        <f t="shared" si="3"/>
        <v>#DIV/0!</v>
      </c>
      <c r="S39" s="454" t="e">
        <f t="shared" si="3"/>
        <v>#REF!</v>
      </c>
    </row>
    <row r="42" spans="1:19">
      <c r="I42" s="521"/>
    </row>
    <row r="43" spans="1:19">
      <c r="I43" s="521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zoomScalePageLayoutView="85" workbookViewId="0">
      <pane xSplit="1" topLeftCell="L1" activePane="topRight" state="frozen"/>
      <selection pane="topRight" activeCell="W8" sqref="W8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customHeight="1" thickBot="1">
      <c r="A1" s="846">
        <f>A6</f>
        <v>44228</v>
      </c>
      <c r="B1" s="847"/>
      <c r="C1" s="847"/>
      <c r="D1" s="847"/>
      <c r="E1" s="847"/>
      <c r="F1" s="847"/>
      <c r="G1" s="847"/>
      <c r="H1" s="847"/>
      <c r="I1" s="847"/>
      <c r="J1" s="847"/>
      <c r="K1" s="847"/>
      <c r="L1" s="847"/>
      <c r="M1" s="847"/>
      <c r="N1" s="847"/>
      <c r="O1" s="847"/>
      <c r="P1" s="847"/>
      <c r="Q1" s="847"/>
      <c r="R1" s="847"/>
      <c r="S1" s="847"/>
      <c r="T1" s="847"/>
      <c r="U1" s="847"/>
      <c r="V1" s="847"/>
      <c r="W1" s="847"/>
      <c r="X1" s="847"/>
      <c r="Y1" s="847"/>
      <c r="Z1" s="847"/>
      <c r="AA1" s="847"/>
      <c r="AB1" s="847"/>
      <c r="AC1" s="847"/>
      <c r="AD1" s="847"/>
      <c r="AE1" s="847"/>
      <c r="AF1" s="847"/>
      <c r="AG1" s="847"/>
      <c r="AH1" s="847"/>
      <c r="AI1" s="847"/>
      <c r="AJ1" s="847"/>
      <c r="AK1" s="848"/>
    </row>
    <row r="2" spans="1:37" ht="61.5" customHeight="1" thickBot="1">
      <c r="A2" s="137" t="s">
        <v>98</v>
      </c>
      <c r="B2" s="849" t="s">
        <v>99</v>
      </c>
      <c r="C2" s="850"/>
      <c r="D2" s="851"/>
      <c r="E2" s="138"/>
      <c r="F2" s="138"/>
      <c r="G2" s="138"/>
      <c r="H2" s="135" t="s">
        <v>124</v>
      </c>
      <c r="I2" s="746" t="s">
        <v>100</v>
      </c>
      <c r="J2" s="748" t="s">
        <v>122</v>
      </c>
      <c r="K2" s="749"/>
      <c r="L2" s="750" t="s">
        <v>123</v>
      </c>
      <c r="M2" s="621" t="s">
        <v>101</v>
      </c>
      <c r="N2" s="284" t="s">
        <v>102</v>
      </c>
      <c r="O2" s="839" t="s">
        <v>103</v>
      </c>
      <c r="P2" s="839"/>
      <c r="Q2" s="839"/>
      <c r="R2" s="839"/>
      <c r="S2" s="839"/>
      <c r="T2" s="839"/>
      <c r="U2" s="839"/>
      <c r="V2" s="839"/>
      <c r="W2" s="839"/>
      <c r="X2" s="839"/>
      <c r="Y2" s="839"/>
      <c r="Z2" s="839"/>
      <c r="AA2" s="284" t="s">
        <v>104</v>
      </c>
      <c r="AB2" s="849" t="s">
        <v>164</v>
      </c>
      <c r="AC2" s="851"/>
      <c r="AD2" s="134">
        <v>0</v>
      </c>
      <c r="AE2" s="400" t="s">
        <v>19</v>
      </c>
      <c r="AF2" s="139" t="s">
        <v>105</v>
      </c>
      <c r="AG2" s="135" t="s">
        <v>106</v>
      </c>
      <c r="AH2" s="139" t="s">
        <v>107</v>
      </c>
      <c r="AI2" s="135" t="s">
        <v>108</v>
      </c>
      <c r="AJ2" s="136" t="s">
        <v>109</v>
      </c>
      <c r="AK2" s="135" t="s">
        <v>110</v>
      </c>
    </row>
    <row r="3" spans="1:37" ht="44.25" customHeight="1" thickBot="1">
      <c r="A3" s="142" t="s">
        <v>125</v>
      </c>
      <c r="B3" s="143">
        <v>1640</v>
      </c>
      <c r="C3" s="141" t="s">
        <v>126</v>
      </c>
      <c r="D3" s="143">
        <v>2175</v>
      </c>
      <c r="E3" s="144"/>
      <c r="F3" s="852">
        <f>SUM(D3/B3)</f>
        <v>1.3262195121951219</v>
      </c>
      <c r="G3" s="853"/>
      <c r="H3" s="127">
        <f>Gen!C11</f>
        <v>38934.209999999992</v>
      </c>
      <c r="I3" s="622"/>
      <c r="J3" s="751"/>
      <c r="K3" s="752" t="s">
        <v>165</v>
      </c>
      <c r="L3" s="751"/>
      <c r="M3" s="624" t="s">
        <v>111</v>
      </c>
      <c r="N3" s="751"/>
      <c r="O3" s="839" t="s">
        <v>112</v>
      </c>
      <c r="P3" s="839"/>
      <c r="Q3" s="839"/>
      <c r="R3" s="839"/>
      <c r="S3" s="840" t="s">
        <v>113</v>
      </c>
      <c r="T3" s="841"/>
      <c r="U3" s="841"/>
      <c r="V3" s="842"/>
      <c r="W3" s="843" t="s">
        <v>114</v>
      </c>
      <c r="X3" s="844"/>
      <c r="Y3" s="844"/>
      <c r="Z3" s="845"/>
      <c r="AA3" s="286" t="s">
        <v>115</v>
      </c>
      <c r="AB3" s="126" t="s">
        <v>111</v>
      </c>
      <c r="AD3" s="126">
        <v>0</v>
      </c>
      <c r="AE3" s="126" t="s">
        <v>116</v>
      </c>
      <c r="AF3" s="740" t="s">
        <v>117</v>
      </c>
      <c r="AG3" s="741" t="s">
        <v>117</v>
      </c>
      <c r="AH3" s="400" t="s">
        <v>117</v>
      </c>
      <c r="AI3" s="134" t="s">
        <v>118</v>
      </c>
      <c r="AJ3" s="742" t="s">
        <v>115</v>
      </c>
      <c r="AK3" s="743" t="s">
        <v>115</v>
      </c>
    </row>
    <row r="4" spans="1:37" ht="60.75" thickBot="1">
      <c r="A4" s="171"/>
      <c r="B4" s="172" t="s">
        <v>130</v>
      </c>
      <c r="C4" s="173" t="s">
        <v>1</v>
      </c>
      <c r="D4" s="174" t="s">
        <v>127</v>
      </c>
      <c r="E4" s="175"/>
      <c r="F4" s="175" t="s">
        <v>128</v>
      </c>
      <c r="G4" s="175" t="s">
        <v>129</v>
      </c>
      <c r="H4" s="176"/>
      <c r="I4" s="747"/>
      <c r="J4" s="761"/>
      <c r="K4" s="289"/>
      <c r="L4" s="750"/>
      <c r="M4" s="753"/>
      <c r="N4" s="284"/>
      <c r="O4" s="754" t="s">
        <v>173</v>
      </c>
      <c r="P4" s="288" t="s">
        <v>171</v>
      </c>
      <c r="Q4" s="288" t="s">
        <v>120</v>
      </c>
      <c r="R4" s="174" t="s">
        <v>172</v>
      </c>
      <c r="S4" s="287" t="s">
        <v>173</v>
      </c>
      <c r="T4" s="288" t="s">
        <v>171</v>
      </c>
      <c r="U4" s="288" t="s">
        <v>120</v>
      </c>
      <c r="V4" s="174" t="s">
        <v>172</v>
      </c>
      <c r="W4" s="287" t="s">
        <v>173</v>
      </c>
      <c r="X4" s="289" t="s">
        <v>307</v>
      </c>
      <c r="Y4" s="289" t="s">
        <v>120</v>
      </c>
      <c r="Z4" s="288" t="s">
        <v>172</v>
      </c>
      <c r="AA4" s="290" t="s">
        <v>119</v>
      </c>
      <c r="AB4" s="179"/>
      <c r="AC4" s="177" t="s">
        <v>119</v>
      </c>
      <c r="AD4" s="179"/>
      <c r="AE4" s="177" t="s">
        <v>119</v>
      </c>
      <c r="AF4" s="744">
        <v>2000</v>
      </c>
      <c r="AG4" s="745">
        <v>1000</v>
      </c>
      <c r="AH4" s="621">
        <v>1000</v>
      </c>
      <c r="AI4" s="126">
        <f>SUM([2]Sheet1!$AA$36)</f>
        <v>950</v>
      </c>
      <c r="AJ4" s="623" t="s">
        <v>10</v>
      </c>
      <c r="AK4" s="126" t="s">
        <v>119</v>
      </c>
    </row>
    <row r="5" spans="1:37" ht="19.5" thickBot="1">
      <c r="A5" s="756"/>
      <c r="B5" s="764"/>
      <c r="C5" s="765"/>
      <c r="D5" s="766"/>
      <c r="E5" s="766"/>
      <c r="F5" s="766"/>
      <c r="G5" s="766"/>
      <c r="H5" s="767"/>
      <c r="I5" s="767"/>
      <c r="J5" s="699"/>
      <c r="K5" s="718"/>
      <c r="L5" s="128"/>
      <c r="M5" s="470"/>
      <c r="N5" s="755"/>
      <c r="O5" s="698"/>
      <c r="P5" s="717">
        <v>19032</v>
      </c>
      <c r="Q5" s="728"/>
      <c r="R5" s="718"/>
      <c r="S5" s="698"/>
      <c r="T5" s="705">
        <v>17522</v>
      </c>
      <c r="U5" s="698"/>
      <c r="V5" s="718"/>
      <c r="W5" s="698"/>
      <c r="X5" s="710">
        <v>27013</v>
      </c>
      <c r="Y5" s="698"/>
      <c r="Z5" s="703"/>
      <c r="AA5" s="714"/>
      <c r="AB5" s="713">
        <v>45835</v>
      </c>
      <c r="AC5" s="698"/>
      <c r="AD5" s="695">
        <v>211010</v>
      </c>
      <c r="AE5" s="700"/>
      <c r="AF5" s="721">
        <v>0.85</v>
      </c>
      <c r="AG5" s="722">
        <v>0.85</v>
      </c>
      <c r="AH5" s="735">
        <v>0.85</v>
      </c>
      <c r="AI5" s="725"/>
      <c r="AJ5" s="714"/>
      <c r="AK5" s="714"/>
    </row>
    <row r="6" spans="1:37" ht="19.5" thickBot="1">
      <c r="A6" s="757">
        <f>Gen!A11</f>
        <v>44228</v>
      </c>
      <c r="B6" s="425">
        <f>'Summery Report'!E5</f>
        <v>0</v>
      </c>
      <c r="C6" s="762">
        <f>Gen!B11</f>
        <v>0</v>
      </c>
      <c r="D6" s="724">
        <f>'Summery Report'!E5</f>
        <v>0</v>
      </c>
      <c r="E6" s="724">
        <f>SUM(F3)</f>
        <v>1.3262195121951219</v>
      </c>
      <c r="F6" s="438" t="e">
        <f>SUM(J6*E6)/D6</f>
        <v>#DIV/0!</v>
      </c>
      <c r="G6" s="438" t="e">
        <f t="shared" ref="G6:G36" si="0">SUM(L6*E6)/D6</f>
        <v>#DIV/0!</v>
      </c>
      <c r="H6" s="724">
        <f>Gen!C11</f>
        <v>38934.209999999992</v>
      </c>
      <c r="I6" s="724">
        <f>Gen!E11</f>
        <v>0</v>
      </c>
      <c r="J6" s="763">
        <f>Gen!T11</f>
        <v>2906</v>
      </c>
      <c r="K6" s="768">
        <f>Gen!AK11</f>
        <v>0</v>
      </c>
      <c r="L6" s="759">
        <f t="shared" ref="L6:L13" si="1">SUM(J6:K6)</f>
        <v>2906</v>
      </c>
      <c r="M6" s="448">
        <f>'Water-Meter'!K46</f>
        <v>520.57465935240407</v>
      </c>
      <c r="N6" s="719">
        <f>'Water-Meter'!E6</f>
        <v>58</v>
      </c>
      <c r="O6" s="709"/>
      <c r="P6" s="717">
        <v>19032</v>
      </c>
      <c r="Q6" s="729">
        <f t="shared" ref="Q6:Q36" si="2">SUM(P6-P5)</f>
        <v>0</v>
      </c>
      <c r="R6" s="426">
        <f>SUM(Q6*O6)</f>
        <v>0</v>
      </c>
      <c r="S6" s="698"/>
      <c r="T6" s="705">
        <v>17522</v>
      </c>
      <c r="U6" s="729">
        <f>T6-T5</f>
        <v>0</v>
      </c>
      <c r="V6" s="427" t="s">
        <v>246</v>
      </c>
      <c r="W6" s="709">
        <v>2.2000000000000002</v>
      </c>
      <c r="X6" s="710">
        <v>27028</v>
      </c>
      <c r="Y6" s="729">
        <f>X6-X5</f>
        <v>15</v>
      </c>
      <c r="Z6" s="712">
        <f t="shared" ref="Z6:AA6" si="3">Y6-Y5</f>
        <v>15</v>
      </c>
      <c r="AA6" s="715">
        <f t="shared" si="3"/>
        <v>15</v>
      </c>
      <c r="AB6" s="713">
        <v>45884</v>
      </c>
      <c r="AC6" s="693">
        <f>AB6-AB5</f>
        <v>49</v>
      </c>
      <c r="AD6" s="695"/>
      <c r="AE6" s="178">
        <f>AD6-AD5</f>
        <v>-211010</v>
      </c>
      <c r="AF6" s="723">
        <f>'Lpg (2)'!B10*2000/85</f>
        <v>0</v>
      </c>
      <c r="AG6" s="266">
        <f>'Lpg (2)'!C10*1000/85</f>
        <v>0</v>
      </c>
      <c r="AH6" s="736">
        <f>'Lpg (2)'!D10*1000/85</f>
        <v>0</v>
      </c>
      <c r="AI6" s="726">
        <f>SUM(AF6*2000)+(AG6*1000)+(AH6*1000)</f>
        <v>0</v>
      </c>
      <c r="AJ6" s="428">
        <f t="shared" ref="AJ6:AJ36" si="4">SUM(AI5-AI6)</f>
        <v>0</v>
      </c>
      <c r="AK6" s="132"/>
    </row>
    <row r="7" spans="1:37" ht="19.5" thickBot="1">
      <c r="A7" s="757">
        <f>Gen!A12</f>
        <v>44229</v>
      </c>
      <c r="B7" s="425">
        <f>'Summery Report'!E6</f>
        <v>0</v>
      </c>
      <c r="C7" s="762">
        <f>Gen!B12</f>
        <v>0</v>
      </c>
      <c r="D7" s="724">
        <f>'Summery Report'!E6</f>
        <v>0</v>
      </c>
      <c r="E7" s="724">
        <f>SUM(E6)</f>
        <v>1.3262195121951219</v>
      </c>
      <c r="F7" s="438" t="e">
        <f>SUM(J7*E7)/D7</f>
        <v>#DIV/0!</v>
      </c>
      <c r="G7" s="438" t="e">
        <f t="shared" si="0"/>
        <v>#DIV/0!</v>
      </c>
      <c r="H7" s="724">
        <f>Gen!C12</f>
        <v>37627.399999999994</v>
      </c>
      <c r="I7" s="724">
        <f>Gen!E12</f>
        <v>0</v>
      </c>
      <c r="J7" s="763">
        <f>Gen!T12</f>
        <v>0</v>
      </c>
      <c r="K7" s="768">
        <f>Gen!AK12</f>
        <v>0</v>
      </c>
      <c r="L7" s="759">
        <f t="shared" si="1"/>
        <v>0</v>
      </c>
      <c r="M7" s="448">
        <f>'Water-Meter'!K47</f>
        <v>618.98986270331989</v>
      </c>
      <c r="N7" s="719" t="str">
        <f>'Water-Meter'!E7</f>
        <v>0</v>
      </c>
      <c r="O7" s="709"/>
      <c r="P7" s="717"/>
      <c r="Q7" s="729">
        <f t="shared" si="2"/>
        <v>-19032</v>
      </c>
      <c r="R7" s="426">
        <f t="shared" ref="R7:R36" si="5">SUM(Q7*O7)</f>
        <v>0</v>
      </c>
      <c r="S7" s="698"/>
      <c r="T7" s="705"/>
      <c r="U7" s="729">
        <f t="shared" ref="U7:U36" si="6">T7-T6</f>
        <v>-17522</v>
      </c>
      <c r="V7" s="427">
        <f t="shared" ref="V7:V9" si="7">SUM(U7*S7)</f>
        <v>0</v>
      </c>
      <c r="W7" s="709"/>
      <c r="X7" s="710"/>
      <c r="Y7" s="729">
        <f t="shared" ref="Y7:Y36" si="8">X7-X6</f>
        <v>-27028</v>
      </c>
      <c r="Z7" s="708">
        <f t="shared" ref="Z7:Z36" si="9">SUM(Y7*W7)</f>
        <v>0</v>
      </c>
      <c r="AA7" s="716">
        <f t="shared" ref="AA7:AA36" si="10">SUM(Z7*X9)</f>
        <v>0</v>
      </c>
      <c r="AB7" s="713"/>
      <c r="AC7" s="693">
        <f t="shared" ref="AC7:AC27" si="11">AB7-AB6</f>
        <v>-45884</v>
      </c>
      <c r="AD7" s="695"/>
      <c r="AE7" s="178">
        <f>AD7-AD6</f>
        <v>0</v>
      </c>
      <c r="AF7" s="723">
        <f>'Lpg (2)'!B11*2000/85</f>
        <v>0</v>
      </c>
      <c r="AG7" s="266">
        <f>'Lpg (2)'!C11*1000/85</f>
        <v>0</v>
      </c>
      <c r="AH7" s="736">
        <f>'Lpg (2)'!D11*1000/85</f>
        <v>0</v>
      </c>
      <c r="AI7" s="726">
        <f t="shared" ref="AI7:AI14" si="12">SUM(AF6*2000)+(AG7*1000)+(AH7*1000)</f>
        <v>0</v>
      </c>
      <c r="AJ7" s="428">
        <f t="shared" si="4"/>
        <v>0</v>
      </c>
      <c r="AK7" s="132"/>
    </row>
    <row r="8" spans="1:37" ht="19.5" thickBot="1">
      <c r="A8" s="757">
        <f>Gen!A13</f>
        <v>44230</v>
      </c>
      <c r="B8" s="425">
        <f>'Summery Report'!E7</f>
        <v>0</v>
      </c>
      <c r="C8" s="762">
        <f>Gen!B13</f>
        <v>0</v>
      </c>
      <c r="D8" s="724">
        <f>'Summery Report'!E7</f>
        <v>0</v>
      </c>
      <c r="E8" s="724">
        <f t="shared" ref="E8:E36" si="13">SUM(E7)</f>
        <v>1.3262195121951219</v>
      </c>
      <c r="F8" s="438" t="e">
        <f t="shared" ref="F8:F36" si="14">SUM(J8*E8)/D8</f>
        <v>#DIV/0!</v>
      </c>
      <c r="G8" s="438" t="e">
        <f t="shared" si="0"/>
        <v>#DIV/0!</v>
      </c>
      <c r="H8" s="724">
        <f>Gen!C13</f>
        <v>37627.399999999994</v>
      </c>
      <c r="I8" s="724">
        <f>Gen!E13</f>
        <v>0</v>
      </c>
      <c r="J8" s="763">
        <f>Gen!T13</f>
        <v>0</v>
      </c>
      <c r="K8" s="768">
        <f>Gen!AK13</f>
        <v>0</v>
      </c>
      <c r="L8" s="759">
        <f t="shared" si="1"/>
        <v>0</v>
      </c>
      <c r="M8" s="448">
        <f>'Water-Meter'!K48</f>
        <v>0</v>
      </c>
      <c r="N8" s="719">
        <f>'Water-Meter'!E8</f>
        <v>0</v>
      </c>
      <c r="O8" s="709"/>
      <c r="P8" s="717"/>
      <c r="Q8" s="729">
        <f t="shared" si="2"/>
        <v>0</v>
      </c>
      <c r="R8" s="426">
        <f t="shared" si="5"/>
        <v>0</v>
      </c>
      <c r="S8" s="698"/>
      <c r="T8" s="705"/>
      <c r="U8" s="729">
        <f t="shared" si="6"/>
        <v>0</v>
      </c>
      <c r="V8" s="427">
        <f t="shared" si="7"/>
        <v>0</v>
      </c>
      <c r="W8" s="709"/>
      <c r="X8" s="710"/>
      <c r="Y8" s="729">
        <f t="shared" si="8"/>
        <v>0</v>
      </c>
      <c r="Z8" s="708">
        <f t="shared" si="9"/>
        <v>0</v>
      </c>
      <c r="AA8" s="716">
        <f t="shared" si="10"/>
        <v>0</v>
      </c>
      <c r="AB8" s="713"/>
      <c r="AC8" s="693">
        <f t="shared" si="11"/>
        <v>0</v>
      </c>
      <c r="AD8" s="695"/>
      <c r="AE8" s="178">
        <f t="shared" ref="AE8:AE37" si="15">AD8-AD7</f>
        <v>0</v>
      </c>
      <c r="AF8" s="723">
        <f>'Lpg (2)'!B12*2000/85</f>
        <v>0</v>
      </c>
      <c r="AG8" s="266">
        <f>'Lpg (2)'!C12*1000/85</f>
        <v>0</v>
      </c>
      <c r="AH8" s="736">
        <f>'Lpg (2)'!D12*1000/85</f>
        <v>0</v>
      </c>
      <c r="AI8" s="726">
        <f t="shared" si="12"/>
        <v>0</v>
      </c>
      <c r="AJ8" s="428">
        <f t="shared" si="4"/>
        <v>0</v>
      </c>
      <c r="AK8" s="132"/>
    </row>
    <row r="9" spans="1:37" ht="19.5" thickBot="1">
      <c r="A9" s="757">
        <f>Gen!A14</f>
        <v>44231</v>
      </c>
      <c r="B9" s="425">
        <f>'Summery Report'!E8</f>
        <v>0</v>
      </c>
      <c r="C9" s="762">
        <f>Gen!B14</f>
        <v>0</v>
      </c>
      <c r="D9" s="724">
        <f>'Summery Report'!E8</f>
        <v>0</v>
      </c>
      <c r="E9" s="724">
        <f t="shared" si="13"/>
        <v>1.3262195121951219</v>
      </c>
      <c r="F9" s="438" t="e">
        <f t="shared" si="14"/>
        <v>#DIV/0!</v>
      </c>
      <c r="G9" s="438" t="e">
        <f t="shared" si="0"/>
        <v>#DIV/0!</v>
      </c>
      <c r="H9" s="724">
        <f>Gen!C14</f>
        <v>37627.399999999994</v>
      </c>
      <c r="I9" s="724">
        <f>Gen!E14</f>
        <v>0</v>
      </c>
      <c r="J9" s="763">
        <f>Gen!T14</f>
        <v>0</v>
      </c>
      <c r="K9" s="768">
        <f>Gen!AK14</f>
        <v>0</v>
      </c>
      <c r="L9" s="759">
        <f t="shared" si="1"/>
        <v>0</v>
      </c>
      <c r="M9" s="448">
        <f>'Water-Meter'!K49</f>
        <v>0</v>
      </c>
      <c r="N9" s="719">
        <f>'Water-Meter'!E9</f>
        <v>0</v>
      </c>
      <c r="O9" s="709"/>
      <c r="P9" s="717"/>
      <c r="Q9" s="729">
        <f t="shared" si="2"/>
        <v>0</v>
      </c>
      <c r="R9" s="426">
        <f t="shared" si="5"/>
        <v>0</v>
      </c>
      <c r="S9" s="698"/>
      <c r="T9" s="705"/>
      <c r="U9" s="729">
        <f t="shared" si="6"/>
        <v>0</v>
      </c>
      <c r="V9" s="427">
        <f t="shared" si="7"/>
        <v>0</v>
      </c>
      <c r="W9" s="709"/>
      <c r="X9" s="710"/>
      <c r="Y9" s="729">
        <f t="shared" si="8"/>
        <v>0</v>
      </c>
      <c r="Z9" s="708">
        <f t="shared" si="9"/>
        <v>0</v>
      </c>
      <c r="AA9" s="716">
        <f t="shared" si="10"/>
        <v>0</v>
      </c>
      <c r="AB9" s="713"/>
      <c r="AC9" s="693">
        <f t="shared" si="11"/>
        <v>0</v>
      </c>
      <c r="AD9" s="695"/>
      <c r="AE9" s="178">
        <f t="shared" si="15"/>
        <v>0</v>
      </c>
      <c r="AF9" s="723">
        <f>'Lpg (2)'!B13*2000/85</f>
        <v>0</v>
      </c>
      <c r="AG9" s="266">
        <f>'Lpg (2)'!C13*1000/85</f>
        <v>0</v>
      </c>
      <c r="AH9" s="736">
        <f>'Lpg (2)'!D13*1000/85</f>
        <v>0</v>
      </c>
      <c r="AI9" s="726">
        <f t="shared" si="12"/>
        <v>0</v>
      </c>
      <c r="AJ9" s="428">
        <f t="shared" si="4"/>
        <v>0</v>
      </c>
      <c r="AK9" s="132"/>
    </row>
    <row r="10" spans="1:37" ht="19.5" thickBot="1">
      <c r="A10" s="757">
        <f>Gen!A15</f>
        <v>44232</v>
      </c>
      <c r="B10" s="425">
        <f>'Summery Report'!E9</f>
        <v>0</v>
      </c>
      <c r="C10" s="762">
        <f>Gen!B15</f>
        <v>0</v>
      </c>
      <c r="D10" s="724">
        <f>'Summery Report'!E9</f>
        <v>0</v>
      </c>
      <c r="E10" s="724">
        <f t="shared" si="13"/>
        <v>1.3262195121951219</v>
      </c>
      <c r="F10" s="438" t="e">
        <f t="shared" si="14"/>
        <v>#DIV/0!</v>
      </c>
      <c r="G10" s="438" t="e">
        <f t="shared" si="0"/>
        <v>#DIV/0!</v>
      </c>
      <c r="H10" s="724">
        <f>Gen!C15</f>
        <v>37627.399999999994</v>
      </c>
      <c r="I10" s="724">
        <f>Gen!E15</f>
        <v>0</v>
      </c>
      <c r="J10" s="763">
        <f>Gen!T15</f>
        <v>0</v>
      </c>
      <c r="K10" s="768">
        <f>Gen!AK15</f>
        <v>0</v>
      </c>
      <c r="L10" s="759">
        <f t="shared" si="1"/>
        <v>0</v>
      </c>
      <c r="M10" s="448">
        <f>'Water-Meter'!K50</f>
        <v>0</v>
      </c>
      <c r="N10" s="719">
        <f>'Water-Meter'!E10</f>
        <v>0</v>
      </c>
      <c r="O10" s="709"/>
      <c r="P10" s="717"/>
      <c r="Q10" s="729">
        <f t="shared" si="2"/>
        <v>0</v>
      </c>
      <c r="R10" s="426">
        <f t="shared" si="5"/>
        <v>0</v>
      </c>
      <c r="S10" s="698"/>
      <c r="T10" s="705"/>
      <c r="U10" s="729">
        <f t="shared" si="6"/>
        <v>0</v>
      </c>
      <c r="V10" s="427">
        <f t="shared" ref="V10:V16" si="16">SUM(U10*S10)</f>
        <v>0</v>
      </c>
      <c r="W10" s="709"/>
      <c r="X10" s="710"/>
      <c r="Y10" s="729">
        <f t="shared" si="8"/>
        <v>0</v>
      </c>
      <c r="Z10" s="708">
        <f t="shared" si="9"/>
        <v>0</v>
      </c>
      <c r="AA10" s="716">
        <f t="shared" si="10"/>
        <v>0</v>
      </c>
      <c r="AB10" s="713"/>
      <c r="AC10" s="693">
        <f t="shared" si="11"/>
        <v>0</v>
      </c>
      <c r="AD10" s="695"/>
      <c r="AE10" s="178">
        <f t="shared" si="15"/>
        <v>0</v>
      </c>
      <c r="AF10" s="723">
        <f>'Lpg (2)'!B14*2000/85</f>
        <v>0</v>
      </c>
      <c r="AG10" s="266">
        <f>'Lpg (2)'!C14*1000/85</f>
        <v>0</v>
      </c>
      <c r="AH10" s="736">
        <f>'Lpg (2)'!D14*1000/85</f>
        <v>0</v>
      </c>
      <c r="AI10" s="726">
        <f t="shared" si="12"/>
        <v>0</v>
      </c>
      <c r="AJ10" s="428">
        <f t="shared" si="4"/>
        <v>0</v>
      </c>
      <c r="AK10" s="132"/>
    </row>
    <row r="11" spans="1:37" ht="19.5" thickBot="1">
      <c r="A11" s="757">
        <f>Gen!A16</f>
        <v>44233</v>
      </c>
      <c r="B11" s="425">
        <f>'Summery Report'!E10</f>
        <v>0</v>
      </c>
      <c r="C11" s="762">
        <f>Gen!B16</f>
        <v>0</v>
      </c>
      <c r="D11" s="724">
        <f>'Summery Report'!E10</f>
        <v>0</v>
      </c>
      <c r="E11" s="724">
        <f t="shared" si="13"/>
        <v>1.3262195121951219</v>
      </c>
      <c r="F11" s="438" t="e">
        <f t="shared" si="14"/>
        <v>#DIV/0!</v>
      </c>
      <c r="G11" s="438" t="e">
        <f t="shared" si="0"/>
        <v>#DIV/0!</v>
      </c>
      <c r="H11" s="724">
        <f>Gen!C16</f>
        <v>37627.399999999994</v>
      </c>
      <c r="I11" s="724">
        <f>Gen!E16</f>
        <v>0</v>
      </c>
      <c r="J11" s="763">
        <f>Gen!T16</f>
        <v>0</v>
      </c>
      <c r="K11" s="768">
        <f>Gen!AK16</f>
        <v>0</v>
      </c>
      <c r="L11" s="759">
        <f t="shared" si="1"/>
        <v>0</v>
      </c>
      <c r="M11" s="448">
        <f>'Water-Meter'!K51</f>
        <v>0</v>
      </c>
      <c r="N11" s="719">
        <f>'Water-Meter'!E11</f>
        <v>0</v>
      </c>
      <c r="O11" s="709"/>
      <c r="P11" s="717"/>
      <c r="Q11" s="729">
        <f t="shared" si="2"/>
        <v>0</v>
      </c>
      <c r="R11" s="426">
        <f t="shared" si="5"/>
        <v>0</v>
      </c>
      <c r="S11" s="698"/>
      <c r="T11" s="705"/>
      <c r="U11" s="729">
        <f t="shared" si="6"/>
        <v>0</v>
      </c>
      <c r="V11" s="427">
        <f t="shared" si="16"/>
        <v>0</v>
      </c>
      <c r="W11" s="709"/>
      <c r="X11" s="710"/>
      <c r="Y11" s="729">
        <f t="shared" si="8"/>
        <v>0</v>
      </c>
      <c r="Z11" s="708">
        <f t="shared" si="9"/>
        <v>0</v>
      </c>
      <c r="AA11" s="716">
        <f t="shared" si="10"/>
        <v>0</v>
      </c>
      <c r="AB11" s="713"/>
      <c r="AC11" s="693">
        <f t="shared" si="11"/>
        <v>0</v>
      </c>
      <c r="AD11" s="695"/>
      <c r="AE11" s="178">
        <f t="shared" si="15"/>
        <v>0</v>
      </c>
      <c r="AF11" s="723">
        <f>'Lpg (2)'!B15*2000/85</f>
        <v>0</v>
      </c>
      <c r="AG11" s="266">
        <f>'Lpg (2)'!C15*1000/85</f>
        <v>0</v>
      </c>
      <c r="AH11" s="736">
        <f>'Lpg (2)'!D15*1000/85</f>
        <v>0</v>
      </c>
      <c r="AI11" s="726">
        <f t="shared" si="12"/>
        <v>0</v>
      </c>
      <c r="AJ11" s="428">
        <f t="shared" si="4"/>
        <v>0</v>
      </c>
      <c r="AK11" s="132"/>
    </row>
    <row r="12" spans="1:37" ht="19.5" thickBot="1">
      <c r="A12" s="757">
        <f>Gen!A17</f>
        <v>44234</v>
      </c>
      <c r="B12" s="425">
        <f>'Summery Report'!E11</f>
        <v>0</v>
      </c>
      <c r="C12" s="762">
        <f>Gen!B17</f>
        <v>0</v>
      </c>
      <c r="D12" s="724">
        <f>'Summery Report'!E11</f>
        <v>0</v>
      </c>
      <c r="E12" s="724">
        <f t="shared" si="13"/>
        <v>1.3262195121951219</v>
      </c>
      <c r="F12" s="438" t="e">
        <f t="shared" si="14"/>
        <v>#DIV/0!</v>
      </c>
      <c r="G12" s="438" t="e">
        <f t="shared" si="0"/>
        <v>#DIV/0!</v>
      </c>
      <c r="H12" s="724">
        <f>Gen!C17</f>
        <v>37627.399999999994</v>
      </c>
      <c r="I12" s="724">
        <f>Gen!E17</f>
        <v>0</v>
      </c>
      <c r="J12" s="763">
        <f>Gen!T17</f>
        <v>0</v>
      </c>
      <c r="K12" s="768">
        <f>Gen!AK17</f>
        <v>0</v>
      </c>
      <c r="L12" s="759">
        <f t="shared" si="1"/>
        <v>0</v>
      </c>
      <c r="M12" s="448">
        <f>'Water-Meter'!K52</f>
        <v>0</v>
      </c>
      <c r="N12" s="719">
        <f>'Water-Meter'!E12</f>
        <v>0</v>
      </c>
      <c r="O12" s="709"/>
      <c r="P12" s="717"/>
      <c r="Q12" s="729">
        <f t="shared" si="2"/>
        <v>0</v>
      </c>
      <c r="R12" s="426">
        <f t="shared" si="5"/>
        <v>0</v>
      </c>
      <c r="S12" s="698"/>
      <c r="T12" s="705"/>
      <c r="U12" s="729">
        <f t="shared" si="6"/>
        <v>0</v>
      </c>
      <c r="V12" s="427">
        <f t="shared" si="16"/>
        <v>0</v>
      </c>
      <c r="W12" s="704"/>
      <c r="X12" s="710"/>
      <c r="Y12" s="729">
        <f t="shared" si="8"/>
        <v>0</v>
      </c>
      <c r="Z12" s="708">
        <f t="shared" si="9"/>
        <v>0</v>
      </c>
      <c r="AA12" s="716">
        <f t="shared" si="10"/>
        <v>0</v>
      </c>
      <c r="AB12" s="713"/>
      <c r="AC12" s="693">
        <f t="shared" si="11"/>
        <v>0</v>
      </c>
      <c r="AD12" s="695"/>
      <c r="AE12" s="178">
        <f t="shared" si="15"/>
        <v>0</v>
      </c>
      <c r="AF12" s="723">
        <f>'Lpg (2)'!B16*2000/85</f>
        <v>0</v>
      </c>
      <c r="AG12" s="266">
        <f>'Lpg (2)'!C16*1000/85</f>
        <v>0</v>
      </c>
      <c r="AH12" s="736">
        <f>'Lpg (2)'!D16*1000/85</f>
        <v>0</v>
      </c>
      <c r="AI12" s="726">
        <f t="shared" si="12"/>
        <v>0</v>
      </c>
      <c r="AJ12" s="428">
        <f t="shared" si="4"/>
        <v>0</v>
      </c>
      <c r="AK12" s="132"/>
    </row>
    <row r="13" spans="1:37" ht="19.5" thickBot="1">
      <c r="A13" s="757">
        <f>Gen!A18</f>
        <v>44235</v>
      </c>
      <c r="B13" s="425">
        <f>'Summery Report'!E12</f>
        <v>0</v>
      </c>
      <c r="C13" s="762">
        <f>Gen!B18</f>
        <v>0</v>
      </c>
      <c r="D13" s="724">
        <f>'Summery Report'!E12</f>
        <v>0</v>
      </c>
      <c r="E13" s="724">
        <f t="shared" si="13"/>
        <v>1.3262195121951219</v>
      </c>
      <c r="F13" s="438" t="e">
        <f t="shared" si="14"/>
        <v>#DIV/0!</v>
      </c>
      <c r="G13" s="438" t="e">
        <f t="shared" si="0"/>
        <v>#DIV/0!</v>
      </c>
      <c r="H13" s="724">
        <f>Gen!C18</f>
        <v>37627.399999999994</v>
      </c>
      <c r="I13" s="724">
        <f>Gen!E18</f>
        <v>15000</v>
      </c>
      <c r="J13" s="763">
        <f>Gen!T18</f>
        <v>0</v>
      </c>
      <c r="K13" s="768">
        <f>Gen!AK18</f>
        <v>0</v>
      </c>
      <c r="L13" s="759">
        <f t="shared" si="1"/>
        <v>0</v>
      </c>
      <c r="M13" s="448">
        <f>'Water-Meter'!K53</f>
        <v>0</v>
      </c>
      <c r="N13" s="719">
        <f>'Water-Meter'!E13</f>
        <v>0</v>
      </c>
      <c r="O13" s="709"/>
      <c r="P13" s="717"/>
      <c r="Q13" s="729">
        <f t="shared" si="2"/>
        <v>0</v>
      </c>
      <c r="R13" s="426">
        <f t="shared" si="5"/>
        <v>0</v>
      </c>
      <c r="S13" s="698"/>
      <c r="T13" s="705"/>
      <c r="U13" s="729">
        <f t="shared" si="6"/>
        <v>0</v>
      </c>
      <c r="V13" s="427">
        <f t="shared" si="16"/>
        <v>0</v>
      </c>
      <c r="W13" s="704"/>
      <c r="X13" s="710"/>
      <c r="Y13" s="729">
        <f t="shared" si="8"/>
        <v>0</v>
      </c>
      <c r="Z13" s="708">
        <f t="shared" si="9"/>
        <v>0</v>
      </c>
      <c r="AA13" s="716">
        <f t="shared" si="10"/>
        <v>0</v>
      </c>
      <c r="AB13" s="713"/>
      <c r="AC13" s="693">
        <f t="shared" si="11"/>
        <v>0</v>
      </c>
      <c r="AD13" s="695"/>
      <c r="AE13" s="178">
        <f t="shared" si="15"/>
        <v>0</v>
      </c>
      <c r="AF13" s="723">
        <f>'Lpg (2)'!B17*2000/85</f>
        <v>0</v>
      </c>
      <c r="AG13" s="266">
        <f>'Lpg (2)'!C17*1000/85</f>
        <v>0</v>
      </c>
      <c r="AH13" s="736">
        <f>'Lpg (2)'!D17*1000/85</f>
        <v>0</v>
      </c>
      <c r="AI13" s="726">
        <f t="shared" si="12"/>
        <v>0</v>
      </c>
      <c r="AJ13" s="428">
        <f t="shared" si="4"/>
        <v>0</v>
      </c>
      <c r="AK13" s="132"/>
    </row>
    <row r="14" spans="1:37" ht="19.5" thickBot="1">
      <c r="A14" s="757">
        <f>Gen!A19</f>
        <v>44236</v>
      </c>
      <c r="B14" s="425">
        <f>'Summery Report'!E13</f>
        <v>0</v>
      </c>
      <c r="C14" s="762">
        <f>Gen!B19</f>
        <v>0</v>
      </c>
      <c r="D14" s="724">
        <f>'Summery Report'!E13</f>
        <v>0</v>
      </c>
      <c r="E14" s="724">
        <f t="shared" si="13"/>
        <v>1.3262195121951219</v>
      </c>
      <c r="F14" s="438" t="e">
        <f t="shared" si="14"/>
        <v>#DIV/0!</v>
      </c>
      <c r="G14" s="438" t="e">
        <f t="shared" si="0"/>
        <v>#DIV/0!</v>
      </c>
      <c r="H14" s="724">
        <f>Gen!C19</f>
        <v>37627.399999999994</v>
      </c>
      <c r="I14" s="724">
        <f>Gen!E19</f>
        <v>0</v>
      </c>
      <c r="J14" s="763">
        <f>Gen!T19</f>
        <v>0</v>
      </c>
      <c r="K14" s="768">
        <f>Gen!AK19</f>
        <v>0</v>
      </c>
      <c r="L14" s="759">
        <f t="shared" ref="L14:L37" si="17">SUM(J14:K14)</f>
        <v>0</v>
      </c>
      <c r="M14" s="448">
        <f>'Water-Meter'!K54</f>
        <v>0</v>
      </c>
      <c r="N14" s="719">
        <f>'Water-Meter'!E14</f>
        <v>0</v>
      </c>
      <c r="O14" s="709"/>
      <c r="P14" s="717"/>
      <c r="Q14" s="729">
        <f t="shared" si="2"/>
        <v>0</v>
      </c>
      <c r="R14" s="426">
        <f t="shared" si="5"/>
        <v>0</v>
      </c>
      <c r="S14" s="698"/>
      <c r="T14" s="705"/>
      <c r="U14" s="729">
        <f t="shared" si="6"/>
        <v>0</v>
      </c>
      <c r="V14" s="427">
        <f t="shared" si="16"/>
        <v>0</v>
      </c>
      <c r="W14" s="704"/>
      <c r="X14" s="710"/>
      <c r="Y14" s="729">
        <f t="shared" si="8"/>
        <v>0</v>
      </c>
      <c r="Z14" s="708">
        <f t="shared" si="9"/>
        <v>0</v>
      </c>
      <c r="AA14" s="716">
        <f t="shared" si="10"/>
        <v>0</v>
      </c>
      <c r="AB14" s="713"/>
      <c r="AC14" s="693">
        <f t="shared" si="11"/>
        <v>0</v>
      </c>
      <c r="AD14" s="695"/>
      <c r="AE14" s="178">
        <f t="shared" si="15"/>
        <v>0</v>
      </c>
      <c r="AF14" s="723">
        <f>'Lpg (2)'!B18*2000/85</f>
        <v>0</v>
      </c>
      <c r="AG14" s="266">
        <f>'Lpg (2)'!C18*1000/85</f>
        <v>0</v>
      </c>
      <c r="AH14" s="736">
        <f>'Lpg (2)'!D18*1000/85</f>
        <v>0</v>
      </c>
      <c r="AI14" s="726">
        <f t="shared" si="12"/>
        <v>0</v>
      </c>
      <c r="AJ14" s="428">
        <f t="shared" si="4"/>
        <v>0</v>
      </c>
      <c r="AK14" s="132"/>
    </row>
    <row r="15" spans="1:37" ht="19.5" thickBot="1">
      <c r="A15" s="757">
        <f>Gen!A20</f>
        <v>44237</v>
      </c>
      <c r="B15" s="425">
        <f>'Summery Report'!E14</f>
        <v>0</v>
      </c>
      <c r="C15" s="762">
        <f>Gen!B20</f>
        <v>0</v>
      </c>
      <c r="D15" s="724">
        <f>'Summery Report'!E14</f>
        <v>0</v>
      </c>
      <c r="E15" s="724">
        <f t="shared" si="13"/>
        <v>1.3262195121951219</v>
      </c>
      <c r="F15" s="438" t="e">
        <f t="shared" si="14"/>
        <v>#DIV/0!</v>
      </c>
      <c r="G15" s="438" t="e">
        <f t="shared" si="0"/>
        <v>#DIV/0!</v>
      </c>
      <c r="H15" s="724">
        <f>Gen!C20</f>
        <v>37627.399999999994</v>
      </c>
      <c r="I15" s="724">
        <f>Gen!E20</f>
        <v>0</v>
      </c>
      <c r="J15" s="763">
        <f>Gen!T20</f>
        <v>0</v>
      </c>
      <c r="K15" s="768">
        <f>Gen!AK20</f>
        <v>0</v>
      </c>
      <c r="L15" s="759">
        <f t="shared" si="17"/>
        <v>0</v>
      </c>
      <c r="M15" s="448">
        <f>'Water-Meter'!K55</f>
        <v>0</v>
      </c>
      <c r="N15" s="719">
        <f>'Water-Meter'!E15</f>
        <v>0</v>
      </c>
      <c r="O15" s="709"/>
      <c r="P15" s="717"/>
      <c r="Q15" s="729">
        <f t="shared" si="2"/>
        <v>0</v>
      </c>
      <c r="R15" s="426">
        <f t="shared" si="5"/>
        <v>0</v>
      </c>
      <c r="S15" s="698"/>
      <c r="T15" s="705"/>
      <c r="U15" s="729">
        <f t="shared" si="6"/>
        <v>0</v>
      </c>
      <c r="V15" s="427">
        <f t="shared" si="16"/>
        <v>0</v>
      </c>
      <c r="W15" s="704"/>
      <c r="X15" s="710"/>
      <c r="Y15" s="729">
        <f t="shared" si="8"/>
        <v>0</v>
      </c>
      <c r="Z15" s="708">
        <f t="shared" si="9"/>
        <v>0</v>
      </c>
      <c r="AA15" s="716">
        <f t="shared" si="10"/>
        <v>0</v>
      </c>
      <c r="AB15" s="713"/>
      <c r="AC15" s="693">
        <f t="shared" si="11"/>
        <v>0</v>
      </c>
      <c r="AD15" s="695"/>
      <c r="AE15" s="178">
        <f>AD15-AD14</f>
        <v>0</v>
      </c>
      <c r="AF15" s="723">
        <f>'Lpg (2)'!B19*2000/85</f>
        <v>0</v>
      </c>
      <c r="AG15" s="266">
        <f>'Lpg (2)'!C19*1000/85</f>
        <v>0</v>
      </c>
      <c r="AH15" s="736">
        <f>'Lpg (2)'!D19*1000/85</f>
        <v>0</v>
      </c>
      <c r="AI15" s="726">
        <f t="shared" ref="AI15:AI35" si="18">SUM(AF15*2000)+(AG15*1000)+(AH15*1000)</f>
        <v>0</v>
      </c>
      <c r="AJ15" s="428">
        <f t="shared" si="4"/>
        <v>0</v>
      </c>
      <c r="AK15" s="132"/>
    </row>
    <row r="16" spans="1:37" ht="19.5" thickBot="1">
      <c r="A16" s="757">
        <f>Gen!A21</f>
        <v>44238</v>
      </c>
      <c r="B16" s="425">
        <f>'Summery Report'!E15</f>
        <v>0</v>
      </c>
      <c r="C16" s="762">
        <f>Gen!B21</f>
        <v>0</v>
      </c>
      <c r="D16" s="724">
        <f>'Summery Report'!E15</f>
        <v>0</v>
      </c>
      <c r="E16" s="724">
        <f t="shared" si="13"/>
        <v>1.3262195121951219</v>
      </c>
      <c r="F16" s="438" t="e">
        <f t="shared" si="14"/>
        <v>#DIV/0!</v>
      </c>
      <c r="G16" s="438" t="e">
        <f t="shared" si="0"/>
        <v>#DIV/0!</v>
      </c>
      <c r="H16" s="724">
        <f>Gen!C21</f>
        <v>37627.399999999994</v>
      </c>
      <c r="I16" s="724">
        <f>Gen!E21</f>
        <v>0</v>
      </c>
      <c r="J16" s="763">
        <f>Gen!T21</f>
        <v>0</v>
      </c>
      <c r="K16" s="768">
        <f>Gen!AK21</f>
        <v>0</v>
      </c>
      <c r="L16" s="759">
        <f t="shared" si="17"/>
        <v>0</v>
      </c>
      <c r="M16" s="448">
        <f>'Water-Meter'!K56</f>
        <v>0</v>
      </c>
      <c r="N16" s="719">
        <f>'Water-Meter'!E16</f>
        <v>0</v>
      </c>
      <c r="O16" s="709"/>
      <c r="P16" s="717"/>
      <c r="Q16" s="729">
        <f t="shared" si="2"/>
        <v>0</v>
      </c>
      <c r="R16" s="426">
        <f t="shared" si="5"/>
        <v>0</v>
      </c>
      <c r="S16" s="698"/>
      <c r="T16" s="705"/>
      <c r="U16" s="729">
        <f t="shared" si="6"/>
        <v>0</v>
      </c>
      <c r="V16" s="427">
        <f t="shared" si="16"/>
        <v>0</v>
      </c>
      <c r="W16" s="704"/>
      <c r="X16" s="710"/>
      <c r="Y16" s="729">
        <f t="shared" si="8"/>
        <v>0</v>
      </c>
      <c r="Z16" s="708">
        <f t="shared" si="9"/>
        <v>0</v>
      </c>
      <c r="AA16" s="716">
        <f t="shared" si="10"/>
        <v>0</v>
      </c>
      <c r="AB16" s="713"/>
      <c r="AC16" s="693">
        <f t="shared" si="11"/>
        <v>0</v>
      </c>
      <c r="AD16" s="695"/>
      <c r="AE16" s="178">
        <f t="shared" si="15"/>
        <v>0</v>
      </c>
      <c r="AF16" s="723">
        <f>'Lpg (2)'!B20*2000/85</f>
        <v>0</v>
      </c>
      <c r="AG16" s="266">
        <f>'Lpg (2)'!C20*1000/85</f>
        <v>0</v>
      </c>
      <c r="AH16" s="736">
        <f>'Lpg (2)'!D20*1000/85</f>
        <v>0</v>
      </c>
      <c r="AI16" s="726">
        <f t="shared" si="18"/>
        <v>0</v>
      </c>
      <c r="AJ16" s="428">
        <f t="shared" si="4"/>
        <v>0</v>
      </c>
      <c r="AK16" s="132"/>
    </row>
    <row r="17" spans="1:37" ht="19.5" thickBot="1">
      <c r="A17" s="757">
        <f>Gen!A22</f>
        <v>44239</v>
      </c>
      <c r="B17" s="425">
        <f>'Summery Report'!E16</f>
        <v>0</v>
      </c>
      <c r="C17" s="762">
        <f>Gen!B22</f>
        <v>0</v>
      </c>
      <c r="D17" s="724">
        <f>'Summery Report'!E16</f>
        <v>0</v>
      </c>
      <c r="E17" s="724">
        <f t="shared" si="13"/>
        <v>1.3262195121951219</v>
      </c>
      <c r="F17" s="438" t="e">
        <f t="shared" si="14"/>
        <v>#DIV/0!</v>
      </c>
      <c r="G17" s="438" t="e">
        <f t="shared" si="0"/>
        <v>#DIV/0!</v>
      </c>
      <c r="H17" s="724">
        <f>Gen!C22</f>
        <v>37627.399999999994</v>
      </c>
      <c r="I17" s="724">
        <f>Gen!E22</f>
        <v>0</v>
      </c>
      <c r="J17" s="763">
        <f>Gen!T22</f>
        <v>0</v>
      </c>
      <c r="K17" s="768">
        <f>Gen!AK22</f>
        <v>0</v>
      </c>
      <c r="L17" s="759">
        <f t="shared" si="17"/>
        <v>0</v>
      </c>
      <c r="M17" s="448">
        <f>'Water-Meter'!K57</f>
        <v>0</v>
      </c>
      <c r="N17" s="719">
        <f>'Water-Meter'!E17</f>
        <v>0</v>
      </c>
      <c r="O17" s="709"/>
      <c r="P17" s="717"/>
      <c r="Q17" s="729">
        <f>SUM(P18-P16)</f>
        <v>0</v>
      </c>
      <c r="R17" s="426">
        <f t="shared" si="5"/>
        <v>0</v>
      </c>
      <c r="S17" s="698"/>
      <c r="T17" s="705"/>
      <c r="U17" s="729">
        <f t="shared" si="6"/>
        <v>0</v>
      </c>
      <c r="V17" s="427">
        <f t="shared" ref="V17:V36" si="19">SUM(U17*S17)</f>
        <v>0</v>
      </c>
      <c r="W17" s="704"/>
      <c r="X17" s="710"/>
      <c r="Y17" s="729">
        <f t="shared" si="8"/>
        <v>0</v>
      </c>
      <c r="Z17" s="708">
        <f t="shared" si="9"/>
        <v>0</v>
      </c>
      <c r="AA17" s="716">
        <f t="shared" si="10"/>
        <v>0</v>
      </c>
      <c r="AB17" s="713"/>
      <c r="AC17" s="693">
        <f t="shared" si="11"/>
        <v>0</v>
      </c>
      <c r="AD17" s="695"/>
      <c r="AE17" s="178">
        <f t="shared" si="15"/>
        <v>0</v>
      </c>
      <c r="AF17" s="723">
        <f>'Lpg (2)'!B21*2000/85</f>
        <v>0</v>
      </c>
      <c r="AG17" s="266">
        <f>'Lpg (2)'!C21*1000/85</f>
        <v>0</v>
      </c>
      <c r="AH17" s="736">
        <f>'Lpg (2)'!D21*1000/85</f>
        <v>0</v>
      </c>
      <c r="AI17" s="726">
        <f t="shared" si="18"/>
        <v>0</v>
      </c>
      <c r="AJ17" s="428">
        <f t="shared" si="4"/>
        <v>0</v>
      </c>
      <c r="AK17" s="132"/>
    </row>
    <row r="18" spans="1:37" ht="19.5" thickBot="1">
      <c r="A18" s="757">
        <f>Gen!A23</f>
        <v>44240</v>
      </c>
      <c r="B18" s="425">
        <f>'Summery Report'!E17</f>
        <v>0</v>
      </c>
      <c r="C18" s="762">
        <f>Gen!B23</f>
        <v>0</v>
      </c>
      <c r="D18" s="724">
        <f>'Summery Report'!E17</f>
        <v>0</v>
      </c>
      <c r="E18" s="724">
        <f t="shared" si="13"/>
        <v>1.3262195121951219</v>
      </c>
      <c r="F18" s="438" t="e">
        <f t="shared" si="14"/>
        <v>#DIV/0!</v>
      </c>
      <c r="G18" s="438" t="e">
        <f t="shared" si="0"/>
        <v>#DIV/0!</v>
      </c>
      <c r="H18" s="724">
        <f>Gen!C23</f>
        <v>37627.399999999994</v>
      </c>
      <c r="I18" s="724">
        <f>Gen!E23</f>
        <v>0</v>
      </c>
      <c r="J18" s="763">
        <f>Gen!T23</f>
        <v>0</v>
      </c>
      <c r="K18" s="768">
        <f>Gen!AK23</f>
        <v>0</v>
      </c>
      <c r="L18" s="759">
        <f t="shared" si="17"/>
        <v>0</v>
      </c>
      <c r="M18" s="448">
        <f>'Water-Meter'!K58</f>
        <v>0</v>
      </c>
      <c r="N18" s="719">
        <f>'Water-Meter'!E18</f>
        <v>0</v>
      </c>
      <c r="O18" s="709"/>
      <c r="P18" s="717"/>
      <c r="Q18" s="729"/>
      <c r="R18" s="426">
        <f t="shared" si="5"/>
        <v>0</v>
      </c>
      <c r="S18" s="698"/>
      <c r="T18" s="705"/>
      <c r="U18" s="729">
        <f t="shared" si="6"/>
        <v>0</v>
      </c>
      <c r="V18" s="427">
        <f t="shared" si="19"/>
        <v>0</v>
      </c>
      <c r="W18" s="704"/>
      <c r="X18" s="710"/>
      <c r="Y18" s="729">
        <f t="shared" si="8"/>
        <v>0</v>
      </c>
      <c r="Z18" s="708">
        <f t="shared" si="9"/>
        <v>0</v>
      </c>
      <c r="AA18" s="716">
        <f t="shared" si="10"/>
        <v>0</v>
      </c>
      <c r="AB18" s="713"/>
      <c r="AC18" s="693">
        <f t="shared" si="11"/>
        <v>0</v>
      </c>
      <c r="AD18" s="695"/>
      <c r="AE18" s="178">
        <f t="shared" si="15"/>
        <v>0</v>
      </c>
      <c r="AF18" s="723">
        <f>'Lpg (2)'!B22*2000/85</f>
        <v>0</v>
      </c>
      <c r="AG18" s="266">
        <f>'Lpg (2)'!C22*1000/85</f>
        <v>0</v>
      </c>
      <c r="AH18" s="736">
        <f>'Lpg (2)'!D22*1000/85</f>
        <v>0</v>
      </c>
      <c r="AI18" s="726">
        <f t="shared" si="18"/>
        <v>0</v>
      </c>
      <c r="AJ18" s="428">
        <f t="shared" si="4"/>
        <v>0</v>
      </c>
      <c r="AK18" s="132"/>
    </row>
    <row r="19" spans="1:37" ht="19.5" thickBot="1">
      <c r="A19" s="757">
        <f>Gen!A24</f>
        <v>44241</v>
      </c>
      <c r="B19" s="425">
        <f>'Summery Report'!E18</f>
        <v>0</v>
      </c>
      <c r="C19" s="762">
        <f>Gen!B24</f>
        <v>0</v>
      </c>
      <c r="D19" s="724">
        <f>'Summery Report'!E18</f>
        <v>0</v>
      </c>
      <c r="E19" s="724">
        <f t="shared" si="13"/>
        <v>1.3262195121951219</v>
      </c>
      <c r="F19" s="438" t="e">
        <f t="shared" si="14"/>
        <v>#DIV/0!</v>
      </c>
      <c r="G19" s="438" t="e">
        <f t="shared" si="0"/>
        <v>#DIV/0!</v>
      </c>
      <c r="H19" s="724">
        <f>Gen!C24</f>
        <v>37627.399999999994</v>
      </c>
      <c r="I19" s="724">
        <f>Gen!E24</f>
        <v>0</v>
      </c>
      <c r="J19" s="763">
        <f>Gen!T24</f>
        <v>0</v>
      </c>
      <c r="K19" s="768">
        <f>Gen!AK24</f>
        <v>0</v>
      </c>
      <c r="L19" s="759">
        <f t="shared" si="17"/>
        <v>0</v>
      </c>
      <c r="M19" s="448">
        <f>'Water-Meter'!K59</f>
        <v>0</v>
      </c>
      <c r="N19" s="719">
        <f>'Water-Meter'!E19</f>
        <v>0</v>
      </c>
      <c r="O19" s="709"/>
      <c r="P19" s="717"/>
      <c r="Q19" s="729"/>
      <c r="R19" s="426">
        <f t="shared" si="5"/>
        <v>0</v>
      </c>
      <c r="S19" s="698"/>
      <c r="T19" s="705"/>
      <c r="U19" s="729">
        <f t="shared" si="6"/>
        <v>0</v>
      </c>
      <c r="V19" s="427">
        <f t="shared" si="19"/>
        <v>0</v>
      </c>
      <c r="W19" s="704"/>
      <c r="X19" s="710"/>
      <c r="Y19" s="729">
        <f t="shared" si="8"/>
        <v>0</v>
      </c>
      <c r="Z19" s="708">
        <f t="shared" si="9"/>
        <v>0</v>
      </c>
      <c r="AA19" s="716">
        <f t="shared" si="10"/>
        <v>0</v>
      </c>
      <c r="AB19" s="713"/>
      <c r="AC19" s="693">
        <f t="shared" si="11"/>
        <v>0</v>
      </c>
      <c r="AD19" s="695"/>
      <c r="AE19" s="178">
        <f t="shared" si="15"/>
        <v>0</v>
      </c>
      <c r="AF19" s="723">
        <f>'Lpg (2)'!B23*2000/85</f>
        <v>0</v>
      </c>
      <c r="AG19" s="266">
        <f>'Lpg (2)'!C23*1000/85</f>
        <v>0</v>
      </c>
      <c r="AH19" s="736">
        <f>'Lpg (2)'!D23*1000/85</f>
        <v>0</v>
      </c>
      <c r="AI19" s="726">
        <f t="shared" si="18"/>
        <v>0</v>
      </c>
      <c r="AJ19" s="428">
        <f t="shared" si="4"/>
        <v>0</v>
      </c>
      <c r="AK19" s="132"/>
    </row>
    <row r="20" spans="1:37" ht="19.5" thickBot="1">
      <c r="A20" s="757">
        <f>Gen!A25</f>
        <v>44242</v>
      </c>
      <c r="B20" s="425">
        <f>'Summery Report'!E19</f>
        <v>0</v>
      </c>
      <c r="C20" s="762">
        <f>Gen!B25</f>
        <v>0</v>
      </c>
      <c r="D20" s="724">
        <f>'Summery Report'!E19</f>
        <v>0</v>
      </c>
      <c r="E20" s="724">
        <f t="shared" si="13"/>
        <v>1.3262195121951219</v>
      </c>
      <c r="F20" s="438" t="e">
        <f t="shared" si="14"/>
        <v>#DIV/0!</v>
      </c>
      <c r="G20" s="438" t="e">
        <f t="shared" si="0"/>
        <v>#DIV/0!</v>
      </c>
      <c r="H20" s="724">
        <f>Gen!C25</f>
        <v>37627.399999999994</v>
      </c>
      <c r="I20" s="724">
        <f>Gen!E25</f>
        <v>0</v>
      </c>
      <c r="J20" s="763">
        <f>Gen!T25</f>
        <v>0</v>
      </c>
      <c r="K20" s="768">
        <f>Gen!AK25</f>
        <v>0</v>
      </c>
      <c r="L20" s="759">
        <f t="shared" si="17"/>
        <v>0</v>
      </c>
      <c r="M20" s="448">
        <f>'Water-Meter'!K60</f>
        <v>0</v>
      </c>
      <c r="N20" s="719">
        <f>'Water-Meter'!E20</f>
        <v>0</v>
      </c>
      <c r="O20" s="709"/>
      <c r="P20" s="717"/>
      <c r="Q20" s="729">
        <f t="shared" si="2"/>
        <v>0</v>
      </c>
      <c r="R20" s="426">
        <f t="shared" si="5"/>
        <v>0</v>
      </c>
      <c r="S20" s="698"/>
      <c r="T20" s="705"/>
      <c r="U20" s="729">
        <f t="shared" si="6"/>
        <v>0</v>
      </c>
      <c r="V20" s="427">
        <f t="shared" si="19"/>
        <v>0</v>
      </c>
      <c r="W20" s="704"/>
      <c r="X20" s="710"/>
      <c r="Y20" s="729">
        <f t="shared" si="8"/>
        <v>0</v>
      </c>
      <c r="Z20" s="708">
        <f t="shared" si="9"/>
        <v>0</v>
      </c>
      <c r="AA20" s="716">
        <f t="shared" si="10"/>
        <v>0</v>
      </c>
      <c r="AB20" s="713"/>
      <c r="AC20" s="693">
        <f t="shared" si="11"/>
        <v>0</v>
      </c>
      <c r="AD20" s="695"/>
      <c r="AE20" s="178">
        <f t="shared" si="15"/>
        <v>0</v>
      </c>
      <c r="AF20" s="723">
        <f>'Lpg (2)'!B24*2000/85</f>
        <v>0</v>
      </c>
      <c r="AG20" s="266">
        <f>'Lpg (2)'!C24*1000/85</f>
        <v>0</v>
      </c>
      <c r="AH20" s="736">
        <f>'Lpg (2)'!D24*1000/85</f>
        <v>0</v>
      </c>
      <c r="AI20" s="726">
        <f t="shared" si="18"/>
        <v>0</v>
      </c>
      <c r="AJ20" s="428">
        <f t="shared" si="4"/>
        <v>0</v>
      </c>
      <c r="AK20" s="132"/>
    </row>
    <row r="21" spans="1:37" ht="18.75">
      <c r="A21" s="757">
        <f>Gen!A26</f>
        <v>44243</v>
      </c>
      <c r="B21" s="425">
        <f>'Summery Report'!E20</f>
        <v>0</v>
      </c>
      <c r="C21" s="762">
        <f>Gen!B26</f>
        <v>0</v>
      </c>
      <c r="D21" s="724">
        <f>'Summery Report'!E20</f>
        <v>0</v>
      </c>
      <c r="E21" s="724">
        <f t="shared" si="13"/>
        <v>1.3262195121951219</v>
      </c>
      <c r="F21" s="438" t="e">
        <f t="shared" si="14"/>
        <v>#DIV/0!</v>
      </c>
      <c r="G21" s="438" t="e">
        <f t="shared" si="0"/>
        <v>#DIV/0!</v>
      </c>
      <c r="H21" s="724">
        <f>Gen!C26</f>
        <v>37627.399999999994</v>
      </c>
      <c r="I21" s="724">
        <f>Gen!E26</f>
        <v>0</v>
      </c>
      <c r="J21" s="763">
        <f>Gen!T26</f>
        <v>0</v>
      </c>
      <c r="K21" s="768">
        <f>Gen!AK26</f>
        <v>0</v>
      </c>
      <c r="L21" s="759">
        <f t="shared" si="17"/>
        <v>0</v>
      </c>
      <c r="M21" s="448">
        <f>'Water-Meter'!K61</f>
        <v>0</v>
      </c>
      <c r="N21" s="719">
        <f>'Water-Meter'!E21</f>
        <v>0</v>
      </c>
      <c r="O21" s="709"/>
      <c r="P21" s="717"/>
      <c r="Q21" s="729">
        <f t="shared" si="2"/>
        <v>0</v>
      </c>
      <c r="R21" s="426">
        <f t="shared" si="5"/>
        <v>0</v>
      </c>
      <c r="S21" s="698"/>
      <c r="T21" s="705"/>
      <c r="U21" s="729">
        <f>T22-T20</f>
        <v>0</v>
      </c>
      <c r="V21" s="427">
        <f t="shared" si="19"/>
        <v>0</v>
      </c>
      <c r="W21" s="704"/>
      <c r="X21" s="710"/>
      <c r="Y21" s="729">
        <f t="shared" si="8"/>
        <v>0</v>
      </c>
      <c r="Z21" s="708">
        <f t="shared" si="9"/>
        <v>0</v>
      </c>
      <c r="AA21" s="716">
        <f t="shared" si="10"/>
        <v>0</v>
      </c>
      <c r="AB21" s="713"/>
      <c r="AC21" s="693">
        <f t="shared" si="11"/>
        <v>0</v>
      </c>
      <c r="AD21" s="695"/>
      <c r="AE21" s="178">
        <f t="shared" si="15"/>
        <v>0</v>
      </c>
      <c r="AF21" s="723">
        <f>'Lpg (2)'!B25*2000/85</f>
        <v>0</v>
      </c>
      <c r="AG21" s="266">
        <f>'Lpg (2)'!C25*1000/85</f>
        <v>0</v>
      </c>
      <c r="AH21" s="736">
        <f>'Lpg (2)'!D25*1000/85</f>
        <v>0</v>
      </c>
      <c r="AI21" s="726">
        <f t="shared" si="18"/>
        <v>0</v>
      </c>
      <c r="AJ21" s="428">
        <f t="shared" si="4"/>
        <v>0</v>
      </c>
      <c r="AK21" s="132"/>
    </row>
    <row r="22" spans="1:37" ht="18.75">
      <c r="A22" s="757">
        <f>Gen!A27</f>
        <v>44244</v>
      </c>
      <c r="B22" s="425">
        <f>'Summery Report'!E21</f>
        <v>0</v>
      </c>
      <c r="C22" s="762">
        <f>Gen!B27</f>
        <v>0</v>
      </c>
      <c r="D22" s="724">
        <f>'Summery Report'!E21</f>
        <v>0</v>
      </c>
      <c r="E22" s="724">
        <f t="shared" si="13"/>
        <v>1.3262195121951219</v>
      </c>
      <c r="F22" s="438" t="e">
        <f t="shared" si="14"/>
        <v>#DIV/0!</v>
      </c>
      <c r="G22" s="438" t="e">
        <f t="shared" si="0"/>
        <v>#DIV/0!</v>
      </c>
      <c r="H22" s="724">
        <f>Gen!C27</f>
        <v>37627.399999999994</v>
      </c>
      <c r="I22" s="724">
        <f>Gen!E27</f>
        <v>0</v>
      </c>
      <c r="J22" s="763">
        <f>Gen!T27</f>
        <v>0</v>
      </c>
      <c r="K22" s="768">
        <f>Gen!AK27</f>
        <v>0</v>
      </c>
      <c r="L22" s="759">
        <f t="shared" si="17"/>
        <v>0</v>
      </c>
      <c r="M22" s="448">
        <f>'Water-Meter'!K62</f>
        <v>0</v>
      </c>
      <c r="N22" s="719">
        <f>'Water-Meter'!E22</f>
        <v>0</v>
      </c>
      <c r="O22" s="709"/>
      <c r="P22" s="717"/>
      <c r="Q22" s="729">
        <f t="shared" si="2"/>
        <v>0</v>
      </c>
      <c r="R22" s="426">
        <f t="shared" si="5"/>
        <v>0</v>
      </c>
      <c r="S22" s="704"/>
      <c r="T22" s="705"/>
      <c r="U22" s="729">
        <f t="shared" ref="U22:U23" si="20">T23-T21</f>
        <v>0</v>
      </c>
      <c r="V22" s="427">
        <f t="shared" si="19"/>
        <v>0</v>
      </c>
      <c r="W22" s="704"/>
      <c r="X22" s="710"/>
      <c r="Y22" s="729">
        <f t="shared" si="8"/>
        <v>0</v>
      </c>
      <c r="Z22" s="708">
        <f t="shared" si="9"/>
        <v>0</v>
      </c>
      <c r="AA22" s="716">
        <f t="shared" si="10"/>
        <v>0</v>
      </c>
      <c r="AB22" s="713"/>
      <c r="AC22" s="693">
        <f t="shared" si="11"/>
        <v>0</v>
      </c>
      <c r="AD22" s="695"/>
      <c r="AE22" s="178">
        <f t="shared" si="15"/>
        <v>0</v>
      </c>
      <c r="AF22" s="723">
        <f>'Lpg (2)'!B26*2000/85</f>
        <v>0</v>
      </c>
      <c r="AG22" s="266">
        <f>'Lpg (2)'!C26*1000/85</f>
        <v>0</v>
      </c>
      <c r="AH22" s="736">
        <f>'Lpg (2)'!D26*1000/85</f>
        <v>0</v>
      </c>
      <c r="AI22" s="726">
        <f t="shared" si="18"/>
        <v>0</v>
      </c>
      <c r="AJ22" s="428">
        <f t="shared" si="4"/>
        <v>0</v>
      </c>
      <c r="AK22" s="132"/>
    </row>
    <row r="23" spans="1:37" ht="18.75">
      <c r="A23" s="757">
        <f>Gen!A28</f>
        <v>44245</v>
      </c>
      <c r="B23" s="425">
        <f>'Summery Report'!E22</f>
        <v>0</v>
      </c>
      <c r="C23" s="762">
        <f>Gen!B28</f>
        <v>0</v>
      </c>
      <c r="D23" s="724">
        <f>'Summery Report'!E22</f>
        <v>0</v>
      </c>
      <c r="E23" s="724">
        <f t="shared" si="13"/>
        <v>1.3262195121951219</v>
      </c>
      <c r="F23" s="438" t="e">
        <f t="shared" si="14"/>
        <v>#DIV/0!</v>
      </c>
      <c r="G23" s="438" t="e">
        <f t="shared" si="0"/>
        <v>#DIV/0!</v>
      </c>
      <c r="H23" s="724">
        <f>Gen!C28</f>
        <v>37627.399999999994</v>
      </c>
      <c r="I23" s="724">
        <f>Gen!E28</f>
        <v>0</v>
      </c>
      <c r="J23" s="763">
        <f>Gen!T28</f>
        <v>0</v>
      </c>
      <c r="K23" s="768">
        <f>Gen!AK28</f>
        <v>0</v>
      </c>
      <c r="L23" s="759">
        <f t="shared" si="17"/>
        <v>0</v>
      </c>
      <c r="M23" s="448">
        <f>'Water-Meter'!K63</f>
        <v>0</v>
      </c>
      <c r="N23" s="719">
        <f>'Water-Meter'!E23</f>
        <v>0</v>
      </c>
      <c r="O23" s="709"/>
      <c r="P23" s="717"/>
      <c r="Q23" s="729">
        <f t="shared" si="2"/>
        <v>0</v>
      </c>
      <c r="R23" s="426">
        <f t="shared" si="5"/>
        <v>0</v>
      </c>
      <c r="S23" s="704"/>
      <c r="T23" s="705"/>
      <c r="U23" s="729">
        <f t="shared" si="20"/>
        <v>0</v>
      </c>
      <c r="V23" s="427">
        <f t="shared" si="19"/>
        <v>0</v>
      </c>
      <c r="W23" s="704"/>
      <c r="X23" s="710"/>
      <c r="Y23" s="729">
        <f t="shared" si="8"/>
        <v>0</v>
      </c>
      <c r="Z23" s="708">
        <f t="shared" si="9"/>
        <v>0</v>
      </c>
      <c r="AA23" s="716">
        <f t="shared" si="10"/>
        <v>0</v>
      </c>
      <c r="AB23" s="713"/>
      <c r="AC23" s="693">
        <f t="shared" si="11"/>
        <v>0</v>
      </c>
      <c r="AD23" s="696"/>
      <c r="AE23" s="178">
        <f t="shared" si="15"/>
        <v>0</v>
      </c>
      <c r="AF23" s="723">
        <f>'Lpg (2)'!B27*2000/85</f>
        <v>0</v>
      </c>
      <c r="AG23" s="266">
        <f>'Lpg (2)'!C27*1000/85</f>
        <v>0</v>
      </c>
      <c r="AH23" s="736">
        <f>'Lpg (2)'!D27*1000/85</f>
        <v>0</v>
      </c>
      <c r="AI23" s="726">
        <f t="shared" si="18"/>
        <v>0</v>
      </c>
      <c r="AJ23" s="428">
        <f t="shared" si="4"/>
        <v>0</v>
      </c>
      <c r="AK23" s="132"/>
    </row>
    <row r="24" spans="1:37" ht="18.75">
      <c r="A24" s="757">
        <f>Gen!A29</f>
        <v>44246</v>
      </c>
      <c r="B24" s="425">
        <f>'Summery Report'!E23</f>
        <v>0</v>
      </c>
      <c r="C24" s="762">
        <f>Gen!B29</f>
        <v>0</v>
      </c>
      <c r="D24" s="724">
        <f>'Summery Report'!E23</f>
        <v>0</v>
      </c>
      <c r="E24" s="724">
        <f t="shared" si="13"/>
        <v>1.3262195121951219</v>
      </c>
      <c r="F24" s="438" t="e">
        <f t="shared" si="14"/>
        <v>#DIV/0!</v>
      </c>
      <c r="G24" s="438" t="e">
        <f t="shared" si="0"/>
        <v>#DIV/0!</v>
      </c>
      <c r="H24" s="724">
        <f>Gen!C29</f>
        <v>37627.399999999994</v>
      </c>
      <c r="I24" s="724">
        <f>Gen!E29</f>
        <v>0</v>
      </c>
      <c r="J24" s="763">
        <f>Gen!T29</f>
        <v>0</v>
      </c>
      <c r="K24" s="768">
        <f>Gen!AK29</f>
        <v>0</v>
      </c>
      <c r="L24" s="759">
        <f t="shared" si="17"/>
        <v>0</v>
      </c>
      <c r="M24" s="448">
        <f>'Water-Meter'!K64</f>
        <v>0</v>
      </c>
      <c r="N24" s="719">
        <f>'Water-Meter'!E24</f>
        <v>0</v>
      </c>
      <c r="O24" s="709"/>
      <c r="P24" s="717"/>
      <c r="Q24" s="729">
        <f t="shared" si="2"/>
        <v>0</v>
      </c>
      <c r="R24" s="426">
        <f t="shared" si="5"/>
        <v>0</v>
      </c>
      <c r="S24" s="704"/>
      <c r="T24" s="705"/>
      <c r="U24" s="729">
        <f t="shared" si="6"/>
        <v>0</v>
      </c>
      <c r="V24" s="427">
        <f t="shared" si="19"/>
        <v>0</v>
      </c>
      <c r="W24" s="704"/>
      <c r="X24" s="710"/>
      <c r="Y24" s="729">
        <f t="shared" si="8"/>
        <v>0</v>
      </c>
      <c r="Z24" s="708">
        <f t="shared" si="9"/>
        <v>0</v>
      </c>
      <c r="AA24" s="716">
        <f t="shared" si="10"/>
        <v>0</v>
      </c>
      <c r="AB24" s="713"/>
      <c r="AC24" s="693">
        <f t="shared" si="11"/>
        <v>0</v>
      </c>
      <c r="AD24" s="696"/>
      <c r="AE24" s="178">
        <f t="shared" si="15"/>
        <v>0</v>
      </c>
      <c r="AF24" s="723">
        <f>'Lpg (2)'!B28*2000/85</f>
        <v>0</v>
      </c>
      <c r="AG24" s="266">
        <f>'Lpg (2)'!C28*1000/85</f>
        <v>0</v>
      </c>
      <c r="AH24" s="736">
        <f>'Lpg (2)'!D28*1000/85</f>
        <v>0</v>
      </c>
      <c r="AI24" s="726">
        <f t="shared" si="18"/>
        <v>0</v>
      </c>
      <c r="AJ24" s="428">
        <f t="shared" si="4"/>
        <v>0</v>
      </c>
      <c r="AK24" s="132"/>
    </row>
    <row r="25" spans="1:37" ht="18.75">
      <c r="A25" s="757">
        <f>Gen!A30</f>
        <v>44247</v>
      </c>
      <c r="B25" s="425">
        <f>'Summery Report'!E24</f>
        <v>0</v>
      </c>
      <c r="C25" s="762">
        <f>Gen!B30</f>
        <v>0</v>
      </c>
      <c r="D25" s="724">
        <f>'Summery Report'!E24</f>
        <v>0</v>
      </c>
      <c r="E25" s="724">
        <f t="shared" si="13"/>
        <v>1.3262195121951219</v>
      </c>
      <c r="F25" s="438" t="e">
        <f t="shared" si="14"/>
        <v>#DIV/0!</v>
      </c>
      <c r="G25" s="438" t="e">
        <f t="shared" si="0"/>
        <v>#DIV/0!</v>
      </c>
      <c r="H25" s="724">
        <f>Gen!C30</f>
        <v>37627.399999999994</v>
      </c>
      <c r="I25" s="724">
        <f>Gen!E30</f>
        <v>0</v>
      </c>
      <c r="J25" s="763">
        <f>Gen!T30</f>
        <v>0</v>
      </c>
      <c r="K25" s="768">
        <f>Gen!AK30</f>
        <v>0</v>
      </c>
      <c r="L25" s="759">
        <f t="shared" si="17"/>
        <v>0</v>
      </c>
      <c r="M25" s="448">
        <f>'Water-Meter'!K65</f>
        <v>0</v>
      </c>
      <c r="N25" s="719">
        <f>'Water-Meter'!E25</f>
        <v>0</v>
      </c>
      <c r="O25" s="709"/>
      <c r="P25" s="717"/>
      <c r="Q25" s="729">
        <f t="shared" si="2"/>
        <v>0</v>
      </c>
      <c r="R25" s="426">
        <f t="shared" si="5"/>
        <v>0</v>
      </c>
      <c r="S25" s="704"/>
      <c r="T25" s="705"/>
      <c r="U25" s="729">
        <f t="shared" si="6"/>
        <v>0</v>
      </c>
      <c r="V25" s="427">
        <f t="shared" si="19"/>
        <v>0</v>
      </c>
      <c r="W25" s="704"/>
      <c r="X25" s="710"/>
      <c r="Y25" s="729">
        <f t="shared" si="8"/>
        <v>0</v>
      </c>
      <c r="Z25" s="708">
        <f t="shared" si="9"/>
        <v>0</v>
      </c>
      <c r="AA25" s="716">
        <f t="shared" si="10"/>
        <v>0</v>
      </c>
      <c r="AB25" s="713"/>
      <c r="AC25" s="693">
        <f t="shared" si="11"/>
        <v>0</v>
      </c>
      <c r="AD25" s="696"/>
      <c r="AE25" s="178">
        <f t="shared" si="15"/>
        <v>0</v>
      </c>
      <c r="AF25" s="723">
        <f>'Lpg (2)'!B29*2000/85</f>
        <v>0</v>
      </c>
      <c r="AG25" s="266">
        <f>'Lpg (2)'!C29*1000/85</f>
        <v>0</v>
      </c>
      <c r="AH25" s="736">
        <f>'Lpg (2)'!D29*1000/85</f>
        <v>0</v>
      </c>
      <c r="AI25" s="726">
        <f t="shared" si="18"/>
        <v>0</v>
      </c>
      <c r="AJ25" s="428">
        <f t="shared" si="4"/>
        <v>0</v>
      </c>
      <c r="AK25" s="132"/>
    </row>
    <row r="26" spans="1:37" ht="18.75">
      <c r="A26" s="757">
        <f>Gen!A31</f>
        <v>44248</v>
      </c>
      <c r="B26" s="425">
        <f>'Summery Report'!E25</f>
        <v>0</v>
      </c>
      <c r="C26" s="762">
        <f>Gen!B31</f>
        <v>0</v>
      </c>
      <c r="D26" s="724">
        <f>'Summery Report'!E25</f>
        <v>0</v>
      </c>
      <c r="E26" s="724">
        <f t="shared" si="13"/>
        <v>1.3262195121951219</v>
      </c>
      <c r="F26" s="438" t="e">
        <f>SUM(J26*E26)/D26</f>
        <v>#DIV/0!</v>
      </c>
      <c r="G26" s="438" t="e">
        <f t="shared" si="0"/>
        <v>#DIV/0!</v>
      </c>
      <c r="H26" s="724">
        <f>Gen!C31</f>
        <v>37627.399999999994</v>
      </c>
      <c r="I26" s="724">
        <f>Gen!E31</f>
        <v>0</v>
      </c>
      <c r="J26" s="763">
        <f>Gen!T31</f>
        <v>0</v>
      </c>
      <c r="K26" s="768">
        <f>Gen!AK31</f>
        <v>0</v>
      </c>
      <c r="L26" s="759">
        <f t="shared" si="17"/>
        <v>0</v>
      </c>
      <c r="M26" s="448">
        <f>'Water-Meter'!K66</f>
        <v>0</v>
      </c>
      <c r="N26" s="719">
        <f>'Water-Meter'!E26</f>
        <v>0</v>
      </c>
      <c r="O26" s="709"/>
      <c r="P26" s="717"/>
      <c r="Q26" s="729">
        <f t="shared" si="2"/>
        <v>0</v>
      </c>
      <c r="R26" s="426">
        <f t="shared" si="5"/>
        <v>0</v>
      </c>
      <c r="S26" s="704"/>
      <c r="T26" s="705"/>
      <c r="U26" s="729">
        <f t="shared" si="6"/>
        <v>0</v>
      </c>
      <c r="V26" s="427">
        <f t="shared" si="19"/>
        <v>0</v>
      </c>
      <c r="W26" s="704"/>
      <c r="X26" s="710"/>
      <c r="Y26" s="729">
        <f t="shared" si="8"/>
        <v>0</v>
      </c>
      <c r="Z26" s="708">
        <f t="shared" si="9"/>
        <v>0</v>
      </c>
      <c r="AA26" s="716">
        <f t="shared" si="10"/>
        <v>0</v>
      </c>
      <c r="AB26" s="713"/>
      <c r="AC26" s="693">
        <f t="shared" si="11"/>
        <v>0</v>
      </c>
      <c r="AD26" s="696"/>
      <c r="AE26" s="178">
        <f t="shared" si="15"/>
        <v>0</v>
      </c>
      <c r="AF26" s="723">
        <f>'Lpg (2)'!B30*2000/85</f>
        <v>0</v>
      </c>
      <c r="AG26" s="266">
        <f>'Lpg (2)'!C30*1000/85</f>
        <v>0</v>
      </c>
      <c r="AH26" s="736">
        <f>'Lpg (2)'!D30*1000/85</f>
        <v>0</v>
      </c>
      <c r="AI26" s="726">
        <f t="shared" si="18"/>
        <v>0</v>
      </c>
      <c r="AJ26" s="428">
        <f t="shared" si="4"/>
        <v>0</v>
      </c>
      <c r="AK26" s="132"/>
    </row>
    <row r="27" spans="1:37" ht="18.75">
      <c r="A27" s="757">
        <f>Gen!A32</f>
        <v>44249</v>
      </c>
      <c r="B27" s="425">
        <f>'Summery Report'!E26</f>
        <v>0</v>
      </c>
      <c r="C27" s="762">
        <f>Gen!B32</f>
        <v>0</v>
      </c>
      <c r="D27" s="724">
        <f>'Summery Report'!E26</f>
        <v>0</v>
      </c>
      <c r="E27" s="724">
        <f t="shared" si="13"/>
        <v>1.3262195121951219</v>
      </c>
      <c r="F27" s="438" t="e">
        <f t="shared" si="14"/>
        <v>#DIV/0!</v>
      </c>
      <c r="G27" s="438" t="e">
        <f t="shared" si="0"/>
        <v>#DIV/0!</v>
      </c>
      <c r="H27" s="724">
        <f>Gen!C32</f>
        <v>37627.399999999994</v>
      </c>
      <c r="I27" s="724">
        <f>Gen!E32</f>
        <v>0</v>
      </c>
      <c r="J27" s="763">
        <f>Gen!T32</f>
        <v>0</v>
      </c>
      <c r="K27" s="768">
        <f>Gen!AK32</f>
        <v>0</v>
      </c>
      <c r="L27" s="759">
        <f t="shared" si="17"/>
        <v>0</v>
      </c>
      <c r="M27" s="448">
        <f>'Water-Meter'!K67</f>
        <v>0</v>
      </c>
      <c r="N27" s="719">
        <f>'Water-Meter'!E27</f>
        <v>0</v>
      </c>
      <c r="O27" s="709"/>
      <c r="P27" s="717"/>
      <c r="Q27" s="729">
        <f t="shared" si="2"/>
        <v>0</v>
      </c>
      <c r="R27" s="426">
        <f t="shared" si="5"/>
        <v>0</v>
      </c>
      <c r="S27" s="704"/>
      <c r="T27" s="705"/>
      <c r="U27" s="729">
        <f t="shared" si="6"/>
        <v>0</v>
      </c>
      <c r="V27" s="427">
        <f t="shared" si="19"/>
        <v>0</v>
      </c>
      <c r="W27" s="704"/>
      <c r="X27" s="710"/>
      <c r="Y27" s="729">
        <f t="shared" si="8"/>
        <v>0</v>
      </c>
      <c r="Z27" s="708">
        <f t="shared" si="9"/>
        <v>0</v>
      </c>
      <c r="AA27" s="716">
        <f t="shared" si="10"/>
        <v>0</v>
      </c>
      <c r="AB27" s="713"/>
      <c r="AC27" s="693">
        <f t="shared" si="11"/>
        <v>0</v>
      </c>
      <c r="AD27" s="696"/>
      <c r="AE27" s="178">
        <f t="shared" si="15"/>
        <v>0</v>
      </c>
      <c r="AF27" s="723">
        <f>'Lpg (2)'!B31*2000/85</f>
        <v>0</v>
      </c>
      <c r="AG27" s="266">
        <f>'Lpg (2)'!C31*1000/85</f>
        <v>0</v>
      </c>
      <c r="AH27" s="736">
        <f>'Lpg (2)'!D31*1000/85</f>
        <v>0</v>
      </c>
      <c r="AI27" s="726">
        <f t="shared" si="18"/>
        <v>0</v>
      </c>
      <c r="AJ27" s="428">
        <f t="shared" si="4"/>
        <v>0</v>
      </c>
      <c r="AK27" s="132"/>
    </row>
    <row r="28" spans="1:37" ht="18.75">
      <c r="A28" s="757">
        <f>Gen!A33</f>
        <v>44250</v>
      </c>
      <c r="B28" s="425">
        <f>'Summery Report'!E27</f>
        <v>0</v>
      </c>
      <c r="C28" s="762">
        <f>Gen!B33</f>
        <v>0</v>
      </c>
      <c r="D28" s="724">
        <f>'Summery Report'!E27</f>
        <v>0</v>
      </c>
      <c r="E28" s="724">
        <f t="shared" si="13"/>
        <v>1.3262195121951219</v>
      </c>
      <c r="F28" s="438" t="e">
        <f t="shared" si="14"/>
        <v>#DIV/0!</v>
      </c>
      <c r="G28" s="438" t="e">
        <f t="shared" si="0"/>
        <v>#DIV/0!</v>
      </c>
      <c r="H28" s="724">
        <f>Gen!C33</f>
        <v>37627.399999999994</v>
      </c>
      <c r="I28" s="724">
        <f>Gen!E33</f>
        <v>18000</v>
      </c>
      <c r="J28" s="763">
        <f>Gen!T33</f>
        <v>0</v>
      </c>
      <c r="K28" s="768">
        <f>Gen!AK33</f>
        <v>0</v>
      </c>
      <c r="L28" s="759">
        <f t="shared" si="17"/>
        <v>0</v>
      </c>
      <c r="M28" s="448">
        <f>'Water-Meter'!K68</f>
        <v>0</v>
      </c>
      <c r="N28" s="719">
        <f>'Water-Meter'!E28</f>
        <v>0</v>
      </c>
      <c r="O28" s="709"/>
      <c r="P28" s="717"/>
      <c r="Q28" s="729">
        <f t="shared" si="2"/>
        <v>0</v>
      </c>
      <c r="R28" s="426">
        <f t="shared" si="5"/>
        <v>0</v>
      </c>
      <c r="S28" s="704"/>
      <c r="T28" s="705"/>
      <c r="U28" s="729">
        <f t="shared" si="6"/>
        <v>0</v>
      </c>
      <c r="V28" s="427">
        <f t="shared" si="19"/>
        <v>0</v>
      </c>
      <c r="W28" s="704"/>
      <c r="X28" s="710"/>
      <c r="Y28" s="729">
        <f t="shared" si="8"/>
        <v>0</v>
      </c>
      <c r="Z28" s="708">
        <f t="shared" si="9"/>
        <v>0</v>
      </c>
      <c r="AA28" s="716">
        <f t="shared" si="10"/>
        <v>0</v>
      </c>
      <c r="AB28" s="713"/>
      <c r="AC28" s="693">
        <f t="shared" ref="AC28:AC37" si="21">SUM(AB28-AB27)</f>
        <v>0</v>
      </c>
      <c r="AD28" s="696"/>
      <c r="AE28" s="178">
        <f t="shared" si="15"/>
        <v>0</v>
      </c>
      <c r="AF28" s="723">
        <f>'Lpg (2)'!B32*2000/85</f>
        <v>0</v>
      </c>
      <c r="AG28" s="266">
        <f>'Lpg (2)'!C32*1000/85</f>
        <v>0</v>
      </c>
      <c r="AH28" s="736">
        <f>'Lpg (2)'!D32*1000/85</f>
        <v>0</v>
      </c>
      <c r="AI28" s="726">
        <f t="shared" si="18"/>
        <v>0</v>
      </c>
      <c r="AJ28" s="428">
        <f t="shared" si="4"/>
        <v>0</v>
      </c>
      <c r="AK28" s="132"/>
    </row>
    <row r="29" spans="1:37" ht="18.75">
      <c r="A29" s="757">
        <f>Gen!A34</f>
        <v>44251</v>
      </c>
      <c r="B29" s="425">
        <f>'Summery Report'!E28</f>
        <v>0</v>
      </c>
      <c r="C29" s="762">
        <f>Gen!B34</f>
        <v>0</v>
      </c>
      <c r="D29" s="724">
        <f>'Summery Report'!E28</f>
        <v>0</v>
      </c>
      <c r="E29" s="724">
        <f t="shared" si="13"/>
        <v>1.3262195121951219</v>
      </c>
      <c r="F29" s="438" t="e">
        <f t="shared" si="14"/>
        <v>#DIV/0!</v>
      </c>
      <c r="G29" s="438" t="e">
        <f t="shared" si="0"/>
        <v>#DIV/0!</v>
      </c>
      <c r="H29" s="724">
        <f>Gen!C34</f>
        <v>37627.399999999994</v>
      </c>
      <c r="I29" s="724">
        <f>Gen!E34</f>
        <v>0</v>
      </c>
      <c r="J29" s="763">
        <f>Gen!T34</f>
        <v>0</v>
      </c>
      <c r="K29" s="768">
        <f>Gen!AK34</f>
        <v>0</v>
      </c>
      <c r="L29" s="759">
        <f t="shared" si="17"/>
        <v>0</v>
      </c>
      <c r="M29" s="448">
        <f>'Water-Meter'!K69</f>
        <v>0</v>
      </c>
      <c r="N29" s="719">
        <f>'Water-Meter'!E29</f>
        <v>0</v>
      </c>
      <c r="O29" s="709"/>
      <c r="P29" s="717"/>
      <c r="Q29" s="729">
        <f t="shared" si="2"/>
        <v>0</v>
      </c>
      <c r="R29" s="426">
        <f t="shared" si="5"/>
        <v>0</v>
      </c>
      <c r="S29" s="704"/>
      <c r="T29" s="705"/>
      <c r="U29" s="729">
        <f t="shared" si="6"/>
        <v>0</v>
      </c>
      <c r="V29" s="427">
        <f t="shared" si="19"/>
        <v>0</v>
      </c>
      <c r="W29" s="704"/>
      <c r="X29" s="710"/>
      <c r="Y29" s="729">
        <f t="shared" si="8"/>
        <v>0</v>
      </c>
      <c r="Z29" s="708">
        <f t="shared" si="9"/>
        <v>0</v>
      </c>
      <c r="AA29" s="716">
        <f t="shared" si="10"/>
        <v>0</v>
      </c>
      <c r="AB29" s="713"/>
      <c r="AC29" s="693">
        <f t="shared" si="21"/>
        <v>0</v>
      </c>
      <c r="AD29" s="696"/>
      <c r="AE29" s="178">
        <f t="shared" si="15"/>
        <v>0</v>
      </c>
      <c r="AF29" s="723">
        <f>'Lpg (2)'!B33*2000/85</f>
        <v>0</v>
      </c>
      <c r="AG29" s="266">
        <f>'Lpg (2)'!C33*1000/85</f>
        <v>0</v>
      </c>
      <c r="AH29" s="736">
        <f>'Lpg (2)'!D33*1000/85</f>
        <v>0</v>
      </c>
      <c r="AI29" s="726">
        <f t="shared" si="18"/>
        <v>0</v>
      </c>
      <c r="AJ29" s="428">
        <f t="shared" si="4"/>
        <v>0</v>
      </c>
      <c r="AK29" s="132"/>
    </row>
    <row r="30" spans="1:37" ht="18.75">
      <c r="A30" s="757">
        <f>Gen!A35</f>
        <v>44252</v>
      </c>
      <c r="B30" s="425">
        <f>'Summery Report'!E29</f>
        <v>0</v>
      </c>
      <c r="C30" s="762">
        <f>Gen!B35</f>
        <v>0</v>
      </c>
      <c r="D30" s="724">
        <f>'Summery Report'!E29</f>
        <v>0</v>
      </c>
      <c r="E30" s="724">
        <f t="shared" si="13"/>
        <v>1.3262195121951219</v>
      </c>
      <c r="F30" s="438" t="e">
        <f t="shared" si="14"/>
        <v>#DIV/0!</v>
      </c>
      <c r="G30" s="438" t="e">
        <f t="shared" si="0"/>
        <v>#DIV/0!</v>
      </c>
      <c r="H30" s="724">
        <f>Gen!C35</f>
        <v>37627.399999999994</v>
      </c>
      <c r="I30" s="724">
        <f>Gen!E35</f>
        <v>0</v>
      </c>
      <c r="J30" s="763">
        <f>Gen!T35</f>
        <v>0</v>
      </c>
      <c r="K30" s="768">
        <f>Gen!AK35</f>
        <v>0</v>
      </c>
      <c r="L30" s="759">
        <f t="shared" si="17"/>
        <v>0</v>
      </c>
      <c r="M30" s="448">
        <f>'Water-Meter'!K70</f>
        <v>0</v>
      </c>
      <c r="N30" s="719">
        <f>'Water-Meter'!E30</f>
        <v>0</v>
      </c>
      <c r="O30" s="709"/>
      <c r="P30" s="717"/>
      <c r="Q30" s="729">
        <f t="shared" si="2"/>
        <v>0</v>
      </c>
      <c r="R30" s="426">
        <f t="shared" si="5"/>
        <v>0</v>
      </c>
      <c r="S30" s="704"/>
      <c r="T30" s="705"/>
      <c r="U30" s="729">
        <f t="shared" si="6"/>
        <v>0</v>
      </c>
      <c r="V30" s="427">
        <f t="shared" si="19"/>
        <v>0</v>
      </c>
      <c r="W30" s="704"/>
      <c r="X30" s="710"/>
      <c r="Y30" s="729">
        <f t="shared" si="8"/>
        <v>0</v>
      </c>
      <c r="Z30" s="708">
        <f t="shared" si="9"/>
        <v>0</v>
      </c>
      <c r="AA30" s="716">
        <f t="shared" si="10"/>
        <v>0</v>
      </c>
      <c r="AB30" s="713"/>
      <c r="AC30" s="693">
        <f t="shared" si="21"/>
        <v>0</v>
      </c>
      <c r="AD30" s="696"/>
      <c r="AE30" s="178">
        <f t="shared" si="15"/>
        <v>0</v>
      </c>
      <c r="AF30" s="723">
        <f>'Lpg (2)'!B34*2000/85</f>
        <v>0</v>
      </c>
      <c r="AG30" s="266">
        <f>'Lpg (2)'!C34*1000/85</f>
        <v>0</v>
      </c>
      <c r="AH30" s="736">
        <f>'Lpg (2)'!D34*1000/85</f>
        <v>0</v>
      </c>
      <c r="AI30" s="726">
        <f t="shared" si="18"/>
        <v>0</v>
      </c>
      <c r="AJ30" s="428">
        <f t="shared" si="4"/>
        <v>0</v>
      </c>
      <c r="AK30" s="132"/>
    </row>
    <row r="31" spans="1:37" ht="18.75">
      <c r="A31" s="757">
        <f>Gen!A36</f>
        <v>44253</v>
      </c>
      <c r="B31" s="425">
        <f>'Summery Report'!E30</f>
        <v>0</v>
      </c>
      <c r="C31" s="762">
        <f>Gen!B36</f>
        <v>0</v>
      </c>
      <c r="D31" s="724">
        <f>'Summery Report'!E30</f>
        <v>0</v>
      </c>
      <c r="E31" s="724">
        <f t="shared" si="13"/>
        <v>1.3262195121951219</v>
      </c>
      <c r="F31" s="438" t="e">
        <f t="shared" si="14"/>
        <v>#DIV/0!</v>
      </c>
      <c r="G31" s="438" t="e">
        <f t="shared" si="0"/>
        <v>#DIV/0!</v>
      </c>
      <c r="H31" s="724">
        <f>Gen!C36</f>
        <v>37627.399999999994</v>
      </c>
      <c r="I31" s="724">
        <f>Gen!E36</f>
        <v>0</v>
      </c>
      <c r="J31" s="763">
        <f>Gen!T36</f>
        <v>0</v>
      </c>
      <c r="K31" s="768">
        <f>Gen!AK36</f>
        <v>0</v>
      </c>
      <c r="L31" s="759">
        <f t="shared" si="17"/>
        <v>0</v>
      </c>
      <c r="M31" s="448">
        <f>'Water-Meter'!K71</f>
        <v>0</v>
      </c>
      <c r="N31" s="719">
        <f>'Water-Meter'!E31</f>
        <v>0</v>
      </c>
      <c r="O31" s="709"/>
      <c r="P31" s="717"/>
      <c r="Q31" s="729">
        <f t="shared" si="2"/>
        <v>0</v>
      </c>
      <c r="R31" s="426">
        <f t="shared" si="5"/>
        <v>0</v>
      </c>
      <c r="S31" s="704"/>
      <c r="T31" s="705"/>
      <c r="U31" s="729">
        <f t="shared" si="6"/>
        <v>0</v>
      </c>
      <c r="V31" s="427">
        <f t="shared" si="19"/>
        <v>0</v>
      </c>
      <c r="W31" s="704"/>
      <c r="X31" s="711"/>
      <c r="Y31" s="729">
        <f t="shared" si="8"/>
        <v>0</v>
      </c>
      <c r="Z31" s="708">
        <f t="shared" si="9"/>
        <v>0</v>
      </c>
      <c r="AA31" s="716">
        <f t="shared" si="10"/>
        <v>0</v>
      </c>
      <c r="AB31" s="713"/>
      <c r="AC31" s="693">
        <f t="shared" si="21"/>
        <v>0</v>
      </c>
      <c r="AD31" s="696"/>
      <c r="AE31" s="178">
        <f t="shared" si="15"/>
        <v>0</v>
      </c>
      <c r="AF31" s="723">
        <f>'Lpg (2)'!B35*2000/85</f>
        <v>0</v>
      </c>
      <c r="AG31" s="266">
        <f>'Lpg (2)'!C35*1000/85</f>
        <v>0</v>
      </c>
      <c r="AH31" s="736">
        <f>'Lpg (2)'!D35*1000/85</f>
        <v>0</v>
      </c>
      <c r="AI31" s="726">
        <f t="shared" si="18"/>
        <v>0</v>
      </c>
      <c r="AJ31" s="428">
        <f t="shared" si="4"/>
        <v>0</v>
      </c>
      <c r="AK31" s="132"/>
    </row>
    <row r="32" spans="1:37" ht="18.75">
      <c r="A32" s="757">
        <f>Gen!A37</f>
        <v>44254</v>
      </c>
      <c r="B32" s="425">
        <f>'Summery Report'!E31</f>
        <v>0</v>
      </c>
      <c r="C32" s="762">
        <f>Gen!B37</f>
        <v>0</v>
      </c>
      <c r="D32" s="724">
        <f>'Summery Report'!E31</f>
        <v>0</v>
      </c>
      <c r="E32" s="724">
        <f t="shared" si="13"/>
        <v>1.3262195121951219</v>
      </c>
      <c r="F32" s="438" t="e">
        <f t="shared" si="14"/>
        <v>#DIV/0!</v>
      </c>
      <c r="G32" s="438" t="e">
        <f t="shared" si="0"/>
        <v>#DIV/0!</v>
      </c>
      <c r="H32" s="724">
        <f>Gen!C37</f>
        <v>37627.399999999994</v>
      </c>
      <c r="I32" s="724">
        <f>Gen!E37</f>
        <v>0</v>
      </c>
      <c r="J32" s="763">
        <f>Gen!T37</f>
        <v>0</v>
      </c>
      <c r="K32" s="768">
        <f>Gen!AK37</f>
        <v>0</v>
      </c>
      <c r="L32" s="759">
        <f t="shared" si="17"/>
        <v>0</v>
      </c>
      <c r="M32" s="448">
        <f>'Water-Meter'!K72</f>
        <v>0</v>
      </c>
      <c r="N32" s="719">
        <f>'Water-Meter'!E32</f>
        <v>0</v>
      </c>
      <c r="O32" s="709"/>
      <c r="P32" s="717"/>
      <c r="Q32" s="729">
        <f t="shared" si="2"/>
        <v>0</v>
      </c>
      <c r="R32" s="426">
        <f t="shared" si="5"/>
        <v>0</v>
      </c>
      <c r="S32" s="704"/>
      <c r="T32" s="705"/>
      <c r="U32" s="729">
        <f t="shared" si="6"/>
        <v>0</v>
      </c>
      <c r="V32" s="427">
        <f t="shared" si="19"/>
        <v>0</v>
      </c>
      <c r="W32" s="704"/>
      <c r="X32" s="710"/>
      <c r="Y32" s="729">
        <f t="shared" si="8"/>
        <v>0</v>
      </c>
      <c r="Z32" s="708">
        <f t="shared" si="9"/>
        <v>0</v>
      </c>
      <c r="AA32" s="716">
        <f t="shared" si="10"/>
        <v>0</v>
      </c>
      <c r="AB32" s="713"/>
      <c r="AC32" s="693">
        <f t="shared" si="21"/>
        <v>0</v>
      </c>
      <c r="AD32" s="696"/>
      <c r="AE32" s="178">
        <f t="shared" si="15"/>
        <v>0</v>
      </c>
      <c r="AF32" s="723">
        <f>'Lpg (2)'!B36*2000/85</f>
        <v>0</v>
      </c>
      <c r="AG32" s="266">
        <f>'Lpg (2)'!C36*1000/85</f>
        <v>0</v>
      </c>
      <c r="AH32" s="736">
        <f>'Lpg (2)'!D36*1000/85</f>
        <v>0</v>
      </c>
      <c r="AI32" s="726">
        <f t="shared" si="18"/>
        <v>0</v>
      </c>
      <c r="AJ32" s="428">
        <f t="shared" si="4"/>
        <v>0</v>
      </c>
      <c r="AK32" s="132"/>
    </row>
    <row r="33" spans="1:37" ht="18.75">
      <c r="A33" s="757">
        <f>Gen!A38</f>
        <v>44255</v>
      </c>
      <c r="B33" s="425">
        <f>'Summery Report'!E32</f>
        <v>0</v>
      </c>
      <c r="C33" s="762">
        <f>Gen!B38</f>
        <v>0</v>
      </c>
      <c r="D33" s="724">
        <f>'Summery Report'!E32</f>
        <v>0</v>
      </c>
      <c r="E33" s="724">
        <f t="shared" si="13"/>
        <v>1.3262195121951219</v>
      </c>
      <c r="F33" s="438" t="e">
        <f t="shared" si="14"/>
        <v>#DIV/0!</v>
      </c>
      <c r="G33" s="438" t="e">
        <f t="shared" si="0"/>
        <v>#DIV/0!</v>
      </c>
      <c r="H33" s="724">
        <f>Gen!C38</f>
        <v>37627.399999999994</v>
      </c>
      <c r="I33" s="724">
        <f>Gen!E38</f>
        <v>0</v>
      </c>
      <c r="J33" s="763">
        <f>Gen!T38</f>
        <v>0</v>
      </c>
      <c r="K33" s="768">
        <f>Gen!AK38</f>
        <v>0</v>
      </c>
      <c r="L33" s="759">
        <f t="shared" si="17"/>
        <v>0</v>
      </c>
      <c r="M33" s="448">
        <f>'Water-Meter'!K73</f>
        <v>0</v>
      </c>
      <c r="N33" s="719">
        <f>'Water-Meter'!E33</f>
        <v>0</v>
      </c>
      <c r="O33" s="709"/>
      <c r="P33" s="717"/>
      <c r="Q33" s="729">
        <f t="shared" si="2"/>
        <v>0</v>
      </c>
      <c r="R33" s="426">
        <f t="shared" si="5"/>
        <v>0</v>
      </c>
      <c r="S33" s="704"/>
      <c r="T33" s="705"/>
      <c r="U33" s="729">
        <f t="shared" si="6"/>
        <v>0</v>
      </c>
      <c r="V33" s="427">
        <f t="shared" si="19"/>
        <v>0</v>
      </c>
      <c r="W33" s="704"/>
      <c r="X33" s="710"/>
      <c r="Y33" s="729">
        <f t="shared" si="8"/>
        <v>0</v>
      </c>
      <c r="Z33" s="708">
        <f t="shared" si="9"/>
        <v>0</v>
      </c>
      <c r="AA33" s="716">
        <f t="shared" si="10"/>
        <v>0</v>
      </c>
      <c r="AB33" s="713"/>
      <c r="AC33" s="693">
        <f t="shared" si="21"/>
        <v>0</v>
      </c>
      <c r="AD33" s="696"/>
      <c r="AE33" s="178">
        <f t="shared" si="15"/>
        <v>0</v>
      </c>
      <c r="AF33" s="723">
        <f>'Lpg (2)'!B37*2000/85</f>
        <v>0</v>
      </c>
      <c r="AG33" s="266">
        <f>'Lpg (2)'!C37*1000/85</f>
        <v>0</v>
      </c>
      <c r="AH33" s="736">
        <f>'Lpg (2)'!D37*1000/85</f>
        <v>0</v>
      </c>
      <c r="AI33" s="726">
        <f t="shared" si="18"/>
        <v>0</v>
      </c>
      <c r="AJ33" s="428">
        <f t="shared" si="4"/>
        <v>0</v>
      </c>
      <c r="AK33" s="132"/>
    </row>
    <row r="34" spans="1:37" ht="18.75">
      <c r="A34" s="757">
        <f>Gen!A39</f>
        <v>0</v>
      </c>
      <c r="B34" s="425">
        <f>'Summery Report'!E33</f>
        <v>0</v>
      </c>
      <c r="C34" s="762">
        <f>Gen!B39</f>
        <v>0</v>
      </c>
      <c r="D34" s="724">
        <f>'Summery Report'!E33</f>
        <v>0</v>
      </c>
      <c r="E34" s="724">
        <f t="shared" si="13"/>
        <v>1.3262195121951219</v>
      </c>
      <c r="F34" s="438" t="e">
        <f t="shared" si="14"/>
        <v>#DIV/0!</v>
      </c>
      <c r="G34" s="438" t="e">
        <f t="shared" si="0"/>
        <v>#DIV/0!</v>
      </c>
      <c r="H34" s="724">
        <f>Gen!C39</f>
        <v>37627.399999999994</v>
      </c>
      <c r="I34" s="724">
        <f>Gen!E39</f>
        <v>0</v>
      </c>
      <c r="J34" s="763">
        <f>Gen!T39</f>
        <v>0</v>
      </c>
      <c r="K34" s="768">
        <f>Gen!AK39</f>
        <v>0</v>
      </c>
      <c r="L34" s="759">
        <f t="shared" si="17"/>
        <v>0</v>
      </c>
      <c r="M34" s="448">
        <f>'Water-Meter'!K74</f>
        <v>0</v>
      </c>
      <c r="N34" s="719">
        <f>'Water-Meter'!E34</f>
        <v>0</v>
      </c>
      <c r="O34" s="709"/>
      <c r="P34" s="717"/>
      <c r="Q34" s="729">
        <f t="shared" si="2"/>
        <v>0</v>
      </c>
      <c r="R34" s="426">
        <f t="shared" si="5"/>
        <v>0</v>
      </c>
      <c r="S34" s="704"/>
      <c r="T34" s="705"/>
      <c r="U34" s="729">
        <f t="shared" si="6"/>
        <v>0</v>
      </c>
      <c r="V34" s="427">
        <f t="shared" si="19"/>
        <v>0</v>
      </c>
      <c r="W34" s="704"/>
      <c r="X34" s="710"/>
      <c r="Y34" s="729">
        <f t="shared" si="8"/>
        <v>0</v>
      </c>
      <c r="Z34" s="708">
        <f t="shared" si="9"/>
        <v>0</v>
      </c>
      <c r="AA34" s="716">
        <f t="shared" si="10"/>
        <v>0</v>
      </c>
      <c r="AB34" s="713"/>
      <c r="AC34" s="693">
        <f t="shared" si="21"/>
        <v>0</v>
      </c>
      <c r="AD34" s="696"/>
      <c r="AE34" s="178">
        <f t="shared" si="15"/>
        <v>0</v>
      </c>
      <c r="AF34" s="723">
        <f>'Lpg (2)'!B38*2000/85</f>
        <v>0</v>
      </c>
      <c r="AG34" s="266">
        <f>'Lpg (2)'!C38*1000/85</f>
        <v>0</v>
      </c>
      <c r="AH34" s="736">
        <f>'Lpg (2)'!D38*1000/85</f>
        <v>0</v>
      </c>
      <c r="AI34" s="726">
        <f t="shared" si="18"/>
        <v>0</v>
      </c>
      <c r="AJ34" s="428">
        <f t="shared" si="4"/>
        <v>0</v>
      </c>
      <c r="AK34" s="132"/>
    </row>
    <row r="35" spans="1:37" ht="18.75">
      <c r="A35" s="757">
        <f>Gen!A40</f>
        <v>0</v>
      </c>
      <c r="B35" s="425">
        <f>'Summery Report'!E34</f>
        <v>0</v>
      </c>
      <c r="C35" s="762">
        <f>Gen!B40</f>
        <v>0</v>
      </c>
      <c r="D35" s="724">
        <f>'Summery Report'!E34</f>
        <v>0</v>
      </c>
      <c r="E35" s="724">
        <f t="shared" si="13"/>
        <v>1.3262195121951219</v>
      </c>
      <c r="F35" s="438" t="e">
        <f t="shared" si="14"/>
        <v>#DIV/0!</v>
      </c>
      <c r="G35" s="438" t="e">
        <f t="shared" si="0"/>
        <v>#DIV/0!</v>
      </c>
      <c r="H35" s="724">
        <f>Gen!C40</f>
        <v>37627.399999999994</v>
      </c>
      <c r="I35" s="724">
        <f>Gen!E40</f>
        <v>0</v>
      </c>
      <c r="J35" s="763">
        <f>Gen!T40</f>
        <v>0</v>
      </c>
      <c r="K35" s="768">
        <f>Gen!AK40</f>
        <v>0</v>
      </c>
      <c r="L35" s="759">
        <f t="shared" si="17"/>
        <v>0</v>
      </c>
      <c r="M35" s="448">
        <f>'Water-Meter'!K75</f>
        <v>0</v>
      </c>
      <c r="N35" s="719">
        <f>'Water-Meter'!E35</f>
        <v>0</v>
      </c>
      <c r="O35" s="709"/>
      <c r="P35" s="717"/>
      <c r="Q35" s="729">
        <f t="shared" si="2"/>
        <v>0</v>
      </c>
      <c r="R35" s="426">
        <f t="shared" si="5"/>
        <v>0</v>
      </c>
      <c r="S35" s="704"/>
      <c r="T35" s="705"/>
      <c r="U35" s="729">
        <f t="shared" si="6"/>
        <v>0</v>
      </c>
      <c r="V35" s="427">
        <f t="shared" si="19"/>
        <v>0</v>
      </c>
      <c r="W35" s="704"/>
      <c r="X35" s="710"/>
      <c r="Y35" s="729">
        <f t="shared" si="8"/>
        <v>0</v>
      </c>
      <c r="Z35" s="708">
        <f t="shared" si="9"/>
        <v>0</v>
      </c>
      <c r="AA35" s="716">
        <f t="shared" si="10"/>
        <v>0</v>
      </c>
      <c r="AB35" s="713"/>
      <c r="AC35" s="693">
        <f t="shared" si="21"/>
        <v>0</v>
      </c>
      <c r="AD35" s="696"/>
      <c r="AE35" s="178">
        <f t="shared" si="15"/>
        <v>0</v>
      </c>
      <c r="AF35" s="723">
        <f>'Lpg (2)'!B39*2000/85</f>
        <v>0</v>
      </c>
      <c r="AG35" s="266">
        <f>'Lpg (2)'!C39*1000/85</f>
        <v>0</v>
      </c>
      <c r="AH35" s="736">
        <f>'Lpg (2)'!D39*1000/85</f>
        <v>0</v>
      </c>
      <c r="AI35" s="726">
        <f t="shared" si="18"/>
        <v>0</v>
      </c>
      <c r="AJ35" s="428">
        <f t="shared" si="4"/>
        <v>0</v>
      </c>
      <c r="AK35" s="132"/>
    </row>
    <row r="36" spans="1:37" ht="18.75">
      <c r="A36" s="757">
        <f>Gen!A41</f>
        <v>0</v>
      </c>
      <c r="B36" s="425">
        <f>'Summery Report'!E35</f>
        <v>0</v>
      </c>
      <c r="C36" s="762">
        <f>Gen!B41</f>
        <v>0</v>
      </c>
      <c r="D36" s="724">
        <f>'Summery Report'!E35</f>
        <v>0</v>
      </c>
      <c r="E36" s="724">
        <f t="shared" si="13"/>
        <v>1.3262195121951219</v>
      </c>
      <c r="F36" s="438" t="e">
        <f t="shared" si="14"/>
        <v>#DIV/0!</v>
      </c>
      <c r="G36" s="438" t="e">
        <f t="shared" si="0"/>
        <v>#DIV/0!</v>
      </c>
      <c r="H36" s="724">
        <f>Gen!C41</f>
        <v>37627.399999999994</v>
      </c>
      <c r="I36" s="724">
        <f>Gen!E41</f>
        <v>0</v>
      </c>
      <c r="J36" s="763">
        <f>Gen!T41</f>
        <v>0</v>
      </c>
      <c r="K36" s="768">
        <f>Gen!AK41</f>
        <v>0</v>
      </c>
      <c r="L36" s="759">
        <f t="shared" si="17"/>
        <v>0</v>
      </c>
      <c r="M36" s="448">
        <f>'Water-Meter'!K76</f>
        <v>0</v>
      </c>
      <c r="N36" s="719">
        <f>'Water-Meter'!E36</f>
        <v>0</v>
      </c>
      <c r="O36" s="709"/>
      <c r="P36" s="717"/>
      <c r="Q36" s="729">
        <f t="shared" si="2"/>
        <v>0</v>
      </c>
      <c r="R36" s="426">
        <f t="shared" si="5"/>
        <v>0</v>
      </c>
      <c r="S36" s="704"/>
      <c r="T36" s="705"/>
      <c r="U36" s="729">
        <f t="shared" si="6"/>
        <v>0</v>
      </c>
      <c r="V36" s="427">
        <f t="shared" si="19"/>
        <v>0</v>
      </c>
      <c r="W36" s="704"/>
      <c r="X36" s="710"/>
      <c r="Y36" s="729">
        <f t="shared" si="8"/>
        <v>0</v>
      </c>
      <c r="Z36" s="708">
        <f t="shared" si="9"/>
        <v>0</v>
      </c>
      <c r="AA36" s="716">
        <f t="shared" si="10"/>
        <v>0</v>
      </c>
      <c r="AB36" s="713"/>
      <c r="AC36" s="693">
        <f t="shared" si="21"/>
        <v>0</v>
      </c>
      <c r="AD36" s="696"/>
      <c r="AE36" s="178">
        <f t="shared" si="15"/>
        <v>0</v>
      </c>
      <c r="AF36" s="723">
        <f>'Lpg (2)'!B40*2000/85</f>
        <v>0</v>
      </c>
      <c r="AG36" s="266">
        <f>'Lpg (2)'!C40*1000/85</f>
        <v>0</v>
      </c>
      <c r="AH36" s="736">
        <f>'Lpg (2)'!D40*1000/85</f>
        <v>0</v>
      </c>
      <c r="AI36" s="726">
        <f>SUM(AF36*1000)+(AG36*1000)+(AH36*2000)</f>
        <v>0</v>
      </c>
      <c r="AJ36" s="428">
        <f t="shared" si="4"/>
        <v>0</v>
      </c>
      <c r="AK36" s="132"/>
    </row>
    <row r="37" spans="1:37" s="8" customFormat="1" ht="18" thickBot="1">
      <c r="A37" s="758">
        <f>Gen!A42</f>
        <v>0</v>
      </c>
      <c r="B37" s="769">
        <v>0</v>
      </c>
      <c r="C37" s="770"/>
      <c r="D37" s="770"/>
      <c r="E37" s="770"/>
      <c r="F37" s="770"/>
      <c r="G37" s="770"/>
      <c r="H37" s="771"/>
      <c r="I37" s="772"/>
      <c r="J37" s="773">
        <f>SUM(J6:J36)</f>
        <v>2906</v>
      </c>
      <c r="K37" s="774"/>
      <c r="L37" s="760">
        <f t="shared" si="17"/>
        <v>2906</v>
      </c>
      <c r="M37" s="448">
        <f>'Water-Meter'!K77</f>
        <v>0</v>
      </c>
      <c r="N37" s="720">
        <f>'Water-Meter'!E37</f>
        <v>0</v>
      </c>
      <c r="O37" s="706"/>
      <c r="P37" s="707"/>
      <c r="Q37" s="730">
        <f t="shared" ref="Q37" si="22">SUM(P37-P36)</f>
        <v>0</v>
      </c>
      <c r="R37" s="731">
        <f t="shared" ref="R37" si="23">SUM(Q37*O37)</f>
        <v>0</v>
      </c>
      <c r="S37" s="706"/>
      <c r="T37" s="707"/>
      <c r="U37" s="730">
        <f t="shared" ref="U37" si="24">T37-T36</f>
        <v>0</v>
      </c>
      <c r="V37" s="732">
        <f t="shared" ref="V37" si="25">SUM(U37*S37)</f>
        <v>0</v>
      </c>
      <c r="W37" s="706"/>
      <c r="X37" s="707"/>
      <c r="Y37" s="730">
        <f t="shared" ref="Y37" si="26">X37-X36</f>
        <v>0</v>
      </c>
      <c r="Z37" s="733">
        <f t="shared" ref="Z37" si="27">SUM(Y37*W37)</f>
        <v>0</v>
      </c>
      <c r="AA37" s="734">
        <f t="shared" ref="AA37" si="28">SUM(Z37*X39)</f>
        <v>0</v>
      </c>
      <c r="AB37" s="701"/>
      <c r="AC37" s="694">
        <f t="shared" si="21"/>
        <v>0</v>
      </c>
      <c r="AD37" s="697"/>
      <c r="AE37" s="702">
        <f t="shared" si="15"/>
        <v>0</v>
      </c>
      <c r="AF37" s="737">
        <f>'Lpg (2)'!B41*2000/85</f>
        <v>0</v>
      </c>
      <c r="AG37" s="738">
        <f>'Lpg (2)'!C41*1000/85</f>
        <v>0</v>
      </c>
      <c r="AH37" s="739">
        <f>'Lpg (2)'!D41*1000/85</f>
        <v>0</v>
      </c>
      <c r="AI37" s="727"/>
      <c r="AJ37" s="429">
        <f t="shared" ref="AJ37" si="29">SUM(AI36-AI37)</f>
        <v>0</v>
      </c>
      <c r="AK37" s="133"/>
    </row>
    <row r="38" spans="1:37" s="73" customFormat="1">
      <c r="A38" s="278"/>
      <c r="B38" s="279"/>
      <c r="C38" s="280"/>
      <c r="D38" s="280"/>
      <c r="E38" s="280"/>
      <c r="F38" s="280"/>
      <c r="G38" s="280"/>
      <c r="H38" s="279"/>
      <c r="I38" s="279"/>
      <c r="J38" s="281"/>
      <c r="K38" s="281"/>
      <c r="L38" s="281"/>
      <c r="M38" s="282"/>
      <c r="N38" s="282"/>
      <c r="O38" s="282"/>
      <c r="P38" s="282"/>
      <c r="Q38" s="282"/>
      <c r="R38" s="282"/>
      <c r="S38" s="282"/>
      <c r="T38" s="282"/>
      <c r="U38" s="282"/>
      <c r="V38" s="282"/>
      <c r="W38" s="282"/>
      <c r="X38" s="145"/>
      <c r="Y38" s="145"/>
      <c r="Z38" s="145"/>
      <c r="AA38" s="129"/>
      <c r="AB38" s="129"/>
      <c r="AC38" s="146"/>
      <c r="AD38" s="129"/>
      <c r="AE38" s="146"/>
      <c r="AF38" s="145"/>
      <c r="AG38" s="145"/>
      <c r="AH38" s="145"/>
      <c r="AI38" s="129"/>
      <c r="AJ38" s="129"/>
      <c r="AK38" s="145"/>
    </row>
    <row r="39" spans="1:37">
      <c r="C39" s="130"/>
      <c r="J39" s="130"/>
      <c r="X39" s="130"/>
      <c r="AF39" s="130"/>
      <c r="AH39" s="129"/>
    </row>
    <row r="40" spans="1:37" ht="30.75" customHeight="1">
      <c r="C40" s="130"/>
      <c r="J40" s="130"/>
      <c r="X40" s="130"/>
    </row>
    <row r="41" spans="1:37">
      <c r="C41" s="130"/>
      <c r="J41" s="130"/>
    </row>
    <row r="42" spans="1:37">
      <c r="C42" s="130"/>
      <c r="J42" s="130"/>
    </row>
    <row r="43" spans="1:37" ht="15">
      <c r="C43" s="130"/>
      <c r="J43" s="130"/>
      <c r="X43" s="430"/>
    </row>
    <row r="44" spans="1:37" ht="15">
      <c r="C44" s="130"/>
      <c r="J44" s="130"/>
      <c r="X44" s="431"/>
    </row>
    <row r="45" spans="1:37" ht="15">
      <c r="C45" s="130"/>
      <c r="J45" s="130"/>
      <c r="X45" s="430"/>
    </row>
    <row r="46" spans="1:37" ht="15">
      <c r="C46" s="130"/>
      <c r="J46" s="130"/>
      <c r="X46" s="431"/>
    </row>
    <row r="47" spans="1:37">
      <c r="C47" s="130"/>
      <c r="J47" s="130"/>
    </row>
    <row r="48" spans="1:37">
      <c r="C48" s="130"/>
      <c r="J48" s="130"/>
    </row>
    <row r="49" spans="3:10">
      <c r="C49" s="130"/>
      <c r="J49" s="130"/>
    </row>
    <row r="50" spans="3:10">
      <c r="C50" s="130"/>
      <c r="J50" s="130"/>
    </row>
    <row r="51" spans="3:10">
      <c r="C51" s="130"/>
      <c r="J51" s="130"/>
    </row>
    <row r="52" spans="3:10">
      <c r="C52" s="130"/>
      <c r="J52" s="130"/>
    </row>
    <row r="53" spans="3:10">
      <c r="C53" s="130"/>
      <c r="J53" s="130"/>
    </row>
    <row r="54" spans="3:10">
      <c r="C54" s="130"/>
      <c r="J54" s="130"/>
    </row>
    <row r="55" spans="3:10">
      <c r="C55" s="130"/>
      <c r="J55" s="130"/>
    </row>
    <row r="56" spans="3:10">
      <c r="C56" s="130"/>
      <c r="J56" s="130"/>
    </row>
    <row r="57" spans="3:10">
      <c r="C57" s="130"/>
      <c r="J57" s="130"/>
    </row>
    <row r="58" spans="3:10">
      <c r="C58" s="130"/>
      <c r="J58" s="130"/>
    </row>
    <row r="59" spans="3:10">
      <c r="C59" s="130"/>
      <c r="J59" s="130"/>
    </row>
    <row r="60" spans="3:10">
      <c r="C60" s="130"/>
      <c r="J60" s="130"/>
    </row>
    <row r="61" spans="3:10">
      <c r="C61" s="130"/>
      <c r="J61" s="130"/>
    </row>
    <row r="62" spans="3:10">
      <c r="C62" s="130"/>
      <c r="J62" s="130"/>
    </row>
    <row r="63" spans="3:10">
      <c r="C63" s="130"/>
      <c r="J63" s="130"/>
    </row>
    <row r="64" spans="3:10">
      <c r="C64" s="130"/>
      <c r="J64" s="130"/>
    </row>
    <row r="65" spans="3:24">
      <c r="C65" s="130"/>
      <c r="J65" s="130"/>
    </row>
    <row r="66" spans="3:24" ht="15">
      <c r="C66" s="130"/>
      <c r="J66" s="130"/>
      <c r="X66" s="432"/>
    </row>
    <row r="67" spans="3:24" ht="15">
      <c r="C67" s="130"/>
      <c r="J67" s="130"/>
      <c r="X67" s="433"/>
    </row>
    <row r="68" spans="3:24" ht="15">
      <c r="C68" s="130"/>
      <c r="J68" s="130"/>
      <c r="X68" s="433"/>
    </row>
    <row r="69" spans="3:24" ht="15">
      <c r="C69" s="130"/>
      <c r="J69" s="130"/>
      <c r="X69" s="433"/>
    </row>
    <row r="70" spans="3:24" ht="15">
      <c r="C70" s="130"/>
      <c r="J70" s="130"/>
      <c r="X70" s="433"/>
    </row>
    <row r="71" spans="3:24" ht="15">
      <c r="C71" s="130"/>
      <c r="J71" s="130"/>
      <c r="X71" s="433"/>
    </row>
    <row r="72" spans="3:24">
      <c r="C72" s="130"/>
      <c r="J72" s="130"/>
      <c r="X72" s="19"/>
    </row>
    <row r="73" spans="3:24">
      <c r="C73" s="130"/>
      <c r="J73" s="130"/>
      <c r="X73" s="19"/>
    </row>
    <row r="74" spans="3:24">
      <c r="C74" s="130"/>
      <c r="J74" s="130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4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AA4" sqref="AA4"/>
    </sheetView>
  </sheetViews>
  <sheetFormatPr defaultRowHeight="12.75"/>
  <cols>
    <col min="1" max="1" width="9.140625" style="50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5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54" t="s">
        <v>150</v>
      </c>
      <c r="C1" s="855"/>
      <c r="D1" s="855"/>
      <c r="E1" s="855"/>
      <c r="F1" s="856"/>
      <c r="G1" s="157"/>
      <c r="H1" s="854" t="s">
        <v>151</v>
      </c>
      <c r="I1" s="855"/>
      <c r="J1" s="855"/>
      <c r="K1" s="855"/>
      <c r="L1" s="856"/>
      <c r="M1" s="854" t="s">
        <v>170</v>
      </c>
      <c r="N1" s="855"/>
      <c r="O1" s="855"/>
      <c r="P1" s="855"/>
      <c r="Q1" s="856"/>
      <c r="R1" s="157"/>
      <c r="T1" s="854" t="s">
        <v>166</v>
      </c>
      <c r="U1" s="855"/>
      <c r="V1" s="855"/>
      <c r="W1" s="855"/>
      <c r="X1" s="856"/>
      <c r="Y1" s="854" t="s">
        <v>169</v>
      </c>
      <c r="Z1" s="855"/>
      <c r="AA1" s="855"/>
      <c r="AB1" s="855"/>
      <c r="AC1" s="856"/>
    </row>
    <row r="2" spans="1:29" ht="45.75" thickBot="1">
      <c r="A2" s="584" t="s">
        <v>24</v>
      </c>
      <c r="B2" s="158" t="s">
        <v>152</v>
      </c>
      <c r="C2" s="159" t="s">
        <v>153</v>
      </c>
      <c r="D2" s="160" t="s">
        <v>154</v>
      </c>
      <c r="E2" s="160" t="s">
        <v>155</v>
      </c>
      <c r="F2" s="161" t="s">
        <v>159</v>
      </c>
      <c r="G2" s="162"/>
      <c r="H2" s="158" t="s">
        <v>152</v>
      </c>
      <c r="I2" s="159" t="s">
        <v>153</v>
      </c>
      <c r="J2" s="160" t="s">
        <v>163</v>
      </c>
      <c r="K2" s="160" t="s">
        <v>162</v>
      </c>
      <c r="L2" s="167" t="s">
        <v>160</v>
      </c>
      <c r="M2" s="158" t="s">
        <v>152</v>
      </c>
      <c r="N2" s="159" t="s">
        <v>153</v>
      </c>
      <c r="O2" s="160" t="s">
        <v>163</v>
      </c>
      <c r="P2" s="160" t="s">
        <v>162</v>
      </c>
      <c r="Q2" s="167" t="s">
        <v>160</v>
      </c>
      <c r="R2" s="340" t="s">
        <v>161</v>
      </c>
      <c r="S2" s="638" t="s">
        <v>158</v>
      </c>
      <c r="T2" s="158" t="s">
        <v>152</v>
      </c>
      <c r="U2" s="159" t="s">
        <v>153</v>
      </c>
      <c r="V2" s="160" t="s">
        <v>168</v>
      </c>
      <c r="W2" s="160" t="s">
        <v>167</v>
      </c>
      <c r="X2" s="161" t="s">
        <v>159</v>
      </c>
      <c r="Y2" s="158" t="s">
        <v>152</v>
      </c>
      <c r="Z2" s="159" t="s">
        <v>153</v>
      </c>
      <c r="AA2" s="160" t="s">
        <v>163</v>
      </c>
      <c r="AB2" s="160" t="s">
        <v>162</v>
      </c>
      <c r="AC2" s="161" t="s">
        <v>160</v>
      </c>
    </row>
    <row r="3" spans="1:29" ht="31.5" customHeight="1" thickBot="1">
      <c r="A3" s="585">
        <f>Gen!A11</f>
        <v>44228</v>
      </c>
      <c r="B3" s="857" t="s">
        <v>156</v>
      </c>
      <c r="C3" s="858"/>
      <c r="D3" s="166"/>
      <c r="E3" s="579">
        <f>'[3]Kit report'!$E$34</f>
        <v>9077.7999999999993</v>
      </c>
      <c r="F3" s="586" t="s">
        <v>157</v>
      </c>
      <c r="G3" s="587"/>
      <c r="H3" s="857" t="s">
        <v>156</v>
      </c>
      <c r="I3" s="858"/>
      <c r="J3" s="613">
        <f>'Water-Meter'!G5</f>
        <v>0</v>
      </c>
      <c r="K3" s="588">
        <f>'Water-Meter'!G5</f>
        <v>0</v>
      </c>
      <c r="L3" s="241"/>
      <c r="M3" s="857" t="s">
        <v>156</v>
      </c>
      <c r="N3" s="858"/>
      <c r="O3" s="166"/>
      <c r="P3" s="589"/>
      <c r="Q3" s="165"/>
      <c r="R3" s="241"/>
      <c r="S3" s="639"/>
      <c r="T3" s="857" t="s">
        <v>156</v>
      </c>
      <c r="U3" s="858"/>
      <c r="V3" s="166"/>
      <c r="W3" s="580">
        <f>'[3]Kit report'!$W$34</f>
        <v>7987.2</v>
      </c>
      <c r="X3" s="590">
        <f t="shared" ref="X3:X35" si="0">(W3-V3)*200</f>
        <v>1597440</v>
      </c>
      <c r="Y3" s="857" t="s">
        <v>156</v>
      </c>
      <c r="Z3" s="858"/>
      <c r="AA3" s="166"/>
      <c r="AB3" s="169"/>
      <c r="AC3" s="170"/>
    </row>
    <row r="4" spans="1:29" ht="19.5" thickBot="1">
      <c r="A4" s="640">
        <f>Gen!B11</f>
        <v>0</v>
      </c>
      <c r="B4" s="591">
        <f>Gen!A11</f>
        <v>44228</v>
      </c>
      <c r="C4" s="592"/>
      <c r="D4" s="593">
        <f t="shared" ref="D4:D23" si="1">E3</f>
        <v>9077.7999999999993</v>
      </c>
      <c r="E4" s="579">
        <v>9079.9</v>
      </c>
      <c r="F4" s="593">
        <f t="shared" ref="F4:F15" si="2">SUM(E4-D4)*120</f>
        <v>252.00000000004366</v>
      </c>
      <c r="G4" s="592"/>
      <c r="H4" s="629">
        <f>B4</f>
        <v>44228</v>
      </c>
      <c r="I4" s="592"/>
      <c r="J4" s="630">
        <f>'Water-Meter'!G6</f>
        <v>0</v>
      </c>
      <c r="K4" s="631">
        <f>'Water-Meter'!G6</f>
        <v>0</v>
      </c>
      <c r="L4" s="592">
        <f t="shared" ref="L4:L34" si="3">SUM(K4-J4)</f>
        <v>0</v>
      </c>
      <c r="M4" s="629">
        <f>H4</f>
        <v>44228</v>
      </c>
      <c r="N4" s="592"/>
      <c r="O4" s="60"/>
      <c r="P4" s="599">
        <f>'Water-Meter'!J6</f>
        <v>8243</v>
      </c>
      <c r="Q4" s="165"/>
      <c r="R4" s="241"/>
      <c r="S4" s="632">
        <f>Gen!T11</f>
        <v>2906</v>
      </c>
      <c r="T4" s="629">
        <f>M4</f>
        <v>44228</v>
      </c>
      <c r="U4" s="592"/>
      <c r="V4" s="593">
        <f t="shared" ref="V4:V33" si="4">W3</f>
        <v>7987.2</v>
      </c>
      <c r="W4" s="580">
        <v>7988.8</v>
      </c>
      <c r="X4" s="593">
        <f t="shared" si="0"/>
        <v>320.00000000007276</v>
      </c>
      <c r="Y4" s="629">
        <f>T4</f>
        <v>44228</v>
      </c>
      <c r="Z4" s="592"/>
      <c r="AA4" s="592"/>
      <c r="AB4" s="599">
        <f>'Water-Meter'!P6</f>
        <v>20893</v>
      </c>
      <c r="AC4" s="600">
        <f>AA4-AB3</f>
        <v>0</v>
      </c>
    </row>
    <row r="5" spans="1:29" ht="19.5" thickBot="1">
      <c r="A5" s="641">
        <f>Gen!B12</f>
        <v>0</v>
      </c>
      <c r="B5" s="594">
        <f>Gen!A12</f>
        <v>44229</v>
      </c>
      <c r="C5" s="578"/>
      <c r="D5" s="583">
        <f t="shared" si="1"/>
        <v>9079.9</v>
      </c>
      <c r="E5" s="579"/>
      <c r="F5" s="583">
        <f t="shared" si="2"/>
        <v>-1089588</v>
      </c>
      <c r="G5" s="578"/>
      <c r="H5" s="625">
        <f t="shared" ref="H5:H35" si="5">B5</f>
        <v>44229</v>
      </c>
      <c r="I5" s="578"/>
      <c r="J5" s="626">
        <f>'Water-Meter'!G7</f>
        <v>0</v>
      </c>
      <c r="K5" s="627">
        <f>'Water-Meter'!G7</f>
        <v>0</v>
      </c>
      <c r="L5" s="578">
        <f t="shared" si="3"/>
        <v>0</v>
      </c>
      <c r="M5" s="625">
        <f t="shared" ref="M5:M35" si="6">H5</f>
        <v>44229</v>
      </c>
      <c r="N5" s="578"/>
      <c r="O5" s="6"/>
      <c r="P5" s="582">
        <f>'Water-Meter'!J7</f>
        <v>0</v>
      </c>
      <c r="Q5" s="165"/>
      <c r="R5" s="241"/>
      <c r="S5" s="628">
        <f>Gen!T12</f>
        <v>0</v>
      </c>
      <c r="T5" s="625">
        <f t="shared" ref="T5:T30" si="7">M5</f>
        <v>44229</v>
      </c>
      <c r="U5" s="578"/>
      <c r="V5" s="583">
        <f t="shared" si="4"/>
        <v>7988.8</v>
      </c>
      <c r="W5" s="580"/>
      <c r="X5" s="583">
        <f t="shared" si="0"/>
        <v>-1597760</v>
      </c>
      <c r="Y5" s="625">
        <f t="shared" ref="Y5:Y30" si="8">T5</f>
        <v>44229</v>
      </c>
      <c r="Z5" s="578"/>
      <c r="AA5" s="578"/>
      <c r="AB5" s="582">
        <f>'Water-Meter'!P7</f>
        <v>0</v>
      </c>
      <c r="AC5" s="633">
        <f t="shared" ref="AC5:AC35" si="9">AA5-AB4</f>
        <v>-20893</v>
      </c>
    </row>
    <row r="6" spans="1:29" ht="19.5" thickBot="1">
      <c r="A6" s="641">
        <f>Gen!B13</f>
        <v>0</v>
      </c>
      <c r="B6" s="594">
        <f>Gen!A13</f>
        <v>44230</v>
      </c>
      <c r="C6" s="578"/>
      <c r="D6" s="583">
        <f t="shared" si="1"/>
        <v>0</v>
      </c>
      <c r="E6" s="579"/>
      <c r="F6" s="583">
        <f t="shared" si="2"/>
        <v>0</v>
      </c>
      <c r="G6" s="578"/>
      <c r="H6" s="625">
        <f t="shared" si="5"/>
        <v>44230</v>
      </c>
      <c r="I6" s="578"/>
      <c r="J6" s="626">
        <f>'Water-Meter'!G8</f>
        <v>0</v>
      </c>
      <c r="K6" s="627">
        <f>'Water-Meter'!G8</f>
        <v>0</v>
      </c>
      <c r="L6" s="578">
        <f t="shared" si="3"/>
        <v>0</v>
      </c>
      <c r="M6" s="625">
        <f t="shared" si="6"/>
        <v>44230</v>
      </c>
      <c r="N6" s="578"/>
      <c r="O6" s="6"/>
      <c r="P6" s="582">
        <f>'Water-Meter'!J8</f>
        <v>0</v>
      </c>
      <c r="Q6" s="165"/>
      <c r="R6" s="241"/>
      <c r="S6" s="628">
        <f>Gen!T13</f>
        <v>0</v>
      </c>
      <c r="T6" s="625">
        <f t="shared" si="7"/>
        <v>44230</v>
      </c>
      <c r="U6" s="578"/>
      <c r="V6" s="583">
        <f t="shared" si="4"/>
        <v>0</v>
      </c>
      <c r="W6" s="580"/>
      <c r="X6" s="583">
        <f t="shared" si="0"/>
        <v>0</v>
      </c>
      <c r="Y6" s="625">
        <f t="shared" si="8"/>
        <v>44230</v>
      </c>
      <c r="Z6" s="578"/>
      <c r="AA6" s="578"/>
      <c r="AB6" s="582">
        <f>'Water-Meter'!P8</f>
        <v>0</v>
      </c>
      <c r="AC6" s="633">
        <f t="shared" si="9"/>
        <v>0</v>
      </c>
    </row>
    <row r="7" spans="1:29" ht="19.5" thickBot="1">
      <c r="A7" s="641">
        <f>Gen!B14</f>
        <v>0</v>
      </c>
      <c r="B7" s="594">
        <f>Gen!A14</f>
        <v>44231</v>
      </c>
      <c r="C7" s="578"/>
      <c r="D7" s="583">
        <f t="shared" si="1"/>
        <v>0</v>
      </c>
      <c r="E7" s="579"/>
      <c r="F7" s="583">
        <f t="shared" si="2"/>
        <v>0</v>
      </c>
      <c r="G7" s="578"/>
      <c r="H7" s="625">
        <f t="shared" si="5"/>
        <v>44231</v>
      </c>
      <c r="I7" s="578"/>
      <c r="J7" s="626">
        <f>'Water-Meter'!G9</f>
        <v>0</v>
      </c>
      <c r="K7" s="627">
        <f>'Water-Meter'!G9</f>
        <v>0</v>
      </c>
      <c r="L7" s="578">
        <f t="shared" si="3"/>
        <v>0</v>
      </c>
      <c r="M7" s="625">
        <f t="shared" si="6"/>
        <v>44231</v>
      </c>
      <c r="N7" s="578"/>
      <c r="O7" s="6"/>
      <c r="P7" s="582">
        <f>'Water-Meter'!J9</f>
        <v>0</v>
      </c>
      <c r="Q7" s="165"/>
      <c r="R7" s="241"/>
      <c r="S7" s="628">
        <f>Gen!T14</f>
        <v>0</v>
      </c>
      <c r="T7" s="625">
        <f t="shared" si="7"/>
        <v>44231</v>
      </c>
      <c r="U7" s="578"/>
      <c r="V7" s="583">
        <f t="shared" si="4"/>
        <v>0</v>
      </c>
      <c r="W7" s="580"/>
      <c r="X7" s="583">
        <f t="shared" si="0"/>
        <v>0</v>
      </c>
      <c r="Y7" s="625">
        <f t="shared" si="8"/>
        <v>44231</v>
      </c>
      <c r="Z7" s="578"/>
      <c r="AA7" s="578"/>
      <c r="AB7" s="582">
        <f>'Water-Meter'!P9</f>
        <v>0</v>
      </c>
      <c r="AC7" s="633">
        <f t="shared" si="9"/>
        <v>0</v>
      </c>
    </row>
    <row r="8" spans="1:29" ht="19.5" thickBot="1">
      <c r="A8" s="641">
        <f>Gen!B15</f>
        <v>0</v>
      </c>
      <c r="B8" s="594">
        <f>Gen!A15</f>
        <v>44232</v>
      </c>
      <c r="C8" s="578"/>
      <c r="D8" s="583">
        <f t="shared" si="1"/>
        <v>0</v>
      </c>
      <c r="E8" s="579"/>
      <c r="F8" s="583">
        <f t="shared" si="2"/>
        <v>0</v>
      </c>
      <c r="G8" s="578"/>
      <c r="H8" s="625">
        <f t="shared" si="5"/>
        <v>44232</v>
      </c>
      <c r="I8" s="578"/>
      <c r="J8" s="626">
        <f>'Water-Meter'!G10</f>
        <v>0</v>
      </c>
      <c r="K8" s="627">
        <f>'Water-Meter'!G10</f>
        <v>0</v>
      </c>
      <c r="L8" s="578">
        <f t="shared" si="3"/>
        <v>0</v>
      </c>
      <c r="M8" s="625">
        <f t="shared" si="6"/>
        <v>44232</v>
      </c>
      <c r="N8" s="578"/>
      <c r="O8" s="6"/>
      <c r="P8" s="582">
        <f>'Water-Meter'!J10</f>
        <v>0</v>
      </c>
      <c r="Q8" s="165"/>
      <c r="R8" s="241"/>
      <c r="S8" s="628">
        <f>Gen!T15</f>
        <v>0</v>
      </c>
      <c r="T8" s="625">
        <f t="shared" si="7"/>
        <v>44232</v>
      </c>
      <c r="U8" s="578"/>
      <c r="V8" s="583">
        <f t="shared" si="4"/>
        <v>0</v>
      </c>
      <c r="W8" s="580"/>
      <c r="X8" s="583">
        <f t="shared" si="0"/>
        <v>0</v>
      </c>
      <c r="Y8" s="625">
        <f t="shared" si="8"/>
        <v>44232</v>
      </c>
      <c r="Z8" s="578"/>
      <c r="AA8" s="578"/>
      <c r="AB8" s="582">
        <f>'Water-Meter'!P10</f>
        <v>0</v>
      </c>
      <c r="AC8" s="633">
        <f t="shared" si="9"/>
        <v>0</v>
      </c>
    </row>
    <row r="9" spans="1:29" ht="19.5" thickBot="1">
      <c r="A9" s="641">
        <f>Gen!B16</f>
        <v>0</v>
      </c>
      <c r="B9" s="594">
        <f>Gen!A16</f>
        <v>44233</v>
      </c>
      <c r="C9" s="578"/>
      <c r="D9" s="583">
        <f t="shared" si="1"/>
        <v>0</v>
      </c>
      <c r="E9" s="579"/>
      <c r="F9" s="583">
        <f t="shared" si="2"/>
        <v>0</v>
      </c>
      <c r="G9" s="578"/>
      <c r="H9" s="625">
        <f t="shared" si="5"/>
        <v>44233</v>
      </c>
      <c r="I9" s="578"/>
      <c r="J9" s="626">
        <f>'Water-Meter'!G11</f>
        <v>0</v>
      </c>
      <c r="K9" s="627">
        <f>'Water-Meter'!G11</f>
        <v>0</v>
      </c>
      <c r="L9" s="578">
        <f t="shared" si="3"/>
        <v>0</v>
      </c>
      <c r="M9" s="625">
        <f t="shared" si="6"/>
        <v>44233</v>
      </c>
      <c r="N9" s="578"/>
      <c r="O9" s="6"/>
      <c r="P9" s="582">
        <f>'Water-Meter'!J11</f>
        <v>0</v>
      </c>
      <c r="Q9" s="165"/>
      <c r="R9" s="241"/>
      <c r="S9" s="628">
        <f>Gen!T16</f>
        <v>0</v>
      </c>
      <c r="T9" s="625">
        <f t="shared" si="7"/>
        <v>44233</v>
      </c>
      <c r="U9" s="578"/>
      <c r="V9" s="583">
        <f t="shared" si="4"/>
        <v>0</v>
      </c>
      <c r="W9" s="580"/>
      <c r="X9" s="583">
        <f t="shared" si="0"/>
        <v>0</v>
      </c>
      <c r="Y9" s="625">
        <f t="shared" si="8"/>
        <v>44233</v>
      </c>
      <c r="Z9" s="578"/>
      <c r="AA9" s="578"/>
      <c r="AB9" s="582">
        <f>'Water-Meter'!P11</f>
        <v>0</v>
      </c>
      <c r="AC9" s="633">
        <f t="shared" si="9"/>
        <v>0</v>
      </c>
    </row>
    <row r="10" spans="1:29" ht="19.5" thickBot="1">
      <c r="A10" s="641">
        <f>Gen!B17</f>
        <v>0</v>
      </c>
      <c r="B10" s="594">
        <f>Gen!A17</f>
        <v>44234</v>
      </c>
      <c r="C10" s="578"/>
      <c r="D10" s="583">
        <f t="shared" si="1"/>
        <v>0</v>
      </c>
      <c r="E10" s="579"/>
      <c r="F10" s="583">
        <f t="shared" si="2"/>
        <v>0</v>
      </c>
      <c r="G10" s="578"/>
      <c r="H10" s="625">
        <f t="shared" si="5"/>
        <v>44234</v>
      </c>
      <c r="I10" s="578"/>
      <c r="J10" s="626">
        <f>'Water-Meter'!G12</f>
        <v>0</v>
      </c>
      <c r="K10" s="627">
        <f>'Water-Meter'!G12</f>
        <v>0</v>
      </c>
      <c r="L10" s="578">
        <f t="shared" si="3"/>
        <v>0</v>
      </c>
      <c r="M10" s="625">
        <f t="shared" si="6"/>
        <v>44234</v>
      </c>
      <c r="N10" s="578"/>
      <c r="O10" s="6"/>
      <c r="P10" s="582">
        <f>'Water-Meter'!J12</f>
        <v>0</v>
      </c>
      <c r="Q10" s="165"/>
      <c r="R10" s="241"/>
      <c r="S10" s="628">
        <f>Gen!T17</f>
        <v>0</v>
      </c>
      <c r="T10" s="625">
        <f t="shared" si="7"/>
        <v>44234</v>
      </c>
      <c r="U10" s="578"/>
      <c r="V10" s="583">
        <f t="shared" si="4"/>
        <v>0</v>
      </c>
      <c r="W10" s="580"/>
      <c r="X10" s="583">
        <f t="shared" si="0"/>
        <v>0</v>
      </c>
      <c r="Y10" s="625">
        <f t="shared" si="8"/>
        <v>44234</v>
      </c>
      <c r="Z10" s="578"/>
      <c r="AA10" s="578"/>
      <c r="AB10" s="582">
        <f>'Water-Meter'!P12</f>
        <v>0</v>
      </c>
      <c r="AC10" s="633">
        <f t="shared" si="9"/>
        <v>0</v>
      </c>
    </row>
    <row r="11" spans="1:29" ht="19.5" thickBot="1">
      <c r="A11" s="641">
        <f>Gen!B18</f>
        <v>0</v>
      </c>
      <c r="B11" s="594">
        <f>Gen!A18</f>
        <v>44235</v>
      </c>
      <c r="C11" s="578"/>
      <c r="D11" s="583">
        <f t="shared" si="1"/>
        <v>0</v>
      </c>
      <c r="E11" s="579"/>
      <c r="F11" s="583">
        <f t="shared" si="2"/>
        <v>0</v>
      </c>
      <c r="G11" s="578"/>
      <c r="H11" s="625">
        <f t="shared" si="5"/>
        <v>44235</v>
      </c>
      <c r="I11" s="578"/>
      <c r="J11" s="626">
        <f>'Water-Meter'!G13</f>
        <v>0</v>
      </c>
      <c r="K11" s="627">
        <f>'Water-Meter'!G13</f>
        <v>0</v>
      </c>
      <c r="L11" s="578">
        <f t="shared" si="3"/>
        <v>0</v>
      </c>
      <c r="M11" s="625">
        <f t="shared" si="6"/>
        <v>44235</v>
      </c>
      <c r="N11" s="578"/>
      <c r="O11" s="6"/>
      <c r="P11" s="582">
        <f>'Water-Meter'!J13</f>
        <v>0</v>
      </c>
      <c r="Q11" s="165"/>
      <c r="R11" s="241"/>
      <c r="S11" s="628">
        <f>Gen!T18</f>
        <v>0</v>
      </c>
      <c r="T11" s="625">
        <f t="shared" si="7"/>
        <v>44235</v>
      </c>
      <c r="U11" s="578"/>
      <c r="V11" s="583">
        <f t="shared" si="4"/>
        <v>0</v>
      </c>
      <c r="W11" s="580"/>
      <c r="X11" s="583">
        <f t="shared" si="0"/>
        <v>0</v>
      </c>
      <c r="Y11" s="625">
        <f t="shared" si="8"/>
        <v>44235</v>
      </c>
      <c r="Z11" s="578"/>
      <c r="AA11" s="578"/>
      <c r="AB11" s="582">
        <f>'Water-Meter'!P13</f>
        <v>0</v>
      </c>
      <c r="AC11" s="633">
        <f t="shared" si="9"/>
        <v>0</v>
      </c>
    </row>
    <row r="12" spans="1:29" ht="19.5" thickBot="1">
      <c r="A12" s="641">
        <f>Gen!B19</f>
        <v>0</v>
      </c>
      <c r="B12" s="594">
        <f>Gen!A19</f>
        <v>44236</v>
      </c>
      <c r="C12" s="578"/>
      <c r="D12" s="583">
        <f t="shared" si="1"/>
        <v>0</v>
      </c>
      <c r="E12" s="579"/>
      <c r="F12" s="583">
        <f t="shared" si="2"/>
        <v>0</v>
      </c>
      <c r="G12" s="578"/>
      <c r="H12" s="625">
        <f t="shared" si="5"/>
        <v>44236</v>
      </c>
      <c r="I12" s="578"/>
      <c r="J12" s="626">
        <f>'Water-Meter'!G14</f>
        <v>0</v>
      </c>
      <c r="K12" s="627">
        <f>'Water-Meter'!G14</f>
        <v>0</v>
      </c>
      <c r="L12" s="578">
        <f t="shared" si="3"/>
        <v>0</v>
      </c>
      <c r="M12" s="625">
        <f t="shared" si="6"/>
        <v>44236</v>
      </c>
      <c r="N12" s="578"/>
      <c r="O12" s="6"/>
      <c r="P12" s="582">
        <f>'Water-Meter'!J14</f>
        <v>0</v>
      </c>
      <c r="Q12" s="165"/>
      <c r="R12" s="241"/>
      <c r="S12" s="628">
        <f>Gen!T19</f>
        <v>0</v>
      </c>
      <c r="T12" s="625">
        <f t="shared" si="7"/>
        <v>44236</v>
      </c>
      <c r="U12" s="578"/>
      <c r="V12" s="583">
        <f t="shared" si="4"/>
        <v>0</v>
      </c>
      <c r="W12" s="580"/>
      <c r="X12" s="583">
        <f t="shared" si="0"/>
        <v>0</v>
      </c>
      <c r="Y12" s="625">
        <f t="shared" si="8"/>
        <v>44236</v>
      </c>
      <c r="Z12" s="578"/>
      <c r="AA12" s="578"/>
      <c r="AB12" s="582">
        <f>'Water-Meter'!P14</f>
        <v>0</v>
      </c>
      <c r="AC12" s="633">
        <f t="shared" si="9"/>
        <v>0</v>
      </c>
    </row>
    <row r="13" spans="1:29" ht="19.5" thickBot="1">
      <c r="A13" s="641">
        <f>Gen!B20</f>
        <v>0</v>
      </c>
      <c r="B13" s="594">
        <f>Gen!A20</f>
        <v>44237</v>
      </c>
      <c r="C13" s="578"/>
      <c r="D13" s="583">
        <f t="shared" si="1"/>
        <v>0</v>
      </c>
      <c r="E13" s="579"/>
      <c r="F13" s="583">
        <f t="shared" si="2"/>
        <v>0</v>
      </c>
      <c r="G13" s="578"/>
      <c r="H13" s="625">
        <f t="shared" si="5"/>
        <v>44237</v>
      </c>
      <c r="I13" s="578"/>
      <c r="J13" s="626">
        <f>'Water-Meter'!G15</f>
        <v>0</v>
      </c>
      <c r="K13" s="627">
        <f>'Water-Meter'!G15</f>
        <v>0</v>
      </c>
      <c r="L13" s="578">
        <f t="shared" si="3"/>
        <v>0</v>
      </c>
      <c r="M13" s="625">
        <f t="shared" si="6"/>
        <v>44237</v>
      </c>
      <c r="N13" s="578"/>
      <c r="O13" s="6"/>
      <c r="P13" s="582">
        <f>'Water-Meter'!J15</f>
        <v>0</v>
      </c>
      <c r="Q13" s="165"/>
      <c r="R13" s="241"/>
      <c r="S13" s="628">
        <f>Gen!T20</f>
        <v>0</v>
      </c>
      <c r="T13" s="625">
        <f t="shared" si="7"/>
        <v>44237</v>
      </c>
      <c r="U13" s="578"/>
      <c r="V13" s="583">
        <f t="shared" si="4"/>
        <v>0</v>
      </c>
      <c r="W13" s="580"/>
      <c r="X13" s="583">
        <f t="shared" si="0"/>
        <v>0</v>
      </c>
      <c r="Y13" s="625">
        <f t="shared" si="8"/>
        <v>44237</v>
      </c>
      <c r="Z13" s="578"/>
      <c r="AA13" s="578"/>
      <c r="AB13" s="582">
        <f>'Water-Meter'!P15</f>
        <v>0</v>
      </c>
      <c r="AC13" s="633">
        <f t="shared" si="9"/>
        <v>0</v>
      </c>
    </row>
    <row r="14" spans="1:29" ht="19.5" thickBot="1">
      <c r="A14" s="641">
        <f>Gen!B21</f>
        <v>0</v>
      </c>
      <c r="B14" s="594">
        <f>Gen!A21</f>
        <v>44238</v>
      </c>
      <c r="C14" s="578"/>
      <c r="D14" s="583">
        <f t="shared" si="1"/>
        <v>0</v>
      </c>
      <c r="E14" s="579"/>
      <c r="F14" s="583">
        <f t="shared" si="2"/>
        <v>0</v>
      </c>
      <c r="G14" s="578"/>
      <c r="H14" s="625">
        <f t="shared" si="5"/>
        <v>44238</v>
      </c>
      <c r="I14" s="578"/>
      <c r="J14" s="626">
        <f>'Water-Meter'!G16</f>
        <v>0</v>
      </c>
      <c r="K14" s="627">
        <f>'Water-Meter'!G16</f>
        <v>0</v>
      </c>
      <c r="L14" s="578">
        <f t="shared" si="3"/>
        <v>0</v>
      </c>
      <c r="M14" s="625">
        <f t="shared" si="6"/>
        <v>44238</v>
      </c>
      <c r="N14" s="578"/>
      <c r="O14" s="6"/>
      <c r="P14" s="582">
        <f>'Water-Meter'!J16</f>
        <v>0</v>
      </c>
      <c r="Q14" s="165"/>
      <c r="R14" s="241"/>
      <c r="S14" s="628">
        <f>Gen!T21</f>
        <v>0</v>
      </c>
      <c r="T14" s="625">
        <f t="shared" si="7"/>
        <v>44238</v>
      </c>
      <c r="U14" s="578"/>
      <c r="V14" s="583">
        <f t="shared" si="4"/>
        <v>0</v>
      </c>
      <c r="W14" s="580"/>
      <c r="X14" s="583">
        <f t="shared" si="0"/>
        <v>0</v>
      </c>
      <c r="Y14" s="625">
        <f t="shared" si="8"/>
        <v>44238</v>
      </c>
      <c r="Z14" s="578"/>
      <c r="AA14" s="578"/>
      <c r="AB14" s="582">
        <f>'Water-Meter'!P16</f>
        <v>0</v>
      </c>
      <c r="AC14" s="633">
        <v>20490</v>
      </c>
    </row>
    <row r="15" spans="1:29" ht="19.5" thickBot="1">
      <c r="A15" s="641">
        <f>Gen!B22</f>
        <v>0</v>
      </c>
      <c r="B15" s="594">
        <f>Gen!A22</f>
        <v>44239</v>
      </c>
      <c r="C15" s="578"/>
      <c r="D15" s="583">
        <f t="shared" si="1"/>
        <v>0</v>
      </c>
      <c r="E15" s="579"/>
      <c r="F15" s="583">
        <f t="shared" si="2"/>
        <v>0</v>
      </c>
      <c r="G15" s="578"/>
      <c r="H15" s="625">
        <f t="shared" si="5"/>
        <v>44239</v>
      </c>
      <c r="I15" s="578"/>
      <c r="J15" s="626">
        <f>'Water-Meter'!G17</f>
        <v>0</v>
      </c>
      <c r="K15" s="627">
        <f>'Water-Meter'!G17</f>
        <v>0</v>
      </c>
      <c r="L15" s="578">
        <f t="shared" si="3"/>
        <v>0</v>
      </c>
      <c r="M15" s="625">
        <f t="shared" si="6"/>
        <v>44239</v>
      </c>
      <c r="N15" s="578"/>
      <c r="O15" s="6"/>
      <c r="P15" s="582">
        <f>'Water-Meter'!J17</f>
        <v>0</v>
      </c>
      <c r="Q15" s="165"/>
      <c r="R15" s="241"/>
      <c r="S15" s="628">
        <f>Gen!T22</f>
        <v>0</v>
      </c>
      <c r="T15" s="625">
        <f t="shared" si="7"/>
        <v>44239</v>
      </c>
      <c r="U15" s="578"/>
      <c r="V15" s="583">
        <f t="shared" si="4"/>
        <v>0</v>
      </c>
      <c r="W15" s="580"/>
      <c r="X15" s="583">
        <f t="shared" si="0"/>
        <v>0</v>
      </c>
      <c r="Y15" s="625">
        <f t="shared" si="8"/>
        <v>44239</v>
      </c>
      <c r="Z15" s="578"/>
      <c r="AA15" s="578"/>
      <c r="AB15" s="582">
        <f>'Water-Meter'!P17</f>
        <v>0</v>
      </c>
      <c r="AC15" s="633">
        <f t="shared" si="9"/>
        <v>0</v>
      </c>
    </row>
    <row r="16" spans="1:29" ht="19.5" thickBot="1">
      <c r="A16" s="641">
        <f>Gen!B23</f>
        <v>0</v>
      </c>
      <c r="B16" s="594">
        <f>Gen!A23</f>
        <v>44240</v>
      </c>
      <c r="C16" s="578"/>
      <c r="D16" s="583">
        <f t="shared" si="1"/>
        <v>0</v>
      </c>
      <c r="E16" s="579"/>
      <c r="F16" s="583">
        <f>SUM(E16-D16)*120</f>
        <v>0</v>
      </c>
      <c r="G16" s="578"/>
      <c r="H16" s="625">
        <f t="shared" si="5"/>
        <v>44240</v>
      </c>
      <c r="I16" s="578"/>
      <c r="J16" s="626">
        <f>'Water-Meter'!G18</f>
        <v>0</v>
      </c>
      <c r="K16" s="627">
        <f>'Water-Meter'!G18</f>
        <v>0</v>
      </c>
      <c r="L16" s="578">
        <f t="shared" si="3"/>
        <v>0</v>
      </c>
      <c r="M16" s="625">
        <f t="shared" si="6"/>
        <v>44240</v>
      </c>
      <c r="N16" s="578"/>
      <c r="O16" s="6"/>
      <c r="P16" s="582">
        <f>'Water-Meter'!J18</f>
        <v>0</v>
      </c>
      <c r="Q16" s="165"/>
      <c r="R16" s="241"/>
      <c r="S16" s="628">
        <f>Gen!T23</f>
        <v>0</v>
      </c>
      <c r="T16" s="625">
        <f t="shared" si="7"/>
        <v>44240</v>
      </c>
      <c r="U16" s="578"/>
      <c r="V16" s="583">
        <f t="shared" si="4"/>
        <v>0</v>
      </c>
      <c r="W16" s="580"/>
      <c r="X16" s="583">
        <f t="shared" si="0"/>
        <v>0</v>
      </c>
      <c r="Y16" s="625">
        <f t="shared" si="8"/>
        <v>44240</v>
      </c>
      <c r="Z16" s="578"/>
      <c r="AA16" s="578"/>
      <c r="AB16" s="582">
        <f>'Water-Meter'!P18</f>
        <v>0</v>
      </c>
      <c r="AC16" s="633">
        <f t="shared" si="9"/>
        <v>0</v>
      </c>
    </row>
    <row r="17" spans="1:29" ht="19.5" thickBot="1">
      <c r="A17" s="641">
        <f>Gen!B24</f>
        <v>0</v>
      </c>
      <c r="B17" s="594">
        <f>Gen!A24</f>
        <v>44241</v>
      </c>
      <c r="C17" s="578"/>
      <c r="D17" s="583">
        <f t="shared" si="1"/>
        <v>0</v>
      </c>
      <c r="E17" s="579"/>
      <c r="F17" s="583">
        <f>SUM(E17-D17)*120</f>
        <v>0</v>
      </c>
      <c r="G17" s="578"/>
      <c r="H17" s="625">
        <f t="shared" si="5"/>
        <v>44241</v>
      </c>
      <c r="I17" s="578"/>
      <c r="J17" s="626">
        <f>'Water-Meter'!G19</f>
        <v>0</v>
      </c>
      <c r="K17" s="627">
        <f>'Water-Meter'!G19</f>
        <v>0</v>
      </c>
      <c r="L17" s="578">
        <f t="shared" si="3"/>
        <v>0</v>
      </c>
      <c r="M17" s="625">
        <f t="shared" si="6"/>
        <v>44241</v>
      </c>
      <c r="N17" s="578"/>
      <c r="O17" s="6"/>
      <c r="P17" s="582">
        <f>'Water-Meter'!J19</f>
        <v>0</v>
      </c>
      <c r="Q17" s="165"/>
      <c r="R17" s="241"/>
      <c r="S17" s="628">
        <f>Gen!T24</f>
        <v>0</v>
      </c>
      <c r="T17" s="625">
        <f t="shared" si="7"/>
        <v>44241</v>
      </c>
      <c r="U17" s="578"/>
      <c r="V17" s="583">
        <f t="shared" si="4"/>
        <v>0</v>
      </c>
      <c r="W17" s="580"/>
      <c r="X17" s="583">
        <f t="shared" si="0"/>
        <v>0</v>
      </c>
      <c r="Y17" s="625">
        <f t="shared" si="8"/>
        <v>44241</v>
      </c>
      <c r="Z17" s="578"/>
      <c r="AA17" s="578"/>
      <c r="AB17" s="582">
        <f>'Water-Meter'!P19</f>
        <v>0</v>
      </c>
      <c r="AC17" s="633">
        <f t="shared" si="9"/>
        <v>0</v>
      </c>
    </row>
    <row r="18" spans="1:29" ht="19.5" thickBot="1">
      <c r="A18" s="641">
        <f>Gen!B25</f>
        <v>0</v>
      </c>
      <c r="B18" s="594">
        <f>Gen!A25</f>
        <v>44242</v>
      </c>
      <c r="C18" s="578"/>
      <c r="D18" s="583">
        <f t="shared" si="1"/>
        <v>0</v>
      </c>
      <c r="E18" s="579"/>
      <c r="F18" s="583">
        <f t="shared" ref="F18:F22" si="10">SUM(E18-D18)*120</f>
        <v>0</v>
      </c>
      <c r="G18" s="578"/>
      <c r="H18" s="625">
        <f t="shared" si="5"/>
        <v>44242</v>
      </c>
      <c r="I18" s="578"/>
      <c r="J18" s="626">
        <f>'Water-Meter'!G20</f>
        <v>0</v>
      </c>
      <c r="K18" s="627">
        <f>'Water-Meter'!G20</f>
        <v>0</v>
      </c>
      <c r="L18" s="578">
        <f t="shared" si="3"/>
        <v>0</v>
      </c>
      <c r="M18" s="625">
        <f t="shared" si="6"/>
        <v>44242</v>
      </c>
      <c r="N18" s="578"/>
      <c r="O18" s="6"/>
      <c r="P18" s="582">
        <f>'Water-Meter'!J20</f>
        <v>0</v>
      </c>
      <c r="Q18" s="165"/>
      <c r="R18" s="241"/>
      <c r="S18" s="628">
        <f>Gen!T25</f>
        <v>0</v>
      </c>
      <c r="T18" s="625">
        <f t="shared" si="7"/>
        <v>44242</v>
      </c>
      <c r="U18" s="578"/>
      <c r="V18" s="583">
        <f t="shared" si="4"/>
        <v>0</v>
      </c>
      <c r="W18" s="580"/>
      <c r="X18" s="583">
        <f t="shared" si="0"/>
        <v>0</v>
      </c>
      <c r="Y18" s="625">
        <f t="shared" si="8"/>
        <v>44242</v>
      </c>
      <c r="Z18" s="578"/>
      <c r="AA18" s="578"/>
      <c r="AB18" s="582">
        <f>'Water-Meter'!P20</f>
        <v>0</v>
      </c>
      <c r="AC18" s="633">
        <f t="shared" si="9"/>
        <v>0</v>
      </c>
    </row>
    <row r="19" spans="1:29" ht="19.5" thickBot="1">
      <c r="A19" s="641">
        <f>Gen!B26</f>
        <v>0</v>
      </c>
      <c r="B19" s="594">
        <f>Gen!A26</f>
        <v>44243</v>
      </c>
      <c r="C19" s="581"/>
      <c r="D19" s="583">
        <f t="shared" si="1"/>
        <v>0</v>
      </c>
      <c r="E19" s="579"/>
      <c r="F19" s="583">
        <f t="shared" si="10"/>
        <v>0</v>
      </c>
      <c r="G19" s="578"/>
      <c r="H19" s="625">
        <f t="shared" si="5"/>
        <v>44243</v>
      </c>
      <c r="I19" s="581"/>
      <c r="J19" s="626">
        <f>'Water-Meter'!G21</f>
        <v>0</v>
      </c>
      <c r="K19" s="627">
        <f>'Water-Meter'!G21</f>
        <v>0</v>
      </c>
      <c r="L19" s="578">
        <f t="shared" si="3"/>
        <v>0</v>
      </c>
      <c r="M19" s="625">
        <f t="shared" si="6"/>
        <v>44243</v>
      </c>
      <c r="N19" s="581"/>
      <c r="O19" s="6"/>
      <c r="P19" s="582">
        <f>'Water-Meter'!J21</f>
        <v>0</v>
      </c>
      <c r="Q19" s="165"/>
      <c r="R19" s="241"/>
      <c r="S19" s="628">
        <f>Gen!T26</f>
        <v>0</v>
      </c>
      <c r="T19" s="625">
        <f t="shared" si="7"/>
        <v>44243</v>
      </c>
      <c r="U19" s="581"/>
      <c r="V19" s="583">
        <f t="shared" si="4"/>
        <v>0</v>
      </c>
      <c r="W19" s="580"/>
      <c r="X19" s="583">
        <f t="shared" si="0"/>
        <v>0</v>
      </c>
      <c r="Y19" s="625">
        <f t="shared" si="8"/>
        <v>44243</v>
      </c>
      <c r="Z19" s="581"/>
      <c r="AA19" s="578"/>
      <c r="AB19" s="582">
        <f>'Water-Meter'!P21</f>
        <v>0</v>
      </c>
      <c r="AC19" s="633">
        <f t="shared" si="9"/>
        <v>0</v>
      </c>
    </row>
    <row r="20" spans="1:29" ht="19.5" thickBot="1">
      <c r="A20" s="641">
        <f>Gen!B27</f>
        <v>0</v>
      </c>
      <c r="B20" s="594">
        <f>Gen!A27</f>
        <v>44244</v>
      </c>
      <c r="C20" s="581"/>
      <c r="D20" s="583">
        <f t="shared" si="1"/>
        <v>0</v>
      </c>
      <c r="E20" s="579"/>
      <c r="F20" s="583">
        <f t="shared" si="10"/>
        <v>0</v>
      </c>
      <c r="G20" s="578"/>
      <c r="H20" s="625">
        <f t="shared" si="5"/>
        <v>44244</v>
      </c>
      <c r="I20" s="581"/>
      <c r="J20" s="626">
        <f>'Water-Meter'!G22</f>
        <v>0</v>
      </c>
      <c r="K20" s="627">
        <f>'Water-Meter'!G22</f>
        <v>0</v>
      </c>
      <c r="L20" s="578">
        <f t="shared" si="3"/>
        <v>0</v>
      </c>
      <c r="M20" s="625">
        <f t="shared" si="6"/>
        <v>44244</v>
      </c>
      <c r="N20" s="581"/>
      <c r="O20" s="6"/>
      <c r="P20" s="582">
        <f>'Water-Meter'!J22</f>
        <v>0</v>
      </c>
      <c r="Q20" s="165"/>
      <c r="R20" s="241"/>
      <c r="S20" s="628">
        <f>Gen!T27</f>
        <v>0</v>
      </c>
      <c r="T20" s="625">
        <f t="shared" si="7"/>
        <v>44244</v>
      </c>
      <c r="U20" s="581"/>
      <c r="V20" s="583">
        <f t="shared" si="4"/>
        <v>0</v>
      </c>
      <c r="W20" s="580"/>
      <c r="X20" s="583">
        <f t="shared" si="0"/>
        <v>0</v>
      </c>
      <c r="Y20" s="625">
        <f t="shared" si="8"/>
        <v>44244</v>
      </c>
      <c r="Z20" s="581"/>
      <c r="AA20" s="578"/>
      <c r="AB20" s="582">
        <f>'Water-Meter'!P22</f>
        <v>0</v>
      </c>
      <c r="AC20" s="633">
        <f t="shared" si="9"/>
        <v>0</v>
      </c>
    </row>
    <row r="21" spans="1:29" ht="19.5" thickBot="1">
      <c r="A21" s="641">
        <f>Gen!B28</f>
        <v>0</v>
      </c>
      <c r="B21" s="594">
        <f>Gen!A28</f>
        <v>44245</v>
      </c>
      <c r="C21" s="581"/>
      <c r="D21" s="583">
        <f t="shared" si="1"/>
        <v>0</v>
      </c>
      <c r="E21" s="579"/>
      <c r="F21" s="583">
        <f t="shared" si="10"/>
        <v>0</v>
      </c>
      <c r="G21" s="578"/>
      <c r="H21" s="625">
        <f t="shared" si="5"/>
        <v>44245</v>
      </c>
      <c r="I21" s="581"/>
      <c r="J21" s="626">
        <f>'Water-Meter'!G23</f>
        <v>0</v>
      </c>
      <c r="K21" s="627">
        <f>'Water-Meter'!G23</f>
        <v>0</v>
      </c>
      <c r="L21" s="578">
        <f t="shared" si="3"/>
        <v>0</v>
      </c>
      <c r="M21" s="625">
        <f t="shared" si="6"/>
        <v>44245</v>
      </c>
      <c r="N21" s="581"/>
      <c r="O21" s="6"/>
      <c r="P21" s="582">
        <f>'Water-Meter'!J23</f>
        <v>0</v>
      </c>
      <c r="Q21" s="165"/>
      <c r="R21" s="241"/>
      <c r="S21" s="628">
        <f>Gen!T28</f>
        <v>0</v>
      </c>
      <c r="T21" s="625">
        <f t="shared" si="7"/>
        <v>44245</v>
      </c>
      <c r="U21" s="581"/>
      <c r="V21" s="583">
        <f t="shared" si="4"/>
        <v>0</v>
      </c>
      <c r="W21" s="580"/>
      <c r="X21" s="583">
        <f t="shared" si="0"/>
        <v>0</v>
      </c>
      <c r="Y21" s="625">
        <f t="shared" si="8"/>
        <v>44245</v>
      </c>
      <c r="Z21" s="581"/>
      <c r="AA21" s="578"/>
      <c r="AB21" s="582">
        <f>'Water-Meter'!P23</f>
        <v>0</v>
      </c>
      <c r="AC21" s="633">
        <f t="shared" si="9"/>
        <v>0</v>
      </c>
    </row>
    <row r="22" spans="1:29" ht="19.5" thickBot="1">
      <c r="A22" s="641">
        <f>Gen!B29</f>
        <v>0</v>
      </c>
      <c r="B22" s="594">
        <f>Gen!A29</f>
        <v>44246</v>
      </c>
      <c r="C22" s="578"/>
      <c r="D22" s="583">
        <f t="shared" si="1"/>
        <v>0</v>
      </c>
      <c r="E22" s="579"/>
      <c r="F22" s="583">
        <f t="shared" si="10"/>
        <v>0</v>
      </c>
      <c r="G22" s="578"/>
      <c r="H22" s="625">
        <f t="shared" si="5"/>
        <v>44246</v>
      </c>
      <c r="I22" s="578"/>
      <c r="J22" s="626">
        <f>'Water-Meter'!G24</f>
        <v>0</v>
      </c>
      <c r="K22" s="627">
        <f>'Water-Meter'!G24</f>
        <v>0</v>
      </c>
      <c r="L22" s="578">
        <f t="shared" si="3"/>
        <v>0</v>
      </c>
      <c r="M22" s="625">
        <f t="shared" si="6"/>
        <v>44246</v>
      </c>
      <c r="N22" s="578"/>
      <c r="O22" s="6"/>
      <c r="P22" s="582">
        <f>'Water-Meter'!J24</f>
        <v>0</v>
      </c>
      <c r="Q22" s="165"/>
      <c r="R22" s="241"/>
      <c r="S22" s="628">
        <f>Gen!T29</f>
        <v>0</v>
      </c>
      <c r="T22" s="625">
        <f t="shared" si="7"/>
        <v>44246</v>
      </c>
      <c r="U22" s="578"/>
      <c r="V22" s="583">
        <f t="shared" si="4"/>
        <v>0</v>
      </c>
      <c r="W22" s="580"/>
      <c r="X22" s="583">
        <f t="shared" si="0"/>
        <v>0</v>
      </c>
      <c r="Y22" s="625">
        <f t="shared" si="8"/>
        <v>44246</v>
      </c>
      <c r="Z22" s="578"/>
      <c r="AA22" s="578"/>
      <c r="AB22" s="582">
        <f>'Water-Meter'!P24</f>
        <v>0</v>
      </c>
      <c r="AC22" s="633">
        <f t="shared" si="9"/>
        <v>0</v>
      </c>
    </row>
    <row r="23" spans="1:29" ht="19.5" thickBot="1">
      <c r="A23" s="641">
        <f>Gen!B30</f>
        <v>0</v>
      </c>
      <c r="B23" s="594">
        <f>Gen!A30</f>
        <v>44247</v>
      </c>
      <c r="C23" s="581"/>
      <c r="D23" s="583">
        <f t="shared" si="1"/>
        <v>0</v>
      </c>
      <c r="E23" s="579"/>
      <c r="F23" s="583">
        <f t="shared" ref="F23:F34" si="11">SUM(E23-D23)*120</f>
        <v>0</v>
      </c>
      <c r="G23" s="578"/>
      <c r="H23" s="625">
        <f t="shared" si="5"/>
        <v>44247</v>
      </c>
      <c r="I23" s="581"/>
      <c r="J23" s="626">
        <f>'Water-Meter'!G25</f>
        <v>0</v>
      </c>
      <c r="K23" s="627">
        <f>'Water-Meter'!G26</f>
        <v>0</v>
      </c>
      <c r="L23" s="578">
        <f t="shared" si="3"/>
        <v>0</v>
      </c>
      <c r="M23" s="625">
        <f t="shared" si="6"/>
        <v>44247</v>
      </c>
      <c r="N23" s="581"/>
      <c r="O23" s="6"/>
      <c r="P23" s="582">
        <f>'Water-Meter'!J25</f>
        <v>0</v>
      </c>
      <c r="Q23" s="165"/>
      <c r="R23" s="241"/>
      <c r="S23" s="628">
        <f>Gen!T30</f>
        <v>0</v>
      </c>
      <c r="T23" s="625">
        <f t="shared" si="7"/>
        <v>44247</v>
      </c>
      <c r="U23" s="581"/>
      <c r="V23" s="583">
        <f t="shared" si="4"/>
        <v>0</v>
      </c>
      <c r="W23" s="580"/>
      <c r="X23" s="583">
        <f t="shared" si="0"/>
        <v>0</v>
      </c>
      <c r="Y23" s="625">
        <f t="shared" si="8"/>
        <v>44247</v>
      </c>
      <c r="Z23" s="581"/>
      <c r="AA23" s="578"/>
      <c r="AB23" s="582">
        <f>'Water-Meter'!P25</f>
        <v>0</v>
      </c>
      <c r="AC23" s="633">
        <f t="shared" si="9"/>
        <v>0</v>
      </c>
    </row>
    <row r="24" spans="1:29" ht="19.5" thickBot="1">
      <c r="A24" s="641">
        <f>Gen!B31</f>
        <v>0</v>
      </c>
      <c r="B24" s="594">
        <f>Gen!A31</f>
        <v>44248</v>
      </c>
      <c r="C24" s="581"/>
      <c r="D24" s="583">
        <f t="shared" ref="D24:D35" si="12">SUM(E23)</f>
        <v>0</v>
      </c>
      <c r="E24" s="579"/>
      <c r="F24" s="583">
        <f t="shared" si="11"/>
        <v>0</v>
      </c>
      <c r="G24" s="578"/>
      <c r="H24" s="625">
        <f t="shared" si="5"/>
        <v>44248</v>
      </c>
      <c r="I24" s="581"/>
      <c r="J24" s="626">
        <f>'Water-Meter'!G26</f>
        <v>0</v>
      </c>
      <c r="K24" s="627">
        <f>'Water-Meter'!G27</f>
        <v>0</v>
      </c>
      <c r="L24" s="578">
        <f t="shared" si="3"/>
        <v>0</v>
      </c>
      <c r="M24" s="625">
        <f t="shared" si="6"/>
        <v>44248</v>
      </c>
      <c r="N24" s="581"/>
      <c r="O24" s="6"/>
      <c r="P24" s="582">
        <f>'Water-Meter'!J26</f>
        <v>0</v>
      </c>
      <c r="Q24" s="165"/>
      <c r="R24" s="241"/>
      <c r="S24" s="628">
        <f>Gen!T31</f>
        <v>0</v>
      </c>
      <c r="T24" s="625">
        <v>5835.7</v>
      </c>
      <c r="U24" s="581"/>
      <c r="V24" s="583">
        <f t="shared" si="4"/>
        <v>0</v>
      </c>
      <c r="W24" s="580"/>
      <c r="X24" s="583">
        <f t="shared" si="0"/>
        <v>0</v>
      </c>
      <c r="Y24" s="625">
        <f t="shared" si="8"/>
        <v>5835.7</v>
      </c>
      <c r="Z24" s="581"/>
      <c r="AA24" s="578"/>
      <c r="AB24" s="582">
        <f>'Water-Meter'!P26</f>
        <v>0</v>
      </c>
      <c r="AC24" s="633">
        <f t="shared" si="9"/>
        <v>0</v>
      </c>
    </row>
    <row r="25" spans="1:29" ht="19.5" thickBot="1">
      <c r="A25" s="641">
        <f>Gen!B32</f>
        <v>0</v>
      </c>
      <c r="B25" s="594">
        <f>Gen!A32</f>
        <v>44249</v>
      </c>
      <c r="C25" s="581"/>
      <c r="D25" s="583">
        <f t="shared" si="12"/>
        <v>0</v>
      </c>
      <c r="E25" s="579"/>
      <c r="F25" s="583">
        <f t="shared" si="11"/>
        <v>0</v>
      </c>
      <c r="G25" s="578"/>
      <c r="H25" s="625">
        <f t="shared" si="5"/>
        <v>44249</v>
      </c>
      <c r="I25" s="581"/>
      <c r="J25" s="626">
        <f>'Water-Meter'!G27</f>
        <v>0</v>
      </c>
      <c r="K25" s="627">
        <f>'Water-Meter'!G28</f>
        <v>0</v>
      </c>
      <c r="L25" s="578">
        <f t="shared" si="3"/>
        <v>0</v>
      </c>
      <c r="M25" s="625">
        <f t="shared" si="6"/>
        <v>44249</v>
      </c>
      <c r="N25" s="581"/>
      <c r="O25" s="6"/>
      <c r="P25" s="582">
        <f>'Water-Meter'!J27</f>
        <v>0</v>
      </c>
      <c r="Q25" s="165"/>
      <c r="R25" s="241"/>
      <c r="S25" s="628">
        <f>Gen!T32</f>
        <v>0</v>
      </c>
      <c r="T25" s="625">
        <f t="shared" si="7"/>
        <v>44249</v>
      </c>
      <c r="U25" s="581"/>
      <c r="V25" s="583">
        <f t="shared" si="4"/>
        <v>0</v>
      </c>
      <c r="W25" s="580"/>
      <c r="X25" s="583">
        <f t="shared" si="0"/>
        <v>0</v>
      </c>
      <c r="Y25" s="625">
        <f t="shared" si="8"/>
        <v>44249</v>
      </c>
      <c r="Z25" s="581"/>
      <c r="AA25" s="578"/>
      <c r="AB25" s="582">
        <f>'Water-Meter'!P27</f>
        <v>0</v>
      </c>
      <c r="AC25" s="633">
        <f t="shared" si="9"/>
        <v>0</v>
      </c>
    </row>
    <row r="26" spans="1:29" ht="19.5" thickBot="1">
      <c r="A26" s="641">
        <f>Gen!B33</f>
        <v>0</v>
      </c>
      <c r="B26" s="594">
        <f>Gen!A33</f>
        <v>44250</v>
      </c>
      <c r="C26" s="581"/>
      <c r="D26" s="583">
        <f t="shared" si="12"/>
        <v>0</v>
      </c>
      <c r="E26" s="579"/>
      <c r="F26" s="583">
        <f t="shared" si="11"/>
        <v>0</v>
      </c>
      <c r="G26" s="578"/>
      <c r="H26" s="625">
        <f t="shared" si="5"/>
        <v>44250</v>
      </c>
      <c r="I26" s="581"/>
      <c r="J26" s="626">
        <f>'Water-Meter'!G28</f>
        <v>0</v>
      </c>
      <c r="K26" s="627">
        <f>'Water-Meter'!G29</f>
        <v>0</v>
      </c>
      <c r="L26" s="578">
        <f t="shared" si="3"/>
        <v>0</v>
      </c>
      <c r="M26" s="625">
        <f t="shared" si="6"/>
        <v>44250</v>
      </c>
      <c r="N26" s="581"/>
      <c r="O26" s="6"/>
      <c r="P26" s="582">
        <f>'Water-Meter'!J28</f>
        <v>0</v>
      </c>
      <c r="Q26" s="165"/>
      <c r="R26" s="241"/>
      <c r="S26" s="628">
        <f>Gen!T33</f>
        <v>0</v>
      </c>
      <c r="T26" s="625">
        <f t="shared" si="7"/>
        <v>44250</v>
      </c>
      <c r="U26" s="581"/>
      <c r="V26" s="583">
        <f t="shared" si="4"/>
        <v>0</v>
      </c>
      <c r="W26" s="580"/>
      <c r="X26" s="583">
        <f t="shared" si="0"/>
        <v>0</v>
      </c>
      <c r="Y26" s="625">
        <f t="shared" si="8"/>
        <v>44250</v>
      </c>
      <c r="Z26" s="581"/>
      <c r="AA26" s="578"/>
      <c r="AB26" s="582">
        <f>'Water-Meter'!P28</f>
        <v>0</v>
      </c>
      <c r="AC26" s="633">
        <f t="shared" si="9"/>
        <v>0</v>
      </c>
    </row>
    <row r="27" spans="1:29" ht="19.5" thickBot="1">
      <c r="A27" s="641">
        <f>Gen!B34</f>
        <v>0</v>
      </c>
      <c r="B27" s="594">
        <f>Gen!A34</f>
        <v>44251</v>
      </c>
      <c r="C27" s="581"/>
      <c r="D27" s="583">
        <f t="shared" si="12"/>
        <v>0</v>
      </c>
      <c r="E27" s="579"/>
      <c r="F27" s="583">
        <f t="shared" si="11"/>
        <v>0</v>
      </c>
      <c r="G27" s="578"/>
      <c r="H27" s="625">
        <f t="shared" si="5"/>
        <v>44251</v>
      </c>
      <c r="I27" s="581"/>
      <c r="J27" s="626">
        <f>'Water-Meter'!G29</f>
        <v>0</v>
      </c>
      <c r="K27" s="627">
        <f>'Water-Meter'!G30</f>
        <v>0</v>
      </c>
      <c r="L27" s="578">
        <f t="shared" si="3"/>
        <v>0</v>
      </c>
      <c r="M27" s="625">
        <f t="shared" si="6"/>
        <v>44251</v>
      </c>
      <c r="N27" s="581"/>
      <c r="O27" s="6"/>
      <c r="P27" s="582">
        <f>'Water-Meter'!J29</f>
        <v>0</v>
      </c>
      <c r="Q27" s="165"/>
      <c r="R27" s="241"/>
      <c r="S27" s="628">
        <f>Gen!T34</f>
        <v>0</v>
      </c>
      <c r="T27" s="625">
        <f t="shared" si="7"/>
        <v>44251</v>
      </c>
      <c r="U27" s="581"/>
      <c r="V27" s="583">
        <f t="shared" si="4"/>
        <v>0</v>
      </c>
      <c r="W27" s="580"/>
      <c r="X27" s="583">
        <f t="shared" si="0"/>
        <v>0</v>
      </c>
      <c r="Y27" s="625">
        <f t="shared" si="8"/>
        <v>44251</v>
      </c>
      <c r="Z27" s="581"/>
      <c r="AA27" s="578"/>
      <c r="AB27" s="582">
        <f>'Water-Meter'!P29</f>
        <v>0</v>
      </c>
      <c r="AC27" s="633">
        <f t="shared" si="9"/>
        <v>0</v>
      </c>
    </row>
    <row r="28" spans="1:29" ht="19.5" thickBot="1">
      <c r="A28" s="641">
        <f>Gen!B35</f>
        <v>0</v>
      </c>
      <c r="B28" s="594">
        <f>Gen!A35</f>
        <v>44252</v>
      </c>
      <c r="C28" s="581"/>
      <c r="D28" s="583">
        <f t="shared" si="12"/>
        <v>0</v>
      </c>
      <c r="E28" s="579"/>
      <c r="F28" s="583">
        <f t="shared" si="11"/>
        <v>0</v>
      </c>
      <c r="G28" s="578"/>
      <c r="H28" s="625">
        <f t="shared" si="5"/>
        <v>44252</v>
      </c>
      <c r="I28" s="581"/>
      <c r="J28" s="626">
        <f>'Water-Meter'!G30</f>
        <v>0</v>
      </c>
      <c r="K28" s="627">
        <f>'Water-Meter'!G31</f>
        <v>0</v>
      </c>
      <c r="L28" s="578">
        <f t="shared" si="3"/>
        <v>0</v>
      </c>
      <c r="M28" s="625">
        <f t="shared" si="6"/>
        <v>44252</v>
      </c>
      <c r="N28" s="581"/>
      <c r="O28" s="6"/>
      <c r="P28" s="582">
        <f>'Water-Meter'!J30</f>
        <v>0</v>
      </c>
      <c r="Q28" s="165"/>
      <c r="R28" s="241"/>
      <c r="S28" s="628">
        <f>Gen!T35</f>
        <v>0</v>
      </c>
      <c r="T28" s="625">
        <f t="shared" si="7"/>
        <v>44252</v>
      </c>
      <c r="U28" s="581"/>
      <c r="V28" s="583">
        <f t="shared" si="4"/>
        <v>0</v>
      </c>
      <c r="W28" s="580"/>
      <c r="X28" s="583">
        <f t="shared" si="0"/>
        <v>0</v>
      </c>
      <c r="Y28" s="625">
        <f t="shared" si="8"/>
        <v>44252</v>
      </c>
      <c r="Z28" s="581"/>
      <c r="AA28" s="578"/>
      <c r="AB28" s="582">
        <f>'Water-Meter'!P30</f>
        <v>0</v>
      </c>
      <c r="AC28" s="633">
        <f t="shared" si="9"/>
        <v>0</v>
      </c>
    </row>
    <row r="29" spans="1:29" ht="19.5" thickBot="1">
      <c r="A29" s="641">
        <f>Gen!B36</f>
        <v>0</v>
      </c>
      <c r="B29" s="594">
        <f>Gen!A36</f>
        <v>44253</v>
      </c>
      <c r="C29" s="581"/>
      <c r="D29" s="583">
        <f t="shared" si="12"/>
        <v>0</v>
      </c>
      <c r="E29" s="579"/>
      <c r="F29" s="583">
        <f t="shared" si="11"/>
        <v>0</v>
      </c>
      <c r="G29" s="578"/>
      <c r="H29" s="625">
        <f t="shared" si="5"/>
        <v>44253</v>
      </c>
      <c r="I29" s="581"/>
      <c r="J29" s="626">
        <f>'Water-Meter'!G31</f>
        <v>0</v>
      </c>
      <c r="K29" s="627">
        <f>'Water-Meter'!G32</f>
        <v>0</v>
      </c>
      <c r="L29" s="578">
        <f t="shared" si="3"/>
        <v>0</v>
      </c>
      <c r="M29" s="625">
        <f t="shared" si="6"/>
        <v>44253</v>
      </c>
      <c r="N29" s="581"/>
      <c r="O29" s="6"/>
      <c r="P29" s="582">
        <f>'Water-Meter'!J31</f>
        <v>0</v>
      </c>
      <c r="Q29" s="165"/>
      <c r="R29" s="241"/>
      <c r="S29" s="628">
        <f>Gen!T36</f>
        <v>0</v>
      </c>
      <c r="T29" s="625">
        <f t="shared" si="7"/>
        <v>44253</v>
      </c>
      <c r="U29" s="581"/>
      <c r="V29" s="583">
        <f t="shared" si="4"/>
        <v>0</v>
      </c>
      <c r="W29" s="580"/>
      <c r="X29" s="583">
        <f t="shared" si="0"/>
        <v>0</v>
      </c>
      <c r="Y29" s="625">
        <f t="shared" si="8"/>
        <v>44253</v>
      </c>
      <c r="Z29" s="581"/>
      <c r="AA29" s="578"/>
      <c r="AB29" s="582">
        <f>'Water-Meter'!P31</f>
        <v>0</v>
      </c>
      <c r="AC29" s="633">
        <f t="shared" si="9"/>
        <v>0</v>
      </c>
    </row>
    <row r="30" spans="1:29" ht="19.5" thickBot="1">
      <c r="A30" s="641">
        <f>Gen!B37</f>
        <v>0</v>
      </c>
      <c r="B30" s="594">
        <f>Gen!A37</f>
        <v>44254</v>
      </c>
      <c r="C30" s="581"/>
      <c r="D30" s="583">
        <f t="shared" si="12"/>
        <v>0</v>
      </c>
      <c r="E30" s="579"/>
      <c r="F30" s="583">
        <f t="shared" si="11"/>
        <v>0</v>
      </c>
      <c r="G30" s="578"/>
      <c r="H30" s="625">
        <f t="shared" si="5"/>
        <v>44254</v>
      </c>
      <c r="I30" s="581"/>
      <c r="J30" s="626">
        <f>'Water-Meter'!G32</f>
        <v>0</v>
      </c>
      <c r="K30" s="627">
        <f>'Water-Meter'!G33</f>
        <v>0</v>
      </c>
      <c r="L30" s="578">
        <f t="shared" si="3"/>
        <v>0</v>
      </c>
      <c r="M30" s="625">
        <f t="shared" si="6"/>
        <v>44254</v>
      </c>
      <c r="N30" s="581"/>
      <c r="O30" s="6"/>
      <c r="P30" s="582">
        <f>'Water-Meter'!J32</f>
        <v>0</v>
      </c>
      <c r="Q30" s="165"/>
      <c r="R30" s="241"/>
      <c r="S30" s="628">
        <f>Gen!T37</f>
        <v>0</v>
      </c>
      <c r="T30" s="625">
        <f t="shared" si="7"/>
        <v>44254</v>
      </c>
      <c r="U30" s="581"/>
      <c r="V30" s="583">
        <f t="shared" si="4"/>
        <v>0</v>
      </c>
      <c r="W30" s="580"/>
      <c r="X30" s="583">
        <f t="shared" si="0"/>
        <v>0</v>
      </c>
      <c r="Y30" s="625">
        <f t="shared" si="8"/>
        <v>44254</v>
      </c>
      <c r="Z30" s="581"/>
      <c r="AA30" s="578"/>
      <c r="AB30" s="582">
        <f>'Water-Meter'!P32</f>
        <v>0</v>
      </c>
      <c r="AC30" s="633">
        <f t="shared" si="9"/>
        <v>0</v>
      </c>
    </row>
    <row r="31" spans="1:29" ht="19.5" thickBot="1">
      <c r="A31" s="641">
        <f>Gen!B38</f>
        <v>0</v>
      </c>
      <c r="B31" s="594">
        <f>Gen!A38</f>
        <v>44255</v>
      </c>
      <c r="C31" s="581"/>
      <c r="D31" s="583">
        <f t="shared" si="12"/>
        <v>0</v>
      </c>
      <c r="E31" s="579"/>
      <c r="F31" s="583">
        <f t="shared" si="11"/>
        <v>0</v>
      </c>
      <c r="G31" s="578"/>
      <c r="H31" s="625">
        <f t="shared" si="5"/>
        <v>44255</v>
      </c>
      <c r="I31" s="581"/>
      <c r="J31" s="626">
        <f>'Water-Meter'!G33</f>
        <v>0</v>
      </c>
      <c r="K31" s="627">
        <f>'Water-Meter'!G34</f>
        <v>0</v>
      </c>
      <c r="L31" s="578">
        <f t="shared" si="3"/>
        <v>0</v>
      </c>
      <c r="M31" s="625">
        <f t="shared" si="6"/>
        <v>44255</v>
      </c>
      <c r="N31" s="581"/>
      <c r="O31" s="6"/>
      <c r="P31" s="582">
        <f>'Water-Meter'!J33</f>
        <v>0</v>
      </c>
      <c r="Q31" s="165"/>
      <c r="R31" s="241"/>
      <c r="S31" s="628">
        <f>Gen!T38</f>
        <v>0</v>
      </c>
      <c r="T31" s="625">
        <f>M31</f>
        <v>44255</v>
      </c>
      <c r="U31" s="581"/>
      <c r="V31" s="583">
        <f t="shared" si="4"/>
        <v>0</v>
      </c>
      <c r="W31" s="580"/>
      <c r="X31" s="583">
        <f t="shared" si="0"/>
        <v>0</v>
      </c>
      <c r="Y31" s="625">
        <f>T31</f>
        <v>44255</v>
      </c>
      <c r="Z31" s="581"/>
      <c r="AA31" s="578"/>
      <c r="AB31" s="582">
        <f>'Water-Meter'!P33</f>
        <v>0</v>
      </c>
      <c r="AC31" s="633">
        <f t="shared" si="9"/>
        <v>0</v>
      </c>
    </row>
    <row r="32" spans="1:29" ht="19.5" thickBot="1">
      <c r="A32" s="641">
        <f>Gen!B39</f>
        <v>0</v>
      </c>
      <c r="B32" s="594">
        <f>Gen!A39</f>
        <v>0</v>
      </c>
      <c r="C32" s="581"/>
      <c r="D32" s="583">
        <f t="shared" si="12"/>
        <v>0</v>
      </c>
      <c r="E32" s="579"/>
      <c r="F32" s="583">
        <f t="shared" si="11"/>
        <v>0</v>
      </c>
      <c r="G32" s="578"/>
      <c r="H32" s="625">
        <f t="shared" si="5"/>
        <v>0</v>
      </c>
      <c r="I32" s="581"/>
      <c r="J32" s="626">
        <f>'Water-Meter'!G34</f>
        <v>0</v>
      </c>
      <c r="K32" s="627">
        <f>'Water-Meter'!G34</f>
        <v>0</v>
      </c>
      <c r="L32" s="578">
        <f t="shared" si="3"/>
        <v>0</v>
      </c>
      <c r="M32" s="625">
        <f t="shared" si="6"/>
        <v>0</v>
      </c>
      <c r="N32" s="581"/>
      <c r="O32" s="6"/>
      <c r="P32" s="582">
        <f>'Water-Meter'!J34</f>
        <v>0</v>
      </c>
      <c r="Q32" s="165"/>
      <c r="R32" s="241"/>
      <c r="S32" s="628">
        <f>Gen!T39</f>
        <v>0</v>
      </c>
      <c r="T32" s="625">
        <f t="shared" ref="T32:T35" si="13">M32</f>
        <v>0</v>
      </c>
      <c r="U32" s="581"/>
      <c r="V32" s="583">
        <f t="shared" si="4"/>
        <v>0</v>
      </c>
      <c r="W32" s="580"/>
      <c r="X32" s="583">
        <f t="shared" si="0"/>
        <v>0</v>
      </c>
      <c r="Y32" s="625">
        <f t="shared" ref="Y32:Y35" si="14">T32</f>
        <v>0</v>
      </c>
      <c r="Z32" s="581"/>
      <c r="AA32" s="578"/>
      <c r="AB32" s="582">
        <f>'Water-Meter'!P34</f>
        <v>0</v>
      </c>
      <c r="AC32" s="633">
        <f t="shared" si="9"/>
        <v>0</v>
      </c>
    </row>
    <row r="33" spans="1:29" ht="19.5" thickBot="1">
      <c r="A33" s="641">
        <f>Gen!B40</f>
        <v>0</v>
      </c>
      <c r="B33" s="594">
        <f>Gen!A40</f>
        <v>0</v>
      </c>
      <c r="C33" s="581"/>
      <c r="D33" s="583">
        <f t="shared" si="12"/>
        <v>0</v>
      </c>
      <c r="E33" s="579"/>
      <c r="F33" s="583">
        <f t="shared" si="11"/>
        <v>0</v>
      </c>
      <c r="G33" s="578"/>
      <c r="H33" s="625">
        <f t="shared" si="5"/>
        <v>0</v>
      </c>
      <c r="I33" s="581"/>
      <c r="J33" s="626">
        <f>'Water-Meter'!G35</f>
        <v>0</v>
      </c>
      <c r="K33" s="627">
        <f>'Water-Meter'!G35</f>
        <v>0</v>
      </c>
      <c r="L33" s="578">
        <f t="shared" si="3"/>
        <v>0</v>
      </c>
      <c r="M33" s="625">
        <f t="shared" si="6"/>
        <v>0</v>
      </c>
      <c r="N33" s="581"/>
      <c r="O33" s="6"/>
      <c r="P33" s="582">
        <f>'Water-Meter'!J35</f>
        <v>0</v>
      </c>
      <c r="Q33" s="165"/>
      <c r="R33" s="241"/>
      <c r="S33" s="628">
        <f>Gen!T40</f>
        <v>0</v>
      </c>
      <c r="T33" s="625">
        <f t="shared" si="13"/>
        <v>0</v>
      </c>
      <c r="U33" s="581"/>
      <c r="V33" s="583">
        <f t="shared" si="4"/>
        <v>0</v>
      </c>
      <c r="W33" s="580"/>
      <c r="X33" s="583">
        <f t="shared" si="0"/>
        <v>0</v>
      </c>
      <c r="Y33" s="625">
        <f t="shared" si="14"/>
        <v>0</v>
      </c>
      <c r="Z33" s="581"/>
      <c r="AA33" s="578"/>
      <c r="AB33" s="582">
        <f>'Water-Meter'!P35</f>
        <v>0</v>
      </c>
      <c r="AC33" s="633">
        <f t="shared" si="9"/>
        <v>0</v>
      </c>
    </row>
    <row r="34" spans="1:29" ht="19.5" thickBot="1">
      <c r="A34" s="641">
        <f>Gen!B41</f>
        <v>0</v>
      </c>
      <c r="B34" s="594">
        <f>Gen!A41</f>
        <v>0</v>
      </c>
      <c r="C34" s="6"/>
      <c r="D34" s="583">
        <f t="shared" si="12"/>
        <v>0</v>
      </c>
      <c r="E34" s="579"/>
      <c r="F34" s="583">
        <f t="shared" si="11"/>
        <v>0</v>
      </c>
      <c r="G34" s="6"/>
      <c r="H34" s="625">
        <f t="shared" si="5"/>
        <v>0</v>
      </c>
      <c r="I34" s="6"/>
      <c r="J34" s="626">
        <f>'Water-Meter'!G36</f>
        <v>0</v>
      </c>
      <c r="K34" s="627">
        <f>'Water-Meter'!G36</f>
        <v>0</v>
      </c>
      <c r="L34" s="578">
        <f t="shared" si="3"/>
        <v>0</v>
      </c>
      <c r="M34" s="625">
        <f t="shared" si="6"/>
        <v>0</v>
      </c>
      <c r="N34" s="6"/>
      <c r="O34" s="6"/>
      <c r="P34" s="582">
        <f>'Water-Meter'!J36</f>
        <v>0</v>
      </c>
      <c r="Q34" s="165"/>
      <c r="R34" s="241"/>
      <c r="S34" s="628">
        <f>Gen!T41</f>
        <v>0</v>
      </c>
      <c r="T34" s="625">
        <f t="shared" si="13"/>
        <v>0</v>
      </c>
      <c r="U34" s="6"/>
      <c r="V34" s="583">
        <f t="shared" ref="V34:V35" si="15">SUM(W33)</f>
        <v>0</v>
      </c>
      <c r="W34" s="580"/>
      <c r="X34" s="583">
        <f t="shared" si="0"/>
        <v>0</v>
      </c>
      <c r="Y34" s="625">
        <f t="shared" si="14"/>
        <v>0</v>
      </c>
      <c r="Z34" s="6"/>
      <c r="AA34" s="578"/>
      <c r="AB34" s="582">
        <f>'Water-Meter'!P36</f>
        <v>0</v>
      </c>
      <c r="AC34" s="633">
        <f t="shared" si="9"/>
        <v>0</v>
      </c>
    </row>
    <row r="35" spans="1:29" ht="20.25" customHeight="1" thickBot="1">
      <c r="A35" s="642" t="e">
        <f>[1]Gen!B42</f>
        <v>#REF!</v>
      </c>
      <c r="B35" s="595" t="e">
        <f>[1]Gen!A42</f>
        <v>#REF!</v>
      </c>
      <c r="C35" s="7"/>
      <c r="D35" s="596">
        <f t="shared" si="12"/>
        <v>0</v>
      </c>
      <c r="E35" s="597"/>
      <c r="F35" s="598">
        <f>SUM(F4:F6)</f>
        <v>-1089336</v>
      </c>
      <c r="G35" s="7"/>
      <c r="H35" s="634" t="e">
        <f t="shared" si="5"/>
        <v>#REF!</v>
      </c>
      <c r="I35" s="7"/>
      <c r="J35" s="601">
        <f t="shared" ref="J35" si="16">SUM(K34)</f>
        <v>0</v>
      </c>
      <c r="K35" s="635">
        <f>'Water-Meter'!G37</f>
        <v>0</v>
      </c>
      <c r="L35" s="7">
        <f>SUM(L5:L34)</f>
        <v>0</v>
      </c>
      <c r="M35" s="634" t="e">
        <f t="shared" si="6"/>
        <v>#REF!</v>
      </c>
      <c r="N35" s="7"/>
      <c r="O35" s="601"/>
      <c r="P35" s="602">
        <f>'Water-Meter'!J37</f>
        <v>0</v>
      </c>
      <c r="Q35" s="165"/>
      <c r="R35" s="241"/>
      <c r="S35" s="636">
        <f>Gen!T42</f>
        <v>0</v>
      </c>
      <c r="T35" s="634" t="e">
        <f t="shared" si="13"/>
        <v>#REF!</v>
      </c>
      <c r="U35" s="7"/>
      <c r="V35" s="596">
        <f t="shared" si="15"/>
        <v>0</v>
      </c>
      <c r="W35" s="603"/>
      <c r="X35" s="596">
        <f t="shared" si="0"/>
        <v>0</v>
      </c>
      <c r="Y35" s="634" t="e">
        <f t="shared" si="14"/>
        <v>#REF!</v>
      </c>
      <c r="Z35" s="7"/>
      <c r="AA35" s="601"/>
      <c r="AB35" s="602">
        <f>'Water-Meter'!P37</f>
        <v>0</v>
      </c>
      <c r="AC35" s="637">
        <f t="shared" si="9"/>
        <v>0</v>
      </c>
    </row>
    <row r="36" spans="1:29" ht="24.75" customHeight="1">
      <c r="D36" s="19"/>
      <c r="E36" s="390"/>
      <c r="L36" s="140"/>
      <c r="Q36" s="140"/>
      <c r="R36" s="168"/>
      <c r="X36" s="388">
        <f>SUM(X4:X6)</f>
        <v>-1597440</v>
      </c>
      <c r="AC36" s="140"/>
    </row>
    <row r="37" spans="1:29" ht="12.75" customHeight="1">
      <c r="D37" s="19"/>
      <c r="E37" s="390"/>
      <c r="G37" s="19"/>
    </row>
    <row r="38" spans="1:29" ht="12.75" customHeight="1">
      <c r="E38" s="163"/>
      <c r="G38" s="19"/>
      <c r="K38" s="163"/>
      <c r="W38" s="163"/>
      <c r="AB38" s="163"/>
    </row>
    <row r="39" spans="1:29" ht="12.75" customHeight="1">
      <c r="E39" s="390"/>
      <c r="G39" s="19"/>
    </row>
    <row r="40" spans="1:29" ht="12.75" customHeight="1">
      <c r="D40" s="140"/>
      <c r="E40" s="163"/>
      <c r="G40" s="19"/>
      <c r="V40" s="140"/>
      <c r="W40" s="163"/>
    </row>
    <row r="41" spans="1:29" ht="12.75" customHeight="1">
      <c r="E41" s="390"/>
      <c r="G41" s="19"/>
    </row>
    <row r="42" spans="1:29" ht="12.75" customHeight="1">
      <c r="C42" s="164"/>
      <c r="E42" s="391"/>
      <c r="G42" s="19"/>
      <c r="U42" s="164"/>
    </row>
    <row r="43" spans="1:29" ht="18.75">
      <c r="E43" s="390"/>
    </row>
    <row r="44" spans="1:29">
      <c r="E44" s="391"/>
    </row>
    <row r="45" spans="1:29" ht="18.75">
      <c r="E45" s="390"/>
    </row>
    <row r="46" spans="1:29">
      <c r="E46" s="391"/>
    </row>
    <row r="47" spans="1:29" ht="18.75">
      <c r="E47" s="390"/>
    </row>
    <row r="48" spans="1:29">
      <c r="E48" s="391"/>
    </row>
    <row r="49" spans="5:5" ht="18.75">
      <c r="E49" s="390"/>
    </row>
    <row r="50" spans="5:5">
      <c r="E50" s="391"/>
    </row>
    <row r="51" spans="5:5" ht="18.75">
      <c r="E51" s="390"/>
    </row>
    <row r="52" spans="5:5">
      <c r="E52" s="391"/>
    </row>
    <row r="53" spans="5:5" ht="18.75">
      <c r="E53" s="390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P4" sqref="P4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>
      <c r="A1" s="859">
        <f>A5</f>
        <v>44228</v>
      </c>
      <c r="B1" s="859"/>
      <c r="C1" s="859"/>
      <c r="D1" s="859"/>
      <c r="E1" s="859"/>
      <c r="F1" s="859"/>
      <c r="G1" s="859"/>
      <c r="H1" s="859"/>
      <c r="I1" s="859"/>
      <c r="J1" s="859"/>
      <c r="K1" s="859"/>
      <c r="L1" s="859"/>
    </row>
    <row r="2" spans="1:13">
      <c r="A2" s="860"/>
      <c r="B2" s="860"/>
      <c r="C2" s="860"/>
      <c r="D2" s="860"/>
      <c r="E2" s="860"/>
      <c r="F2" s="860"/>
      <c r="G2" s="860"/>
      <c r="H2" s="860"/>
      <c r="I2" s="860"/>
      <c r="J2" s="860"/>
      <c r="K2" s="860"/>
      <c r="L2" s="860"/>
    </row>
    <row r="3" spans="1:13" ht="50.25" customHeight="1" thickBot="1">
      <c r="A3" s="663"/>
      <c r="B3" s="664"/>
      <c r="C3" s="75"/>
      <c r="D3" s="75"/>
      <c r="E3" s="75"/>
      <c r="F3" s="75"/>
      <c r="G3" s="75"/>
      <c r="H3" s="75"/>
      <c r="I3" s="75"/>
      <c r="J3" s="75"/>
      <c r="K3" s="75"/>
      <c r="L3" s="665"/>
    </row>
    <row r="4" spans="1:13" s="50" customFormat="1" ht="50.25" customHeight="1" thickBot="1">
      <c r="A4" s="666" t="s">
        <v>0</v>
      </c>
      <c r="B4" s="667" t="s">
        <v>66</v>
      </c>
      <c r="C4" s="668" t="s">
        <v>50</v>
      </c>
      <c r="D4" s="669" t="s">
        <v>64</v>
      </c>
      <c r="E4" s="669" t="s">
        <v>65</v>
      </c>
      <c r="F4" s="670" t="s">
        <v>42</v>
      </c>
      <c r="G4" s="669" t="s">
        <v>203</v>
      </c>
      <c r="H4" s="669" t="s">
        <v>206</v>
      </c>
      <c r="I4" s="669" t="s">
        <v>204</v>
      </c>
      <c r="J4" s="669" t="s">
        <v>205</v>
      </c>
      <c r="K4" s="670" t="s">
        <v>51</v>
      </c>
      <c r="L4" s="671" t="s">
        <v>76</v>
      </c>
    </row>
    <row r="5" spans="1:13">
      <c r="A5" s="660">
        <f>Gen!A11</f>
        <v>44228</v>
      </c>
      <c r="B5" s="643">
        <f>'Daily report Gen'!Z6</f>
        <v>157480</v>
      </c>
      <c r="C5" s="644">
        <f>Gen!B11</f>
        <v>0</v>
      </c>
      <c r="D5" s="645">
        <f t="shared" ref="D5:D36" si="0">E5</f>
        <v>0</v>
      </c>
      <c r="E5" s="646"/>
      <c r="F5" s="70">
        <f>Gen!U11</f>
        <v>0.41609084652443218</v>
      </c>
      <c r="G5" s="647">
        <f>Gen!T9</f>
        <v>0</v>
      </c>
      <c r="H5" s="647">
        <f>Gen!AK11</f>
        <v>0</v>
      </c>
      <c r="I5" s="647">
        <f t="shared" ref="I5:I36" si="1">SUM(G5:H5)</f>
        <v>0</v>
      </c>
      <c r="J5" s="648">
        <f>Gen!C11</f>
        <v>38934.209999999992</v>
      </c>
      <c r="K5" s="649">
        <f>'Water-Meter'!E6</f>
        <v>58</v>
      </c>
      <c r="L5" s="650">
        <f>'Lpg (2)'!G10</f>
        <v>0</v>
      </c>
      <c r="M5" s="79" t="e">
        <f>SUM(#REF!-#REF!)</f>
        <v>#REF!</v>
      </c>
    </row>
    <row r="6" spans="1:13">
      <c r="A6" s="661">
        <f>Gen!A12</f>
        <v>44229</v>
      </c>
      <c r="B6" s="651">
        <f>'Daily report Gen'!Z7</f>
        <v>25</v>
      </c>
      <c r="C6" s="87">
        <f>Gen!B12</f>
        <v>0</v>
      </c>
      <c r="D6" s="434">
        <f t="shared" si="0"/>
        <v>0</v>
      </c>
      <c r="E6" s="74"/>
      <c r="F6" s="70" t="e">
        <f>Gen!U12</f>
        <v>#DIV/0!</v>
      </c>
      <c r="G6" s="85">
        <f>Gen!T10</f>
        <v>0</v>
      </c>
      <c r="H6" s="85">
        <f>Gen!AK12</f>
        <v>0</v>
      </c>
      <c r="I6" s="85">
        <f t="shared" si="1"/>
        <v>0</v>
      </c>
      <c r="J6" s="446">
        <f>Gen!C12</f>
        <v>37627.399999999994</v>
      </c>
      <c r="K6" s="295" t="str">
        <f>'Water-Meter'!E7</f>
        <v>0</v>
      </c>
      <c r="L6" s="652">
        <f>'Lpg (2)'!G11</f>
        <v>0</v>
      </c>
      <c r="M6" s="79" t="e">
        <f>SUM(#REF!-#REF!)</f>
        <v>#REF!</v>
      </c>
    </row>
    <row r="7" spans="1:13">
      <c r="A7" s="661">
        <f>Gen!A13</f>
        <v>44230</v>
      </c>
      <c r="B7" s="651">
        <f>'Daily report Gen'!Z8</f>
        <v>-157505</v>
      </c>
      <c r="C7" s="87">
        <f>Gen!B13</f>
        <v>0</v>
      </c>
      <c r="D7" s="434">
        <f t="shared" si="0"/>
        <v>0</v>
      </c>
      <c r="E7" s="74"/>
      <c r="F7" s="70" t="e">
        <f>Gen!U13</f>
        <v>#DIV/0!</v>
      </c>
      <c r="G7" s="85">
        <f>Gen!T11</f>
        <v>2906</v>
      </c>
      <c r="H7" s="85">
        <f>Gen!AK13</f>
        <v>0</v>
      </c>
      <c r="I7" s="85">
        <f t="shared" si="1"/>
        <v>2906</v>
      </c>
      <c r="J7" s="446">
        <f>Gen!C13</f>
        <v>37627.399999999994</v>
      </c>
      <c r="K7" s="295">
        <f>'Water-Meter'!E8</f>
        <v>0</v>
      </c>
      <c r="L7" s="652">
        <f>'Lpg (2)'!G12</f>
        <v>0</v>
      </c>
      <c r="M7" s="79" t="e">
        <f>SUM(#REF!-#REF!)</f>
        <v>#REF!</v>
      </c>
    </row>
    <row r="8" spans="1:13">
      <c r="A8" s="661">
        <f>Gen!A14</f>
        <v>44231</v>
      </c>
      <c r="B8" s="651">
        <f>'Daily report Gen'!Z9</f>
        <v>0</v>
      </c>
      <c r="C8" s="87">
        <f>Gen!B14</f>
        <v>0</v>
      </c>
      <c r="D8" s="434">
        <f>E8</f>
        <v>0</v>
      </c>
      <c r="E8" s="74"/>
      <c r="F8" s="70" t="e">
        <f>Gen!U14</f>
        <v>#DIV/0!</v>
      </c>
      <c r="G8" s="85">
        <f>Gen!T12</f>
        <v>0</v>
      </c>
      <c r="H8" s="85">
        <f>Gen!AK14</f>
        <v>0</v>
      </c>
      <c r="I8" s="85">
        <f t="shared" si="1"/>
        <v>0</v>
      </c>
      <c r="J8" s="446">
        <f>Gen!C14</f>
        <v>37627.399999999994</v>
      </c>
      <c r="K8" s="295">
        <f>'Water-Meter'!E9</f>
        <v>0</v>
      </c>
      <c r="L8" s="652">
        <f>'Lpg (2)'!G13</f>
        <v>0</v>
      </c>
      <c r="M8" s="79" t="e">
        <f>SUM(#REF!-#REF!)</f>
        <v>#REF!</v>
      </c>
    </row>
    <row r="9" spans="1:13">
      <c r="A9" s="661">
        <f>Gen!A15</f>
        <v>44232</v>
      </c>
      <c r="B9" s="651">
        <f>'Daily report Gen'!Z10</f>
        <v>0</v>
      </c>
      <c r="C9" s="87">
        <f>Gen!B15</f>
        <v>0</v>
      </c>
      <c r="D9" s="434">
        <f t="shared" si="0"/>
        <v>0</v>
      </c>
      <c r="E9" s="74"/>
      <c r="F9" s="70" t="e">
        <f>Gen!U15</f>
        <v>#DIV/0!</v>
      </c>
      <c r="G9" s="85">
        <f>Gen!T13</f>
        <v>0</v>
      </c>
      <c r="H9" s="85">
        <f>Gen!AK15</f>
        <v>0</v>
      </c>
      <c r="I9" s="85">
        <f t="shared" si="1"/>
        <v>0</v>
      </c>
      <c r="J9" s="446">
        <f>Gen!C15</f>
        <v>37627.399999999994</v>
      </c>
      <c r="K9" s="295">
        <f>'Water-Meter'!E10</f>
        <v>0</v>
      </c>
      <c r="L9" s="652">
        <f>'Lpg (2)'!G14</f>
        <v>0</v>
      </c>
      <c r="M9" s="79" t="e">
        <f>SUM(#REF!-#REF!)</f>
        <v>#REF!</v>
      </c>
    </row>
    <row r="10" spans="1:13">
      <c r="A10" s="661">
        <f>Gen!A16</f>
        <v>44233</v>
      </c>
      <c r="B10" s="651">
        <f>'Daily report Gen'!Z11</f>
        <v>0</v>
      </c>
      <c r="C10" s="87">
        <f>Gen!B16</f>
        <v>0</v>
      </c>
      <c r="D10" s="434">
        <f t="shared" si="0"/>
        <v>0</v>
      </c>
      <c r="E10" s="74"/>
      <c r="F10" s="70" t="e">
        <f>Gen!U16</f>
        <v>#DIV/0!</v>
      </c>
      <c r="G10" s="85">
        <f>Gen!T14</f>
        <v>0</v>
      </c>
      <c r="H10" s="85">
        <f>Gen!AK16</f>
        <v>0</v>
      </c>
      <c r="I10" s="85">
        <f t="shared" si="1"/>
        <v>0</v>
      </c>
      <c r="J10" s="446">
        <f>Gen!C16</f>
        <v>37627.399999999994</v>
      </c>
      <c r="K10" s="295">
        <f>'Water-Meter'!E11</f>
        <v>0</v>
      </c>
      <c r="L10" s="652">
        <f>'Lpg (2)'!G15</f>
        <v>0</v>
      </c>
      <c r="M10" s="79" t="e">
        <f>SUM(#REF!-#REF!)</f>
        <v>#REF!</v>
      </c>
    </row>
    <row r="11" spans="1:13">
      <c r="A11" s="661">
        <f>Gen!A17</f>
        <v>44234</v>
      </c>
      <c r="B11" s="651">
        <f>'Daily report Gen'!Z12</f>
        <v>0</v>
      </c>
      <c r="C11" s="87">
        <f>Gen!B17</f>
        <v>0</v>
      </c>
      <c r="D11" s="434">
        <f t="shared" si="0"/>
        <v>0</v>
      </c>
      <c r="E11" s="74"/>
      <c r="F11" s="70" t="e">
        <f>Gen!U17</f>
        <v>#DIV/0!</v>
      </c>
      <c r="G11" s="85">
        <f>Gen!T15</f>
        <v>0</v>
      </c>
      <c r="H11" s="85">
        <f>Gen!AK17</f>
        <v>0</v>
      </c>
      <c r="I11" s="85">
        <f t="shared" si="1"/>
        <v>0</v>
      </c>
      <c r="J11" s="446">
        <f>Gen!C17</f>
        <v>37627.399999999994</v>
      </c>
      <c r="K11" s="295">
        <f>'Water-Meter'!E12</f>
        <v>0</v>
      </c>
      <c r="L11" s="652">
        <f>'Lpg (2)'!G16</f>
        <v>0</v>
      </c>
      <c r="M11" s="79" t="e">
        <f>SUM(#REF!-#REF!)</f>
        <v>#REF!</v>
      </c>
    </row>
    <row r="12" spans="1:13">
      <c r="A12" s="661">
        <f>Gen!A18</f>
        <v>44235</v>
      </c>
      <c r="B12" s="651">
        <f>'Daily report Gen'!Z13</f>
        <v>0</v>
      </c>
      <c r="C12" s="87">
        <f>Gen!B18</f>
        <v>0</v>
      </c>
      <c r="D12" s="434">
        <f t="shared" si="0"/>
        <v>0</v>
      </c>
      <c r="E12" s="74"/>
      <c r="F12" s="70" t="e">
        <f>Gen!U18</f>
        <v>#DIV/0!</v>
      </c>
      <c r="G12" s="85">
        <f>Gen!T16</f>
        <v>0</v>
      </c>
      <c r="H12" s="85">
        <f>Gen!AK18</f>
        <v>0</v>
      </c>
      <c r="I12" s="85">
        <f t="shared" si="1"/>
        <v>0</v>
      </c>
      <c r="J12" s="446">
        <f>Gen!C18</f>
        <v>37627.399999999994</v>
      </c>
      <c r="K12" s="295">
        <f>'Water-Meter'!E13</f>
        <v>0</v>
      </c>
      <c r="L12" s="652">
        <f>'Lpg (2)'!G17</f>
        <v>0</v>
      </c>
      <c r="M12" s="79" t="e">
        <f>SUM(#REF!-#REF!)</f>
        <v>#REF!</v>
      </c>
    </row>
    <row r="13" spans="1:13">
      <c r="A13" s="661">
        <f>Gen!A19</f>
        <v>44236</v>
      </c>
      <c r="B13" s="651" t="e">
        <f>'Daily report Gen'!Z14</f>
        <v>#REF!</v>
      </c>
      <c r="C13" s="87">
        <f>Gen!B19</f>
        <v>0</v>
      </c>
      <c r="D13" s="434">
        <f t="shared" si="0"/>
        <v>0</v>
      </c>
      <c r="E13" s="74"/>
      <c r="F13" s="70" t="e">
        <f>Gen!U19</f>
        <v>#DIV/0!</v>
      </c>
      <c r="G13" s="85">
        <f>Gen!T17</f>
        <v>0</v>
      </c>
      <c r="H13" s="85">
        <f>Gen!AK19</f>
        <v>0</v>
      </c>
      <c r="I13" s="85">
        <f t="shared" si="1"/>
        <v>0</v>
      </c>
      <c r="J13" s="446">
        <f>Gen!C19</f>
        <v>37627.399999999994</v>
      </c>
      <c r="K13" s="295">
        <f>'Water-Meter'!E14</f>
        <v>0</v>
      </c>
      <c r="L13" s="652">
        <f>'Lpg (2)'!G18</f>
        <v>0</v>
      </c>
      <c r="M13" s="79" t="e">
        <f>SUM(#REF!-#REF!)</f>
        <v>#REF!</v>
      </c>
    </row>
    <row r="14" spans="1:13">
      <c r="A14" s="661">
        <f>Gen!A20</f>
        <v>44237</v>
      </c>
      <c r="B14" s="651" t="e">
        <f>'Daily report Gen'!Z15</f>
        <v>#REF!</v>
      </c>
      <c r="C14" s="87">
        <f>Gen!B20</f>
        <v>0</v>
      </c>
      <c r="D14" s="434">
        <f t="shared" si="0"/>
        <v>0</v>
      </c>
      <c r="E14" s="74"/>
      <c r="F14" s="70" t="e">
        <f>Gen!U20</f>
        <v>#DIV/0!</v>
      </c>
      <c r="G14" s="85">
        <f>Gen!T18</f>
        <v>0</v>
      </c>
      <c r="H14" s="85">
        <f>Gen!AK20</f>
        <v>0</v>
      </c>
      <c r="I14" s="85">
        <f t="shared" si="1"/>
        <v>0</v>
      </c>
      <c r="J14" s="446">
        <f>Gen!C20</f>
        <v>37627.399999999994</v>
      </c>
      <c r="K14" s="295">
        <f>'Water-Meter'!E15</f>
        <v>0</v>
      </c>
      <c r="L14" s="652">
        <f>'Lpg (2)'!G19</f>
        <v>0</v>
      </c>
      <c r="M14" s="79" t="e">
        <f>SUM(#REF!-#REF!)</f>
        <v>#REF!</v>
      </c>
    </row>
    <row r="15" spans="1:13">
      <c r="A15" s="661">
        <f>Gen!A21</f>
        <v>44238</v>
      </c>
      <c r="B15" s="651">
        <f>'Daily report Gen'!Z16</f>
        <v>0</v>
      </c>
      <c r="C15" s="87">
        <f>Gen!B21</f>
        <v>0</v>
      </c>
      <c r="D15" s="434">
        <f t="shared" si="0"/>
        <v>0</v>
      </c>
      <c r="E15" s="74"/>
      <c r="F15" s="70" t="e">
        <f>Gen!U21</f>
        <v>#DIV/0!</v>
      </c>
      <c r="G15" s="85">
        <f>Gen!T19</f>
        <v>0</v>
      </c>
      <c r="H15" s="85">
        <f>Gen!AK21</f>
        <v>0</v>
      </c>
      <c r="I15" s="85">
        <f t="shared" si="1"/>
        <v>0</v>
      </c>
      <c r="J15" s="446">
        <f>Gen!C21</f>
        <v>37627.399999999994</v>
      </c>
      <c r="K15" s="295">
        <f>'Water-Meter'!E16</f>
        <v>0</v>
      </c>
      <c r="L15" s="652">
        <f>'Lpg (2)'!G20</f>
        <v>0</v>
      </c>
      <c r="M15" s="79" t="e">
        <f>SUM(#REF!-#REF!)</f>
        <v>#REF!</v>
      </c>
    </row>
    <row r="16" spans="1:13">
      <c r="A16" s="661">
        <f>Gen!A22</f>
        <v>44239</v>
      </c>
      <c r="B16" s="651">
        <f>'Daily report Gen'!Z17</f>
        <v>0</v>
      </c>
      <c r="C16" s="87">
        <f>Gen!B22</f>
        <v>0</v>
      </c>
      <c r="D16" s="434">
        <f t="shared" si="0"/>
        <v>0</v>
      </c>
      <c r="E16" s="74"/>
      <c r="F16" s="70" t="e">
        <f>Gen!U22</f>
        <v>#DIV/0!</v>
      </c>
      <c r="G16" s="85">
        <f>Gen!T20</f>
        <v>0</v>
      </c>
      <c r="H16" s="85">
        <f>Gen!AK22</f>
        <v>0</v>
      </c>
      <c r="I16" s="85">
        <f t="shared" si="1"/>
        <v>0</v>
      </c>
      <c r="J16" s="446">
        <f>Gen!C22</f>
        <v>37627.399999999994</v>
      </c>
      <c r="K16" s="295">
        <f>'Water-Meter'!E17</f>
        <v>0</v>
      </c>
      <c r="L16" s="652">
        <f>'Lpg (2)'!G21</f>
        <v>0</v>
      </c>
      <c r="M16" s="79" t="e">
        <f>SUM(#REF!-#REF!)</f>
        <v>#REF!</v>
      </c>
    </row>
    <row r="17" spans="1:13">
      <c r="A17" s="661">
        <f>Gen!A23</f>
        <v>44240</v>
      </c>
      <c r="B17" s="651">
        <f>'Daily report Gen'!Z18</f>
        <v>0</v>
      </c>
      <c r="C17" s="87">
        <f>Gen!B23</f>
        <v>0</v>
      </c>
      <c r="D17" s="434">
        <f t="shared" si="0"/>
        <v>0</v>
      </c>
      <c r="E17" s="74"/>
      <c r="F17" s="70" t="e">
        <f>Gen!U23</f>
        <v>#DIV/0!</v>
      </c>
      <c r="G17" s="85">
        <f>Gen!T21</f>
        <v>0</v>
      </c>
      <c r="H17" s="85">
        <f>Gen!AK23</f>
        <v>0</v>
      </c>
      <c r="I17" s="85">
        <f t="shared" si="1"/>
        <v>0</v>
      </c>
      <c r="J17" s="446">
        <f>Gen!C23</f>
        <v>37627.399999999994</v>
      </c>
      <c r="K17" s="295">
        <f>'Water-Meter'!E18</f>
        <v>0</v>
      </c>
      <c r="L17" s="652">
        <f>'Lpg (2)'!G22</f>
        <v>0</v>
      </c>
      <c r="M17" s="79" t="e">
        <f>SUM(#REF!-#REF!)</f>
        <v>#REF!</v>
      </c>
    </row>
    <row r="18" spans="1:13">
      <c r="A18" s="661">
        <f>Gen!A24</f>
        <v>44241</v>
      </c>
      <c r="B18" s="651">
        <f>'Daily report Gen'!Z19</f>
        <v>0</v>
      </c>
      <c r="C18" s="87">
        <f>Gen!B24</f>
        <v>0</v>
      </c>
      <c r="D18" s="434">
        <f t="shared" si="0"/>
        <v>0</v>
      </c>
      <c r="E18" s="74"/>
      <c r="F18" s="70" t="e">
        <f>Gen!U24</f>
        <v>#DIV/0!</v>
      </c>
      <c r="G18" s="85">
        <f>Gen!T22</f>
        <v>0</v>
      </c>
      <c r="H18" s="85">
        <f>Gen!AK24</f>
        <v>0</v>
      </c>
      <c r="I18" s="85">
        <f t="shared" si="1"/>
        <v>0</v>
      </c>
      <c r="J18" s="446">
        <f>Gen!C24</f>
        <v>37627.399999999994</v>
      </c>
      <c r="K18" s="295">
        <f>'Water-Meter'!E19</f>
        <v>0</v>
      </c>
      <c r="L18" s="652">
        <f>'Lpg (2)'!G23</f>
        <v>0</v>
      </c>
      <c r="M18" s="79" t="e">
        <f>SUM(#REF!-#REF!)</f>
        <v>#REF!</v>
      </c>
    </row>
    <row r="19" spans="1:13">
      <c r="A19" s="661">
        <f>Gen!A25</f>
        <v>44242</v>
      </c>
      <c r="B19" s="651">
        <f>'Daily report Gen'!Z20</f>
        <v>0</v>
      </c>
      <c r="C19" s="87">
        <f>Gen!B25</f>
        <v>0</v>
      </c>
      <c r="D19" s="434">
        <f t="shared" si="0"/>
        <v>0</v>
      </c>
      <c r="E19" s="74"/>
      <c r="F19" s="70" t="e">
        <f>Gen!U25</f>
        <v>#DIV/0!</v>
      </c>
      <c r="G19" s="85">
        <f>Gen!T23</f>
        <v>0</v>
      </c>
      <c r="H19" s="85">
        <f>Gen!AK25</f>
        <v>0</v>
      </c>
      <c r="I19" s="85">
        <f t="shared" si="1"/>
        <v>0</v>
      </c>
      <c r="J19" s="446">
        <f>Gen!C25</f>
        <v>37627.399999999994</v>
      </c>
      <c r="K19" s="295">
        <f>'Water-Meter'!E20</f>
        <v>0</v>
      </c>
      <c r="L19" s="652">
        <f>'Lpg (2)'!G24</f>
        <v>0</v>
      </c>
      <c r="M19" s="79" t="e">
        <f>SUM(#REF!-#REF!)</f>
        <v>#REF!</v>
      </c>
    </row>
    <row r="20" spans="1:13">
      <c r="A20" s="661">
        <f>Gen!A26</f>
        <v>44243</v>
      </c>
      <c r="B20" s="651">
        <f>'Daily report Gen'!Z21</f>
        <v>0</v>
      </c>
      <c r="C20" s="87">
        <f>Gen!B26</f>
        <v>0</v>
      </c>
      <c r="D20" s="434">
        <f t="shared" si="0"/>
        <v>0</v>
      </c>
      <c r="E20" s="74"/>
      <c r="F20" s="70" t="e">
        <f>Gen!U26</f>
        <v>#DIV/0!</v>
      </c>
      <c r="G20" s="85">
        <f>Gen!T24</f>
        <v>0</v>
      </c>
      <c r="H20" s="85">
        <f>Gen!AK26</f>
        <v>0</v>
      </c>
      <c r="I20" s="85">
        <f t="shared" si="1"/>
        <v>0</v>
      </c>
      <c r="J20" s="446">
        <f>Gen!C26</f>
        <v>37627.399999999994</v>
      </c>
      <c r="K20" s="295">
        <f>'Water-Meter'!E21</f>
        <v>0</v>
      </c>
      <c r="L20" s="652">
        <f>'Lpg (2)'!G25</f>
        <v>0</v>
      </c>
      <c r="M20" s="79" t="e">
        <f>SUM(#REF!-#REF!)</f>
        <v>#REF!</v>
      </c>
    </row>
    <row r="21" spans="1:13">
      <c r="A21" s="661">
        <f>Gen!A27</f>
        <v>44244</v>
      </c>
      <c r="B21" s="651">
        <f>'Daily report Gen'!Z22</f>
        <v>0</v>
      </c>
      <c r="C21" s="87">
        <f>Gen!B27</f>
        <v>0</v>
      </c>
      <c r="D21" s="434">
        <f t="shared" si="0"/>
        <v>0</v>
      </c>
      <c r="E21" s="74"/>
      <c r="F21" s="70" t="e">
        <f>Gen!U27</f>
        <v>#DIV/0!</v>
      </c>
      <c r="G21" s="85">
        <f>Gen!T25</f>
        <v>0</v>
      </c>
      <c r="H21" s="85">
        <f>Gen!AK27</f>
        <v>0</v>
      </c>
      <c r="I21" s="85">
        <f t="shared" si="1"/>
        <v>0</v>
      </c>
      <c r="J21" s="446">
        <f>Gen!C27</f>
        <v>37627.399999999994</v>
      </c>
      <c r="K21" s="295">
        <f>'Water-Meter'!E22</f>
        <v>0</v>
      </c>
      <c r="L21" s="652">
        <f>'Lpg (2)'!G26</f>
        <v>0</v>
      </c>
      <c r="M21" s="79" t="e">
        <f>SUM(#REF!-#REF!)</f>
        <v>#REF!</v>
      </c>
    </row>
    <row r="22" spans="1:13">
      <c r="A22" s="661">
        <f>Gen!A28</f>
        <v>44245</v>
      </c>
      <c r="B22" s="651">
        <f>'Daily report Gen'!Z23</f>
        <v>0</v>
      </c>
      <c r="C22" s="87">
        <f>Gen!B28</f>
        <v>0</v>
      </c>
      <c r="D22" s="434">
        <f t="shared" si="0"/>
        <v>0</v>
      </c>
      <c r="E22" s="74"/>
      <c r="F22" s="70" t="e">
        <f>Gen!U28</f>
        <v>#DIV/0!</v>
      </c>
      <c r="G22" s="85">
        <f>Gen!T26</f>
        <v>0</v>
      </c>
      <c r="H22" s="85">
        <f>Gen!AK28</f>
        <v>0</v>
      </c>
      <c r="I22" s="85">
        <f t="shared" si="1"/>
        <v>0</v>
      </c>
      <c r="J22" s="446">
        <f>Gen!C28</f>
        <v>37627.399999999994</v>
      </c>
      <c r="K22" s="295">
        <f>'Water-Meter'!E23</f>
        <v>0</v>
      </c>
      <c r="L22" s="652">
        <f>'Lpg (2)'!G27</f>
        <v>0</v>
      </c>
      <c r="M22" s="79" t="e">
        <f>SUM(#REF!-#REF!)</f>
        <v>#REF!</v>
      </c>
    </row>
    <row r="23" spans="1:13">
      <c r="A23" s="661">
        <f>Gen!A29</f>
        <v>44246</v>
      </c>
      <c r="B23" s="651">
        <f>'Daily report Gen'!Z24</f>
        <v>0</v>
      </c>
      <c r="C23" s="87">
        <f>Gen!B29</f>
        <v>0</v>
      </c>
      <c r="D23" s="434">
        <f t="shared" si="0"/>
        <v>0</v>
      </c>
      <c r="E23" s="74"/>
      <c r="F23" s="70" t="e">
        <f>Gen!U29</f>
        <v>#DIV/0!</v>
      </c>
      <c r="G23" s="85">
        <f>Gen!T27</f>
        <v>0</v>
      </c>
      <c r="H23" s="85">
        <f>Gen!AK29</f>
        <v>0</v>
      </c>
      <c r="I23" s="85">
        <f t="shared" si="1"/>
        <v>0</v>
      </c>
      <c r="J23" s="446">
        <f>Gen!C29</f>
        <v>37627.399999999994</v>
      </c>
      <c r="K23" s="295">
        <f>'Water-Meter'!E24</f>
        <v>0</v>
      </c>
      <c r="L23" s="652">
        <f>'Lpg (2)'!G28</f>
        <v>0</v>
      </c>
      <c r="M23" s="79" t="e">
        <f>SUM(#REF!-#REF!)</f>
        <v>#REF!</v>
      </c>
    </row>
    <row r="24" spans="1:13">
      <c r="A24" s="661">
        <f>Gen!A30</f>
        <v>44247</v>
      </c>
      <c r="B24" s="651">
        <f>'Daily report Gen'!Z25</f>
        <v>0</v>
      </c>
      <c r="C24" s="87">
        <f>Gen!B30</f>
        <v>0</v>
      </c>
      <c r="D24" s="434">
        <f t="shared" si="0"/>
        <v>0</v>
      </c>
      <c r="E24" s="74"/>
      <c r="F24" s="70" t="e">
        <f>Gen!U30</f>
        <v>#DIV/0!</v>
      </c>
      <c r="G24" s="85">
        <f>Gen!T28</f>
        <v>0</v>
      </c>
      <c r="H24" s="85">
        <f>Gen!AK30</f>
        <v>0</v>
      </c>
      <c r="I24" s="85">
        <f t="shared" si="1"/>
        <v>0</v>
      </c>
      <c r="J24" s="446">
        <f>Gen!C30</f>
        <v>37627.399999999994</v>
      </c>
      <c r="K24" s="295">
        <f>'Water-Meter'!E25</f>
        <v>0</v>
      </c>
      <c r="L24" s="652">
        <f>'Lpg (2)'!G29</f>
        <v>0</v>
      </c>
      <c r="M24" s="79" t="e">
        <f>SUM(#REF!-#REF!)</f>
        <v>#REF!</v>
      </c>
    </row>
    <row r="25" spans="1:13">
      <c r="A25" s="661">
        <f>Gen!A31</f>
        <v>44248</v>
      </c>
      <c r="B25" s="651">
        <f>'Daily report Gen'!Z26</f>
        <v>0</v>
      </c>
      <c r="C25" s="87">
        <f>Gen!B31</f>
        <v>0</v>
      </c>
      <c r="D25" s="434">
        <f t="shared" si="0"/>
        <v>0</v>
      </c>
      <c r="E25" s="74"/>
      <c r="F25" s="70" t="e">
        <f>Gen!U31</f>
        <v>#DIV/0!</v>
      </c>
      <c r="G25" s="85">
        <f>Gen!T29</f>
        <v>0</v>
      </c>
      <c r="H25" s="85">
        <f>Gen!AK31</f>
        <v>0</v>
      </c>
      <c r="I25" s="85">
        <f t="shared" si="1"/>
        <v>0</v>
      </c>
      <c r="J25" s="446">
        <f>Gen!C31</f>
        <v>37627.399999999994</v>
      </c>
      <c r="K25" s="295">
        <f>'Water-Meter'!E26</f>
        <v>0</v>
      </c>
      <c r="L25" s="652">
        <f>'Lpg (2)'!G30</f>
        <v>0</v>
      </c>
      <c r="M25" s="79" t="e">
        <f>SUM(#REF!-#REF!)</f>
        <v>#REF!</v>
      </c>
    </row>
    <row r="26" spans="1:13">
      <c r="A26" s="661">
        <f>Gen!A32</f>
        <v>44249</v>
      </c>
      <c r="B26" s="651">
        <f>'Daily report Gen'!Z27</f>
        <v>0</v>
      </c>
      <c r="C26" s="87">
        <f>Gen!B32</f>
        <v>0</v>
      </c>
      <c r="D26" s="434">
        <f t="shared" si="0"/>
        <v>0</v>
      </c>
      <c r="E26" s="74"/>
      <c r="F26" s="70" t="e">
        <f>Gen!U32</f>
        <v>#DIV/0!</v>
      </c>
      <c r="G26" s="85">
        <f>Gen!T30</f>
        <v>0</v>
      </c>
      <c r="H26" s="85">
        <f>Gen!AK32</f>
        <v>0</v>
      </c>
      <c r="I26" s="85">
        <f t="shared" si="1"/>
        <v>0</v>
      </c>
      <c r="J26" s="446">
        <f>Gen!C32</f>
        <v>37627.399999999994</v>
      </c>
      <c r="K26" s="295">
        <f>'Water-Meter'!E27</f>
        <v>0</v>
      </c>
      <c r="L26" s="652">
        <f>'Lpg (2)'!G31</f>
        <v>0</v>
      </c>
      <c r="M26" s="79" t="e">
        <f>SUM(#REF!-#REF!)</f>
        <v>#REF!</v>
      </c>
    </row>
    <row r="27" spans="1:13">
      <c r="A27" s="661">
        <f>Gen!A33</f>
        <v>44250</v>
      </c>
      <c r="B27" s="651">
        <f>'Daily report Gen'!Z28</f>
        <v>0</v>
      </c>
      <c r="C27" s="87">
        <f>Gen!B33</f>
        <v>0</v>
      </c>
      <c r="D27" s="434">
        <f t="shared" si="0"/>
        <v>0</v>
      </c>
      <c r="E27" s="74"/>
      <c r="F27" s="70" t="e">
        <f>Gen!U33</f>
        <v>#DIV/0!</v>
      </c>
      <c r="G27" s="85">
        <f>Gen!T31</f>
        <v>0</v>
      </c>
      <c r="H27" s="85">
        <f>Gen!AK33</f>
        <v>0</v>
      </c>
      <c r="I27" s="85">
        <f t="shared" si="1"/>
        <v>0</v>
      </c>
      <c r="J27" s="446">
        <f>Gen!C33</f>
        <v>37627.399999999994</v>
      </c>
      <c r="K27" s="295">
        <f>'Water-Meter'!E28</f>
        <v>0</v>
      </c>
      <c r="L27" s="652">
        <f>'Lpg (2)'!G32</f>
        <v>0</v>
      </c>
      <c r="M27" s="79" t="e">
        <f>SUM(#REF!-#REF!)</f>
        <v>#REF!</v>
      </c>
    </row>
    <row r="28" spans="1:13">
      <c r="A28" s="661">
        <f>Gen!A34</f>
        <v>44251</v>
      </c>
      <c r="B28" s="651">
        <f>'Daily report Gen'!Z29</f>
        <v>0</v>
      </c>
      <c r="C28" s="87">
        <f>Gen!B34</f>
        <v>0</v>
      </c>
      <c r="D28" s="434">
        <f t="shared" si="0"/>
        <v>0</v>
      </c>
      <c r="E28" s="74"/>
      <c r="F28" s="70" t="e">
        <f>Gen!U34</f>
        <v>#DIV/0!</v>
      </c>
      <c r="G28" s="85">
        <f>Gen!T32</f>
        <v>0</v>
      </c>
      <c r="H28" s="85">
        <f>Gen!AK34</f>
        <v>0</v>
      </c>
      <c r="I28" s="85">
        <f t="shared" si="1"/>
        <v>0</v>
      </c>
      <c r="J28" s="446">
        <f>Gen!C34</f>
        <v>37627.399999999994</v>
      </c>
      <c r="K28" s="295">
        <f>'Water-Meter'!E29</f>
        <v>0</v>
      </c>
      <c r="L28" s="652">
        <f>'Lpg (2)'!G33</f>
        <v>0</v>
      </c>
      <c r="M28" s="79" t="e">
        <f>SUM(#REF!-#REF!)</f>
        <v>#REF!</v>
      </c>
    </row>
    <row r="29" spans="1:13">
      <c r="A29" s="661">
        <f>Gen!A35</f>
        <v>44252</v>
      </c>
      <c r="B29" s="651">
        <f>'Daily report Gen'!Z30</f>
        <v>0</v>
      </c>
      <c r="C29" s="87">
        <f>Gen!B35</f>
        <v>0</v>
      </c>
      <c r="D29" s="434">
        <f t="shared" si="0"/>
        <v>0</v>
      </c>
      <c r="E29" s="74"/>
      <c r="F29" s="70" t="e">
        <f>Gen!U35</f>
        <v>#DIV/0!</v>
      </c>
      <c r="G29" s="85">
        <f>Gen!T33</f>
        <v>0</v>
      </c>
      <c r="H29" s="85">
        <f>Gen!AK35</f>
        <v>0</v>
      </c>
      <c r="I29" s="85">
        <f t="shared" si="1"/>
        <v>0</v>
      </c>
      <c r="J29" s="446">
        <f>Gen!C35</f>
        <v>37627.399999999994</v>
      </c>
      <c r="K29" s="295">
        <f>'Water-Meter'!E30</f>
        <v>0</v>
      </c>
      <c r="L29" s="652">
        <f>'Lpg (2)'!G34</f>
        <v>0</v>
      </c>
      <c r="M29" s="79" t="e">
        <f>SUM(#REF!-#REF!)</f>
        <v>#REF!</v>
      </c>
    </row>
    <row r="30" spans="1:13">
      <c r="A30" s="661">
        <f>Gen!A36</f>
        <v>44253</v>
      </c>
      <c r="B30" s="651">
        <f>'Daily report Gen'!Z31</f>
        <v>0</v>
      </c>
      <c r="C30" s="87">
        <f>Gen!B36</f>
        <v>0</v>
      </c>
      <c r="D30" s="434">
        <f t="shared" si="0"/>
        <v>0</v>
      </c>
      <c r="E30" s="74"/>
      <c r="F30" s="70" t="e">
        <f>Gen!U36</f>
        <v>#DIV/0!</v>
      </c>
      <c r="G30" s="85">
        <f>Gen!T34</f>
        <v>0</v>
      </c>
      <c r="H30" s="85">
        <f>Gen!AK36</f>
        <v>0</v>
      </c>
      <c r="I30" s="85">
        <f t="shared" si="1"/>
        <v>0</v>
      </c>
      <c r="J30" s="446">
        <f>Gen!C36</f>
        <v>37627.399999999994</v>
      </c>
      <c r="K30" s="295">
        <f>'Water-Meter'!E31</f>
        <v>0</v>
      </c>
      <c r="L30" s="652">
        <f>'Lpg (2)'!G35</f>
        <v>0</v>
      </c>
      <c r="M30" s="79" t="e">
        <f>SUM(#REF!-#REF!)</f>
        <v>#REF!</v>
      </c>
    </row>
    <row r="31" spans="1:13">
      <c r="A31" s="661">
        <f>Gen!A37</f>
        <v>44254</v>
      </c>
      <c r="B31" s="651">
        <f>'Daily report Gen'!Z32</f>
        <v>0</v>
      </c>
      <c r="C31" s="87">
        <f>Gen!B37</f>
        <v>0</v>
      </c>
      <c r="D31" s="434">
        <f t="shared" si="0"/>
        <v>0</v>
      </c>
      <c r="E31" s="74"/>
      <c r="F31" s="70" t="e">
        <f>Gen!U37</f>
        <v>#DIV/0!</v>
      </c>
      <c r="G31" s="85">
        <f>Gen!T35</f>
        <v>0</v>
      </c>
      <c r="H31" s="85">
        <f>Gen!AK37</f>
        <v>0</v>
      </c>
      <c r="I31" s="85">
        <f t="shared" si="1"/>
        <v>0</v>
      </c>
      <c r="J31" s="446">
        <f>Gen!C37</f>
        <v>37627.399999999994</v>
      </c>
      <c r="K31" s="295">
        <f>'Water-Meter'!E32</f>
        <v>0</v>
      </c>
      <c r="L31" s="652">
        <f>'Lpg (2)'!G36</f>
        <v>0</v>
      </c>
      <c r="M31" s="79" t="e">
        <f>SUM(#REF!-#REF!)</f>
        <v>#REF!</v>
      </c>
    </row>
    <row r="32" spans="1:13">
      <c r="A32" s="661">
        <f>Gen!A38</f>
        <v>44255</v>
      </c>
      <c r="B32" s="651">
        <f>'Daily report Gen'!Z33</f>
        <v>0</v>
      </c>
      <c r="C32" s="87">
        <f>Gen!B38</f>
        <v>0</v>
      </c>
      <c r="D32" s="434">
        <f t="shared" si="0"/>
        <v>0</v>
      </c>
      <c r="E32" s="74"/>
      <c r="F32" s="70" t="e">
        <f>Gen!U38</f>
        <v>#DIV/0!</v>
      </c>
      <c r="G32" s="85">
        <f>Gen!T36</f>
        <v>0</v>
      </c>
      <c r="H32" s="85">
        <f>Gen!AK38</f>
        <v>0</v>
      </c>
      <c r="I32" s="85">
        <f t="shared" si="1"/>
        <v>0</v>
      </c>
      <c r="J32" s="446">
        <f>Gen!C38</f>
        <v>37627.399999999994</v>
      </c>
      <c r="K32" s="295">
        <f>'Water-Meter'!E33</f>
        <v>0</v>
      </c>
      <c r="L32" s="652">
        <f>'Lpg (2)'!G37</f>
        <v>0</v>
      </c>
      <c r="M32" s="79" t="e">
        <f>SUM(#REF!-#REF!)</f>
        <v>#REF!</v>
      </c>
    </row>
    <row r="33" spans="1:13">
      <c r="A33" s="661">
        <f>Gen!A39</f>
        <v>0</v>
      </c>
      <c r="B33" s="651">
        <f>'Daily report Gen'!Z34</f>
        <v>0</v>
      </c>
      <c r="C33" s="87">
        <f>Gen!B39</f>
        <v>0</v>
      </c>
      <c r="D33" s="434">
        <f t="shared" si="0"/>
        <v>0</v>
      </c>
      <c r="E33" s="74"/>
      <c r="F33" s="70" t="e">
        <f>Gen!U39</f>
        <v>#DIV/0!</v>
      </c>
      <c r="G33" s="85">
        <f>Gen!T37</f>
        <v>0</v>
      </c>
      <c r="H33" s="85">
        <f>Gen!AK39</f>
        <v>0</v>
      </c>
      <c r="I33" s="85">
        <f t="shared" si="1"/>
        <v>0</v>
      </c>
      <c r="J33" s="446">
        <f>Gen!C39</f>
        <v>37627.399999999994</v>
      </c>
      <c r="K33" s="295">
        <f>'Water-Meter'!E34</f>
        <v>0</v>
      </c>
      <c r="L33" s="652">
        <f>'Lpg (2)'!G38</f>
        <v>0</v>
      </c>
      <c r="M33" s="79" t="e">
        <f>SUM(#REF!-#REF!)</f>
        <v>#REF!</v>
      </c>
    </row>
    <row r="34" spans="1:13">
      <c r="A34" s="661">
        <f>Gen!A40</f>
        <v>0</v>
      </c>
      <c r="B34" s="651">
        <f>'Daily report Gen'!Z35</f>
        <v>0</v>
      </c>
      <c r="C34" s="87">
        <f>Gen!B40</f>
        <v>0</v>
      </c>
      <c r="D34" s="434">
        <f t="shared" si="0"/>
        <v>0</v>
      </c>
      <c r="E34" s="74"/>
      <c r="F34" s="70" t="e">
        <f>Gen!U40</f>
        <v>#DIV/0!</v>
      </c>
      <c r="G34" s="85">
        <f>Gen!T38</f>
        <v>0</v>
      </c>
      <c r="H34" s="85">
        <f>Gen!AK40</f>
        <v>0</v>
      </c>
      <c r="I34" s="85">
        <f t="shared" si="1"/>
        <v>0</v>
      </c>
      <c r="J34" s="446">
        <f>Gen!C40</f>
        <v>37627.399999999994</v>
      </c>
      <c r="K34" s="295">
        <f>'Water-Meter'!E35</f>
        <v>0</v>
      </c>
      <c r="L34" s="652">
        <f>'Lpg (2)'!G39</f>
        <v>0</v>
      </c>
      <c r="M34" s="79" t="e">
        <f>SUM(#REF!-#REF!)</f>
        <v>#REF!</v>
      </c>
    </row>
    <row r="35" spans="1:13">
      <c r="A35" s="661">
        <f>Gen!A41</f>
        <v>0</v>
      </c>
      <c r="B35" s="651">
        <f>'Daily report Gen'!Z36</f>
        <v>0</v>
      </c>
      <c r="C35" s="87">
        <f>Gen!B41</f>
        <v>0</v>
      </c>
      <c r="D35" s="434">
        <f t="shared" si="0"/>
        <v>0</v>
      </c>
      <c r="E35" s="74"/>
      <c r="F35" s="70" t="e">
        <f>Gen!U39</f>
        <v>#DIV/0!</v>
      </c>
      <c r="G35" s="85">
        <f>Gen!T39</f>
        <v>0</v>
      </c>
      <c r="H35" s="85">
        <f>Gen!AK41</f>
        <v>0</v>
      </c>
      <c r="I35" s="85">
        <f t="shared" si="1"/>
        <v>0</v>
      </c>
      <c r="J35" s="446">
        <f>Gen!C41</f>
        <v>37627.399999999994</v>
      </c>
      <c r="K35" s="295">
        <f>'Water-Meter'!E36</f>
        <v>0</v>
      </c>
      <c r="L35" s="652">
        <f>'Lpg (2)'!G40</f>
        <v>0</v>
      </c>
      <c r="M35" s="79" t="e">
        <f>SUM(#REF!-#REF!)</f>
        <v>#REF!</v>
      </c>
    </row>
    <row r="36" spans="1:13" ht="13.5" thickBot="1">
      <c r="A36" s="662">
        <f>Gen!A42</f>
        <v>0</v>
      </c>
      <c r="B36" s="653">
        <f>'Daily report Gen'!Z37</f>
        <v>0</v>
      </c>
      <c r="C36" s="654">
        <f>Gen!B42</f>
        <v>0</v>
      </c>
      <c r="D36" s="655">
        <f t="shared" si="0"/>
        <v>0</v>
      </c>
      <c r="E36" s="656"/>
      <c r="F36" s="71" t="e">
        <f>Gen!U40</f>
        <v>#DIV/0!</v>
      </c>
      <c r="G36" s="86">
        <f>Gen!T40</f>
        <v>0</v>
      </c>
      <c r="H36" s="86">
        <f>Gen!AK42</f>
        <v>0</v>
      </c>
      <c r="I36" s="86">
        <f t="shared" si="1"/>
        <v>0</v>
      </c>
      <c r="J36" s="657">
        <f>Gen!C42</f>
        <v>37627.399999999994</v>
      </c>
      <c r="K36" s="658">
        <f>'Water-Meter'!E37</f>
        <v>0</v>
      </c>
      <c r="L36" s="659">
        <f>'Lpg (2)'!G41</f>
        <v>0</v>
      </c>
    </row>
    <row r="38" spans="1:13">
      <c r="B38" s="83"/>
    </row>
    <row r="39" spans="1:13">
      <c r="B39" s="83"/>
      <c r="C39" s="83"/>
    </row>
  </sheetData>
  <mergeCells count="1">
    <mergeCell ref="A1:L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4" workbookViewId="0">
      <pane xSplit="1" topLeftCell="B1" activePane="topRight" state="frozen"/>
      <selection pane="topRight" activeCell="AA9" sqref="AA9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61">
        <f>A6</f>
        <v>44228</v>
      </c>
      <c r="B1" s="862"/>
      <c r="C1" s="862"/>
      <c r="D1" s="862"/>
      <c r="E1" s="862"/>
      <c r="F1" s="862"/>
      <c r="G1" s="862"/>
      <c r="H1" s="862"/>
      <c r="I1" s="862"/>
      <c r="J1" s="862"/>
      <c r="K1" s="862"/>
      <c r="L1" s="862"/>
      <c r="M1" s="862"/>
      <c r="N1" s="862"/>
      <c r="O1" s="862"/>
      <c r="P1" s="862"/>
      <c r="Q1" s="862"/>
      <c r="R1" s="862"/>
      <c r="S1" s="862"/>
      <c r="T1" s="862"/>
      <c r="U1" s="862"/>
      <c r="V1" s="862"/>
      <c r="W1" s="862"/>
      <c r="X1" s="862"/>
      <c r="Y1" s="862"/>
      <c r="Z1" s="862"/>
      <c r="AA1" s="862"/>
      <c r="AB1" s="862"/>
      <c r="AC1" s="19"/>
    </row>
    <row r="2" spans="1:29" ht="12" customHeight="1" thickBot="1">
      <c r="A2" s="862"/>
      <c r="B2" s="862"/>
      <c r="C2" s="862"/>
      <c r="D2" s="862"/>
      <c r="E2" s="862"/>
      <c r="F2" s="862"/>
      <c r="G2" s="862"/>
      <c r="H2" s="862"/>
      <c r="I2" s="862"/>
      <c r="J2" s="862"/>
      <c r="K2" s="862"/>
      <c r="L2" s="862"/>
      <c r="M2" s="862"/>
      <c r="N2" s="862"/>
      <c r="O2" s="862"/>
      <c r="P2" s="862"/>
      <c r="Q2" s="862"/>
      <c r="R2" s="862"/>
      <c r="S2" s="862"/>
      <c r="T2" s="862"/>
      <c r="U2" s="862"/>
      <c r="V2" s="862"/>
      <c r="W2" s="862"/>
      <c r="X2" s="862"/>
      <c r="Y2" s="862"/>
      <c r="Z2" s="862"/>
      <c r="AA2" s="862"/>
      <c r="AB2" s="862"/>
      <c r="AC2" s="19"/>
    </row>
    <row r="3" spans="1:29" ht="27.75" customHeight="1" thickBot="1">
      <c r="A3" s="19"/>
      <c r="B3" s="19"/>
      <c r="C3" s="19"/>
      <c r="D3" s="19"/>
      <c r="E3" s="19"/>
      <c r="F3" s="19"/>
      <c r="G3" s="19"/>
      <c r="H3" s="19"/>
      <c r="I3" s="39"/>
      <c r="J3" s="19"/>
      <c r="K3" s="863" t="s">
        <v>298</v>
      </c>
      <c r="L3" s="864"/>
      <c r="M3" s="865"/>
      <c r="N3" s="863" t="s">
        <v>299</v>
      </c>
      <c r="O3" s="864"/>
      <c r="P3" s="865"/>
      <c r="Q3" s="863" t="s">
        <v>300</v>
      </c>
      <c r="R3" s="864"/>
      <c r="S3" s="865"/>
      <c r="T3" s="863" t="s">
        <v>301</v>
      </c>
      <c r="U3" s="864"/>
      <c r="V3" s="865"/>
      <c r="W3" s="863" t="s">
        <v>302</v>
      </c>
      <c r="X3" s="864"/>
      <c r="Y3" s="865"/>
      <c r="Z3" s="303"/>
      <c r="AA3" s="19"/>
      <c r="AB3" s="19"/>
      <c r="AC3" s="19"/>
    </row>
    <row r="4" spans="1:29" ht="35.25" customHeight="1" thickBot="1">
      <c r="A4" s="262" t="s">
        <v>86</v>
      </c>
      <c r="B4" s="333" t="s">
        <v>87</v>
      </c>
      <c r="C4" s="333" t="s">
        <v>88</v>
      </c>
      <c r="D4" s="333" t="s">
        <v>89</v>
      </c>
      <c r="E4" s="333" t="s">
        <v>90</v>
      </c>
      <c r="F4" s="333" t="s">
        <v>242</v>
      </c>
      <c r="G4" s="334" t="s">
        <v>91</v>
      </c>
      <c r="H4" s="333" t="s">
        <v>92</v>
      </c>
      <c r="I4" s="334" t="s">
        <v>93</v>
      </c>
      <c r="J4" s="335" t="s">
        <v>94</v>
      </c>
      <c r="K4" s="336" t="s">
        <v>191</v>
      </c>
      <c r="L4" s="334" t="s">
        <v>192</v>
      </c>
      <c r="M4" s="334" t="s">
        <v>202</v>
      </c>
      <c r="N4" s="336" t="s">
        <v>191</v>
      </c>
      <c r="O4" s="334" t="s">
        <v>192</v>
      </c>
      <c r="P4" s="334" t="s">
        <v>202</v>
      </c>
      <c r="Q4" s="826" t="s">
        <v>191</v>
      </c>
      <c r="R4" s="339" t="s">
        <v>192</v>
      </c>
      <c r="S4" s="827" t="s">
        <v>202</v>
      </c>
      <c r="T4" s="336" t="s">
        <v>191</v>
      </c>
      <c r="U4" s="334" t="s">
        <v>192</v>
      </c>
      <c r="V4" s="334" t="s">
        <v>202</v>
      </c>
      <c r="W4" s="336" t="s">
        <v>191</v>
      </c>
      <c r="X4" s="334" t="s">
        <v>192</v>
      </c>
      <c r="Y4" s="335" t="s">
        <v>202</v>
      </c>
      <c r="Z4" s="337" t="s">
        <v>193</v>
      </c>
      <c r="AA4" s="333" t="s">
        <v>174</v>
      </c>
      <c r="AB4" s="338" t="s">
        <v>95</v>
      </c>
      <c r="AC4" s="339" t="s">
        <v>195</v>
      </c>
    </row>
    <row r="5" spans="1:29" ht="18.75" customHeight="1" thickBot="1">
      <c r="A5" s="679"/>
      <c r="B5" s="672"/>
      <c r="C5" s="793"/>
      <c r="D5" s="673"/>
      <c r="E5" s="674"/>
      <c r="F5" s="674"/>
      <c r="G5" s="674"/>
      <c r="H5" s="674"/>
      <c r="I5" s="305"/>
      <c r="J5" s="676"/>
      <c r="K5" s="682"/>
      <c r="L5" s="305"/>
      <c r="M5" s="683"/>
      <c r="N5" s="673"/>
      <c r="O5" s="825"/>
      <c r="P5" s="684"/>
      <c r="Q5" s="673"/>
      <c r="R5" s="305"/>
      <c r="S5" s="684"/>
      <c r="T5" s="673"/>
      <c r="U5" s="825"/>
      <c r="V5" s="684"/>
      <c r="W5" s="673"/>
      <c r="X5" s="673"/>
      <c r="Y5" s="684"/>
      <c r="Z5" s="684"/>
      <c r="AA5" s="673"/>
      <c r="AB5" s="673"/>
      <c r="AC5" s="685"/>
    </row>
    <row r="6" spans="1:29" ht="20.100000000000001" customHeight="1" thickBot="1">
      <c r="A6" s="680">
        <f>Gen!A11</f>
        <v>44228</v>
      </c>
      <c r="B6" s="675">
        <f>Gen!B11</f>
        <v>0</v>
      </c>
      <c r="C6" s="793"/>
      <c r="D6" s="673"/>
      <c r="E6" s="491"/>
      <c r="F6" s="305"/>
      <c r="G6" s="674"/>
      <c r="H6" s="305"/>
      <c r="I6" s="305"/>
      <c r="J6" s="676"/>
      <c r="K6" s="686">
        <f>L5</f>
        <v>0</v>
      </c>
      <c r="L6" s="305">
        <v>35778</v>
      </c>
      <c r="M6" s="304">
        <f>L6-K6</f>
        <v>35778</v>
      </c>
      <c r="N6" s="306">
        <f>O5</f>
        <v>0</v>
      </c>
      <c r="O6" s="825">
        <v>30687</v>
      </c>
      <c r="P6" s="304">
        <f>O6-N6</f>
        <v>30687</v>
      </c>
      <c r="Q6" s="304">
        <f>R5</f>
        <v>0</v>
      </c>
      <c r="R6" s="305">
        <v>35974</v>
      </c>
      <c r="S6" s="304">
        <f>R6-Q6</f>
        <v>35974</v>
      </c>
      <c r="T6" s="304">
        <f>U5</f>
        <v>0</v>
      </c>
      <c r="U6" s="825">
        <v>33197</v>
      </c>
      <c r="V6" s="304">
        <f>U6-T6</f>
        <v>33197</v>
      </c>
      <c r="W6" s="306">
        <f>X5</f>
        <v>0</v>
      </c>
      <c r="X6" s="673">
        <v>21844</v>
      </c>
      <c r="Y6" s="304">
        <f>X6-W6</f>
        <v>21844</v>
      </c>
      <c r="Z6" s="307">
        <f>Y6+V6+S6+P6+M6</f>
        <v>157480</v>
      </c>
      <c r="AA6" s="673">
        <v>225</v>
      </c>
      <c r="AB6" s="673">
        <v>215</v>
      </c>
      <c r="AC6" s="687">
        <f>Gen!AR11</f>
        <v>1306.81</v>
      </c>
    </row>
    <row r="7" spans="1:29" ht="20.100000000000001" customHeight="1" thickBot="1">
      <c r="A7" s="680">
        <f>Gen!A12</f>
        <v>44229</v>
      </c>
      <c r="B7" s="675">
        <f>Gen!B12</f>
        <v>0</v>
      </c>
      <c r="C7" s="793"/>
      <c r="D7" s="673"/>
      <c r="E7" s="491"/>
      <c r="G7" s="674"/>
      <c r="H7" s="305"/>
      <c r="I7" s="305"/>
      <c r="J7" s="676"/>
      <c r="K7" s="686">
        <f t="shared" ref="K7:K37" si="0">L6</f>
        <v>35778</v>
      </c>
      <c r="L7" s="305">
        <v>35778</v>
      </c>
      <c r="M7" s="304">
        <f t="shared" ref="M7:M37" si="1">L7-K7</f>
        <v>0</v>
      </c>
      <c r="N7" s="306">
        <f t="shared" ref="N7:N37" si="2">O6</f>
        <v>30687</v>
      </c>
      <c r="O7" s="825">
        <v>30687</v>
      </c>
      <c r="P7" s="304">
        <f t="shared" ref="P7:P37" si="3">O7-N7</f>
        <v>0</v>
      </c>
      <c r="Q7" s="304">
        <f t="shared" ref="Q7:Q37" si="4">R6</f>
        <v>35974</v>
      </c>
      <c r="R7" s="305">
        <v>35978</v>
      </c>
      <c r="S7" s="304">
        <f t="shared" ref="S7:S37" si="5">R7-Q7</f>
        <v>4</v>
      </c>
      <c r="T7" s="304">
        <f t="shared" ref="T7:T37" si="6">U6</f>
        <v>33197</v>
      </c>
      <c r="U7" s="825">
        <v>33197</v>
      </c>
      <c r="V7" s="304">
        <f t="shared" ref="V7:V37" si="7">U7-T7</f>
        <v>0</v>
      </c>
      <c r="W7" s="306">
        <f t="shared" ref="W7:W37" si="8">X6</f>
        <v>21844</v>
      </c>
      <c r="X7" s="673">
        <v>21865</v>
      </c>
      <c r="Y7" s="304">
        <f t="shared" ref="Y7:Y37" si="9">X7-W7</f>
        <v>21</v>
      </c>
      <c r="Z7" s="307">
        <f t="shared" ref="Z7:Z25" si="10">Y7+V7+S7+P7+M7</f>
        <v>25</v>
      </c>
      <c r="AA7" s="673">
        <v>220</v>
      </c>
      <c r="AB7" s="673">
        <v>210</v>
      </c>
      <c r="AC7" s="687">
        <f>Gen!AR12</f>
        <v>0</v>
      </c>
    </row>
    <row r="8" spans="1:29" ht="20.100000000000001" customHeight="1" thickBot="1">
      <c r="A8" s="680">
        <f>Gen!A13</f>
        <v>44230</v>
      </c>
      <c r="B8" s="675">
        <f>Gen!B13</f>
        <v>0</v>
      </c>
      <c r="C8" s="793"/>
      <c r="D8" s="673"/>
      <c r="E8" s="491"/>
      <c r="G8" s="674"/>
      <c r="H8" s="305"/>
      <c r="I8" s="305"/>
      <c r="J8" s="676"/>
      <c r="K8" s="686">
        <f t="shared" si="0"/>
        <v>35778</v>
      </c>
      <c r="L8" s="305"/>
      <c r="M8" s="304">
        <f t="shared" si="1"/>
        <v>-35778</v>
      </c>
      <c r="N8" s="306">
        <f t="shared" si="2"/>
        <v>30687</v>
      </c>
      <c r="O8" s="825"/>
      <c r="P8" s="304">
        <f t="shared" si="3"/>
        <v>-30687</v>
      </c>
      <c r="Q8" s="304">
        <f t="shared" si="4"/>
        <v>35978</v>
      </c>
      <c r="R8" s="305"/>
      <c r="S8" s="304">
        <f t="shared" si="5"/>
        <v>-35978</v>
      </c>
      <c r="T8" s="304">
        <f t="shared" si="6"/>
        <v>33197</v>
      </c>
      <c r="U8" s="825"/>
      <c r="V8" s="304">
        <f t="shared" si="7"/>
        <v>-33197</v>
      </c>
      <c r="W8" s="306">
        <f t="shared" si="8"/>
        <v>21865</v>
      </c>
      <c r="X8" s="673"/>
      <c r="Y8" s="304">
        <f t="shared" si="9"/>
        <v>-21865</v>
      </c>
      <c r="Z8" s="307">
        <f t="shared" si="10"/>
        <v>-157505</v>
      </c>
      <c r="AA8" s="673"/>
      <c r="AB8" s="673"/>
      <c r="AC8" s="687">
        <f>Gen!AR13</f>
        <v>0</v>
      </c>
    </row>
    <row r="9" spans="1:29" ht="20.100000000000001" customHeight="1" thickBot="1">
      <c r="A9" s="680">
        <f>Gen!A14</f>
        <v>44231</v>
      </c>
      <c r="B9" s="675">
        <f>Gen!B14</f>
        <v>0</v>
      </c>
      <c r="C9" s="793"/>
      <c r="D9" s="673"/>
      <c r="E9" s="491"/>
      <c r="G9" s="674"/>
      <c r="H9" s="305"/>
      <c r="I9" s="305"/>
      <c r="J9" s="676"/>
      <c r="K9" s="686">
        <f t="shared" si="0"/>
        <v>0</v>
      </c>
      <c r="L9" s="305"/>
      <c r="M9" s="304">
        <f t="shared" si="1"/>
        <v>0</v>
      </c>
      <c r="N9" s="306">
        <f t="shared" si="2"/>
        <v>0</v>
      </c>
      <c r="O9" s="825"/>
      <c r="P9" s="304">
        <f t="shared" si="3"/>
        <v>0</v>
      </c>
      <c r="Q9" s="304">
        <f t="shared" si="4"/>
        <v>0</v>
      </c>
      <c r="R9" s="305"/>
      <c r="S9" s="304">
        <f t="shared" si="5"/>
        <v>0</v>
      </c>
      <c r="T9" s="304">
        <f t="shared" si="6"/>
        <v>0</v>
      </c>
      <c r="U9" s="825"/>
      <c r="V9" s="304">
        <f t="shared" si="7"/>
        <v>0</v>
      </c>
      <c r="W9" s="306">
        <f t="shared" si="8"/>
        <v>0</v>
      </c>
      <c r="X9" s="673"/>
      <c r="Y9" s="304">
        <f t="shared" si="9"/>
        <v>0</v>
      </c>
      <c r="Z9" s="307">
        <f t="shared" si="10"/>
        <v>0</v>
      </c>
      <c r="AA9" s="673"/>
      <c r="AB9" s="673"/>
      <c r="AC9" s="687">
        <f>Gen!AR14</f>
        <v>0</v>
      </c>
    </row>
    <row r="10" spans="1:29" ht="20.100000000000001" customHeight="1" thickBot="1">
      <c r="A10" s="680">
        <f>Gen!A15</f>
        <v>44232</v>
      </c>
      <c r="B10" s="675">
        <f>Gen!B15</f>
        <v>0</v>
      </c>
      <c r="C10" s="793"/>
      <c r="D10" s="673"/>
      <c r="E10" s="491"/>
      <c r="G10" s="674"/>
      <c r="H10" s="305"/>
      <c r="I10" s="305"/>
      <c r="J10" s="676"/>
      <c r="K10" s="686">
        <f t="shared" si="0"/>
        <v>0</v>
      </c>
      <c r="L10" s="305"/>
      <c r="M10" s="304">
        <f t="shared" si="1"/>
        <v>0</v>
      </c>
      <c r="N10" s="306">
        <f t="shared" si="2"/>
        <v>0</v>
      </c>
      <c r="O10" s="825"/>
      <c r="P10" s="304">
        <f t="shared" si="3"/>
        <v>0</v>
      </c>
      <c r="Q10" s="304">
        <f t="shared" si="4"/>
        <v>0</v>
      </c>
      <c r="R10" s="305"/>
      <c r="S10" s="304">
        <f t="shared" si="5"/>
        <v>0</v>
      </c>
      <c r="T10" s="304">
        <f t="shared" si="6"/>
        <v>0</v>
      </c>
      <c r="U10" s="825"/>
      <c r="V10" s="304">
        <f t="shared" si="7"/>
        <v>0</v>
      </c>
      <c r="W10" s="306">
        <f t="shared" si="8"/>
        <v>0</v>
      </c>
      <c r="X10" s="673"/>
      <c r="Y10" s="304">
        <f t="shared" si="9"/>
        <v>0</v>
      </c>
      <c r="Z10" s="307">
        <f t="shared" si="10"/>
        <v>0</v>
      </c>
      <c r="AA10" s="673"/>
      <c r="AB10" s="673"/>
      <c r="AC10" s="687">
        <f>Gen!AR15</f>
        <v>0</v>
      </c>
    </row>
    <row r="11" spans="1:29" ht="20.100000000000001" customHeight="1" thickBot="1">
      <c r="A11" s="680">
        <f>Gen!A16</f>
        <v>44233</v>
      </c>
      <c r="B11" s="675">
        <f>Gen!B16</f>
        <v>0</v>
      </c>
      <c r="C11" s="793"/>
      <c r="D11" s="673"/>
      <c r="E11" s="491"/>
      <c r="F11" s="305"/>
      <c r="G11" s="305"/>
      <c r="H11" s="305"/>
      <c r="I11" s="305"/>
      <c r="J11" s="676"/>
      <c r="K11" s="686">
        <f t="shared" si="0"/>
        <v>0</v>
      </c>
      <c r="L11" s="305"/>
      <c r="M11" s="304">
        <f t="shared" si="1"/>
        <v>0</v>
      </c>
      <c r="N11" s="306">
        <f t="shared" si="2"/>
        <v>0</v>
      </c>
      <c r="O11" s="825"/>
      <c r="P11" s="304">
        <f t="shared" si="3"/>
        <v>0</v>
      </c>
      <c r="Q11" s="304">
        <f t="shared" si="4"/>
        <v>0</v>
      </c>
      <c r="R11" s="305"/>
      <c r="S11" s="304">
        <f t="shared" si="5"/>
        <v>0</v>
      </c>
      <c r="T11" s="304">
        <f t="shared" si="6"/>
        <v>0</v>
      </c>
      <c r="U11" s="825"/>
      <c r="V11" s="304">
        <f t="shared" si="7"/>
        <v>0</v>
      </c>
      <c r="W11" s="306">
        <f t="shared" si="8"/>
        <v>0</v>
      </c>
      <c r="X11" s="673"/>
      <c r="Y11" s="304">
        <f t="shared" si="9"/>
        <v>0</v>
      </c>
      <c r="Z11" s="307">
        <f t="shared" si="10"/>
        <v>0</v>
      </c>
      <c r="AA11" s="673"/>
      <c r="AB11" s="673"/>
      <c r="AC11" s="687">
        <f>Gen!AR16</f>
        <v>0</v>
      </c>
    </row>
    <row r="12" spans="1:29" ht="20.100000000000001" customHeight="1" thickBot="1">
      <c r="A12" s="680">
        <f>Gen!A17</f>
        <v>44234</v>
      </c>
      <c r="B12" s="675">
        <f>Gen!B17</f>
        <v>0</v>
      </c>
      <c r="C12" s="793"/>
      <c r="D12" s="673"/>
      <c r="E12" s="491"/>
      <c r="F12" s="305"/>
      <c r="G12" s="305"/>
      <c r="H12" s="305"/>
      <c r="I12" s="305"/>
      <c r="J12" s="676"/>
      <c r="K12" s="686">
        <f t="shared" si="0"/>
        <v>0</v>
      </c>
      <c r="L12" s="305"/>
      <c r="M12" s="304">
        <f t="shared" si="1"/>
        <v>0</v>
      </c>
      <c r="N12" s="306">
        <f t="shared" si="2"/>
        <v>0</v>
      </c>
      <c r="O12" s="825"/>
      <c r="P12" s="304">
        <f t="shared" si="3"/>
        <v>0</v>
      </c>
      <c r="Q12" s="304">
        <f t="shared" si="4"/>
        <v>0</v>
      </c>
      <c r="R12" s="305"/>
      <c r="S12" s="304">
        <f t="shared" si="5"/>
        <v>0</v>
      </c>
      <c r="T12" s="304">
        <f t="shared" si="6"/>
        <v>0</v>
      </c>
      <c r="U12" s="825"/>
      <c r="V12" s="304">
        <f t="shared" si="7"/>
        <v>0</v>
      </c>
      <c r="W12" s="306">
        <f t="shared" si="8"/>
        <v>0</v>
      </c>
      <c r="X12" s="673"/>
      <c r="Y12" s="304">
        <f t="shared" si="9"/>
        <v>0</v>
      </c>
      <c r="Z12" s="307">
        <f t="shared" si="10"/>
        <v>0</v>
      </c>
      <c r="AA12" s="673"/>
      <c r="AB12" s="673"/>
      <c r="AC12" s="687">
        <f>Gen!AR17</f>
        <v>0</v>
      </c>
    </row>
    <row r="13" spans="1:29" ht="20.100000000000001" customHeight="1" thickBot="1">
      <c r="A13" s="680">
        <f>Gen!A18</f>
        <v>44235</v>
      </c>
      <c r="B13" s="675">
        <f>Gen!B18</f>
        <v>0</v>
      </c>
      <c r="C13" s="793"/>
      <c r="D13" s="673"/>
      <c r="E13" s="491"/>
      <c r="F13" s="305"/>
      <c r="G13" s="305"/>
      <c r="H13" s="305"/>
      <c r="I13" s="305"/>
      <c r="J13" s="676"/>
      <c r="K13" s="686">
        <f t="shared" si="0"/>
        <v>0</v>
      </c>
      <c r="L13" s="305"/>
      <c r="M13" s="304">
        <f t="shared" si="1"/>
        <v>0</v>
      </c>
      <c r="N13" s="306">
        <f t="shared" si="2"/>
        <v>0</v>
      </c>
      <c r="O13" s="825"/>
      <c r="P13" s="304">
        <f>O14-N13</f>
        <v>0</v>
      </c>
      <c r="Q13" s="304">
        <f t="shared" si="4"/>
        <v>0</v>
      </c>
      <c r="R13" s="305"/>
      <c r="S13" s="304">
        <f t="shared" si="5"/>
        <v>0</v>
      </c>
      <c r="T13" s="304">
        <f t="shared" si="6"/>
        <v>0</v>
      </c>
      <c r="U13" s="825"/>
      <c r="V13" s="304">
        <f t="shared" si="7"/>
        <v>0</v>
      </c>
      <c r="W13" s="306">
        <f t="shared" si="8"/>
        <v>0</v>
      </c>
      <c r="X13" s="673"/>
      <c r="Y13" s="304">
        <f t="shared" si="9"/>
        <v>0</v>
      </c>
      <c r="Z13" s="307">
        <f t="shared" si="10"/>
        <v>0</v>
      </c>
      <c r="AA13" s="673"/>
      <c r="AB13" s="673"/>
      <c r="AC13" s="687">
        <f>Gen!AR18</f>
        <v>0</v>
      </c>
    </row>
    <row r="14" spans="1:29" ht="20.100000000000001" customHeight="1" thickBot="1">
      <c r="A14" s="680">
        <f>Gen!A19</f>
        <v>44236</v>
      </c>
      <c r="B14" s="675">
        <f>Gen!B19</f>
        <v>0</v>
      </c>
      <c r="C14" s="793"/>
      <c r="D14" s="673"/>
      <c r="E14" s="491"/>
      <c r="F14" s="305"/>
      <c r="G14" s="305"/>
      <c r="H14" s="305"/>
      <c r="I14" s="305"/>
      <c r="J14" s="676"/>
      <c r="K14" s="686">
        <f t="shared" si="0"/>
        <v>0</v>
      </c>
      <c r="L14" s="305"/>
      <c r="M14" s="304">
        <f t="shared" si="1"/>
        <v>0</v>
      </c>
      <c r="N14" s="306">
        <f>O14</f>
        <v>0</v>
      </c>
      <c r="O14" s="825"/>
      <c r="P14" s="304" t="e">
        <f>#REF!-N14</f>
        <v>#REF!</v>
      </c>
      <c r="Q14" s="304">
        <f t="shared" si="4"/>
        <v>0</v>
      </c>
      <c r="R14" s="305"/>
      <c r="S14" s="304">
        <f t="shared" si="5"/>
        <v>0</v>
      </c>
      <c r="T14" s="304">
        <f t="shared" si="6"/>
        <v>0</v>
      </c>
      <c r="U14" s="825"/>
      <c r="V14" s="304">
        <f t="shared" si="7"/>
        <v>0</v>
      </c>
      <c r="W14" s="306">
        <f t="shared" si="8"/>
        <v>0</v>
      </c>
      <c r="X14" s="673"/>
      <c r="Y14" s="304">
        <f t="shared" si="9"/>
        <v>0</v>
      </c>
      <c r="Z14" s="307" t="e">
        <f t="shared" si="10"/>
        <v>#REF!</v>
      </c>
      <c r="AA14" s="673"/>
      <c r="AB14" s="673"/>
      <c r="AC14" s="687">
        <f>Gen!AR19</f>
        <v>0</v>
      </c>
    </row>
    <row r="15" spans="1:29" ht="20.100000000000001" customHeight="1" thickBot="1">
      <c r="A15" s="680">
        <f>Gen!A20</f>
        <v>44237</v>
      </c>
      <c r="B15" s="675">
        <f>Gen!B20</f>
        <v>0</v>
      </c>
      <c r="C15" s="793"/>
      <c r="D15" s="673"/>
      <c r="E15" s="491"/>
      <c r="F15" s="305"/>
      <c r="G15" s="305"/>
      <c r="H15" s="305"/>
      <c r="I15" s="305"/>
      <c r="J15" s="676"/>
      <c r="K15" s="686">
        <f t="shared" si="0"/>
        <v>0</v>
      </c>
      <c r="L15" s="305"/>
      <c r="M15" s="304">
        <f t="shared" si="1"/>
        <v>0</v>
      </c>
      <c r="N15" s="306" t="e">
        <f>#REF!</f>
        <v>#REF!</v>
      </c>
      <c r="O15" s="825"/>
      <c r="P15" s="304" t="e">
        <f t="shared" si="3"/>
        <v>#REF!</v>
      </c>
      <c r="Q15" s="304">
        <f t="shared" si="4"/>
        <v>0</v>
      </c>
      <c r="R15" s="305"/>
      <c r="S15" s="304">
        <f t="shared" si="5"/>
        <v>0</v>
      </c>
      <c r="T15" s="304">
        <f t="shared" si="6"/>
        <v>0</v>
      </c>
      <c r="U15" s="825"/>
      <c r="V15" s="304">
        <f t="shared" si="7"/>
        <v>0</v>
      </c>
      <c r="W15" s="306">
        <f t="shared" si="8"/>
        <v>0</v>
      </c>
      <c r="X15" s="673"/>
      <c r="Y15" s="304">
        <f t="shared" si="9"/>
        <v>0</v>
      </c>
      <c r="Z15" s="307" t="e">
        <f t="shared" si="10"/>
        <v>#REF!</v>
      </c>
      <c r="AA15" s="673"/>
      <c r="AB15" s="673"/>
      <c r="AC15" s="687">
        <f>Gen!AR20</f>
        <v>0</v>
      </c>
    </row>
    <row r="16" spans="1:29" ht="20.100000000000001" customHeight="1" thickBot="1">
      <c r="A16" s="680">
        <f>Gen!A21</f>
        <v>44238</v>
      </c>
      <c r="B16" s="675">
        <f>Gen!B21</f>
        <v>0</v>
      </c>
      <c r="C16" s="793"/>
      <c r="D16" s="673"/>
      <c r="E16" s="491"/>
      <c r="F16" s="305"/>
      <c r="G16" s="305"/>
      <c r="H16" s="305"/>
      <c r="I16" s="305"/>
      <c r="J16" s="676"/>
      <c r="K16" s="686">
        <f t="shared" si="0"/>
        <v>0</v>
      </c>
      <c r="L16" s="305"/>
      <c r="M16" s="304">
        <f>L16-K16</f>
        <v>0</v>
      </c>
      <c r="N16" s="306">
        <f t="shared" si="2"/>
        <v>0</v>
      </c>
      <c r="O16" s="825"/>
      <c r="P16" s="304">
        <f t="shared" si="3"/>
        <v>0</v>
      </c>
      <c r="Q16" s="304">
        <f t="shared" si="4"/>
        <v>0</v>
      </c>
      <c r="R16" s="305"/>
      <c r="S16" s="304">
        <f t="shared" si="5"/>
        <v>0</v>
      </c>
      <c r="T16" s="304">
        <f t="shared" si="6"/>
        <v>0</v>
      </c>
      <c r="U16" s="825"/>
      <c r="V16" s="304">
        <f t="shared" si="7"/>
        <v>0</v>
      </c>
      <c r="W16" s="306">
        <f t="shared" si="8"/>
        <v>0</v>
      </c>
      <c r="X16" s="673"/>
      <c r="Y16" s="304">
        <f t="shared" si="9"/>
        <v>0</v>
      </c>
      <c r="Z16" s="307">
        <f t="shared" si="10"/>
        <v>0</v>
      </c>
      <c r="AA16" s="673"/>
      <c r="AB16" s="673"/>
      <c r="AC16" s="687">
        <f>Gen!AR21</f>
        <v>0</v>
      </c>
    </row>
    <row r="17" spans="1:29" ht="20.100000000000001" customHeight="1" thickBot="1">
      <c r="A17" s="680">
        <f>Gen!A22</f>
        <v>44239</v>
      </c>
      <c r="B17" s="675">
        <f>Gen!B22</f>
        <v>0</v>
      </c>
      <c r="C17" s="793"/>
      <c r="D17" s="673"/>
      <c r="E17" s="491"/>
      <c r="F17" s="305"/>
      <c r="G17" s="305"/>
      <c r="H17" s="305"/>
      <c r="I17" s="305"/>
      <c r="J17" s="676"/>
      <c r="K17" s="686">
        <f>L16</f>
        <v>0</v>
      </c>
      <c r="L17" s="305"/>
      <c r="M17" s="304">
        <f>L17-K17</f>
        <v>0</v>
      </c>
      <c r="N17" s="306">
        <f t="shared" si="2"/>
        <v>0</v>
      </c>
      <c r="O17" s="825"/>
      <c r="P17" s="304">
        <f t="shared" si="3"/>
        <v>0</v>
      </c>
      <c r="Q17" s="304">
        <f t="shared" si="4"/>
        <v>0</v>
      </c>
      <c r="R17" s="305"/>
      <c r="S17" s="304">
        <f t="shared" si="5"/>
        <v>0</v>
      </c>
      <c r="T17" s="304">
        <f t="shared" si="6"/>
        <v>0</v>
      </c>
      <c r="U17" s="825"/>
      <c r="V17" s="304">
        <f t="shared" si="7"/>
        <v>0</v>
      </c>
      <c r="W17" s="306">
        <f t="shared" si="8"/>
        <v>0</v>
      </c>
      <c r="X17" s="673"/>
      <c r="Y17" s="304">
        <f t="shared" si="9"/>
        <v>0</v>
      </c>
      <c r="Z17" s="307">
        <f t="shared" si="10"/>
        <v>0</v>
      </c>
      <c r="AA17" s="673"/>
      <c r="AB17" s="673"/>
      <c r="AC17" s="687">
        <f>Gen!AR22</f>
        <v>0</v>
      </c>
    </row>
    <row r="18" spans="1:29" ht="20.100000000000001" customHeight="1" thickBot="1">
      <c r="A18" s="680">
        <f>Gen!A23</f>
        <v>44240</v>
      </c>
      <c r="B18" s="675">
        <f>Gen!B23</f>
        <v>0</v>
      </c>
      <c r="C18" s="793"/>
      <c r="D18" s="673"/>
      <c r="E18" s="305"/>
      <c r="F18" s="305"/>
      <c r="G18" s="305"/>
      <c r="H18" s="305"/>
      <c r="I18" s="305"/>
      <c r="J18" s="676"/>
      <c r="K18" s="686">
        <f>L17</f>
        <v>0</v>
      </c>
      <c r="L18" s="305"/>
      <c r="M18" s="304">
        <f t="shared" si="1"/>
        <v>0</v>
      </c>
      <c r="N18" s="306">
        <f t="shared" si="2"/>
        <v>0</v>
      </c>
      <c r="O18" s="825"/>
      <c r="P18" s="304">
        <f t="shared" si="3"/>
        <v>0</v>
      </c>
      <c r="Q18" s="304">
        <f t="shared" si="4"/>
        <v>0</v>
      </c>
      <c r="R18" s="305"/>
      <c r="S18" s="304">
        <f t="shared" si="5"/>
        <v>0</v>
      </c>
      <c r="T18" s="304">
        <f t="shared" si="6"/>
        <v>0</v>
      </c>
      <c r="U18" s="825"/>
      <c r="V18" s="304">
        <f t="shared" si="7"/>
        <v>0</v>
      </c>
      <c r="W18" s="306">
        <f t="shared" si="8"/>
        <v>0</v>
      </c>
      <c r="X18" s="673"/>
      <c r="Y18" s="304">
        <f t="shared" si="9"/>
        <v>0</v>
      </c>
      <c r="Z18" s="307">
        <f t="shared" si="10"/>
        <v>0</v>
      </c>
      <c r="AA18" s="673"/>
      <c r="AB18" s="673"/>
      <c r="AC18" s="687">
        <f>Gen!AR23</f>
        <v>0</v>
      </c>
    </row>
    <row r="19" spans="1:29" ht="20.100000000000001" customHeight="1" thickBot="1">
      <c r="A19" s="680">
        <f>Gen!A24</f>
        <v>44241</v>
      </c>
      <c r="B19" s="675">
        <f>Gen!B24</f>
        <v>0</v>
      </c>
      <c r="C19" s="793"/>
      <c r="D19" s="673"/>
      <c r="E19" s="305"/>
      <c r="F19" s="305"/>
      <c r="G19" s="305"/>
      <c r="H19" s="305"/>
      <c r="I19" s="305"/>
      <c r="J19" s="676"/>
      <c r="K19" s="686">
        <f t="shared" si="0"/>
        <v>0</v>
      </c>
      <c r="L19" s="305"/>
      <c r="M19" s="304">
        <f t="shared" si="1"/>
        <v>0</v>
      </c>
      <c r="N19" s="306">
        <f t="shared" si="2"/>
        <v>0</v>
      </c>
      <c r="O19" s="825"/>
      <c r="P19" s="304">
        <f t="shared" si="3"/>
        <v>0</v>
      </c>
      <c r="Q19" s="304">
        <f t="shared" si="4"/>
        <v>0</v>
      </c>
      <c r="R19" s="305"/>
      <c r="S19" s="304">
        <f t="shared" si="5"/>
        <v>0</v>
      </c>
      <c r="T19" s="304">
        <f t="shared" si="6"/>
        <v>0</v>
      </c>
      <c r="U19" s="825"/>
      <c r="V19" s="304">
        <f t="shared" si="7"/>
        <v>0</v>
      </c>
      <c r="W19" s="306">
        <f t="shared" si="8"/>
        <v>0</v>
      </c>
      <c r="X19" s="673"/>
      <c r="Y19" s="304">
        <f t="shared" si="9"/>
        <v>0</v>
      </c>
      <c r="Z19" s="307">
        <f t="shared" si="10"/>
        <v>0</v>
      </c>
      <c r="AA19" s="673"/>
      <c r="AB19" s="673"/>
      <c r="AC19" s="687">
        <f>Gen!AR24</f>
        <v>0</v>
      </c>
    </row>
    <row r="20" spans="1:29" ht="20.100000000000001" customHeight="1" thickBot="1">
      <c r="A20" s="680">
        <f>Gen!A25</f>
        <v>44242</v>
      </c>
      <c r="B20" s="675">
        <f>Gen!B25</f>
        <v>0</v>
      </c>
      <c r="C20" s="793"/>
      <c r="D20" s="673"/>
      <c r="E20" s="305"/>
      <c r="F20" s="305"/>
      <c r="G20" s="305"/>
      <c r="H20" s="305"/>
      <c r="I20" s="305"/>
      <c r="J20" s="676"/>
      <c r="K20" s="686">
        <f t="shared" si="0"/>
        <v>0</v>
      </c>
      <c r="L20" s="305"/>
      <c r="M20" s="304">
        <f t="shared" si="1"/>
        <v>0</v>
      </c>
      <c r="N20" s="306">
        <f t="shared" si="2"/>
        <v>0</v>
      </c>
      <c r="O20" s="825"/>
      <c r="P20" s="304">
        <f t="shared" si="3"/>
        <v>0</v>
      </c>
      <c r="Q20" s="304">
        <f t="shared" si="4"/>
        <v>0</v>
      </c>
      <c r="R20" s="305"/>
      <c r="S20" s="304">
        <f t="shared" si="5"/>
        <v>0</v>
      </c>
      <c r="T20" s="304">
        <f t="shared" si="6"/>
        <v>0</v>
      </c>
      <c r="U20" s="825"/>
      <c r="V20" s="304">
        <f t="shared" si="7"/>
        <v>0</v>
      </c>
      <c r="W20" s="306">
        <f t="shared" si="8"/>
        <v>0</v>
      </c>
      <c r="X20" s="673"/>
      <c r="Y20" s="304">
        <f t="shared" si="9"/>
        <v>0</v>
      </c>
      <c r="Z20" s="307">
        <f t="shared" si="10"/>
        <v>0</v>
      </c>
      <c r="AA20" s="673"/>
      <c r="AB20" s="673"/>
      <c r="AC20" s="687">
        <f>Gen!AR25</f>
        <v>0</v>
      </c>
    </row>
    <row r="21" spans="1:29" ht="20.100000000000001" customHeight="1" thickBot="1">
      <c r="A21" s="680">
        <f>Gen!A26</f>
        <v>44243</v>
      </c>
      <c r="B21" s="675">
        <f>Gen!B26</f>
        <v>0</v>
      </c>
      <c r="C21" s="793"/>
      <c r="D21" s="673"/>
      <c r="E21" s="305"/>
      <c r="F21" s="305"/>
      <c r="G21" s="305"/>
      <c r="H21" s="305"/>
      <c r="I21" s="305"/>
      <c r="J21" s="676"/>
      <c r="K21" s="686">
        <f t="shared" si="0"/>
        <v>0</v>
      </c>
      <c r="L21" s="305"/>
      <c r="M21" s="304">
        <f t="shared" si="1"/>
        <v>0</v>
      </c>
      <c r="N21" s="306">
        <f t="shared" si="2"/>
        <v>0</v>
      </c>
      <c r="O21" s="825"/>
      <c r="P21" s="304">
        <f t="shared" si="3"/>
        <v>0</v>
      </c>
      <c r="Q21" s="304">
        <f t="shared" si="4"/>
        <v>0</v>
      </c>
      <c r="R21" s="305"/>
      <c r="S21" s="304">
        <f t="shared" si="5"/>
        <v>0</v>
      </c>
      <c r="T21" s="304">
        <f t="shared" si="6"/>
        <v>0</v>
      </c>
      <c r="U21" s="825"/>
      <c r="V21" s="304">
        <f t="shared" si="7"/>
        <v>0</v>
      </c>
      <c r="W21" s="306">
        <f t="shared" si="8"/>
        <v>0</v>
      </c>
      <c r="X21" s="673"/>
      <c r="Y21" s="304">
        <f t="shared" si="9"/>
        <v>0</v>
      </c>
      <c r="Z21" s="307">
        <f t="shared" si="10"/>
        <v>0</v>
      </c>
      <c r="AA21" s="673"/>
      <c r="AB21" s="673"/>
      <c r="AC21" s="687">
        <f>Gen!AR26</f>
        <v>0</v>
      </c>
    </row>
    <row r="22" spans="1:29" ht="18.75" customHeight="1" thickBot="1">
      <c r="A22" s="680">
        <f>Gen!A27</f>
        <v>44244</v>
      </c>
      <c r="B22" s="675">
        <f>Gen!B27</f>
        <v>0</v>
      </c>
      <c r="C22" s="793"/>
      <c r="D22" s="673"/>
      <c r="E22" s="305"/>
      <c r="F22" s="305"/>
      <c r="G22" s="305"/>
      <c r="H22" s="305"/>
      <c r="I22" s="305"/>
      <c r="J22" s="676"/>
      <c r="K22" s="686">
        <f t="shared" si="0"/>
        <v>0</v>
      </c>
      <c r="L22" s="305"/>
      <c r="M22" s="304">
        <f t="shared" si="1"/>
        <v>0</v>
      </c>
      <c r="N22" s="306">
        <f t="shared" si="2"/>
        <v>0</v>
      </c>
      <c r="O22" s="125"/>
      <c r="P22" s="304">
        <f t="shared" si="3"/>
        <v>0</v>
      </c>
      <c r="Q22" s="304">
        <f t="shared" si="4"/>
        <v>0</v>
      </c>
      <c r="R22" s="305"/>
      <c r="S22" s="304">
        <f t="shared" si="5"/>
        <v>0</v>
      </c>
      <c r="T22" s="304">
        <f t="shared" si="6"/>
        <v>0</v>
      </c>
      <c r="U22" s="305"/>
      <c r="V22" s="304">
        <f t="shared" si="7"/>
        <v>0</v>
      </c>
      <c r="W22" s="306">
        <f t="shared" si="8"/>
        <v>0</v>
      </c>
      <c r="X22" s="305"/>
      <c r="Y22" s="304">
        <f t="shared" si="9"/>
        <v>0</v>
      </c>
      <c r="Z22" s="307">
        <f t="shared" si="10"/>
        <v>0</v>
      </c>
      <c r="AA22" s="125"/>
      <c r="AB22" s="673"/>
      <c r="AC22" s="687">
        <f>Gen!AR27</f>
        <v>0</v>
      </c>
    </row>
    <row r="23" spans="1:29" ht="20.100000000000001" customHeight="1">
      <c r="A23" s="680">
        <f>Gen!A28</f>
        <v>44245</v>
      </c>
      <c r="B23" s="675">
        <f>Gen!B28</f>
        <v>0</v>
      </c>
      <c r="C23" s="793"/>
      <c r="D23" s="673"/>
      <c r="E23" s="491"/>
      <c r="F23" s="305"/>
      <c r="G23" s="305"/>
      <c r="H23" s="305"/>
      <c r="I23" s="305"/>
      <c r="J23" s="676"/>
      <c r="K23" s="686">
        <f t="shared" si="0"/>
        <v>0</v>
      </c>
      <c r="L23" s="305"/>
      <c r="M23" s="304">
        <f t="shared" si="1"/>
        <v>0</v>
      </c>
      <c r="N23" s="306">
        <f t="shared" si="2"/>
        <v>0</v>
      </c>
      <c r="O23" s="305"/>
      <c r="P23" s="304">
        <f t="shared" si="3"/>
        <v>0</v>
      </c>
      <c r="Q23" s="304">
        <f t="shared" si="4"/>
        <v>0</v>
      </c>
      <c r="R23" s="305"/>
      <c r="S23" s="304">
        <f t="shared" si="5"/>
        <v>0</v>
      </c>
      <c r="T23" s="304">
        <f t="shared" si="6"/>
        <v>0</v>
      </c>
      <c r="U23" s="305"/>
      <c r="V23" s="304">
        <f t="shared" si="7"/>
        <v>0</v>
      </c>
      <c r="W23" s="306">
        <f t="shared" si="8"/>
        <v>0</v>
      </c>
      <c r="X23" s="305"/>
      <c r="Y23" s="304">
        <f t="shared" si="9"/>
        <v>0</v>
      </c>
      <c r="Z23" s="307">
        <f t="shared" si="10"/>
        <v>0</v>
      </c>
      <c r="AA23" s="125"/>
      <c r="AB23" s="125"/>
      <c r="AC23" s="687">
        <f>Gen!AR28</f>
        <v>0</v>
      </c>
    </row>
    <row r="24" spans="1:29" ht="20.100000000000001" customHeight="1">
      <c r="A24" s="680">
        <f>Gen!A29</f>
        <v>44246</v>
      </c>
      <c r="B24" s="675">
        <f>Gen!B29</f>
        <v>0</v>
      </c>
      <c r="C24" s="793"/>
      <c r="D24" s="794"/>
      <c r="E24" s="305"/>
      <c r="F24" s="305"/>
      <c r="G24" s="305"/>
      <c r="H24" s="305"/>
      <c r="I24" s="305"/>
      <c r="J24" s="676"/>
      <c r="K24" s="686">
        <f t="shared" si="0"/>
        <v>0</v>
      </c>
      <c r="L24" s="305"/>
      <c r="M24" s="304">
        <f t="shared" si="1"/>
        <v>0</v>
      </c>
      <c r="N24" s="306">
        <f t="shared" si="2"/>
        <v>0</v>
      </c>
      <c r="O24" s="305"/>
      <c r="P24" s="304">
        <f t="shared" si="3"/>
        <v>0</v>
      </c>
      <c r="Q24" s="304">
        <f t="shared" si="4"/>
        <v>0</v>
      </c>
      <c r="R24" s="305"/>
      <c r="S24" s="304">
        <f t="shared" si="5"/>
        <v>0</v>
      </c>
      <c r="T24" s="304">
        <f t="shared" si="6"/>
        <v>0</v>
      </c>
      <c r="U24" s="305"/>
      <c r="V24" s="304">
        <f t="shared" si="7"/>
        <v>0</v>
      </c>
      <c r="W24" s="306">
        <f t="shared" si="8"/>
        <v>0</v>
      </c>
      <c r="X24" s="305"/>
      <c r="Y24" s="304">
        <f t="shared" si="9"/>
        <v>0</v>
      </c>
      <c r="Z24" s="307">
        <f t="shared" si="10"/>
        <v>0</v>
      </c>
      <c r="AA24" s="125"/>
      <c r="AB24" s="125"/>
      <c r="AC24" s="687">
        <f>Gen!AR29</f>
        <v>0</v>
      </c>
    </row>
    <row r="25" spans="1:29" ht="18.75" customHeight="1">
      <c r="A25" s="680">
        <f>Gen!A30</f>
        <v>44247</v>
      </c>
      <c r="B25" s="675">
        <f>Gen!B30</f>
        <v>0</v>
      </c>
      <c r="C25" s="793"/>
      <c r="D25" s="794"/>
      <c r="E25" s="305"/>
      <c r="F25" s="305"/>
      <c r="G25" s="305"/>
      <c r="H25" s="305"/>
      <c r="I25" s="305"/>
      <c r="J25" s="676"/>
      <c r="K25" s="686">
        <f t="shared" si="0"/>
        <v>0</v>
      </c>
      <c r="L25" s="305"/>
      <c r="M25" s="304">
        <f t="shared" si="1"/>
        <v>0</v>
      </c>
      <c r="N25" s="306">
        <f t="shared" si="2"/>
        <v>0</v>
      </c>
      <c r="O25" s="305"/>
      <c r="P25" s="304">
        <f t="shared" si="3"/>
        <v>0</v>
      </c>
      <c r="Q25" s="304">
        <f t="shared" si="4"/>
        <v>0</v>
      </c>
      <c r="R25" s="305"/>
      <c r="S25" s="304">
        <f t="shared" si="5"/>
        <v>0</v>
      </c>
      <c r="T25" s="304">
        <f t="shared" si="6"/>
        <v>0</v>
      </c>
      <c r="U25" s="305"/>
      <c r="V25" s="304">
        <f t="shared" si="7"/>
        <v>0</v>
      </c>
      <c r="W25" s="306">
        <f t="shared" si="8"/>
        <v>0</v>
      </c>
      <c r="X25" s="305"/>
      <c r="Y25" s="304">
        <f t="shared" si="9"/>
        <v>0</v>
      </c>
      <c r="Z25" s="307">
        <f t="shared" si="10"/>
        <v>0</v>
      </c>
      <c r="AA25" s="125"/>
      <c r="AB25" s="125"/>
      <c r="AC25" s="687">
        <f>Gen!AR30</f>
        <v>0</v>
      </c>
    </row>
    <row r="26" spans="1:29" ht="20.100000000000001" customHeight="1">
      <c r="A26" s="680">
        <f>Gen!A31</f>
        <v>44248</v>
      </c>
      <c r="B26" s="675">
        <f>Gen!B31</f>
        <v>0</v>
      </c>
      <c r="C26" s="793"/>
      <c r="D26" s="794"/>
      <c r="E26" s="305"/>
      <c r="F26" s="305"/>
      <c r="G26" s="305"/>
      <c r="H26" s="305"/>
      <c r="I26" s="305"/>
      <c r="J26" s="676"/>
      <c r="K26" s="686">
        <f t="shared" si="0"/>
        <v>0</v>
      </c>
      <c r="L26" s="305"/>
      <c r="M26" s="304">
        <f t="shared" si="1"/>
        <v>0</v>
      </c>
      <c r="N26" s="306">
        <f t="shared" si="2"/>
        <v>0</v>
      </c>
      <c r="O26" s="305"/>
      <c r="P26" s="304">
        <f t="shared" si="3"/>
        <v>0</v>
      </c>
      <c r="Q26" s="304">
        <f t="shared" si="4"/>
        <v>0</v>
      </c>
      <c r="R26" s="305"/>
      <c r="S26" s="304">
        <f t="shared" si="5"/>
        <v>0</v>
      </c>
      <c r="T26" s="304">
        <f t="shared" si="6"/>
        <v>0</v>
      </c>
      <c r="U26" s="305"/>
      <c r="V26" s="304">
        <f t="shared" si="7"/>
        <v>0</v>
      </c>
      <c r="W26" s="306">
        <f t="shared" si="8"/>
        <v>0</v>
      </c>
      <c r="X26" s="305"/>
      <c r="Y26" s="304">
        <f t="shared" si="9"/>
        <v>0</v>
      </c>
      <c r="Z26" s="307">
        <f t="shared" ref="Z26:Z37" si="11">Y26+V26+S26+P26+M26</f>
        <v>0</v>
      </c>
      <c r="AA26" s="125"/>
      <c r="AB26" s="125"/>
      <c r="AC26" s="687">
        <f>Gen!AR31</f>
        <v>0</v>
      </c>
    </row>
    <row r="27" spans="1:29" ht="20.100000000000001" customHeight="1">
      <c r="A27" s="680">
        <f>Gen!A32</f>
        <v>44249</v>
      </c>
      <c r="B27" s="675">
        <f>Gen!B32</f>
        <v>0</v>
      </c>
      <c r="C27" s="793"/>
      <c r="D27" s="794"/>
      <c r="E27" s="305"/>
      <c r="F27" s="305"/>
      <c r="G27" s="305"/>
      <c r="H27" s="305"/>
      <c r="I27" s="305"/>
      <c r="J27" s="676"/>
      <c r="K27" s="686">
        <f t="shared" si="0"/>
        <v>0</v>
      </c>
      <c r="L27" s="305"/>
      <c r="M27" s="304">
        <f t="shared" si="1"/>
        <v>0</v>
      </c>
      <c r="N27" s="306">
        <f t="shared" si="2"/>
        <v>0</v>
      </c>
      <c r="O27" s="305"/>
      <c r="P27" s="304">
        <f t="shared" si="3"/>
        <v>0</v>
      </c>
      <c r="Q27" s="304">
        <f t="shared" si="4"/>
        <v>0</v>
      </c>
      <c r="R27" s="305"/>
      <c r="S27" s="304">
        <f t="shared" si="5"/>
        <v>0</v>
      </c>
      <c r="T27" s="304">
        <f t="shared" si="6"/>
        <v>0</v>
      </c>
      <c r="U27" s="305"/>
      <c r="V27" s="304">
        <f t="shared" si="7"/>
        <v>0</v>
      </c>
      <c r="W27" s="306">
        <f t="shared" si="8"/>
        <v>0</v>
      </c>
      <c r="X27" s="305"/>
      <c r="Y27" s="304">
        <f t="shared" si="9"/>
        <v>0</v>
      </c>
      <c r="Z27" s="307">
        <f t="shared" si="11"/>
        <v>0</v>
      </c>
      <c r="AA27" s="125"/>
      <c r="AB27" s="125"/>
      <c r="AC27" s="687">
        <f>Gen!AR32</f>
        <v>0</v>
      </c>
    </row>
    <row r="28" spans="1:29" ht="20.100000000000001" customHeight="1">
      <c r="A28" s="680">
        <f>Gen!A33</f>
        <v>44250</v>
      </c>
      <c r="B28" s="675">
        <f>Gen!B33</f>
        <v>0</v>
      </c>
      <c r="C28" s="793"/>
      <c r="D28" s="794"/>
      <c r="E28" s="305"/>
      <c r="F28" s="305"/>
      <c r="G28" s="305"/>
      <c r="H28" s="305"/>
      <c r="I28" s="305"/>
      <c r="J28" s="676"/>
      <c r="K28" s="686">
        <f t="shared" si="0"/>
        <v>0</v>
      </c>
      <c r="L28" s="305"/>
      <c r="M28" s="304">
        <f t="shared" si="1"/>
        <v>0</v>
      </c>
      <c r="N28" s="306">
        <f t="shared" si="2"/>
        <v>0</v>
      </c>
      <c r="O28" s="305"/>
      <c r="P28" s="304">
        <f t="shared" si="3"/>
        <v>0</v>
      </c>
      <c r="Q28" s="304">
        <f t="shared" si="4"/>
        <v>0</v>
      </c>
      <c r="R28" s="305"/>
      <c r="S28" s="304">
        <f t="shared" si="5"/>
        <v>0</v>
      </c>
      <c r="T28" s="304">
        <f t="shared" si="6"/>
        <v>0</v>
      </c>
      <c r="U28" s="305"/>
      <c r="V28" s="304">
        <f t="shared" si="7"/>
        <v>0</v>
      </c>
      <c r="W28" s="306">
        <f t="shared" si="8"/>
        <v>0</v>
      </c>
      <c r="X28" s="305"/>
      <c r="Y28" s="304">
        <f t="shared" si="9"/>
        <v>0</v>
      </c>
      <c r="Z28" s="307">
        <f t="shared" si="11"/>
        <v>0</v>
      </c>
      <c r="AA28" s="125"/>
      <c r="AB28" s="125"/>
      <c r="AC28" s="687">
        <f>Gen!AR33</f>
        <v>0</v>
      </c>
    </row>
    <row r="29" spans="1:29" ht="20.100000000000001" customHeight="1">
      <c r="A29" s="680">
        <f>Gen!A34</f>
        <v>44251</v>
      </c>
      <c r="B29" s="675">
        <f>Gen!B34</f>
        <v>0</v>
      </c>
      <c r="C29" s="793"/>
      <c r="D29" s="794"/>
      <c r="E29" s="305"/>
      <c r="F29" s="305"/>
      <c r="G29" s="305"/>
      <c r="H29" s="305"/>
      <c r="I29" s="305"/>
      <c r="J29" s="676"/>
      <c r="K29" s="686">
        <f t="shared" si="0"/>
        <v>0</v>
      </c>
      <c r="L29" s="305"/>
      <c r="M29" s="304">
        <f t="shared" si="1"/>
        <v>0</v>
      </c>
      <c r="N29" s="306">
        <f t="shared" si="2"/>
        <v>0</v>
      </c>
      <c r="O29" s="305"/>
      <c r="P29" s="304">
        <f t="shared" si="3"/>
        <v>0</v>
      </c>
      <c r="Q29" s="304">
        <f t="shared" si="4"/>
        <v>0</v>
      </c>
      <c r="R29" s="305"/>
      <c r="S29" s="304">
        <f t="shared" si="5"/>
        <v>0</v>
      </c>
      <c r="T29" s="304">
        <f t="shared" si="6"/>
        <v>0</v>
      </c>
      <c r="U29" s="305"/>
      <c r="V29" s="304">
        <f t="shared" si="7"/>
        <v>0</v>
      </c>
      <c r="W29" s="306">
        <f t="shared" si="8"/>
        <v>0</v>
      </c>
      <c r="X29" s="305"/>
      <c r="Y29" s="304">
        <f t="shared" si="9"/>
        <v>0</v>
      </c>
      <c r="Z29" s="307">
        <f t="shared" si="11"/>
        <v>0</v>
      </c>
      <c r="AA29" s="125"/>
      <c r="AB29" s="125"/>
      <c r="AC29" s="687">
        <f>Gen!AR34</f>
        <v>0</v>
      </c>
    </row>
    <row r="30" spans="1:29" ht="20.100000000000001" customHeight="1">
      <c r="A30" s="680">
        <f>Gen!A35</f>
        <v>44252</v>
      </c>
      <c r="B30" s="675">
        <f>Gen!B35</f>
        <v>0</v>
      </c>
      <c r="C30" s="793"/>
      <c r="D30" s="794"/>
      <c r="E30" s="305"/>
      <c r="F30" s="305"/>
      <c r="G30" s="305"/>
      <c r="H30" s="305"/>
      <c r="I30" s="305"/>
      <c r="J30" s="676"/>
      <c r="K30" s="686">
        <f t="shared" si="0"/>
        <v>0</v>
      </c>
      <c r="L30" s="305"/>
      <c r="M30" s="304">
        <f t="shared" si="1"/>
        <v>0</v>
      </c>
      <c r="N30" s="306">
        <f t="shared" si="2"/>
        <v>0</v>
      </c>
      <c r="O30" s="305"/>
      <c r="P30" s="304">
        <f t="shared" si="3"/>
        <v>0</v>
      </c>
      <c r="Q30" s="304">
        <f t="shared" si="4"/>
        <v>0</v>
      </c>
      <c r="R30" s="305"/>
      <c r="S30" s="304">
        <f t="shared" si="5"/>
        <v>0</v>
      </c>
      <c r="T30" s="304">
        <f t="shared" si="6"/>
        <v>0</v>
      </c>
      <c r="U30" s="305"/>
      <c r="V30" s="304">
        <f t="shared" si="7"/>
        <v>0</v>
      </c>
      <c r="W30" s="306">
        <f t="shared" si="8"/>
        <v>0</v>
      </c>
      <c r="X30" s="305"/>
      <c r="Y30" s="304">
        <f t="shared" si="9"/>
        <v>0</v>
      </c>
      <c r="Z30" s="307">
        <f t="shared" si="11"/>
        <v>0</v>
      </c>
      <c r="AA30" s="125"/>
      <c r="AB30" s="125"/>
      <c r="AC30" s="687">
        <f>Gen!AR35</f>
        <v>0</v>
      </c>
    </row>
    <row r="31" spans="1:29" ht="20.100000000000001" customHeight="1">
      <c r="A31" s="680">
        <f>Gen!A36</f>
        <v>44253</v>
      </c>
      <c r="B31" s="675">
        <f>Gen!B36</f>
        <v>0</v>
      </c>
      <c r="C31" s="793"/>
      <c r="D31" s="794"/>
      <c r="E31" s="305"/>
      <c r="F31" s="305"/>
      <c r="G31" s="305"/>
      <c r="H31" s="305"/>
      <c r="I31" s="305"/>
      <c r="J31" s="676"/>
      <c r="K31" s="686">
        <f t="shared" si="0"/>
        <v>0</v>
      </c>
      <c r="L31" s="305"/>
      <c r="M31" s="304">
        <f t="shared" si="1"/>
        <v>0</v>
      </c>
      <c r="N31" s="306">
        <f t="shared" si="2"/>
        <v>0</v>
      </c>
      <c r="O31" s="305"/>
      <c r="P31" s="304">
        <f t="shared" si="3"/>
        <v>0</v>
      </c>
      <c r="Q31" s="304">
        <f t="shared" si="4"/>
        <v>0</v>
      </c>
      <c r="R31" s="305"/>
      <c r="S31" s="304">
        <f t="shared" si="5"/>
        <v>0</v>
      </c>
      <c r="T31" s="304">
        <f t="shared" si="6"/>
        <v>0</v>
      </c>
      <c r="U31" s="305"/>
      <c r="V31" s="304">
        <f t="shared" si="7"/>
        <v>0</v>
      </c>
      <c r="W31" s="306">
        <f t="shared" si="8"/>
        <v>0</v>
      </c>
      <c r="X31" s="305"/>
      <c r="Y31" s="304">
        <f t="shared" si="9"/>
        <v>0</v>
      </c>
      <c r="Z31" s="307">
        <f t="shared" si="11"/>
        <v>0</v>
      </c>
      <c r="AA31" s="125"/>
      <c r="AB31" s="125"/>
      <c r="AC31" s="687">
        <f>Gen!AR36</f>
        <v>0</v>
      </c>
    </row>
    <row r="32" spans="1:29" ht="20.100000000000001" customHeight="1">
      <c r="A32" s="680">
        <f>Gen!A37</f>
        <v>44254</v>
      </c>
      <c r="B32" s="675">
        <f>Gen!B37</f>
        <v>0</v>
      </c>
      <c r="C32" s="793"/>
      <c r="D32" s="794"/>
      <c r="E32" s="305"/>
      <c r="F32" s="305"/>
      <c r="G32" s="305"/>
      <c r="H32" s="305"/>
      <c r="I32" s="305"/>
      <c r="J32" s="676"/>
      <c r="K32" s="686">
        <f t="shared" si="0"/>
        <v>0</v>
      </c>
      <c r="L32" s="305"/>
      <c r="M32" s="304">
        <f t="shared" si="1"/>
        <v>0</v>
      </c>
      <c r="N32" s="306">
        <f t="shared" si="2"/>
        <v>0</v>
      </c>
      <c r="O32" s="305"/>
      <c r="P32" s="304">
        <f t="shared" si="3"/>
        <v>0</v>
      </c>
      <c r="Q32" s="304">
        <f t="shared" si="4"/>
        <v>0</v>
      </c>
      <c r="R32" s="305"/>
      <c r="S32" s="304">
        <f t="shared" si="5"/>
        <v>0</v>
      </c>
      <c r="T32" s="304">
        <f t="shared" si="6"/>
        <v>0</v>
      </c>
      <c r="U32" s="305"/>
      <c r="V32" s="304">
        <f t="shared" si="7"/>
        <v>0</v>
      </c>
      <c r="W32" s="306">
        <f t="shared" si="8"/>
        <v>0</v>
      </c>
      <c r="X32" s="305"/>
      <c r="Y32" s="304">
        <f t="shared" si="9"/>
        <v>0</v>
      </c>
      <c r="Z32" s="307">
        <f t="shared" si="11"/>
        <v>0</v>
      </c>
      <c r="AA32" s="125"/>
      <c r="AB32" s="125"/>
      <c r="AC32" s="687">
        <f>Gen!AR37</f>
        <v>0</v>
      </c>
    </row>
    <row r="33" spans="1:29" ht="20.100000000000001" customHeight="1">
      <c r="A33" s="680">
        <f>Gen!A38</f>
        <v>44255</v>
      </c>
      <c r="B33" s="675">
        <f>Gen!B38</f>
        <v>0</v>
      </c>
      <c r="C33" s="793"/>
      <c r="D33" s="794"/>
      <c r="E33" s="305"/>
      <c r="F33" s="305"/>
      <c r="G33" s="305"/>
      <c r="H33" s="305"/>
      <c r="I33" s="305"/>
      <c r="J33" s="676"/>
      <c r="K33" s="686">
        <f t="shared" si="0"/>
        <v>0</v>
      </c>
      <c r="L33" s="305"/>
      <c r="M33" s="304">
        <f t="shared" si="1"/>
        <v>0</v>
      </c>
      <c r="N33" s="306">
        <f t="shared" si="2"/>
        <v>0</v>
      </c>
      <c r="O33" s="305"/>
      <c r="P33" s="304">
        <f t="shared" si="3"/>
        <v>0</v>
      </c>
      <c r="Q33" s="304">
        <f t="shared" si="4"/>
        <v>0</v>
      </c>
      <c r="R33" s="305"/>
      <c r="S33" s="304">
        <f t="shared" si="5"/>
        <v>0</v>
      </c>
      <c r="T33" s="304">
        <f t="shared" si="6"/>
        <v>0</v>
      </c>
      <c r="U33" s="305"/>
      <c r="V33" s="304">
        <f t="shared" si="7"/>
        <v>0</v>
      </c>
      <c r="W33" s="306">
        <f t="shared" si="8"/>
        <v>0</v>
      </c>
      <c r="X33" s="305"/>
      <c r="Y33" s="304">
        <f t="shared" si="9"/>
        <v>0</v>
      </c>
      <c r="Z33" s="307">
        <f t="shared" si="11"/>
        <v>0</v>
      </c>
      <c r="AA33" s="125"/>
      <c r="AB33" s="125"/>
      <c r="AC33" s="687">
        <f>Gen!AR38</f>
        <v>0</v>
      </c>
    </row>
    <row r="34" spans="1:29" ht="20.100000000000001" customHeight="1">
      <c r="A34" s="680">
        <f>Gen!A39</f>
        <v>0</v>
      </c>
      <c r="B34" s="675">
        <f>Gen!B39</f>
        <v>0</v>
      </c>
      <c r="C34" s="793"/>
      <c r="D34" s="794"/>
      <c r="E34" s="305"/>
      <c r="F34" s="305"/>
      <c r="G34" s="305"/>
      <c r="H34" s="305"/>
      <c r="I34" s="305"/>
      <c r="J34" s="676"/>
      <c r="K34" s="686">
        <f t="shared" si="0"/>
        <v>0</v>
      </c>
      <c r="L34" s="305"/>
      <c r="M34" s="304">
        <f t="shared" si="1"/>
        <v>0</v>
      </c>
      <c r="N34" s="306">
        <f t="shared" si="2"/>
        <v>0</v>
      </c>
      <c r="O34" s="305"/>
      <c r="P34" s="304">
        <f t="shared" si="3"/>
        <v>0</v>
      </c>
      <c r="Q34" s="304">
        <f t="shared" si="4"/>
        <v>0</v>
      </c>
      <c r="R34" s="305"/>
      <c r="S34" s="304">
        <f t="shared" si="5"/>
        <v>0</v>
      </c>
      <c r="T34" s="304">
        <f t="shared" si="6"/>
        <v>0</v>
      </c>
      <c r="U34" s="305"/>
      <c r="V34" s="304">
        <f t="shared" si="7"/>
        <v>0</v>
      </c>
      <c r="W34" s="306">
        <f t="shared" si="8"/>
        <v>0</v>
      </c>
      <c r="X34" s="305"/>
      <c r="Y34" s="304">
        <f t="shared" si="9"/>
        <v>0</v>
      </c>
      <c r="Z34" s="307">
        <f t="shared" si="11"/>
        <v>0</v>
      </c>
      <c r="AA34" s="125"/>
      <c r="AB34" s="125"/>
      <c r="AC34" s="687">
        <f>Gen!AR39</f>
        <v>0</v>
      </c>
    </row>
    <row r="35" spans="1:29" ht="20.100000000000001" customHeight="1">
      <c r="A35" s="680">
        <f>Gen!A40</f>
        <v>0</v>
      </c>
      <c r="B35" s="675">
        <f>Gen!B40</f>
        <v>0</v>
      </c>
      <c r="C35" s="793"/>
      <c r="D35" s="794"/>
      <c r="E35" s="305"/>
      <c r="F35" s="305"/>
      <c r="G35" s="305"/>
      <c r="H35" s="305"/>
      <c r="I35" s="305"/>
      <c r="J35" s="676"/>
      <c r="K35" s="686">
        <f t="shared" si="0"/>
        <v>0</v>
      </c>
      <c r="L35" s="305"/>
      <c r="M35" s="304">
        <f t="shared" si="1"/>
        <v>0</v>
      </c>
      <c r="N35" s="306">
        <f t="shared" si="2"/>
        <v>0</v>
      </c>
      <c r="O35" s="305"/>
      <c r="P35" s="304">
        <f t="shared" si="3"/>
        <v>0</v>
      </c>
      <c r="Q35" s="304">
        <f t="shared" si="4"/>
        <v>0</v>
      </c>
      <c r="R35" s="305"/>
      <c r="S35" s="304">
        <f t="shared" si="5"/>
        <v>0</v>
      </c>
      <c r="T35" s="304">
        <f t="shared" si="6"/>
        <v>0</v>
      </c>
      <c r="U35" s="305"/>
      <c r="V35" s="304">
        <f t="shared" si="7"/>
        <v>0</v>
      </c>
      <c r="W35" s="306">
        <f t="shared" si="8"/>
        <v>0</v>
      </c>
      <c r="X35" s="305"/>
      <c r="Y35" s="304">
        <f t="shared" si="9"/>
        <v>0</v>
      </c>
      <c r="Z35" s="307">
        <f t="shared" si="11"/>
        <v>0</v>
      </c>
      <c r="AA35" s="125"/>
      <c r="AB35" s="125"/>
      <c r="AC35" s="687">
        <f>Gen!AR40</f>
        <v>0</v>
      </c>
    </row>
    <row r="36" spans="1:29" ht="20.100000000000001" customHeight="1" thickBot="1">
      <c r="A36" s="681">
        <f>Gen!A41</f>
        <v>0</v>
      </c>
      <c r="B36" s="675">
        <f>Gen!B41</f>
        <v>0</v>
      </c>
      <c r="C36" s="793"/>
      <c r="D36" s="794"/>
      <c r="E36" s="305"/>
      <c r="F36" s="305"/>
      <c r="G36" s="305"/>
      <c r="H36" s="305"/>
      <c r="I36" s="305"/>
      <c r="J36" s="676"/>
      <c r="K36" s="686">
        <f t="shared" si="0"/>
        <v>0</v>
      </c>
      <c r="L36" s="305"/>
      <c r="M36" s="304">
        <f t="shared" si="1"/>
        <v>0</v>
      </c>
      <c r="N36" s="306">
        <f t="shared" si="2"/>
        <v>0</v>
      </c>
      <c r="O36" s="305"/>
      <c r="P36" s="304">
        <f t="shared" si="3"/>
        <v>0</v>
      </c>
      <c r="Q36" s="304">
        <f t="shared" si="4"/>
        <v>0</v>
      </c>
      <c r="R36" s="305"/>
      <c r="S36" s="304">
        <f t="shared" si="5"/>
        <v>0</v>
      </c>
      <c r="T36" s="304">
        <f t="shared" si="6"/>
        <v>0</v>
      </c>
      <c r="U36" s="305"/>
      <c r="V36" s="304">
        <f t="shared" si="7"/>
        <v>0</v>
      </c>
      <c r="W36" s="306">
        <f t="shared" si="8"/>
        <v>0</v>
      </c>
      <c r="X36" s="305"/>
      <c r="Y36" s="304">
        <f t="shared" si="9"/>
        <v>0</v>
      </c>
      <c r="Z36" s="307">
        <f t="shared" si="11"/>
        <v>0</v>
      </c>
      <c r="AA36" s="125"/>
      <c r="AB36" s="125"/>
      <c r="AC36" s="687">
        <f>Gen!AR41</f>
        <v>0</v>
      </c>
    </row>
    <row r="37" spans="1:29" ht="21" customHeight="1" thickBot="1">
      <c r="A37" s="681">
        <f>Gen!A42</f>
        <v>0</v>
      </c>
      <c r="B37" s="675">
        <f>Gen!B42</f>
        <v>0</v>
      </c>
      <c r="C37" s="677"/>
      <c r="D37" s="677"/>
      <c r="E37" s="677"/>
      <c r="F37" s="677"/>
      <c r="G37" s="677"/>
      <c r="H37" s="677"/>
      <c r="I37" s="677"/>
      <c r="J37" s="678"/>
      <c r="K37" s="688">
        <f t="shared" si="0"/>
        <v>0</v>
      </c>
      <c r="L37" s="677"/>
      <c r="M37" s="689">
        <f t="shared" si="1"/>
        <v>0</v>
      </c>
      <c r="N37" s="690">
        <f t="shared" si="2"/>
        <v>0</v>
      </c>
      <c r="O37" s="677"/>
      <c r="P37" s="689">
        <f t="shared" si="3"/>
        <v>0</v>
      </c>
      <c r="Q37" s="689">
        <f t="shared" si="4"/>
        <v>0</v>
      </c>
      <c r="R37" s="677"/>
      <c r="S37" s="689">
        <f t="shared" si="5"/>
        <v>0</v>
      </c>
      <c r="T37" s="689">
        <f t="shared" si="6"/>
        <v>0</v>
      </c>
      <c r="U37" s="677"/>
      <c r="V37" s="689">
        <f t="shared" si="7"/>
        <v>0</v>
      </c>
      <c r="W37" s="690">
        <f t="shared" si="8"/>
        <v>0</v>
      </c>
      <c r="X37" s="305"/>
      <c r="Y37" s="689">
        <f t="shared" si="9"/>
        <v>0</v>
      </c>
      <c r="Z37" s="691">
        <f t="shared" si="11"/>
        <v>0</v>
      </c>
      <c r="AA37" s="692"/>
      <c r="AB37" s="692"/>
      <c r="AC37" s="687">
        <f>Gen!AR42</f>
        <v>0</v>
      </c>
    </row>
    <row r="38" spans="1:29">
      <c r="A38" s="261"/>
      <c r="B38" s="261"/>
      <c r="C38" s="261"/>
      <c r="D38" s="261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A1:AT98"/>
  <sheetViews>
    <sheetView tabSelected="1" workbookViewId="0">
      <pane xSplit="1" topLeftCell="B1" activePane="topRight" state="frozen"/>
      <selection pane="topRight" activeCell="L20" sqref="L20"/>
    </sheetView>
  </sheetViews>
  <sheetFormatPr defaultColWidth="9.140625" defaultRowHeight="11.25"/>
  <cols>
    <col min="1" max="1" width="9.85546875" style="795" customWidth="1"/>
    <col min="2" max="2" width="9.5703125" style="795" customWidth="1"/>
    <col min="3" max="3" width="9.85546875" style="795" bestFit="1" customWidth="1"/>
    <col min="4" max="4" width="9.140625" style="795" customWidth="1"/>
    <col min="5" max="5" width="10.140625" style="795" customWidth="1"/>
    <col min="6" max="6" width="10.7109375" style="795" customWidth="1"/>
    <col min="7" max="7" width="11.28515625" style="795" customWidth="1"/>
    <col min="8" max="8" width="9.7109375" style="795" customWidth="1"/>
    <col min="9" max="9" width="8" style="795" customWidth="1"/>
    <col min="10" max="10" width="8.7109375" style="795" customWidth="1"/>
    <col min="11" max="11" width="8.85546875" style="795" bestFit="1" customWidth="1"/>
    <col min="12" max="12" width="10.140625" style="795" customWidth="1"/>
    <col min="13" max="13" width="10.85546875" style="795" customWidth="1"/>
    <col min="14" max="14" width="11.42578125" style="795" customWidth="1"/>
    <col min="15" max="15" width="10.140625" style="795" customWidth="1"/>
    <col min="16" max="16" width="11.140625" style="795" customWidth="1"/>
    <col min="17" max="17" width="10.7109375" style="795" customWidth="1"/>
    <col min="18" max="18" width="13.140625" style="795" customWidth="1"/>
    <col min="19" max="19" width="11.7109375" style="182" customWidth="1"/>
    <col min="20" max="20" width="13" style="182" customWidth="1"/>
    <col min="21" max="21" width="13.140625" style="182" customWidth="1"/>
    <col min="22" max="22" width="13.5703125" style="182" bestFit="1" customWidth="1"/>
    <col min="23" max="23" width="13" style="182" customWidth="1"/>
    <col min="24" max="24" width="15.7109375" style="182" customWidth="1"/>
    <col min="25" max="25" width="13.7109375" style="182" customWidth="1"/>
    <col min="26" max="26" width="12" style="182" bestFit="1" customWidth="1"/>
    <col min="27" max="27" width="9.5703125" style="182" bestFit="1" customWidth="1"/>
    <col min="28" max="28" width="8.28515625" style="182" bestFit="1" customWidth="1"/>
    <col min="29" max="29" width="9.42578125" style="182" bestFit="1" customWidth="1"/>
    <col min="30" max="30" width="8.140625" style="182" bestFit="1" customWidth="1"/>
    <col min="31" max="31" width="8" style="182" bestFit="1" customWidth="1"/>
    <col min="32" max="32" width="9.28515625" style="182" bestFit="1" customWidth="1"/>
    <col min="33" max="33" width="11.42578125" style="182" customWidth="1"/>
    <col min="34" max="34" width="9.85546875" style="182" bestFit="1" customWidth="1"/>
    <col min="35" max="35" width="9.5703125" style="182" bestFit="1" customWidth="1"/>
    <col min="36" max="36" width="12" style="182" bestFit="1" customWidth="1"/>
    <col min="37" max="42" width="9.140625" style="182" hidden="1" customWidth="1"/>
    <col min="43" max="43" width="5.42578125" style="182" customWidth="1"/>
    <col min="44" max="44" width="15" style="182" bestFit="1" customWidth="1"/>
    <col min="45" max="45" width="10.7109375" style="182" bestFit="1" customWidth="1"/>
    <col min="46" max="46" width="9.7109375" style="182" bestFit="1" customWidth="1"/>
    <col min="47" max="47" width="8" style="180" bestFit="1" customWidth="1"/>
    <col min="48" max="16384" width="9.140625" style="180"/>
  </cols>
  <sheetData>
    <row r="1" spans="1:46">
      <c r="A1" s="875"/>
      <c r="B1" s="875"/>
    </row>
    <row r="2" spans="1:46" ht="26.25">
      <c r="A2" s="875"/>
      <c r="B2" s="875"/>
      <c r="D2" s="876">
        <f>A11</f>
        <v>44228</v>
      </c>
      <c r="E2" s="876"/>
      <c r="F2" s="877"/>
      <c r="G2" s="877"/>
      <c r="H2" s="877"/>
      <c r="I2" s="877"/>
      <c r="J2" s="877"/>
      <c r="K2" s="877"/>
      <c r="L2" s="877"/>
      <c r="M2" s="877"/>
      <c r="N2" s="877"/>
      <c r="O2" s="877"/>
      <c r="P2" s="877"/>
      <c r="Q2" s="877"/>
      <c r="R2" s="877"/>
      <c r="S2" s="877"/>
      <c r="T2" s="877"/>
      <c r="U2" s="877"/>
      <c r="V2" s="877"/>
      <c r="W2" s="877"/>
      <c r="X2" s="877"/>
      <c r="Y2" s="877"/>
      <c r="Z2" s="877"/>
      <c r="AA2" s="877"/>
      <c r="AB2" s="877"/>
      <c r="AC2" s="877"/>
      <c r="AD2" s="877"/>
      <c r="AE2" s="877"/>
      <c r="AF2" s="877"/>
      <c r="AG2" s="877"/>
      <c r="AH2" s="877"/>
      <c r="AI2" s="877"/>
      <c r="AJ2" s="877"/>
      <c r="AK2" s="877"/>
      <c r="AL2" s="877"/>
      <c r="AM2" s="877"/>
      <c r="AN2" s="877"/>
      <c r="AO2" s="877"/>
      <c r="AP2" s="877"/>
      <c r="AQ2" s="877"/>
      <c r="AR2" s="877"/>
      <c r="AS2" s="877"/>
      <c r="AT2" s="877"/>
    </row>
    <row r="3" spans="1:46" ht="12.75" customHeight="1">
      <c r="A3" s="875"/>
      <c r="B3" s="875"/>
      <c r="H3" s="878"/>
      <c r="I3" s="878"/>
      <c r="J3" s="878"/>
      <c r="K3" s="181"/>
      <c r="Q3" s="181"/>
    </row>
    <row r="4" spans="1:46" ht="11.25" customHeight="1">
      <c r="A4" s="875"/>
      <c r="B4" s="875"/>
      <c r="H4" s="878"/>
      <c r="I4" s="878"/>
      <c r="J4" s="878"/>
      <c r="K4" s="181"/>
      <c r="Q4" s="181"/>
    </row>
    <row r="5" spans="1:46" ht="12" thickBot="1">
      <c r="A5" s="875"/>
      <c r="B5" s="875"/>
      <c r="L5" s="183"/>
      <c r="R5" s="183"/>
      <c r="S5" s="184"/>
      <c r="T5" s="184"/>
      <c r="U5" s="184"/>
      <c r="V5" s="185"/>
      <c r="W5" s="185"/>
      <c r="X5" s="185"/>
      <c r="Y5" s="185"/>
      <c r="Z5" s="185"/>
      <c r="AA5" s="185"/>
      <c r="AB5" s="185"/>
      <c r="AC5" s="185"/>
      <c r="AD5" s="185"/>
      <c r="AE5" s="185"/>
      <c r="AF5" s="185"/>
      <c r="AG5" s="185"/>
      <c r="AH5" s="185"/>
      <c r="AI5" s="185"/>
      <c r="AJ5" s="185"/>
      <c r="AK5" s="185"/>
      <c r="AL5" s="185"/>
      <c r="AM5" s="185"/>
      <c r="AN5" s="185"/>
      <c r="AO5" s="185"/>
      <c r="AP5" s="185"/>
      <c r="AQ5" s="185"/>
      <c r="AR5" s="185"/>
      <c r="AS5" s="185"/>
      <c r="AT5" s="185"/>
    </row>
    <row r="6" spans="1:46" ht="21" thickBot="1">
      <c r="A6" s="875"/>
      <c r="B6" s="875"/>
      <c r="C6" s="186"/>
      <c r="F6" s="879" t="s">
        <v>57</v>
      </c>
      <c r="G6" s="880"/>
      <c r="H6" s="880"/>
      <c r="I6" s="880"/>
      <c r="J6" s="880"/>
      <c r="K6" s="880"/>
      <c r="L6" s="881"/>
      <c r="M6" s="183"/>
      <c r="N6" s="183"/>
      <c r="O6" s="183"/>
      <c r="P6" s="183"/>
      <c r="Q6" s="183"/>
      <c r="R6" s="183"/>
      <c r="S6" s="184"/>
      <c r="T6" s="184"/>
      <c r="U6" s="184"/>
      <c r="V6" s="187">
        <v>1</v>
      </c>
      <c r="W6" s="187">
        <v>2</v>
      </c>
      <c r="X6" s="187">
        <v>3</v>
      </c>
      <c r="Y6" s="187">
        <v>4</v>
      </c>
      <c r="Z6" s="187">
        <v>5</v>
      </c>
      <c r="AA6" s="187">
        <v>6</v>
      </c>
      <c r="AB6" s="187">
        <v>7</v>
      </c>
      <c r="AC6" s="187">
        <v>8</v>
      </c>
      <c r="AD6" s="187">
        <v>9</v>
      </c>
      <c r="AE6" s="187">
        <v>10</v>
      </c>
      <c r="AF6" s="187">
        <v>11</v>
      </c>
      <c r="AG6" s="187"/>
      <c r="AH6" s="187"/>
      <c r="AI6" s="187"/>
      <c r="AR6" s="187"/>
      <c r="AS6" s="184"/>
    </row>
    <row r="7" spans="1:46" ht="21" thickBot="1">
      <c r="C7" s="188"/>
      <c r="D7" s="188"/>
      <c r="E7" s="188"/>
      <c r="F7" s="882" t="s">
        <v>201</v>
      </c>
      <c r="G7" s="883"/>
      <c r="H7" s="883"/>
      <c r="I7" s="883"/>
      <c r="J7" s="883"/>
      <c r="K7" s="883"/>
      <c r="L7" s="884"/>
      <c r="M7" s="885" t="s">
        <v>40</v>
      </c>
      <c r="N7" s="886"/>
      <c r="O7" s="886"/>
      <c r="P7" s="886"/>
      <c r="Q7" s="886"/>
      <c r="R7" s="887"/>
      <c r="S7" s="349"/>
      <c r="T7" s="350"/>
      <c r="U7" s="351"/>
      <c r="V7" s="352" t="s">
        <v>80</v>
      </c>
      <c r="W7" s="353" t="s">
        <v>80</v>
      </c>
      <c r="X7" s="353" t="s">
        <v>5</v>
      </c>
      <c r="Y7" s="353" t="s">
        <v>81</v>
      </c>
      <c r="Z7" s="353" t="s">
        <v>83</v>
      </c>
      <c r="AA7" s="353" t="s">
        <v>82</v>
      </c>
      <c r="AB7" s="353" t="s">
        <v>82</v>
      </c>
      <c r="AC7" s="354" t="s">
        <v>199</v>
      </c>
      <c r="AD7" s="353" t="s">
        <v>30</v>
      </c>
      <c r="AE7" s="353" t="s">
        <v>97</v>
      </c>
      <c r="AF7" s="355" t="s">
        <v>22</v>
      </c>
      <c r="AG7" s="356" t="s">
        <v>29</v>
      </c>
      <c r="AH7" s="353" t="s">
        <v>84</v>
      </c>
      <c r="AI7" s="357" t="s">
        <v>190</v>
      </c>
      <c r="AJ7" s="368" t="s">
        <v>26</v>
      </c>
      <c r="AK7" s="189"/>
      <c r="AL7" s="189"/>
      <c r="AM7" s="189"/>
      <c r="AN7" s="189"/>
      <c r="AO7" s="189"/>
      <c r="AP7" s="189"/>
      <c r="AQ7" s="189"/>
      <c r="AR7" s="190"/>
      <c r="AS7" s="191"/>
      <c r="AT7" s="189"/>
    </row>
    <row r="8" spans="1:46" s="193" customFormat="1" ht="30" customHeight="1" thickBot="1">
      <c r="A8" s="380" t="s">
        <v>0</v>
      </c>
      <c r="B8" s="381" t="s">
        <v>310</v>
      </c>
      <c r="C8" s="796" t="s">
        <v>2</v>
      </c>
      <c r="D8" s="797" t="s">
        <v>38</v>
      </c>
      <c r="E8" s="797" t="s">
        <v>96</v>
      </c>
      <c r="F8" s="798" t="s">
        <v>306</v>
      </c>
      <c r="G8" s="492">
        <v>1</v>
      </c>
      <c r="H8" s="374">
        <v>2</v>
      </c>
      <c r="I8" s="374">
        <v>3</v>
      </c>
      <c r="J8" s="374">
        <v>4</v>
      </c>
      <c r="K8" s="374">
        <v>5</v>
      </c>
      <c r="L8" s="375">
        <v>6</v>
      </c>
      <c r="M8" s="376">
        <v>1</v>
      </c>
      <c r="N8" s="377">
        <v>2</v>
      </c>
      <c r="O8" s="377">
        <v>3</v>
      </c>
      <c r="P8" s="377">
        <v>4</v>
      </c>
      <c r="Q8" s="377">
        <v>5</v>
      </c>
      <c r="R8" s="377">
        <v>6</v>
      </c>
      <c r="S8" s="378" t="s">
        <v>39</v>
      </c>
      <c r="T8" s="378" t="s">
        <v>41</v>
      </c>
      <c r="U8" s="379" t="s">
        <v>198</v>
      </c>
      <c r="V8" s="359" t="s">
        <v>33</v>
      </c>
      <c r="W8" s="360" t="s">
        <v>32</v>
      </c>
      <c r="X8" s="360" t="s">
        <v>35</v>
      </c>
      <c r="Y8" s="361" t="s">
        <v>208</v>
      </c>
      <c r="Z8" s="361" t="s">
        <v>207</v>
      </c>
      <c r="AA8" s="361" t="s">
        <v>209</v>
      </c>
      <c r="AB8" s="360" t="s">
        <v>311</v>
      </c>
      <c r="AC8" s="362" t="s">
        <v>34</v>
      </c>
      <c r="AD8" s="360" t="s">
        <v>31</v>
      </c>
      <c r="AE8" s="360" t="s">
        <v>210</v>
      </c>
      <c r="AF8" s="360" t="s">
        <v>211</v>
      </c>
      <c r="AG8" s="363" t="s">
        <v>85</v>
      </c>
      <c r="AH8" s="364" t="s">
        <v>28</v>
      </c>
      <c r="AI8" s="365" t="s">
        <v>28</v>
      </c>
      <c r="AJ8" s="367"/>
      <c r="AK8" s="272"/>
      <c r="AL8" s="51"/>
      <c r="AM8" s="51"/>
      <c r="AN8" s="51"/>
      <c r="AO8" s="51"/>
      <c r="AP8" s="192"/>
      <c r="AQ8" s="370"/>
      <c r="AR8" s="371" t="s">
        <v>200</v>
      </c>
      <c r="AS8" s="371" t="s">
        <v>43</v>
      </c>
      <c r="AT8" s="370" t="s">
        <v>3</v>
      </c>
    </row>
    <row r="9" spans="1:46" ht="14.25">
      <c r="A9" s="493"/>
      <c r="B9" s="194"/>
      <c r="C9" s="828">
        <f>[3]Gen!$C$43</f>
        <v>38934.209999999992</v>
      </c>
      <c r="D9" s="799"/>
      <c r="E9" s="800"/>
      <c r="F9" s="801"/>
      <c r="G9" s="802"/>
      <c r="H9" s="555"/>
      <c r="I9" s="556"/>
      <c r="J9" s="557"/>
      <c r="K9" s="558"/>
      <c r="L9" s="559"/>
      <c r="M9" s="372"/>
      <c r="N9" s="373"/>
      <c r="O9" s="373"/>
      <c r="P9" s="373"/>
      <c r="Q9" s="373"/>
      <c r="R9" s="562"/>
      <c r="S9" s="568">
        <f t="shared" ref="S9:S44" si="0">SUM(F9:L9)</f>
        <v>0</v>
      </c>
      <c r="T9" s="569">
        <f t="shared" ref="T9:T44" si="1">SUM(M9:R9)</f>
        <v>0</v>
      </c>
      <c r="U9" s="570"/>
      <c r="V9" s="566"/>
      <c r="W9" s="198"/>
      <c r="X9" s="358"/>
      <c r="Y9" s="358"/>
      <c r="Z9" s="358"/>
      <c r="AA9" s="198"/>
      <c r="AB9" s="196"/>
      <c r="AC9" s="198"/>
      <c r="AD9" s="199"/>
      <c r="AE9" s="199"/>
      <c r="AF9" s="200"/>
      <c r="AG9" s="196"/>
      <c r="AH9" s="198"/>
      <c r="AI9" s="386"/>
      <c r="AJ9" s="366"/>
      <c r="AK9" s="201"/>
      <c r="AL9" s="201"/>
      <c r="AM9" s="201"/>
      <c r="AN9" s="201"/>
      <c r="AO9" s="201"/>
      <c r="AP9" s="201"/>
      <c r="AQ9" s="201"/>
      <c r="AR9" s="369">
        <f t="shared" ref="AR9:AR43" si="2">SUM(AJ9+S9)</f>
        <v>0</v>
      </c>
      <c r="AS9" s="202"/>
      <c r="AT9" s="203">
        <v>38784.699999999997</v>
      </c>
    </row>
    <row r="10" spans="1:46" ht="13.5" customHeight="1" thickBot="1">
      <c r="A10" s="494"/>
      <c r="B10" s="574"/>
      <c r="C10" s="803"/>
      <c r="D10" s="804"/>
      <c r="E10" s="805"/>
      <c r="F10" s="299"/>
      <c r="G10" s="806"/>
      <c r="H10" s="204"/>
      <c r="I10" s="205"/>
      <c r="J10" s="204"/>
      <c r="K10" s="204"/>
      <c r="L10" s="299"/>
      <c r="M10" s="298"/>
      <c r="N10" s="207"/>
      <c r="O10" s="206"/>
      <c r="P10" s="206"/>
      <c r="Q10" s="206"/>
      <c r="R10" s="563"/>
      <c r="S10" s="571">
        <f t="shared" si="0"/>
        <v>0</v>
      </c>
      <c r="T10" s="218">
        <f t="shared" si="1"/>
        <v>0</v>
      </c>
      <c r="U10" s="572">
        <f>SUM(N10:S10)</f>
        <v>0</v>
      </c>
      <c r="V10" s="211"/>
      <c r="W10" s="219"/>
      <c r="X10" s="197"/>
      <c r="Y10" s="209"/>
      <c r="Z10" s="204"/>
      <c r="AA10" s="209"/>
      <c r="AB10" s="210"/>
      <c r="AC10" s="209"/>
      <c r="AD10" s="211"/>
      <c r="AE10" s="211"/>
      <c r="AF10" s="209"/>
      <c r="AG10" s="212"/>
      <c r="AH10" s="219"/>
      <c r="AI10" s="386"/>
      <c r="AJ10" s="271">
        <f t="shared" ref="AJ10:AJ44" si="3">SUM(V10:AI10)</f>
        <v>0</v>
      </c>
      <c r="AK10" s="213"/>
      <c r="AL10" s="213"/>
      <c r="AM10" s="213"/>
      <c r="AN10" s="213"/>
      <c r="AO10" s="213"/>
      <c r="AP10" s="213"/>
      <c r="AQ10" s="214"/>
      <c r="AR10" s="215">
        <f t="shared" si="2"/>
        <v>0</v>
      </c>
      <c r="AS10" s="216"/>
      <c r="AT10" s="283"/>
    </row>
    <row r="11" spans="1:46" s="222" customFormat="1" ht="13.5" customHeight="1">
      <c r="A11" s="577">
        <v>44228</v>
      </c>
      <c r="B11" s="829"/>
      <c r="C11" s="807">
        <f>SUM(C9+D11)</f>
        <v>38934.209999999992</v>
      </c>
      <c r="D11" s="808"/>
      <c r="E11" s="805"/>
      <c r="F11" s="526"/>
      <c r="G11" s="806"/>
      <c r="H11" s="204"/>
      <c r="I11" s="205"/>
      <c r="J11" s="204">
        <v>147.30000000000001</v>
      </c>
      <c r="K11" s="204"/>
      <c r="L11" s="299">
        <v>1061.8599999999999</v>
      </c>
      <c r="M11" s="298"/>
      <c r="N11" s="206"/>
      <c r="O11" s="206"/>
      <c r="P11" s="206">
        <v>388</v>
      </c>
      <c r="Q11" s="206"/>
      <c r="R11" s="563">
        <v>2518</v>
      </c>
      <c r="S11" s="571">
        <f t="shared" si="0"/>
        <v>1209.1599999999999</v>
      </c>
      <c r="T11" s="218">
        <f t="shared" si="1"/>
        <v>2906</v>
      </c>
      <c r="U11" s="572">
        <f t="shared" ref="U11:U41" si="4">S11/T11</f>
        <v>0.41609084652443218</v>
      </c>
      <c r="V11" s="211"/>
      <c r="W11" s="219">
        <v>34.4</v>
      </c>
      <c r="X11" s="197">
        <v>63.25</v>
      </c>
      <c r="Y11" s="219"/>
      <c r="Z11" s="204"/>
      <c r="AA11" s="273"/>
      <c r="AB11" s="219"/>
      <c r="AC11" s="219"/>
      <c r="AD11" s="219"/>
      <c r="AE11" s="219"/>
      <c r="AF11" s="219"/>
      <c r="AG11" s="219"/>
      <c r="AH11" s="219"/>
      <c r="AI11" s="386"/>
      <c r="AJ11" s="271">
        <f t="shared" si="3"/>
        <v>97.65</v>
      </c>
      <c r="AK11" s="220"/>
      <c r="AL11" s="220"/>
      <c r="AM11" s="220"/>
      <c r="AN11" s="220"/>
      <c r="AO11" s="220"/>
      <c r="AP11" s="220"/>
      <c r="AQ11" s="220"/>
      <c r="AR11" s="215">
        <f t="shared" si="2"/>
        <v>1306.81</v>
      </c>
      <c r="AS11" s="221">
        <f>AR11*AU11</f>
        <v>0</v>
      </c>
      <c r="AT11" s="283">
        <f t="shared" ref="AT11:AT43" si="5">C11</f>
        <v>38934.209999999992</v>
      </c>
    </row>
    <row r="12" spans="1:46" ht="13.5" customHeight="1">
      <c r="A12" s="577">
        <v>44229</v>
      </c>
      <c r="B12" s="830"/>
      <c r="C12" s="807">
        <f t="shared" ref="C12:C43" si="6">SUM(C11-AR11+D12)</f>
        <v>37627.399999999994</v>
      </c>
      <c r="D12" s="808"/>
      <c r="E12" s="805"/>
      <c r="F12" s="526"/>
      <c r="G12" s="806"/>
      <c r="H12" s="204"/>
      <c r="I12" s="223"/>
      <c r="J12" s="204"/>
      <c r="K12" s="204"/>
      <c r="L12" s="299"/>
      <c r="M12" s="298"/>
      <c r="N12" s="206"/>
      <c r="O12" s="206"/>
      <c r="P12" s="206"/>
      <c r="Q12" s="206"/>
      <c r="R12" s="563"/>
      <c r="S12" s="571">
        <f t="shared" si="0"/>
        <v>0</v>
      </c>
      <c r="T12" s="218">
        <f t="shared" si="1"/>
        <v>0</v>
      </c>
      <c r="U12" s="572" t="e">
        <f t="shared" si="4"/>
        <v>#DIV/0!</v>
      </c>
      <c r="V12" s="211"/>
      <c r="W12" s="219"/>
      <c r="X12" s="197"/>
      <c r="Y12" s="219"/>
      <c r="Z12" s="204"/>
      <c r="AA12" s="273"/>
      <c r="AB12" s="219"/>
      <c r="AC12" s="219"/>
      <c r="AD12" s="219"/>
      <c r="AE12" s="219"/>
      <c r="AF12" s="219"/>
      <c r="AG12" s="219"/>
      <c r="AH12" s="219"/>
      <c r="AI12" s="386"/>
      <c r="AJ12" s="271">
        <f t="shared" si="3"/>
        <v>0</v>
      </c>
      <c r="AK12" s="213"/>
      <c r="AL12" s="213"/>
      <c r="AM12" s="213"/>
      <c r="AN12" s="213"/>
      <c r="AO12" s="213"/>
      <c r="AP12" s="213"/>
      <c r="AQ12" s="213"/>
      <c r="AR12" s="215">
        <f t="shared" si="2"/>
        <v>0</v>
      </c>
      <c r="AS12" s="221">
        <f t="shared" ref="AS12:AS44" si="7">AR12*AU12</f>
        <v>0</v>
      </c>
      <c r="AT12" s="283">
        <f t="shared" si="5"/>
        <v>37627.399999999994</v>
      </c>
    </row>
    <row r="13" spans="1:46" ht="13.5" customHeight="1">
      <c r="A13" s="577">
        <v>44230</v>
      </c>
      <c r="B13" s="831"/>
      <c r="C13" s="807">
        <f t="shared" si="6"/>
        <v>37627.399999999994</v>
      </c>
      <c r="D13" s="808"/>
      <c r="E13" s="805"/>
      <c r="F13" s="809"/>
      <c r="G13" s="806"/>
      <c r="H13" s="204"/>
      <c r="I13" s="223"/>
      <c r="J13" s="204"/>
      <c r="K13" s="204"/>
      <c r="L13" s="299"/>
      <c r="M13" s="298"/>
      <c r="N13" s="206"/>
      <c r="O13" s="206"/>
      <c r="P13" s="206"/>
      <c r="Q13" s="206"/>
      <c r="R13" s="563"/>
      <c r="S13" s="571">
        <f t="shared" si="0"/>
        <v>0</v>
      </c>
      <c r="T13" s="218">
        <f t="shared" si="1"/>
        <v>0</v>
      </c>
      <c r="U13" s="572" t="e">
        <f t="shared" si="4"/>
        <v>#DIV/0!</v>
      </c>
      <c r="V13" s="211"/>
      <c r="W13" s="219"/>
      <c r="X13" s="197"/>
      <c r="Y13" s="219"/>
      <c r="Z13" s="204"/>
      <c r="AA13" s="273"/>
      <c r="AB13" s="219"/>
      <c r="AC13" s="219"/>
      <c r="AD13" s="219"/>
      <c r="AE13" s="219"/>
      <c r="AF13" s="219"/>
      <c r="AG13" s="219"/>
      <c r="AH13" s="219"/>
      <c r="AI13" s="386"/>
      <c r="AJ13" s="271">
        <f t="shared" si="3"/>
        <v>0</v>
      </c>
      <c r="AK13" s="224"/>
      <c r="AL13" s="224"/>
      <c r="AM13" s="224"/>
      <c r="AN13" s="224"/>
      <c r="AO13" s="224"/>
      <c r="AP13" s="224"/>
      <c r="AQ13" s="224"/>
      <c r="AR13" s="215">
        <f t="shared" si="2"/>
        <v>0</v>
      </c>
      <c r="AS13" s="221">
        <f t="shared" si="7"/>
        <v>0</v>
      </c>
      <c r="AT13" s="283">
        <f t="shared" si="5"/>
        <v>37627.399999999994</v>
      </c>
    </row>
    <row r="14" spans="1:46" ht="13.5" customHeight="1">
      <c r="A14" s="577">
        <v>44231</v>
      </c>
      <c r="B14" s="831"/>
      <c r="C14" s="807">
        <f t="shared" si="6"/>
        <v>37627.399999999994</v>
      </c>
      <c r="D14" s="808"/>
      <c r="E14" s="805"/>
      <c r="F14" s="809"/>
      <c r="G14" s="806"/>
      <c r="H14" s="204"/>
      <c r="I14" s="223"/>
      <c r="J14" s="204"/>
      <c r="K14" s="204"/>
      <c r="L14" s="299"/>
      <c r="M14" s="298"/>
      <c r="N14" s="206"/>
      <c r="O14" s="206"/>
      <c r="P14" s="206"/>
      <c r="Q14" s="206"/>
      <c r="R14" s="563"/>
      <c r="S14" s="571">
        <f t="shared" si="0"/>
        <v>0</v>
      </c>
      <c r="T14" s="218">
        <f t="shared" si="1"/>
        <v>0</v>
      </c>
      <c r="U14" s="572" t="e">
        <f t="shared" si="4"/>
        <v>#DIV/0!</v>
      </c>
      <c r="V14" s="211"/>
      <c r="W14" s="219"/>
      <c r="X14" s="197"/>
      <c r="Y14" s="219"/>
      <c r="Z14" s="204"/>
      <c r="AA14" s="273"/>
      <c r="AB14" s="219"/>
      <c r="AC14" s="219"/>
      <c r="AD14" s="219"/>
      <c r="AE14" s="219"/>
      <c r="AF14" s="219"/>
      <c r="AG14" s="219"/>
      <c r="AH14" s="219"/>
      <c r="AI14" s="386"/>
      <c r="AJ14" s="271">
        <f t="shared" si="3"/>
        <v>0</v>
      </c>
      <c r="AK14" s="220"/>
      <c r="AL14" s="220"/>
      <c r="AM14" s="220"/>
      <c r="AN14" s="220"/>
      <c r="AO14" s="220"/>
      <c r="AP14" s="220"/>
      <c r="AQ14" s="220"/>
      <c r="AR14" s="215">
        <f t="shared" si="2"/>
        <v>0</v>
      </c>
      <c r="AS14" s="221">
        <f t="shared" si="7"/>
        <v>0</v>
      </c>
      <c r="AT14" s="283">
        <f t="shared" si="5"/>
        <v>37627.399999999994</v>
      </c>
    </row>
    <row r="15" spans="1:46" ht="13.5" customHeight="1">
      <c r="A15" s="577">
        <v>44232</v>
      </c>
      <c r="B15" s="831"/>
      <c r="C15" s="807">
        <f t="shared" si="6"/>
        <v>37627.399999999994</v>
      </c>
      <c r="D15" s="808"/>
      <c r="E15" s="805"/>
      <c r="F15" s="809"/>
      <c r="G15" s="806"/>
      <c r="H15" s="204"/>
      <c r="I15" s="223"/>
      <c r="J15" s="204"/>
      <c r="K15" s="204"/>
      <c r="L15" s="299"/>
      <c r="M15" s="298"/>
      <c r="N15" s="206"/>
      <c r="O15" s="206"/>
      <c r="P15" s="206"/>
      <c r="Q15" s="206"/>
      <c r="R15" s="563"/>
      <c r="S15" s="571">
        <f t="shared" si="0"/>
        <v>0</v>
      </c>
      <c r="T15" s="218">
        <f t="shared" si="1"/>
        <v>0</v>
      </c>
      <c r="U15" s="572" t="e">
        <f t="shared" si="4"/>
        <v>#DIV/0!</v>
      </c>
      <c r="V15" s="211"/>
      <c r="W15" s="219"/>
      <c r="X15" s="197"/>
      <c r="Y15" s="219"/>
      <c r="Z15" s="204"/>
      <c r="AA15" s="273"/>
      <c r="AB15" s="219"/>
      <c r="AC15" s="219"/>
      <c r="AD15" s="219"/>
      <c r="AE15" s="219"/>
      <c r="AF15" s="219"/>
      <c r="AG15" s="219"/>
      <c r="AH15" s="219"/>
      <c r="AI15" s="386"/>
      <c r="AJ15" s="271">
        <f t="shared" si="3"/>
        <v>0</v>
      </c>
      <c r="AK15" s="220"/>
      <c r="AL15" s="220"/>
      <c r="AM15" s="220"/>
      <c r="AN15" s="220"/>
      <c r="AO15" s="220"/>
      <c r="AP15" s="220"/>
      <c r="AQ15" s="220"/>
      <c r="AR15" s="215">
        <f t="shared" si="2"/>
        <v>0</v>
      </c>
      <c r="AS15" s="221">
        <f t="shared" si="7"/>
        <v>0</v>
      </c>
      <c r="AT15" s="283">
        <f t="shared" si="5"/>
        <v>37627.399999999994</v>
      </c>
    </row>
    <row r="16" spans="1:46" ht="13.5" customHeight="1">
      <c r="A16" s="577">
        <v>44233</v>
      </c>
      <c r="B16" s="831"/>
      <c r="C16" s="807">
        <f t="shared" si="6"/>
        <v>37627.399999999994</v>
      </c>
      <c r="D16" s="808"/>
      <c r="E16" s="805"/>
      <c r="F16" s="809"/>
      <c r="G16" s="806"/>
      <c r="H16" s="204"/>
      <c r="I16" s="223"/>
      <c r="J16" s="204"/>
      <c r="K16" s="204"/>
      <c r="L16" s="299"/>
      <c r="M16" s="298"/>
      <c r="N16" s="206"/>
      <c r="O16" s="206"/>
      <c r="P16" s="206"/>
      <c r="Q16" s="206"/>
      <c r="R16" s="563"/>
      <c r="S16" s="571">
        <f t="shared" si="0"/>
        <v>0</v>
      </c>
      <c r="T16" s="218">
        <f t="shared" si="1"/>
        <v>0</v>
      </c>
      <c r="U16" s="572" t="e">
        <f t="shared" si="4"/>
        <v>#DIV/0!</v>
      </c>
      <c r="V16" s="211"/>
      <c r="W16" s="219"/>
      <c r="X16" s="197"/>
      <c r="Y16" s="219"/>
      <c r="Z16" s="204"/>
      <c r="AA16" s="273"/>
      <c r="AB16" s="219"/>
      <c r="AC16" s="219"/>
      <c r="AD16" s="219"/>
      <c r="AE16" s="219"/>
      <c r="AF16" s="219"/>
      <c r="AG16" s="219"/>
      <c r="AH16" s="219"/>
      <c r="AI16" s="386"/>
      <c r="AJ16" s="271">
        <f t="shared" si="3"/>
        <v>0</v>
      </c>
      <c r="AK16" s="220"/>
      <c r="AL16" s="220"/>
      <c r="AM16" s="220"/>
      <c r="AN16" s="220"/>
      <c r="AO16" s="220"/>
      <c r="AP16" s="220"/>
      <c r="AQ16" s="220"/>
      <c r="AR16" s="215">
        <f t="shared" si="2"/>
        <v>0</v>
      </c>
      <c r="AS16" s="221">
        <f t="shared" si="7"/>
        <v>0</v>
      </c>
      <c r="AT16" s="283">
        <f t="shared" si="5"/>
        <v>37627.399999999994</v>
      </c>
    </row>
    <row r="17" spans="1:46" ht="13.5" customHeight="1">
      <c r="A17" s="577">
        <v>44234</v>
      </c>
      <c r="B17" s="831"/>
      <c r="C17" s="807">
        <f t="shared" si="6"/>
        <v>37627.399999999994</v>
      </c>
      <c r="D17" s="808"/>
      <c r="E17" s="805"/>
      <c r="F17" s="809"/>
      <c r="G17" s="806"/>
      <c r="H17" s="204"/>
      <c r="I17" s="223"/>
      <c r="J17" s="204"/>
      <c r="K17" s="204"/>
      <c r="L17" s="299"/>
      <c r="M17" s="298"/>
      <c r="N17" s="206"/>
      <c r="O17" s="206"/>
      <c r="P17" s="206"/>
      <c r="Q17" s="206"/>
      <c r="R17" s="563"/>
      <c r="S17" s="571">
        <f t="shared" si="0"/>
        <v>0</v>
      </c>
      <c r="T17" s="218">
        <f t="shared" si="1"/>
        <v>0</v>
      </c>
      <c r="U17" s="572" t="e">
        <f t="shared" si="4"/>
        <v>#DIV/0!</v>
      </c>
      <c r="V17" s="211"/>
      <c r="W17" s="219"/>
      <c r="X17" s="197"/>
      <c r="Y17" s="219"/>
      <c r="Z17" s="204"/>
      <c r="AA17" s="273"/>
      <c r="AB17" s="219"/>
      <c r="AC17" s="219"/>
      <c r="AD17" s="219"/>
      <c r="AE17" s="219"/>
      <c r="AF17" s="219"/>
      <c r="AG17" s="219"/>
      <c r="AH17" s="219"/>
      <c r="AI17" s="386"/>
      <c r="AJ17" s="271">
        <f t="shared" si="3"/>
        <v>0</v>
      </c>
      <c r="AK17" s="220"/>
      <c r="AL17" s="220"/>
      <c r="AM17" s="220"/>
      <c r="AN17" s="220"/>
      <c r="AO17" s="220"/>
      <c r="AP17" s="220"/>
      <c r="AQ17" s="220"/>
      <c r="AR17" s="215">
        <f t="shared" si="2"/>
        <v>0</v>
      </c>
      <c r="AS17" s="221">
        <f t="shared" si="7"/>
        <v>0</v>
      </c>
      <c r="AT17" s="283">
        <f t="shared" si="5"/>
        <v>37627.399999999994</v>
      </c>
    </row>
    <row r="18" spans="1:46" ht="13.5" customHeight="1">
      <c r="A18" s="577">
        <v>44235</v>
      </c>
      <c r="B18" s="831"/>
      <c r="C18" s="807">
        <f t="shared" si="6"/>
        <v>37627.399999999994</v>
      </c>
      <c r="D18" s="808"/>
      <c r="E18" s="805">
        <v>15000</v>
      </c>
      <c r="F18" s="832" t="s">
        <v>330</v>
      </c>
      <c r="G18" s="806"/>
      <c r="H18" s="204"/>
      <c r="I18" s="223"/>
      <c r="J18" s="204"/>
      <c r="K18" s="204"/>
      <c r="L18" s="299"/>
      <c r="M18" s="298"/>
      <c r="N18" s="206"/>
      <c r="O18" s="206"/>
      <c r="P18" s="206"/>
      <c r="Q18" s="206"/>
      <c r="R18" s="563"/>
      <c r="S18" s="571">
        <f t="shared" si="0"/>
        <v>0</v>
      </c>
      <c r="T18" s="218">
        <f t="shared" si="1"/>
        <v>0</v>
      </c>
      <c r="U18" s="572" t="e">
        <f t="shared" si="4"/>
        <v>#DIV/0!</v>
      </c>
      <c r="V18" s="211"/>
      <c r="W18" s="219"/>
      <c r="X18" s="197"/>
      <c r="Y18" s="219"/>
      <c r="Z18" s="204"/>
      <c r="AA18" s="273"/>
      <c r="AB18" s="219"/>
      <c r="AC18" s="219"/>
      <c r="AD18" s="219"/>
      <c r="AE18" s="219"/>
      <c r="AF18" s="219"/>
      <c r="AG18" s="219"/>
      <c r="AH18" s="219"/>
      <c r="AI18" s="386"/>
      <c r="AJ18" s="271">
        <f t="shared" si="3"/>
        <v>0</v>
      </c>
      <c r="AK18" s="220"/>
      <c r="AL18" s="220"/>
      <c r="AM18" s="220"/>
      <c r="AN18" s="220"/>
      <c r="AO18" s="220"/>
      <c r="AP18" s="220"/>
      <c r="AQ18" s="220"/>
      <c r="AR18" s="215">
        <f t="shared" si="2"/>
        <v>0</v>
      </c>
      <c r="AS18" s="221">
        <f t="shared" si="7"/>
        <v>0</v>
      </c>
      <c r="AT18" s="283">
        <f t="shared" si="5"/>
        <v>37627.399999999994</v>
      </c>
    </row>
    <row r="19" spans="1:46" ht="13.5" customHeight="1">
      <c r="A19" s="577">
        <v>44236</v>
      </c>
      <c r="B19" s="831"/>
      <c r="C19" s="807">
        <f t="shared" si="6"/>
        <v>37627.399999999994</v>
      </c>
      <c r="D19" s="808"/>
      <c r="E19" s="805"/>
      <c r="F19" s="809"/>
      <c r="G19" s="806"/>
      <c r="H19" s="204"/>
      <c r="I19" s="223"/>
      <c r="J19" s="204"/>
      <c r="K19" s="204"/>
      <c r="L19" s="299"/>
      <c r="M19" s="298"/>
      <c r="N19" s="206"/>
      <c r="O19" s="206"/>
      <c r="P19" s="206"/>
      <c r="Q19" s="206"/>
      <c r="R19" s="563"/>
      <c r="S19" s="571">
        <f t="shared" si="0"/>
        <v>0</v>
      </c>
      <c r="T19" s="218">
        <f t="shared" si="1"/>
        <v>0</v>
      </c>
      <c r="U19" s="572" t="e">
        <f t="shared" si="4"/>
        <v>#DIV/0!</v>
      </c>
      <c r="V19" s="211"/>
      <c r="W19" s="219"/>
      <c r="X19" s="197"/>
      <c r="Y19" s="219"/>
      <c r="Z19" s="204"/>
      <c r="AA19" s="273"/>
      <c r="AB19" s="219"/>
      <c r="AC19" s="219"/>
      <c r="AD19" s="219"/>
      <c r="AE19" s="219"/>
      <c r="AF19" s="219"/>
      <c r="AG19" s="219"/>
      <c r="AH19" s="219"/>
      <c r="AI19" s="386"/>
      <c r="AJ19" s="271">
        <f t="shared" si="3"/>
        <v>0</v>
      </c>
      <c r="AK19" s="220"/>
      <c r="AL19" s="214"/>
      <c r="AM19" s="220"/>
      <c r="AN19" s="225"/>
      <c r="AO19" s="225"/>
      <c r="AP19" s="225"/>
      <c r="AQ19" s="226"/>
      <c r="AR19" s="215">
        <f t="shared" si="2"/>
        <v>0</v>
      </c>
      <c r="AS19" s="221">
        <f t="shared" si="7"/>
        <v>0</v>
      </c>
      <c r="AT19" s="283">
        <f t="shared" si="5"/>
        <v>37627.399999999994</v>
      </c>
    </row>
    <row r="20" spans="1:46" ht="15.75">
      <c r="A20" s="577">
        <v>44237</v>
      </c>
      <c r="B20" s="831"/>
      <c r="C20" s="807">
        <f t="shared" si="6"/>
        <v>37627.399999999994</v>
      </c>
      <c r="D20" s="808"/>
      <c r="E20" s="805"/>
      <c r="F20" s="809"/>
      <c r="G20" s="806"/>
      <c r="H20" s="219"/>
      <c r="I20" s="223"/>
      <c r="J20" s="204"/>
      <c r="K20" s="204"/>
      <c r="L20" s="526"/>
      <c r="M20" s="298"/>
      <c r="N20" s="206"/>
      <c r="O20" s="206"/>
      <c r="P20" s="206"/>
      <c r="Q20" s="206"/>
      <c r="R20" s="564"/>
      <c r="S20" s="571">
        <f t="shared" si="0"/>
        <v>0</v>
      </c>
      <c r="T20" s="218">
        <f t="shared" si="1"/>
        <v>0</v>
      </c>
      <c r="U20" s="572" t="e">
        <f t="shared" si="4"/>
        <v>#DIV/0!</v>
      </c>
      <c r="V20" s="211"/>
      <c r="W20" s="219"/>
      <c r="X20" s="197"/>
      <c r="Y20" s="219"/>
      <c r="Z20" s="204"/>
      <c r="AA20" s="273"/>
      <c r="AB20" s="219"/>
      <c r="AC20" s="219"/>
      <c r="AD20" s="219"/>
      <c r="AE20" s="219"/>
      <c r="AF20" s="219"/>
      <c r="AG20" s="219"/>
      <c r="AH20" s="219"/>
      <c r="AI20" s="386"/>
      <c r="AJ20" s="271">
        <f t="shared" si="3"/>
        <v>0</v>
      </c>
      <c r="AK20" s="220"/>
      <c r="AL20" s="214"/>
      <c r="AM20" s="220"/>
      <c r="AN20" s="225"/>
      <c r="AO20" s="225"/>
      <c r="AP20" s="225"/>
      <c r="AQ20" s="226"/>
      <c r="AR20" s="215">
        <f t="shared" si="2"/>
        <v>0</v>
      </c>
      <c r="AS20" s="221">
        <f t="shared" si="7"/>
        <v>0</v>
      </c>
      <c r="AT20" s="283">
        <f t="shared" si="5"/>
        <v>37627.399999999994</v>
      </c>
    </row>
    <row r="21" spans="1:46" ht="15.75">
      <c r="A21" s="577">
        <v>44238</v>
      </c>
      <c r="B21" s="831"/>
      <c r="C21" s="807">
        <f t="shared" si="6"/>
        <v>37627.399999999994</v>
      </c>
      <c r="D21" s="808"/>
      <c r="E21" s="805"/>
      <c r="F21" s="809"/>
      <c r="G21" s="806"/>
      <c r="H21" s="219"/>
      <c r="I21" s="223"/>
      <c r="J21" s="204"/>
      <c r="K21" s="204"/>
      <c r="L21" s="495"/>
      <c r="M21" s="298"/>
      <c r="N21" s="298"/>
      <c r="O21" s="206"/>
      <c r="P21" s="206"/>
      <c r="Q21" s="206"/>
      <c r="R21" s="563"/>
      <c r="S21" s="571">
        <f t="shared" si="0"/>
        <v>0</v>
      </c>
      <c r="T21" s="218">
        <f t="shared" si="1"/>
        <v>0</v>
      </c>
      <c r="U21" s="572" t="e">
        <f t="shared" si="4"/>
        <v>#DIV/0!</v>
      </c>
      <c r="V21" s="211"/>
      <c r="W21" s="219"/>
      <c r="X21" s="197"/>
      <c r="Y21" s="219"/>
      <c r="Z21" s="204"/>
      <c r="AA21" s="273"/>
      <c r="AB21" s="219"/>
      <c r="AC21" s="219"/>
      <c r="AD21" s="219"/>
      <c r="AE21" s="219"/>
      <c r="AF21" s="219"/>
      <c r="AG21" s="219"/>
      <c r="AH21" s="219"/>
      <c r="AI21" s="386"/>
      <c r="AJ21" s="271">
        <f t="shared" si="3"/>
        <v>0</v>
      </c>
      <c r="AK21" s="213"/>
      <c r="AL21" s="214"/>
      <c r="AM21" s="220"/>
      <c r="AN21" s="225"/>
      <c r="AO21" s="225"/>
      <c r="AP21" s="225"/>
      <c r="AQ21" s="226"/>
      <c r="AR21" s="215">
        <f>SUM(AJ21+S21)</f>
        <v>0</v>
      </c>
      <c r="AS21" s="221">
        <f t="shared" si="7"/>
        <v>0</v>
      </c>
      <c r="AT21" s="283">
        <f t="shared" si="5"/>
        <v>37627.399999999994</v>
      </c>
    </row>
    <row r="22" spans="1:46" ht="14.25">
      <c r="A22" s="577">
        <v>44239</v>
      </c>
      <c r="B22" s="575"/>
      <c r="C22" s="807">
        <f t="shared" si="6"/>
        <v>37627.399999999994</v>
      </c>
      <c r="D22" s="808"/>
      <c r="E22" s="805"/>
      <c r="F22" s="810"/>
      <c r="G22" s="806"/>
      <c r="H22" s="204"/>
      <c r="I22" s="223"/>
      <c r="J22" s="204"/>
      <c r="K22" s="204"/>
      <c r="L22" s="526"/>
      <c r="M22" s="298"/>
      <c r="N22" s="298"/>
      <c r="O22" s="206"/>
      <c r="P22" s="206"/>
      <c r="Q22" s="206"/>
      <c r="R22" s="563"/>
      <c r="S22" s="571">
        <f t="shared" si="0"/>
        <v>0</v>
      </c>
      <c r="T22" s="218">
        <f t="shared" si="1"/>
        <v>0</v>
      </c>
      <c r="U22" s="572" t="e">
        <f t="shared" si="4"/>
        <v>#DIV/0!</v>
      </c>
      <c r="V22" s="211"/>
      <c r="W22" s="219"/>
      <c r="X22" s="197"/>
      <c r="Y22" s="219"/>
      <c r="Z22" s="204"/>
      <c r="AA22" s="273"/>
      <c r="AB22" s="219"/>
      <c r="AC22" s="219"/>
      <c r="AD22" s="219"/>
      <c r="AE22" s="219"/>
      <c r="AF22" s="219"/>
      <c r="AG22" s="219"/>
      <c r="AH22" s="219"/>
      <c r="AI22" s="386"/>
      <c r="AJ22" s="271">
        <f t="shared" si="3"/>
        <v>0</v>
      </c>
      <c r="AK22" s="213"/>
      <c r="AL22" s="214"/>
      <c r="AM22" s="220"/>
      <c r="AN22" s="225"/>
      <c r="AO22" s="225"/>
      <c r="AP22" s="225"/>
      <c r="AQ22" s="226"/>
      <c r="AR22" s="215">
        <f t="shared" si="2"/>
        <v>0</v>
      </c>
      <c r="AS22" s="221">
        <f t="shared" si="7"/>
        <v>0</v>
      </c>
      <c r="AT22" s="283">
        <f t="shared" si="5"/>
        <v>37627.399999999994</v>
      </c>
    </row>
    <row r="23" spans="1:46" ht="13.5" customHeight="1">
      <c r="A23" s="577">
        <v>44240</v>
      </c>
      <c r="B23" s="575"/>
      <c r="C23" s="807">
        <f t="shared" si="6"/>
        <v>37627.399999999994</v>
      </c>
      <c r="D23" s="808"/>
      <c r="E23" s="805"/>
      <c r="F23" s="810"/>
      <c r="G23" s="806"/>
      <c r="H23" s="219"/>
      <c r="I23" s="223"/>
      <c r="J23" s="204"/>
      <c r="K23" s="204"/>
      <c r="L23" s="526"/>
      <c r="M23" s="298"/>
      <c r="N23" s="206"/>
      <c r="O23" s="206"/>
      <c r="P23" s="206"/>
      <c r="Q23" s="206"/>
      <c r="R23" s="563"/>
      <c r="S23" s="571">
        <f t="shared" si="0"/>
        <v>0</v>
      </c>
      <c r="T23" s="218">
        <f t="shared" si="1"/>
        <v>0</v>
      </c>
      <c r="U23" s="572" t="e">
        <f t="shared" si="4"/>
        <v>#DIV/0!</v>
      </c>
      <c r="V23" s="211"/>
      <c r="W23" s="219"/>
      <c r="X23" s="197"/>
      <c r="Y23" s="219"/>
      <c r="Z23" s="204"/>
      <c r="AA23" s="273"/>
      <c r="AB23" s="219"/>
      <c r="AC23" s="219"/>
      <c r="AD23" s="219"/>
      <c r="AE23" s="219"/>
      <c r="AF23" s="219"/>
      <c r="AG23" s="219"/>
      <c r="AH23" s="219"/>
      <c r="AI23" s="386"/>
      <c r="AJ23" s="271">
        <f t="shared" si="3"/>
        <v>0</v>
      </c>
      <c r="AK23" s="213"/>
      <c r="AL23" s="213"/>
      <c r="AM23" s="213"/>
      <c r="AN23" s="213"/>
      <c r="AO23" s="213"/>
      <c r="AP23" s="213"/>
      <c r="AQ23" s="213"/>
      <c r="AR23" s="215">
        <f t="shared" si="2"/>
        <v>0</v>
      </c>
      <c r="AS23" s="221">
        <f t="shared" si="7"/>
        <v>0</v>
      </c>
      <c r="AT23" s="283">
        <f t="shared" si="5"/>
        <v>37627.399999999994</v>
      </c>
    </row>
    <row r="24" spans="1:46" ht="14.25">
      <c r="A24" s="577">
        <v>44241</v>
      </c>
      <c r="B24" s="575"/>
      <c r="C24" s="807">
        <f t="shared" si="6"/>
        <v>37627.399999999994</v>
      </c>
      <c r="D24" s="811"/>
      <c r="E24" s="805"/>
      <c r="F24" s="809"/>
      <c r="G24" s="806"/>
      <c r="H24" s="204"/>
      <c r="I24" s="223"/>
      <c r="J24" s="204"/>
      <c r="K24" s="204"/>
      <c r="L24" s="526"/>
      <c r="M24" s="298"/>
      <c r="N24" s="298"/>
      <c r="O24" s="206"/>
      <c r="P24" s="206"/>
      <c r="Q24" s="206"/>
      <c r="R24" s="563"/>
      <c r="S24" s="571">
        <f t="shared" si="0"/>
        <v>0</v>
      </c>
      <c r="T24" s="218">
        <f t="shared" si="1"/>
        <v>0</v>
      </c>
      <c r="U24" s="572" t="e">
        <f t="shared" si="4"/>
        <v>#DIV/0!</v>
      </c>
      <c r="V24" s="211"/>
      <c r="W24" s="219"/>
      <c r="X24" s="197"/>
      <c r="Y24" s="219"/>
      <c r="Z24" s="204"/>
      <c r="AA24" s="273"/>
      <c r="AB24" s="219"/>
      <c r="AC24" s="219"/>
      <c r="AD24" s="219"/>
      <c r="AE24" s="219"/>
      <c r="AF24" s="219"/>
      <c r="AG24" s="219"/>
      <c r="AH24" s="219"/>
      <c r="AI24" s="386"/>
      <c r="AJ24" s="271">
        <f t="shared" si="3"/>
        <v>0</v>
      </c>
      <c r="AK24" s="213"/>
      <c r="AL24" s="213"/>
      <c r="AM24" s="213"/>
      <c r="AN24" s="213"/>
      <c r="AO24" s="213"/>
      <c r="AP24" s="213"/>
      <c r="AQ24" s="213"/>
      <c r="AR24" s="215">
        <f t="shared" si="2"/>
        <v>0</v>
      </c>
      <c r="AS24" s="221">
        <f t="shared" si="7"/>
        <v>0</v>
      </c>
      <c r="AT24" s="283">
        <f t="shared" si="5"/>
        <v>37627.399999999994</v>
      </c>
    </row>
    <row r="25" spans="1:46" ht="14.25">
      <c r="A25" s="577">
        <v>44242</v>
      </c>
      <c r="B25" s="575"/>
      <c r="C25" s="807">
        <f t="shared" si="6"/>
        <v>37627.399999999994</v>
      </c>
      <c r="D25" s="808"/>
      <c r="E25" s="805"/>
      <c r="F25" s="809"/>
      <c r="G25" s="806"/>
      <c r="H25" s="219"/>
      <c r="I25" s="223"/>
      <c r="J25" s="204"/>
      <c r="K25" s="204"/>
      <c r="L25" s="526"/>
      <c r="M25" s="298"/>
      <c r="N25" s="206"/>
      <c r="O25" s="206"/>
      <c r="P25" s="206"/>
      <c r="Q25" s="206"/>
      <c r="R25" s="563"/>
      <c r="S25" s="571">
        <f t="shared" si="0"/>
        <v>0</v>
      </c>
      <c r="T25" s="218">
        <f t="shared" si="1"/>
        <v>0</v>
      </c>
      <c r="U25" s="572" t="e">
        <f t="shared" si="4"/>
        <v>#DIV/0!</v>
      </c>
      <c r="V25" s="211"/>
      <c r="W25" s="219"/>
      <c r="X25" s="197"/>
      <c r="Y25" s="219"/>
      <c r="Z25" s="204"/>
      <c r="AA25" s="273"/>
      <c r="AB25" s="219"/>
      <c r="AC25" s="219"/>
      <c r="AD25" s="219"/>
      <c r="AE25" s="219"/>
      <c r="AF25" s="219"/>
      <c r="AG25" s="219"/>
      <c r="AH25" s="219"/>
      <c r="AI25" s="386"/>
      <c r="AJ25" s="271">
        <f t="shared" si="3"/>
        <v>0</v>
      </c>
      <c r="AK25" s="213"/>
      <c r="AL25" s="213"/>
      <c r="AM25" s="213"/>
      <c r="AN25" s="213"/>
      <c r="AO25" s="213"/>
      <c r="AP25" s="213"/>
      <c r="AQ25" s="213"/>
      <c r="AR25" s="215">
        <f t="shared" si="2"/>
        <v>0</v>
      </c>
      <c r="AS25" s="221">
        <f t="shared" si="7"/>
        <v>0</v>
      </c>
      <c r="AT25" s="283">
        <f t="shared" si="5"/>
        <v>37627.399999999994</v>
      </c>
    </row>
    <row r="26" spans="1:46" ht="14.25">
      <c r="A26" s="577">
        <v>44243</v>
      </c>
      <c r="B26" s="575"/>
      <c r="C26" s="807">
        <f t="shared" si="6"/>
        <v>37627.399999999994</v>
      </c>
      <c r="D26" s="808"/>
      <c r="E26" s="805"/>
      <c r="F26" s="810"/>
      <c r="G26" s="806"/>
      <c r="H26" s="219"/>
      <c r="I26" s="223"/>
      <c r="J26" s="204"/>
      <c r="K26" s="204"/>
      <c r="L26" s="526"/>
      <c r="M26" s="298"/>
      <c r="N26" s="206"/>
      <c r="O26" s="206"/>
      <c r="P26" s="206"/>
      <c r="Q26" s="206"/>
      <c r="R26" s="563"/>
      <c r="S26" s="571">
        <f t="shared" si="0"/>
        <v>0</v>
      </c>
      <c r="T26" s="218">
        <f t="shared" si="1"/>
        <v>0</v>
      </c>
      <c r="U26" s="572" t="e">
        <f t="shared" si="4"/>
        <v>#DIV/0!</v>
      </c>
      <c r="V26" s="211"/>
      <c r="W26" s="219"/>
      <c r="X26" s="197"/>
      <c r="Y26" s="219"/>
      <c r="Z26" s="219"/>
      <c r="AA26" s="273"/>
      <c r="AB26" s="219"/>
      <c r="AC26" s="219"/>
      <c r="AD26" s="219"/>
      <c r="AE26" s="219"/>
      <c r="AF26" s="219"/>
      <c r="AG26" s="219"/>
      <c r="AH26" s="219"/>
      <c r="AI26" s="386"/>
      <c r="AJ26" s="271">
        <f t="shared" si="3"/>
        <v>0</v>
      </c>
      <c r="AK26" s="213"/>
      <c r="AL26" s="213"/>
      <c r="AM26" s="213"/>
      <c r="AN26" s="213"/>
      <c r="AO26" s="213"/>
      <c r="AP26" s="213"/>
      <c r="AQ26" s="213"/>
      <c r="AR26" s="215">
        <f t="shared" si="2"/>
        <v>0</v>
      </c>
      <c r="AS26" s="221">
        <f t="shared" si="7"/>
        <v>0</v>
      </c>
      <c r="AT26" s="283">
        <f t="shared" si="5"/>
        <v>37627.399999999994</v>
      </c>
    </row>
    <row r="27" spans="1:46" ht="14.25">
      <c r="A27" s="577">
        <v>44244</v>
      </c>
      <c r="B27" s="575"/>
      <c r="C27" s="807">
        <f t="shared" si="6"/>
        <v>37627.399999999994</v>
      </c>
      <c r="D27" s="808"/>
      <c r="E27" s="805"/>
      <c r="F27" s="809"/>
      <c r="G27" s="806"/>
      <c r="H27" s="219"/>
      <c r="I27" s="223"/>
      <c r="J27" s="204"/>
      <c r="K27" s="204"/>
      <c r="L27" s="526"/>
      <c r="M27" s="298"/>
      <c r="N27" s="206"/>
      <c r="O27" s="206"/>
      <c r="P27" s="206"/>
      <c r="Q27" s="206"/>
      <c r="R27" s="563"/>
      <c r="S27" s="571">
        <f t="shared" si="0"/>
        <v>0</v>
      </c>
      <c r="T27" s="218">
        <f t="shared" si="1"/>
        <v>0</v>
      </c>
      <c r="U27" s="572" t="e">
        <f t="shared" si="4"/>
        <v>#DIV/0!</v>
      </c>
      <c r="V27" s="211"/>
      <c r="W27" s="219"/>
      <c r="X27" s="197"/>
      <c r="Y27" s="219"/>
      <c r="Z27" s="204"/>
      <c r="AA27" s="273"/>
      <c r="AB27" s="219"/>
      <c r="AC27" s="219"/>
      <c r="AD27" s="219"/>
      <c r="AE27" s="219"/>
      <c r="AF27" s="219"/>
      <c r="AG27" s="219"/>
      <c r="AH27" s="219"/>
      <c r="AI27" s="386"/>
      <c r="AJ27" s="271">
        <f t="shared" si="3"/>
        <v>0</v>
      </c>
      <c r="AK27" s="213"/>
      <c r="AL27" s="213"/>
      <c r="AM27" s="213"/>
      <c r="AN27" s="213"/>
      <c r="AO27" s="213"/>
      <c r="AP27" s="213"/>
      <c r="AQ27" s="213"/>
      <c r="AR27" s="215">
        <f t="shared" si="2"/>
        <v>0</v>
      </c>
      <c r="AS27" s="221">
        <f t="shared" si="7"/>
        <v>0</v>
      </c>
      <c r="AT27" s="283">
        <f t="shared" si="5"/>
        <v>37627.399999999994</v>
      </c>
    </row>
    <row r="28" spans="1:46" ht="14.25">
      <c r="A28" s="577">
        <v>44245</v>
      </c>
      <c r="B28" s="575"/>
      <c r="C28" s="807">
        <f t="shared" si="6"/>
        <v>37627.399999999994</v>
      </c>
      <c r="D28" s="808"/>
      <c r="E28" s="805"/>
      <c r="F28" s="809"/>
      <c r="G28" s="806"/>
      <c r="H28" s="219"/>
      <c r="I28" s="205"/>
      <c r="J28" s="204"/>
      <c r="K28" s="204"/>
      <c r="L28" s="526"/>
      <c r="M28" s="298"/>
      <c r="N28" s="206"/>
      <c r="O28" s="206"/>
      <c r="P28" s="206"/>
      <c r="Q28" s="206"/>
      <c r="R28" s="563"/>
      <c r="S28" s="571">
        <f t="shared" si="0"/>
        <v>0</v>
      </c>
      <c r="T28" s="218">
        <f t="shared" si="1"/>
        <v>0</v>
      </c>
      <c r="U28" s="572" t="e">
        <f t="shared" si="4"/>
        <v>#DIV/0!</v>
      </c>
      <c r="V28" s="211"/>
      <c r="W28" s="219"/>
      <c r="X28" s="197"/>
      <c r="Y28" s="219"/>
      <c r="Z28" s="204"/>
      <c r="AA28" s="273"/>
      <c r="AB28" s="219"/>
      <c r="AC28" s="219"/>
      <c r="AD28" s="219"/>
      <c r="AE28" s="219"/>
      <c r="AF28" s="219"/>
      <c r="AG28" s="219"/>
      <c r="AH28" s="219"/>
      <c r="AI28" s="386"/>
      <c r="AJ28" s="271">
        <f>SUM(V28:AI28)</f>
        <v>0</v>
      </c>
      <c r="AK28" s="213"/>
      <c r="AL28" s="213"/>
      <c r="AM28" s="213"/>
      <c r="AN28" s="213"/>
      <c r="AO28" s="213"/>
      <c r="AP28" s="213"/>
      <c r="AQ28" s="213"/>
      <c r="AR28" s="215">
        <f t="shared" si="2"/>
        <v>0</v>
      </c>
      <c r="AS28" s="221">
        <f t="shared" si="7"/>
        <v>0</v>
      </c>
      <c r="AT28" s="283">
        <f>C28</f>
        <v>37627.399999999994</v>
      </c>
    </row>
    <row r="29" spans="1:46" ht="14.25">
      <c r="A29" s="577">
        <v>44246</v>
      </c>
      <c r="B29" s="575"/>
      <c r="C29" s="807">
        <f t="shared" si="6"/>
        <v>37627.399999999994</v>
      </c>
      <c r="D29" s="808"/>
      <c r="E29" s="805"/>
      <c r="F29" s="809"/>
      <c r="G29" s="806"/>
      <c r="H29" s="219"/>
      <c r="I29" s="205"/>
      <c r="J29" s="204"/>
      <c r="K29" s="204"/>
      <c r="L29" s="526"/>
      <c r="M29" s="298"/>
      <c r="N29" s="206"/>
      <c r="O29" s="206"/>
      <c r="P29" s="206"/>
      <c r="Q29" s="206"/>
      <c r="R29" s="563"/>
      <c r="S29" s="571">
        <f t="shared" si="0"/>
        <v>0</v>
      </c>
      <c r="T29" s="218">
        <f t="shared" si="1"/>
        <v>0</v>
      </c>
      <c r="U29" s="572" t="e">
        <f t="shared" si="4"/>
        <v>#DIV/0!</v>
      </c>
      <c r="V29" s="211"/>
      <c r="W29" s="219"/>
      <c r="X29" s="197"/>
      <c r="Y29" s="219"/>
      <c r="Z29" s="204"/>
      <c r="AA29" s="273"/>
      <c r="AB29" s="219"/>
      <c r="AC29" s="219"/>
      <c r="AD29" s="219"/>
      <c r="AE29" s="219"/>
      <c r="AF29" s="219"/>
      <c r="AG29" s="219"/>
      <c r="AH29" s="219"/>
      <c r="AI29" s="386"/>
      <c r="AJ29" s="271">
        <f t="shared" si="3"/>
        <v>0</v>
      </c>
      <c r="AK29" s="213"/>
      <c r="AL29" s="213"/>
      <c r="AM29" s="213"/>
      <c r="AN29" s="213"/>
      <c r="AO29" s="213"/>
      <c r="AP29" s="213"/>
      <c r="AQ29" s="213"/>
      <c r="AR29" s="215">
        <f t="shared" si="2"/>
        <v>0</v>
      </c>
      <c r="AS29" s="221">
        <f t="shared" si="7"/>
        <v>0</v>
      </c>
      <c r="AT29" s="283">
        <f t="shared" si="5"/>
        <v>37627.399999999994</v>
      </c>
    </row>
    <row r="30" spans="1:46" ht="14.25">
      <c r="A30" s="577">
        <v>44247</v>
      </c>
      <c r="B30" s="575"/>
      <c r="C30" s="807">
        <f t="shared" si="6"/>
        <v>37627.399999999994</v>
      </c>
      <c r="D30" s="808"/>
      <c r="E30" s="805"/>
      <c r="F30" s="809"/>
      <c r="G30" s="806"/>
      <c r="H30" s="219"/>
      <c r="I30" s="205"/>
      <c r="J30" s="204"/>
      <c r="K30" s="204"/>
      <c r="L30" s="526"/>
      <c r="M30" s="298"/>
      <c r="N30" s="206"/>
      <c r="O30" s="206"/>
      <c r="P30" s="206"/>
      <c r="Q30" s="206"/>
      <c r="R30" s="563"/>
      <c r="S30" s="571">
        <f t="shared" si="0"/>
        <v>0</v>
      </c>
      <c r="T30" s="218">
        <f t="shared" si="1"/>
        <v>0</v>
      </c>
      <c r="U30" s="572" t="e">
        <f t="shared" si="4"/>
        <v>#DIV/0!</v>
      </c>
      <c r="V30" s="211"/>
      <c r="W30" s="219"/>
      <c r="X30" s="197"/>
      <c r="Y30" s="219"/>
      <c r="Z30" s="204"/>
      <c r="AA30" s="273"/>
      <c r="AB30" s="219"/>
      <c r="AC30" s="219"/>
      <c r="AD30" s="219"/>
      <c r="AE30" s="219"/>
      <c r="AF30" s="219"/>
      <c r="AG30" s="219"/>
      <c r="AH30" s="219"/>
      <c r="AI30" s="386"/>
      <c r="AJ30" s="271">
        <f t="shared" si="3"/>
        <v>0</v>
      </c>
      <c r="AK30" s="213"/>
      <c r="AL30" s="213"/>
      <c r="AM30" s="213"/>
      <c r="AN30" s="213"/>
      <c r="AO30" s="213"/>
      <c r="AP30" s="213"/>
      <c r="AQ30" s="213"/>
      <c r="AR30" s="215">
        <f t="shared" si="2"/>
        <v>0</v>
      </c>
      <c r="AS30" s="221">
        <f t="shared" si="7"/>
        <v>0</v>
      </c>
      <c r="AT30" s="283">
        <f t="shared" si="5"/>
        <v>37627.399999999994</v>
      </c>
    </row>
    <row r="31" spans="1:46" ht="14.25">
      <c r="A31" s="577">
        <v>44248</v>
      </c>
      <c r="B31" s="575"/>
      <c r="C31" s="807">
        <f t="shared" si="6"/>
        <v>37627.399999999994</v>
      </c>
      <c r="D31" s="808"/>
      <c r="E31" s="805"/>
      <c r="F31" s="809"/>
      <c r="G31" s="806"/>
      <c r="H31" s="219"/>
      <c r="I31" s="205"/>
      <c r="J31" s="204"/>
      <c r="K31" s="204"/>
      <c r="L31" s="526"/>
      <c r="M31" s="298"/>
      <c r="N31" s="206"/>
      <c r="O31" s="206"/>
      <c r="P31" s="206"/>
      <c r="Q31" s="206"/>
      <c r="R31" s="563"/>
      <c r="S31" s="571">
        <f t="shared" si="0"/>
        <v>0</v>
      </c>
      <c r="T31" s="218">
        <f t="shared" si="1"/>
        <v>0</v>
      </c>
      <c r="U31" s="572" t="e">
        <f t="shared" si="4"/>
        <v>#DIV/0!</v>
      </c>
      <c r="V31" s="211"/>
      <c r="W31" s="219"/>
      <c r="X31" s="197"/>
      <c r="Y31" s="219"/>
      <c r="Z31" s="204"/>
      <c r="AA31" s="273"/>
      <c r="AB31" s="219"/>
      <c r="AC31" s="219"/>
      <c r="AD31" s="219"/>
      <c r="AE31" s="219"/>
      <c r="AF31" s="219"/>
      <c r="AG31" s="219"/>
      <c r="AH31" s="219"/>
      <c r="AI31" s="386"/>
      <c r="AJ31" s="271">
        <f t="shared" si="3"/>
        <v>0</v>
      </c>
      <c r="AK31" s="213"/>
      <c r="AL31" s="213"/>
      <c r="AM31" s="213"/>
      <c r="AN31" s="213"/>
      <c r="AO31" s="213"/>
      <c r="AP31" s="213"/>
      <c r="AQ31" s="213"/>
      <c r="AR31" s="215">
        <f t="shared" si="2"/>
        <v>0</v>
      </c>
      <c r="AS31" s="221">
        <f t="shared" si="7"/>
        <v>0</v>
      </c>
      <c r="AT31" s="283">
        <f t="shared" si="5"/>
        <v>37627.399999999994</v>
      </c>
    </row>
    <row r="32" spans="1:46" ht="14.25">
      <c r="A32" s="577">
        <v>44249</v>
      </c>
      <c r="B32" s="575"/>
      <c r="C32" s="807">
        <f t="shared" si="6"/>
        <v>37627.399999999994</v>
      </c>
      <c r="D32" s="808"/>
      <c r="E32" s="805"/>
      <c r="F32" s="809"/>
      <c r="G32" s="806"/>
      <c r="H32" s="219"/>
      <c r="I32" s="205"/>
      <c r="J32" s="204"/>
      <c r="K32" s="204"/>
      <c r="L32" s="526"/>
      <c r="M32" s="298"/>
      <c r="N32" s="206"/>
      <c r="O32" s="206"/>
      <c r="P32" s="206"/>
      <c r="Q32" s="206"/>
      <c r="R32" s="563"/>
      <c r="S32" s="571">
        <f t="shared" si="0"/>
        <v>0</v>
      </c>
      <c r="T32" s="218">
        <f t="shared" si="1"/>
        <v>0</v>
      </c>
      <c r="U32" s="572" t="e">
        <f t="shared" si="4"/>
        <v>#DIV/0!</v>
      </c>
      <c r="V32" s="211"/>
      <c r="W32" s="219"/>
      <c r="X32" s="197"/>
      <c r="Y32" s="219"/>
      <c r="Z32" s="204"/>
      <c r="AA32" s="273"/>
      <c r="AB32" s="219"/>
      <c r="AC32" s="219"/>
      <c r="AD32" s="219"/>
      <c r="AE32" s="219"/>
      <c r="AF32" s="219"/>
      <c r="AG32" s="219"/>
      <c r="AH32" s="219"/>
      <c r="AI32" s="386"/>
      <c r="AJ32" s="271">
        <f t="shared" si="3"/>
        <v>0</v>
      </c>
      <c r="AK32" s="213"/>
      <c r="AL32" s="213"/>
      <c r="AM32" s="213"/>
      <c r="AN32" s="213"/>
      <c r="AO32" s="213"/>
      <c r="AP32" s="213"/>
      <c r="AQ32" s="213"/>
      <c r="AR32" s="215">
        <f t="shared" si="2"/>
        <v>0</v>
      </c>
      <c r="AS32" s="221">
        <f t="shared" si="7"/>
        <v>0</v>
      </c>
      <c r="AT32" s="283">
        <f t="shared" si="5"/>
        <v>37627.399999999994</v>
      </c>
    </row>
    <row r="33" spans="1:46" ht="14.25">
      <c r="A33" s="577">
        <v>44250</v>
      </c>
      <c r="B33" s="575"/>
      <c r="C33" s="807">
        <f t="shared" si="6"/>
        <v>37627.399999999994</v>
      </c>
      <c r="D33" s="808"/>
      <c r="E33" s="805">
        <v>18000</v>
      </c>
      <c r="F33" s="833" t="s">
        <v>331</v>
      </c>
      <c r="G33" s="806"/>
      <c r="H33" s="219"/>
      <c r="I33" s="205"/>
      <c r="J33" s="204"/>
      <c r="K33" s="204"/>
      <c r="L33" s="526"/>
      <c r="M33" s="298"/>
      <c r="N33" s="206"/>
      <c r="O33" s="206"/>
      <c r="P33" s="206"/>
      <c r="Q33" s="206"/>
      <c r="R33" s="563"/>
      <c r="S33" s="571">
        <f t="shared" si="0"/>
        <v>0</v>
      </c>
      <c r="T33" s="218">
        <f t="shared" si="1"/>
        <v>0</v>
      </c>
      <c r="U33" s="572" t="e">
        <f t="shared" si="4"/>
        <v>#DIV/0!</v>
      </c>
      <c r="V33" s="211"/>
      <c r="W33" s="219"/>
      <c r="X33" s="197"/>
      <c r="Y33" s="219"/>
      <c r="Z33" s="204"/>
      <c r="AA33" s="273"/>
      <c r="AB33" s="219"/>
      <c r="AC33" s="219"/>
      <c r="AD33" s="219"/>
      <c r="AE33" s="219"/>
      <c r="AF33" s="219"/>
      <c r="AG33" s="219"/>
      <c r="AH33" s="219"/>
      <c r="AI33" s="386"/>
      <c r="AJ33" s="271">
        <f t="shared" si="3"/>
        <v>0</v>
      </c>
      <c r="AK33" s="213"/>
      <c r="AL33" s="213"/>
      <c r="AM33" s="213"/>
      <c r="AN33" s="213"/>
      <c r="AO33" s="213"/>
      <c r="AP33" s="213"/>
      <c r="AQ33" s="213"/>
      <c r="AR33" s="215">
        <f t="shared" si="2"/>
        <v>0</v>
      </c>
      <c r="AS33" s="221">
        <f t="shared" si="7"/>
        <v>0</v>
      </c>
      <c r="AT33" s="283">
        <f t="shared" si="5"/>
        <v>37627.399999999994</v>
      </c>
    </row>
    <row r="34" spans="1:46" ht="14.25">
      <c r="A34" s="577">
        <v>44251</v>
      </c>
      <c r="B34" s="575"/>
      <c r="C34" s="807">
        <f t="shared" si="6"/>
        <v>37627.399999999994</v>
      </c>
      <c r="D34" s="808"/>
      <c r="E34" s="805"/>
      <c r="F34" s="809"/>
      <c r="G34" s="806"/>
      <c r="H34" s="204"/>
      <c r="I34" s="204"/>
      <c r="J34" s="204"/>
      <c r="K34" s="204"/>
      <c r="L34" s="526"/>
      <c r="M34" s="298"/>
      <c r="N34" s="206"/>
      <c r="O34" s="206"/>
      <c r="P34" s="206"/>
      <c r="Q34" s="206"/>
      <c r="R34" s="563"/>
      <c r="S34" s="571">
        <f t="shared" si="0"/>
        <v>0</v>
      </c>
      <c r="T34" s="218">
        <f t="shared" si="1"/>
        <v>0</v>
      </c>
      <c r="U34" s="572" t="e">
        <f t="shared" si="4"/>
        <v>#DIV/0!</v>
      </c>
      <c r="V34" s="211"/>
      <c r="W34" s="219"/>
      <c r="X34" s="197"/>
      <c r="Y34" s="219"/>
      <c r="Z34" s="204"/>
      <c r="AA34" s="273"/>
      <c r="AB34" s="219"/>
      <c r="AC34" s="219"/>
      <c r="AD34" s="219"/>
      <c r="AE34" s="219"/>
      <c r="AF34" s="219"/>
      <c r="AG34" s="219"/>
      <c r="AH34" s="219"/>
      <c r="AI34" s="386"/>
      <c r="AJ34" s="271">
        <f t="shared" si="3"/>
        <v>0</v>
      </c>
      <c r="AK34" s="213"/>
      <c r="AL34" s="213"/>
      <c r="AM34" s="213"/>
      <c r="AN34" s="213"/>
      <c r="AO34" s="213"/>
      <c r="AP34" s="213"/>
      <c r="AQ34" s="213"/>
      <c r="AR34" s="215">
        <f t="shared" si="2"/>
        <v>0</v>
      </c>
      <c r="AS34" s="221">
        <f t="shared" si="7"/>
        <v>0</v>
      </c>
      <c r="AT34" s="283">
        <f t="shared" si="5"/>
        <v>37627.399999999994</v>
      </c>
    </row>
    <row r="35" spans="1:46" ht="14.25">
      <c r="A35" s="577">
        <v>44252</v>
      </c>
      <c r="B35" s="575"/>
      <c r="C35" s="807">
        <f t="shared" si="6"/>
        <v>37627.399999999994</v>
      </c>
      <c r="D35" s="808"/>
      <c r="E35" s="805"/>
      <c r="F35" s="809"/>
      <c r="G35" s="806"/>
      <c r="H35" s="219"/>
      <c r="I35" s="205"/>
      <c r="J35" s="204"/>
      <c r="K35" s="204"/>
      <c r="L35" s="526"/>
      <c r="M35" s="298"/>
      <c r="N35" s="206"/>
      <c r="O35" s="206"/>
      <c r="P35" s="206"/>
      <c r="Q35" s="206"/>
      <c r="R35" s="563"/>
      <c r="S35" s="571">
        <f t="shared" si="0"/>
        <v>0</v>
      </c>
      <c r="T35" s="218">
        <f t="shared" si="1"/>
        <v>0</v>
      </c>
      <c r="U35" s="572" t="e">
        <f t="shared" si="4"/>
        <v>#DIV/0!</v>
      </c>
      <c r="V35" s="211"/>
      <c r="W35" s="219"/>
      <c r="X35" s="197"/>
      <c r="Y35" s="219"/>
      <c r="Z35" s="204"/>
      <c r="AA35" s="273"/>
      <c r="AB35" s="219"/>
      <c r="AC35" s="219"/>
      <c r="AD35" s="219"/>
      <c r="AE35" s="219"/>
      <c r="AF35" s="219"/>
      <c r="AG35" s="219"/>
      <c r="AH35" s="219"/>
      <c r="AI35" s="386"/>
      <c r="AJ35" s="271">
        <f t="shared" si="3"/>
        <v>0</v>
      </c>
      <c r="AK35" s="213"/>
      <c r="AL35" s="213"/>
      <c r="AM35" s="213"/>
      <c r="AN35" s="213"/>
      <c r="AO35" s="213"/>
      <c r="AP35" s="213"/>
      <c r="AQ35" s="213"/>
      <c r="AR35" s="215">
        <f t="shared" si="2"/>
        <v>0</v>
      </c>
      <c r="AS35" s="221">
        <f t="shared" si="7"/>
        <v>0</v>
      </c>
      <c r="AT35" s="283">
        <f t="shared" si="5"/>
        <v>37627.399999999994</v>
      </c>
    </row>
    <row r="36" spans="1:46" ht="14.25">
      <c r="A36" s="577">
        <v>44253</v>
      </c>
      <c r="B36" s="575"/>
      <c r="C36" s="807">
        <f t="shared" si="6"/>
        <v>37627.399999999994</v>
      </c>
      <c r="D36" s="808"/>
      <c r="E36" s="805"/>
      <c r="F36" s="809"/>
      <c r="G36" s="806"/>
      <c r="H36" s="219"/>
      <c r="I36" s="205"/>
      <c r="J36" s="204"/>
      <c r="K36" s="204"/>
      <c r="L36" s="526"/>
      <c r="M36" s="298"/>
      <c r="N36" s="206"/>
      <c r="O36" s="206"/>
      <c r="P36" s="206"/>
      <c r="Q36" s="206"/>
      <c r="R36" s="563"/>
      <c r="S36" s="571">
        <f t="shared" si="0"/>
        <v>0</v>
      </c>
      <c r="T36" s="218">
        <f t="shared" si="1"/>
        <v>0</v>
      </c>
      <c r="U36" s="572" t="e">
        <f t="shared" si="4"/>
        <v>#DIV/0!</v>
      </c>
      <c r="V36" s="211"/>
      <c r="W36" s="219"/>
      <c r="X36" s="197"/>
      <c r="Y36" s="219"/>
      <c r="Z36" s="204"/>
      <c r="AA36" s="273"/>
      <c r="AB36" s="219"/>
      <c r="AC36" s="219"/>
      <c r="AD36" s="219"/>
      <c r="AE36" s="219"/>
      <c r="AF36" s="219"/>
      <c r="AG36" s="219"/>
      <c r="AH36" s="219"/>
      <c r="AI36" s="386"/>
      <c r="AJ36" s="271">
        <f t="shared" si="3"/>
        <v>0</v>
      </c>
      <c r="AK36" s="213"/>
      <c r="AL36" s="213"/>
      <c r="AM36" s="213"/>
      <c r="AN36" s="213"/>
      <c r="AO36" s="213"/>
      <c r="AP36" s="213"/>
      <c r="AQ36" s="213"/>
      <c r="AR36" s="215">
        <f t="shared" si="2"/>
        <v>0</v>
      </c>
      <c r="AS36" s="221">
        <f t="shared" si="7"/>
        <v>0</v>
      </c>
      <c r="AT36" s="283">
        <f t="shared" si="5"/>
        <v>37627.399999999994</v>
      </c>
    </row>
    <row r="37" spans="1:46" ht="14.25">
      <c r="A37" s="577">
        <v>44254</v>
      </c>
      <c r="B37" s="575"/>
      <c r="C37" s="807">
        <f t="shared" si="6"/>
        <v>37627.399999999994</v>
      </c>
      <c r="D37" s="808"/>
      <c r="E37" s="805"/>
      <c r="F37" s="526"/>
      <c r="G37" s="806"/>
      <c r="H37" s="219"/>
      <c r="I37" s="205"/>
      <c r="J37" s="204"/>
      <c r="K37" s="204"/>
      <c r="L37" s="526"/>
      <c r="M37" s="298"/>
      <c r="N37" s="206"/>
      <c r="O37" s="206"/>
      <c r="P37" s="206"/>
      <c r="Q37" s="206"/>
      <c r="R37" s="206"/>
      <c r="S37" s="571">
        <f t="shared" si="0"/>
        <v>0</v>
      </c>
      <c r="T37" s="218">
        <f t="shared" si="1"/>
        <v>0</v>
      </c>
      <c r="U37" s="572" t="e">
        <f t="shared" si="4"/>
        <v>#DIV/0!</v>
      </c>
      <c r="V37" s="211"/>
      <c r="W37" s="219"/>
      <c r="X37" s="197"/>
      <c r="Y37" s="219"/>
      <c r="Z37" s="204"/>
      <c r="AA37" s="273"/>
      <c r="AB37" s="219"/>
      <c r="AC37" s="219"/>
      <c r="AD37" s="219"/>
      <c r="AE37" s="219"/>
      <c r="AF37" s="219"/>
      <c r="AG37" s="441"/>
      <c r="AH37" s="219"/>
      <c r="AI37" s="386"/>
      <c r="AJ37" s="271">
        <f t="shared" si="3"/>
        <v>0</v>
      </c>
      <c r="AK37" s="213"/>
      <c r="AL37" s="213"/>
      <c r="AM37" s="213"/>
      <c r="AN37" s="213"/>
      <c r="AO37" s="213"/>
      <c r="AP37" s="213"/>
      <c r="AQ37" s="213"/>
      <c r="AR37" s="215">
        <f t="shared" si="2"/>
        <v>0</v>
      </c>
      <c r="AS37" s="221">
        <f t="shared" si="7"/>
        <v>0</v>
      </c>
      <c r="AT37" s="283">
        <f t="shared" si="5"/>
        <v>37627.399999999994</v>
      </c>
    </row>
    <row r="38" spans="1:46" ht="14.25">
      <c r="A38" s="577">
        <v>44255</v>
      </c>
      <c r="B38" s="575"/>
      <c r="C38" s="807">
        <f t="shared" si="6"/>
        <v>37627.399999999994</v>
      </c>
      <c r="D38" s="808"/>
      <c r="E38" s="805"/>
      <c r="F38" s="526"/>
      <c r="G38" s="806"/>
      <c r="H38" s="219"/>
      <c r="I38" s="205"/>
      <c r="J38" s="204"/>
      <c r="K38" s="204"/>
      <c r="L38" s="526"/>
      <c r="M38" s="298"/>
      <c r="N38" s="206"/>
      <c r="O38" s="206"/>
      <c r="P38" s="206"/>
      <c r="Q38" s="206"/>
      <c r="R38" s="206"/>
      <c r="S38" s="571">
        <f t="shared" si="0"/>
        <v>0</v>
      </c>
      <c r="T38" s="218">
        <f t="shared" si="1"/>
        <v>0</v>
      </c>
      <c r="U38" s="572" t="e">
        <f t="shared" si="4"/>
        <v>#DIV/0!</v>
      </c>
      <c r="V38" s="211"/>
      <c r="W38" s="219"/>
      <c r="X38" s="197"/>
      <c r="Y38" s="219"/>
      <c r="Z38" s="204"/>
      <c r="AA38" s="273"/>
      <c r="AB38" s="219"/>
      <c r="AC38" s="219"/>
      <c r="AD38" s="219"/>
      <c r="AE38" s="219"/>
      <c r="AF38" s="219"/>
      <c r="AG38" s="441"/>
      <c r="AH38" s="219"/>
      <c r="AI38" s="386"/>
      <c r="AJ38" s="271">
        <f t="shared" si="3"/>
        <v>0</v>
      </c>
      <c r="AK38" s="213"/>
      <c r="AL38" s="213"/>
      <c r="AM38" s="213"/>
      <c r="AN38" s="213"/>
      <c r="AO38" s="213"/>
      <c r="AP38" s="213"/>
      <c r="AQ38" s="213"/>
      <c r="AR38" s="215">
        <f t="shared" si="2"/>
        <v>0</v>
      </c>
      <c r="AS38" s="221">
        <f t="shared" si="7"/>
        <v>0</v>
      </c>
      <c r="AT38" s="283">
        <f t="shared" si="5"/>
        <v>37627.399999999994</v>
      </c>
    </row>
    <row r="39" spans="1:46" ht="14.25">
      <c r="A39" s="577"/>
      <c r="B39" s="575"/>
      <c r="C39" s="807">
        <f t="shared" si="6"/>
        <v>37627.399999999994</v>
      </c>
      <c r="D39" s="808"/>
      <c r="E39" s="805"/>
      <c r="F39" s="526"/>
      <c r="G39" s="806"/>
      <c r="H39" s="219"/>
      <c r="I39" s="227"/>
      <c r="J39" s="204"/>
      <c r="K39" s="204"/>
      <c r="L39" s="526"/>
      <c r="M39" s="298"/>
      <c r="N39" s="206"/>
      <c r="O39" s="228"/>
      <c r="P39" s="206"/>
      <c r="Q39" s="206"/>
      <c r="R39" s="563"/>
      <c r="S39" s="571">
        <f t="shared" si="0"/>
        <v>0</v>
      </c>
      <c r="T39" s="218">
        <f t="shared" si="1"/>
        <v>0</v>
      </c>
      <c r="U39" s="572" t="e">
        <f t="shared" si="4"/>
        <v>#DIV/0!</v>
      </c>
      <c r="V39" s="211"/>
      <c r="W39" s="219"/>
      <c r="X39" s="197"/>
      <c r="Y39" s="219"/>
      <c r="Z39" s="204"/>
      <c r="AA39" s="273"/>
      <c r="AB39" s="219"/>
      <c r="AC39" s="219"/>
      <c r="AD39" s="219"/>
      <c r="AE39" s="219"/>
      <c r="AF39" s="219"/>
      <c r="AG39" s="441"/>
      <c r="AH39" s="219"/>
      <c r="AI39" s="386"/>
      <c r="AJ39" s="271">
        <f t="shared" si="3"/>
        <v>0</v>
      </c>
      <c r="AK39" s="213"/>
      <c r="AL39" s="213"/>
      <c r="AM39" s="213"/>
      <c r="AN39" s="213"/>
      <c r="AO39" s="213"/>
      <c r="AP39" s="213"/>
      <c r="AQ39" s="213"/>
      <c r="AR39" s="215">
        <f t="shared" si="2"/>
        <v>0</v>
      </c>
      <c r="AS39" s="221">
        <f t="shared" si="7"/>
        <v>0</v>
      </c>
      <c r="AT39" s="283">
        <f t="shared" si="5"/>
        <v>37627.399999999994</v>
      </c>
    </row>
    <row r="40" spans="1:46" ht="14.25">
      <c r="A40" s="577"/>
      <c r="B40" s="575"/>
      <c r="C40" s="807">
        <f t="shared" si="6"/>
        <v>37627.399999999994</v>
      </c>
      <c r="D40" s="808"/>
      <c r="E40" s="805"/>
      <c r="F40" s="526"/>
      <c r="G40" s="806"/>
      <c r="H40" s="219"/>
      <c r="I40" s="205"/>
      <c r="J40" s="204"/>
      <c r="K40" s="204"/>
      <c r="L40" s="526"/>
      <c r="M40" s="298"/>
      <c r="N40" s="206"/>
      <c r="O40" s="206"/>
      <c r="P40" s="206"/>
      <c r="Q40" s="206"/>
      <c r="R40" s="563"/>
      <c r="S40" s="571">
        <f t="shared" si="0"/>
        <v>0</v>
      </c>
      <c r="T40" s="218">
        <f t="shared" si="1"/>
        <v>0</v>
      </c>
      <c r="U40" s="572" t="e">
        <f t="shared" si="4"/>
        <v>#DIV/0!</v>
      </c>
      <c r="V40" s="211"/>
      <c r="W40" s="219"/>
      <c r="X40" s="197"/>
      <c r="Y40" s="219"/>
      <c r="Z40" s="204"/>
      <c r="AA40" s="273"/>
      <c r="AB40" s="219"/>
      <c r="AC40" s="219"/>
      <c r="AD40" s="219"/>
      <c r="AE40" s="219"/>
      <c r="AF40" s="219"/>
      <c r="AG40" s="441"/>
      <c r="AH40" s="219"/>
      <c r="AI40" s="386"/>
      <c r="AJ40" s="271">
        <f t="shared" si="3"/>
        <v>0</v>
      </c>
      <c r="AK40" s="213"/>
      <c r="AL40" s="213"/>
      <c r="AM40" s="213"/>
      <c r="AN40" s="213"/>
      <c r="AO40" s="213"/>
      <c r="AP40" s="213"/>
      <c r="AQ40" s="213"/>
      <c r="AR40" s="215">
        <f t="shared" si="2"/>
        <v>0</v>
      </c>
      <c r="AS40" s="221">
        <f t="shared" si="7"/>
        <v>0</v>
      </c>
      <c r="AT40" s="283">
        <f t="shared" si="5"/>
        <v>37627.399999999994</v>
      </c>
    </row>
    <row r="41" spans="1:46" ht="14.25">
      <c r="A41" s="577"/>
      <c r="B41" s="575"/>
      <c r="C41" s="807">
        <f t="shared" si="6"/>
        <v>37627.399999999994</v>
      </c>
      <c r="D41" s="808"/>
      <c r="E41" s="805"/>
      <c r="F41" s="526"/>
      <c r="G41" s="806"/>
      <c r="H41" s="204"/>
      <c r="I41" s="204"/>
      <c r="J41" s="204"/>
      <c r="K41" s="204"/>
      <c r="L41" s="526"/>
      <c r="M41" s="298"/>
      <c r="N41" s="206"/>
      <c r="O41" s="206"/>
      <c r="P41" s="206"/>
      <c r="Q41" s="206"/>
      <c r="R41" s="563"/>
      <c r="S41" s="571">
        <f t="shared" si="0"/>
        <v>0</v>
      </c>
      <c r="T41" s="218">
        <f t="shared" si="1"/>
        <v>0</v>
      </c>
      <c r="U41" s="572" t="e">
        <f t="shared" si="4"/>
        <v>#DIV/0!</v>
      </c>
      <c r="V41" s="211"/>
      <c r="W41" s="219"/>
      <c r="X41" s="197"/>
      <c r="Y41" s="219"/>
      <c r="Z41" s="204"/>
      <c r="AA41" s="273"/>
      <c r="AB41" s="219"/>
      <c r="AC41" s="219"/>
      <c r="AD41" s="219"/>
      <c r="AE41" s="219"/>
      <c r="AF41" s="219"/>
      <c r="AG41" s="441"/>
      <c r="AH41" s="219"/>
      <c r="AI41" s="386"/>
      <c r="AJ41" s="271">
        <f t="shared" si="3"/>
        <v>0</v>
      </c>
      <c r="AK41" s="213"/>
      <c r="AL41" s="213"/>
      <c r="AM41" s="213"/>
      <c r="AN41" s="213"/>
      <c r="AO41" s="213"/>
      <c r="AP41" s="213"/>
      <c r="AQ41" s="213"/>
      <c r="AR41" s="215">
        <f t="shared" si="2"/>
        <v>0</v>
      </c>
      <c r="AS41" s="221">
        <f t="shared" si="7"/>
        <v>0</v>
      </c>
      <c r="AT41" s="283">
        <f t="shared" si="5"/>
        <v>37627.399999999994</v>
      </c>
    </row>
    <row r="42" spans="1:46" ht="14.25">
      <c r="A42" s="577"/>
      <c r="B42" s="576"/>
      <c r="C42" s="807">
        <f t="shared" si="6"/>
        <v>37627.399999999994</v>
      </c>
      <c r="D42" s="812"/>
      <c r="E42" s="805"/>
      <c r="F42" s="299"/>
      <c r="G42" s="806"/>
      <c r="H42" s="204"/>
      <c r="I42" s="204"/>
      <c r="J42" s="204"/>
      <c r="K42" s="204"/>
      <c r="L42" s="526"/>
      <c r="M42" s="298"/>
      <c r="N42" s="206"/>
      <c r="O42" s="206"/>
      <c r="P42" s="206"/>
      <c r="Q42" s="206"/>
      <c r="R42" s="563"/>
      <c r="S42" s="571">
        <f t="shared" si="0"/>
        <v>0</v>
      </c>
      <c r="T42" s="218">
        <f t="shared" si="1"/>
        <v>0</v>
      </c>
      <c r="U42" s="572"/>
      <c r="V42" s="211"/>
      <c r="W42" s="219"/>
      <c r="X42" s="197"/>
      <c r="Y42" s="219"/>
      <c r="Z42" s="204"/>
      <c r="AA42" s="273"/>
      <c r="AB42" s="219"/>
      <c r="AC42" s="208"/>
      <c r="AD42" s="219"/>
      <c r="AE42" s="219"/>
      <c r="AF42" s="219"/>
      <c r="AG42" s="441"/>
      <c r="AH42" s="219"/>
      <c r="AI42" s="386"/>
      <c r="AJ42" s="271">
        <f t="shared" si="3"/>
        <v>0</v>
      </c>
      <c r="AK42" s="229"/>
      <c r="AL42" s="229"/>
      <c r="AM42" s="229"/>
      <c r="AN42" s="229"/>
      <c r="AO42" s="229"/>
      <c r="AP42" s="229"/>
      <c r="AQ42" s="229"/>
      <c r="AR42" s="215">
        <f t="shared" si="2"/>
        <v>0</v>
      </c>
      <c r="AS42" s="221">
        <f t="shared" si="7"/>
        <v>0</v>
      </c>
      <c r="AT42" s="283">
        <f t="shared" si="5"/>
        <v>37627.399999999994</v>
      </c>
    </row>
    <row r="43" spans="1:46" ht="14.25">
      <c r="A43" s="496" t="s">
        <v>25</v>
      </c>
      <c r="B43" s="469" t="e">
        <f>AVERAGE(B11:B42)</f>
        <v>#DIV/0!</v>
      </c>
      <c r="C43" s="803">
        <f t="shared" si="6"/>
        <v>37627.399999999994</v>
      </c>
      <c r="D43" s="812"/>
      <c r="E43" s="805"/>
      <c r="F43" s="299"/>
      <c r="G43" s="514"/>
      <c r="H43" s="204"/>
      <c r="I43" s="204"/>
      <c r="J43" s="204"/>
      <c r="K43" s="204"/>
      <c r="L43" s="526"/>
      <c r="M43" s="298"/>
      <c r="N43" s="206"/>
      <c r="O43" s="206"/>
      <c r="P43" s="206"/>
      <c r="Q43" s="206"/>
      <c r="R43" s="563"/>
      <c r="S43" s="571">
        <f t="shared" si="0"/>
        <v>0</v>
      </c>
      <c r="T43" s="218">
        <f t="shared" si="1"/>
        <v>0</v>
      </c>
      <c r="U43" s="572"/>
      <c r="V43" s="211"/>
      <c r="W43" s="219"/>
      <c r="X43" s="204"/>
      <c r="Y43" s="208"/>
      <c r="Z43" s="208"/>
      <c r="AA43" s="273"/>
      <c r="AB43" s="208"/>
      <c r="AC43" s="231"/>
      <c r="AD43" s="231"/>
      <c r="AE43" s="219"/>
      <c r="AF43" s="219"/>
      <c r="AG43" s="441"/>
      <c r="AH43" s="208"/>
      <c r="AI43" s="386"/>
      <c r="AJ43" s="271">
        <f t="shared" si="3"/>
        <v>0</v>
      </c>
      <c r="AK43" s="230"/>
      <c r="AL43" s="230"/>
      <c r="AM43" s="230"/>
      <c r="AN43" s="230"/>
      <c r="AO43" s="230"/>
      <c r="AP43" s="230"/>
      <c r="AQ43" s="230"/>
      <c r="AR43" s="215">
        <f t="shared" si="2"/>
        <v>0</v>
      </c>
      <c r="AS43" s="221">
        <f t="shared" si="7"/>
        <v>0</v>
      </c>
      <c r="AT43" s="283">
        <f t="shared" si="5"/>
        <v>37627.399999999994</v>
      </c>
    </row>
    <row r="44" spans="1:46" ht="15" thickBot="1">
      <c r="A44" s="497"/>
      <c r="B44" s="498"/>
      <c r="C44" s="813"/>
      <c r="D44" s="814"/>
      <c r="E44" s="815"/>
      <c r="F44" s="816"/>
      <c r="G44" s="817"/>
      <c r="H44" s="560"/>
      <c r="I44" s="560"/>
      <c r="J44" s="560"/>
      <c r="K44" s="560"/>
      <c r="L44" s="561"/>
      <c r="M44" s="297"/>
      <c r="N44" s="195"/>
      <c r="O44" s="195"/>
      <c r="P44" s="195"/>
      <c r="Q44" s="195"/>
      <c r="R44" s="565"/>
      <c r="S44" s="571">
        <f t="shared" si="0"/>
        <v>0</v>
      </c>
      <c r="T44" s="218">
        <f t="shared" si="1"/>
        <v>0</v>
      </c>
      <c r="U44" s="573"/>
      <c r="V44" s="567"/>
      <c r="W44" s="187"/>
      <c r="X44" s="231"/>
      <c r="Y44" s="231"/>
      <c r="Z44" s="231"/>
      <c r="AA44" s="232"/>
      <c r="AB44" s="231"/>
      <c r="AC44" s="231"/>
      <c r="AD44" s="231"/>
      <c r="AE44" s="231"/>
      <c r="AF44" s="231"/>
      <c r="AG44" s="233"/>
      <c r="AH44" s="187"/>
      <c r="AI44" s="187"/>
      <c r="AJ44" s="546">
        <f t="shared" si="3"/>
        <v>0</v>
      </c>
      <c r="AK44" s="309"/>
      <c r="AL44" s="309"/>
      <c r="AM44" s="309"/>
      <c r="AN44" s="309"/>
      <c r="AO44" s="309"/>
      <c r="AP44" s="309"/>
      <c r="AQ44" s="309"/>
      <c r="AR44" s="310">
        <f>S44+AJ44</f>
        <v>0</v>
      </c>
      <c r="AS44" s="311">
        <f t="shared" si="7"/>
        <v>0</v>
      </c>
      <c r="AT44" s="312"/>
    </row>
    <row r="45" spans="1:46" s="235" customFormat="1" ht="13.5" thickBot="1">
      <c r="A45" s="553"/>
      <c r="B45" s="553"/>
      <c r="C45" s="818"/>
      <c r="D45" s="308">
        <f>SUM(D11:D44)</f>
        <v>0</v>
      </c>
      <c r="E45" s="313">
        <f>SUM(E11:E42)</f>
        <v>33000</v>
      </c>
      <c r="F45" s="819">
        <f t="shared" ref="F45:O45" si="8">SUM(F11:F44)</f>
        <v>0</v>
      </c>
      <c r="G45" s="313">
        <f t="shared" si="8"/>
        <v>0</v>
      </c>
      <c r="H45" s="308">
        <f t="shared" si="8"/>
        <v>0</v>
      </c>
      <c r="I45" s="313">
        <f t="shared" si="8"/>
        <v>0</v>
      </c>
      <c r="J45" s="308">
        <f t="shared" si="8"/>
        <v>147.30000000000001</v>
      </c>
      <c r="K45" s="313">
        <f t="shared" si="8"/>
        <v>0</v>
      </c>
      <c r="L45" s="308">
        <f t="shared" si="8"/>
        <v>1061.8599999999999</v>
      </c>
      <c r="M45" s="313">
        <f t="shared" si="8"/>
        <v>0</v>
      </c>
      <c r="N45" s="554">
        <f t="shared" si="8"/>
        <v>0</v>
      </c>
      <c r="O45" s="313">
        <f t="shared" si="8"/>
        <v>0</v>
      </c>
      <c r="P45" s="308">
        <f>SUM(P11:P43)</f>
        <v>388</v>
      </c>
      <c r="Q45" s="313">
        <f>SUM(Q11:Q44)</f>
        <v>0</v>
      </c>
      <c r="R45" s="308">
        <f>SUM(R11:R44)</f>
        <v>2518</v>
      </c>
      <c r="S45" s="552">
        <f>SUM(G45:L45)</f>
        <v>1209.1599999999999</v>
      </c>
      <c r="T45" s="308">
        <f>SUM(M45:R45)</f>
        <v>2906</v>
      </c>
      <c r="U45" s="234" t="e">
        <f>SUM(U11:U42)</f>
        <v>#DIV/0!</v>
      </c>
      <c r="V45" s="547">
        <f t="shared" ref="V45:AB45" si="9">SUM(V9:V44)</f>
        <v>0</v>
      </c>
      <c r="W45" s="234">
        <f t="shared" si="9"/>
        <v>34.4</v>
      </c>
      <c r="X45" s="547">
        <f t="shared" si="9"/>
        <v>63.25</v>
      </c>
      <c r="Y45" s="234">
        <f t="shared" si="9"/>
        <v>0</v>
      </c>
      <c r="Z45" s="547">
        <f t="shared" si="9"/>
        <v>0</v>
      </c>
      <c r="AA45" s="234">
        <f t="shared" si="9"/>
        <v>0</v>
      </c>
      <c r="AB45" s="547">
        <f t="shared" si="9"/>
        <v>0</v>
      </c>
      <c r="AC45" s="234">
        <f>SUM(AC10:AC44)</f>
        <v>0</v>
      </c>
      <c r="AD45" s="547">
        <f>SUM(AD10:AD44)</f>
        <v>0</v>
      </c>
      <c r="AE45" s="234">
        <f>SUM(AE9:AE44)</f>
        <v>0</v>
      </c>
      <c r="AF45" s="547">
        <f>SUM(AF9:AF44)</f>
        <v>0</v>
      </c>
      <c r="AG45" s="234">
        <f>SUM(AG9:AG44)</f>
        <v>0</v>
      </c>
      <c r="AH45" s="547">
        <f>SUM(AH9:AH43)</f>
        <v>0</v>
      </c>
      <c r="AI45" s="234">
        <f>SUM(AI9:AI39)</f>
        <v>0</v>
      </c>
      <c r="AJ45" s="547">
        <f>SUM(AJ9:AJ44)</f>
        <v>97.65</v>
      </c>
      <c r="AK45" s="234"/>
      <c r="AL45" s="234"/>
      <c r="AM45" s="234"/>
      <c r="AN45" s="234"/>
      <c r="AO45" s="234"/>
      <c r="AP45" s="234"/>
      <c r="AQ45" s="548"/>
      <c r="AR45" s="549">
        <f>SUM(AR11:AR43)</f>
        <v>1306.81</v>
      </c>
      <c r="AS45" s="550">
        <f>SUM(AS11:AS44)</f>
        <v>0</v>
      </c>
      <c r="AT45" s="551"/>
    </row>
    <row r="46" spans="1:46" ht="14.25" thickBot="1">
      <c r="A46" s="795" t="s">
        <v>67</v>
      </c>
      <c r="S46" s="604"/>
      <c r="W46" s="191"/>
      <c r="X46" s="191"/>
      <c r="Y46" s="191"/>
      <c r="Z46" s="191"/>
      <c r="AA46" s="191"/>
      <c r="AR46" s="181"/>
      <c r="AS46" s="236"/>
      <c r="AT46" s="180"/>
    </row>
    <row r="47" spans="1:46" ht="14.25" thickBot="1">
      <c r="A47" s="323"/>
      <c r="F47" s="237"/>
      <c r="R47" s="181"/>
      <c r="S47" s="820">
        <f>AVERAGE(S11:S41)</f>
        <v>39.005161290322576</v>
      </c>
      <c r="T47" s="316">
        <f>S45*2315</f>
        <v>2799205.3999999994</v>
      </c>
      <c r="U47" s="317" t="s">
        <v>244</v>
      </c>
      <c r="AR47" s="523">
        <f>AR45*2143</f>
        <v>2800493.83</v>
      </c>
      <c r="AS47" s="522" t="s">
        <v>244</v>
      </c>
      <c r="AT47" s="180"/>
    </row>
    <row r="48" spans="1:46" ht="14.25" thickBot="1">
      <c r="A48" s="324" t="s">
        <v>247</v>
      </c>
      <c r="B48" s="238"/>
      <c r="F48" s="795" t="s">
        <v>253</v>
      </c>
      <c r="T48" s="316">
        <f>T47/2289</f>
        <v>1222.8944517256441</v>
      </c>
      <c r="U48" s="317" t="s">
        <v>245</v>
      </c>
      <c r="W48" s="191"/>
      <c r="X48" s="191"/>
      <c r="Y48" s="191"/>
      <c r="Z48" s="191"/>
      <c r="AA48" s="191"/>
      <c r="AR48" s="316">
        <f>AR47/2289</f>
        <v>1223.4573307121013</v>
      </c>
      <c r="AS48" s="524" t="s">
        <v>245</v>
      </c>
      <c r="AT48" s="236"/>
    </row>
    <row r="49" spans="2:46" ht="14.25" thickBot="1">
      <c r="U49" s="239"/>
      <c r="W49" s="191"/>
      <c r="X49" s="191"/>
      <c r="Y49" s="191"/>
      <c r="Z49" s="191"/>
      <c r="AA49" s="191"/>
      <c r="AB49" s="184"/>
      <c r="AR49" s="239"/>
      <c r="AT49" s="236"/>
    </row>
    <row r="50" spans="2:46" ht="13.5" customHeight="1" thickBot="1">
      <c r="B50" s="888" t="s">
        <v>241</v>
      </c>
      <c r="C50" s="889"/>
      <c r="D50" s="889"/>
      <c r="E50" s="889"/>
      <c r="F50" s="890"/>
      <c r="H50" s="866" t="s">
        <v>213</v>
      </c>
      <c r="I50" s="867"/>
      <c r="J50" s="867"/>
      <c r="K50" s="867"/>
      <c r="L50" s="868"/>
      <c r="N50" s="869" t="s">
        <v>309</v>
      </c>
      <c r="O50" s="870"/>
      <c r="P50" s="870"/>
      <c r="Q50" s="870"/>
      <c r="R50" s="871"/>
      <c r="T50" s="872" t="s">
        <v>226</v>
      </c>
      <c r="U50" s="873"/>
      <c r="V50" s="873"/>
      <c r="W50" s="873"/>
      <c r="X50" s="873"/>
      <c r="Y50" s="874"/>
    </row>
    <row r="51" spans="2:46" ht="25.5" customHeight="1" thickBot="1">
      <c r="B51" s="502" t="s">
        <v>98</v>
      </c>
      <c r="C51" s="421" t="s">
        <v>196</v>
      </c>
      <c r="D51" s="503" t="s">
        <v>197</v>
      </c>
      <c r="E51" s="503" t="s">
        <v>212</v>
      </c>
      <c r="F51" s="504" t="s">
        <v>308</v>
      </c>
      <c r="H51" s="502" t="s">
        <v>98</v>
      </c>
      <c r="I51" s="421" t="s">
        <v>196</v>
      </c>
      <c r="J51" s="545" t="s">
        <v>197</v>
      </c>
      <c r="K51" s="506" t="s">
        <v>212</v>
      </c>
      <c r="L51" s="504" t="s">
        <v>308</v>
      </c>
      <c r="N51" s="543" t="s">
        <v>98</v>
      </c>
      <c r="O51" s="537" t="s">
        <v>196</v>
      </c>
      <c r="P51" s="544" t="s">
        <v>197</v>
      </c>
      <c r="Q51" s="538" t="s">
        <v>212</v>
      </c>
      <c r="R51" s="539" t="s">
        <v>215</v>
      </c>
      <c r="T51" s="345" t="s">
        <v>0</v>
      </c>
      <c r="U51" s="616" t="s">
        <v>196</v>
      </c>
      <c r="V51" s="618" t="s">
        <v>227</v>
      </c>
      <c r="W51" s="617" t="s">
        <v>212</v>
      </c>
      <c r="X51" s="346" t="s">
        <v>228</v>
      </c>
      <c r="Y51" s="347" t="s">
        <v>229</v>
      </c>
    </row>
    <row r="52" spans="2:46" ht="11.25" customHeight="1" thickBot="1">
      <c r="B52" s="499">
        <v>44201</v>
      </c>
      <c r="C52" s="499" t="s">
        <v>323</v>
      </c>
      <c r="D52" s="501">
        <v>42</v>
      </c>
      <c r="E52" s="500" t="s">
        <v>324</v>
      </c>
      <c r="F52" s="527" t="s">
        <v>325</v>
      </c>
      <c r="H52" s="530"/>
      <c r="I52" s="507"/>
      <c r="J52" s="507"/>
      <c r="K52" s="507"/>
      <c r="L52" s="531"/>
      <c r="N52" s="348">
        <v>44197</v>
      </c>
      <c r="O52" s="507" t="s">
        <v>318</v>
      </c>
      <c r="P52" s="525">
        <v>31</v>
      </c>
      <c r="Q52" s="525" t="s">
        <v>319</v>
      </c>
      <c r="R52" s="511" t="s">
        <v>320</v>
      </c>
      <c r="T52" s="348"/>
      <c r="U52" s="532"/>
      <c r="V52" s="614"/>
      <c r="W52" s="533"/>
      <c r="X52" s="533"/>
      <c r="Y52" s="534" t="s">
        <v>317</v>
      </c>
    </row>
    <row r="53" spans="2:46" ht="11.25" customHeight="1">
      <c r="B53" s="499">
        <v>44201</v>
      </c>
      <c r="C53" s="499" t="s">
        <v>326</v>
      </c>
      <c r="D53" s="501">
        <v>56</v>
      </c>
      <c r="E53" s="500" t="s">
        <v>327</v>
      </c>
      <c r="F53" s="527" t="s">
        <v>325</v>
      </c>
      <c r="H53" s="821"/>
      <c r="I53" s="822"/>
      <c r="J53" s="822"/>
      <c r="K53" s="822"/>
      <c r="L53" s="527"/>
      <c r="N53" s="499">
        <v>44197</v>
      </c>
      <c r="O53" s="822" t="s">
        <v>321</v>
      </c>
      <c r="P53" s="823">
        <v>80</v>
      </c>
      <c r="Q53" s="823" t="s">
        <v>322</v>
      </c>
      <c r="R53" s="511" t="s">
        <v>320</v>
      </c>
      <c r="T53" s="499"/>
      <c r="U53" s="200"/>
      <c r="V53" s="614"/>
      <c r="W53" s="500"/>
      <c r="X53" s="500"/>
      <c r="Y53" s="824"/>
    </row>
    <row r="54" spans="2:46" ht="11.25" customHeight="1">
      <c r="B54" s="499">
        <v>44203</v>
      </c>
      <c r="C54" s="499" t="s">
        <v>328</v>
      </c>
      <c r="D54" s="501">
        <v>80</v>
      </c>
      <c r="E54" s="500" t="s">
        <v>329</v>
      </c>
      <c r="F54" s="527" t="s">
        <v>325</v>
      </c>
      <c r="H54" s="516"/>
      <c r="I54" s="265"/>
      <c r="J54" s="265"/>
      <c r="K54" s="265"/>
      <c r="L54" s="527"/>
      <c r="N54" s="341">
        <v>44199</v>
      </c>
      <c r="O54" s="265" t="s">
        <v>321</v>
      </c>
      <c r="P54" s="420">
        <v>30</v>
      </c>
      <c r="Q54" s="420" t="s">
        <v>322</v>
      </c>
      <c r="R54" s="512" t="s">
        <v>320</v>
      </c>
      <c r="T54" s="341"/>
      <c r="U54" s="386"/>
      <c r="V54" s="615"/>
      <c r="W54" s="302"/>
      <c r="X54" s="302"/>
      <c r="Y54" s="535"/>
    </row>
    <row r="55" spans="2:46" ht="11.25" customHeight="1">
      <c r="B55" s="341"/>
      <c r="C55" s="302"/>
      <c r="D55" s="382"/>
      <c r="E55" s="302"/>
      <c r="F55" s="527"/>
      <c r="H55" s="516"/>
      <c r="I55" s="265"/>
      <c r="J55" s="265"/>
      <c r="K55" s="265"/>
      <c r="L55" s="528"/>
      <c r="N55" s="341"/>
      <c r="O55" s="265"/>
      <c r="P55" s="420"/>
      <c r="Q55" s="420"/>
      <c r="R55" s="512"/>
      <c r="T55" s="341"/>
      <c r="U55" s="386"/>
      <c r="V55" s="615"/>
      <c r="W55" s="302"/>
      <c r="X55" s="302"/>
      <c r="Y55" s="535"/>
    </row>
    <row r="56" spans="2:46" ht="11.25" customHeight="1">
      <c r="B56" s="341"/>
      <c r="C56" s="302"/>
      <c r="D56" s="382"/>
      <c r="E56" s="302"/>
      <c r="F56" s="527"/>
      <c r="H56" s="508"/>
      <c r="I56" s="265"/>
      <c r="J56" s="265"/>
      <c r="K56" s="265"/>
      <c r="L56" s="528"/>
      <c r="N56" s="514"/>
      <c r="O56" s="265"/>
      <c r="P56" s="420"/>
      <c r="Q56" s="420"/>
      <c r="R56" s="512"/>
      <c r="T56" s="341"/>
      <c r="U56" s="386"/>
      <c r="V56" s="615"/>
      <c r="W56" s="302"/>
      <c r="X56" s="302"/>
      <c r="Y56" s="535"/>
    </row>
    <row r="57" spans="2:46" ht="11.25" customHeight="1">
      <c r="B57" s="341"/>
      <c r="C57" s="302"/>
      <c r="D57" s="382"/>
      <c r="E57" s="302"/>
      <c r="F57" s="527"/>
      <c r="H57" s="508"/>
      <c r="I57" s="265"/>
      <c r="J57" s="265"/>
      <c r="K57" s="265"/>
      <c r="L57" s="528"/>
      <c r="N57" s="514"/>
      <c r="O57" s="265"/>
      <c r="P57" s="420"/>
      <c r="Q57" s="420"/>
      <c r="R57" s="512"/>
      <c r="T57" s="341"/>
      <c r="U57" s="386"/>
      <c r="V57" s="615"/>
      <c r="W57" s="302"/>
      <c r="X57" s="302"/>
      <c r="Y57" s="535"/>
    </row>
    <row r="58" spans="2:46" ht="11.25" customHeight="1">
      <c r="B58" s="341"/>
      <c r="C58" s="302"/>
      <c r="D58" s="382"/>
      <c r="E58" s="302"/>
      <c r="F58" s="527"/>
      <c r="H58" s="508"/>
      <c r="I58" s="265"/>
      <c r="J58" s="265"/>
      <c r="K58" s="265"/>
      <c r="L58" s="528"/>
      <c r="N58" s="514"/>
      <c r="O58" s="265"/>
      <c r="P58" s="420"/>
      <c r="Q58" s="420"/>
      <c r="R58" s="512"/>
      <c r="T58" s="341"/>
      <c r="U58" s="386"/>
      <c r="V58" s="615"/>
      <c r="W58" s="302"/>
      <c r="X58" s="302"/>
      <c r="Y58" s="535"/>
    </row>
    <row r="59" spans="2:46" ht="11.25" customHeight="1">
      <c r="B59" s="341"/>
      <c r="C59" s="302"/>
      <c r="D59" s="382"/>
      <c r="E59" s="302"/>
      <c r="F59" s="527"/>
      <c r="H59" s="508"/>
      <c r="I59" s="265"/>
      <c r="J59" s="265"/>
      <c r="K59" s="265"/>
      <c r="L59" s="528"/>
      <c r="N59" s="514"/>
      <c r="O59" s="265"/>
      <c r="P59" s="420"/>
      <c r="Q59" s="420"/>
      <c r="R59" s="512"/>
      <c r="T59" s="341"/>
      <c r="U59" s="386"/>
      <c r="V59" s="615"/>
      <c r="W59" s="302"/>
      <c r="X59" s="302"/>
      <c r="Y59" s="535"/>
    </row>
    <row r="60" spans="2:46" ht="11.25" customHeight="1">
      <c r="B60" s="341"/>
      <c r="C60" s="302"/>
      <c r="D60" s="382"/>
      <c r="E60" s="302"/>
      <c r="F60" s="527"/>
      <c r="H60" s="508"/>
      <c r="I60" s="265"/>
      <c r="J60" s="265"/>
      <c r="K60" s="265"/>
      <c r="L60" s="528"/>
      <c r="N60" s="514"/>
      <c r="O60" s="265"/>
      <c r="P60" s="420"/>
      <c r="Q60" s="420"/>
      <c r="R60" s="512"/>
      <c r="T60" s="341"/>
      <c r="U60" s="386"/>
      <c r="V60" s="615"/>
      <c r="W60" s="302"/>
      <c r="X60" s="302"/>
      <c r="Y60" s="535"/>
    </row>
    <row r="61" spans="2:46" ht="11.25" customHeight="1">
      <c r="B61" s="341"/>
      <c r="C61" s="302"/>
      <c r="D61" s="382"/>
      <c r="E61" s="302"/>
      <c r="F61" s="527"/>
      <c r="H61" s="508"/>
      <c r="I61" s="265"/>
      <c r="J61" s="265"/>
      <c r="K61" s="265"/>
      <c r="L61" s="528"/>
      <c r="N61" s="514"/>
      <c r="O61" s="265"/>
      <c r="P61" s="420"/>
      <c r="Q61" s="420"/>
      <c r="R61" s="512"/>
      <c r="T61" s="341"/>
      <c r="U61" s="386"/>
      <c r="V61" s="615"/>
      <c r="W61" s="302"/>
      <c r="X61" s="302"/>
      <c r="Y61" s="535"/>
    </row>
    <row r="62" spans="2:46" ht="11.25" customHeight="1">
      <c r="B62" s="341"/>
      <c r="C62" s="302"/>
      <c r="D62" s="382"/>
      <c r="E62" s="302"/>
      <c r="F62" s="527"/>
      <c r="H62" s="508"/>
      <c r="I62" s="265"/>
      <c r="J62" s="265"/>
      <c r="K62" s="265"/>
      <c r="L62" s="528"/>
      <c r="N62" s="514"/>
      <c r="O62" s="265"/>
      <c r="P62" s="420"/>
      <c r="Q62" s="420"/>
      <c r="R62" s="512"/>
      <c r="T62" s="341"/>
      <c r="U62" s="386"/>
      <c r="V62" s="615"/>
      <c r="W62" s="302"/>
      <c r="X62" s="302"/>
      <c r="Y62" s="535"/>
    </row>
    <row r="63" spans="2:46" ht="11.25" customHeight="1">
      <c r="B63" s="341"/>
      <c r="C63" s="302"/>
      <c r="D63" s="382"/>
      <c r="E63" s="302"/>
      <c r="F63" s="528"/>
      <c r="H63" s="508"/>
      <c r="I63" s="265"/>
      <c r="J63" s="265"/>
      <c r="K63" s="265"/>
      <c r="L63" s="528"/>
      <c r="N63" s="514"/>
      <c r="O63" s="265"/>
      <c r="P63" s="420"/>
      <c r="Q63" s="420"/>
      <c r="R63" s="512"/>
      <c r="T63" s="341"/>
      <c r="U63" s="386"/>
      <c r="V63" s="615"/>
      <c r="W63" s="302"/>
      <c r="X63" s="302"/>
      <c r="Y63" s="535"/>
    </row>
    <row r="64" spans="2:46" ht="11.25" customHeight="1">
      <c r="B64" s="341"/>
      <c r="C64" s="302"/>
      <c r="D64" s="382"/>
      <c r="E64" s="302"/>
      <c r="F64" s="528"/>
      <c r="H64" s="508"/>
      <c r="I64" s="265"/>
      <c r="J64" s="265"/>
      <c r="K64" s="265"/>
      <c r="L64" s="528"/>
      <c r="N64" s="514"/>
      <c r="O64" s="265"/>
      <c r="P64" s="420"/>
      <c r="Q64" s="420"/>
      <c r="R64" s="512"/>
      <c r="T64" s="341"/>
      <c r="U64" s="386"/>
      <c r="V64" s="615"/>
      <c r="W64" s="302"/>
      <c r="X64" s="302"/>
      <c r="Y64" s="535"/>
    </row>
    <row r="65" spans="2:25" ht="11.25" customHeight="1">
      <c r="B65" s="341"/>
      <c r="C65" s="302"/>
      <c r="D65" s="382"/>
      <c r="E65" s="302"/>
      <c r="F65" s="528"/>
      <c r="H65" s="508"/>
      <c r="I65" s="265"/>
      <c r="J65" s="265"/>
      <c r="K65" s="265"/>
      <c r="L65" s="528"/>
      <c r="N65" s="514"/>
      <c r="O65" s="265"/>
      <c r="P65" s="420"/>
      <c r="Q65" s="420"/>
      <c r="R65" s="512"/>
      <c r="T65" s="341"/>
      <c r="U65" s="386"/>
      <c r="V65" s="615"/>
      <c r="W65" s="302"/>
      <c r="X65" s="302"/>
      <c r="Y65" s="535"/>
    </row>
    <row r="66" spans="2:25" ht="11.25" customHeight="1">
      <c r="B66" s="341"/>
      <c r="C66" s="302"/>
      <c r="D66" s="382"/>
      <c r="E66" s="302"/>
      <c r="F66" s="528"/>
      <c r="H66" s="508"/>
      <c r="I66" s="265"/>
      <c r="J66" s="265"/>
      <c r="K66" s="265"/>
      <c r="L66" s="528"/>
      <c r="N66" s="514"/>
      <c r="O66" s="265"/>
      <c r="P66" s="420"/>
      <c r="Q66" s="420"/>
      <c r="R66" s="512"/>
      <c r="T66" s="341"/>
      <c r="U66" s="386"/>
      <c r="V66" s="615"/>
      <c r="W66" s="302"/>
      <c r="X66" s="302"/>
      <c r="Y66" s="535"/>
    </row>
    <row r="67" spans="2:25" ht="11.25" customHeight="1">
      <c r="B67" s="341"/>
      <c r="C67" s="302"/>
      <c r="D67" s="382"/>
      <c r="E67" s="302"/>
      <c r="F67" s="528"/>
      <c r="H67" s="508"/>
      <c r="I67" s="265"/>
      <c r="J67" s="265"/>
      <c r="K67" s="265"/>
      <c r="L67" s="528"/>
      <c r="N67" s="514"/>
      <c r="O67" s="265"/>
      <c r="P67" s="265"/>
      <c r="Q67" s="540"/>
      <c r="R67" s="512"/>
      <c r="T67" s="341"/>
      <c r="U67" s="386"/>
      <c r="V67" s="615"/>
      <c r="W67" s="302"/>
      <c r="X67" s="302"/>
      <c r="Y67" s="535"/>
    </row>
    <row r="68" spans="2:25" ht="11.25" customHeight="1">
      <c r="B68" s="341"/>
      <c r="C68" s="302"/>
      <c r="D68" s="382"/>
      <c r="E68" s="302"/>
      <c r="F68" s="528"/>
      <c r="H68" s="508"/>
      <c r="I68" s="265"/>
      <c r="J68" s="265"/>
      <c r="K68" s="265"/>
      <c r="L68" s="528"/>
      <c r="N68" s="514"/>
      <c r="O68" s="265"/>
      <c r="P68" s="265"/>
      <c r="Q68" s="540"/>
      <c r="R68" s="512"/>
      <c r="T68" s="341"/>
      <c r="U68" s="386"/>
      <c r="V68" s="615"/>
      <c r="W68" s="302"/>
      <c r="X68" s="302"/>
      <c r="Y68" s="535"/>
    </row>
    <row r="69" spans="2:25" ht="11.25" customHeight="1">
      <c r="B69" s="341"/>
      <c r="C69" s="302"/>
      <c r="D69" s="382"/>
      <c r="E69" s="302"/>
      <c r="F69" s="528"/>
      <c r="H69" s="508"/>
      <c r="I69" s="265"/>
      <c r="J69" s="265"/>
      <c r="K69" s="265"/>
      <c r="L69" s="528"/>
      <c r="N69" s="514"/>
      <c r="O69" s="265"/>
      <c r="P69" s="265"/>
      <c r="Q69" s="420"/>
      <c r="R69" s="512"/>
      <c r="T69" s="341"/>
      <c r="U69" s="386"/>
      <c r="V69" s="615"/>
      <c r="W69" s="302"/>
      <c r="X69" s="302"/>
      <c r="Y69" s="535"/>
    </row>
    <row r="70" spans="2:25" ht="11.25" customHeight="1">
      <c r="B70" s="341"/>
      <c r="C70" s="302"/>
      <c r="D70" s="382"/>
      <c r="E70" s="302"/>
      <c r="F70" s="528"/>
      <c r="H70" s="508"/>
      <c r="I70" s="265"/>
      <c r="J70" s="265"/>
      <c r="K70" s="265"/>
      <c r="L70" s="528"/>
      <c r="N70" s="514"/>
      <c r="O70" s="265"/>
      <c r="P70" s="265"/>
      <c r="Q70" s="420"/>
      <c r="R70" s="512"/>
      <c r="T70" s="341"/>
      <c r="U70" s="386"/>
      <c r="V70" s="615"/>
      <c r="W70" s="302"/>
      <c r="X70" s="302"/>
      <c r="Y70" s="535"/>
    </row>
    <row r="71" spans="2:25" ht="11.25" customHeight="1">
      <c r="B71" s="341"/>
      <c r="C71" s="302"/>
      <c r="D71" s="382"/>
      <c r="E71" s="302"/>
      <c r="F71" s="528"/>
      <c r="H71" s="508"/>
      <c r="I71" s="265"/>
      <c r="J71" s="265"/>
      <c r="K71" s="265"/>
      <c r="L71" s="528"/>
      <c r="N71" s="514"/>
      <c r="O71" s="265"/>
      <c r="P71" s="265"/>
      <c r="Q71" s="420"/>
      <c r="R71" s="512"/>
      <c r="T71" s="341"/>
      <c r="U71" s="386"/>
      <c r="V71" s="615"/>
      <c r="W71" s="302"/>
      <c r="X71" s="302"/>
      <c r="Y71" s="535"/>
    </row>
    <row r="72" spans="2:25" ht="11.25" customHeight="1">
      <c r="B72" s="341"/>
      <c r="C72" s="302"/>
      <c r="D72" s="382"/>
      <c r="E72" s="302"/>
      <c r="F72" s="528"/>
      <c r="H72" s="508"/>
      <c r="I72" s="265"/>
      <c r="J72" s="265"/>
      <c r="K72" s="265"/>
      <c r="L72" s="528"/>
      <c r="N72" s="514"/>
      <c r="O72" s="265"/>
      <c r="P72" s="265"/>
      <c r="Q72" s="420"/>
      <c r="R72" s="512"/>
      <c r="T72" s="341"/>
      <c r="U72" s="386"/>
      <c r="V72" s="615"/>
      <c r="W72" s="302"/>
      <c r="X72" s="302"/>
      <c r="Y72" s="535"/>
    </row>
    <row r="73" spans="2:25" ht="11.25" customHeight="1">
      <c r="B73" s="341"/>
      <c r="C73" s="302"/>
      <c r="D73" s="382"/>
      <c r="E73" s="302"/>
      <c r="F73" s="528"/>
      <c r="H73" s="509"/>
      <c r="I73" s="267"/>
      <c r="J73" s="267"/>
      <c r="K73" s="267"/>
      <c r="L73" s="528"/>
      <c r="N73" s="514"/>
      <c r="O73" s="265"/>
      <c r="P73" s="265"/>
      <c r="Q73" s="541"/>
      <c r="R73" s="512"/>
      <c r="T73" s="341"/>
      <c r="U73" s="386"/>
      <c r="V73" s="615"/>
      <c r="W73" s="302"/>
      <c r="X73" s="302"/>
      <c r="Y73" s="535"/>
    </row>
    <row r="74" spans="2:25" ht="11.25" customHeight="1">
      <c r="B74" s="341"/>
      <c r="C74" s="302"/>
      <c r="D74" s="382"/>
      <c r="E74" s="302"/>
      <c r="F74" s="528"/>
      <c r="H74" s="508"/>
      <c r="I74" s="265"/>
      <c r="J74" s="265"/>
      <c r="K74" s="265"/>
      <c r="L74" s="528"/>
      <c r="N74" s="514"/>
      <c r="O74" s="265"/>
      <c r="P74" s="265"/>
      <c r="Q74" s="420"/>
      <c r="R74" s="512"/>
      <c r="T74" s="341"/>
      <c r="U74" s="386"/>
      <c r="V74" s="615"/>
      <c r="W74" s="302"/>
      <c r="X74" s="302"/>
      <c r="Y74" s="535"/>
    </row>
    <row r="75" spans="2:25" ht="11.25" customHeight="1">
      <c r="B75" s="341"/>
      <c r="C75" s="302"/>
      <c r="D75" s="382"/>
      <c r="E75" s="302"/>
      <c r="F75" s="528"/>
      <c r="H75" s="508"/>
      <c r="I75" s="265"/>
      <c r="J75" s="265"/>
      <c r="K75" s="265"/>
      <c r="L75" s="528"/>
      <c r="N75" s="514"/>
      <c r="O75" s="265"/>
      <c r="P75" s="265"/>
      <c r="Q75" s="420"/>
      <c r="R75" s="512"/>
      <c r="T75" s="341"/>
      <c r="U75" s="386"/>
      <c r="V75" s="615"/>
      <c r="W75" s="302"/>
      <c r="X75" s="302"/>
      <c r="Y75" s="535"/>
    </row>
    <row r="76" spans="2:25" ht="9.75" customHeight="1">
      <c r="B76" s="341"/>
      <c r="C76" s="302"/>
      <c r="D76" s="382"/>
      <c r="E76" s="302"/>
      <c r="F76" s="528"/>
      <c r="H76" s="508"/>
      <c r="I76" s="265"/>
      <c r="J76" s="265"/>
      <c r="K76" s="265"/>
      <c r="L76" s="528"/>
      <c r="N76" s="514"/>
      <c r="O76" s="265"/>
      <c r="P76" s="265"/>
      <c r="Q76" s="420"/>
      <c r="R76" s="512"/>
      <c r="T76" s="341"/>
      <c r="U76" s="386"/>
      <c r="V76" s="615"/>
      <c r="W76" s="302"/>
      <c r="X76" s="302"/>
      <c r="Y76" s="535"/>
    </row>
    <row r="77" spans="2:25" ht="11.25" hidden="1" customHeight="1">
      <c r="B77" s="341"/>
      <c r="C77" s="302"/>
      <c r="D77" s="382"/>
      <c r="E77" s="302"/>
      <c r="F77" s="528"/>
      <c r="H77" s="508"/>
      <c r="I77" s="265"/>
      <c r="J77" s="265"/>
      <c r="K77" s="265"/>
      <c r="L77" s="528"/>
      <c r="N77" s="514"/>
      <c r="O77" s="265"/>
      <c r="P77" s="265"/>
      <c r="Q77" s="420"/>
      <c r="R77" s="512"/>
      <c r="T77" s="341"/>
      <c r="U77" s="386"/>
      <c r="V77" s="614"/>
      <c r="W77" s="302"/>
      <c r="X77" s="302"/>
      <c r="Y77" s="535"/>
    </row>
    <row r="78" spans="2:25" ht="11.25" customHeight="1">
      <c r="B78" s="341"/>
      <c r="C78" s="302"/>
      <c r="D78" s="382"/>
      <c r="E78" s="302"/>
      <c r="F78" s="528"/>
      <c r="H78" s="508"/>
      <c r="I78" s="420"/>
      <c r="J78" s="420"/>
      <c r="K78" s="265"/>
      <c r="L78" s="528"/>
      <c r="N78" s="514"/>
      <c r="O78" s="265"/>
      <c r="P78" s="265"/>
      <c r="Q78" s="420"/>
      <c r="R78" s="512"/>
      <c r="T78" s="341"/>
      <c r="U78" s="386"/>
      <c r="V78" s="302"/>
      <c r="W78" s="302"/>
      <c r="X78" s="302"/>
      <c r="Y78" s="535"/>
    </row>
    <row r="79" spans="2:25" ht="11.25" customHeight="1">
      <c r="B79" s="341"/>
      <c r="C79" s="302"/>
      <c r="D79" s="382"/>
      <c r="E79" s="302"/>
      <c r="F79" s="528"/>
      <c r="H79" s="508"/>
      <c r="I79" s="265"/>
      <c r="J79" s="265"/>
      <c r="K79" s="265"/>
      <c r="L79" s="528"/>
      <c r="N79" s="514"/>
      <c r="O79" s="265"/>
      <c r="P79" s="265"/>
      <c r="Q79" s="420"/>
      <c r="R79" s="512"/>
      <c r="T79" s="341"/>
      <c r="U79" s="386"/>
      <c r="V79" s="302"/>
      <c r="W79" s="302"/>
      <c r="X79" s="302"/>
      <c r="Y79" s="535"/>
    </row>
    <row r="80" spans="2:25" ht="11.25" customHeight="1">
      <c r="B80" s="341"/>
      <c r="C80" s="302"/>
      <c r="D80" s="382"/>
      <c r="E80" s="302"/>
      <c r="F80" s="528"/>
      <c r="H80" s="508"/>
      <c r="I80" s="265"/>
      <c r="J80" s="265"/>
      <c r="K80" s="265"/>
      <c r="L80" s="528"/>
      <c r="N80" s="514"/>
      <c r="O80" s="265"/>
      <c r="P80" s="265"/>
      <c r="Q80" s="420"/>
      <c r="R80" s="512"/>
      <c r="T80" s="341"/>
      <c r="U80" s="386"/>
      <c r="V80" s="302"/>
      <c r="W80" s="302"/>
      <c r="X80" s="302"/>
      <c r="Y80" s="535"/>
    </row>
    <row r="81" spans="2:25" ht="11.25" customHeight="1">
      <c r="B81" s="341"/>
      <c r="C81" s="302"/>
      <c r="D81" s="382"/>
      <c r="E81" s="302"/>
      <c r="F81" s="528"/>
      <c r="H81" s="508"/>
      <c r="I81" s="265"/>
      <c r="J81" s="265"/>
      <c r="K81" s="265"/>
      <c r="L81" s="528"/>
      <c r="N81" s="514"/>
      <c r="O81" s="265"/>
      <c r="P81" s="265"/>
      <c r="Q81" s="420"/>
      <c r="R81" s="512"/>
      <c r="T81" s="341"/>
      <c r="U81" s="386"/>
      <c r="V81" s="302"/>
      <c r="W81" s="302"/>
      <c r="X81" s="302"/>
      <c r="Y81" s="535"/>
    </row>
    <row r="82" spans="2:25" ht="11.25" customHeight="1">
      <c r="B82" s="341"/>
      <c r="C82" s="302"/>
      <c r="D82" s="382"/>
      <c r="E82" s="302"/>
      <c r="F82" s="528"/>
      <c r="H82" s="508"/>
      <c r="I82" s="265"/>
      <c r="J82" s="265"/>
      <c r="K82" s="265"/>
      <c r="L82" s="528"/>
      <c r="N82" s="514"/>
      <c r="O82" s="265"/>
      <c r="P82" s="265"/>
      <c r="Q82" s="420"/>
      <c r="R82" s="512"/>
      <c r="T82" s="341"/>
      <c r="U82" s="386"/>
      <c r="V82" s="302"/>
      <c r="W82" s="302"/>
      <c r="X82" s="302"/>
      <c r="Y82" s="535"/>
    </row>
    <row r="83" spans="2:25" ht="11.25" customHeight="1">
      <c r="B83" s="341"/>
      <c r="C83" s="302"/>
      <c r="D83" s="382"/>
      <c r="E83" s="302"/>
      <c r="F83" s="528"/>
      <c r="H83" s="508"/>
      <c r="I83" s="265"/>
      <c r="J83" s="265"/>
      <c r="K83" s="265"/>
      <c r="L83" s="528"/>
      <c r="N83" s="514"/>
      <c r="O83" s="265"/>
      <c r="P83" s="265"/>
      <c r="Q83" s="420"/>
      <c r="R83" s="512"/>
      <c r="T83" s="341"/>
      <c r="U83" s="386"/>
      <c r="V83" s="302"/>
      <c r="W83" s="302"/>
      <c r="X83" s="302"/>
      <c r="Y83" s="535"/>
    </row>
    <row r="84" spans="2:25" ht="11.25" customHeight="1">
      <c r="B84" s="341"/>
      <c r="C84" s="302"/>
      <c r="D84" s="382"/>
      <c r="E84" s="302"/>
      <c r="F84" s="528"/>
      <c r="H84" s="508"/>
      <c r="I84" s="265"/>
      <c r="J84" s="265"/>
      <c r="K84" s="265"/>
      <c r="L84" s="528"/>
      <c r="N84" s="514"/>
      <c r="O84" s="265"/>
      <c r="P84" s="265"/>
      <c r="Q84" s="420"/>
      <c r="R84" s="512"/>
      <c r="T84" s="341"/>
      <c r="U84" s="386"/>
      <c r="V84" s="302"/>
      <c r="W84" s="302"/>
      <c r="X84" s="302"/>
      <c r="Y84" s="535"/>
    </row>
    <row r="85" spans="2:25" ht="11.25" customHeight="1">
      <c r="B85" s="341"/>
      <c r="C85" s="302"/>
      <c r="D85" s="382"/>
      <c r="E85" s="302"/>
      <c r="F85" s="528"/>
      <c r="H85" s="508"/>
      <c r="I85" s="265"/>
      <c r="J85" s="265"/>
      <c r="K85" s="265"/>
      <c r="L85" s="528"/>
      <c r="N85" s="514"/>
      <c r="O85" s="265"/>
      <c r="P85" s="265"/>
      <c r="Q85" s="420"/>
      <c r="R85" s="512"/>
      <c r="T85" s="341"/>
      <c r="U85" s="302"/>
      <c r="V85" s="302"/>
      <c r="W85" s="302"/>
      <c r="X85" s="302"/>
      <c r="Y85" s="535"/>
    </row>
    <row r="86" spans="2:25" ht="11.25" customHeight="1">
      <c r="B86" s="341"/>
      <c r="C86" s="302"/>
      <c r="D86" s="382"/>
      <c r="E86" s="302"/>
      <c r="F86" s="528"/>
      <c r="H86" s="508"/>
      <c r="I86" s="265"/>
      <c r="J86" s="265"/>
      <c r="K86" s="265"/>
      <c r="L86" s="528"/>
      <c r="N86" s="514"/>
      <c r="O86" s="265"/>
      <c r="P86" s="265"/>
      <c r="Q86" s="420"/>
      <c r="R86" s="512"/>
      <c r="T86" s="341"/>
      <c r="U86" s="302"/>
      <c r="V86" s="302"/>
      <c r="W86" s="302"/>
      <c r="X86" s="302"/>
      <c r="Y86" s="535"/>
    </row>
    <row r="87" spans="2:25" ht="11.25" customHeight="1">
      <c r="B87" s="341"/>
      <c r="C87" s="302"/>
      <c r="D87" s="382"/>
      <c r="E87" s="302"/>
      <c r="F87" s="528"/>
      <c r="H87" s="508"/>
      <c r="I87" s="265"/>
      <c r="J87" s="265"/>
      <c r="K87" s="265"/>
      <c r="L87" s="528"/>
      <c r="N87" s="514"/>
      <c r="O87" s="265"/>
      <c r="P87" s="265"/>
      <c r="Q87" s="420"/>
      <c r="R87" s="512"/>
      <c r="T87" s="341"/>
      <c r="U87" s="302"/>
      <c r="V87" s="302"/>
      <c r="W87" s="302"/>
      <c r="X87" s="302"/>
      <c r="Y87" s="535"/>
    </row>
    <row r="88" spans="2:25" ht="11.25" customHeight="1">
      <c r="B88" s="341"/>
      <c r="C88" s="302"/>
      <c r="D88" s="382"/>
      <c r="E88" s="302"/>
      <c r="F88" s="528"/>
      <c r="H88" s="508"/>
      <c r="I88" s="265"/>
      <c r="J88" s="265"/>
      <c r="K88" s="265"/>
      <c r="L88" s="528"/>
      <c r="N88" s="514"/>
      <c r="O88" s="265"/>
      <c r="P88" s="265"/>
      <c r="Q88" s="420"/>
      <c r="R88" s="512"/>
      <c r="T88" s="341"/>
      <c r="U88" s="302"/>
      <c r="V88" s="302"/>
      <c r="W88" s="302"/>
      <c r="X88" s="302"/>
      <c r="Y88" s="535"/>
    </row>
    <row r="89" spans="2:25" ht="11.25" customHeight="1">
      <c r="B89" s="341"/>
      <c r="C89" s="302"/>
      <c r="D89" s="382"/>
      <c r="E89" s="302"/>
      <c r="F89" s="528"/>
      <c r="H89" s="508"/>
      <c r="I89" s="265"/>
      <c r="J89" s="265"/>
      <c r="K89" s="265"/>
      <c r="L89" s="528"/>
      <c r="N89" s="514"/>
      <c r="O89" s="265"/>
      <c r="P89" s="265"/>
      <c r="Q89" s="420"/>
      <c r="R89" s="512"/>
      <c r="T89" s="341"/>
      <c r="U89" s="302"/>
      <c r="V89" s="302"/>
      <c r="W89" s="302"/>
      <c r="X89" s="302"/>
      <c r="Y89" s="535"/>
    </row>
    <row r="90" spans="2:25" ht="11.25" customHeight="1">
      <c r="B90" s="341"/>
      <c r="C90" s="302"/>
      <c r="D90" s="382"/>
      <c r="E90" s="302"/>
      <c r="F90" s="528"/>
      <c r="H90" s="508"/>
      <c r="I90" s="265"/>
      <c r="J90" s="265"/>
      <c r="K90" s="265"/>
      <c r="L90" s="528"/>
      <c r="N90" s="514"/>
      <c r="O90" s="265"/>
      <c r="P90" s="265"/>
      <c r="Q90" s="420"/>
      <c r="R90" s="512"/>
      <c r="T90" s="341"/>
      <c r="U90" s="302"/>
      <c r="V90" s="302"/>
      <c r="W90" s="302"/>
      <c r="X90" s="302"/>
      <c r="Y90" s="535"/>
    </row>
    <row r="91" spans="2:25">
      <c r="B91" s="341"/>
      <c r="C91" s="302"/>
      <c r="D91" s="382"/>
      <c r="E91" s="302"/>
      <c r="F91" s="528"/>
      <c r="H91" s="508"/>
      <c r="I91" s="265"/>
      <c r="J91" s="265"/>
      <c r="K91" s="265"/>
      <c r="L91" s="528"/>
      <c r="N91" s="514"/>
      <c r="O91" s="265"/>
      <c r="P91" s="265"/>
      <c r="Q91" s="420"/>
      <c r="R91" s="512"/>
      <c r="T91" s="341"/>
      <c r="U91" s="302"/>
      <c r="V91" s="302"/>
      <c r="W91" s="302"/>
      <c r="X91" s="302"/>
      <c r="Y91" s="535"/>
    </row>
    <row r="92" spans="2:25">
      <c r="B92" s="341"/>
      <c r="C92" s="302"/>
      <c r="D92" s="382"/>
      <c r="E92" s="302"/>
      <c r="F92" s="528"/>
      <c r="H92" s="508"/>
      <c r="I92" s="265"/>
      <c r="J92" s="265"/>
      <c r="K92" s="265"/>
      <c r="L92" s="528"/>
      <c r="N92" s="514"/>
      <c r="O92" s="265"/>
      <c r="P92" s="265"/>
      <c r="Q92" s="420"/>
      <c r="R92" s="512"/>
      <c r="T92" s="341"/>
      <c r="U92" s="302"/>
      <c r="V92" s="302"/>
      <c r="W92" s="302"/>
      <c r="X92" s="302"/>
      <c r="Y92" s="535"/>
    </row>
    <row r="93" spans="2:25">
      <c r="B93" s="341"/>
      <c r="C93" s="302"/>
      <c r="D93" s="382"/>
      <c r="E93" s="302"/>
      <c r="F93" s="528"/>
      <c r="H93" s="508"/>
      <c r="I93" s="265"/>
      <c r="J93" s="265"/>
      <c r="K93" s="265"/>
      <c r="L93" s="528"/>
      <c r="N93" s="514"/>
      <c r="O93" s="265"/>
      <c r="P93" s="265"/>
      <c r="Q93" s="420"/>
      <c r="R93" s="512"/>
      <c r="T93" s="341"/>
      <c r="U93" s="302"/>
      <c r="V93" s="302"/>
      <c r="W93" s="302"/>
      <c r="X93" s="302"/>
      <c r="Y93" s="535"/>
    </row>
    <row r="94" spans="2:25">
      <c r="B94" s="341"/>
      <c r="C94" s="302"/>
      <c r="D94" s="382"/>
      <c r="E94" s="302"/>
      <c r="F94" s="528"/>
      <c r="H94" s="508"/>
      <c r="I94" s="265"/>
      <c r="J94" s="265"/>
      <c r="K94" s="265"/>
      <c r="L94" s="528"/>
      <c r="N94" s="514"/>
      <c r="O94" s="265"/>
      <c r="P94" s="265"/>
      <c r="Q94" s="420"/>
      <c r="R94" s="512"/>
      <c r="T94" s="341"/>
      <c r="U94" s="302"/>
      <c r="V94" s="302"/>
      <c r="W94" s="302"/>
      <c r="X94" s="302"/>
      <c r="Y94" s="535"/>
    </row>
    <row r="95" spans="2:25">
      <c r="B95" s="341"/>
      <c r="C95" s="302"/>
      <c r="D95" s="382"/>
      <c r="E95" s="302"/>
      <c r="F95" s="528"/>
      <c r="H95" s="508"/>
      <c r="I95" s="265"/>
      <c r="J95" s="265"/>
      <c r="K95" s="265"/>
      <c r="L95" s="528"/>
      <c r="N95" s="514"/>
      <c r="O95" s="265"/>
      <c r="P95" s="265"/>
      <c r="Q95" s="420"/>
      <c r="R95" s="512"/>
      <c r="T95" s="341"/>
      <c r="U95" s="302"/>
      <c r="V95" s="302"/>
      <c r="W95" s="302"/>
      <c r="X95" s="302"/>
      <c r="Y95" s="535"/>
    </row>
    <row r="96" spans="2:25">
      <c r="B96" s="341"/>
      <c r="C96" s="302"/>
      <c r="D96" s="382"/>
      <c r="E96" s="302"/>
      <c r="F96" s="528"/>
      <c r="H96" s="508"/>
      <c r="I96" s="265"/>
      <c r="J96" s="265"/>
      <c r="K96" s="265"/>
      <c r="L96" s="528"/>
      <c r="N96" s="514"/>
      <c r="O96" s="265"/>
      <c r="P96" s="265"/>
      <c r="Q96" s="420"/>
      <c r="R96" s="512"/>
      <c r="T96" s="341"/>
      <c r="U96" s="302"/>
      <c r="V96" s="302"/>
      <c r="W96" s="302"/>
      <c r="X96" s="302"/>
      <c r="Y96" s="535"/>
    </row>
    <row r="97" spans="2:25">
      <c r="B97" s="341"/>
      <c r="C97" s="302"/>
      <c r="D97" s="382"/>
      <c r="E97" s="302"/>
      <c r="F97" s="528"/>
      <c r="H97" s="508"/>
      <c r="I97" s="265"/>
      <c r="J97" s="265"/>
      <c r="K97" s="265"/>
      <c r="L97" s="528"/>
      <c r="N97" s="514"/>
      <c r="O97" s="265"/>
      <c r="P97" s="265"/>
      <c r="Q97" s="420"/>
      <c r="R97" s="512"/>
      <c r="T97" s="341"/>
      <c r="U97" s="302"/>
      <c r="V97" s="302"/>
      <c r="W97" s="302"/>
      <c r="X97" s="302"/>
      <c r="Y97" s="535"/>
    </row>
    <row r="98" spans="2:25" ht="12" thickBot="1">
      <c r="B98" s="342"/>
      <c r="C98" s="343"/>
      <c r="D98" s="344"/>
      <c r="E98" s="343"/>
      <c r="F98" s="529"/>
      <c r="H98" s="510"/>
      <c r="I98" s="505"/>
      <c r="J98" s="505"/>
      <c r="K98" s="505"/>
      <c r="L98" s="529"/>
      <c r="N98" s="515"/>
      <c r="O98" s="505"/>
      <c r="P98" s="505"/>
      <c r="Q98" s="542"/>
      <c r="R98" s="513"/>
      <c r="T98" s="342"/>
      <c r="U98" s="343"/>
      <c r="V98" s="343"/>
      <c r="W98" s="343"/>
      <c r="X98" s="343"/>
      <c r="Y98" s="536"/>
    </row>
  </sheetData>
  <mergeCells count="10">
    <mergeCell ref="H50:L50"/>
    <mergeCell ref="N50:R50"/>
    <mergeCell ref="T50:Y50"/>
    <mergeCell ref="A1:B6"/>
    <mergeCell ref="D2:AT2"/>
    <mergeCell ref="H3:J4"/>
    <mergeCell ref="F6:L6"/>
    <mergeCell ref="F7:L7"/>
    <mergeCell ref="M7:R7"/>
    <mergeCell ref="B50:F50"/>
  </mergeCells>
  <phoneticPr fontId="4" type="noConversion"/>
  <pageMargins left="0.75" right="0.75" top="1" bottom="1" header="0.5" footer="0.5"/>
  <pageSetup paperSize="9" scale="31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1" bestFit="1" customWidth="1"/>
  </cols>
  <sheetData>
    <row r="1" spans="1:6" s="14" customFormat="1" ht="51">
      <c r="A1" s="10" t="s">
        <v>0</v>
      </c>
      <c r="B1" s="13" t="s">
        <v>263</v>
      </c>
      <c r="C1" s="10" t="s">
        <v>24</v>
      </c>
      <c r="D1" s="77" t="s">
        <v>60</v>
      </c>
      <c r="E1" s="77" t="s">
        <v>61</v>
      </c>
    </row>
    <row r="2" spans="1:6">
      <c r="A2" s="93">
        <f>Gen!A11</f>
        <v>44228</v>
      </c>
      <c r="B2" s="12">
        <f>SUM('[1]Summery Report'!F5)</f>
        <v>5669</v>
      </c>
      <c r="C2" s="117">
        <f>SUM('[1]Summery Report'!C5)</f>
        <v>0.623</v>
      </c>
      <c r="D2" s="78" t="e">
        <f>SUM('[1]Summery Report'!#REF!)</f>
        <v>#REF!</v>
      </c>
      <c r="E2" s="78" t="e">
        <f>SUM('[1]Summery Report'!#REF!)</f>
        <v>#REF!</v>
      </c>
      <c r="F2" s="18">
        <v>0.1</v>
      </c>
    </row>
    <row r="3" spans="1:6">
      <c r="A3" s="93">
        <f>Gen!A12</f>
        <v>44229</v>
      </c>
      <c r="B3" s="12">
        <f>SUM('[1]Summery Report'!F6)</f>
        <v>6159</v>
      </c>
      <c r="C3" s="117">
        <f>SUM('[1]Summery Report'!C6)</f>
        <v>0.77900000000000003</v>
      </c>
      <c r="D3" s="78" t="e">
        <f>SUM('[1]Summery Report'!#REF!)</f>
        <v>#REF!</v>
      </c>
      <c r="E3" s="78" t="e">
        <f>SUM('[1]Summery Report'!#REF!)</f>
        <v>#REF!</v>
      </c>
      <c r="F3" s="18">
        <v>0.13750000000000001</v>
      </c>
    </row>
    <row r="4" spans="1:6">
      <c r="A4" s="93">
        <f>Gen!A13</f>
        <v>44230</v>
      </c>
      <c r="B4" s="12">
        <f>SUM('[1]Summery Report'!F7)</f>
        <v>6580</v>
      </c>
      <c r="C4" s="117">
        <f>SUM('[1]Summery Report'!C7)</f>
        <v>0.53200000000000003</v>
      </c>
      <c r="D4" s="78" t="e">
        <f>SUM('[1]Summery Report'!#REF!)</f>
        <v>#REF!</v>
      </c>
      <c r="E4" s="78" t="e">
        <f>SUM('[1]Summery Report'!#REF!)</f>
        <v>#REF!</v>
      </c>
      <c r="F4" s="18">
        <v>8.7499999999999994E-2</v>
      </c>
    </row>
    <row r="5" spans="1:6">
      <c r="A5" s="93">
        <f>Gen!A14</f>
        <v>44231</v>
      </c>
      <c r="B5" s="12">
        <f>SUM('[1]Summery Report'!F8)</f>
        <v>6223</v>
      </c>
      <c r="C5" s="117">
        <f>SUM('[1]Summery Report'!C8)</f>
        <v>0.61</v>
      </c>
      <c r="D5" s="78" t="e">
        <f>SUM('[1]Summery Report'!#REF!)</f>
        <v>#REF!</v>
      </c>
      <c r="E5" s="78" t="e">
        <f>SUM('[1]Summery Report'!#REF!)</f>
        <v>#REF!</v>
      </c>
      <c r="F5" s="18">
        <v>0.22500000000000001</v>
      </c>
    </row>
    <row r="6" spans="1:6">
      <c r="A6" s="93">
        <f>Gen!A15</f>
        <v>44232</v>
      </c>
      <c r="B6" s="12">
        <f>SUM('[1]Summery Report'!F9)</f>
        <v>5984</v>
      </c>
      <c r="C6" s="117">
        <f>SUM('[1]Summery Report'!C9)</f>
        <v>0.68799999999999994</v>
      </c>
      <c r="D6" s="78" t="e">
        <f>SUM('[1]Summery Report'!#REF!)</f>
        <v>#REF!</v>
      </c>
      <c r="E6" s="78" t="e">
        <f>SUM('[1]Summery Report'!#REF!)</f>
        <v>#REF!</v>
      </c>
      <c r="F6" s="18">
        <v>0.2</v>
      </c>
    </row>
    <row r="7" spans="1:6">
      <c r="A7" s="93">
        <f>Gen!A16</f>
        <v>44233</v>
      </c>
      <c r="B7" s="12">
        <f>SUM('[1]Summery Report'!F10)</f>
        <v>6103</v>
      </c>
      <c r="C7" s="117">
        <f>SUM('[1]Summery Report'!C10)</f>
        <v>0.53200000000000003</v>
      </c>
      <c r="D7" s="78" t="e">
        <f>SUM('[1]Summery Report'!#REF!)</f>
        <v>#REF!</v>
      </c>
      <c r="E7" s="78" t="e">
        <f>SUM('[1]Summery Report'!#REF!)</f>
        <v>#REF!</v>
      </c>
      <c r="F7" s="18">
        <v>0.35</v>
      </c>
    </row>
    <row r="8" spans="1:6">
      <c r="A8" s="93">
        <f>Gen!A17</f>
        <v>44234</v>
      </c>
      <c r="B8" s="12">
        <f>SUM('[1]Summery Report'!F11)</f>
        <v>5576</v>
      </c>
      <c r="C8" s="117">
        <f>SUM('[1]Summery Report'!C11)</f>
        <v>0.753</v>
      </c>
      <c r="D8" s="78" t="e">
        <f>SUM('[1]Summery Report'!#REF!)</f>
        <v>#REF!</v>
      </c>
      <c r="E8" s="78" t="e">
        <f>SUM('[1]Summery Report'!#REF!)</f>
        <v>#REF!</v>
      </c>
      <c r="F8" s="18">
        <v>0.375</v>
      </c>
    </row>
    <row r="9" spans="1:6">
      <c r="A9" s="93">
        <f>Gen!A18</f>
        <v>44235</v>
      </c>
      <c r="B9" s="12">
        <f>SUM('[1]Summery Report'!F12)</f>
        <v>5532</v>
      </c>
      <c r="C9" s="117">
        <f>SUM('[1]Summery Report'!C12)</f>
        <v>0.156</v>
      </c>
      <c r="D9" s="78" t="e">
        <f>SUM('[1]Summery Report'!#REF!)</f>
        <v>#REF!</v>
      </c>
      <c r="E9" s="78" t="e">
        <f>SUM('[1]Summery Report'!#REF!)</f>
        <v>#REF!</v>
      </c>
      <c r="F9" s="18">
        <v>0.32500000000000001</v>
      </c>
    </row>
    <row r="10" spans="1:6">
      <c r="A10" s="93">
        <f>Gen!A19</f>
        <v>44236</v>
      </c>
      <c r="B10" s="12">
        <f>SUM('[1]Summery Report'!F13)</f>
        <v>6233</v>
      </c>
      <c r="C10" s="117">
        <f>SUM('[1]Summery Report'!C13)</f>
        <v>0.442</v>
      </c>
      <c r="D10" s="78" t="e">
        <f>SUM('[1]Summery Report'!#REF!)</f>
        <v>#REF!</v>
      </c>
      <c r="E10" s="78" t="e">
        <f>SUM('[1]Summery Report'!#REF!)</f>
        <v>#REF!</v>
      </c>
      <c r="F10" s="18">
        <v>0.75</v>
      </c>
    </row>
    <row r="11" spans="1:6">
      <c r="A11" s="93">
        <f>Gen!A20</f>
        <v>44237</v>
      </c>
      <c r="B11" s="12">
        <f>SUM('[1]Summery Report'!F14)</f>
        <v>6063</v>
      </c>
      <c r="C11" s="117">
        <f>SUM('[1]Summery Report'!C14)</f>
        <v>0.32500000000000001</v>
      </c>
      <c r="D11" s="78" t="e">
        <f>SUM('[1]Summery Report'!#REF!)</f>
        <v>#REF!</v>
      </c>
      <c r="E11" s="78" t="e">
        <f>SUM('[1]Summery Report'!#REF!)</f>
        <v>#REF!</v>
      </c>
      <c r="F11" s="18">
        <v>0.76249999999999996</v>
      </c>
    </row>
    <row r="12" spans="1:6">
      <c r="A12" s="93">
        <f>Gen!A21</f>
        <v>44238</v>
      </c>
      <c r="B12" s="12">
        <f>SUM('[1]Summery Report'!F15)</f>
        <v>5967</v>
      </c>
      <c r="C12" s="117">
        <f>SUM('[1]Summery Report'!C15)</f>
        <v>0.45500000000000002</v>
      </c>
      <c r="D12" s="78" t="e">
        <f>SUM('[1]Summery Report'!#REF!)</f>
        <v>#REF!</v>
      </c>
      <c r="E12" s="78" t="e">
        <f>SUM('[1]Summery Report'!#REF!)</f>
        <v>#REF!</v>
      </c>
      <c r="F12" s="18">
        <v>0.16250000000000001</v>
      </c>
    </row>
    <row r="13" spans="1:6">
      <c r="A13" s="93">
        <f>Gen!A22</f>
        <v>44239</v>
      </c>
      <c r="B13" s="12">
        <f>SUM('[1]Summery Report'!F16)</f>
        <v>5863</v>
      </c>
      <c r="C13" s="117">
        <f>SUM('[1]Summery Report'!C16)</f>
        <v>0.41599999999999998</v>
      </c>
      <c r="D13" s="78" t="e">
        <f>SUM('[1]Summery Report'!#REF!)</f>
        <v>#REF!</v>
      </c>
      <c r="E13" s="78" t="e">
        <f>SUM('[1]Summery Report'!#REF!)</f>
        <v>#REF!</v>
      </c>
      <c r="F13" s="18">
        <v>0.1125</v>
      </c>
    </row>
    <row r="14" spans="1:6">
      <c r="A14" s="93">
        <f>Gen!A23</f>
        <v>44240</v>
      </c>
      <c r="B14" s="12">
        <f>SUM('[1]Summery Report'!F17)</f>
        <v>5720</v>
      </c>
      <c r="C14" s="117">
        <f>SUM('[1]Summery Report'!C17)</f>
        <v>0.39</v>
      </c>
      <c r="D14" s="78" t="e">
        <f>SUM('[1]Summery Report'!#REF!)</f>
        <v>#REF!</v>
      </c>
      <c r="E14" s="78" t="e">
        <f>SUM('[1]Summery Report'!#REF!)</f>
        <v>#REF!</v>
      </c>
      <c r="F14" s="18">
        <v>3.7499999999999999E-2</v>
      </c>
    </row>
    <row r="15" spans="1:6">
      <c r="A15" s="93">
        <f>Gen!A24</f>
        <v>44241</v>
      </c>
      <c r="B15" s="12">
        <f>SUM('[1]Summery Report'!F18)</f>
        <v>6195</v>
      </c>
      <c r="C15" s="117">
        <f>SUM('[1]Summery Report'!C18)</f>
        <v>0.63600000000000001</v>
      </c>
      <c r="D15" s="78" t="e">
        <f>SUM('[1]Summery Report'!#REF!)</f>
        <v>#REF!</v>
      </c>
      <c r="E15" s="78" t="e">
        <f>SUM('[1]Summery Report'!#REF!)</f>
        <v>#REF!</v>
      </c>
      <c r="F15" s="18">
        <v>0.125</v>
      </c>
    </row>
    <row r="16" spans="1:6">
      <c r="A16" s="93">
        <f>Gen!A25</f>
        <v>44242</v>
      </c>
      <c r="B16" s="12">
        <f>SUM('[1]Summery Report'!F19)</f>
        <v>6450</v>
      </c>
      <c r="C16" s="117">
        <f>SUM('[1]Summery Report'!C19)</f>
        <v>0.84399999999999997</v>
      </c>
      <c r="D16" s="78" t="e">
        <f>SUM('[1]Summery Report'!#REF!)</f>
        <v>#REF!</v>
      </c>
      <c r="E16" s="78" t="e">
        <f>SUM('[1]Summery Report'!#REF!)</f>
        <v>#REF!</v>
      </c>
      <c r="F16" s="18">
        <v>0.125</v>
      </c>
    </row>
    <row r="17" spans="1:6">
      <c r="A17" s="93">
        <f>Gen!A26</f>
        <v>44243</v>
      </c>
      <c r="B17" s="12">
        <f>SUM('[1]Summery Report'!F20)</f>
        <v>6915</v>
      </c>
      <c r="C17" s="117">
        <f>SUM('[1]Summery Report'!C20)</f>
        <v>0.81799999999999995</v>
      </c>
      <c r="D17" s="78" t="e">
        <f>SUM('[1]Summery Report'!#REF!)</f>
        <v>#REF!</v>
      </c>
      <c r="E17" s="78" t="e">
        <f>SUM('[1]Summery Report'!#REF!)</f>
        <v>#REF!</v>
      </c>
      <c r="F17" s="18">
        <v>0.05</v>
      </c>
    </row>
    <row r="18" spans="1:6">
      <c r="A18" s="93">
        <f>Gen!A27</f>
        <v>44244</v>
      </c>
      <c r="B18" s="12">
        <f>SUM('[1]Summery Report'!F21)</f>
        <v>5962</v>
      </c>
      <c r="C18" s="117">
        <f>SUM('[1]Summery Report'!C21)</f>
        <v>0.20799999999999999</v>
      </c>
      <c r="D18" s="78" t="e">
        <f>SUM('[1]Summery Report'!#REF!)</f>
        <v>#REF!</v>
      </c>
      <c r="E18" s="78" t="e">
        <f>SUM('[1]Summery Report'!#REF!)</f>
        <v>#REF!</v>
      </c>
      <c r="F18" s="18">
        <v>0.21249999999999999</v>
      </c>
    </row>
    <row r="19" spans="1:6">
      <c r="A19" s="93">
        <f>Gen!A28</f>
        <v>44245</v>
      </c>
      <c r="B19" s="12">
        <f>SUM('[1]Summery Report'!F22)</f>
        <v>5257</v>
      </c>
      <c r="C19" s="117">
        <f>SUM('[1]Summery Report'!C22)</f>
        <v>0.221</v>
      </c>
      <c r="D19" s="78" t="e">
        <f>SUM('[1]Summery Report'!#REF!)</f>
        <v>#REF!</v>
      </c>
      <c r="E19" s="78" t="e">
        <f>SUM('[1]Summery Report'!#REF!)</f>
        <v>#REF!</v>
      </c>
      <c r="F19" s="18">
        <v>0.1125</v>
      </c>
    </row>
    <row r="20" spans="1:6">
      <c r="A20" s="93">
        <f>Gen!A29</f>
        <v>44246</v>
      </c>
      <c r="B20" s="12">
        <f>SUM('[1]Summery Report'!F23)</f>
        <v>4691</v>
      </c>
      <c r="C20" s="117">
        <f>SUM('[1]Summery Report'!C23)</f>
        <v>0.11700000000000001</v>
      </c>
      <c r="D20" s="78" t="e">
        <f>SUM('[1]Summery Report'!#REF!)</f>
        <v>#REF!</v>
      </c>
      <c r="E20" s="78" t="e">
        <f>SUM('[1]Summery Report'!#REF!)</f>
        <v>#REF!</v>
      </c>
      <c r="F20" s="18">
        <v>0.13750000000000001</v>
      </c>
    </row>
    <row r="21" spans="1:6">
      <c r="A21" s="93">
        <f>Gen!A30</f>
        <v>44247</v>
      </c>
      <c r="B21" s="12">
        <f>SUM('[1]Summery Report'!F24)</f>
        <v>5712</v>
      </c>
      <c r="C21" s="117">
        <f>SUM('[1]Summery Report'!C24)</f>
        <v>0.57099999999999995</v>
      </c>
      <c r="D21" s="78" t="e">
        <f>SUM('[1]Summery Report'!#REF!)</f>
        <v>#REF!</v>
      </c>
      <c r="E21" s="78" t="e">
        <f>SUM('[1]Summery Report'!#REF!)</f>
        <v>#REF!</v>
      </c>
      <c r="F21" s="18">
        <v>0.15</v>
      </c>
    </row>
    <row r="22" spans="1:6">
      <c r="A22" s="93">
        <f>Gen!A31</f>
        <v>44248</v>
      </c>
      <c r="B22" s="12">
        <f>SUM('[1]Summery Report'!F25)</f>
        <v>5941</v>
      </c>
      <c r="C22" s="117">
        <f>SUM('[1]Summery Report'!C25)</f>
        <v>0.55800000000000005</v>
      </c>
      <c r="D22" s="78" t="e">
        <f>SUM('[1]Summery Report'!#REF!)</f>
        <v>#REF!</v>
      </c>
      <c r="E22" s="78" t="e">
        <f>SUM('[1]Summery Report'!#REF!)</f>
        <v>#REF!</v>
      </c>
      <c r="F22" s="18">
        <v>0.13750000000000001</v>
      </c>
    </row>
    <row r="23" spans="1:6">
      <c r="A23" s="93">
        <f>Gen!A32</f>
        <v>44249</v>
      </c>
      <c r="B23" s="12">
        <f>SUM('[1]Summery Report'!F26)</f>
        <v>5400</v>
      </c>
      <c r="C23" s="117">
        <f>SUM('[1]Summery Report'!C26)</f>
        <v>0.40300000000000002</v>
      </c>
      <c r="D23" s="78" t="e">
        <f>SUM('[1]Summery Report'!#REF!)</f>
        <v>#REF!</v>
      </c>
      <c r="E23" s="78" t="e">
        <f>SUM('[1]Summery Report'!#REF!)</f>
        <v>#REF!</v>
      </c>
      <c r="F23" s="18">
        <v>0</v>
      </c>
    </row>
    <row r="24" spans="1:6">
      <c r="A24" s="93">
        <f>Gen!A33</f>
        <v>44250</v>
      </c>
      <c r="B24" s="12">
        <f>SUM('[1]Summery Report'!F27)</f>
        <v>5371</v>
      </c>
      <c r="C24" s="117">
        <f>SUM('[1]Summery Report'!C27)</f>
        <v>0.24</v>
      </c>
      <c r="D24" s="78" t="e">
        <f>SUM('[1]Summery Report'!#REF!)</f>
        <v>#REF!</v>
      </c>
      <c r="E24" s="78" t="e">
        <f>SUM('[1]Summery Report'!#REF!)</f>
        <v>#REF!</v>
      </c>
      <c r="F24" s="18">
        <v>0.05</v>
      </c>
    </row>
    <row r="25" spans="1:6">
      <c r="A25" s="93">
        <f>Gen!A34</f>
        <v>44251</v>
      </c>
      <c r="B25" s="12">
        <f>SUM('[1]Summery Report'!F28)</f>
        <v>5296</v>
      </c>
      <c r="C25" s="117">
        <f>SUM('[1]Summery Report'!C28)</f>
        <v>0.09</v>
      </c>
      <c r="D25" s="78" t="e">
        <f>SUM('[1]Summery Report'!#REF!)</f>
        <v>#REF!</v>
      </c>
      <c r="E25" s="78" t="e">
        <f>SUM('[1]Summery Report'!#REF!)</f>
        <v>#REF!</v>
      </c>
      <c r="F25" s="18">
        <v>0.1125</v>
      </c>
    </row>
    <row r="26" spans="1:6">
      <c r="A26" s="93">
        <f>Gen!A35</f>
        <v>44252</v>
      </c>
      <c r="B26" s="12">
        <f>SUM('[1]Summery Report'!F29)</f>
        <v>5221</v>
      </c>
      <c r="C26" s="117">
        <f>SUM('[1]Summery Report'!C29)</f>
        <v>0.28599999999999998</v>
      </c>
      <c r="D26" s="78" t="e">
        <f>SUM('[1]Summery Report'!#REF!)</f>
        <v>#REF!</v>
      </c>
      <c r="E26" s="78" t="e">
        <f>SUM('[1]Summery Report'!#REF!)</f>
        <v>#REF!</v>
      </c>
      <c r="F26" s="18">
        <v>0.125</v>
      </c>
    </row>
    <row r="27" spans="1:6">
      <c r="A27" s="93">
        <f>Gen!A36</f>
        <v>44253</v>
      </c>
      <c r="B27" s="12">
        <f>SUM('[1]Summery Report'!F30)</f>
        <v>5665</v>
      </c>
      <c r="C27" s="117">
        <f>SUM('[1]Summery Report'!C30)</f>
        <v>0.54500000000000004</v>
      </c>
      <c r="D27" s="78" t="e">
        <f>SUM('[1]Summery Report'!#REF!)</f>
        <v>#REF!</v>
      </c>
      <c r="E27" s="78" t="e">
        <f>SUM('[1]Summery Report'!#REF!)</f>
        <v>#REF!</v>
      </c>
      <c r="F27" s="18">
        <v>0.17499999999999999</v>
      </c>
    </row>
    <row r="28" spans="1:6">
      <c r="A28" s="93">
        <f>Gen!A37</f>
        <v>44254</v>
      </c>
      <c r="B28" s="12">
        <f>SUM('[1]Summery Report'!F31)</f>
        <v>6109</v>
      </c>
      <c r="C28" s="117">
        <f>SUM('[1]Summery Report'!C31)</f>
        <v>0.67500000000000004</v>
      </c>
      <c r="D28" s="78" t="e">
        <f>SUM('[1]Summery Report'!#REF!)</f>
        <v>#REF!</v>
      </c>
      <c r="E28" s="78" t="e">
        <f>SUM('[1]Summery Report'!#REF!)</f>
        <v>#REF!</v>
      </c>
      <c r="F28" s="18">
        <v>0.125</v>
      </c>
    </row>
    <row r="29" spans="1:6">
      <c r="A29" s="93">
        <f>Gen!A38</f>
        <v>44255</v>
      </c>
      <c r="B29" s="12">
        <f>SUM('[1]Summery Report'!F32)</f>
        <v>0</v>
      </c>
      <c r="C29" s="117">
        <f>SUM('[1]Summery Report'!C32)</f>
        <v>0.27300000000000002</v>
      </c>
      <c r="D29" s="78" t="e">
        <f>SUM('[1]Summery Report'!#REF!)</f>
        <v>#REF!</v>
      </c>
      <c r="E29" s="78" t="e">
        <f>SUM('[1]Summery Report'!#REF!)</f>
        <v>#REF!</v>
      </c>
      <c r="F29" s="18">
        <v>7.4999999999999997E-2</v>
      </c>
    </row>
    <row r="30" spans="1:6">
      <c r="A30" s="93">
        <f>Gen!A39</f>
        <v>0</v>
      </c>
      <c r="B30" s="12">
        <f>SUM('[1]Summery Report'!F33)</f>
        <v>0</v>
      </c>
      <c r="C30" s="117">
        <f>SUM('[1]Summery Report'!C33)</f>
        <v>0</v>
      </c>
      <c r="D30" s="78" t="e">
        <f>SUM('[1]Summery Report'!#REF!)</f>
        <v>#REF!</v>
      </c>
      <c r="E30" s="78" t="e">
        <f>SUM('[1]Summery Report'!#REF!)</f>
        <v>#REF!</v>
      </c>
      <c r="F30" s="18">
        <v>0.1125</v>
      </c>
    </row>
    <row r="31" spans="1:6">
      <c r="A31" s="93">
        <f>Gen!A40</f>
        <v>0</v>
      </c>
      <c r="B31" s="12">
        <f>SUM('[1]Summery Report'!F34)</f>
        <v>0</v>
      </c>
      <c r="C31" s="117">
        <f>SUM('[1]Summery Report'!C34)</f>
        <v>0</v>
      </c>
      <c r="D31" s="78" t="e">
        <f>SUM('[1]Summery Report'!#REF!)</f>
        <v>#REF!</v>
      </c>
      <c r="E31" s="78" t="e">
        <f>SUM('[1]Summery Report'!#REF!)</f>
        <v>#REF!</v>
      </c>
      <c r="F31" s="18">
        <v>0.15</v>
      </c>
    </row>
    <row r="32" spans="1:6">
      <c r="A32" s="93">
        <f>Gen!A41</f>
        <v>0</v>
      </c>
      <c r="B32" s="12">
        <f>SUM('[1]Summery Report'!F35)</f>
        <v>0</v>
      </c>
      <c r="C32" s="117">
        <f>SUM('[1]Summery Report'!C35)</f>
        <v>0</v>
      </c>
      <c r="D32" s="78" t="e">
        <f>SUM('[1]Summery Report'!#REF!)</f>
        <v>#REF!</v>
      </c>
      <c r="E32" s="78" t="e">
        <f>SUM('[1]Summery Report'!#REF!)</f>
        <v>#REF!</v>
      </c>
      <c r="F32" s="18">
        <v>0.17499999999999999</v>
      </c>
    </row>
    <row r="33" spans="1:2">
      <c r="A33" s="93">
        <f>Gen!A42</f>
        <v>0</v>
      </c>
      <c r="B33" s="12">
        <f>[1]Gen!S41</f>
        <v>0</v>
      </c>
    </row>
    <row r="34" spans="1:2">
      <c r="A34" s="9"/>
      <c r="B34" s="12"/>
    </row>
    <row r="35" spans="1:2">
      <c r="A35" s="9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63"/>
  <sheetViews>
    <sheetView zoomScale="70" zoomScaleNormal="70" workbookViewId="0">
      <selection activeCell="Q35" sqref="Q35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4" customWidth="1"/>
    <col min="8" max="8" width="23.5703125" customWidth="1"/>
    <col min="9" max="9" width="17.5703125" customWidth="1"/>
    <col min="10" max="10" width="18.5703125" style="91" customWidth="1"/>
  </cols>
  <sheetData>
    <row r="1" spans="1:15" ht="15">
      <c r="A1" s="31"/>
      <c r="B1" s="34"/>
      <c r="C1" s="35"/>
      <c r="D1" s="34"/>
      <c r="E1" s="34"/>
      <c r="F1" s="36"/>
      <c r="G1" s="96"/>
      <c r="H1" s="34"/>
      <c r="I1" s="34"/>
      <c r="J1" s="112"/>
    </row>
    <row r="2" spans="1:15" ht="15">
      <c r="A2" s="32"/>
      <c r="B2" s="37"/>
      <c r="C2" s="38"/>
      <c r="D2" s="39"/>
      <c r="E2" s="39"/>
      <c r="F2" s="40"/>
      <c r="G2" s="100"/>
      <c r="H2" s="37"/>
      <c r="I2" s="37"/>
      <c r="J2" s="113"/>
    </row>
    <row r="3" spans="1:15" ht="22.5">
      <c r="A3" s="32"/>
      <c r="B3" s="37"/>
      <c r="C3" s="517" t="s">
        <v>70</v>
      </c>
      <c r="D3" s="518"/>
      <c r="E3" s="518"/>
      <c r="F3" s="519"/>
      <c r="G3" s="520"/>
      <c r="H3" s="41"/>
      <c r="I3" s="41"/>
      <c r="J3" s="114"/>
    </row>
    <row r="4" spans="1:15" ht="15">
      <c r="A4" s="32"/>
      <c r="B4" s="37"/>
      <c r="C4" s="38"/>
      <c r="D4" s="39"/>
      <c r="E4" s="39"/>
      <c r="F4" s="49"/>
      <c r="G4" s="100"/>
      <c r="H4" s="37"/>
      <c r="I4" s="37"/>
      <c r="J4" s="113"/>
    </row>
    <row r="5" spans="1:15" ht="15">
      <c r="A5" s="30"/>
      <c r="B5" s="42"/>
      <c r="C5" s="43"/>
      <c r="D5" s="42"/>
      <c r="E5" s="42"/>
      <c r="F5" s="44"/>
      <c r="G5" s="100"/>
      <c r="H5" s="37"/>
      <c r="I5" s="37"/>
      <c r="J5" s="115"/>
    </row>
    <row r="6" spans="1:15" ht="13.5" customHeight="1">
      <c r="A6" s="5"/>
      <c r="B6" s="45"/>
      <c r="C6" s="892"/>
      <c r="D6" s="893"/>
      <c r="E6" s="894"/>
      <c r="F6" s="894"/>
      <c r="G6" s="48" t="s">
        <v>4</v>
      </c>
      <c r="H6" s="46" t="s">
        <v>14</v>
      </c>
      <c r="I6" s="41"/>
      <c r="J6" s="113"/>
    </row>
    <row r="7" spans="1:15" ht="18" customHeight="1">
      <c r="A7" s="895" t="s">
        <v>7</v>
      </c>
      <c r="B7" s="98" t="s">
        <v>72</v>
      </c>
      <c r="C7" s="97" t="s">
        <v>73</v>
      </c>
      <c r="D7" s="98" t="s">
        <v>74</v>
      </c>
      <c r="E7" s="102"/>
      <c r="F7" s="103" t="s">
        <v>37</v>
      </c>
      <c r="G7" s="104" t="s">
        <v>13</v>
      </c>
      <c r="H7" s="155" t="s">
        <v>12</v>
      </c>
      <c r="I7" s="105" t="s">
        <v>11</v>
      </c>
      <c r="J7" s="47" t="s">
        <v>10</v>
      </c>
    </row>
    <row r="8" spans="1:15" ht="18" customHeight="1">
      <c r="A8" s="896"/>
      <c r="B8" s="294" t="s">
        <v>59</v>
      </c>
      <c r="C8" s="98" t="s">
        <v>36</v>
      </c>
      <c r="D8" s="99" t="s">
        <v>58</v>
      </c>
      <c r="E8" s="107"/>
      <c r="F8" s="110" t="s">
        <v>16</v>
      </c>
      <c r="G8" s="108" t="s">
        <v>71</v>
      </c>
      <c r="H8" s="106" t="s">
        <v>1</v>
      </c>
      <c r="I8" s="109" t="s">
        <v>9</v>
      </c>
      <c r="J8" s="47" t="s">
        <v>8</v>
      </c>
    </row>
    <row r="9" spans="1:15" ht="18.75">
      <c r="A9" s="243"/>
      <c r="B9" s="268"/>
      <c r="C9" s="268"/>
      <c r="D9" s="268"/>
      <c r="E9" s="268"/>
      <c r="F9" s="268"/>
      <c r="G9" s="268"/>
      <c r="H9" s="33"/>
      <c r="I9" s="20"/>
      <c r="J9" s="116"/>
      <c r="N9" s="156"/>
      <c r="O9" s="156"/>
    </row>
    <row r="10" spans="1:15" ht="18.75">
      <c r="A10" s="94">
        <v>44228</v>
      </c>
      <c r="B10" s="268"/>
      <c r="C10" s="268"/>
      <c r="D10" s="268"/>
      <c r="E10" s="268"/>
      <c r="F10" s="268"/>
      <c r="G10" s="268"/>
      <c r="H10" s="111"/>
      <c r="I10" s="6"/>
      <c r="J10" s="116"/>
      <c r="N10" s="156"/>
      <c r="O10" s="156"/>
    </row>
    <row r="11" spans="1:15" ht="18.75">
      <c r="A11" s="94">
        <v>44229</v>
      </c>
      <c r="B11" s="268"/>
      <c r="C11" s="268"/>
      <c r="D11" s="268"/>
      <c r="E11" s="268"/>
      <c r="F11" s="268"/>
      <c r="G11" s="268"/>
      <c r="H11" s="111"/>
      <c r="I11" s="6"/>
      <c r="J11" s="116"/>
      <c r="M11" s="156"/>
      <c r="N11" s="156"/>
    </row>
    <row r="12" spans="1:15" ht="18.75">
      <c r="A12" s="94">
        <v>44230</v>
      </c>
      <c r="B12" s="268"/>
      <c r="C12" s="268"/>
      <c r="D12" s="268"/>
      <c r="E12" s="268"/>
      <c r="F12" s="268"/>
      <c r="G12" s="268"/>
      <c r="H12" s="111"/>
      <c r="I12" s="6"/>
      <c r="J12" s="116"/>
      <c r="M12" s="156"/>
      <c r="N12" s="156"/>
    </row>
    <row r="13" spans="1:15" ht="18.75">
      <c r="A13" s="94">
        <v>44231</v>
      </c>
      <c r="B13" s="268"/>
      <c r="C13" s="268"/>
      <c r="D13" s="268"/>
      <c r="E13" s="268"/>
      <c r="F13" s="268"/>
      <c r="G13" s="268"/>
      <c r="H13" s="111"/>
      <c r="I13" s="6"/>
      <c r="J13" s="116"/>
      <c r="M13" s="156"/>
      <c r="N13" s="156"/>
    </row>
    <row r="14" spans="1:15" ht="18.75">
      <c r="A14" s="94">
        <v>44232</v>
      </c>
      <c r="B14" s="268"/>
      <c r="C14" s="268"/>
      <c r="D14" s="268"/>
      <c r="E14" s="268"/>
      <c r="F14" s="268"/>
      <c r="G14" s="268"/>
      <c r="H14" s="111"/>
      <c r="I14" s="6"/>
      <c r="J14" s="116"/>
      <c r="M14" s="156"/>
      <c r="N14" s="156"/>
    </row>
    <row r="15" spans="1:15" ht="18.75">
      <c r="A15" s="94">
        <v>44233</v>
      </c>
      <c r="B15" s="268"/>
      <c r="C15" s="268"/>
      <c r="D15" s="268"/>
      <c r="E15" s="268"/>
      <c r="F15" s="268"/>
      <c r="G15" s="268"/>
      <c r="H15" s="111"/>
      <c r="I15" s="6"/>
      <c r="J15" s="116"/>
      <c r="M15" s="156"/>
      <c r="N15" s="156"/>
    </row>
    <row r="16" spans="1:15" ht="18.75">
      <c r="A16" s="94">
        <v>44234</v>
      </c>
      <c r="B16" s="268"/>
      <c r="C16" s="268"/>
      <c r="D16" s="268"/>
      <c r="E16" s="268"/>
      <c r="F16" s="268"/>
      <c r="G16" s="268"/>
      <c r="H16" s="111"/>
      <c r="I16" s="6"/>
      <c r="J16" s="116"/>
      <c r="M16" s="156"/>
      <c r="N16" s="156"/>
    </row>
    <row r="17" spans="1:14" ht="18.75">
      <c r="A17" s="94">
        <v>44235</v>
      </c>
      <c r="B17" s="268"/>
      <c r="C17" s="268"/>
      <c r="D17" s="268"/>
      <c r="E17" s="268"/>
      <c r="F17" s="268"/>
      <c r="G17" s="268"/>
      <c r="H17" s="111"/>
      <c r="I17" s="6"/>
      <c r="J17" s="116"/>
      <c r="M17" s="156"/>
      <c r="N17" s="156"/>
    </row>
    <row r="18" spans="1:14" ht="18.75">
      <c r="A18" s="94">
        <v>44236</v>
      </c>
      <c r="B18" s="268"/>
      <c r="C18" s="268"/>
      <c r="D18" s="268"/>
      <c r="E18" s="268"/>
      <c r="F18" s="268"/>
      <c r="G18" s="268"/>
      <c r="H18" s="111"/>
      <c r="I18" s="6"/>
      <c r="J18" s="116"/>
      <c r="M18" s="156"/>
      <c r="N18" s="156"/>
    </row>
    <row r="19" spans="1:14" ht="18.75">
      <c r="A19" s="94">
        <v>44237</v>
      </c>
      <c r="B19" s="268"/>
      <c r="C19" s="268"/>
      <c r="D19" s="268"/>
      <c r="E19" s="268"/>
      <c r="F19" s="268"/>
      <c r="G19" s="268"/>
      <c r="H19" s="111"/>
      <c r="I19" s="6"/>
      <c r="J19" s="116"/>
      <c r="M19" s="156"/>
      <c r="N19" s="156"/>
    </row>
    <row r="20" spans="1:14" ht="18.75">
      <c r="A20" s="94">
        <v>44238</v>
      </c>
      <c r="B20" s="268"/>
      <c r="C20" s="268"/>
      <c r="D20" s="268"/>
      <c r="E20" s="268"/>
      <c r="F20" s="268"/>
      <c r="G20" s="268"/>
      <c r="H20" s="111"/>
      <c r="I20" s="6"/>
      <c r="J20" s="116"/>
    </row>
    <row r="21" spans="1:14" ht="18.75">
      <c r="A21" s="94">
        <v>44239</v>
      </c>
      <c r="B21" s="268"/>
      <c r="C21" s="268"/>
      <c r="D21" s="268"/>
      <c r="E21" s="268"/>
      <c r="F21" s="268"/>
      <c r="G21" s="268"/>
      <c r="H21" s="111"/>
      <c r="I21" s="6"/>
      <c r="J21" s="116"/>
    </row>
    <row r="22" spans="1:14" ht="18.75">
      <c r="A22" s="94">
        <v>44240</v>
      </c>
      <c r="B22" s="268"/>
      <c r="C22" s="268"/>
      <c r="D22" s="268"/>
      <c r="E22" s="268"/>
      <c r="F22" s="268"/>
      <c r="G22" s="268"/>
      <c r="H22" s="111"/>
      <c r="I22" s="6"/>
      <c r="J22" s="116"/>
    </row>
    <row r="23" spans="1:14" ht="18.75">
      <c r="A23" s="94">
        <v>44241</v>
      </c>
      <c r="B23" s="268"/>
      <c r="C23" s="268"/>
      <c r="D23" s="268"/>
      <c r="E23" s="268"/>
      <c r="F23" s="268"/>
      <c r="G23" s="268"/>
      <c r="H23" s="111"/>
      <c r="I23" s="6"/>
      <c r="J23" s="116"/>
    </row>
    <row r="24" spans="1:14" ht="18.75">
      <c r="A24" s="94">
        <v>44242</v>
      </c>
      <c r="B24" s="268"/>
      <c r="C24" s="268"/>
      <c r="D24" s="268"/>
      <c r="E24" s="268"/>
      <c r="F24" s="268"/>
      <c r="G24" s="268"/>
      <c r="H24" s="111"/>
      <c r="I24" s="6"/>
      <c r="J24" s="116"/>
    </row>
    <row r="25" spans="1:14" ht="18.75">
      <c r="A25" s="94">
        <v>44243</v>
      </c>
      <c r="B25" s="268"/>
      <c r="C25" s="268"/>
      <c r="D25" s="268"/>
      <c r="E25" s="268"/>
      <c r="F25" s="268"/>
      <c r="G25" s="268"/>
      <c r="H25" s="111"/>
      <c r="I25" s="6"/>
      <c r="J25" s="116"/>
    </row>
    <row r="26" spans="1:14" ht="18.75">
      <c r="A26" s="94">
        <v>44244</v>
      </c>
      <c r="B26" s="268"/>
      <c r="C26" s="268"/>
      <c r="D26" s="268"/>
      <c r="E26" s="268"/>
      <c r="F26" s="268"/>
      <c r="G26" s="268"/>
      <c r="H26" s="111"/>
      <c r="I26" s="6"/>
      <c r="J26" s="116"/>
    </row>
    <row r="27" spans="1:14" ht="18.75">
      <c r="A27" s="94">
        <v>44245</v>
      </c>
      <c r="B27" s="268"/>
      <c r="C27" s="268"/>
      <c r="D27" s="268"/>
      <c r="E27" s="268"/>
      <c r="F27" s="268"/>
      <c r="G27" s="268"/>
      <c r="H27" s="111"/>
      <c r="I27" s="6"/>
      <c r="J27" s="116"/>
    </row>
    <row r="28" spans="1:14" ht="18.75">
      <c r="A28" s="94">
        <v>44246</v>
      </c>
      <c r="B28" s="268"/>
      <c r="C28" s="268"/>
      <c r="D28" s="268"/>
      <c r="E28" s="268"/>
      <c r="F28" s="268"/>
      <c r="G28" s="268"/>
      <c r="H28" s="111"/>
      <c r="I28" s="6"/>
      <c r="J28" s="116"/>
    </row>
    <row r="29" spans="1:14" ht="18.75">
      <c r="A29" s="94">
        <v>44247</v>
      </c>
      <c r="B29" s="268"/>
      <c r="C29" s="268"/>
      <c r="D29" s="268"/>
      <c r="E29" s="268"/>
      <c r="F29" s="268"/>
      <c r="G29" s="268"/>
      <c r="H29" s="111"/>
      <c r="I29" s="6"/>
      <c r="J29" s="116"/>
    </row>
    <row r="30" spans="1:14" ht="18.75">
      <c r="A30" s="94">
        <v>44248</v>
      </c>
      <c r="B30" s="268"/>
      <c r="C30" s="268"/>
      <c r="D30" s="268"/>
      <c r="E30" s="268"/>
      <c r="F30" s="268"/>
      <c r="G30" s="268"/>
      <c r="H30" s="111"/>
      <c r="I30" s="6"/>
      <c r="J30" s="116"/>
    </row>
    <row r="31" spans="1:14" ht="18.75">
      <c r="A31" s="94">
        <v>44249</v>
      </c>
      <c r="B31" s="268"/>
      <c r="C31" s="268"/>
      <c r="D31" s="268"/>
      <c r="E31" s="268"/>
      <c r="F31" s="268"/>
      <c r="G31" s="268"/>
      <c r="H31" s="111"/>
      <c r="I31" s="6"/>
      <c r="J31" s="116"/>
    </row>
    <row r="32" spans="1:14" ht="18.75">
      <c r="A32" s="94">
        <v>44250</v>
      </c>
      <c r="B32" s="268"/>
      <c r="C32" s="268"/>
      <c r="D32" s="268"/>
      <c r="E32" s="268"/>
      <c r="F32" s="268"/>
      <c r="G32" s="268"/>
      <c r="H32" s="111"/>
      <c r="I32" s="6"/>
      <c r="J32" s="116"/>
    </row>
    <row r="33" spans="1:10" ht="18.75">
      <c r="A33" s="94">
        <v>44251</v>
      </c>
      <c r="B33" s="268"/>
      <c r="C33" s="268"/>
      <c r="D33" s="268"/>
      <c r="E33" s="268"/>
      <c r="F33" s="268"/>
      <c r="G33" s="268"/>
      <c r="H33" s="111"/>
      <c r="I33" s="6"/>
      <c r="J33" s="116"/>
    </row>
    <row r="34" spans="1:10" ht="18.75">
      <c r="A34" s="94">
        <v>44252</v>
      </c>
      <c r="B34" s="268"/>
      <c r="C34" s="268"/>
      <c r="D34" s="268"/>
      <c r="E34" s="268"/>
      <c r="F34" s="268"/>
      <c r="G34" s="268"/>
      <c r="H34" s="111"/>
      <c r="I34" s="6"/>
      <c r="J34" s="116"/>
    </row>
    <row r="35" spans="1:10" ht="18.75">
      <c r="A35" s="94">
        <v>44253</v>
      </c>
      <c r="B35" s="268"/>
      <c r="C35" s="268"/>
      <c r="D35" s="268"/>
      <c r="E35" s="268"/>
      <c r="F35" s="268"/>
      <c r="G35" s="268"/>
      <c r="H35" s="111"/>
      <c r="I35" s="6"/>
      <c r="J35" s="116"/>
    </row>
    <row r="36" spans="1:10" ht="18.75">
      <c r="A36" s="94">
        <v>44254</v>
      </c>
      <c r="B36" s="268"/>
      <c r="C36" s="268"/>
      <c r="D36" s="268"/>
      <c r="E36" s="268"/>
      <c r="F36" s="268"/>
      <c r="G36" s="268"/>
      <c r="H36" s="111"/>
      <c r="I36" s="6"/>
      <c r="J36" s="116"/>
    </row>
    <row r="37" spans="1:10" ht="18.75">
      <c r="A37" s="94">
        <v>44255</v>
      </c>
      <c r="B37" s="268"/>
      <c r="C37" s="268"/>
      <c r="D37" s="268"/>
      <c r="E37" s="268"/>
      <c r="F37" s="268"/>
      <c r="G37" s="268"/>
      <c r="H37" s="111"/>
      <c r="I37" s="6"/>
      <c r="J37" s="116"/>
    </row>
    <row r="38" spans="1:10" ht="18.75">
      <c r="A38" s="94"/>
      <c r="B38" s="268"/>
      <c r="C38" s="268"/>
      <c r="D38" s="268"/>
      <c r="E38" s="268"/>
      <c r="F38" s="268"/>
      <c r="G38" s="268"/>
      <c r="H38" s="111"/>
      <c r="I38" s="6"/>
      <c r="J38" s="116"/>
    </row>
    <row r="39" spans="1:10" ht="18.75">
      <c r="A39" s="94"/>
      <c r="B39" s="268"/>
      <c r="C39" s="268"/>
      <c r="D39" s="268"/>
      <c r="E39" s="268"/>
      <c r="F39" s="268"/>
      <c r="G39" s="268"/>
      <c r="H39" s="111"/>
      <c r="I39" s="6"/>
      <c r="J39" s="116"/>
    </row>
    <row r="40" spans="1:10" ht="18.75">
      <c r="A40" s="94"/>
      <c r="B40" s="268"/>
      <c r="C40" s="268"/>
      <c r="D40" s="268"/>
      <c r="E40" s="268"/>
      <c r="F40" s="268"/>
      <c r="G40" s="268"/>
      <c r="H40" s="111"/>
      <c r="I40" s="6"/>
      <c r="J40" s="116"/>
    </row>
    <row r="41" spans="1:10" ht="18.75">
      <c r="A41" s="94"/>
      <c r="B41" s="268"/>
      <c r="C41" s="268"/>
      <c r="D41" s="268"/>
      <c r="E41" s="268"/>
      <c r="F41" s="268"/>
      <c r="G41" s="268"/>
      <c r="H41" s="111"/>
      <c r="I41" s="6"/>
      <c r="J41" s="6"/>
    </row>
    <row r="42" spans="1:10" ht="17.25">
      <c r="A42" s="94"/>
      <c r="B42" s="5"/>
      <c r="C42" s="891" t="s">
        <v>6</v>
      </c>
      <c r="D42" s="891"/>
      <c r="E42" s="2">
        <f t="shared" ref="E42:F42" si="0">SUM(E10:E40)</f>
        <v>0</v>
      </c>
      <c r="F42" s="2">
        <f t="shared" si="0"/>
        <v>0</v>
      </c>
      <c r="G42" s="101">
        <f>SUM(G10:G40)</f>
        <v>0</v>
      </c>
      <c r="H42" s="111"/>
      <c r="I42" s="6"/>
      <c r="J42" s="116"/>
    </row>
    <row r="44" spans="1:10">
      <c r="G44"/>
    </row>
    <row r="45" spans="1:10">
      <c r="G45"/>
    </row>
    <row r="46" spans="1:10">
      <c r="G46"/>
    </row>
    <row r="47" spans="1:10">
      <c r="G47"/>
    </row>
    <row r="48" spans="1:10">
      <c r="G48"/>
    </row>
    <row r="49" spans="7:7">
      <c r="G49"/>
    </row>
    <row r="50" spans="7:7">
      <c r="G50"/>
    </row>
    <row r="51" spans="7:7">
      <c r="G51"/>
    </row>
    <row r="52" spans="7:7">
      <c r="G52"/>
    </row>
    <row r="53" spans="7:7">
      <c r="G53"/>
    </row>
    <row r="54" spans="7:7">
      <c r="G54"/>
    </row>
    <row r="55" spans="7:7">
      <c r="G55"/>
    </row>
    <row r="56" spans="7:7">
      <c r="G56"/>
    </row>
    <row r="57" spans="7:7">
      <c r="G57"/>
    </row>
    <row r="58" spans="7:7">
      <c r="G58"/>
    </row>
    <row r="59" spans="7:7">
      <c r="G59"/>
    </row>
    <row r="60" spans="7:7">
      <c r="G60"/>
    </row>
    <row r="61" spans="7:7">
      <c r="G61"/>
    </row>
    <row r="62" spans="7:7">
      <c r="G62"/>
    </row>
    <row r="63" spans="7:7">
      <c r="G63"/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75</v>
      </c>
      <c r="C1" s="13" t="s">
        <v>24</v>
      </c>
    </row>
    <row r="2" spans="1:3">
      <c r="A2" s="93">
        <f>Gen!A11</f>
        <v>44228</v>
      </c>
      <c r="B2" s="12">
        <f>'[1]Lpg (2)'!G10</f>
        <v>197.55999999997439</v>
      </c>
      <c r="C2" s="92">
        <f>SUM([1]Gen!B11)</f>
        <v>0.623</v>
      </c>
    </row>
    <row r="3" spans="1:3">
      <c r="A3" s="93">
        <f>Gen!A12</f>
        <v>44229</v>
      </c>
      <c r="B3" s="12">
        <f>'[1]Lpg (2)'!G11</f>
        <v>131.95600000002307</v>
      </c>
      <c r="C3" s="92">
        <f>SUM([1]Gen!B12)</f>
        <v>0.77900000000000003</v>
      </c>
    </row>
    <row r="4" spans="1:3">
      <c r="A4" s="93">
        <f>Gen!A13</f>
        <v>44230</v>
      </c>
      <c r="B4" s="12">
        <f>'[1]Lpg (2)'!G12</f>
        <v>117.4799999999872</v>
      </c>
      <c r="C4" s="92">
        <f>SUM([1]Gen!B13)</f>
        <v>0.53200000000000003</v>
      </c>
    </row>
    <row r="5" spans="1:3">
      <c r="A5" s="93">
        <f>Gen!A14</f>
        <v>44231</v>
      </c>
      <c r="B5" s="12">
        <f>'[1]Lpg (2)'!G13</f>
        <v>102.9599999999744</v>
      </c>
      <c r="C5" s="92">
        <f>SUM([1]Gen!B14)</f>
        <v>0.61</v>
      </c>
    </row>
    <row r="6" spans="1:3">
      <c r="A6" s="93">
        <f>Gen!A15</f>
        <v>44232</v>
      </c>
      <c r="B6" s="12">
        <f>'[1]Lpg (2)'!G14</f>
        <v>101.81599999999744</v>
      </c>
      <c r="C6" s="92">
        <f>SUM([1]Gen!B15)</f>
        <v>0.68799999999999994</v>
      </c>
    </row>
    <row r="7" spans="1:3">
      <c r="A7" s="93">
        <f>Gen!A16</f>
        <v>44233</v>
      </c>
      <c r="B7" s="12">
        <f>'[1]Lpg (2)'!G15</f>
        <v>106.92000000001282</v>
      </c>
      <c r="C7" s="92">
        <f>SUM([1]Gen!B16)</f>
        <v>0.53200000000000003</v>
      </c>
    </row>
    <row r="8" spans="1:3">
      <c r="A8" s="93">
        <f>Gen!A17</f>
        <v>44234</v>
      </c>
      <c r="B8" s="12">
        <f>'[1]Lpg (2)'!G16</f>
        <v>116.73199999999488</v>
      </c>
      <c r="C8" s="92">
        <f>SUM([1]Gen!B17)</f>
        <v>0.753</v>
      </c>
    </row>
    <row r="9" spans="1:3">
      <c r="A9" s="93">
        <f>Gen!A18</f>
        <v>44235</v>
      </c>
      <c r="B9" s="12">
        <f>'[1]Lpg (2)'!G17</f>
        <v>105.73199999999488</v>
      </c>
      <c r="C9" s="92">
        <f>SUM([1]Gen!B18)</f>
        <v>0.156</v>
      </c>
    </row>
    <row r="10" spans="1:3">
      <c r="A10" s="93">
        <f>Gen!A19</f>
        <v>44236</v>
      </c>
      <c r="B10" s="12">
        <f>'[1]Lpg (2)'!G18</f>
        <v>114.4</v>
      </c>
      <c r="C10" s="92">
        <f>SUM([1]Gen!B19)</f>
        <v>0.442</v>
      </c>
    </row>
    <row r="11" spans="1:3">
      <c r="A11" s="93">
        <f>Gen!A20</f>
        <v>44237</v>
      </c>
      <c r="B11" s="12">
        <f>'[1]Lpg (2)'!G19</f>
        <v>102.08000000005123</v>
      </c>
      <c r="C11" s="92">
        <f>SUM([1]Gen!B20)</f>
        <v>0.32500000000000001</v>
      </c>
    </row>
    <row r="12" spans="1:3">
      <c r="A12" s="93">
        <f>Gen!A21</f>
        <v>44238</v>
      </c>
      <c r="B12" s="12">
        <f>'[1]Lpg (2)'!G20</f>
        <v>105.29199999996928</v>
      </c>
      <c r="C12" s="92">
        <f>SUM([1]Gen!B21)</f>
        <v>0.45500000000000002</v>
      </c>
    </row>
    <row r="13" spans="1:3">
      <c r="A13" s="93">
        <f>Gen!A22</f>
        <v>44239</v>
      </c>
      <c r="B13" s="12">
        <f>'[1]Lpg (2)'!G21</f>
        <v>114.66399999998977</v>
      </c>
      <c r="C13" s="92">
        <f>SUM([1]Gen!B22)</f>
        <v>0.41599999999999998</v>
      </c>
    </row>
    <row r="14" spans="1:3">
      <c r="A14" s="93">
        <f>Gen!A23</f>
        <v>44240</v>
      </c>
      <c r="B14" s="12">
        <f>'[1]Lpg (2)'!G22</f>
        <v>113.78400000000256</v>
      </c>
      <c r="C14" s="92">
        <f>SUM([1]Gen!B23)</f>
        <v>0.39</v>
      </c>
    </row>
    <row r="15" spans="1:3">
      <c r="A15" s="93">
        <f>Gen!A24</f>
        <v>44241</v>
      </c>
      <c r="B15" s="12">
        <f>'[1]Lpg (2)'!G23</f>
        <v>114.62000000001281</v>
      </c>
      <c r="C15" s="92">
        <f>SUM([1]Gen!B24)</f>
        <v>0.63600000000000001</v>
      </c>
    </row>
    <row r="16" spans="1:3">
      <c r="A16" s="93">
        <f>Gen!A25</f>
        <v>44242</v>
      </c>
      <c r="B16" s="12">
        <f>'[1]Lpg (2)'!G24</f>
        <v>107.49199999996928</v>
      </c>
      <c r="C16" s="92">
        <f>SUM([1]Gen!B25)</f>
        <v>0.84399999999999997</v>
      </c>
    </row>
    <row r="17" spans="1:3">
      <c r="A17" s="93">
        <f>Gen!A26</f>
        <v>44243</v>
      </c>
      <c r="B17" s="12">
        <f>'[1]Lpg (2)'!G25</f>
        <v>106.78800000001793</v>
      </c>
      <c r="C17" s="92">
        <f>SUM([1]Gen!B26)</f>
        <v>0.81799999999999995</v>
      </c>
    </row>
    <row r="18" spans="1:3">
      <c r="A18" s="93">
        <f>Gen!A27</f>
        <v>44244</v>
      </c>
      <c r="B18" s="12">
        <f>'[1]Lpg (2)'!G26</f>
        <v>100.76000000003843</v>
      </c>
      <c r="C18" s="92">
        <f>SUM([1]Gen!B27)</f>
        <v>0.20799999999999999</v>
      </c>
    </row>
    <row r="19" spans="1:3">
      <c r="A19" s="93">
        <f>Gen!A28</f>
        <v>44245</v>
      </c>
      <c r="B19" s="12">
        <f>'[1]Lpg (2)'!G27</f>
        <v>108.6799999999872</v>
      </c>
      <c r="C19" s="92">
        <f>SUM([1]Gen!B28)</f>
        <v>0.221</v>
      </c>
    </row>
    <row r="20" spans="1:3">
      <c r="A20" s="93">
        <f>Gen!A29</f>
        <v>44246</v>
      </c>
      <c r="B20" s="12">
        <f>'[1]Lpg (2)'!G28</f>
        <v>92.795999999984645</v>
      </c>
      <c r="C20" s="92">
        <f>SUM([1]Gen!B29)</f>
        <v>0.11700000000000001</v>
      </c>
    </row>
    <row r="21" spans="1:3">
      <c r="A21" s="93">
        <f>Gen!A30</f>
        <v>44247</v>
      </c>
      <c r="B21" s="12">
        <f>'[1]Lpg (2)'!G29</f>
        <v>137.80800000003075</v>
      </c>
      <c r="C21" s="92">
        <f>SUM([1]Gen!B30)</f>
        <v>0.57099999999999995</v>
      </c>
    </row>
    <row r="22" spans="1:3">
      <c r="A22" s="93">
        <f>Gen!A31</f>
        <v>44248</v>
      </c>
      <c r="B22" s="12">
        <f>'[1]Lpg (2)'!G30</f>
        <v>103.79599999998464</v>
      </c>
      <c r="C22" s="92">
        <f>SUM([1]Gen!B31)</f>
        <v>0.55800000000000005</v>
      </c>
    </row>
    <row r="23" spans="1:3">
      <c r="A23" s="93">
        <f>Gen!A32</f>
        <v>44249</v>
      </c>
      <c r="B23" s="12">
        <f>'[1]Lpg (2)'!G31</f>
        <v>20.415999999997439</v>
      </c>
      <c r="C23" s="92">
        <f>SUM([1]Gen!B32)</f>
        <v>0.40300000000000002</v>
      </c>
    </row>
    <row r="24" spans="1:3">
      <c r="A24" s="93">
        <f>Gen!A33</f>
        <v>44250</v>
      </c>
      <c r="B24" s="12">
        <f>'[1]Lpg (2)'!G32</f>
        <v>197.69199999996928</v>
      </c>
      <c r="C24" s="92">
        <f>SUM([1]Gen!B33)</f>
        <v>0.24</v>
      </c>
    </row>
    <row r="25" spans="1:3">
      <c r="A25" s="93">
        <f>Gen!A34</f>
        <v>44251</v>
      </c>
      <c r="B25" s="12">
        <f>'[1]Lpg (2)'!G33</f>
        <v>101.11200000004611</v>
      </c>
      <c r="C25" s="92">
        <f>SUM([1]Gen!B34)</f>
        <v>0.09</v>
      </c>
    </row>
    <row r="26" spans="1:3">
      <c r="A26" s="93">
        <f>Gen!A35</f>
        <v>44252</v>
      </c>
      <c r="B26" s="12">
        <f>'[1]Lpg (2)'!G34</f>
        <v>95.303999999951344</v>
      </c>
      <c r="C26" s="92">
        <f>SUM([1]Gen!B35)</f>
        <v>0.28599999999999998</v>
      </c>
    </row>
    <row r="27" spans="1:3">
      <c r="A27" s="93">
        <f>Gen!A36</f>
        <v>44253</v>
      </c>
      <c r="B27" s="12">
        <f>'[1]Lpg (2)'!G35</f>
        <v>104.80800000003075</v>
      </c>
      <c r="C27" s="92">
        <f>SUM([1]Gen!B36)</f>
        <v>0.54500000000000004</v>
      </c>
    </row>
    <row r="28" spans="1:3">
      <c r="A28" s="93">
        <f>Gen!A37</f>
        <v>44254</v>
      </c>
      <c r="B28" s="12">
        <f>'[1]Lpg (2)'!G36</f>
        <v>102.43199999999489</v>
      </c>
      <c r="C28" s="92">
        <f>SUM([1]Gen!B37)</f>
        <v>0.67500000000000004</v>
      </c>
    </row>
    <row r="29" spans="1:3">
      <c r="A29" s="93">
        <f>Gen!A38</f>
        <v>44255</v>
      </c>
      <c r="B29" s="12">
        <f>'[1]Lpg (2)'!G37</f>
        <v>-295728.88400000002</v>
      </c>
      <c r="C29" s="92">
        <f>SUM([1]Gen!B38)</f>
        <v>0.27300000000000002</v>
      </c>
    </row>
    <row r="30" spans="1:3">
      <c r="A30" s="93">
        <f>Gen!A39</f>
        <v>0</v>
      </c>
      <c r="B30" s="12">
        <f>'[1]Lpg (2)'!G38</f>
        <v>0</v>
      </c>
      <c r="C30" s="92" t="e">
        <f>SUM([1]Gen!B39)</f>
        <v>#REF!</v>
      </c>
    </row>
    <row r="31" spans="1:3">
      <c r="A31" s="93">
        <f>Gen!A40</f>
        <v>0</v>
      </c>
      <c r="B31" s="12">
        <f>'[1]Lpg (2)'!G39</f>
        <v>0</v>
      </c>
      <c r="C31" s="92" t="e">
        <f>SUM([1]Gen!B40)</f>
        <v>#REF!</v>
      </c>
    </row>
    <row r="32" spans="1:3">
      <c r="A32" s="93">
        <f>Gen!A41</f>
        <v>0</v>
      </c>
      <c r="B32" s="12">
        <f>'[1]Lpg (2)'!G40</f>
        <v>0</v>
      </c>
      <c r="C32" s="92" t="e">
        <f>SUM([1]Gen!B41)</f>
        <v>#REF!</v>
      </c>
    </row>
    <row r="33" spans="1:2">
      <c r="A33" s="9"/>
      <c r="B33" s="12"/>
    </row>
    <row r="34" spans="1:2">
      <c r="A34" s="9"/>
      <c r="B34" s="12"/>
    </row>
    <row r="35" spans="1:2">
      <c r="A35" s="9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opLeftCell="A37" zoomScale="94" zoomScaleNormal="94" workbookViewId="0">
      <pane xSplit="1" topLeftCell="B1" activePane="topRight" state="frozen"/>
      <selection pane="topRight" activeCell="I52" sqref="I52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01" t="s">
        <v>315</v>
      </c>
      <c r="B1" s="902"/>
      <c r="C1" s="902"/>
      <c r="D1" s="902"/>
      <c r="E1" s="902"/>
      <c r="F1" s="902"/>
      <c r="G1" s="902"/>
      <c r="H1" s="902"/>
      <c r="I1" s="902"/>
      <c r="J1" s="902"/>
      <c r="K1" s="902"/>
      <c r="L1" s="902"/>
      <c r="M1" s="902"/>
      <c r="N1" s="902"/>
      <c r="O1" s="902"/>
      <c r="P1" s="902"/>
      <c r="Q1" s="902"/>
      <c r="R1" s="902"/>
      <c r="S1" s="902"/>
      <c r="T1" s="902"/>
      <c r="U1" s="902"/>
      <c r="V1" s="902"/>
      <c r="W1" s="902"/>
      <c r="X1" s="902"/>
      <c r="Y1" s="902"/>
      <c r="Z1" s="902"/>
      <c r="AA1" s="902"/>
      <c r="AB1" s="902"/>
      <c r="AC1" s="902"/>
      <c r="AD1" s="902"/>
      <c r="AE1" s="902"/>
      <c r="AF1" s="902"/>
      <c r="AG1" s="902"/>
      <c r="AH1" s="902"/>
      <c r="AI1" s="902"/>
      <c r="AJ1" s="902"/>
      <c r="AK1" s="902"/>
      <c r="AL1" s="902"/>
      <c r="AM1" s="902"/>
      <c r="AN1" s="902"/>
    </row>
    <row r="2" spans="1:40" ht="13.5" customHeight="1" thickTop="1">
      <c r="A2" s="29"/>
      <c r="B2" s="29"/>
      <c r="C2" s="898" t="s">
        <v>52</v>
      </c>
      <c r="D2" s="898"/>
      <c r="E2" s="898"/>
      <c r="F2" s="898" t="s">
        <v>17</v>
      </c>
      <c r="G2" s="898"/>
      <c r="H2" s="898"/>
      <c r="I2" s="898" t="s">
        <v>131</v>
      </c>
      <c r="J2" s="898"/>
      <c r="K2" s="898"/>
      <c r="L2" s="898" t="s">
        <v>134</v>
      </c>
      <c r="M2" s="898"/>
      <c r="N2" s="898"/>
      <c r="O2" s="898" t="s">
        <v>132</v>
      </c>
      <c r="P2" s="898"/>
      <c r="Q2" s="898"/>
      <c r="R2" s="252"/>
      <c r="S2" s="909" t="s">
        <v>181</v>
      </c>
      <c r="T2" s="910"/>
      <c r="U2" s="911"/>
      <c r="V2" s="909" t="s">
        <v>182</v>
      </c>
      <c r="W2" s="910"/>
      <c r="X2" s="911"/>
      <c r="Y2" s="909" t="s">
        <v>183</v>
      </c>
      <c r="Z2" s="910"/>
      <c r="AA2" s="911"/>
      <c r="AB2" s="909" t="s">
        <v>184</v>
      </c>
      <c r="AC2" s="910"/>
      <c r="AD2" s="911"/>
      <c r="AE2" s="903" t="s">
        <v>239</v>
      </c>
      <c r="AF2" s="904"/>
      <c r="AG2" s="915"/>
      <c r="AH2" s="903" t="s">
        <v>243</v>
      </c>
      <c r="AI2" s="904"/>
      <c r="AJ2" s="915"/>
      <c r="AK2" s="903" t="s">
        <v>240</v>
      </c>
      <c r="AL2" s="904"/>
      <c r="AM2" s="904"/>
      <c r="AN2" s="907" t="s">
        <v>189</v>
      </c>
    </row>
    <row r="3" spans="1:40" ht="21.75" customHeight="1" thickBot="1">
      <c r="A3" s="899" t="s">
        <v>7</v>
      </c>
      <c r="B3" s="29"/>
      <c r="C3" s="898" t="s">
        <v>133</v>
      </c>
      <c r="D3" s="898" t="s">
        <v>15</v>
      </c>
      <c r="E3" s="898" t="s">
        <v>16</v>
      </c>
      <c r="F3" s="898" t="s">
        <v>133</v>
      </c>
      <c r="G3" s="898" t="s">
        <v>15</v>
      </c>
      <c r="H3" s="898" t="s">
        <v>16</v>
      </c>
      <c r="I3" s="898" t="s">
        <v>133</v>
      </c>
      <c r="J3" s="898" t="s">
        <v>15</v>
      </c>
      <c r="K3" s="898" t="s">
        <v>16</v>
      </c>
      <c r="L3" s="898" t="s">
        <v>133</v>
      </c>
      <c r="M3" s="898" t="s">
        <v>15</v>
      </c>
      <c r="N3" s="898" t="s">
        <v>16</v>
      </c>
      <c r="O3" s="898" t="s">
        <v>133</v>
      </c>
      <c r="P3" s="898" t="s">
        <v>15</v>
      </c>
      <c r="Q3" s="898" t="s">
        <v>16</v>
      </c>
      <c r="R3" s="917" t="s">
        <v>185</v>
      </c>
      <c r="S3" s="912"/>
      <c r="T3" s="913"/>
      <c r="U3" s="914"/>
      <c r="V3" s="912"/>
      <c r="W3" s="913"/>
      <c r="X3" s="914"/>
      <c r="Y3" s="912"/>
      <c r="Z3" s="913"/>
      <c r="AA3" s="914"/>
      <c r="AB3" s="912"/>
      <c r="AC3" s="913"/>
      <c r="AD3" s="914"/>
      <c r="AE3" s="905"/>
      <c r="AF3" s="906"/>
      <c r="AG3" s="916"/>
      <c r="AH3" s="905"/>
      <c r="AI3" s="906"/>
      <c r="AJ3" s="916"/>
      <c r="AK3" s="905"/>
      <c r="AL3" s="906"/>
      <c r="AM3" s="906"/>
      <c r="AN3" s="908"/>
    </row>
    <row r="4" spans="1:40" ht="15.75" thickTop="1">
      <c r="A4" s="900"/>
      <c r="B4" s="244"/>
      <c r="C4" s="898"/>
      <c r="D4" s="898"/>
      <c r="E4" s="898"/>
      <c r="F4" s="898"/>
      <c r="G4" s="898"/>
      <c r="H4" s="898"/>
      <c r="I4" s="898"/>
      <c r="J4" s="898"/>
      <c r="K4" s="898"/>
      <c r="L4" s="898"/>
      <c r="M4" s="898"/>
      <c r="N4" s="898"/>
      <c r="O4" s="898"/>
      <c r="P4" s="898"/>
      <c r="Q4" s="898"/>
      <c r="R4" s="917"/>
      <c r="S4" s="258" t="s">
        <v>186</v>
      </c>
      <c r="T4" s="259" t="s">
        <v>187</v>
      </c>
      <c r="U4" s="256" t="s">
        <v>188</v>
      </c>
      <c r="V4" s="254" t="s">
        <v>186</v>
      </c>
      <c r="W4" s="255" t="s">
        <v>187</v>
      </c>
      <c r="X4" s="256" t="s">
        <v>188</v>
      </c>
      <c r="Y4" s="254" t="s">
        <v>186</v>
      </c>
      <c r="Z4" s="255" t="s">
        <v>187</v>
      </c>
      <c r="AA4" s="256" t="s">
        <v>188</v>
      </c>
      <c r="AB4" s="605" t="s">
        <v>186</v>
      </c>
      <c r="AC4" s="606" t="s">
        <v>187</v>
      </c>
      <c r="AD4" s="607" t="s">
        <v>119</v>
      </c>
      <c r="AE4" s="254" t="s">
        <v>186</v>
      </c>
      <c r="AF4" s="255" t="s">
        <v>187</v>
      </c>
      <c r="AG4" s="291" t="s">
        <v>119</v>
      </c>
      <c r="AH4" s="254" t="s">
        <v>186</v>
      </c>
      <c r="AI4" s="255" t="s">
        <v>187</v>
      </c>
      <c r="AJ4" s="291" t="s">
        <v>119</v>
      </c>
      <c r="AK4" s="254" t="s">
        <v>186</v>
      </c>
      <c r="AL4" s="255" t="s">
        <v>187</v>
      </c>
      <c r="AM4" s="291" t="s">
        <v>119</v>
      </c>
      <c r="AN4" s="292"/>
    </row>
    <row r="5" spans="1:40" ht="20.25">
      <c r="A5" s="4"/>
      <c r="B5" s="4"/>
      <c r="C5" s="95">
        <f t="shared" ref="C5:C24" si="0">D4</f>
        <v>0</v>
      </c>
      <c r="D5" s="1">
        <v>249358</v>
      </c>
      <c r="E5" s="58">
        <f t="shared" ref="E5:E15" si="1">IF((D5-D4)&lt;0,"0",(D5-D4))</f>
        <v>249358</v>
      </c>
      <c r="F5" s="95">
        <f t="shared" ref="F5:F37" si="2">G4</f>
        <v>0</v>
      </c>
      <c r="G5" s="387"/>
      <c r="H5" s="474">
        <v>0</v>
      </c>
      <c r="I5" s="95">
        <f t="shared" ref="I5:I24" si="3">J4</f>
        <v>0</v>
      </c>
      <c r="J5" s="1">
        <v>8241</v>
      </c>
      <c r="K5" s="474"/>
      <c r="L5" s="95">
        <f t="shared" ref="L5:L24" si="4">M4</f>
        <v>0</v>
      </c>
      <c r="M5" s="1"/>
      <c r="N5" s="474">
        <v>0</v>
      </c>
      <c r="O5" s="95">
        <f t="shared" ref="O5:O25" si="5">P4</f>
        <v>0</v>
      </c>
      <c r="P5" s="383">
        <v>20888</v>
      </c>
      <c r="Q5" s="474">
        <f t="shared" ref="Q5:Q27" si="6">IF((P5-P4)&lt;0,"0",(P5-P4))</f>
        <v>20888</v>
      </c>
      <c r="R5" s="246"/>
      <c r="S5" s="245"/>
      <c r="T5" s="384">
        <v>64582</v>
      </c>
      <c r="U5" s="245"/>
      <c r="V5" s="245" t="str">
        <f t="shared" ref="V5:V20" si="7">W4</f>
        <v>FINAL</v>
      </c>
      <c r="W5" s="384">
        <v>73031</v>
      </c>
      <c r="X5" s="246">
        <v>0</v>
      </c>
      <c r="Y5" s="245" t="str">
        <f t="shared" ref="Y5:Y37" si="8">Z4</f>
        <v>FINAL</v>
      </c>
      <c r="Z5" s="384">
        <v>89012</v>
      </c>
      <c r="AA5" s="246">
        <v>0</v>
      </c>
      <c r="AB5" s="608" t="str">
        <f>AC4</f>
        <v>FINAL</v>
      </c>
      <c r="AC5" s="612">
        <v>17837</v>
      </c>
      <c r="AD5" s="610"/>
      <c r="AE5" s="245" t="str">
        <f t="shared" ref="AE5:AE37" si="9">AF4</f>
        <v>FINAL</v>
      </c>
      <c r="AF5" s="385">
        <v>18300</v>
      </c>
      <c r="AG5" s="260">
        <v>0</v>
      </c>
      <c r="AH5" s="245" t="str">
        <f t="shared" ref="AH5:AH37" si="10">AI4</f>
        <v>FINAL</v>
      </c>
      <c r="AI5" s="385">
        <v>28766</v>
      </c>
      <c r="AJ5" s="260"/>
      <c r="AK5" s="315" t="str">
        <f t="shared" ref="AK5:AK37" si="11">AL4</f>
        <v>FINAL</v>
      </c>
      <c r="AL5" s="384"/>
      <c r="AM5" s="260"/>
      <c r="AN5" s="389"/>
    </row>
    <row r="6" spans="1:40" ht="23.1" customHeight="1">
      <c r="A6" s="57">
        <f>Gen!A11</f>
        <v>44228</v>
      </c>
      <c r="B6" s="4"/>
      <c r="C6" s="95">
        <f t="shared" si="0"/>
        <v>249358</v>
      </c>
      <c r="D6" s="1">
        <v>249416</v>
      </c>
      <c r="E6" s="58">
        <f t="shared" si="1"/>
        <v>58</v>
      </c>
      <c r="F6" s="95">
        <f t="shared" si="2"/>
        <v>0</v>
      </c>
      <c r="G6" s="387"/>
      <c r="H6" s="474">
        <f t="shared" ref="H6:H24" si="12">IF((G6-G5)&lt;0,"0",(G6-G5))</f>
        <v>0</v>
      </c>
      <c r="I6" s="95">
        <f t="shared" si="3"/>
        <v>8241</v>
      </c>
      <c r="J6" s="1">
        <v>8243</v>
      </c>
      <c r="K6" s="474"/>
      <c r="L6" s="95">
        <f t="shared" si="4"/>
        <v>0</v>
      </c>
      <c r="M6" s="1"/>
      <c r="N6" s="474">
        <f t="shared" ref="N6:N24" si="13">IF((M6-M5)&lt;0,"0",(M6-M5))</f>
        <v>0</v>
      </c>
      <c r="O6" s="95">
        <f t="shared" si="5"/>
        <v>20888</v>
      </c>
      <c r="P6" s="383">
        <v>20893</v>
      </c>
      <c r="Q6" s="474">
        <f t="shared" si="6"/>
        <v>5</v>
      </c>
      <c r="R6" s="250"/>
      <c r="S6" s="245"/>
      <c r="T6" s="384">
        <v>64664</v>
      </c>
      <c r="U6" s="475">
        <f t="shared" ref="U6:U24" si="14">IF((T6-T5)&lt;0,"0",(T6-T5))</f>
        <v>82</v>
      </c>
      <c r="V6" s="245">
        <f t="shared" si="7"/>
        <v>73031</v>
      </c>
      <c r="W6" s="384"/>
      <c r="X6" s="475" t="str">
        <f t="shared" ref="X6:X37" si="15">IF((W6-W5)&lt;0,"0",(W6-W5))</f>
        <v>0</v>
      </c>
      <c r="Y6" s="245">
        <f t="shared" si="8"/>
        <v>89012</v>
      </c>
      <c r="Z6" s="384"/>
      <c r="AA6" s="475" t="str">
        <f t="shared" ref="AA6:AA37" si="16">IF((Z6-Z5)&lt;0,"0",(Z6-Z5))</f>
        <v>0</v>
      </c>
      <c r="AB6" s="608">
        <f>AC5</f>
        <v>17837</v>
      </c>
      <c r="AC6" s="619"/>
      <c r="AD6" s="611" t="str">
        <f>IF((AC6-AC5)&lt;0,"0",(AC6-AC5))</f>
        <v>0</v>
      </c>
      <c r="AE6" s="245">
        <f t="shared" si="9"/>
        <v>18300</v>
      </c>
      <c r="AF6" s="385"/>
      <c r="AG6" s="475" t="str">
        <f t="shared" ref="AG6:AG37" si="17">IF((AF6-AF5)&lt;0,"0",(AF6-AF5))</f>
        <v>0</v>
      </c>
      <c r="AH6" s="245">
        <f t="shared" si="10"/>
        <v>28766</v>
      </c>
      <c r="AI6" s="385"/>
      <c r="AJ6" s="475" t="str">
        <f t="shared" ref="AJ6:AJ37" si="18">IF((AI6-AI5)&lt;0,"0",(AI6-AI5))</f>
        <v>0</v>
      </c>
      <c r="AK6" s="315">
        <f t="shared" si="11"/>
        <v>0</v>
      </c>
      <c r="AL6" s="384"/>
      <c r="AM6" s="475">
        <f t="shared" ref="AM6:AM37" si="19">IF((AL6-AL5)&lt;0,"0",(AL6-AL5))</f>
        <v>0</v>
      </c>
      <c r="AN6" s="389">
        <f>U6+X6+AA6+AD6+AG6+AJ6+AM6</f>
        <v>82</v>
      </c>
    </row>
    <row r="7" spans="1:40" ht="23.1" customHeight="1">
      <c r="A7" s="57">
        <f>Gen!A12</f>
        <v>44229</v>
      </c>
      <c r="B7" s="4"/>
      <c r="C7" s="95">
        <f t="shared" si="0"/>
        <v>249416</v>
      </c>
      <c r="D7" s="1"/>
      <c r="E7" s="58" t="str">
        <f t="shared" si="1"/>
        <v>0</v>
      </c>
      <c r="F7" s="95">
        <f t="shared" si="2"/>
        <v>0</v>
      </c>
      <c r="G7" s="387"/>
      <c r="H7" s="474">
        <f t="shared" si="12"/>
        <v>0</v>
      </c>
      <c r="I7" s="95">
        <f t="shared" si="3"/>
        <v>8243</v>
      </c>
      <c r="J7" s="1"/>
      <c r="K7" s="474"/>
      <c r="L7" s="95">
        <f t="shared" si="4"/>
        <v>0</v>
      </c>
      <c r="M7" s="1"/>
      <c r="N7" s="474">
        <f t="shared" si="13"/>
        <v>0</v>
      </c>
      <c r="O7" s="95">
        <f t="shared" si="5"/>
        <v>20893</v>
      </c>
      <c r="P7" s="383"/>
      <c r="Q7" s="474" t="str">
        <f t="shared" si="6"/>
        <v>0</v>
      </c>
      <c r="R7" s="250"/>
      <c r="S7" s="245"/>
      <c r="T7" s="384"/>
      <c r="U7" s="475" t="str">
        <f t="shared" si="14"/>
        <v>0</v>
      </c>
      <c r="V7" s="245">
        <f t="shared" si="7"/>
        <v>0</v>
      </c>
      <c r="W7" s="384"/>
      <c r="X7" s="475">
        <f t="shared" si="15"/>
        <v>0</v>
      </c>
      <c r="Y7" s="245">
        <f t="shared" si="8"/>
        <v>0</v>
      </c>
      <c r="Z7" s="384"/>
      <c r="AA7" s="475">
        <f t="shared" si="16"/>
        <v>0</v>
      </c>
      <c r="AB7" s="608">
        <f t="shared" ref="AB7:AB37" si="20">AC6</f>
        <v>0</v>
      </c>
      <c r="AC7" s="609"/>
      <c r="AD7" s="611">
        <f t="shared" ref="AD7:AD37" si="21">IF((AC7-AC6)&lt;0,"0",(AC7-AC6))</f>
        <v>0</v>
      </c>
      <c r="AE7" s="245">
        <f t="shared" si="9"/>
        <v>0</v>
      </c>
      <c r="AF7" s="385"/>
      <c r="AG7" s="475">
        <f t="shared" si="17"/>
        <v>0</v>
      </c>
      <c r="AH7" s="245">
        <f t="shared" si="10"/>
        <v>0</v>
      </c>
      <c r="AI7" s="385"/>
      <c r="AJ7" s="475">
        <f t="shared" si="18"/>
        <v>0</v>
      </c>
      <c r="AK7" s="315">
        <f t="shared" si="11"/>
        <v>0</v>
      </c>
      <c r="AL7" s="384"/>
      <c r="AM7" s="475">
        <f t="shared" si="19"/>
        <v>0</v>
      </c>
      <c r="AN7" s="389">
        <f t="shared" ref="AN7:AN36" si="22">U7+X7+AA7+AD7+AG7+AJ7+AM7</f>
        <v>0</v>
      </c>
    </row>
    <row r="8" spans="1:40" ht="23.1" customHeight="1">
      <c r="A8" s="57">
        <f>Gen!A13</f>
        <v>44230</v>
      </c>
      <c r="B8" s="4"/>
      <c r="C8" s="95">
        <f t="shared" si="0"/>
        <v>0</v>
      </c>
      <c r="D8" s="1"/>
      <c r="E8" s="58">
        <f t="shared" si="1"/>
        <v>0</v>
      </c>
      <c r="F8" s="95">
        <f t="shared" si="2"/>
        <v>0</v>
      </c>
      <c r="G8" s="387"/>
      <c r="H8" s="474">
        <f t="shared" si="12"/>
        <v>0</v>
      </c>
      <c r="I8" s="95">
        <f t="shared" si="3"/>
        <v>0</v>
      </c>
      <c r="J8" s="1"/>
      <c r="K8" s="474"/>
      <c r="L8" s="95">
        <f t="shared" si="4"/>
        <v>0</v>
      </c>
      <c r="M8" s="1"/>
      <c r="N8" s="474">
        <f t="shared" si="13"/>
        <v>0</v>
      </c>
      <c r="O8" s="95">
        <f t="shared" si="5"/>
        <v>0</v>
      </c>
      <c r="P8" s="383"/>
      <c r="Q8" s="474">
        <f t="shared" si="6"/>
        <v>0</v>
      </c>
      <c r="R8" s="250"/>
      <c r="S8" s="245"/>
      <c r="T8" s="384"/>
      <c r="U8" s="475">
        <f t="shared" si="14"/>
        <v>0</v>
      </c>
      <c r="V8" s="245">
        <f t="shared" si="7"/>
        <v>0</v>
      </c>
      <c r="W8" s="384"/>
      <c r="X8" s="475">
        <f t="shared" si="15"/>
        <v>0</v>
      </c>
      <c r="Y8" s="245">
        <f t="shared" si="8"/>
        <v>0</v>
      </c>
      <c r="Z8" s="384"/>
      <c r="AA8" s="475">
        <f t="shared" si="16"/>
        <v>0</v>
      </c>
      <c r="AB8" s="608">
        <f t="shared" si="20"/>
        <v>0</v>
      </c>
      <c r="AC8" s="609"/>
      <c r="AD8" s="611">
        <f t="shared" si="21"/>
        <v>0</v>
      </c>
      <c r="AE8" s="245">
        <f t="shared" si="9"/>
        <v>0</v>
      </c>
      <c r="AF8" s="385"/>
      <c r="AG8" s="475">
        <f t="shared" si="17"/>
        <v>0</v>
      </c>
      <c r="AH8" s="245">
        <f t="shared" si="10"/>
        <v>0</v>
      </c>
      <c r="AI8" s="385"/>
      <c r="AJ8" s="475">
        <f t="shared" si="18"/>
        <v>0</v>
      </c>
      <c r="AK8" s="315">
        <f t="shared" si="11"/>
        <v>0</v>
      </c>
      <c r="AL8" s="384"/>
      <c r="AM8" s="475">
        <f t="shared" si="19"/>
        <v>0</v>
      </c>
      <c r="AN8" s="389">
        <f t="shared" si="22"/>
        <v>0</v>
      </c>
    </row>
    <row r="9" spans="1:40" ht="23.1" customHeight="1">
      <c r="A9" s="57">
        <f>Gen!A14</f>
        <v>44231</v>
      </c>
      <c r="B9" s="4"/>
      <c r="C9" s="95">
        <f t="shared" si="0"/>
        <v>0</v>
      </c>
      <c r="D9" s="1"/>
      <c r="E9" s="58">
        <f t="shared" si="1"/>
        <v>0</v>
      </c>
      <c r="F9" s="95">
        <f t="shared" si="2"/>
        <v>0</v>
      </c>
      <c r="G9" s="387"/>
      <c r="H9" s="474">
        <f t="shared" si="12"/>
        <v>0</v>
      </c>
      <c r="I9" s="95">
        <f t="shared" si="3"/>
        <v>0</v>
      </c>
      <c r="J9" s="1"/>
      <c r="K9" s="474"/>
      <c r="L9" s="95">
        <f t="shared" si="4"/>
        <v>0</v>
      </c>
      <c r="M9" s="1"/>
      <c r="N9" s="474">
        <f t="shared" si="13"/>
        <v>0</v>
      </c>
      <c r="O9" s="95">
        <f t="shared" si="5"/>
        <v>0</v>
      </c>
      <c r="P9" s="383"/>
      <c r="Q9" s="474">
        <f t="shared" si="6"/>
        <v>0</v>
      </c>
      <c r="R9" s="250"/>
      <c r="S9" s="245"/>
      <c r="T9" s="384"/>
      <c r="U9" s="475">
        <f t="shared" si="14"/>
        <v>0</v>
      </c>
      <c r="V9" s="245">
        <f t="shared" si="7"/>
        <v>0</v>
      </c>
      <c r="W9" s="384"/>
      <c r="X9" s="475">
        <f t="shared" si="15"/>
        <v>0</v>
      </c>
      <c r="Y9" s="245">
        <f t="shared" si="8"/>
        <v>0</v>
      </c>
      <c r="Z9" s="384"/>
      <c r="AA9" s="475">
        <f t="shared" si="16"/>
        <v>0</v>
      </c>
      <c r="AB9" s="608">
        <f t="shared" si="20"/>
        <v>0</v>
      </c>
      <c r="AC9" s="609"/>
      <c r="AD9" s="611">
        <f t="shared" si="21"/>
        <v>0</v>
      </c>
      <c r="AE9" s="245">
        <f t="shared" si="9"/>
        <v>0</v>
      </c>
      <c r="AF9" s="385"/>
      <c r="AG9" s="475">
        <f t="shared" si="17"/>
        <v>0</v>
      </c>
      <c r="AH9" s="245">
        <f t="shared" ref="AH9" si="23">AI9</f>
        <v>0</v>
      </c>
      <c r="AI9" s="385"/>
      <c r="AJ9" s="475">
        <f t="shared" si="18"/>
        <v>0</v>
      </c>
      <c r="AK9" s="315">
        <f t="shared" si="11"/>
        <v>0</v>
      </c>
      <c r="AL9" s="384"/>
      <c r="AM9" s="475">
        <f t="shared" si="19"/>
        <v>0</v>
      </c>
      <c r="AN9" s="389">
        <f t="shared" si="22"/>
        <v>0</v>
      </c>
    </row>
    <row r="10" spans="1:40" ht="23.1" customHeight="1">
      <c r="A10" s="57">
        <f>Gen!A15</f>
        <v>44232</v>
      </c>
      <c r="B10" s="4"/>
      <c r="C10" s="95">
        <f t="shared" si="0"/>
        <v>0</v>
      </c>
      <c r="D10" s="1"/>
      <c r="E10" s="58">
        <f t="shared" si="1"/>
        <v>0</v>
      </c>
      <c r="F10" s="95">
        <f t="shared" si="2"/>
        <v>0</v>
      </c>
      <c r="G10" s="387"/>
      <c r="H10" s="474">
        <f t="shared" si="12"/>
        <v>0</v>
      </c>
      <c r="I10" s="95">
        <f t="shared" si="3"/>
        <v>0</v>
      </c>
      <c r="J10" s="1"/>
      <c r="K10" s="474"/>
      <c r="L10" s="95">
        <f t="shared" si="4"/>
        <v>0</v>
      </c>
      <c r="M10" s="1"/>
      <c r="N10" s="474">
        <f t="shared" si="13"/>
        <v>0</v>
      </c>
      <c r="O10" s="95">
        <f t="shared" si="5"/>
        <v>0</v>
      </c>
      <c r="P10" s="383"/>
      <c r="Q10" s="474">
        <f t="shared" si="6"/>
        <v>0</v>
      </c>
      <c r="R10" s="250"/>
      <c r="S10" s="245"/>
      <c r="T10" s="384"/>
      <c r="U10" s="475">
        <f t="shared" si="14"/>
        <v>0</v>
      </c>
      <c r="V10" s="245">
        <f t="shared" si="7"/>
        <v>0</v>
      </c>
      <c r="W10" s="384"/>
      <c r="X10" s="475">
        <f t="shared" si="15"/>
        <v>0</v>
      </c>
      <c r="Y10" s="245">
        <f t="shared" si="8"/>
        <v>0</v>
      </c>
      <c r="Z10" s="384"/>
      <c r="AA10" s="475">
        <f t="shared" si="16"/>
        <v>0</v>
      </c>
      <c r="AB10" s="608">
        <f t="shared" si="20"/>
        <v>0</v>
      </c>
      <c r="AC10" s="609"/>
      <c r="AD10" s="611">
        <f t="shared" si="21"/>
        <v>0</v>
      </c>
      <c r="AE10" s="245">
        <f t="shared" si="9"/>
        <v>0</v>
      </c>
      <c r="AF10" s="385"/>
      <c r="AG10" s="475">
        <f t="shared" si="17"/>
        <v>0</v>
      </c>
      <c r="AH10" s="245">
        <f t="shared" si="10"/>
        <v>0</v>
      </c>
      <c r="AI10" s="385"/>
      <c r="AJ10" s="475">
        <f t="shared" si="18"/>
        <v>0</v>
      </c>
      <c r="AK10" s="315">
        <f t="shared" si="11"/>
        <v>0</v>
      </c>
      <c r="AL10" s="384"/>
      <c r="AM10" s="475">
        <f t="shared" si="19"/>
        <v>0</v>
      </c>
      <c r="AN10" s="389">
        <f t="shared" si="22"/>
        <v>0</v>
      </c>
    </row>
    <row r="11" spans="1:40" ht="23.1" customHeight="1">
      <c r="A11" s="57">
        <f>Gen!A16</f>
        <v>44233</v>
      </c>
      <c r="B11" s="4"/>
      <c r="C11" s="95">
        <f t="shared" si="0"/>
        <v>0</v>
      </c>
      <c r="D11" s="1"/>
      <c r="E11" s="58">
        <f t="shared" si="1"/>
        <v>0</v>
      </c>
      <c r="F11" s="95">
        <f t="shared" si="2"/>
        <v>0</v>
      </c>
      <c r="G11" s="387"/>
      <c r="H11" s="474">
        <f t="shared" si="12"/>
        <v>0</v>
      </c>
      <c r="I11" s="95">
        <f t="shared" si="3"/>
        <v>0</v>
      </c>
      <c r="J11" s="1"/>
      <c r="K11" s="474"/>
      <c r="L11" s="95">
        <f t="shared" si="4"/>
        <v>0</v>
      </c>
      <c r="M11" s="1"/>
      <c r="N11" s="474">
        <f t="shared" si="13"/>
        <v>0</v>
      </c>
      <c r="O11" s="95">
        <f t="shared" si="5"/>
        <v>0</v>
      </c>
      <c r="P11" s="383"/>
      <c r="Q11" s="474">
        <f t="shared" si="6"/>
        <v>0</v>
      </c>
      <c r="R11" s="250"/>
      <c r="S11" s="245"/>
      <c r="T11" s="384"/>
      <c r="U11" s="475">
        <f t="shared" si="14"/>
        <v>0</v>
      </c>
      <c r="V11" s="245">
        <f t="shared" si="7"/>
        <v>0</v>
      </c>
      <c r="W11" s="384"/>
      <c r="X11" s="475">
        <f t="shared" si="15"/>
        <v>0</v>
      </c>
      <c r="Y11" s="245">
        <f t="shared" si="8"/>
        <v>0</v>
      </c>
      <c r="Z11" s="384"/>
      <c r="AA11" s="475">
        <f t="shared" si="16"/>
        <v>0</v>
      </c>
      <c r="AB11" s="608">
        <f t="shared" si="20"/>
        <v>0</v>
      </c>
      <c r="AC11" s="609"/>
      <c r="AD11" s="611">
        <f t="shared" si="21"/>
        <v>0</v>
      </c>
      <c r="AE11" s="245">
        <f>AF11</f>
        <v>0</v>
      </c>
      <c r="AF11" s="385"/>
      <c r="AG11" s="475">
        <f t="shared" si="17"/>
        <v>0</v>
      </c>
      <c r="AH11" s="245">
        <f t="shared" si="10"/>
        <v>0</v>
      </c>
      <c r="AI11" s="385"/>
      <c r="AJ11" s="475">
        <f t="shared" si="18"/>
        <v>0</v>
      </c>
      <c r="AK11" s="315">
        <f t="shared" si="11"/>
        <v>0</v>
      </c>
      <c r="AL11" s="384"/>
      <c r="AM11" s="475">
        <f t="shared" si="19"/>
        <v>0</v>
      </c>
      <c r="AN11" s="389">
        <f t="shared" si="22"/>
        <v>0</v>
      </c>
    </row>
    <row r="12" spans="1:40" ht="23.1" customHeight="1">
      <c r="A12" s="57">
        <f>Gen!A17</f>
        <v>44234</v>
      </c>
      <c r="B12" s="4"/>
      <c r="C12" s="95">
        <f t="shared" si="0"/>
        <v>0</v>
      </c>
      <c r="D12" s="1"/>
      <c r="E12" s="58">
        <f t="shared" si="1"/>
        <v>0</v>
      </c>
      <c r="F12" s="95">
        <f t="shared" si="2"/>
        <v>0</v>
      </c>
      <c r="G12" s="387"/>
      <c r="H12" s="474">
        <f t="shared" si="12"/>
        <v>0</v>
      </c>
      <c r="I12" s="95">
        <f t="shared" si="3"/>
        <v>0</v>
      </c>
      <c r="J12" s="1"/>
      <c r="K12" s="474"/>
      <c r="L12" s="95">
        <f t="shared" si="4"/>
        <v>0</v>
      </c>
      <c r="M12" s="1"/>
      <c r="N12" s="474">
        <f t="shared" si="13"/>
        <v>0</v>
      </c>
      <c r="O12" s="95">
        <f t="shared" si="5"/>
        <v>0</v>
      </c>
      <c r="P12" s="383"/>
      <c r="Q12" s="474">
        <f t="shared" si="6"/>
        <v>0</v>
      </c>
      <c r="R12" s="250"/>
      <c r="S12" s="245"/>
      <c r="T12" s="384"/>
      <c r="U12" s="475">
        <f t="shared" si="14"/>
        <v>0</v>
      </c>
      <c r="V12" s="245">
        <f t="shared" si="7"/>
        <v>0</v>
      </c>
      <c r="W12" s="384"/>
      <c r="X12" s="475">
        <f t="shared" si="15"/>
        <v>0</v>
      </c>
      <c r="Y12" s="245">
        <f t="shared" si="8"/>
        <v>0</v>
      </c>
      <c r="Z12" s="384"/>
      <c r="AA12" s="475">
        <f t="shared" si="16"/>
        <v>0</v>
      </c>
      <c r="AB12" s="608">
        <f t="shared" si="20"/>
        <v>0</v>
      </c>
      <c r="AC12" s="609"/>
      <c r="AD12" s="611">
        <f t="shared" si="21"/>
        <v>0</v>
      </c>
      <c r="AE12" s="245">
        <f t="shared" ref="AE12:AE20" si="24">AF12</f>
        <v>0</v>
      </c>
      <c r="AF12" s="385"/>
      <c r="AG12" s="475">
        <f t="shared" si="17"/>
        <v>0</v>
      </c>
      <c r="AH12" s="245">
        <f t="shared" si="10"/>
        <v>0</v>
      </c>
      <c r="AI12" s="385"/>
      <c r="AJ12" s="475">
        <f t="shared" si="18"/>
        <v>0</v>
      </c>
      <c r="AK12" s="315">
        <f t="shared" si="11"/>
        <v>0</v>
      </c>
      <c r="AL12" s="384"/>
      <c r="AM12" s="475">
        <f t="shared" si="19"/>
        <v>0</v>
      </c>
      <c r="AN12" s="389">
        <f t="shared" si="22"/>
        <v>0</v>
      </c>
    </row>
    <row r="13" spans="1:40" ht="23.1" customHeight="1">
      <c r="A13" s="57">
        <f>Gen!A18</f>
        <v>44235</v>
      </c>
      <c r="B13" s="4"/>
      <c r="C13" s="95">
        <f t="shared" si="0"/>
        <v>0</v>
      </c>
      <c r="D13" s="1"/>
      <c r="E13" s="58">
        <f t="shared" si="1"/>
        <v>0</v>
      </c>
      <c r="F13" s="95">
        <f t="shared" si="2"/>
        <v>0</v>
      </c>
      <c r="G13" s="387"/>
      <c r="H13" s="474">
        <f t="shared" si="12"/>
        <v>0</v>
      </c>
      <c r="I13" s="95">
        <f t="shared" si="3"/>
        <v>0</v>
      </c>
      <c r="J13" s="1"/>
      <c r="K13" s="474"/>
      <c r="L13" s="95">
        <f t="shared" si="4"/>
        <v>0</v>
      </c>
      <c r="M13" s="1"/>
      <c r="N13" s="474">
        <f t="shared" si="13"/>
        <v>0</v>
      </c>
      <c r="O13" s="95">
        <f t="shared" si="5"/>
        <v>0</v>
      </c>
      <c r="P13" s="383"/>
      <c r="Q13" s="474">
        <f t="shared" si="6"/>
        <v>0</v>
      </c>
      <c r="R13" s="250"/>
      <c r="S13" s="245"/>
      <c r="T13" s="384"/>
      <c r="U13" s="475">
        <f t="shared" si="14"/>
        <v>0</v>
      </c>
      <c r="V13" s="245">
        <f t="shared" si="7"/>
        <v>0</v>
      </c>
      <c r="W13" s="384"/>
      <c r="X13" s="475">
        <f t="shared" si="15"/>
        <v>0</v>
      </c>
      <c r="Y13" s="245">
        <f t="shared" si="8"/>
        <v>0</v>
      </c>
      <c r="Z13" s="384"/>
      <c r="AA13" s="475">
        <f t="shared" si="16"/>
        <v>0</v>
      </c>
      <c r="AB13" s="608">
        <f t="shared" si="20"/>
        <v>0</v>
      </c>
      <c r="AC13" s="609"/>
      <c r="AD13" s="611">
        <f t="shared" si="21"/>
        <v>0</v>
      </c>
      <c r="AE13" s="245">
        <f t="shared" si="24"/>
        <v>0</v>
      </c>
      <c r="AF13" s="385"/>
      <c r="AG13" s="475">
        <f t="shared" si="17"/>
        <v>0</v>
      </c>
      <c r="AH13" s="245">
        <f t="shared" si="10"/>
        <v>0</v>
      </c>
      <c r="AI13" s="385"/>
      <c r="AJ13" s="475">
        <f t="shared" si="18"/>
        <v>0</v>
      </c>
      <c r="AK13" s="315">
        <f t="shared" si="11"/>
        <v>0</v>
      </c>
      <c r="AL13" s="384"/>
      <c r="AM13" s="475">
        <f t="shared" si="19"/>
        <v>0</v>
      </c>
      <c r="AN13" s="389">
        <f t="shared" si="22"/>
        <v>0</v>
      </c>
    </row>
    <row r="14" spans="1:40" ht="23.1" customHeight="1">
      <c r="A14" s="57">
        <f>Gen!A19</f>
        <v>44236</v>
      </c>
      <c r="B14" s="4"/>
      <c r="C14" s="95">
        <f t="shared" si="0"/>
        <v>0</v>
      </c>
      <c r="D14" s="1"/>
      <c r="E14" s="58">
        <f t="shared" si="1"/>
        <v>0</v>
      </c>
      <c r="F14" s="95">
        <f t="shared" si="2"/>
        <v>0</v>
      </c>
      <c r="G14" s="387"/>
      <c r="H14" s="474">
        <f t="shared" si="12"/>
        <v>0</v>
      </c>
      <c r="I14" s="95">
        <f t="shared" si="3"/>
        <v>0</v>
      </c>
      <c r="J14" s="1"/>
      <c r="K14" s="474"/>
      <c r="L14" s="95">
        <f t="shared" si="4"/>
        <v>0</v>
      </c>
      <c r="M14" s="1"/>
      <c r="N14" s="474">
        <f t="shared" si="13"/>
        <v>0</v>
      </c>
      <c r="O14" s="95">
        <f t="shared" si="5"/>
        <v>0</v>
      </c>
      <c r="P14" s="383"/>
      <c r="Q14" s="474">
        <f t="shared" si="6"/>
        <v>0</v>
      </c>
      <c r="R14" s="250"/>
      <c r="S14" s="245"/>
      <c r="T14" s="384"/>
      <c r="U14" s="475">
        <f t="shared" si="14"/>
        <v>0</v>
      </c>
      <c r="V14" s="245">
        <f t="shared" si="7"/>
        <v>0</v>
      </c>
      <c r="W14" s="384"/>
      <c r="X14" s="475">
        <f t="shared" si="15"/>
        <v>0</v>
      </c>
      <c r="Y14" s="245">
        <f t="shared" si="8"/>
        <v>0</v>
      </c>
      <c r="Z14" s="384"/>
      <c r="AA14" s="475">
        <f t="shared" si="16"/>
        <v>0</v>
      </c>
      <c r="AB14" s="608">
        <f t="shared" si="20"/>
        <v>0</v>
      </c>
      <c r="AC14" s="612"/>
      <c r="AD14" s="611">
        <f t="shared" si="21"/>
        <v>0</v>
      </c>
      <c r="AE14" s="245">
        <f t="shared" si="24"/>
        <v>0</v>
      </c>
      <c r="AF14" s="385"/>
      <c r="AG14" s="475">
        <f t="shared" si="17"/>
        <v>0</v>
      </c>
      <c r="AH14" s="245">
        <f t="shared" si="10"/>
        <v>0</v>
      </c>
      <c r="AI14" s="385"/>
      <c r="AJ14" s="475">
        <f t="shared" si="18"/>
        <v>0</v>
      </c>
      <c r="AK14" s="315">
        <f t="shared" si="11"/>
        <v>0</v>
      </c>
      <c r="AL14" s="384"/>
      <c r="AM14" s="475">
        <f t="shared" si="19"/>
        <v>0</v>
      </c>
      <c r="AN14" s="389">
        <f t="shared" si="22"/>
        <v>0</v>
      </c>
    </row>
    <row r="15" spans="1:40" ht="23.1" customHeight="1">
      <c r="A15" s="57">
        <f>Gen!A20</f>
        <v>44237</v>
      </c>
      <c r="B15" s="4"/>
      <c r="C15" s="95">
        <f t="shared" si="0"/>
        <v>0</v>
      </c>
      <c r="D15" s="1"/>
      <c r="E15" s="58">
        <f t="shared" si="1"/>
        <v>0</v>
      </c>
      <c r="F15" s="95">
        <f t="shared" si="2"/>
        <v>0</v>
      </c>
      <c r="G15" s="387"/>
      <c r="H15" s="474">
        <f t="shared" si="12"/>
        <v>0</v>
      </c>
      <c r="I15" s="95">
        <f t="shared" si="3"/>
        <v>0</v>
      </c>
      <c r="J15" s="1"/>
      <c r="K15" s="474"/>
      <c r="L15" s="95">
        <f t="shared" si="4"/>
        <v>0</v>
      </c>
      <c r="M15" s="1"/>
      <c r="N15" s="474">
        <f t="shared" si="13"/>
        <v>0</v>
      </c>
      <c r="O15" s="95">
        <f t="shared" si="5"/>
        <v>0</v>
      </c>
      <c r="P15" s="383"/>
      <c r="Q15" s="474">
        <f t="shared" si="6"/>
        <v>0</v>
      </c>
      <c r="R15" s="250"/>
      <c r="S15" s="245"/>
      <c r="T15" s="384"/>
      <c r="U15" s="475">
        <f t="shared" si="14"/>
        <v>0</v>
      </c>
      <c r="V15" s="245">
        <f t="shared" si="7"/>
        <v>0</v>
      </c>
      <c r="W15" s="384"/>
      <c r="X15" s="475">
        <f t="shared" si="15"/>
        <v>0</v>
      </c>
      <c r="Y15" s="245">
        <f t="shared" si="8"/>
        <v>0</v>
      </c>
      <c r="Z15" s="384"/>
      <c r="AA15" s="475">
        <f t="shared" si="16"/>
        <v>0</v>
      </c>
      <c r="AB15" s="608">
        <f t="shared" si="20"/>
        <v>0</v>
      </c>
      <c r="AC15" s="612"/>
      <c r="AD15" s="611">
        <f t="shared" si="21"/>
        <v>0</v>
      </c>
      <c r="AE15" s="245">
        <f t="shared" si="24"/>
        <v>0</v>
      </c>
      <c r="AF15" s="385"/>
      <c r="AG15" s="475">
        <f t="shared" si="17"/>
        <v>0</v>
      </c>
      <c r="AH15" s="245">
        <f t="shared" si="10"/>
        <v>0</v>
      </c>
      <c r="AI15" s="385"/>
      <c r="AJ15" s="475">
        <f t="shared" si="18"/>
        <v>0</v>
      </c>
      <c r="AK15" s="315">
        <f t="shared" si="11"/>
        <v>0</v>
      </c>
      <c r="AL15" s="384"/>
      <c r="AM15" s="475">
        <f t="shared" si="19"/>
        <v>0</v>
      </c>
      <c r="AN15" s="389">
        <f t="shared" si="22"/>
        <v>0</v>
      </c>
    </row>
    <row r="16" spans="1:40" ht="23.1" customHeight="1">
      <c r="A16" s="57">
        <f>Gen!A21</f>
        <v>44238</v>
      </c>
      <c r="B16" s="4"/>
      <c r="C16" s="95">
        <f t="shared" si="0"/>
        <v>0</v>
      </c>
      <c r="D16" s="1"/>
      <c r="E16" s="58">
        <f>IF((D16-D15)&lt;0,"0",(D16-D15))</f>
        <v>0</v>
      </c>
      <c r="F16" s="95">
        <f t="shared" si="2"/>
        <v>0</v>
      </c>
      <c r="G16" s="387"/>
      <c r="H16" s="474">
        <f t="shared" si="12"/>
        <v>0</v>
      </c>
      <c r="I16" s="95">
        <f t="shared" si="3"/>
        <v>0</v>
      </c>
      <c r="J16" s="1"/>
      <c r="K16" s="474"/>
      <c r="L16" s="95">
        <f t="shared" si="4"/>
        <v>0</v>
      </c>
      <c r="M16" s="1"/>
      <c r="N16" s="474">
        <f t="shared" si="13"/>
        <v>0</v>
      </c>
      <c r="O16" s="95">
        <f t="shared" si="5"/>
        <v>0</v>
      </c>
      <c r="P16" s="383"/>
      <c r="Q16" s="474">
        <f t="shared" si="6"/>
        <v>0</v>
      </c>
      <c r="R16" s="250"/>
      <c r="S16" s="245"/>
      <c r="T16" s="384"/>
      <c r="U16" s="475">
        <f t="shared" si="14"/>
        <v>0</v>
      </c>
      <c r="V16" s="245">
        <f t="shared" si="7"/>
        <v>0</v>
      </c>
      <c r="W16" s="384"/>
      <c r="X16" s="475">
        <f t="shared" si="15"/>
        <v>0</v>
      </c>
      <c r="Y16" s="245">
        <f t="shared" si="8"/>
        <v>0</v>
      </c>
      <c r="Z16" s="384"/>
      <c r="AA16" s="475">
        <f t="shared" si="16"/>
        <v>0</v>
      </c>
      <c r="AB16" s="608">
        <f t="shared" si="20"/>
        <v>0</v>
      </c>
      <c r="AC16" s="612"/>
      <c r="AD16" s="611">
        <f t="shared" si="21"/>
        <v>0</v>
      </c>
      <c r="AE16" s="245">
        <f t="shared" si="24"/>
        <v>0</v>
      </c>
      <c r="AF16" s="385"/>
      <c r="AG16" s="475">
        <f t="shared" si="17"/>
        <v>0</v>
      </c>
      <c r="AH16" s="245">
        <f t="shared" si="10"/>
        <v>0</v>
      </c>
      <c r="AI16" s="385"/>
      <c r="AJ16" s="475">
        <f t="shared" si="18"/>
        <v>0</v>
      </c>
      <c r="AK16" s="315">
        <f t="shared" si="11"/>
        <v>0</v>
      </c>
      <c r="AL16" s="384"/>
      <c r="AM16" s="475">
        <f t="shared" si="19"/>
        <v>0</v>
      </c>
      <c r="AN16" s="389">
        <f t="shared" si="22"/>
        <v>0</v>
      </c>
    </row>
    <row r="17" spans="1:40" ht="23.1" customHeight="1">
      <c r="A17" s="57">
        <f>Gen!A22</f>
        <v>44239</v>
      </c>
      <c r="B17" s="4"/>
      <c r="C17" s="95">
        <f t="shared" si="0"/>
        <v>0</v>
      </c>
      <c r="D17" s="1"/>
      <c r="E17" s="474">
        <f>IF((D17-D16)&lt;0,"0",(D17-D16))</f>
        <v>0</v>
      </c>
      <c r="F17" s="95">
        <f t="shared" si="2"/>
        <v>0</v>
      </c>
      <c r="G17" s="387"/>
      <c r="H17" s="474">
        <f t="shared" si="12"/>
        <v>0</v>
      </c>
      <c r="I17" s="95">
        <f t="shared" si="3"/>
        <v>0</v>
      </c>
      <c r="J17" s="1"/>
      <c r="K17" s="474"/>
      <c r="L17" s="95">
        <f t="shared" si="4"/>
        <v>0</v>
      </c>
      <c r="M17" s="1"/>
      <c r="N17" s="474">
        <f t="shared" si="13"/>
        <v>0</v>
      </c>
      <c r="O17" s="95">
        <f t="shared" si="5"/>
        <v>0</v>
      </c>
      <c r="P17" s="383"/>
      <c r="Q17" s="474">
        <f t="shared" si="6"/>
        <v>0</v>
      </c>
      <c r="R17" s="250"/>
      <c r="S17" s="245"/>
      <c r="T17" s="384"/>
      <c r="U17" s="475">
        <f t="shared" si="14"/>
        <v>0</v>
      </c>
      <c r="V17" s="245">
        <f t="shared" si="7"/>
        <v>0</v>
      </c>
      <c r="W17" s="384"/>
      <c r="X17" s="475">
        <f>IF((W17-W16)&lt;0,"0",(W17-W16))</f>
        <v>0</v>
      </c>
      <c r="Y17" s="245">
        <f t="shared" si="8"/>
        <v>0</v>
      </c>
      <c r="Z17" s="384"/>
      <c r="AA17" s="475">
        <f>IF((Z17-Z16)&lt;0,"0",(Z17-Z16))</f>
        <v>0</v>
      </c>
      <c r="AB17" s="608">
        <f t="shared" si="20"/>
        <v>0</v>
      </c>
      <c r="AC17" s="612"/>
      <c r="AD17" s="611">
        <f t="shared" si="21"/>
        <v>0</v>
      </c>
      <c r="AE17" s="245">
        <f t="shared" si="24"/>
        <v>0</v>
      </c>
      <c r="AF17" s="385"/>
      <c r="AG17" s="475">
        <f t="shared" si="17"/>
        <v>0</v>
      </c>
      <c r="AH17" s="245">
        <f t="shared" si="10"/>
        <v>0</v>
      </c>
      <c r="AI17" s="385"/>
      <c r="AJ17" s="475">
        <f t="shared" si="18"/>
        <v>0</v>
      </c>
      <c r="AK17" s="315">
        <f t="shared" si="11"/>
        <v>0</v>
      </c>
      <c r="AL17" s="384"/>
      <c r="AM17" s="475">
        <f>IF((AL17-AL16)&lt;0,"0",(AL17-AL16))</f>
        <v>0</v>
      </c>
      <c r="AN17" s="389">
        <f t="shared" si="22"/>
        <v>0</v>
      </c>
    </row>
    <row r="18" spans="1:40" ht="23.1" customHeight="1">
      <c r="A18" s="57">
        <f>Gen!A23</f>
        <v>44240</v>
      </c>
      <c r="B18" s="4"/>
      <c r="C18" s="95">
        <f t="shared" si="0"/>
        <v>0</v>
      </c>
      <c r="D18" s="1"/>
      <c r="E18" s="474">
        <f t="shared" ref="E18:E37" si="25">IF((D18-D17)&lt;0,"0",(D18-D17))</f>
        <v>0</v>
      </c>
      <c r="F18" s="95">
        <f t="shared" si="2"/>
        <v>0</v>
      </c>
      <c r="G18" s="387"/>
      <c r="H18" s="474">
        <f t="shared" si="12"/>
        <v>0</v>
      </c>
      <c r="I18" s="95"/>
      <c r="J18" s="1"/>
      <c r="K18" s="474"/>
      <c r="L18" s="95">
        <f t="shared" si="4"/>
        <v>0</v>
      </c>
      <c r="M18" s="1"/>
      <c r="N18" s="474">
        <f t="shared" si="13"/>
        <v>0</v>
      </c>
      <c r="O18" s="95">
        <f t="shared" si="5"/>
        <v>0</v>
      </c>
      <c r="P18" s="383"/>
      <c r="Q18" s="474">
        <f t="shared" si="6"/>
        <v>0</v>
      </c>
      <c r="R18" s="250"/>
      <c r="S18" s="245"/>
      <c r="T18" s="384"/>
      <c r="U18" s="475">
        <f t="shared" si="14"/>
        <v>0</v>
      </c>
      <c r="V18" s="245">
        <f t="shared" si="7"/>
        <v>0</v>
      </c>
      <c r="W18" s="384"/>
      <c r="X18" s="475">
        <f t="shared" si="15"/>
        <v>0</v>
      </c>
      <c r="Y18" s="245">
        <f t="shared" si="8"/>
        <v>0</v>
      </c>
      <c r="Z18" s="384"/>
      <c r="AA18" s="475">
        <f t="shared" si="16"/>
        <v>0</v>
      </c>
      <c r="AB18" s="608">
        <f t="shared" si="20"/>
        <v>0</v>
      </c>
      <c r="AC18" s="612"/>
      <c r="AD18" s="611">
        <f t="shared" si="21"/>
        <v>0</v>
      </c>
      <c r="AE18" s="245">
        <f t="shared" si="24"/>
        <v>0</v>
      </c>
      <c r="AF18" s="385"/>
      <c r="AG18" s="475">
        <f t="shared" si="17"/>
        <v>0</v>
      </c>
      <c r="AH18" s="245">
        <f>AI17</f>
        <v>0</v>
      </c>
      <c r="AI18" s="385"/>
      <c r="AJ18" s="475">
        <f t="shared" si="18"/>
        <v>0</v>
      </c>
      <c r="AK18" s="315">
        <f t="shared" si="11"/>
        <v>0</v>
      </c>
      <c r="AL18" s="384"/>
      <c r="AM18" s="475">
        <f t="shared" ref="AM18:AM26" si="26">IF((AL18-AL17)&lt;0,"0",(AL18-AL17))</f>
        <v>0</v>
      </c>
      <c r="AN18" s="389">
        <f t="shared" si="22"/>
        <v>0</v>
      </c>
    </row>
    <row r="19" spans="1:40" ht="23.1" customHeight="1">
      <c r="A19" s="57">
        <f>Gen!A24</f>
        <v>44241</v>
      </c>
      <c r="B19" s="4"/>
      <c r="C19" s="95">
        <f t="shared" si="0"/>
        <v>0</v>
      </c>
      <c r="D19" s="1"/>
      <c r="E19" s="474">
        <f t="shared" si="25"/>
        <v>0</v>
      </c>
      <c r="F19" s="95">
        <f t="shared" si="2"/>
        <v>0</v>
      </c>
      <c r="G19" s="387"/>
      <c r="H19" s="474">
        <f t="shared" si="12"/>
        <v>0</v>
      </c>
      <c r="I19" s="95">
        <f t="shared" si="3"/>
        <v>0</v>
      </c>
      <c r="J19" s="1"/>
      <c r="K19" s="474"/>
      <c r="L19" s="95">
        <f t="shared" si="4"/>
        <v>0</v>
      </c>
      <c r="M19" s="1"/>
      <c r="N19" s="474">
        <f t="shared" si="13"/>
        <v>0</v>
      </c>
      <c r="O19" s="95">
        <f t="shared" si="5"/>
        <v>0</v>
      </c>
      <c r="P19" s="383"/>
      <c r="Q19" s="474">
        <f t="shared" si="6"/>
        <v>0</v>
      </c>
      <c r="R19" s="250"/>
      <c r="S19" s="245"/>
      <c r="T19" s="384"/>
      <c r="U19" s="475">
        <f t="shared" si="14"/>
        <v>0</v>
      </c>
      <c r="V19" s="245">
        <f t="shared" si="7"/>
        <v>0</v>
      </c>
      <c r="W19" s="384"/>
      <c r="X19" s="475">
        <f t="shared" si="15"/>
        <v>0</v>
      </c>
      <c r="Y19" s="245">
        <f t="shared" si="8"/>
        <v>0</v>
      </c>
      <c r="Z19" s="384"/>
      <c r="AA19" s="475">
        <f t="shared" si="16"/>
        <v>0</v>
      </c>
      <c r="AB19" s="608">
        <f t="shared" si="20"/>
        <v>0</v>
      </c>
      <c r="AC19" s="612"/>
      <c r="AD19" s="611">
        <f t="shared" si="21"/>
        <v>0</v>
      </c>
      <c r="AE19" s="245">
        <f t="shared" si="24"/>
        <v>0</v>
      </c>
      <c r="AF19" s="385"/>
      <c r="AG19" s="475">
        <f t="shared" si="17"/>
        <v>0</v>
      </c>
      <c r="AH19" s="245">
        <f>AI18</f>
        <v>0</v>
      </c>
      <c r="AI19" s="385"/>
      <c r="AJ19" s="475">
        <f t="shared" si="18"/>
        <v>0</v>
      </c>
      <c r="AK19" s="315">
        <f t="shared" si="11"/>
        <v>0</v>
      </c>
      <c r="AL19" s="384"/>
      <c r="AM19" s="475">
        <f t="shared" si="26"/>
        <v>0</v>
      </c>
      <c r="AN19" s="389">
        <f t="shared" si="22"/>
        <v>0</v>
      </c>
    </row>
    <row r="20" spans="1:40" ht="23.1" customHeight="1">
      <c r="A20" s="57">
        <f>Gen!A25</f>
        <v>44242</v>
      </c>
      <c r="B20" s="4"/>
      <c r="C20" s="95">
        <f t="shared" si="0"/>
        <v>0</v>
      </c>
      <c r="D20" s="1"/>
      <c r="E20" s="474">
        <f t="shared" si="25"/>
        <v>0</v>
      </c>
      <c r="F20" s="95">
        <f t="shared" si="2"/>
        <v>0</v>
      </c>
      <c r="G20" s="387"/>
      <c r="H20" s="474">
        <f t="shared" si="12"/>
        <v>0</v>
      </c>
      <c r="I20" s="95">
        <f t="shared" si="3"/>
        <v>0</v>
      </c>
      <c r="J20" s="1"/>
      <c r="K20" s="474"/>
      <c r="L20" s="95">
        <f t="shared" si="4"/>
        <v>0</v>
      </c>
      <c r="M20" s="1"/>
      <c r="N20" s="474">
        <f t="shared" si="13"/>
        <v>0</v>
      </c>
      <c r="O20" s="95">
        <f t="shared" si="5"/>
        <v>0</v>
      </c>
      <c r="P20" s="383"/>
      <c r="Q20" s="474">
        <f t="shared" si="6"/>
        <v>0</v>
      </c>
      <c r="R20" s="250"/>
      <c r="S20" s="245"/>
      <c r="T20" s="384"/>
      <c r="U20" s="475">
        <f t="shared" si="14"/>
        <v>0</v>
      </c>
      <c r="V20" s="245">
        <f t="shared" si="7"/>
        <v>0</v>
      </c>
      <c r="W20" s="384"/>
      <c r="X20" s="475">
        <f t="shared" si="15"/>
        <v>0</v>
      </c>
      <c r="Y20" s="245">
        <f t="shared" si="8"/>
        <v>0</v>
      </c>
      <c r="Z20" s="384"/>
      <c r="AA20" s="475">
        <f t="shared" si="16"/>
        <v>0</v>
      </c>
      <c r="AB20" s="608">
        <f t="shared" si="20"/>
        <v>0</v>
      </c>
      <c r="AC20" s="612"/>
      <c r="AD20" s="611">
        <f t="shared" si="21"/>
        <v>0</v>
      </c>
      <c r="AE20" s="245">
        <f t="shared" si="24"/>
        <v>0</v>
      </c>
      <c r="AF20" s="385"/>
      <c r="AG20" s="475">
        <f t="shared" si="17"/>
        <v>0</v>
      </c>
      <c r="AH20" s="245">
        <f t="shared" si="10"/>
        <v>0</v>
      </c>
      <c r="AI20" s="385"/>
      <c r="AJ20" s="475">
        <f t="shared" si="18"/>
        <v>0</v>
      </c>
      <c r="AK20" s="315">
        <f t="shared" si="11"/>
        <v>0</v>
      </c>
      <c r="AL20" s="384"/>
      <c r="AM20" s="475">
        <f t="shared" si="26"/>
        <v>0</v>
      </c>
      <c r="AN20" s="389">
        <f t="shared" si="22"/>
        <v>0</v>
      </c>
    </row>
    <row r="21" spans="1:40" ht="23.1" customHeight="1">
      <c r="A21" s="57">
        <f>Gen!A26</f>
        <v>44243</v>
      </c>
      <c r="B21" s="4"/>
      <c r="C21" s="95">
        <f t="shared" si="0"/>
        <v>0</v>
      </c>
      <c r="D21" s="1"/>
      <c r="E21" s="474">
        <f t="shared" si="25"/>
        <v>0</v>
      </c>
      <c r="F21" s="95">
        <f t="shared" si="2"/>
        <v>0</v>
      </c>
      <c r="G21" s="387"/>
      <c r="H21" s="474">
        <f t="shared" si="12"/>
        <v>0</v>
      </c>
      <c r="I21" s="95">
        <f t="shared" si="3"/>
        <v>0</v>
      </c>
      <c r="J21" s="1"/>
      <c r="K21" s="474"/>
      <c r="L21" s="95">
        <f t="shared" si="4"/>
        <v>0</v>
      </c>
      <c r="M21" s="1"/>
      <c r="N21" s="474">
        <f t="shared" si="13"/>
        <v>0</v>
      </c>
      <c r="O21" s="95">
        <f t="shared" si="5"/>
        <v>0</v>
      </c>
      <c r="P21" s="383"/>
      <c r="Q21" s="474">
        <f t="shared" si="6"/>
        <v>0</v>
      </c>
      <c r="R21" s="250"/>
      <c r="S21" s="245"/>
      <c r="T21" s="384"/>
      <c r="U21" s="475">
        <f t="shared" si="14"/>
        <v>0</v>
      </c>
      <c r="V21" s="245">
        <f t="shared" ref="V21:V37" si="27">W20</f>
        <v>0</v>
      </c>
      <c r="W21" s="384"/>
      <c r="X21" s="475">
        <f t="shared" si="15"/>
        <v>0</v>
      </c>
      <c r="Y21" s="245">
        <f t="shared" si="8"/>
        <v>0</v>
      </c>
      <c r="Z21" s="384"/>
      <c r="AA21" s="475">
        <f t="shared" si="16"/>
        <v>0</v>
      </c>
      <c r="AB21" s="608">
        <f t="shared" si="20"/>
        <v>0</v>
      </c>
      <c r="AC21" s="612"/>
      <c r="AD21" s="611">
        <f t="shared" si="21"/>
        <v>0</v>
      </c>
      <c r="AE21" s="245">
        <f t="shared" si="9"/>
        <v>0</v>
      </c>
      <c r="AF21" s="385"/>
      <c r="AG21" s="475">
        <f t="shared" si="17"/>
        <v>0</v>
      </c>
      <c r="AH21" s="245">
        <f t="shared" si="10"/>
        <v>0</v>
      </c>
      <c r="AI21" s="385"/>
      <c r="AJ21" s="475">
        <f t="shared" si="18"/>
        <v>0</v>
      </c>
      <c r="AK21" s="315">
        <f t="shared" si="11"/>
        <v>0</v>
      </c>
      <c r="AL21" s="384"/>
      <c r="AM21" s="475">
        <f t="shared" si="26"/>
        <v>0</v>
      </c>
      <c r="AN21" s="389">
        <f t="shared" si="22"/>
        <v>0</v>
      </c>
    </row>
    <row r="22" spans="1:40" ht="23.1" customHeight="1">
      <c r="A22" s="57">
        <f>Gen!A27</f>
        <v>44244</v>
      </c>
      <c r="B22" s="4"/>
      <c r="C22" s="95">
        <f t="shared" si="0"/>
        <v>0</v>
      </c>
      <c r="D22" s="1"/>
      <c r="E22" s="474">
        <f t="shared" si="25"/>
        <v>0</v>
      </c>
      <c r="F22" s="95">
        <f t="shared" si="2"/>
        <v>0</v>
      </c>
      <c r="G22" s="387"/>
      <c r="H22" s="474">
        <f t="shared" si="12"/>
        <v>0</v>
      </c>
      <c r="I22" s="95">
        <f t="shared" si="3"/>
        <v>0</v>
      </c>
      <c r="J22" s="1"/>
      <c r="K22" s="474"/>
      <c r="L22" s="95">
        <f t="shared" si="4"/>
        <v>0</v>
      </c>
      <c r="M22" s="1"/>
      <c r="N22" s="474">
        <f t="shared" si="13"/>
        <v>0</v>
      </c>
      <c r="O22" s="95">
        <f t="shared" si="5"/>
        <v>0</v>
      </c>
      <c r="P22" s="383"/>
      <c r="Q22" s="474">
        <f t="shared" si="6"/>
        <v>0</v>
      </c>
      <c r="R22" s="250"/>
      <c r="S22" s="245"/>
      <c r="T22" s="384"/>
      <c r="U22" s="475">
        <f t="shared" si="14"/>
        <v>0</v>
      </c>
      <c r="V22" s="245">
        <f t="shared" si="27"/>
        <v>0</v>
      </c>
      <c r="W22" s="384"/>
      <c r="X22" s="475">
        <f t="shared" si="15"/>
        <v>0</v>
      </c>
      <c r="Y22" s="245">
        <f t="shared" si="8"/>
        <v>0</v>
      </c>
      <c r="Z22" s="384"/>
      <c r="AA22" s="475">
        <f t="shared" si="16"/>
        <v>0</v>
      </c>
      <c r="AB22" s="608">
        <f t="shared" si="20"/>
        <v>0</v>
      </c>
      <c r="AC22" s="612"/>
      <c r="AD22" s="611">
        <f t="shared" si="21"/>
        <v>0</v>
      </c>
      <c r="AE22" s="245">
        <f t="shared" si="9"/>
        <v>0</v>
      </c>
      <c r="AF22" s="385"/>
      <c r="AG22" s="475">
        <f t="shared" si="17"/>
        <v>0</v>
      </c>
      <c r="AH22" s="245">
        <f t="shared" si="10"/>
        <v>0</v>
      </c>
      <c r="AI22" s="385"/>
      <c r="AJ22" s="475">
        <f t="shared" si="18"/>
        <v>0</v>
      </c>
      <c r="AK22" s="315">
        <f t="shared" si="11"/>
        <v>0</v>
      </c>
      <c r="AL22" s="384"/>
      <c r="AM22" s="475">
        <f t="shared" si="26"/>
        <v>0</v>
      </c>
      <c r="AN22" s="389">
        <f t="shared" si="22"/>
        <v>0</v>
      </c>
    </row>
    <row r="23" spans="1:40" ht="23.1" customHeight="1">
      <c r="A23" s="57">
        <f>Gen!A28</f>
        <v>44245</v>
      </c>
      <c r="B23" s="4"/>
      <c r="C23" s="95">
        <f t="shared" si="0"/>
        <v>0</v>
      </c>
      <c r="D23" s="1"/>
      <c r="E23" s="474">
        <f t="shared" si="25"/>
        <v>0</v>
      </c>
      <c r="F23" s="95">
        <f t="shared" si="2"/>
        <v>0</v>
      </c>
      <c r="G23" s="387"/>
      <c r="H23" s="474">
        <f t="shared" si="12"/>
        <v>0</v>
      </c>
      <c r="I23" s="95">
        <f t="shared" si="3"/>
        <v>0</v>
      </c>
      <c r="J23" s="1"/>
      <c r="K23" s="474"/>
      <c r="L23" s="95">
        <f t="shared" si="4"/>
        <v>0</v>
      </c>
      <c r="M23" s="1"/>
      <c r="N23" s="474">
        <f t="shared" si="13"/>
        <v>0</v>
      </c>
      <c r="O23" s="95">
        <f t="shared" si="5"/>
        <v>0</v>
      </c>
      <c r="P23" s="383"/>
      <c r="Q23" s="474">
        <f t="shared" si="6"/>
        <v>0</v>
      </c>
      <c r="R23" s="250"/>
      <c r="S23" s="245"/>
      <c r="T23" s="384"/>
      <c r="U23" s="475">
        <f t="shared" si="14"/>
        <v>0</v>
      </c>
      <c r="V23" s="245">
        <f t="shared" si="27"/>
        <v>0</v>
      </c>
      <c r="W23" s="384"/>
      <c r="X23" s="475">
        <f t="shared" si="15"/>
        <v>0</v>
      </c>
      <c r="Y23" s="245">
        <f t="shared" si="8"/>
        <v>0</v>
      </c>
      <c r="Z23" s="384"/>
      <c r="AA23" s="475">
        <f t="shared" si="16"/>
        <v>0</v>
      </c>
      <c r="AB23" s="608">
        <f t="shared" si="20"/>
        <v>0</v>
      </c>
      <c r="AC23" s="609"/>
      <c r="AD23" s="611">
        <f t="shared" si="21"/>
        <v>0</v>
      </c>
      <c r="AE23" s="245">
        <f t="shared" si="9"/>
        <v>0</v>
      </c>
      <c r="AF23" s="385"/>
      <c r="AG23" s="475">
        <f t="shared" si="17"/>
        <v>0</v>
      </c>
      <c r="AH23" s="245">
        <f t="shared" si="10"/>
        <v>0</v>
      </c>
      <c r="AI23" s="385"/>
      <c r="AJ23" s="475">
        <f t="shared" si="18"/>
        <v>0</v>
      </c>
      <c r="AK23" s="315">
        <f t="shared" si="11"/>
        <v>0</v>
      </c>
      <c r="AL23" s="384"/>
      <c r="AM23" s="475">
        <f t="shared" si="26"/>
        <v>0</v>
      </c>
      <c r="AN23" s="389">
        <f t="shared" si="22"/>
        <v>0</v>
      </c>
    </row>
    <row r="24" spans="1:40" ht="23.1" customHeight="1">
      <c r="A24" s="57">
        <f>Gen!A29</f>
        <v>44246</v>
      </c>
      <c r="B24" s="4"/>
      <c r="C24" s="95">
        <f t="shared" si="0"/>
        <v>0</v>
      </c>
      <c r="D24" s="1"/>
      <c r="E24" s="474">
        <f t="shared" si="25"/>
        <v>0</v>
      </c>
      <c r="F24" s="95">
        <f t="shared" si="2"/>
        <v>0</v>
      </c>
      <c r="G24" s="387"/>
      <c r="H24" s="474">
        <f t="shared" si="12"/>
        <v>0</v>
      </c>
      <c r="I24" s="95">
        <f t="shared" si="3"/>
        <v>0</v>
      </c>
      <c r="J24" s="1"/>
      <c r="K24" s="474"/>
      <c r="L24" s="95">
        <f t="shared" si="4"/>
        <v>0</v>
      </c>
      <c r="M24" s="1"/>
      <c r="N24" s="474">
        <f t="shared" si="13"/>
        <v>0</v>
      </c>
      <c r="O24" s="95">
        <f t="shared" si="5"/>
        <v>0</v>
      </c>
      <c r="P24" s="383"/>
      <c r="Q24" s="474">
        <f t="shared" si="6"/>
        <v>0</v>
      </c>
      <c r="R24" s="250"/>
      <c r="S24" s="245"/>
      <c r="T24" s="384"/>
      <c r="U24" s="475">
        <f t="shared" si="14"/>
        <v>0</v>
      </c>
      <c r="V24" s="245">
        <f t="shared" si="27"/>
        <v>0</v>
      </c>
      <c r="W24" s="384"/>
      <c r="X24" s="475">
        <f t="shared" si="15"/>
        <v>0</v>
      </c>
      <c r="Y24" s="245">
        <f t="shared" si="8"/>
        <v>0</v>
      </c>
      <c r="Z24" s="384"/>
      <c r="AA24" s="475">
        <f t="shared" si="16"/>
        <v>0</v>
      </c>
      <c r="AB24" s="608">
        <f t="shared" si="20"/>
        <v>0</v>
      </c>
      <c r="AC24" s="609"/>
      <c r="AD24" s="611">
        <f t="shared" si="21"/>
        <v>0</v>
      </c>
      <c r="AE24" s="245">
        <f t="shared" si="9"/>
        <v>0</v>
      </c>
      <c r="AF24" s="385"/>
      <c r="AG24" s="475">
        <f t="shared" si="17"/>
        <v>0</v>
      </c>
      <c r="AH24" s="245">
        <f t="shared" si="10"/>
        <v>0</v>
      </c>
      <c r="AI24" s="385"/>
      <c r="AJ24" s="475">
        <f t="shared" si="18"/>
        <v>0</v>
      </c>
      <c r="AK24" s="315">
        <f t="shared" si="11"/>
        <v>0</v>
      </c>
      <c r="AL24" s="384"/>
      <c r="AM24" s="475">
        <f t="shared" si="26"/>
        <v>0</v>
      </c>
      <c r="AN24" s="389">
        <f t="shared" si="22"/>
        <v>0</v>
      </c>
    </row>
    <row r="25" spans="1:40" ht="23.1" customHeight="1">
      <c r="A25" s="57">
        <f>Gen!A30</f>
        <v>44247</v>
      </c>
      <c r="B25" s="4"/>
      <c r="C25" s="95">
        <f>D24</f>
        <v>0</v>
      </c>
      <c r="D25" s="1"/>
      <c r="E25" s="474">
        <f t="shared" si="25"/>
        <v>0</v>
      </c>
      <c r="F25" s="95">
        <f t="shared" si="2"/>
        <v>0</v>
      </c>
      <c r="G25" s="387"/>
      <c r="H25" s="474">
        <f>IF((G26-G24)&lt;0,"0",(G26-G24))</f>
        <v>0</v>
      </c>
      <c r="I25" s="95">
        <f t="shared" ref="I25:I37" si="28">J24</f>
        <v>0</v>
      </c>
      <c r="J25" s="1"/>
      <c r="K25" s="474"/>
      <c r="L25" s="95">
        <f t="shared" ref="L25:L37" si="29">M24</f>
        <v>0</v>
      </c>
      <c r="M25" s="1"/>
      <c r="N25" s="474">
        <f t="shared" ref="N25:N37" si="30">IF((M25-M24)&lt;0,"0",(M25-M24))</f>
        <v>0</v>
      </c>
      <c r="O25" s="95">
        <f t="shared" si="5"/>
        <v>0</v>
      </c>
      <c r="P25" s="383"/>
      <c r="Q25" s="474">
        <f t="shared" si="6"/>
        <v>0</v>
      </c>
      <c r="R25" s="250"/>
      <c r="S25" s="245"/>
      <c r="T25" s="384"/>
      <c r="U25" s="475">
        <f t="shared" ref="U25:U37" si="31">IF((T25-T24)&lt;0,"0",(T25-T24))</f>
        <v>0</v>
      </c>
      <c r="V25" s="245">
        <f t="shared" si="27"/>
        <v>0</v>
      </c>
      <c r="W25" s="384"/>
      <c r="X25" s="475">
        <f t="shared" si="15"/>
        <v>0</v>
      </c>
      <c r="Y25" s="245">
        <f t="shared" si="8"/>
        <v>0</v>
      </c>
      <c r="Z25" s="384"/>
      <c r="AA25" s="475">
        <f t="shared" si="16"/>
        <v>0</v>
      </c>
      <c r="AB25" s="608">
        <f t="shared" si="20"/>
        <v>0</v>
      </c>
      <c r="AC25" s="609"/>
      <c r="AD25" s="611">
        <f t="shared" si="21"/>
        <v>0</v>
      </c>
      <c r="AE25" s="245">
        <f t="shared" si="9"/>
        <v>0</v>
      </c>
      <c r="AF25" s="385"/>
      <c r="AG25" s="475">
        <f t="shared" si="17"/>
        <v>0</v>
      </c>
      <c r="AH25" s="245">
        <f t="shared" si="10"/>
        <v>0</v>
      </c>
      <c r="AI25" s="385"/>
      <c r="AJ25" s="475">
        <f t="shared" si="18"/>
        <v>0</v>
      </c>
      <c r="AK25" s="315">
        <f t="shared" si="11"/>
        <v>0</v>
      </c>
      <c r="AL25" s="384"/>
      <c r="AM25" s="475">
        <f t="shared" si="26"/>
        <v>0</v>
      </c>
      <c r="AN25" s="389">
        <f t="shared" si="22"/>
        <v>0</v>
      </c>
    </row>
    <row r="26" spans="1:40" ht="23.1" customHeight="1">
      <c r="A26" s="57">
        <f>Gen!A31</f>
        <v>44248</v>
      </c>
      <c r="B26" s="4"/>
      <c r="C26" s="95">
        <f>D25</f>
        <v>0</v>
      </c>
      <c r="D26" s="1"/>
      <c r="E26" s="474">
        <f t="shared" si="25"/>
        <v>0</v>
      </c>
      <c r="F26" s="95">
        <f>G26</f>
        <v>0</v>
      </c>
      <c r="G26" s="387"/>
      <c r="H26" s="474">
        <f t="shared" ref="H26:H27" si="32">IF((G27-G25)&lt;0,"0",(G27-G25))</f>
        <v>0</v>
      </c>
      <c r="I26" s="95">
        <f t="shared" si="28"/>
        <v>0</v>
      </c>
      <c r="J26" s="1"/>
      <c r="K26" s="474"/>
      <c r="L26" s="95">
        <f t="shared" si="29"/>
        <v>0</v>
      </c>
      <c r="M26" s="1"/>
      <c r="N26" s="474">
        <f t="shared" si="30"/>
        <v>0</v>
      </c>
      <c r="O26" s="95">
        <f t="shared" ref="O26:O37" si="33">P25</f>
        <v>0</v>
      </c>
      <c r="P26" s="383"/>
      <c r="Q26" s="474">
        <f t="shared" si="6"/>
        <v>0</v>
      </c>
      <c r="R26" s="250"/>
      <c r="S26" s="245"/>
      <c r="T26" s="384"/>
      <c r="U26" s="475">
        <f t="shared" si="31"/>
        <v>0</v>
      </c>
      <c r="V26" s="245">
        <f t="shared" si="27"/>
        <v>0</v>
      </c>
      <c r="W26" s="384"/>
      <c r="X26" s="475">
        <f t="shared" si="15"/>
        <v>0</v>
      </c>
      <c r="Y26" s="245">
        <f t="shared" si="8"/>
        <v>0</v>
      </c>
      <c r="Z26" s="384"/>
      <c r="AA26" s="475">
        <f t="shared" si="16"/>
        <v>0</v>
      </c>
      <c r="AB26" s="608">
        <f t="shared" si="20"/>
        <v>0</v>
      </c>
      <c r="AC26" s="609"/>
      <c r="AD26" s="611">
        <f t="shared" si="21"/>
        <v>0</v>
      </c>
      <c r="AE26" s="245">
        <f t="shared" si="9"/>
        <v>0</v>
      </c>
      <c r="AF26" s="385"/>
      <c r="AG26" s="475">
        <f t="shared" si="17"/>
        <v>0</v>
      </c>
      <c r="AH26" s="245">
        <f t="shared" si="10"/>
        <v>0</v>
      </c>
      <c r="AI26" s="385"/>
      <c r="AJ26" s="475">
        <f t="shared" si="18"/>
        <v>0</v>
      </c>
      <c r="AK26" s="315">
        <f t="shared" si="11"/>
        <v>0</v>
      </c>
      <c r="AL26" s="384"/>
      <c r="AM26" s="475">
        <f t="shared" si="26"/>
        <v>0</v>
      </c>
      <c r="AN26" s="389">
        <f t="shared" si="22"/>
        <v>0</v>
      </c>
    </row>
    <row r="27" spans="1:40" ht="23.1" customHeight="1">
      <c r="A27" s="57">
        <f>Gen!A32</f>
        <v>44249</v>
      </c>
      <c r="B27" s="4"/>
      <c r="C27" s="95">
        <f>D26</f>
        <v>0</v>
      </c>
      <c r="D27" s="1"/>
      <c r="E27" s="474">
        <f t="shared" si="25"/>
        <v>0</v>
      </c>
      <c r="F27" s="95">
        <f t="shared" ref="F27:F31" si="34">G27</f>
        <v>0</v>
      </c>
      <c r="G27" s="387"/>
      <c r="H27" s="474">
        <f t="shared" si="32"/>
        <v>0</v>
      </c>
      <c r="I27" s="95">
        <f t="shared" si="28"/>
        <v>0</v>
      </c>
      <c r="J27" s="1"/>
      <c r="K27" s="474"/>
      <c r="L27" s="95">
        <f t="shared" si="29"/>
        <v>0</v>
      </c>
      <c r="M27" s="1"/>
      <c r="N27" s="474">
        <f t="shared" si="30"/>
        <v>0</v>
      </c>
      <c r="O27" s="95">
        <f t="shared" si="33"/>
        <v>0</v>
      </c>
      <c r="P27" s="383"/>
      <c r="Q27" s="474">
        <f t="shared" si="6"/>
        <v>0</v>
      </c>
      <c r="R27" s="250"/>
      <c r="S27" s="245"/>
      <c r="T27" s="384"/>
      <c r="U27" s="475">
        <f t="shared" si="31"/>
        <v>0</v>
      </c>
      <c r="V27" s="245">
        <f t="shared" si="27"/>
        <v>0</v>
      </c>
      <c r="W27" s="384"/>
      <c r="X27" s="475">
        <f t="shared" si="15"/>
        <v>0</v>
      </c>
      <c r="Y27" s="245">
        <f t="shared" si="8"/>
        <v>0</v>
      </c>
      <c r="Z27" s="384"/>
      <c r="AA27" s="475">
        <f t="shared" si="16"/>
        <v>0</v>
      </c>
      <c r="AB27" s="608">
        <f t="shared" si="20"/>
        <v>0</v>
      </c>
      <c r="AC27" s="609"/>
      <c r="AD27" s="611">
        <f t="shared" si="21"/>
        <v>0</v>
      </c>
      <c r="AE27" s="245">
        <f t="shared" si="9"/>
        <v>0</v>
      </c>
      <c r="AF27" s="385"/>
      <c r="AG27" s="475">
        <f t="shared" si="17"/>
        <v>0</v>
      </c>
      <c r="AH27" s="245">
        <f t="shared" si="10"/>
        <v>0</v>
      </c>
      <c r="AI27" s="385"/>
      <c r="AJ27" s="475">
        <f t="shared" si="18"/>
        <v>0</v>
      </c>
      <c r="AK27" s="315">
        <f t="shared" si="11"/>
        <v>0</v>
      </c>
      <c r="AL27" s="384"/>
      <c r="AM27" s="475">
        <f t="shared" si="19"/>
        <v>0</v>
      </c>
      <c r="AN27" s="389">
        <f t="shared" si="22"/>
        <v>0</v>
      </c>
    </row>
    <row r="28" spans="1:40" ht="23.1" customHeight="1">
      <c r="A28" s="57">
        <f>Gen!A33</f>
        <v>44250</v>
      </c>
      <c r="B28" s="4"/>
      <c r="C28" s="95">
        <f t="shared" ref="C28:C37" si="35">D27</f>
        <v>0</v>
      </c>
      <c r="D28" s="1"/>
      <c r="E28" s="474">
        <f t="shared" si="25"/>
        <v>0</v>
      </c>
      <c r="F28" s="95">
        <f t="shared" si="34"/>
        <v>0</v>
      </c>
      <c r="G28" s="387"/>
      <c r="H28" s="474">
        <f t="shared" ref="H28:H37" si="36">IF((G28-G27)&lt;0,"0",(G28-G27))</f>
        <v>0</v>
      </c>
      <c r="I28" s="95">
        <f t="shared" si="28"/>
        <v>0</v>
      </c>
      <c r="J28" s="1"/>
      <c r="K28" s="474"/>
      <c r="L28" s="95">
        <f t="shared" si="29"/>
        <v>0</v>
      </c>
      <c r="M28" s="1"/>
      <c r="N28" s="474">
        <f t="shared" si="30"/>
        <v>0</v>
      </c>
      <c r="O28" s="95">
        <f t="shared" si="33"/>
        <v>0</v>
      </c>
      <c r="P28" s="383"/>
      <c r="Q28" s="474">
        <f t="shared" ref="Q28:Q37" si="37">IF((P28-P27)&lt;0,"0",(P28-P27))</f>
        <v>0</v>
      </c>
      <c r="R28" s="250"/>
      <c r="S28" s="245"/>
      <c r="T28" s="384"/>
      <c r="U28" s="475">
        <f t="shared" si="31"/>
        <v>0</v>
      </c>
      <c r="V28" s="245">
        <f t="shared" si="27"/>
        <v>0</v>
      </c>
      <c r="W28" s="384"/>
      <c r="X28" s="475">
        <f t="shared" si="15"/>
        <v>0</v>
      </c>
      <c r="Y28" s="245">
        <f t="shared" si="8"/>
        <v>0</v>
      </c>
      <c r="Z28" s="384"/>
      <c r="AA28" s="475">
        <f t="shared" si="16"/>
        <v>0</v>
      </c>
      <c r="AB28" s="608">
        <f t="shared" si="20"/>
        <v>0</v>
      </c>
      <c r="AC28" s="609"/>
      <c r="AD28" s="611">
        <f t="shared" si="21"/>
        <v>0</v>
      </c>
      <c r="AE28" s="245">
        <f t="shared" si="9"/>
        <v>0</v>
      </c>
      <c r="AF28" s="385"/>
      <c r="AG28" s="475">
        <f t="shared" si="17"/>
        <v>0</v>
      </c>
      <c r="AH28" s="245">
        <f t="shared" si="10"/>
        <v>0</v>
      </c>
      <c r="AI28" s="385"/>
      <c r="AJ28" s="475">
        <f t="shared" si="18"/>
        <v>0</v>
      </c>
      <c r="AK28" s="315">
        <f t="shared" si="11"/>
        <v>0</v>
      </c>
      <c r="AL28" s="384"/>
      <c r="AM28" s="475">
        <f t="shared" si="19"/>
        <v>0</v>
      </c>
      <c r="AN28" s="389">
        <f t="shared" si="22"/>
        <v>0</v>
      </c>
    </row>
    <row r="29" spans="1:40" ht="23.1" customHeight="1">
      <c r="A29" s="57">
        <f>Gen!A34</f>
        <v>44251</v>
      </c>
      <c r="B29" s="4"/>
      <c r="C29" s="95">
        <f t="shared" si="35"/>
        <v>0</v>
      </c>
      <c r="D29" s="1"/>
      <c r="E29" s="474">
        <f t="shared" si="25"/>
        <v>0</v>
      </c>
      <c r="F29" s="95">
        <f t="shared" si="34"/>
        <v>0</v>
      </c>
      <c r="G29" s="387"/>
      <c r="H29" s="474">
        <f t="shared" si="36"/>
        <v>0</v>
      </c>
      <c r="I29" s="95">
        <f t="shared" si="28"/>
        <v>0</v>
      </c>
      <c r="J29" s="1"/>
      <c r="K29" s="474"/>
      <c r="L29" s="95">
        <f t="shared" si="29"/>
        <v>0</v>
      </c>
      <c r="M29" s="1"/>
      <c r="N29" s="474">
        <f t="shared" si="30"/>
        <v>0</v>
      </c>
      <c r="O29" s="95">
        <f t="shared" si="33"/>
        <v>0</v>
      </c>
      <c r="P29" s="383"/>
      <c r="Q29" s="474">
        <f t="shared" si="37"/>
        <v>0</v>
      </c>
      <c r="R29" s="250"/>
      <c r="S29" s="245"/>
      <c r="T29" s="384"/>
      <c r="U29" s="475">
        <f t="shared" si="31"/>
        <v>0</v>
      </c>
      <c r="V29" s="245">
        <f t="shared" si="27"/>
        <v>0</v>
      </c>
      <c r="W29" s="384"/>
      <c r="X29" s="475">
        <f t="shared" si="15"/>
        <v>0</v>
      </c>
      <c r="Y29" s="245">
        <f t="shared" si="8"/>
        <v>0</v>
      </c>
      <c r="Z29" s="384"/>
      <c r="AA29" s="475">
        <f t="shared" si="16"/>
        <v>0</v>
      </c>
      <c r="AB29" s="608">
        <f t="shared" si="20"/>
        <v>0</v>
      </c>
      <c r="AC29" s="609"/>
      <c r="AD29" s="611">
        <f t="shared" si="21"/>
        <v>0</v>
      </c>
      <c r="AE29" s="245">
        <f t="shared" si="9"/>
        <v>0</v>
      </c>
      <c r="AF29" s="385"/>
      <c r="AG29" s="475">
        <f t="shared" si="17"/>
        <v>0</v>
      </c>
      <c r="AH29" s="245">
        <f t="shared" si="10"/>
        <v>0</v>
      </c>
      <c r="AI29" s="385"/>
      <c r="AJ29" s="475">
        <f t="shared" si="18"/>
        <v>0</v>
      </c>
      <c r="AK29" s="315">
        <f t="shared" si="11"/>
        <v>0</v>
      </c>
      <c r="AL29" s="384"/>
      <c r="AM29" s="475">
        <f t="shared" si="19"/>
        <v>0</v>
      </c>
      <c r="AN29" s="389">
        <f t="shared" si="22"/>
        <v>0</v>
      </c>
    </row>
    <row r="30" spans="1:40" ht="23.1" customHeight="1">
      <c r="A30" s="57">
        <f>Gen!A35</f>
        <v>44252</v>
      </c>
      <c r="B30" s="4"/>
      <c r="C30" s="95">
        <f t="shared" si="35"/>
        <v>0</v>
      </c>
      <c r="D30" s="1"/>
      <c r="E30" s="474">
        <f t="shared" si="25"/>
        <v>0</v>
      </c>
      <c r="F30" s="95">
        <f t="shared" si="34"/>
        <v>0</v>
      </c>
      <c r="G30" s="387"/>
      <c r="H30" s="474">
        <f t="shared" si="36"/>
        <v>0</v>
      </c>
      <c r="I30" s="95">
        <f t="shared" si="28"/>
        <v>0</v>
      </c>
      <c r="J30" s="1"/>
      <c r="K30" s="474"/>
      <c r="L30" s="95">
        <f t="shared" si="29"/>
        <v>0</v>
      </c>
      <c r="M30" s="1"/>
      <c r="N30" s="474">
        <f t="shared" si="30"/>
        <v>0</v>
      </c>
      <c r="O30" s="95">
        <f t="shared" si="33"/>
        <v>0</v>
      </c>
      <c r="P30" s="383"/>
      <c r="Q30" s="474">
        <f t="shared" si="37"/>
        <v>0</v>
      </c>
      <c r="R30" s="250"/>
      <c r="S30" s="245"/>
      <c r="T30" s="384"/>
      <c r="U30" s="475">
        <f t="shared" si="31"/>
        <v>0</v>
      </c>
      <c r="V30" s="245">
        <f t="shared" si="27"/>
        <v>0</v>
      </c>
      <c r="W30" s="384"/>
      <c r="X30" s="475">
        <f t="shared" si="15"/>
        <v>0</v>
      </c>
      <c r="Y30" s="245">
        <f t="shared" si="8"/>
        <v>0</v>
      </c>
      <c r="Z30" s="384"/>
      <c r="AA30" s="475">
        <f t="shared" si="16"/>
        <v>0</v>
      </c>
      <c r="AB30" s="608">
        <f t="shared" si="20"/>
        <v>0</v>
      </c>
      <c r="AC30" s="609"/>
      <c r="AD30" s="611">
        <f t="shared" si="21"/>
        <v>0</v>
      </c>
      <c r="AE30" s="245">
        <f t="shared" si="9"/>
        <v>0</v>
      </c>
      <c r="AF30" s="385"/>
      <c r="AG30" s="475">
        <f t="shared" si="17"/>
        <v>0</v>
      </c>
      <c r="AH30" s="245">
        <f t="shared" si="10"/>
        <v>0</v>
      </c>
      <c r="AI30" s="385"/>
      <c r="AJ30" s="475">
        <f t="shared" si="18"/>
        <v>0</v>
      </c>
      <c r="AK30" s="315">
        <f t="shared" si="11"/>
        <v>0</v>
      </c>
      <c r="AL30" s="384"/>
      <c r="AM30" s="475">
        <f t="shared" si="19"/>
        <v>0</v>
      </c>
      <c r="AN30" s="389">
        <f t="shared" si="22"/>
        <v>0</v>
      </c>
    </row>
    <row r="31" spans="1:40" ht="23.1" customHeight="1">
      <c r="A31" s="57">
        <f>Gen!A36</f>
        <v>44253</v>
      </c>
      <c r="B31" s="4"/>
      <c r="C31" s="95">
        <f t="shared" si="35"/>
        <v>0</v>
      </c>
      <c r="D31" s="1"/>
      <c r="E31" s="474">
        <f t="shared" si="25"/>
        <v>0</v>
      </c>
      <c r="F31" s="95">
        <f t="shared" si="34"/>
        <v>0</v>
      </c>
      <c r="G31" s="387"/>
      <c r="H31" s="474">
        <f t="shared" si="36"/>
        <v>0</v>
      </c>
      <c r="I31" s="95">
        <f t="shared" si="28"/>
        <v>0</v>
      </c>
      <c r="J31" s="1"/>
      <c r="K31" s="474">
        <f t="shared" ref="K31:K37" si="38">IF((J31-J30)&lt;0,"0",(J31-J30))</f>
        <v>0</v>
      </c>
      <c r="L31" s="95">
        <f t="shared" si="29"/>
        <v>0</v>
      </c>
      <c r="M31" s="1"/>
      <c r="N31" s="474">
        <f t="shared" si="30"/>
        <v>0</v>
      </c>
      <c r="O31" s="95">
        <f t="shared" si="33"/>
        <v>0</v>
      </c>
      <c r="P31" s="383"/>
      <c r="Q31" s="474">
        <f t="shared" si="37"/>
        <v>0</v>
      </c>
      <c r="R31" s="250"/>
      <c r="S31" s="245"/>
      <c r="T31" s="384"/>
      <c r="U31" s="475">
        <f t="shared" si="31"/>
        <v>0</v>
      </c>
      <c r="V31" s="245">
        <f t="shared" si="27"/>
        <v>0</v>
      </c>
      <c r="W31" s="384"/>
      <c r="X31" s="475">
        <f t="shared" si="15"/>
        <v>0</v>
      </c>
      <c r="Y31" s="245">
        <f t="shared" si="8"/>
        <v>0</v>
      </c>
      <c r="Z31" s="384"/>
      <c r="AA31" s="475">
        <f t="shared" si="16"/>
        <v>0</v>
      </c>
      <c r="AB31" s="608">
        <f t="shared" si="20"/>
        <v>0</v>
      </c>
      <c r="AC31" s="609"/>
      <c r="AD31" s="611">
        <f t="shared" si="21"/>
        <v>0</v>
      </c>
      <c r="AE31" s="245">
        <f t="shared" si="9"/>
        <v>0</v>
      </c>
      <c r="AF31" s="385"/>
      <c r="AG31" s="475">
        <f t="shared" si="17"/>
        <v>0</v>
      </c>
      <c r="AH31" s="245">
        <f t="shared" si="10"/>
        <v>0</v>
      </c>
      <c r="AI31" s="385"/>
      <c r="AJ31" s="475">
        <f t="shared" si="18"/>
        <v>0</v>
      </c>
      <c r="AK31" s="315">
        <f t="shared" si="11"/>
        <v>0</v>
      </c>
      <c r="AL31" s="384"/>
      <c r="AM31" s="475">
        <f t="shared" si="19"/>
        <v>0</v>
      </c>
      <c r="AN31" s="389">
        <f t="shared" si="22"/>
        <v>0</v>
      </c>
    </row>
    <row r="32" spans="1:40" ht="23.1" customHeight="1">
      <c r="A32" s="57">
        <f>Gen!A37</f>
        <v>44254</v>
      </c>
      <c r="B32" s="4" t="s">
        <v>27</v>
      </c>
      <c r="C32" s="95">
        <f t="shared" si="35"/>
        <v>0</v>
      </c>
      <c r="D32" s="1"/>
      <c r="E32" s="474">
        <f t="shared" si="25"/>
        <v>0</v>
      </c>
      <c r="F32" s="95">
        <f t="shared" si="2"/>
        <v>0</v>
      </c>
      <c r="G32" s="387"/>
      <c r="H32" s="474">
        <f t="shared" si="36"/>
        <v>0</v>
      </c>
      <c r="I32" s="95">
        <f t="shared" si="28"/>
        <v>0</v>
      </c>
      <c r="J32" s="1"/>
      <c r="K32" s="474">
        <f t="shared" si="38"/>
        <v>0</v>
      </c>
      <c r="L32" s="95">
        <f t="shared" si="29"/>
        <v>0</v>
      </c>
      <c r="M32" s="1"/>
      <c r="N32" s="474">
        <f t="shared" si="30"/>
        <v>0</v>
      </c>
      <c r="O32" s="95">
        <f t="shared" si="33"/>
        <v>0</v>
      </c>
      <c r="P32" s="383"/>
      <c r="Q32" s="474">
        <f t="shared" si="37"/>
        <v>0</v>
      </c>
      <c r="R32" s="250"/>
      <c r="S32" s="245"/>
      <c r="T32" s="384"/>
      <c r="U32" s="475">
        <f t="shared" si="31"/>
        <v>0</v>
      </c>
      <c r="V32" s="245">
        <f t="shared" si="27"/>
        <v>0</v>
      </c>
      <c r="W32" s="384"/>
      <c r="X32" s="475">
        <f t="shared" si="15"/>
        <v>0</v>
      </c>
      <c r="Y32" s="245">
        <f t="shared" si="8"/>
        <v>0</v>
      </c>
      <c r="Z32" s="384"/>
      <c r="AA32" s="475">
        <f t="shared" si="16"/>
        <v>0</v>
      </c>
      <c r="AB32" s="608">
        <f t="shared" si="20"/>
        <v>0</v>
      </c>
      <c r="AC32" s="609"/>
      <c r="AD32" s="611">
        <f t="shared" si="21"/>
        <v>0</v>
      </c>
      <c r="AE32" s="245">
        <f t="shared" si="9"/>
        <v>0</v>
      </c>
      <c r="AF32" s="385"/>
      <c r="AG32" s="475">
        <f t="shared" si="17"/>
        <v>0</v>
      </c>
      <c r="AH32" s="245">
        <f t="shared" si="10"/>
        <v>0</v>
      </c>
      <c r="AI32" s="385"/>
      <c r="AJ32" s="475">
        <f t="shared" si="18"/>
        <v>0</v>
      </c>
      <c r="AK32" s="315">
        <f t="shared" si="11"/>
        <v>0</v>
      </c>
      <c r="AL32" s="384"/>
      <c r="AM32" s="475">
        <f t="shared" si="19"/>
        <v>0</v>
      </c>
      <c r="AN32" s="389">
        <f t="shared" si="22"/>
        <v>0</v>
      </c>
    </row>
    <row r="33" spans="1:41" ht="23.1" customHeight="1">
      <c r="A33" s="57">
        <f>Gen!A38</f>
        <v>44255</v>
      </c>
      <c r="B33" s="4"/>
      <c r="C33" s="95">
        <f t="shared" si="35"/>
        <v>0</v>
      </c>
      <c r="D33" s="1"/>
      <c r="E33" s="474">
        <f t="shared" si="25"/>
        <v>0</v>
      </c>
      <c r="F33" s="95">
        <f t="shared" si="2"/>
        <v>0</v>
      </c>
      <c r="G33" s="387"/>
      <c r="H33" s="474">
        <f t="shared" si="36"/>
        <v>0</v>
      </c>
      <c r="I33" s="95">
        <f t="shared" si="28"/>
        <v>0</v>
      </c>
      <c r="J33" s="1"/>
      <c r="K33" s="474">
        <f t="shared" si="38"/>
        <v>0</v>
      </c>
      <c r="L33" s="95">
        <f t="shared" si="29"/>
        <v>0</v>
      </c>
      <c r="M33" s="1"/>
      <c r="N33" s="474">
        <f t="shared" si="30"/>
        <v>0</v>
      </c>
      <c r="O33" s="95">
        <f t="shared" si="33"/>
        <v>0</v>
      </c>
      <c r="P33" s="383"/>
      <c r="Q33" s="474">
        <f t="shared" si="37"/>
        <v>0</v>
      </c>
      <c r="R33" s="250"/>
      <c r="S33" s="245"/>
      <c r="T33" s="384"/>
      <c r="U33" s="475">
        <f t="shared" si="31"/>
        <v>0</v>
      </c>
      <c r="V33" s="245">
        <f t="shared" si="27"/>
        <v>0</v>
      </c>
      <c r="W33" s="384"/>
      <c r="X33" s="475">
        <f t="shared" si="15"/>
        <v>0</v>
      </c>
      <c r="Y33" s="245">
        <f t="shared" si="8"/>
        <v>0</v>
      </c>
      <c r="Z33" s="384"/>
      <c r="AA33" s="475">
        <f t="shared" si="16"/>
        <v>0</v>
      </c>
      <c r="AB33" s="608">
        <f t="shared" si="20"/>
        <v>0</v>
      </c>
      <c r="AC33" s="246"/>
      <c r="AD33" s="611">
        <f t="shared" si="21"/>
        <v>0</v>
      </c>
      <c r="AE33" s="245">
        <f t="shared" si="9"/>
        <v>0</v>
      </c>
      <c r="AF33" s="385"/>
      <c r="AG33" s="475">
        <f t="shared" si="17"/>
        <v>0</v>
      </c>
      <c r="AH33" s="245">
        <f t="shared" si="10"/>
        <v>0</v>
      </c>
      <c r="AI33" s="385"/>
      <c r="AJ33" s="475">
        <f t="shared" si="18"/>
        <v>0</v>
      </c>
      <c r="AK33" s="315">
        <f t="shared" si="11"/>
        <v>0</v>
      </c>
      <c r="AL33" s="384"/>
      <c r="AM33" s="475">
        <f t="shared" si="19"/>
        <v>0</v>
      </c>
      <c r="AN33" s="389">
        <f t="shared" si="22"/>
        <v>0</v>
      </c>
    </row>
    <row r="34" spans="1:41" ht="23.1" customHeight="1">
      <c r="A34" s="57">
        <f>Gen!A39</f>
        <v>0</v>
      </c>
      <c r="B34" s="148"/>
      <c r="C34" s="95">
        <f t="shared" si="35"/>
        <v>0</v>
      </c>
      <c r="D34" s="1"/>
      <c r="E34" s="474">
        <f t="shared" si="25"/>
        <v>0</v>
      </c>
      <c r="F34" s="95">
        <f t="shared" si="2"/>
        <v>0</v>
      </c>
      <c r="G34" s="387"/>
      <c r="H34" s="474">
        <f t="shared" si="36"/>
        <v>0</v>
      </c>
      <c r="I34" s="95">
        <f t="shared" si="28"/>
        <v>0</v>
      </c>
      <c r="J34" s="1"/>
      <c r="K34" s="474">
        <f t="shared" si="38"/>
        <v>0</v>
      </c>
      <c r="L34" s="95">
        <f t="shared" si="29"/>
        <v>0</v>
      </c>
      <c r="M34" s="1"/>
      <c r="N34" s="474">
        <f t="shared" si="30"/>
        <v>0</v>
      </c>
      <c r="O34" s="95">
        <f t="shared" si="33"/>
        <v>0</v>
      </c>
      <c r="P34" s="383"/>
      <c r="Q34" s="474">
        <f t="shared" si="37"/>
        <v>0</v>
      </c>
      <c r="R34" s="250"/>
      <c r="S34" s="245"/>
      <c r="T34" s="384"/>
      <c r="U34" s="475">
        <f t="shared" si="31"/>
        <v>0</v>
      </c>
      <c r="V34" s="245">
        <f t="shared" si="27"/>
        <v>0</v>
      </c>
      <c r="W34" s="384"/>
      <c r="X34" s="475">
        <f t="shared" si="15"/>
        <v>0</v>
      </c>
      <c r="Y34" s="245">
        <f t="shared" si="8"/>
        <v>0</v>
      </c>
      <c r="Z34" s="384"/>
      <c r="AA34" s="475">
        <f t="shared" si="16"/>
        <v>0</v>
      </c>
      <c r="AB34" s="608">
        <f t="shared" si="20"/>
        <v>0</v>
      </c>
      <c r="AC34" s="246"/>
      <c r="AD34" s="611">
        <f t="shared" si="21"/>
        <v>0</v>
      </c>
      <c r="AE34" s="245">
        <f t="shared" si="9"/>
        <v>0</v>
      </c>
      <c r="AF34" s="385"/>
      <c r="AG34" s="475">
        <f t="shared" si="17"/>
        <v>0</v>
      </c>
      <c r="AH34" s="245">
        <f t="shared" si="10"/>
        <v>0</v>
      </c>
      <c r="AI34" s="385"/>
      <c r="AJ34" s="475">
        <f t="shared" si="18"/>
        <v>0</v>
      </c>
      <c r="AK34" s="315">
        <f t="shared" si="11"/>
        <v>0</v>
      </c>
      <c r="AL34" s="384"/>
      <c r="AM34" s="475">
        <f t="shared" si="19"/>
        <v>0</v>
      </c>
      <c r="AN34" s="389">
        <f t="shared" si="22"/>
        <v>0</v>
      </c>
    </row>
    <row r="35" spans="1:41" ht="23.1" customHeight="1">
      <c r="A35" s="57">
        <f>Gen!A40</f>
        <v>0</v>
      </c>
      <c r="B35" s="148"/>
      <c r="C35" s="95">
        <f t="shared" si="35"/>
        <v>0</v>
      </c>
      <c r="D35" s="1"/>
      <c r="E35" s="474">
        <f t="shared" si="25"/>
        <v>0</v>
      </c>
      <c r="F35" s="95">
        <f t="shared" si="2"/>
        <v>0</v>
      </c>
      <c r="G35" s="387"/>
      <c r="H35" s="474">
        <f t="shared" si="36"/>
        <v>0</v>
      </c>
      <c r="I35" s="95">
        <f t="shared" si="28"/>
        <v>0</v>
      </c>
      <c r="J35" s="1"/>
      <c r="K35" s="474">
        <f t="shared" si="38"/>
        <v>0</v>
      </c>
      <c r="L35" s="95">
        <f t="shared" si="29"/>
        <v>0</v>
      </c>
      <c r="M35" s="1"/>
      <c r="N35" s="474">
        <f t="shared" si="30"/>
        <v>0</v>
      </c>
      <c r="O35" s="95">
        <f t="shared" si="33"/>
        <v>0</v>
      </c>
      <c r="P35" s="383"/>
      <c r="Q35" s="474">
        <f t="shared" si="37"/>
        <v>0</v>
      </c>
      <c r="R35" s="250"/>
      <c r="S35" s="245">
        <f t="shared" ref="S35:S37" si="39">T34</f>
        <v>0</v>
      </c>
      <c r="T35" s="384"/>
      <c r="U35" s="475">
        <f t="shared" si="31"/>
        <v>0</v>
      </c>
      <c r="V35" s="245">
        <f t="shared" si="27"/>
        <v>0</v>
      </c>
      <c r="W35" s="384"/>
      <c r="X35" s="475">
        <f t="shared" si="15"/>
        <v>0</v>
      </c>
      <c r="Y35" s="245">
        <f t="shared" si="8"/>
        <v>0</v>
      </c>
      <c r="Z35" s="384"/>
      <c r="AA35" s="475">
        <f t="shared" si="16"/>
        <v>0</v>
      </c>
      <c r="AB35" s="608">
        <f t="shared" si="20"/>
        <v>0</v>
      </c>
      <c r="AC35" s="246"/>
      <c r="AD35" s="611">
        <f t="shared" si="21"/>
        <v>0</v>
      </c>
      <c r="AE35" s="245">
        <f t="shared" si="9"/>
        <v>0</v>
      </c>
      <c r="AF35" s="385"/>
      <c r="AG35" s="475">
        <f t="shared" si="17"/>
        <v>0</v>
      </c>
      <c r="AH35" s="245">
        <f t="shared" si="10"/>
        <v>0</v>
      </c>
      <c r="AI35" s="385"/>
      <c r="AJ35" s="475">
        <f t="shared" si="18"/>
        <v>0</v>
      </c>
      <c r="AK35" s="315">
        <f t="shared" si="11"/>
        <v>0</v>
      </c>
      <c r="AL35" s="384"/>
      <c r="AM35" s="475">
        <f t="shared" si="19"/>
        <v>0</v>
      </c>
      <c r="AN35" s="389">
        <f t="shared" si="22"/>
        <v>0</v>
      </c>
    </row>
    <row r="36" spans="1:41" ht="23.1" customHeight="1">
      <c r="A36" s="57">
        <f>Gen!A41</f>
        <v>0</v>
      </c>
      <c r="B36" s="149"/>
      <c r="C36" s="95">
        <f t="shared" si="35"/>
        <v>0</v>
      </c>
      <c r="D36" s="1"/>
      <c r="E36" s="474">
        <f t="shared" si="25"/>
        <v>0</v>
      </c>
      <c r="F36" s="95">
        <f t="shared" si="2"/>
        <v>0</v>
      </c>
      <c r="G36" s="387"/>
      <c r="H36" s="474">
        <f t="shared" si="36"/>
        <v>0</v>
      </c>
      <c r="I36" s="95">
        <f t="shared" si="28"/>
        <v>0</v>
      </c>
      <c r="J36" s="1"/>
      <c r="K36" s="474">
        <f t="shared" si="38"/>
        <v>0</v>
      </c>
      <c r="L36" s="95">
        <f t="shared" si="29"/>
        <v>0</v>
      </c>
      <c r="M36" s="1"/>
      <c r="N36" s="474">
        <f t="shared" si="30"/>
        <v>0</v>
      </c>
      <c r="O36" s="95">
        <f t="shared" si="33"/>
        <v>0</v>
      </c>
      <c r="P36" s="383"/>
      <c r="Q36" s="474">
        <f t="shared" si="37"/>
        <v>0</v>
      </c>
      <c r="R36" s="250"/>
      <c r="S36" s="245">
        <f t="shared" si="39"/>
        <v>0</v>
      </c>
      <c r="T36" s="384"/>
      <c r="U36" s="475">
        <f t="shared" si="31"/>
        <v>0</v>
      </c>
      <c r="V36" s="245">
        <f t="shared" si="27"/>
        <v>0</v>
      </c>
      <c r="W36" s="384"/>
      <c r="X36" s="475">
        <f t="shared" si="15"/>
        <v>0</v>
      </c>
      <c r="Y36" s="245">
        <f t="shared" si="8"/>
        <v>0</v>
      </c>
      <c r="Z36" s="384"/>
      <c r="AA36" s="475">
        <f t="shared" si="16"/>
        <v>0</v>
      </c>
      <c r="AB36" s="608">
        <f t="shared" si="20"/>
        <v>0</v>
      </c>
      <c r="AC36" s="246"/>
      <c r="AD36" s="611">
        <f t="shared" si="21"/>
        <v>0</v>
      </c>
      <c r="AE36" s="245">
        <f t="shared" si="9"/>
        <v>0</v>
      </c>
      <c r="AF36" s="385"/>
      <c r="AG36" s="475">
        <f t="shared" si="17"/>
        <v>0</v>
      </c>
      <c r="AH36" s="245">
        <f t="shared" si="10"/>
        <v>0</v>
      </c>
      <c r="AI36" s="385"/>
      <c r="AJ36" s="475">
        <f t="shared" si="18"/>
        <v>0</v>
      </c>
      <c r="AK36" s="315">
        <f t="shared" si="11"/>
        <v>0</v>
      </c>
      <c r="AL36" s="384"/>
      <c r="AM36" s="475">
        <f t="shared" si="19"/>
        <v>0</v>
      </c>
      <c r="AN36" s="389">
        <f t="shared" si="22"/>
        <v>0</v>
      </c>
    </row>
    <row r="37" spans="1:41" ht="24" customHeight="1">
      <c r="A37" s="57">
        <f>Gen!A42</f>
        <v>0</v>
      </c>
      <c r="B37" s="3"/>
      <c r="C37" s="95">
        <f t="shared" si="35"/>
        <v>0</v>
      </c>
      <c r="D37" s="1"/>
      <c r="E37" s="474">
        <f t="shared" si="25"/>
        <v>0</v>
      </c>
      <c r="F37" s="95">
        <f t="shared" si="2"/>
        <v>0</v>
      </c>
      <c r="G37" s="387"/>
      <c r="H37" s="474">
        <f t="shared" si="36"/>
        <v>0</v>
      </c>
      <c r="I37" s="95">
        <f t="shared" si="28"/>
        <v>0</v>
      </c>
      <c r="J37" s="1"/>
      <c r="K37" s="474">
        <f t="shared" si="38"/>
        <v>0</v>
      </c>
      <c r="L37" s="95">
        <f t="shared" si="29"/>
        <v>0</v>
      </c>
      <c r="M37" s="1"/>
      <c r="N37" s="474">
        <f t="shared" si="30"/>
        <v>0</v>
      </c>
      <c r="O37" s="95">
        <f t="shared" si="33"/>
        <v>0</v>
      </c>
      <c r="P37" s="383"/>
      <c r="Q37" s="474">
        <f t="shared" si="37"/>
        <v>0</v>
      </c>
      <c r="R37" s="250"/>
      <c r="S37" s="245">
        <f t="shared" si="39"/>
        <v>0</v>
      </c>
      <c r="T37" s="384"/>
      <c r="U37" s="475">
        <f t="shared" si="31"/>
        <v>0</v>
      </c>
      <c r="V37" s="245">
        <f t="shared" si="27"/>
        <v>0</v>
      </c>
      <c r="W37" s="384"/>
      <c r="X37" s="475">
        <f t="shared" si="15"/>
        <v>0</v>
      </c>
      <c r="Y37" s="245">
        <f t="shared" si="8"/>
        <v>0</v>
      </c>
      <c r="Z37" s="384"/>
      <c r="AA37" s="475">
        <f t="shared" si="16"/>
        <v>0</v>
      </c>
      <c r="AB37" s="608">
        <f t="shared" si="20"/>
        <v>0</v>
      </c>
      <c r="AC37" s="246"/>
      <c r="AD37" s="611">
        <f t="shared" si="21"/>
        <v>0</v>
      </c>
      <c r="AE37" s="245">
        <f t="shared" si="9"/>
        <v>0</v>
      </c>
      <c r="AF37" s="385"/>
      <c r="AG37" s="475">
        <f t="shared" si="17"/>
        <v>0</v>
      </c>
      <c r="AH37" s="245">
        <f t="shared" si="10"/>
        <v>0</v>
      </c>
      <c r="AI37" s="385"/>
      <c r="AJ37" s="475">
        <f t="shared" si="18"/>
        <v>0</v>
      </c>
      <c r="AK37" s="315">
        <f t="shared" si="11"/>
        <v>0</v>
      </c>
      <c r="AL37" s="384"/>
      <c r="AM37" s="475">
        <f t="shared" si="19"/>
        <v>0</v>
      </c>
      <c r="AN37" s="389">
        <f t="shared" ref="AN37" si="40">U38+X38+AA38+AD38+AG38+AJ38+AM38</f>
        <v>82</v>
      </c>
    </row>
    <row r="38" spans="1:41" ht="18.75">
      <c r="A38" s="57"/>
      <c r="B38" s="21"/>
      <c r="C38" s="897" t="s">
        <v>6</v>
      </c>
      <c r="D38" s="897"/>
      <c r="E38" s="22">
        <f>SUM(E6:E36)</f>
        <v>58</v>
      </c>
      <c r="F38" s="23" t="s">
        <v>21</v>
      </c>
      <c r="G38" s="24"/>
      <c r="H38" s="25">
        <f>SUM(H6:H37)</f>
        <v>0</v>
      </c>
      <c r="I38" s="26"/>
      <c r="J38" s="23"/>
      <c r="K38" s="27">
        <f>SUM(K6:K37)</f>
        <v>0</v>
      </c>
      <c r="L38" s="147"/>
      <c r="M38" s="147"/>
      <c r="N38" s="28">
        <f t="shared" ref="N38" si="41">M38-M37</f>
        <v>0</v>
      </c>
      <c r="O38" s="26"/>
      <c r="P38" s="247"/>
      <c r="Q38" s="248">
        <f t="shared" ref="Q38" si="42">P38-O38</f>
        <v>0</v>
      </c>
      <c r="R38" s="249">
        <f>E38</f>
        <v>58</v>
      </c>
      <c r="S38" s="247"/>
      <c r="T38" s="247"/>
      <c r="U38" s="257">
        <f>SUM(U6:U37)</f>
        <v>82</v>
      </c>
      <c r="V38" s="247"/>
      <c r="W38" s="247"/>
      <c r="X38" s="247"/>
      <c r="Y38" s="247"/>
      <c r="Z38" s="247"/>
      <c r="AA38" s="247"/>
      <c r="AB38" s="247"/>
      <c r="AC38" s="247"/>
      <c r="AD38" s="247"/>
      <c r="AE38" s="247"/>
      <c r="AF38" s="247"/>
      <c r="AG38" s="247"/>
      <c r="AH38" s="247"/>
      <c r="AI38" s="247"/>
      <c r="AJ38" s="475">
        <f t="shared" ref="AJ38" si="43">IF((AI39-AI37)&lt;0,"0",(AI39-AI37))</f>
        <v>0</v>
      </c>
      <c r="AK38" s="247"/>
      <c r="AL38" s="247"/>
      <c r="AM38" s="247"/>
      <c r="AN38" s="253">
        <f t="shared" ref="AN38" si="44">U38+X38+AA38+AD38+AG38+AJ38+AM38</f>
        <v>82</v>
      </c>
    </row>
    <row r="40" spans="1:41">
      <c r="R40" s="19"/>
      <c r="AF40" t="s">
        <v>253</v>
      </c>
    </row>
    <row r="41" spans="1:41" ht="13.5" thickBot="1">
      <c r="R41" s="19"/>
    </row>
    <row r="42" spans="1:41" ht="18.75" thickBot="1">
      <c r="A42" s="923"/>
      <c r="B42" s="277"/>
      <c r="C42" s="920" t="s">
        <v>222</v>
      </c>
      <c r="D42" s="921"/>
      <c r="E42" s="921"/>
      <c r="F42" s="921"/>
      <c r="G42" s="921"/>
      <c r="H42" s="921"/>
      <c r="I42" s="921"/>
      <c r="J42" s="921"/>
      <c r="K42" s="922"/>
      <c r="R42" s="19"/>
    </row>
    <row r="43" spans="1:41" ht="24.75" customHeight="1">
      <c r="A43" s="924"/>
      <c r="B43" s="19"/>
      <c r="C43" s="926" t="s">
        <v>216</v>
      </c>
      <c r="D43" s="927"/>
      <c r="E43" s="928" t="s">
        <v>237</v>
      </c>
      <c r="F43" s="929"/>
      <c r="G43" s="930" t="s">
        <v>217</v>
      </c>
      <c r="H43" s="931"/>
      <c r="I43" s="930" t="s">
        <v>238</v>
      </c>
      <c r="J43" s="931"/>
      <c r="K43" s="918" t="s">
        <v>223</v>
      </c>
      <c r="R43" s="19"/>
      <c r="T43" s="478"/>
      <c r="U43" s="478"/>
      <c r="V43" s="478"/>
      <c r="W43" s="478"/>
      <c r="X43" s="478"/>
      <c r="Y43" s="478"/>
      <c r="Z43" s="478"/>
      <c r="AA43" s="478"/>
      <c r="AB43" s="478"/>
      <c r="AC43" s="478"/>
      <c r="AD43" s="478"/>
      <c r="AE43" s="478"/>
      <c r="AF43" s="478"/>
      <c r="AG43" s="478"/>
      <c r="AH43" s="478"/>
      <c r="AI43" s="478"/>
      <c r="AJ43" s="478"/>
      <c r="AK43" s="478"/>
      <c r="AL43" s="478"/>
      <c r="AM43" s="478"/>
      <c r="AN43" s="478"/>
      <c r="AO43" s="478"/>
    </row>
    <row r="44" spans="1:41" ht="21" customHeight="1" thickBot="1">
      <c r="A44" s="924"/>
      <c r="B44" s="19"/>
      <c r="C44" s="932" t="s">
        <v>218</v>
      </c>
      <c r="D44" s="933"/>
      <c r="E44" s="932" t="s">
        <v>219</v>
      </c>
      <c r="F44" s="933"/>
      <c r="G44" s="932" t="s">
        <v>220</v>
      </c>
      <c r="H44" s="933"/>
      <c r="I44" s="932" t="s">
        <v>221</v>
      </c>
      <c r="J44" s="933"/>
      <c r="K44" s="919"/>
      <c r="R44" s="19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478"/>
      <c r="AJ44" s="478"/>
      <c r="AK44" s="478"/>
      <c r="AL44" s="478"/>
      <c r="AM44" s="478"/>
      <c r="AN44" s="478"/>
      <c r="AO44" s="478"/>
    </row>
    <row r="45" spans="1:41" ht="21" customHeight="1" thickBot="1">
      <c r="A45" s="925"/>
      <c r="B45" s="19"/>
      <c r="C45" s="326" t="s">
        <v>225</v>
      </c>
      <c r="D45" s="327" t="s">
        <v>224</v>
      </c>
      <c r="E45" s="328" t="s">
        <v>225</v>
      </c>
      <c r="F45" s="329" t="s">
        <v>224</v>
      </c>
      <c r="G45" s="476"/>
      <c r="H45" s="329" t="s">
        <v>224</v>
      </c>
      <c r="I45" s="328"/>
      <c r="J45" s="329" t="s">
        <v>224</v>
      </c>
      <c r="K45" s="330" t="s">
        <v>224</v>
      </c>
      <c r="R45" s="19"/>
      <c r="T45" s="478"/>
      <c r="U45" s="478"/>
      <c r="V45" s="478"/>
      <c r="W45" s="478"/>
      <c r="X45" s="478"/>
      <c r="Y45" s="478"/>
      <c r="Z45" s="478"/>
      <c r="AA45" s="478"/>
      <c r="AB45" s="478"/>
      <c r="AC45" s="478"/>
      <c r="AD45" s="478"/>
      <c r="AE45" s="478"/>
      <c r="AF45" s="478"/>
      <c r="AG45" s="478"/>
      <c r="AH45" s="478"/>
      <c r="AI45" s="478"/>
      <c r="AJ45" s="478"/>
      <c r="AK45" s="478"/>
      <c r="AL45" s="478"/>
      <c r="AM45" s="478"/>
      <c r="AN45" s="478"/>
      <c r="AO45" s="478"/>
    </row>
    <row r="46" spans="1:41" ht="20.25" customHeight="1">
      <c r="A46" s="293">
        <f>Gen!A11</f>
        <v>44228</v>
      </c>
      <c r="B46" s="19"/>
      <c r="C46" s="62">
        <v>215</v>
      </c>
      <c r="D46" s="325">
        <f t="shared" ref="D46:D77" si="45">C46*217/300</f>
        <v>155.51666666666668</v>
      </c>
      <c r="E46" s="6">
        <v>180</v>
      </c>
      <c r="F46" s="325">
        <f t="shared" ref="F46:F77" si="46">E46*92/305</f>
        <v>54.295081967213115</v>
      </c>
      <c r="G46" s="620">
        <v>300</v>
      </c>
      <c r="H46" s="325">
        <f t="shared" ref="H46:H77" si="47">G46*146/383</f>
        <v>114.36031331592689</v>
      </c>
      <c r="I46" s="6">
        <v>284</v>
      </c>
      <c r="J46" s="325">
        <f t="shared" ref="J46:J77" si="48">I46*213/308</f>
        <v>196.40259740259739</v>
      </c>
      <c r="K46" s="331">
        <f>D46+F46+H46+J46</f>
        <v>520.57465935240407</v>
      </c>
      <c r="T46" s="478"/>
      <c r="U46" s="478"/>
      <c r="V46" s="478"/>
      <c r="W46" s="478"/>
      <c r="X46" s="478"/>
      <c r="Y46" s="478"/>
      <c r="Z46" s="478"/>
      <c r="AA46" s="478"/>
      <c r="AB46" s="478"/>
      <c r="AC46" s="478"/>
      <c r="AD46" s="478"/>
      <c r="AE46" s="478"/>
      <c r="AF46" s="478"/>
      <c r="AG46" s="478"/>
      <c r="AH46" s="478"/>
      <c r="AI46" s="478"/>
      <c r="AJ46" s="478"/>
      <c r="AK46" s="478"/>
      <c r="AL46" s="478"/>
      <c r="AM46" s="478"/>
      <c r="AN46" s="478"/>
      <c r="AO46" s="478"/>
    </row>
    <row r="47" spans="1:41" ht="13.5">
      <c r="A47" s="293">
        <f>Gen!A12</f>
        <v>44229</v>
      </c>
      <c r="B47" s="19"/>
      <c r="C47" s="62">
        <v>300</v>
      </c>
      <c r="D47" s="325">
        <f t="shared" si="45"/>
        <v>217</v>
      </c>
      <c r="E47" s="6">
        <v>295</v>
      </c>
      <c r="F47" s="325">
        <f t="shared" si="46"/>
        <v>88.983606557377044</v>
      </c>
      <c r="G47" s="477">
        <v>295</v>
      </c>
      <c r="H47" s="325">
        <f t="shared" si="47"/>
        <v>112.45430809399478</v>
      </c>
      <c r="I47" s="6">
        <v>290</v>
      </c>
      <c r="J47" s="325">
        <f t="shared" si="48"/>
        <v>200.55194805194805</v>
      </c>
      <c r="K47" s="331">
        <f t="shared" ref="K47:K77" si="49">D47+F47+H47+J47</f>
        <v>618.98986270331989</v>
      </c>
      <c r="T47" s="478"/>
      <c r="U47" s="478"/>
      <c r="V47" s="478"/>
      <c r="W47" s="478"/>
      <c r="X47" s="478"/>
      <c r="Y47" s="478"/>
      <c r="Z47" s="478"/>
      <c r="AA47" s="478"/>
      <c r="AB47" s="478"/>
      <c r="AC47" s="478"/>
      <c r="AD47" s="478"/>
      <c r="AE47" s="478"/>
      <c r="AF47" s="478"/>
      <c r="AG47" s="478"/>
      <c r="AH47" s="478"/>
      <c r="AI47" s="478"/>
      <c r="AJ47" s="478"/>
      <c r="AK47" s="478"/>
      <c r="AL47" s="478"/>
      <c r="AM47" s="478"/>
      <c r="AN47" s="478"/>
      <c r="AO47" s="478"/>
    </row>
    <row r="48" spans="1:41" ht="13.5">
      <c r="A48" s="293">
        <f>Gen!A13</f>
        <v>44230</v>
      </c>
      <c r="B48" s="19"/>
      <c r="C48" s="62"/>
      <c r="D48" s="325">
        <f t="shared" si="45"/>
        <v>0</v>
      </c>
      <c r="E48" s="6"/>
      <c r="F48" s="325">
        <f t="shared" si="46"/>
        <v>0</v>
      </c>
      <c r="G48" s="477"/>
      <c r="H48" s="325">
        <f t="shared" si="47"/>
        <v>0</v>
      </c>
      <c r="I48" s="6"/>
      <c r="J48" s="325">
        <f t="shared" si="48"/>
        <v>0</v>
      </c>
      <c r="K48" s="331">
        <f t="shared" si="49"/>
        <v>0</v>
      </c>
      <c r="T48" s="478"/>
      <c r="U48" s="478"/>
      <c r="V48" s="478"/>
      <c r="W48" s="478"/>
      <c r="X48" s="478"/>
      <c r="Y48" s="478"/>
      <c r="Z48" s="478"/>
      <c r="AA48" s="478"/>
      <c r="AB48" s="478"/>
      <c r="AC48" s="478"/>
      <c r="AD48" s="478"/>
      <c r="AE48" s="478"/>
      <c r="AF48" s="478"/>
      <c r="AG48" s="478"/>
      <c r="AH48" s="478"/>
      <c r="AI48" s="478"/>
      <c r="AJ48" s="478"/>
      <c r="AK48" s="478"/>
      <c r="AL48" s="478"/>
      <c r="AM48" s="478"/>
      <c r="AN48" s="478"/>
      <c r="AO48" s="478"/>
    </row>
    <row r="49" spans="1:15" ht="13.5">
      <c r="A49" s="293">
        <f>Gen!A14</f>
        <v>44231</v>
      </c>
      <c r="B49" s="19"/>
      <c r="C49" s="62"/>
      <c r="D49" s="325">
        <f t="shared" si="45"/>
        <v>0</v>
      </c>
      <c r="E49" s="6"/>
      <c r="F49" s="325">
        <f t="shared" si="46"/>
        <v>0</v>
      </c>
      <c r="G49" s="477"/>
      <c r="H49" s="325">
        <f t="shared" si="47"/>
        <v>0</v>
      </c>
      <c r="I49" s="6"/>
      <c r="J49" s="325">
        <f t="shared" si="48"/>
        <v>0</v>
      </c>
      <c r="K49" s="331">
        <f t="shared" si="49"/>
        <v>0</v>
      </c>
    </row>
    <row r="50" spans="1:15" ht="13.5">
      <c r="A50" s="293">
        <f>Gen!A15</f>
        <v>44232</v>
      </c>
      <c r="B50" s="19"/>
      <c r="C50" s="62"/>
      <c r="D50" s="325">
        <f t="shared" si="45"/>
        <v>0</v>
      </c>
      <c r="E50" s="6"/>
      <c r="F50" s="325">
        <f t="shared" si="46"/>
        <v>0</v>
      </c>
      <c r="G50" s="477"/>
      <c r="H50" s="325">
        <f t="shared" si="47"/>
        <v>0</v>
      </c>
      <c r="I50" s="6"/>
      <c r="J50" s="325">
        <f t="shared" si="48"/>
        <v>0</v>
      </c>
      <c r="K50" s="331">
        <f t="shared" si="49"/>
        <v>0</v>
      </c>
    </row>
    <row r="51" spans="1:15" ht="13.5">
      <c r="A51" s="293">
        <f>Gen!A16</f>
        <v>44233</v>
      </c>
      <c r="B51" s="19"/>
      <c r="C51" s="62"/>
      <c r="D51" s="325">
        <f t="shared" si="45"/>
        <v>0</v>
      </c>
      <c r="E51" s="6"/>
      <c r="F51" s="325">
        <f t="shared" si="46"/>
        <v>0</v>
      </c>
      <c r="G51" s="477"/>
      <c r="H51" s="325">
        <f t="shared" si="47"/>
        <v>0</v>
      </c>
      <c r="I51" s="6"/>
      <c r="J51" s="325">
        <f t="shared" si="48"/>
        <v>0</v>
      </c>
      <c r="K51" s="331">
        <f t="shared" si="49"/>
        <v>0</v>
      </c>
    </row>
    <row r="52" spans="1:15" ht="13.5">
      <c r="A52" s="293">
        <f>Gen!A17</f>
        <v>44234</v>
      </c>
      <c r="B52" s="19"/>
      <c r="C52" s="62"/>
      <c r="D52" s="325">
        <f t="shared" si="45"/>
        <v>0</v>
      </c>
      <c r="E52" s="6"/>
      <c r="F52" s="325">
        <f t="shared" si="46"/>
        <v>0</v>
      </c>
      <c r="G52" s="477"/>
      <c r="H52" s="325">
        <f t="shared" si="47"/>
        <v>0</v>
      </c>
      <c r="I52" s="6"/>
      <c r="J52" s="325">
        <f t="shared" si="48"/>
        <v>0</v>
      </c>
      <c r="K52" s="331">
        <f t="shared" si="49"/>
        <v>0</v>
      </c>
    </row>
    <row r="53" spans="1:15" ht="13.5">
      <c r="A53" s="293">
        <f>Gen!A18</f>
        <v>44235</v>
      </c>
      <c r="B53" s="19"/>
      <c r="C53" s="62"/>
      <c r="D53" s="325">
        <f t="shared" si="45"/>
        <v>0</v>
      </c>
      <c r="E53" s="6"/>
      <c r="F53" s="325">
        <f t="shared" si="46"/>
        <v>0</v>
      </c>
      <c r="G53" s="477"/>
      <c r="H53" s="325">
        <f t="shared" si="47"/>
        <v>0</v>
      </c>
      <c r="I53" s="6"/>
      <c r="J53" s="325">
        <f t="shared" si="48"/>
        <v>0</v>
      </c>
      <c r="K53" s="331">
        <f t="shared" si="49"/>
        <v>0</v>
      </c>
    </row>
    <row r="54" spans="1:15" ht="13.5">
      <c r="A54" s="293">
        <f>Gen!A19</f>
        <v>44236</v>
      </c>
      <c r="B54" s="19"/>
      <c r="C54" s="62"/>
      <c r="D54" s="325">
        <f t="shared" si="45"/>
        <v>0</v>
      </c>
      <c r="E54" s="6"/>
      <c r="F54" s="325">
        <f t="shared" si="46"/>
        <v>0</v>
      </c>
      <c r="G54" s="477"/>
      <c r="H54" s="325">
        <f t="shared" si="47"/>
        <v>0</v>
      </c>
      <c r="I54" s="6"/>
      <c r="J54" s="325">
        <f t="shared" si="48"/>
        <v>0</v>
      </c>
      <c r="K54" s="331">
        <f t="shared" si="49"/>
        <v>0</v>
      </c>
    </row>
    <row r="55" spans="1:15" ht="13.5">
      <c r="A55" s="293">
        <f>Gen!A20</f>
        <v>44237</v>
      </c>
      <c r="B55" s="19"/>
      <c r="C55" s="62"/>
      <c r="D55" s="325">
        <f t="shared" si="45"/>
        <v>0</v>
      </c>
      <c r="E55" s="6"/>
      <c r="F55" s="325">
        <f t="shared" si="46"/>
        <v>0</v>
      </c>
      <c r="G55" s="477"/>
      <c r="H55" s="325">
        <f t="shared" si="47"/>
        <v>0</v>
      </c>
      <c r="I55" s="6"/>
      <c r="J55" s="325">
        <f>I56*213/308</f>
        <v>0</v>
      </c>
      <c r="K55" s="331">
        <f t="shared" si="49"/>
        <v>0</v>
      </c>
    </row>
    <row r="56" spans="1:15" ht="13.5">
      <c r="A56" s="293">
        <f>Gen!A21</f>
        <v>44238</v>
      </c>
      <c r="B56" s="19"/>
      <c r="C56" s="62"/>
      <c r="D56" s="325">
        <f t="shared" si="45"/>
        <v>0</v>
      </c>
      <c r="E56" s="6"/>
      <c r="F56" s="325">
        <f t="shared" si="46"/>
        <v>0</v>
      </c>
      <c r="G56" s="477"/>
      <c r="H56" s="325">
        <f t="shared" si="47"/>
        <v>0</v>
      </c>
      <c r="I56" s="6"/>
      <c r="J56" s="325">
        <f>I57*213/308</f>
        <v>0</v>
      </c>
      <c r="K56" s="331">
        <f t="shared" si="49"/>
        <v>0</v>
      </c>
    </row>
    <row r="57" spans="1:15" ht="13.5">
      <c r="A57" s="293">
        <f>Gen!A22</f>
        <v>44239</v>
      </c>
      <c r="B57" s="19"/>
      <c r="C57" s="62"/>
      <c r="D57" s="325">
        <f t="shared" si="45"/>
        <v>0</v>
      </c>
      <c r="E57" s="6"/>
      <c r="F57" s="325">
        <f t="shared" si="46"/>
        <v>0</v>
      </c>
      <c r="G57" s="477"/>
      <c r="H57" s="325">
        <f t="shared" si="47"/>
        <v>0</v>
      </c>
      <c r="I57" s="6"/>
      <c r="J57" s="325">
        <f t="shared" si="48"/>
        <v>0</v>
      </c>
      <c r="K57" s="331">
        <f t="shared" si="49"/>
        <v>0</v>
      </c>
    </row>
    <row r="58" spans="1:15" ht="13.5">
      <c r="A58" s="293">
        <f>Gen!A23</f>
        <v>44240</v>
      </c>
      <c r="B58" s="19"/>
      <c r="C58" s="62"/>
      <c r="D58" s="325">
        <f t="shared" si="45"/>
        <v>0</v>
      </c>
      <c r="E58" s="6"/>
      <c r="F58" s="325">
        <f t="shared" si="46"/>
        <v>0</v>
      </c>
      <c r="G58" s="477"/>
      <c r="H58" s="325">
        <f t="shared" si="47"/>
        <v>0</v>
      </c>
      <c r="I58" s="6"/>
      <c r="J58" s="325">
        <f t="shared" si="48"/>
        <v>0</v>
      </c>
      <c r="K58" s="331">
        <f t="shared" si="49"/>
        <v>0</v>
      </c>
    </row>
    <row r="59" spans="1:15" ht="13.5">
      <c r="A59" s="293">
        <f>Gen!A24</f>
        <v>44241</v>
      </c>
      <c r="B59" s="19"/>
      <c r="C59" s="62"/>
      <c r="D59" s="325">
        <f t="shared" si="45"/>
        <v>0</v>
      </c>
      <c r="E59" s="6"/>
      <c r="F59" s="325">
        <f t="shared" si="46"/>
        <v>0</v>
      </c>
      <c r="G59" s="477"/>
      <c r="H59" s="325">
        <f t="shared" si="47"/>
        <v>0</v>
      </c>
      <c r="I59" s="6"/>
      <c r="J59" s="325">
        <f t="shared" si="48"/>
        <v>0</v>
      </c>
      <c r="K59" s="331">
        <f t="shared" si="49"/>
        <v>0</v>
      </c>
    </row>
    <row r="60" spans="1:15" ht="13.5">
      <c r="A60" s="293">
        <f>Gen!A25</f>
        <v>44242</v>
      </c>
      <c r="B60" s="19"/>
      <c r="C60" s="62"/>
      <c r="D60" s="325">
        <f t="shared" si="45"/>
        <v>0</v>
      </c>
      <c r="E60" s="6"/>
      <c r="F60" s="325">
        <f t="shared" si="46"/>
        <v>0</v>
      </c>
      <c r="G60" s="477"/>
      <c r="H60" s="325">
        <f t="shared" si="47"/>
        <v>0</v>
      </c>
      <c r="I60" s="6"/>
      <c r="J60" s="325">
        <f t="shared" si="48"/>
        <v>0</v>
      </c>
      <c r="K60" s="331">
        <f t="shared" si="49"/>
        <v>0</v>
      </c>
      <c r="L60" t="s">
        <v>249</v>
      </c>
      <c r="O60" t="s">
        <v>250</v>
      </c>
    </row>
    <row r="61" spans="1:15" ht="13.5">
      <c r="A61" s="293">
        <f>Gen!A26</f>
        <v>44243</v>
      </c>
      <c r="B61" s="19"/>
      <c r="C61" s="62"/>
      <c r="D61" s="325">
        <f t="shared" si="45"/>
        <v>0</v>
      </c>
      <c r="E61" s="6"/>
      <c r="F61" s="325">
        <f t="shared" si="46"/>
        <v>0</v>
      </c>
      <c r="G61" s="477"/>
      <c r="H61" s="325">
        <f t="shared" si="47"/>
        <v>0</v>
      </c>
      <c r="I61" s="6"/>
      <c r="J61" s="325">
        <f t="shared" si="48"/>
        <v>0</v>
      </c>
      <c r="K61" s="331">
        <f t="shared" si="49"/>
        <v>0</v>
      </c>
      <c r="L61" t="s">
        <v>252</v>
      </c>
      <c r="N61" t="s">
        <v>251</v>
      </c>
    </row>
    <row r="62" spans="1:15" ht="13.5">
      <c r="A62" s="293">
        <f>Gen!A27</f>
        <v>44244</v>
      </c>
      <c r="B62" s="19"/>
      <c r="C62" s="62"/>
      <c r="D62" s="325">
        <f t="shared" si="45"/>
        <v>0</v>
      </c>
      <c r="E62" s="6"/>
      <c r="F62" s="325">
        <f t="shared" si="46"/>
        <v>0</v>
      </c>
      <c r="G62" s="477"/>
      <c r="H62" s="325">
        <f t="shared" si="47"/>
        <v>0</v>
      </c>
      <c r="I62" s="6"/>
      <c r="J62" s="325">
        <f t="shared" si="48"/>
        <v>0</v>
      </c>
      <c r="K62" s="331">
        <f t="shared" si="49"/>
        <v>0</v>
      </c>
    </row>
    <row r="63" spans="1:15" ht="13.5">
      <c r="A63" s="293">
        <f>Gen!A28</f>
        <v>44245</v>
      </c>
      <c r="B63" s="19"/>
      <c r="C63" s="62"/>
      <c r="D63" s="325">
        <f t="shared" si="45"/>
        <v>0</v>
      </c>
      <c r="E63" s="6"/>
      <c r="F63" s="325">
        <f t="shared" si="46"/>
        <v>0</v>
      </c>
      <c r="G63" s="477"/>
      <c r="H63" s="325">
        <f t="shared" si="47"/>
        <v>0</v>
      </c>
      <c r="I63" s="6"/>
      <c r="J63" s="325">
        <f t="shared" si="48"/>
        <v>0</v>
      </c>
      <c r="K63" s="331">
        <f t="shared" si="49"/>
        <v>0</v>
      </c>
    </row>
    <row r="64" spans="1:15" ht="13.5">
      <c r="A64" s="293">
        <f>Gen!A29</f>
        <v>44246</v>
      </c>
      <c r="B64" s="19"/>
      <c r="C64" s="62"/>
      <c r="D64" s="325">
        <f t="shared" si="45"/>
        <v>0</v>
      </c>
      <c r="E64" s="6"/>
      <c r="F64" s="325">
        <f t="shared" si="46"/>
        <v>0</v>
      </c>
      <c r="G64" s="477"/>
      <c r="H64" s="325">
        <f t="shared" si="47"/>
        <v>0</v>
      </c>
      <c r="I64" s="6"/>
      <c r="J64" s="325">
        <f t="shared" si="48"/>
        <v>0</v>
      </c>
      <c r="K64" s="331">
        <f t="shared" si="49"/>
        <v>0</v>
      </c>
    </row>
    <row r="65" spans="1:11" ht="13.5">
      <c r="A65" s="293">
        <f>Gen!A30</f>
        <v>44247</v>
      </c>
      <c r="B65" s="19"/>
      <c r="C65" s="62"/>
      <c r="D65" s="325">
        <f t="shared" si="45"/>
        <v>0</v>
      </c>
      <c r="E65" s="6"/>
      <c r="F65" s="325">
        <f t="shared" si="46"/>
        <v>0</v>
      </c>
      <c r="G65" s="477"/>
      <c r="H65" s="325">
        <f t="shared" si="47"/>
        <v>0</v>
      </c>
      <c r="I65" s="6"/>
      <c r="J65" s="325">
        <f t="shared" si="48"/>
        <v>0</v>
      </c>
      <c r="K65" s="331">
        <f t="shared" si="49"/>
        <v>0</v>
      </c>
    </row>
    <row r="66" spans="1:11" ht="13.5">
      <c r="A66" s="293">
        <f>Gen!A31</f>
        <v>44248</v>
      </c>
      <c r="B66" s="19"/>
      <c r="C66" s="62"/>
      <c r="D66" s="325">
        <f t="shared" si="45"/>
        <v>0</v>
      </c>
      <c r="E66" s="6"/>
      <c r="F66" s="325">
        <f t="shared" si="46"/>
        <v>0</v>
      </c>
      <c r="G66" s="477"/>
      <c r="H66" s="325">
        <f t="shared" si="47"/>
        <v>0</v>
      </c>
      <c r="I66" s="6"/>
      <c r="J66" s="325">
        <f t="shared" si="48"/>
        <v>0</v>
      </c>
      <c r="K66" s="331">
        <f t="shared" si="49"/>
        <v>0</v>
      </c>
    </row>
    <row r="67" spans="1:11" ht="13.5">
      <c r="A67" s="293">
        <f>Gen!A32</f>
        <v>44249</v>
      </c>
      <c r="B67" s="19"/>
      <c r="C67" s="62"/>
      <c r="D67" s="325">
        <f t="shared" si="45"/>
        <v>0</v>
      </c>
      <c r="E67" s="6"/>
      <c r="F67" s="325">
        <f t="shared" si="46"/>
        <v>0</v>
      </c>
      <c r="G67" s="477"/>
      <c r="H67" s="325">
        <f t="shared" si="47"/>
        <v>0</v>
      </c>
      <c r="I67" s="6"/>
      <c r="J67" s="325">
        <f t="shared" si="48"/>
        <v>0</v>
      </c>
      <c r="K67" s="331">
        <f t="shared" si="49"/>
        <v>0</v>
      </c>
    </row>
    <row r="68" spans="1:11" ht="13.5">
      <c r="A68" s="293">
        <f>Gen!A33</f>
        <v>44250</v>
      </c>
      <c r="B68" s="19"/>
      <c r="C68" s="62"/>
      <c r="D68" s="325">
        <f t="shared" si="45"/>
        <v>0</v>
      </c>
      <c r="E68" s="6"/>
      <c r="F68" s="325">
        <f t="shared" si="46"/>
        <v>0</v>
      </c>
      <c r="G68" s="477"/>
      <c r="H68" s="325">
        <f t="shared" si="47"/>
        <v>0</v>
      </c>
      <c r="I68" s="6"/>
      <c r="J68" s="325">
        <f t="shared" si="48"/>
        <v>0</v>
      </c>
      <c r="K68" s="331">
        <f t="shared" si="49"/>
        <v>0</v>
      </c>
    </row>
    <row r="69" spans="1:11" ht="13.5">
      <c r="A69" s="293">
        <f>Gen!A34</f>
        <v>44251</v>
      </c>
      <c r="B69" s="19"/>
      <c r="C69" s="62"/>
      <c r="D69" s="325">
        <f t="shared" si="45"/>
        <v>0</v>
      </c>
      <c r="E69" s="6"/>
      <c r="F69" s="325">
        <f t="shared" si="46"/>
        <v>0</v>
      </c>
      <c r="G69" s="477"/>
      <c r="H69" s="325">
        <f t="shared" si="47"/>
        <v>0</v>
      </c>
      <c r="I69" s="6"/>
      <c r="J69" s="325">
        <f t="shared" si="48"/>
        <v>0</v>
      </c>
      <c r="K69" s="331">
        <f t="shared" si="49"/>
        <v>0</v>
      </c>
    </row>
    <row r="70" spans="1:11" ht="13.5">
      <c r="A70" s="293">
        <f>Gen!A35</f>
        <v>44252</v>
      </c>
      <c r="B70" s="19"/>
      <c r="C70" s="62"/>
      <c r="D70" s="325">
        <f t="shared" si="45"/>
        <v>0</v>
      </c>
      <c r="E70" s="6"/>
      <c r="F70" s="325">
        <f t="shared" si="46"/>
        <v>0</v>
      </c>
      <c r="G70" s="477"/>
      <c r="H70" s="325">
        <f t="shared" si="47"/>
        <v>0</v>
      </c>
      <c r="I70" s="6"/>
      <c r="J70" s="325">
        <f t="shared" si="48"/>
        <v>0</v>
      </c>
      <c r="K70" s="331">
        <f t="shared" si="49"/>
        <v>0</v>
      </c>
    </row>
    <row r="71" spans="1:11" ht="13.5">
      <c r="A71" s="293">
        <f>Gen!A36</f>
        <v>44253</v>
      </c>
      <c r="B71" s="19"/>
      <c r="C71" s="62"/>
      <c r="D71" s="325">
        <f t="shared" si="45"/>
        <v>0</v>
      </c>
      <c r="E71" s="6"/>
      <c r="F71" s="325">
        <f t="shared" si="46"/>
        <v>0</v>
      </c>
      <c r="G71" s="477"/>
      <c r="H71" s="325">
        <f t="shared" si="47"/>
        <v>0</v>
      </c>
      <c r="I71" s="6"/>
      <c r="J71" s="325">
        <f t="shared" si="48"/>
        <v>0</v>
      </c>
      <c r="K71" s="331">
        <f t="shared" si="49"/>
        <v>0</v>
      </c>
    </row>
    <row r="72" spans="1:11" ht="13.5">
      <c r="A72" s="293">
        <f>Gen!A37</f>
        <v>44254</v>
      </c>
      <c r="B72" s="19"/>
      <c r="C72" s="62"/>
      <c r="D72" s="325">
        <f t="shared" si="45"/>
        <v>0</v>
      </c>
      <c r="E72" s="6"/>
      <c r="F72" s="325">
        <f t="shared" si="46"/>
        <v>0</v>
      </c>
      <c r="G72" s="477"/>
      <c r="H72" s="325">
        <f t="shared" si="47"/>
        <v>0</v>
      </c>
      <c r="I72" s="6"/>
      <c r="J72" s="325">
        <f t="shared" si="48"/>
        <v>0</v>
      </c>
      <c r="K72" s="331">
        <f t="shared" si="49"/>
        <v>0</v>
      </c>
    </row>
    <row r="73" spans="1:11" ht="13.5">
      <c r="A73" s="293">
        <f>Gen!A38</f>
        <v>44255</v>
      </c>
      <c r="B73" s="19"/>
      <c r="C73" s="62"/>
      <c r="D73" s="325">
        <f t="shared" si="45"/>
        <v>0</v>
      </c>
      <c r="E73" s="6"/>
      <c r="F73" s="325">
        <f t="shared" si="46"/>
        <v>0</v>
      </c>
      <c r="G73" s="477"/>
      <c r="H73" s="325">
        <f t="shared" si="47"/>
        <v>0</v>
      </c>
      <c r="I73" s="6"/>
      <c r="J73" s="325">
        <f t="shared" si="48"/>
        <v>0</v>
      </c>
      <c r="K73" s="331">
        <f t="shared" si="49"/>
        <v>0</v>
      </c>
    </row>
    <row r="74" spans="1:11" ht="13.5">
      <c r="A74" s="293">
        <f>Gen!A39</f>
        <v>0</v>
      </c>
      <c r="B74" s="19"/>
      <c r="C74" s="62"/>
      <c r="D74" s="325">
        <f t="shared" si="45"/>
        <v>0</v>
      </c>
      <c r="E74" s="6"/>
      <c r="F74" s="325">
        <f t="shared" si="46"/>
        <v>0</v>
      </c>
      <c r="G74" s="477"/>
      <c r="H74" s="325">
        <f t="shared" si="47"/>
        <v>0</v>
      </c>
      <c r="I74" s="6"/>
      <c r="J74" s="325">
        <f t="shared" si="48"/>
        <v>0</v>
      </c>
      <c r="K74" s="331">
        <f t="shared" si="49"/>
        <v>0</v>
      </c>
    </row>
    <row r="75" spans="1:11" ht="14.25" thickBot="1">
      <c r="A75" s="293">
        <f>Gen!A40</f>
        <v>0</v>
      </c>
      <c r="B75" s="251"/>
      <c r="C75" s="62"/>
      <c r="D75" s="325">
        <f t="shared" si="45"/>
        <v>0</v>
      </c>
      <c r="E75" s="6"/>
      <c r="F75" s="325">
        <f t="shared" si="46"/>
        <v>0</v>
      </c>
      <c r="G75" s="477"/>
      <c r="H75" s="325">
        <f t="shared" si="47"/>
        <v>0</v>
      </c>
      <c r="I75" s="6"/>
      <c r="J75" s="325">
        <f t="shared" si="48"/>
        <v>0</v>
      </c>
      <c r="K75" s="331">
        <f t="shared" si="49"/>
        <v>0</v>
      </c>
    </row>
    <row r="76" spans="1:11" ht="13.5">
      <c r="A76" s="293">
        <f>Gen!A41</f>
        <v>0</v>
      </c>
      <c r="C76" s="62"/>
      <c r="D76" s="325">
        <f t="shared" si="45"/>
        <v>0</v>
      </c>
      <c r="E76" s="6"/>
      <c r="F76" s="325">
        <f t="shared" si="46"/>
        <v>0</v>
      </c>
      <c r="G76" s="477"/>
      <c r="H76" s="325">
        <f t="shared" si="47"/>
        <v>0</v>
      </c>
      <c r="I76" s="6"/>
      <c r="J76" s="325">
        <f t="shared" si="48"/>
        <v>0</v>
      </c>
      <c r="K76" s="331">
        <f t="shared" si="49"/>
        <v>0</v>
      </c>
    </row>
    <row r="77" spans="1:11" ht="14.25" thickBot="1">
      <c r="A77" s="293">
        <f>Gen!A42</f>
        <v>0</v>
      </c>
      <c r="C77" s="62"/>
      <c r="D77" s="325">
        <f t="shared" si="45"/>
        <v>0</v>
      </c>
      <c r="E77" s="6"/>
      <c r="F77" s="325">
        <f t="shared" si="46"/>
        <v>0</v>
      </c>
      <c r="G77" s="477"/>
      <c r="H77" s="325">
        <f t="shared" si="47"/>
        <v>0</v>
      </c>
      <c r="I77" s="6"/>
      <c r="J77" s="325">
        <f t="shared" si="48"/>
        <v>0</v>
      </c>
      <c r="K77" s="332">
        <f t="shared" si="49"/>
        <v>0</v>
      </c>
    </row>
    <row r="78" spans="1:11" ht="13.5">
      <c r="A78" s="293" t="str">
        <f>Gen!A43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1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1" bestFit="1" customWidth="1"/>
  </cols>
  <sheetData>
    <row r="1" spans="1:3" s="15" customFormat="1">
      <c r="A1" s="13" t="s">
        <v>0</v>
      </c>
      <c r="B1" s="13" t="s">
        <v>23</v>
      </c>
      <c r="C1" s="13" t="s">
        <v>24</v>
      </c>
    </row>
    <row r="2" spans="1:3">
      <c r="A2" s="93">
        <f>Gen!A11</f>
        <v>44228</v>
      </c>
      <c r="B2" s="12" t="e">
        <f>SUM('[1]Water-Meter'!R10)</f>
        <v>#REF!</v>
      </c>
      <c r="C2" s="92">
        <f>SUM([1]Gen!B11)</f>
        <v>0.623</v>
      </c>
    </row>
    <row r="3" spans="1:3">
      <c r="A3" s="93">
        <f>Gen!A12</f>
        <v>44229</v>
      </c>
      <c r="B3" s="12" t="e">
        <f>SUM('[1]Water-Meter'!R11)</f>
        <v>#REF!</v>
      </c>
      <c r="C3" s="92">
        <f>SUM([1]Gen!B12)</f>
        <v>0.77900000000000003</v>
      </c>
    </row>
    <row r="4" spans="1:3">
      <c r="A4" s="93">
        <f>Gen!A13</f>
        <v>44230</v>
      </c>
      <c r="B4" s="12" t="e">
        <f>SUM('[1]Water-Meter'!R12)</f>
        <v>#REF!</v>
      </c>
      <c r="C4" s="92">
        <f>SUM([1]Gen!B13)</f>
        <v>0.53200000000000003</v>
      </c>
    </row>
    <row r="5" spans="1:3">
      <c r="A5" s="93">
        <f>Gen!A14</f>
        <v>44231</v>
      </c>
      <c r="B5" s="12" t="e">
        <f>SUM('[1]Water-Meter'!R13)</f>
        <v>#REF!</v>
      </c>
      <c r="C5" s="92">
        <f>SUM([1]Gen!B14)</f>
        <v>0.61</v>
      </c>
    </row>
    <row r="6" spans="1:3">
      <c r="A6" s="93">
        <f>Gen!A15</f>
        <v>44232</v>
      </c>
      <c r="B6" s="12" t="e">
        <f>SUM('[1]Water-Meter'!R14)</f>
        <v>#REF!</v>
      </c>
      <c r="C6" s="92">
        <f>SUM([1]Gen!B15)</f>
        <v>0.68799999999999994</v>
      </c>
    </row>
    <row r="7" spans="1:3">
      <c r="A7" s="93">
        <f>Gen!A16</f>
        <v>44233</v>
      </c>
      <c r="B7" s="12" t="e">
        <f>SUM('[1]Water-Meter'!R15)</f>
        <v>#REF!</v>
      </c>
      <c r="C7" s="92">
        <f>SUM([1]Gen!B16)</f>
        <v>0.53200000000000003</v>
      </c>
    </row>
    <row r="8" spans="1:3">
      <c r="A8" s="93">
        <f>Gen!A17</f>
        <v>44234</v>
      </c>
      <c r="B8" s="12" t="e">
        <f>SUM('[1]Water-Meter'!R16)</f>
        <v>#REF!</v>
      </c>
      <c r="C8" s="92">
        <f>SUM([1]Gen!B17)</f>
        <v>0.753</v>
      </c>
    </row>
    <row r="9" spans="1:3">
      <c r="A9" s="93">
        <f>Gen!A18</f>
        <v>44235</v>
      </c>
      <c r="B9" s="12" t="e">
        <f>SUM('[1]Water-Meter'!R17)</f>
        <v>#REF!</v>
      </c>
      <c r="C9" s="92">
        <f>SUM([1]Gen!B18)</f>
        <v>0.156</v>
      </c>
    </row>
    <row r="10" spans="1:3">
      <c r="A10" s="93">
        <f>Gen!A19</f>
        <v>44236</v>
      </c>
      <c r="B10" s="12" t="e">
        <f>SUM('[1]Water-Meter'!R18)</f>
        <v>#REF!</v>
      </c>
      <c r="C10" s="92">
        <f>SUM([1]Gen!B19)</f>
        <v>0.442</v>
      </c>
    </row>
    <row r="11" spans="1:3">
      <c r="A11" s="93">
        <f>Gen!A20</f>
        <v>44237</v>
      </c>
      <c r="B11" s="12" t="e">
        <f>SUM('[1]Water-Meter'!R19)</f>
        <v>#REF!</v>
      </c>
      <c r="C11" s="92">
        <f>SUM([1]Gen!B20)</f>
        <v>0.32500000000000001</v>
      </c>
    </row>
    <row r="12" spans="1:3">
      <c r="A12" s="93">
        <f>Gen!A21</f>
        <v>44238</v>
      </c>
      <c r="B12" s="12" t="e">
        <f>SUM('[1]Water-Meter'!R20)</f>
        <v>#REF!</v>
      </c>
      <c r="C12" s="92">
        <f>SUM([1]Gen!B21)</f>
        <v>0.45500000000000002</v>
      </c>
    </row>
    <row r="13" spans="1:3">
      <c r="A13" s="93">
        <f>Gen!A22</f>
        <v>44239</v>
      </c>
      <c r="B13" s="12" t="e">
        <f>SUM('[1]Water-Meter'!R21)</f>
        <v>#REF!</v>
      </c>
      <c r="C13" s="92">
        <f>SUM([1]Gen!B22)</f>
        <v>0.41599999999999998</v>
      </c>
    </row>
    <row r="14" spans="1:3">
      <c r="A14" s="93">
        <f>Gen!A23</f>
        <v>44240</v>
      </c>
      <c r="B14" s="12" t="e">
        <f>SUM('[1]Water-Meter'!R22)</f>
        <v>#REF!</v>
      </c>
      <c r="C14" s="92">
        <f>SUM([1]Gen!B23)</f>
        <v>0.39</v>
      </c>
    </row>
    <row r="15" spans="1:3">
      <c r="A15" s="93">
        <f>Gen!A24</f>
        <v>44241</v>
      </c>
      <c r="B15" s="12" t="e">
        <f>SUM('[1]Water-Meter'!R23)</f>
        <v>#REF!</v>
      </c>
      <c r="C15" s="92">
        <f>SUM([1]Gen!B24)</f>
        <v>0.63600000000000001</v>
      </c>
    </row>
    <row r="16" spans="1:3">
      <c r="A16" s="93">
        <f>Gen!A25</f>
        <v>44242</v>
      </c>
      <c r="B16" s="12" t="e">
        <f>SUM('[1]Water-Meter'!R24)</f>
        <v>#REF!</v>
      </c>
      <c r="C16" s="92">
        <f>SUM([1]Gen!B25)</f>
        <v>0.84399999999999997</v>
      </c>
    </row>
    <row r="17" spans="1:3">
      <c r="A17" s="93">
        <f>Gen!A26</f>
        <v>44243</v>
      </c>
      <c r="B17" s="12" t="e">
        <f>SUM('[1]Water-Meter'!R25)</f>
        <v>#REF!</v>
      </c>
      <c r="C17" s="92">
        <f>SUM([1]Gen!B26)</f>
        <v>0.81799999999999995</v>
      </c>
    </row>
    <row r="18" spans="1:3">
      <c r="A18" s="93">
        <f>Gen!A27</f>
        <v>44244</v>
      </c>
      <c r="B18" s="12" t="e">
        <f>SUM('[1]Water-Meter'!R26)</f>
        <v>#REF!</v>
      </c>
      <c r="C18" s="92">
        <f>SUM([1]Gen!B27)</f>
        <v>0.20799999999999999</v>
      </c>
    </row>
    <row r="19" spans="1:3">
      <c r="A19" s="93">
        <f>Gen!A28</f>
        <v>44245</v>
      </c>
      <c r="B19" s="12" t="e">
        <f>SUM('[1]Water-Meter'!R27)</f>
        <v>#REF!</v>
      </c>
      <c r="C19" s="92">
        <f>SUM([1]Gen!B28)</f>
        <v>0.221</v>
      </c>
    </row>
    <row r="20" spans="1:3">
      <c r="A20" s="93">
        <f>Gen!A29</f>
        <v>44246</v>
      </c>
      <c r="B20" s="12" t="e">
        <f>SUM('[1]Water-Meter'!R28)</f>
        <v>#REF!</v>
      </c>
      <c r="C20" s="92">
        <f>SUM([1]Gen!B29)</f>
        <v>0.11700000000000001</v>
      </c>
    </row>
    <row r="21" spans="1:3">
      <c r="A21" s="93">
        <f>Gen!A30</f>
        <v>44247</v>
      </c>
      <c r="B21" s="12" t="e">
        <f>SUM('[1]Water-Meter'!R29)</f>
        <v>#REF!</v>
      </c>
      <c r="C21" s="92">
        <f>SUM([1]Gen!B30)</f>
        <v>0.57099999999999995</v>
      </c>
    </row>
    <row r="22" spans="1:3">
      <c r="A22" s="93">
        <f>Gen!A31</f>
        <v>44248</v>
      </c>
      <c r="B22" s="12" t="e">
        <f>SUM('[1]Water-Meter'!R30)</f>
        <v>#REF!</v>
      </c>
      <c r="C22" s="92">
        <f>SUM([1]Gen!B31)</f>
        <v>0.55800000000000005</v>
      </c>
    </row>
    <row r="23" spans="1:3">
      <c r="A23" s="93">
        <f>Gen!A32</f>
        <v>44249</v>
      </c>
      <c r="B23" s="12" t="e">
        <f>SUM('[1]Water-Meter'!R31)</f>
        <v>#REF!</v>
      </c>
      <c r="C23" s="92">
        <f>SUM([1]Gen!B32)</f>
        <v>0.40300000000000002</v>
      </c>
    </row>
    <row r="24" spans="1:3">
      <c r="A24" s="93">
        <f>Gen!A33</f>
        <v>44250</v>
      </c>
      <c r="B24" s="12" t="e">
        <f>SUM('[1]Water-Meter'!R32)</f>
        <v>#REF!</v>
      </c>
      <c r="C24" s="92">
        <f>SUM([1]Gen!B33)</f>
        <v>0.24</v>
      </c>
    </row>
    <row r="25" spans="1:3">
      <c r="A25" s="93">
        <f>Gen!A34</f>
        <v>44251</v>
      </c>
      <c r="B25" s="12" t="e">
        <f>SUM('[1]Water-Meter'!R33)</f>
        <v>#REF!</v>
      </c>
      <c r="C25" s="92">
        <f>SUM([1]Gen!B34)</f>
        <v>0.09</v>
      </c>
    </row>
    <row r="26" spans="1:3">
      <c r="A26" s="93">
        <f>Gen!A35</f>
        <v>44252</v>
      </c>
      <c r="B26" s="12" t="e">
        <f>SUM('[1]Water-Meter'!R34)</f>
        <v>#REF!</v>
      </c>
      <c r="C26" s="92">
        <f>SUM([1]Gen!B35)</f>
        <v>0.28599999999999998</v>
      </c>
    </row>
    <row r="27" spans="1:3">
      <c r="A27" s="93">
        <f>Gen!A36</f>
        <v>44253</v>
      </c>
      <c r="B27" s="12" t="e">
        <f>SUM('[1]Water-Meter'!R35)</f>
        <v>#REF!</v>
      </c>
      <c r="C27" s="92">
        <f>SUM([1]Gen!B36)</f>
        <v>0.54500000000000004</v>
      </c>
    </row>
    <row r="28" spans="1:3">
      <c r="A28" s="93">
        <f>Gen!A37</f>
        <v>44254</v>
      </c>
      <c r="B28" s="12" t="e">
        <f>SUM('[1]Water-Meter'!R36)</f>
        <v>#REF!</v>
      </c>
      <c r="C28" s="92">
        <f>SUM([1]Gen!B37)</f>
        <v>0.67500000000000004</v>
      </c>
    </row>
    <row r="29" spans="1:3">
      <c r="A29" s="93">
        <f>Gen!A38</f>
        <v>44255</v>
      </c>
      <c r="B29" s="12" t="e">
        <f>SUM('[1]Water-Meter'!R37)</f>
        <v>#REF!</v>
      </c>
      <c r="C29" s="92">
        <f>SUM([1]Gen!B38)</f>
        <v>0.27300000000000002</v>
      </c>
    </row>
    <row r="30" spans="1:3">
      <c r="A30" s="93">
        <f>Gen!A39</f>
        <v>0</v>
      </c>
      <c r="B30" s="12">
        <f>SUM('[1]Water-Meter'!R38)</f>
        <v>-212333</v>
      </c>
      <c r="C30" s="92" t="e">
        <f>SUM([1]Gen!B39)</f>
        <v>#REF!</v>
      </c>
    </row>
    <row r="31" spans="1:3">
      <c r="A31" s="93">
        <f>Gen!A40</f>
        <v>0</v>
      </c>
      <c r="B31" s="12" t="e">
        <f>SUM('[1]Water-Meter'!R39)</f>
        <v>#REF!</v>
      </c>
      <c r="C31" s="92" t="e">
        <f>SUM([1]Gen!B40)</f>
        <v>#REF!</v>
      </c>
    </row>
    <row r="32" spans="1:3">
      <c r="A32" s="93">
        <f>Gen!A41</f>
        <v>0</v>
      </c>
      <c r="B32" s="12" t="e">
        <f>SUM('[1]Water-Meter'!R40)</f>
        <v>#REF!</v>
      </c>
      <c r="C32" s="92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934" t="s">
        <v>316</v>
      </c>
      <c r="B2" s="935"/>
      <c r="C2" s="935"/>
      <c r="D2" s="935"/>
      <c r="E2" s="936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90">
        <v>2209.85</v>
      </c>
      <c r="R2" s="435" t="s">
        <v>68</v>
      </c>
      <c r="S2" s="435" t="s">
        <v>69</v>
      </c>
      <c r="T2" s="90">
        <v>1584</v>
      </c>
      <c r="U2" s="61"/>
      <c r="V2" s="65"/>
      <c r="W2" s="60"/>
    </row>
    <row r="3" spans="1:27" ht="38.25" customHeight="1">
      <c r="A3" s="62"/>
      <c r="B3" s="16"/>
      <c r="C3" s="6"/>
      <c r="D3" s="6"/>
      <c r="E3" s="6"/>
      <c r="F3" s="6"/>
      <c r="G3" s="6"/>
      <c r="H3" s="6"/>
      <c r="I3" s="6"/>
      <c r="J3" s="6"/>
      <c r="K3" s="6"/>
      <c r="L3" s="6"/>
      <c r="M3" s="119" t="s">
        <v>49</v>
      </c>
      <c r="N3" s="119"/>
      <c r="O3" s="119"/>
      <c r="P3" s="119" t="s">
        <v>44</v>
      </c>
      <c r="Q3" s="120" t="s">
        <v>55</v>
      </c>
      <c r="R3" s="120"/>
      <c r="S3" s="120"/>
      <c r="T3" s="436"/>
      <c r="U3" s="437"/>
      <c r="V3" s="67" t="s">
        <v>56</v>
      </c>
      <c r="W3" s="119" t="s">
        <v>78</v>
      </c>
      <c r="AA3" s="140" t="s">
        <v>79</v>
      </c>
    </row>
    <row r="4" spans="1:27" s="50" customFormat="1" ht="50.25" customHeight="1">
      <c r="A4" s="63" t="s">
        <v>0</v>
      </c>
      <c r="B4" s="80" t="s">
        <v>66</v>
      </c>
      <c r="C4" s="52" t="s">
        <v>50</v>
      </c>
      <c r="D4" s="52" t="s">
        <v>64</v>
      </c>
      <c r="E4" s="52" t="s">
        <v>65</v>
      </c>
      <c r="F4" s="72" t="s">
        <v>42</v>
      </c>
      <c r="G4" s="52" t="s">
        <v>45</v>
      </c>
      <c r="H4" s="52" t="s">
        <v>46</v>
      </c>
      <c r="I4" s="52" t="s">
        <v>47</v>
      </c>
      <c r="J4" s="52" t="s">
        <v>48</v>
      </c>
      <c r="K4" s="72" t="s">
        <v>51</v>
      </c>
      <c r="L4" s="72" t="s">
        <v>76</v>
      </c>
      <c r="M4" s="52">
        <v>3</v>
      </c>
      <c r="N4" s="52">
        <v>2</v>
      </c>
      <c r="O4" s="52">
        <v>1</v>
      </c>
      <c r="P4" s="56"/>
      <c r="Q4" s="59" t="s">
        <v>53</v>
      </c>
      <c r="R4" s="59" t="s">
        <v>63</v>
      </c>
      <c r="S4" s="59" t="s">
        <v>62</v>
      </c>
      <c r="T4" s="59" t="s">
        <v>20</v>
      </c>
      <c r="U4" s="64" t="s">
        <v>54</v>
      </c>
      <c r="V4" s="66"/>
      <c r="W4" s="55"/>
    </row>
    <row r="5" spans="1:27">
      <c r="A5" s="53">
        <f>Gen!A11</f>
        <v>44228</v>
      </c>
      <c r="B5" s="82">
        <v>0</v>
      </c>
      <c r="C5" s="87">
        <f>Gen!B11</f>
        <v>0</v>
      </c>
      <c r="D5" s="434">
        <f>SUM(77*C5)</f>
        <v>0</v>
      </c>
      <c r="E5" s="74"/>
      <c r="F5" s="70">
        <f>Gen!U11</f>
        <v>0.41609084652443218</v>
      </c>
      <c r="G5" s="85">
        <f>Gen!T11</f>
        <v>2906</v>
      </c>
      <c r="H5" s="85" t="e">
        <f>[1]Gen!#REF!</f>
        <v>#REF!</v>
      </c>
      <c r="I5" s="85" t="e">
        <f t="shared" ref="I5:I35" si="0">SUM(G5:H5)</f>
        <v>#REF!</v>
      </c>
      <c r="J5" s="85">
        <f>[1]Gen!AT11</f>
        <v>47806.650000000031</v>
      </c>
      <c r="K5" s="69">
        <f>'Water-Meter'!E6</f>
        <v>58</v>
      </c>
      <c r="L5" s="447">
        <f>'Lpg (2)'!G10</f>
        <v>0</v>
      </c>
      <c r="M5" s="88" t="e">
        <f>#REF!</f>
        <v>#REF!</v>
      </c>
      <c r="N5" s="88" t="e">
        <f>#REF!</f>
        <v>#REF!</v>
      </c>
      <c r="O5" s="88" t="e">
        <f>#REF!</f>
        <v>#REF!</v>
      </c>
      <c r="P5" s="89">
        <f t="shared" ref="P5:P35" si="1">J5/52000</f>
        <v>0.91935865384615445</v>
      </c>
      <c r="Q5" s="6" t="e">
        <f>I5*Q2</f>
        <v>#REF!</v>
      </c>
      <c r="R5" s="76" t="e">
        <f>SUM(Q5/D5)/X5</f>
        <v>#REF!</v>
      </c>
      <c r="S5" s="438" t="e">
        <f>SUM(Q5/E5)/X5</f>
        <v>#REF!</v>
      </c>
      <c r="T5" s="76">
        <f>(K5*102)/X5</f>
        <v>3.7348484848484849</v>
      </c>
      <c r="U5" s="122">
        <f>SUM(L5*1963)/X5</f>
        <v>0</v>
      </c>
      <c r="V5" s="17" t="e">
        <f>SUM(Q5+T5+U5)</f>
        <v>#REF!</v>
      </c>
      <c r="W5" s="124" t="e">
        <f>SUM(V5/E5)/T2</f>
        <v>#REF!</v>
      </c>
      <c r="X5">
        <f>SUM(T2)</f>
        <v>1584</v>
      </c>
      <c r="Y5" s="439">
        <v>106</v>
      </c>
      <c r="Z5" s="79" t="e">
        <f>SUM(Y5-S5)</f>
        <v>#REF!</v>
      </c>
      <c r="AA5">
        <v>106</v>
      </c>
    </row>
    <row r="6" spans="1:27">
      <c r="A6" s="53">
        <f>Gen!A12</f>
        <v>44229</v>
      </c>
      <c r="B6" s="82">
        <v>0</v>
      </c>
      <c r="C6" s="87">
        <f>Gen!B12</f>
        <v>0</v>
      </c>
      <c r="D6" s="434">
        <f t="shared" ref="D6:D35" si="2">SUM(77*C6)</f>
        <v>0</v>
      </c>
      <c r="E6" s="74"/>
      <c r="F6" s="70" t="e">
        <f>Gen!U12</f>
        <v>#DIV/0!</v>
      </c>
      <c r="G6" s="85">
        <f>Gen!T12</f>
        <v>0</v>
      </c>
      <c r="H6" s="85" t="e">
        <f>[1]Gen!#REF!</f>
        <v>#REF!</v>
      </c>
      <c r="I6" s="85" t="e">
        <f t="shared" si="0"/>
        <v>#REF!</v>
      </c>
      <c r="J6" s="85">
        <f>[1]Gen!AT12</f>
        <v>45423.890000000029</v>
      </c>
      <c r="K6" s="69" t="str">
        <f>'Water-Meter'!E7</f>
        <v>0</v>
      </c>
      <c r="L6" s="447">
        <f>'Lpg (2)'!G11</f>
        <v>0</v>
      </c>
      <c r="M6" s="88" t="e">
        <f>#REF!</f>
        <v>#REF!</v>
      </c>
      <c r="N6" s="88" t="e">
        <f>#REF!</f>
        <v>#REF!</v>
      </c>
      <c r="O6" s="88" t="e">
        <f>#REF!</f>
        <v>#REF!</v>
      </c>
      <c r="P6" s="89">
        <f t="shared" si="1"/>
        <v>0.87353634615384668</v>
      </c>
      <c r="Q6" s="6" t="e">
        <f>I6*Q2</f>
        <v>#REF!</v>
      </c>
      <c r="R6" s="76" t="e">
        <f t="shared" ref="R6:R35" si="3">SUM(Q6/D6)/X6</f>
        <v>#REF!</v>
      </c>
      <c r="S6" s="438" t="e">
        <f t="shared" ref="S6:S35" si="4">SUM(Q6/E6)/X6</f>
        <v>#REF!</v>
      </c>
      <c r="T6" s="76">
        <f t="shared" ref="T6:T35" si="5">(K6*102)/X6</f>
        <v>0</v>
      </c>
      <c r="U6" s="122">
        <f t="shared" ref="U6:U35" si="6">SUM(L6*1963)/X6</f>
        <v>0</v>
      </c>
      <c r="V6" s="17" t="e">
        <f t="shared" ref="V6:V36" si="7">SUM(Q6+T6+U6)</f>
        <v>#REF!</v>
      </c>
      <c r="W6" s="124" t="e">
        <f>SUM(V6/E6)/T2</f>
        <v>#REF!</v>
      </c>
      <c r="X6">
        <f>SUM(X5)</f>
        <v>1584</v>
      </c>
      <c r="Y6" s="439">
        <v>106</v>
      </c>
      <c r="Z6" s="79" t="e">
        <f t="shared" ref="Z6:Z35" si="8">SUM(Y6-S6)</f>
        <v>#REF!</v>
      </c>
    </row>
    <row r="7" spans="1:27">
      <c r="A7" s="53">
        <f>Gen!A13</f>
        <v>44230</v>
      </c>
      <c r="B7" s="82">
        <v>0</v>
      </c>
      <c r="C7" s="87">
        <f>Gen!B13</f>
        <v>0</v>
      </c>
      <c r="D7" s="434">
        <f t="shared" si="2"/>
        <v>0</v>
      </c>
      <c r="E7" s="74"/>
      <c r="F7" s="70" t="e">
        <f>Gen!U13</f>
        <v>#DIV/0!</v>
      </c>
      <c r="G7" s="85">
        <f>Gen!T13</f>
        <v>0</v>
      </c>
      <c r="H7" s="85" t="e">
        <f>[1]Gen!#REF!</f>
        <v>#REF!</v>
      </c>
      <c r="I7" s="85" t="e">
        <f t="shared" si="0"/>
        <v>#REF!</v>
      </c>
      <c r="J7" s="85">
        <f>[1]Gen!AT13</f>
        <v>42919.590000000026</v>
      </c>
      <c r="K7" s="69">
        <f>'Water-Meter'!E8</f>
        <v>0</v>
      </c>
      <c r="L7" s="447">
        <f>'Lpg (2)'!G12</f>
        <v>0</v>
      </c>
      <c r="M7" s="88" t="e">
        <f>#REF!</f>
        <v>#REF!</v>
      </c>
      <c r="N7" s="88" t="e">
        <f>#REF!</f>
        <v>#REF!</v>
      </c>
      <c r="O7" s="88" t="e">
        <f>#REF!</f>
        <v>#REF!</v>
      </c>
      <c r="P7" s="89">
        <f t="shared" si="1"/>
        <v>0.82537673076923124</v>
      </c>
      <c r="Q7" s="6" t="e">
        <f>I7*Q2</f>
        <v>#REF!</v>
      </c>
      <c r="R7" s="76" t="e">
        <f t="shared" si="3"/>
        <v>#REF!</v>
      </c>
      <c r="S7" s="438" t="e">
        <f t="shared" si="4"/>
        <v>#REF!</v>
      </c>
      <c r="T7" s="76">
        <f t="shared" si="5"/>
        <v>0</v>
      </c>
      <c r="U7" s="122">
        <f t="shared" si="6"/>
        <v>0</v>
      </c>
      <c r="V7" s="17" t="e">
        <f t="shared" si="7"/>
        <v>#REF!</v>
      </c>
      <c r="W7" s="124" t="e">
        <f>SUM(V7/E7)/T2</f>
        <v>#REF!</v>
      </c>
      <c r="X7">
        <f t="shared" ref="X7:X35" si="9">SUM(X6)</f>
        <v>1584</v>
      </c>
      <c r="Y7" s="439">
        <v>106</v>
      </c>
      <c r="Z7" s="79" t="e">
        <f t="shared" si="8"/>
        <v>#REF!</v>
      </c>
    </row>
    <row r="8" spans="1:27">
      <c r="A8" s="53">
        <f>Gen!A14</f>
        <v>44231</v>
      </c>
      <c r="B8" s="82">
        <v>0</v>
      </c>
      <c r="C8" s="87">
        <f>Gen!B14</f>
        <v>0</v>
      </c>
      <c r="D8" s="434">
        <f t="shared" si="2"/>
        <v>0</v>
      </c>
      <c r="E8" s="74"/>
      <c r="F8" s="70" t="e">
        <f>Gen!U14</f>
        <v>#DIV/0!</v>
      </c>
      <c r="G8" s="85">
        <f>Gen!T14</f>
        <v>0</v>
      </c>
      <c r="H8" s="85" t="e">
        <f>[1]Gen!AJ9</f>
        <v>#REF!</v>
      </c>
      <c r="I8" s="85" t="e">
        <f t="shared" si="0"/>
        <v>#REF!</v>
      </c>
      <c r="J8" s="85">
        <f>[1]Gen!AT14</f>
        <v>40258.940000000024</v>
      </c>
      <c r="K8" s="69">
        <f>'Water-Meter'!E9</f>
        <v>0</v>
      </c>
      <c r="L8" s="447">
        <f>'Lpg (2)'!G13</f>
        <v>0</v>
      </c>
      <c r="M8" s="88" t="e">
        <f>#REF!</f>
        <v>#REF!</v>
      </c>
      <c r="N8" s="88" t="e">
        <f>#REF!</f>
        <v>#REF!</v>
      </c>
      <c r="O8" s="88" t="e">
        <f>#REF!</f>
        <v>#REF!</v>
      </c>
      <c r="P8" s="89">
        <f t="shared" si="1"/>
        <v>0.77421038461538505</v>
      </c>
      <c r="Q8" s="6" t="e">
        <f>I8*Q2</f>
        <v>#REF!</v>
      </c>
      <c r="R8" s="76" t="e">
        <f t="shared" si="3"/>
        <v>#REF!</v>
      </c>
      <c r="S8" s="438" t="e">
        <f t="shared" si="4"/>
        <v>#REF!</v>
      </c>
      <c r="T8" s="76">
        <f t="shared" si="5"/>
        <v>0</v>
      </c>
      <c r="U8" s="122">
        <f t="shared" si="6"/>
        <v>0</v>
      </c>
      <c r="V8" s="17" t="e">
        <f t="shared" si="7"/>
        <v>#REF!</v>
      </c>
      <c r="W8" s="124" t="e">
        <f>SUM(V8/E8)/T2</f>
        <v>#REF!</v>
      </c>
      <c r="X8">
        <f t="shared" si="9"/>
        <v>1584</v>
      </c>
      <c r="Y8" s="439">
        <v>106</v>
      </c>
      <c r="Z8" s="79" t="e">
        <f t="shared" si="8"/>
        <v>#REF!</v>
      </c>
    </row>
    <row r="9" spans="1:27">
      <c r="A9" s="53">
        <f>Gen!A15</f>
        <v>44232</v>
      </c>
      <c r="B9" s="82">
        <v>0</v>
      </c>
      <c r="C9" s="87">
        <f>Gen!B15</f>
        <v>0</v>
      </c>
      <c r="D9" s="434">
        <f t="shared" si="2"/>
        <v>0</v>
      </c>
      <c r="E9" s="74"/>
      <c r="F9" s="70" t="e">
        <f>Gen!U15</f>
        <v>#DIV/0!</v>
      </c>
      <c r="G9" s="85">
        <f>Gen!T15</f>
        <v>0</v>
      </c>
      <c r="H9" s="85">
        <f>[1]Gen!AJ10</f>
        <v>0</v>
      </c>
      <c r="I9" s="85">
        <f t="shared" si="0"/>
        <v>0</v>
      </c>
      <c r="J9" s="85">
        <f>[1]Gen!AT15</f>
        <v>37525.210000000021</v>
      </c>
      <c r="K9" s="69">
        <f>'Water-Meter'!E10</f>
        <v>0</v>
      </c>
      <c r="L9" s="447">
        <f>'Lpg (2)'!G14</f>
        <v>0</v>
      </c>
      <c r="M9" s="88" t="e">
        <f>#REF!</f>
        <v>#REF!</v>
      </c>
      <c r="N9" s="88" t="e">
        <f>#REF!</f>
        <v>#REF!</v>
      </c>
      <c r="O9" s="88" t="e">
        <f>#REF!</f>
        <v>#REF!</v>
      </c>
      <c r="P9" s="89">
        <f t="shared" si="1"/>
        <v>0.72163865384615422</v>
      </c>
      <c r="Q9" s="6">
        <f>I9*Q2</f>
        <v>0</v>
      </c>
      <c r="R9" s="76" t="e">
        <f t="shared" si="3"/>
        <v>#DIV/0!</v>
      </c>
      <c r="S9" s="438" t="e">
        <f t="shared" si="4"/>
        <v>#DIV/0!</v>
      </c>
      <c r="T9" s="76">
        <f t="shared" si="5"/>
        <v>0</v>
      </c>
      <c r="U9" s="122">
        <f t="shared" si="6"/>
        <v>0</v>
      </c>
      <c r="V9" s="17">
        <f t="shared" si="7"/>
        <v>0</v>
      </c>
      <c r="W9" s="124" t="e">
        <f>SUM(V9/E9)/T2</f>
        <v>#DIV/0!</v>
      </c>
      <c r="X9">
        <f t="shared" si="9"/>
        <v>1584</v>
      </c>
      <c r="Y9" s="439">
        <v>106</v>
      </c>
      <c r="Z9" s="79" t="e">
        <f t="shared" si="8"/>
        <v>#DIV/0!</v>
      </c>
    </row>
    <row r="10" spans="1:27">
      <c r="A10" s="53">
        <f>Gen!A16</f>
        <v>44233</v>
      </c>
      <c r="B10" s="82">
        <v>0</v>
      </c>
      <c r="C10" s="87">
        <f>Gen!B16</f>
        <v>0</v>
      </c>
      <c r="D10" s="434">
        <f t="shared" si="2"/>
        <v>0</v>
      </c>
      <c r="E10" s="74"/>
      <c r="F10" s="70" t="e">
        <f>Gen!U16</f>
        <v>#DIV/0!</v>
      </c>
      <c r="G10" s="85">
        <f>Gen!T16</f>
        <v>0</v>
      </c>
      <c r="H10" s="85" t="e">
        <f>[1]Gen!#REF!</f>
        <v>#REF!</v>
      </c>
      <c r="I10" s="85" t="e">
        <f t="shared" si="0"/>
        <v>#REF!</v>
      </c>
      <c r="J10" s="85">
        <f>[1]Gen!AT16</f>
        <v>35107.690000000024</v>
      </c>
      <c r="K10" s="69">
        <f>'Water-Meter'!E11</f>
        <v>0</v>
      </c>
      <c r="L10" s="447">
        <f>'Lpg (2)'!G15</f>
        <v>0</v>
      </c>
      <c r="M10" s="88" t="e">
        <f>#REF!</f>
        <v>#REF!</v>
      </c>
      <c r="N10" s="88" t="e">
        <f>#REF!</f>
        <v>#REF!</v>
      </c>
      <c r="O10" s="88" t="e">
        <f>#REF!</f>
        <v>#REF!</v>
      </c>
      <c r="P10" s="89">
        <f t="shared" si="1"/>
        <v>0.67514788461538511</v>
      </c>
      <c r="Q10" s="6" t="e">
        <f>I10*Q2</f>
        <v>#REF!</v>
      </c>
      <c r="R10" s="76" t="e">
        <f t="shared" si="3"/>
        <v>#REF!</v>
      </c>
      <c r="S10" s="438" t="e">
        <f t="shared" si="4"/>
        <v>#REF!</v>
      </c>
      <c r="T10" s="76">
        <f t="shared" si="5"/>
        <v>0</v>
      </c>
      <c r="U10" s="122">
        <f t="shared" si="6"/>
        <v>0</v>
      </c>
      <c r="V10" s="17" t="e">
        <f t="shared" si="7"/>
        <v>#REF!</v>
      </c>
      <c r="W10" s="124" t="e">
        <f>SUM(V10/E10)/T2</f>
        <v>#REF!</v>
      </c>
      <c r="X10">
        <f t="shared" si="9"/>
        <v>1584</v>
      </c>
      <c r="Y10" s="439">
        <v>106</v>
      </c>
      <c r="Z10" s="79" t="e">
        <f t="shared" si="8"/>
        <v>#REF!</v>
      </c>
    </row>
    <row r="11" spans="1:27">
      <c r="A11" s="53">
        <f>Gen!A17</f>
        <v>44234</v>
      </c>
      <c r="B11" s="82">
        <v>0</v>
      </c>
      <c r="C11" s="87">
        <f>Gen!B17</f>
        <v>0</v>
      </c>
      <c r="D11" s="434">
        <f t="shared" si="2"/>
        <v>0</v>
      </c>
      <c r="E11" s="74"/>
      <c r="F11" s="70" t="e">
        <f>Gen!U17</f>
        <v>#DIV/0!</v>
      </c>
      <c r="G11" s="85">
        <f>Gen!T17</f>
        <v>0</v>
      </c>
      <c r="H11" s="85">
        <f>[1]Gen!AJ25</f>
        <v>80.56</v>
      </c>
      <c r="I11" s="85">
        <f t="shared" si="0"/>
        <v>80.56</v>
      </c>
      <c r="J11" s="85">
        <f>[1]Gen!AT17</f>
        <v>47513.140000000029</v>
      </c>
      <c r="K11" s="69">
        <f>'Water-Meter'!E12</f>
        <v>0</v>
      </c>
      <c r="L11" s="447">
        <f>'Lpg (2)'!G16</f>
        <v>0</v>
      </c>
      <c r="M11" s="88" t="e">
        <f>#REF!</f>
        <v>#REF!</v>
      </c>
      <c r="N11" s="88" t="e">
        <f>#REF!</f>
        <v>#REF!</v>
      </c>
      <c r="O11" s="88" t="e">
        <f>#REF!</f>
        <v>#REF!</v>
      </c>
      <c r="P11" s="89">
        <f t="shared" si="1"/>
        <v>0.91371423076923131</v>
      </c>
      <c r="Q11" s="6">
        <f>I11*Q2</f>
        <v>178025.516</v>
      </c>
      <c r="R11" s="76" t="e">
        <f t="shared" si="3"/>
        <v>#DIV/0!</v>
      </c>
      <c r="S11" s="438" t="e">
        <f t="shared" si="4"/>
        <v>#DIV/0!</v>
      </c>
      <c r="T11" s="76">
        <f t="shared" si="5"/>
        <v>0</v>
      </c>
      <c r="U11" s="122">
        <f t="shared" si="6"/>
        <v>0</v>
      </c>
      <c r="V11" s="17">
        <f t="shared" si="7"/>
        <v>178025.516</v>
      </c>
      <c r="W11" s="124" t="e">
        <f>SUM(V11/E11)/T2</f>
        <v>#DIV/0!</v>
      </c>
      <c r="X11">
        <f t="shared" si="9"/>
        <v>1584</v>
      </c>
      <c r="Y11" s="439">
        <v>106</v>
      </c>
      <c r="Z11" s="79" t="e">
        <f t="shared" si="8"/>
        <v>#DIV/0!</v>
      </c>
    </row>
    <row r="12" spans="1:27">
      <c r="A12" s="53">
        <f>Gen!A18</f>
        <v>44235</v>
      </c>
      <c r="B12" s="82">
        <v>0</v>
      </c>
      <c r="C12" s="87">
        <f>Gen!B18</f>
        <v>0</v>
      </c>
      <c r="D12" s="434">
        <f t="shared" si="2"/>
        <v>0</v>
      </c>
      <c r="E12" s="74"/>
      <c r="F12" s="70" t="e">
        <f>Gen!U18</f>
        <v>#DIV/0!</v>
      </c>
      <c r="G12" s="85">
        <f>Gen!T18</f>
        <v>0</v>
      </c>
      <c r="H12" s="85" t="e">
        <f>[1]Gen!#REF!</f>
        <v>#REF!</v>
      </c>
      <c r="I12" s="85" t="e">
        <f t="shared" si="0"/>
        <v>#REF!</v>
      </c>
      <c r="J12" s="85">
        <f>[1]Gen!AT18</f>
        <v>45161.890000000029</v>
      </c>
      <c r="K12" s="69">
        <f>'Water-Meter'!E13</f>
        <v>0</v>
      </c>
      <c r="L12" s="447">
        <f>'Lpg (2)'!G17</f>
        <v>0</v>
      </c>
      <c r="M12" s="88" t="e">
        <f>#REF!</f>
        <v>#REF!</v>
      </c>
      <c r="N12" s="88" t="e">
        <f>#REF!</f>
        <v>#REF!</v>
      </c>
      <c r="O12" s="88" t="e">
        <f>#REF!</f>
        <v>#REF!</v>
      </c>
      <c r="P12" s="89">
        <f t="shared" si="1"/>
        <v>0.86849788461538513</v>
      </c>
      <c r="Q12" s="6" t="e">
        <f>I12*Q2</f>
        <v>#REF!</v>
      </c>
      <c r="R12" s="76" t="e">
        <f t="shared" si="3"/>
        <v>#REF!</v>
      </c>
      <c r="S12" s="438" t="e">
        <f t="shared" si="4"/>
        <v>#REF!</v>
      </c>
      <c r="T12" s="76">
        <f t="shared" si="5"/>
        <v>0</v>
      </c>
      <c r="U12" s="122">
        <f t="shared" si="6"/>
        <v>0</v>
      </c>
      <c r="V12" s="17" t="e">
        <f t="shared" si="7"/>
        <v>#REF!</v>
      </c>
      <c r="W12" s="124" t="e">
        <f>SUM(V12/E12)/T2</f>
        <v>#REF!</v>
      </c>
      <c r="X12">
        <f t="shared" si="9"/>
        <v>1584</v>
      </c>
      <c r="Y12" s="439">
        <v>106</v>
      </c>
      <c r="Z12" s="79" t="e">
        <f t="shared" si="8"/>
        <v>#REF!</v>
      </c>
    </row>
    <row r="13" spans="1:27">
      <c r="A13" s="53">
        <f>Gen!A19</f>
        <v>44236</v>
      </c>
      <c r="B13" s="82">
        <v>0</v>
      </c>
      <c r="C13" s="87">
        <f>Gen!B19</f>
        <v>0</v>
      </c>
      <c r="D13" s="434">
        <f t="shared" si="2"/>
        <v>0</v>
      </c>
      <c r="E13" s="74"/>
      <c r="F13" s="70" t="e">
        <f>Gen!U19</f>
        <v>#DIV/0!</v>
      </c>
      <c r="G13" s="85">
        <f>Gen!T19</f>
        <v>0</v>
      </c>
      <c r="H13" s="85" t="e">
        <f>[1]Gen!#REF!</f>
        <v>#REF!</v>
      </c>
      <c r="I13" s="85" t="e">
        <f t="shared" si="0"/>
        <v>#REF!</v>
      </c>
      <c r="J13" s="85">
        <f>[1]Gen!AT19</f>
        <v>42825.480000000025</v>
      </c>
      <c r="K13" s="69">
        <f>'Water-Meter'!E14</f>
        <v>0</v>
      </c>
      <c r="L13" s="447">
        <f>'Lpg (2)'!G18</f>
        <v>0</v>
      </c>
      <c r="M13" s="88" t="e">
        <f>#REF!</f>
        <v>#REF!</v>
      </c>
      <c r="N13" s="88" t="e">
        <f>#REF!</f>
        <v>#REF!</v>
      </c>
      <c r="O13" s="88" t="e">
        <f>#REF!</f>
        <v>#REF!</v>
      </c>
      <c r="P13" s="89">
        <f t="shared" si="1"/>
        <v>0.82356692307692358</v>
      </c>
      <c r="Q13" s="6" t="e">
        <f>I13*Q2</f>
        <v>#REF!</v>
      </c>
      <c r="R13" s="76" t="e">
        <f t="shared" si="3"/>
        <v>#REF!</v>
      </c>
      <c r="S13" s="438" t="e">
        <f t="shared" si="4"/>
        <v>#REF!</v>
      </c>
      <c r="T13" s="76">
        <f t="shared" si="5"/>
        <v>0</v>
      </c>
      <c r="U13" s="122">
        <f t="shared" si="6"/>
        <v>0</v>
      </c>
      <c r="V13" s="17" t="e">
        <f t="shared" si="7"/>
        <v>#REF!</v>
      </c>
      <c r="W13" s="124" t="e">
        <f>SUM(V13/E13)/T2</f>
        <v>#REF!</v>
      </c>
      <c r="X13">
        <f t="shared" si="9"/>
        <v>1584</v>
      </c>
      <c r="Y13" s="439">
        <v>106</v>
      </c>
      <c r="Z13" s="79" t="e">
        <f t="shared" si="8"/>
        <v>#REF!</v>
      </c>
    </row>
    <row r="14" spans="1:27">
      <c r="A14" s="53">
        <f>Gen!A20</f>
        <v>44237</v>
      </c>
      <c r="B14" s="82">
        <v>0</v>
      </c>
      <c r="C14" s="87">
        <f>Gen!B20</f>
        <v>0</v>
      </c>
      <c r="D14" s="434">
        <f t="shared" si="2"/>
        <v>0</v>
      </c>
      <c r="E14" s="74"/>
      <c r="F14" s="70" t="e">
        <f>Gen!U20</f>
        <v>#DIV/0!</v>
      </c>
      <c r="G14" s="85">
        <f>Gen!T20</f>
        <v>0</v>
      </c>
      <c r="H14" s="85" t="e">
        <f>[1]Gen!#REF!</f>
        <v>#REF!</v>
      </c>
      <c r="I14" s="85" t="e">
        <f t="shared" si="0"/>
        <v>#REF!</v>
      </c>
      <c r="J14" s="85">
        <f>[1]Gen!AT20</f>
        <v>40110.380000000026</v>
      </c>
      <c r="K14" s="69">
        <f>'Water-Meter'!E15</f>
        <v>0</v>
      </c>
      <c r="L14" s="447">
        <f>'Lpg (2)'!G19</f>
        <v>0</v>
      </c>
      <c r="M14" s="88" t="e">
        <f>#REF!</f>
        <v>#REF!</v>
      </c>
      <c r="N14" s="88" t="e">
        <f>#REF!</f>
        <v>#REF!</v>
      </c>
      <c r="O14" s="88" t="e">
        <f>#REF!</f>
        <v>#REF!</v>
      </c>
      <c r="P14" s="89">
        <f t="shared" si="1"/>
        <v>0.77135346153846207</v>
      </c>
      <c r="Q14" s="6" t="e">
        <f>I14*Q2</f>
        <v>#REF!</v>
      </c>
      <c r="R14" s="76" t="e">
        <f t="shared" si="3"/>
        <v>#REF!</v>
      </c>
      <c r="S14" s="438" t="e">
        <f t="shared" si="4"/>
        <v>#REF!</v>
      </c>
      <c r="T14" s="76">
        <f t="shared" si="5"/>
        <v>0</v>
      </c>
      <c r="U14" s="122">
        <f t="shared" si="6"/>
        <v>0</v>
      </c>
      <c r="V14" s="17" t="e">
        <f t="shared" si="7"/>
        <v>#REF!</v>
      </c>
      <c r="W14" s="124" t="e">
        <f>SUM(V14/E14)/T2</f>
        <v>#REF!</v>
      </c>
      <c r="X14">
        <f t="shared" si="9"/>
        <v>1584</v>
      </c>
      <c r="Y14" s="439">
        <v>106</v>
      </c>
      <c r="Z14" s="79" t="e">
        <f t="shared" si="8"/>
        <v>#REF!</v>
      </c>
    </row>
    <row r="15" spans="1:27">
      <c r="A15" s="53">
        <f>Gen!A21</f>
        <v>44238</v>
      </c>
      <c r="B15" s="82">
        <v>0</v>
      </c>
      <c r="C15" s="87">
        <f>Gen!B21</f>
        <v>0</v>
      </c>
      <c r="D15" s="434">
        <f t="shared" si="2"/>
        <v>0</v>
      </c>
      <c r="E15" s="74"/>
      <c r="F15" s="70" t="e">
        <f>Gen!U21</f>
        <v>#DIV/0!</v>
      </c>
      <c r="G15" s="85">
        <f>Gen!T21</f>
        <v>0</v>
      </c>
      <c r="H15" s="85" t="e">
        <f>[1]Gen!#REF!</f>
        <v>#REF!</v>
      </c>
      <c r="I15" s="85" t="e">
        <f t="shared" si="0"/>
        <v>#REF!</v>
      </c>
      <c r="J15" s="85">
        <f>[1]Gen!AT21</f>
        <v>37540.570000000029</v>
      </c>
      <c r="K15" s="69">
        <f>'Water-Meter'!E16</f>
        <v>0</v>
      </c>
      <c r="L15" s="447">
        <f>'Lpg (2)'!G20</f>
        <v>0</v>
      </c>
      <c r="M15" s="88" t="e">
        <f>#REF!</f>
        <v>#REF!</v>
      </c>
      <c r="N15" s="88" t="e">
        <f>#REF!</f>
        <v>#REF!</v>
      </c>
      <c r="O15" s="88" t="e">
        <f>#REF!</f>
        <v>#REF!</v>
      </c>
      <c r="P15" s="89">
        <f t="shared" si="1"/>
        <v>0.72193403846153903</v>
      </c>
      <c r="Q15" s="6" t="e">
        <f>I15*Q2</f>
        <v>#REF!</v>
      </c>
      <c r="R15" s="76" t="e">
        <f t="shared" si="3"/>
        <v>#REF!</v>
      </c>
      <c r="S15" s="438" t="e">
        <f t="shared" si="4"/>
        <v>#REF!</v>
      </c>
      <c r="T15" s="76">
        <f t="shared" si="5"/>
        <v>0</v>
      </c>
      <c r="U15" s="122">
        <f t="shared" si="6"/>
        <v>0</v>
      </c>
      <c r="V15" s="17" t="e">
        <f t="shared" si="7"/>
        <v>#REF!</v>
      </c>
      <c r="W15" s="124" t="e">
        <f>SUM(V15/E15)/T2</f>
        <v>#REF!</v>
      </c>
      <c r="X15">
        <f t="shared" si="9"/>
        <v>1584</v>
      </c>
      <c r="Y15" s="439">
        <v>106</v>
      </c>
      <c r="Z15" s="79" t="e">
        <f t="shared" si="8"/>
        <v>#REF!</v>
      </c>
    </row>
    <row r="16" spans="1:27">
      <c r="A16" s="53">
        <f>Gen!A22</f>
        <v>44239</v>
      </c>
      <c r="B16" s="82">
        <v>0</v>
      </c>
      <c r="C16" s="87">
        <f>Gen!B22</f>
        <v>0</v>
      </c>
      <c r="D16" s="434">
        <f t="shared" si="2"/>
        <v>0</v>
      </c>
      <c r="E16" s="74"/>
      <c r="F16" s="70" t="e">
        <f>Gen!U22</f>
        <v>#DIV/0!</v>
      </c>
      <c r="G16" s="85">
        <f>Gen!T22</f>
        <v>0</v>
      </c>
      <c r="H16" s="85" t="e">
        <f>[1]Gen!#REF!</f>
        <v>#REF!</v>
      </c>
      <c r="I16" s="85" t="e">
        <f t="shared" si="0"/>
        <v>#REF!</v>
      </c>
      <c r="J16" s="85">
        <f>[1]Gen!AT22</f>
        <v>34967.29000000003</v>
      </c>
      <c r="K16" s="69">
        <f>'Water-Meter'!E17</f>
        <v>0</v>
      </c>
      <c r="L16" s="447">
        <f>'Lpg (2)'!G21</f>
        <v>0</v>
      </c>
      <c r="M16" s="88" t="e">
        <f>#REF!</f>
        <v>#REF!</v>
      </c>
      <c r="N16" s="88" t="e">
        <f>#REF!</f>
        <v>#REF!</v>
      </c>
      <c r="O16" s="88" t="e">
        <f>#REF!</f>
        <v>#REF!</v>
      </c>
      <c r="P16" s="89">
        <f t="shared" si="1"/>
        <v>0.67244788461538518</v>
      </c>
      <c r="Q16" s="6" t="e">
        <f>I16*Q2</f>
        <v>#REF!</v>
      </c>
      <c r="R16" s="76" t="e">
        <f t="shared" si="3"/>
        <v>#REF!</v>
      </c>
      <c r="S16" s="438" t="e">
        <f t="shared" si="4"/>
        <v>#REF!</v>
      </c>
      <c r="T16" s="76">
        <f t="shared" si="5"/>
        <v>0</v>
      </c>
      <c r="U16" s="122">
        <f t="shared" si="6"/>
        <v>0</v>
      </c>
      <c r="V16" s="17" t="e">
        <f t="shared" si="7"/>
        <v>#REF!</v>
      </c>
      <c r="W16" s="124" t="e">
        <f>SUM(V16/E16)/T2</f>
        <v>#REF!</v>
      </c>
      <c r="X16">
        <f t="shared" si="9"/>
        <v>1584</v>
      </c>
      <c r="Y16" s="439">
        <v>106</v>
      </c>
      <c r="Z16" s="79" t="e">
        <f t="shared" si="8"/>
        <v>#REF!</v>
      </c>
    </row>
    <row r="17" spans="1:26">
      <c r="A17" s="53">
        <f>Gen!A23</f>
        <v>44240</v>
      </c>
      <c r="B17" s="82">
        <v>0</v>
      </c>
      <c r="C17" s="87">
        <f>Gen!B23</f>
        <v>0</v>
      </c>
      <c r="D17" s="434">
        <f t="shared" si="2"/>
        <v>0</v>
      </c>
      <c r="E17" s="74"/>
      <c r="F17" s="70" t="e">
        <f>Gen!U23</f>
        <v>#DIV/0!</v>
      </c>
      <c r="G17" s="85">
        <f>Gen!T23</f>
        <v>0</v>
      </c>
      <c r="H17" s="85" t="e">
        <f>[1]Gen!#REF!</f>
        <v>#REF!</v>
      </c>
      <c r="I17" s="85" t="e">
        <f t="shared" si="0"/>
        <v>#REF!</v>
      </c>
      <c r="J17" s="85">
        <f>[1]Gen!AT23</f>
        <v>32228.760000000031</v>
      </c>
      <c r="K17" s="69">
        <f>'Water-Meter'!E18</f>
        <v>0</v>
      </c>
      <c r="L17" s="447">
        <f>'Lpg (2)'!G22</f>
        <v>0</v>
      </c>
      <c r="M17" s="88" t="e">
        <f>#REF!</f>
        <v>#REF!</v>
      </c>
      <c r="N17" s="88" t="e">
        <f>#REF!</f>
        <v>#REF!</v>
      </c>
      <c r="O17" s="88" t="e">
        <f>#REF!</f>
        <v>#REF!</v>
      </c>
      <c r="P17" s="89">
        <f t="shared" si="1"/>
        <v>0.61978384615384674</v>
      </c>
      <c r="Q17" s="6" t="e">
        <f>I17*Q2</f>
        <v>#REF!</v>
      </c>
      <c r="R17" s="76" t="e">
        <f t="shared" si="3"/>
        <v>#REF!</v>
      </c>
      <c r="S17" s="438" t="e">
        <f t="shared" si="4"/>
        <v>#REF!</v>
      </c>
      <c r="T17" s="76">
        <f t="shared" si="5"/>
        <v>0</v>
      </c>
      <c r="U17" s="122">
        <f t="shared" si="6"/>
        <v>0</v>
      </c>
      <c r="V17" s="17" t="e">
        <f t="shared" si="7"/>
        <v>#REF!</v>
      </c>
      <c r="W17" s="124" t="e">
        <f>SUM(V17/E17)/T2</f>
        <v>#REF!</v>
      </c>
      <c r="X17">
        <f t="shared" si="9"/>
        <v>1584</v>
      </c>
      <c r="Y17" s="439">
        <v>106</v>
      </c>
      <c r="Z17" s="79" t="e">
        <f t="shared" si="8"/>
        <v>#REF!</v>
      </c>
    </row>
    <row r="18" spans="1:26">
      <c r="A18" s="53">
        <f>Gen!A24</f>
        <v>44241</v>
      </c>
      <c r="B18" s="82">
        <v>0</v>
      </c>
      <c r="C18" s="87">
        <f>Gen!B24</f>
        <v>0</v>
      </c>
      <c r="D18" s="434">
        <f t="shared" si="2"/>
        <v>0</v>
      </c>
      <c r="E18" s="74"/>
      <c r="F18" s="70" t="e">
        <f>Gen!U24</f>
        <v>#DIV/0!</v>
      </c>
      <c r="G18" s="85">
        <f>Gen!T24</f>
        <v>0</v>
      </c>
      <c r="H18" s="85">
        <f>[1]Gen!AJ27</f>
        <v>597.9</v>
      </c>
      <c r="I18" s="85">
        <f t="shared" si="0"/>
        <v>597.9</v>
      </c>
      <c r="J18" s="85">
        <f>[1]Gen!AT24</f>
        <v>29915.45000000003</v>
      </c>
      <c r="K18" s="69">
        <f>'Water-Meter'!E19</f>
        <v>0</v>
      </c>
      <c r="L18" s="447">
        <f>'Lpg (2)'!G23</f>
        <v>0</v>
      </c>
      <c r="M18" s="88" t="e">
        <f>#REF!</f>
        <v>#REF!</v>
      </c>
      <c r="N18" s="88" t="e">
        <f>#REF!</f>
        <v>#REF!</v>
      </c>
      <c r="O18" s="88" t="e">
        <f>#REF!</f>
        <v>#REF!</v>
      </c>
      <c r="P18" s="89">
        <f t="shared" si="1"/>
        <v>0.57529711538461592</v>
      </c>
      <c r="Q18" s="6">
        <f>I18*Q2</f>
        <v>1321269.3149999999</v>
      </c>
      <c r="R18" s="76" t="e">
        <f t="shared" si="3"/>
        <v>#DIV/0!</v>
      </c>
      <c r="S18" s="438" t="e">
        <f t="shared" si="4"/>
        <v>#DIV/0!</v>
      </c>
      <c r="T18" s="76">
        <f t="shared" si="5"/>
        <v>0</v>
      </c>
      <c r="U18" s="122">
        <f t="shared" si="6"/>
        <v>0</v>
      </c>
      <c r="V18" s="17">
        <f t="shared" si="7"/>
        <v>1321269.3149999999</v>
      </c>
      <c r="W18" s="124" t="e">
        <f>SUM(V18/E18)/T2</f>
        <v>#DIV/0!</v>
      </c>
      <c r="X18">
        <f t="shared" si="9"/>
        <v>1584</v>
      </c>
      <c r="Y18" s="439">
        <v>106</v>
      </c>
      <c r="Z18" s="79" t="e">
        <f t="shared" si="8"/>
        <v>#DIV/0!</v>
      </c>
    </row>
    <row r="19" spans="1:26">
      <c r="A19" s="53">
        <f>Gen!A25</f>
        <v>44242</v>
      </c>
      <c r="B19" s="82">
        <v>0</v>
      </c>
      <c r="C19" s="87">
        <f>Gen!B25</f>
        <v>0</v>
      </c>
      <c r="D19" s="434">
        <f t="shared" si="2"/>
        <v>0</v>
      </c>
      <c r="E19" s="74"/>
      <c r="F19" s="70" t="e">
        <f>Gen!U25</f>
        <v>#DIV/0!</v>
      </c>
      <c r="G19" s="85">
        <f>Gen!T25</f>
        <v>0</v>
      </c>
      <c r="H19" s="85">
        <f>[1]Gen!AJ28</f>
        <v>227.73000000000002</v>
      </c>
      <c r="I19" s="85">
        <f t="shared" si="0"/>
        <v>227.73000000000002</v>
      </c>
      <c r="J19" s="85">
        <f>[1]Gen!AT25</f>
        <v>42248.240000000034</v>
      </c>
      <c r="K19" s="69">
        <f>'Water-Meter'!E20</f>
        <v>0</v>
      </c>
      <c r="L19" s="447">
        <f>'Lpg (2)'!G24</f>
        <v>0</v>
      </c>
      <c r="M19" s="88" t="e">
        <f>#REF!</f>
        <v>#REF!</v>
      </c>
      <c r="N19" s="88" t="e">
        <f>#REF!</f>
        <v>#REF!</v>
      </c>
      <c r="O19" s="88" t="e">
        <f>#REF!</f>
        <v>#REF!</v>
      </c>
      <c r="P19" s="89">
        <f t="shared" si="1"/>
        <v>0.8124661538461545</v>
      </c>
      <c r="Q19" s="6">
        <f>I19*Q2</f>
        <v>503249.14050000004</v>
      </c>
      <c r="R19" s="76" t="e">
        <f t="shared" si="3"/>
        <v>#DIV/0!</v>
      </c>
      <c r="S19" s="438" t="e">
        <f t="shared" si="4"/>
        <v>#DIV/0!</v>
      </c>
      <c r="T19" s="76">
        <f t="shared" si="5"/>
        <v>0</v>
      </c>
      <c r="U19" s="122">
        <f t="shared" si="6"/>
        <v>0</v>
      </c>
      <c r="V19" s="17">
        <f t="shared" si="7"/>
        <v>503249.14050000004</v>
      </c>
      <c r="W19" s="76" t="e">
        <f>SUM(V19/E19)/T2</f>
        <v>#DIV/0!</v>
      </c>
      <c r="X19">
        <f t="shared" si="9"/>
        <v>1584</v>
      </c>
      <c r="Y19" s="439">
        <v>106</v>
      </c>
      <c r="Z19" s="79" t="e">
        <f t="shared" si="8"/>
        <v>#DIV/0!</v>
      </c>
    </row>
    <row r="20" spans="1:26">
      <c r="A20" s="53">
        <f>Gen!A26</f>
        <v>44243</v>
      </c>
      <c r="B20" s="82">
        <v>0</v>
      </c>
      <c r="C20" s="87">
        <f>Gen!B26</f>
        <v>0</v>
      </c>
      <c r="D20" s="434">
        <f t="shared" si="2"/>
        <v>0</v>
      </c>
      <c r="E20" s="74"/>
      <c r="F20" s="70" t="e">
        <f>Gen!U26</f>
        <v>#DIV/0!</v>
      </c>
      <c r="G20" s="85">
        <f>Gen!T26</f>
        <v>0</v>
      </c>
      <c r="H20" s="85">
        <f>[1]Gen!AJ29</f>
        <v>88.289999999999992</v>
      </c>
      <c r="I20" s="85">
        <f t="shared" si="0"/>
        <v>88.289999999999992</v>
      </c>
      <c r="J20" s="85">
        <f>[1]Gen!AT26</f>
        <v>39497.370000000032</v>
      </c>
      <c r="K20" s="69">
        <f>'Water-Meter'!E21</f>
        <v>0</v>
      </c>
      <c r="L20" s="447">
        <f>'Lpg (2)'!G25</f>
        <v>0</v>
      </c>
      <c r="M20" s="88" t="e">
        <f>#REF!</f>
        <v>#REF!</v>
      </c>
      <c r="N20" s="88" t="e">
        <f>#REF!</f>
        <v>#REF!</v>
      </c>
      <c r="O20" s="88" t="e">
        <f>#REF!</f>
        <v>#REF!</v>
      </c>
      <c r="P20" s="89">
        <f t="shared" si="1"/>
        <v>0.75956480769230827</v>
      </c>
      <c r="Q20" s="6">
        <f>I20*Q2</f>
        <v>195107.65649999998</v>
      </c>
      <c r="R20" s="76" t="e">
        <f t="shared" si="3"/>
        <v>#DIV/0!</v>
      </c>
      <c r="S20" s="438" t="e">
        <f t="shared" si="4"/>
        <v>#DIV/0!</v>
      </c>
      <c r="T20" s="76">
        <f t="shared" si="5"/>
        <v>0</v>
      </c>
      <c r="U20" s="122">
        <f t="shared" si="6"/>
        <v>0</v>
      </c>
      <c r="V20" s="17">
        <f t="shared" si="7"/>
        <v>195107.65649999998</v>
      </c>
      <c r="W20" s="76" t="e">
        <f>SUM(V20/E20)/T2</f>
        <v>#DIV/0!</v>
      </c>
      <c r="X20">
        <f t="shared" si="9"/>
        <v>1584</v>
      </c>
      <c r="Y20" s="439">
        <v>106</v>
      </c>
      <c r="Z20" s="79" t="e">
        <f t="shared" si="8"/>
        <v>#DIV/0!</v>
      </c>
    </row>
    <row r="21" spans="1:26">
      <c r="A21" s="53">
        <f>Gen!A27</f>
        <v>44244</v>
      </c>
      <c r="B21" s="82">
        <v>0</v>
      </c>
      <c r="C21" s="87">
        <f>Gen!B27</f>
        <v>0</v>
      </c>
      <c r="D21" s="434">
        <f t="shared" si="2"/>
        <v>0</v>
      </c>
      <c r="E21" s="74"/>
      <c r="F21" s="70" t="e">
        <f>Gen!U27</f>
        <v>#DIV/0!</v>
      </c>
      <c r="G21" s="85">
        <f>Gen!T27</f>
        <v>0</v>
      </c>
      <c r="H21" s="85">
        <f>[1]Gen!AJ30</f>
        <v>783.92</v>
      </c>
      <c r="I21" s="85">
        <f t="shared" si="0"/>
        <v>783.92</v>
      </c>
      <c r="J21" s="85">
        <f>[1]Gen!AT27</f>
        <v>36688.350000000035</v>
      </c>
      <c r="K21" s="69">
        <f>'Water-Meter'!E22</f>
        <v>0</v>
      </c>
      <c r="L21" s="447">
        <f>'Lpg (2)'!G26</f>
        <v>0</v>
      </c>
      <c r="M21" s="88" t="e">
        <f>#REF!</f>
        <v>#REF!</v>
      </c>
      <c r="N21" s="88" t="e">
        <f>#REF!</f>
        <v>#REF!</v>
      </c>
      <c r="O21" s="88" t="e">
        <f>#REF!</f>
        <v>#REF!</v>
      </c>
      <c r="P21" s="89">
        <f t="shared" si="1"/>
        <v>0.70554519230769297</v>
      </c>
      <c r="Q21" s="6">
        <f>I21*Q2</f>
        <v>1732345.6119999997</v>
      </c>
      <c r="R21" s="76" t="e">
        <f t="shared" si="3"/>
        <v>#DIV/0!</v>
      </c>
      <c r="S21" s="438" t="e">
        <f t="shared" si="4"/>
        <v>#DIV/0!</v>
      </c>
      <c r="T21" s="76">
        <f t="shared" si="5"/>
        <v>0</v>
      </c>
      <c r="U21" s="122">
        <f t="shared" si="6"/>
        <v>0</v>
      </c>
      <c r="V21" s="17">
        <f t="shared" si="7"/>
        <v>1732345.6119999997</v>
      </c>
      <c r="W21" s="76" t="e">
        <f>SUM(V21/E21)/T2</f>
        <v>#DIV/0!</v>
      </c>
      <c r="X21">
        <f t="shared" si="9"/>
        <v>1584</v>
      </c>
      <c r="Y21" s="439">
        <v>106</v>
      </c>
      <c r="Z21" s="79" t="e">
        <f t="shared" si="8"/>
        <v>#DIV/0!</v>
      </c>
    </row>
    <row r="22" spans="1:26">
      <c r="A22" s="53">
        <f>Gen!A28</f>
        <v>44245</v>
      </c>
      <c r="B22" s="82">
        <v>0</v>
      </c>
      <c r="C22" s="87">
        <f>Gen!B28</f>
        <v>0</v>
      </c>
      <c r="D22" s="434">
        <f t="shared" si="2"/>
        <v>0</v>
      </c>
      <c r="E22" s="74"/>
      <c r="F22" s="70" t="e">
        <f>Gen!U28</f>
        <v>#DIV/0!</v>
      </c>
      <c r="G22" s="85">
        <f>Gen!T28</f>
        <v>0</v>
      </c>
      <c r="H22" s="85" t="e">
        <f>[1]Gen!#REF!</f>
        <v>#REF!</v>
      </c>
      <c r="I22" s="85" t="e">
        <f t="shared" si="0"/>
        <v>#REF!</v>
      </c>
      <c r="J22" s="85">
        <f>[1]Gen!AT28</f>
        <v>33769.340000000033</v>
      </c>
      <c r="K22" s="69">
        <f>'Water-Meter'!E23</f>
        <v>0</v>
      </c>
      <c r="L22" s="447">
        <f>'Lpg (2)'!G27</f>
        <v>0</v>
      </c>
      <c r="M22" s="88" t="e">
        <f>#REF!</f>
        <v>#REF!</v>
      </c>
      <c r="N22" s="88" t="e">
        <f>#REF!</f>
        <v>#REF!</v>
      </c>
      <c r="O22" s="88" t="e">
        <f>#REF!</f>
        <v>#REF!</v>
      </c>
      <c r="P22" s="89">
        <f t="shared" si="1"/>
        <v>0.64941038461538525</v>
      </c>
      <c r="Q22" s="6" t="e">
        <f>I22*Q2</f>
        <v>#REF!</v>
      </c>
      <c r="R22" s="76" t="e">
        <f t="shared" si="3"/>
        <v>#REF!</v>
      </c>
      <c r="S22" s="438" t="e">
        <f t="shared" si="4"/>
        <v>#REF!</v>
      </c>
      <c r="T22" s="76">
        <f t="shared" si="5"/>
        <v>0</v>
      </c>
      <c r="U22" s="122">
        <f t="shared" si="6"/>
        <v>0</v>
      </c>
      <c r="V22" s="17" t="e">
        <f t="shared" si="7"/>
        <v>#REF!</v>
      </c>
      <c r="W22" s="76" t="e">
        <f>SUM(V22/E22)/T2</f>
        <v>#REF!</v>
      </c>
      <c r="X22">
        <f t="shared" si="9"/>
        <v>1584</v>
      </c>
      <c r="Y22" s="439">
        <v>106</v>
      </c>
      <c r="Z22" s="79" t="e">
        <f t="shared" si="8"/>
        <v>#REF!</v>
      </c>
    </row>
    <row r="23" spans="1:26">
      <c r="A23" s="53">
        <f>Gen!A29</f>
        <v>44246</v>
      </c>
      <c r="B23" s="82">
        <v>0</v>
      </c>
      <c r="C23" s="87">
        <f>Gen!B29</f>
        <v>0</v>
      </c>
      <c r="D23" s="434">
        <f t="shared" si="2"/>
        <v>0</v>
      </c>
      <c r="E23" s="74"/>
      <c r="F23" s="70" t="e">
        <f>Gen!U29</f>
        <v>#DIV/0!</v>
      </c>
      <c r="G23" s="85">
        <f>Gen!T29</f>
        <v>0</v>
      </c>
      <c r="H23" s="85" t="e">
        <f>[1]Gen!#REF!</f>
        <v>#REF!</v>
      </c>
      <c r="I23" s="85" t="e">
        <f t="shared" si="0"/>
        <v>#REF!</v>
      </c>
      <c r="J23" s="85">
        <f>[1]Gen!AT29</f>
        <v>31336.770000000033</v>
      </c>
      <c r="K23" s="69">
        <f>'Water-Meter'!E24</f>
        <v>0</v>
      </c>
      <c r="L23" s="447">
        <f>'Lpg (2)'!G28</f>
        <v>0</v>
      </c>
      <c r="M23" s="88" t="e">
        <f>#REF!</f>
        <v>#REF!</v>
      </c>
      <c r="N23" s="88" t="e">
        <f>#REF!</f>
        <v>#REF!</v>
      </c>
      <c r="O23" s="88" t="e">
        <f>#REF!</f>
        <v>#REF!</v>
      </c>
      <c r="P23" s="89">
        <f t="shared" si="1"/>
        <v>0.60263019230769299</v>
      </c>
      <c r="Q23" s="6" t="e">
        <f>I23*Q2</f>
        <v>#REF!</v>
      </c>
      <c r="R23" s="76" t="e">
        <f t="shared" si="3"/>
        <v>#REF!</v>
      </c>
      <c r="S23" s="438" t="e">
        <f t="shared" si="4"/>
        <v>#REF!</v>
      </c>
      <c r="T23" s="76">
        <f t="shared" si="5"/>
        <v>0</v>
      </c>
      <c r="U23" s="122">
        <f t="shared" si="6"/>
        <v>0</v>
      </c>
      <c r="V23" s="17" t="e">
        <f t="shared" si="7"/>
        <v>#REF!</v>
      </c>
      <c r="W23" s="76" t="e">
        <f>SUM(V23/E23)/T2</f>
        <v>#REF!</v>
      </c>
      <c r="X23">
        <f t="shared" si="9"/>
        <v>1584</v>
      </c>
      <c r="Y23" s="439">
        <v>106</v>
      </c>
      <c r="Z23" s="79" t="e">
        <f t="shared" si="8"/>
        <v>#REF!</v>
      </c>
    </row>
    <row r="24" spans="1:26">
      <c r="A24" s="53">
        <f>Gen!A30</f>
        <v>44247</v>
      </c>
      <c r="B24" s="82">
        <v>0</v>
      </c>
      <c r="C24" s="87">
        <f>Gen!B30</f>
        <v>0</v>
      </c>
      <c r="D24" s="434">
        <f t="shared" si="2"/>
        <v>0</v>
      </c>
      <c r="E24" s="74"/>
      <c r="F24" s="70" t="e">
        <f>Gen!U30</f>
        <v>#DIV/0!</v>
      </c>
      <c r="G24" s="85">
        <f>Gen!T30</f>
        <v>0</v>
      </c>
      <c r="H24" s="85" t="e">
        <f>[1]Gen!#REF!</f>
        <v>#REF!</v>
      </c>
      <c r="I24" s="85" t="e">
        <f t="shared" si="0"/>
        <v>#REF!</v>
      </c>
      <c r="J24" s="85">
        <f>[1]Gen!AT30</f>
        <v>29403.300000000032</v>
      </c>
      <c r="K24" s="69">
        <f>'Water-Meter'!E25</f>
        <v>0</v>
      </c>
      <c r="L24" s="447">
        <f>'Lpg (2)'!G29</f>
        <v>0</v>
      </c>
      <c r="M24" s="88" t="e">
        <f>#REF!</f>
        <v>#REF!</v>
      </c>
      <c r="N24" s="88" t="e">
        <f>#REF!</f>
        <v>#REF!</v>
      </c>
      <c r="O24" s="88" t="e">
        <f>#REF!</f>
        <v>#REF!</v>
      </c>
      <c r="P24" s="89">
        <f t="shared" si="1"/>
        <v>0.56544807692307753</v>
      </c>
      <c r="Q24" s="6" t="e">
        <f>I24*Q2</f>
        <v>#REF!</v>
      </c>
      <c r="R24" s="76" t="e">
        <f t="shared" si="3"/>
        <v>#REF!</v>
      </c>
      <c r="S24" s="438" t="e">
        <f t="shared" si="4"/>
        <v>#REF!</v>
      </c>
      <c r="T24" s="76">
        <f t="shared" si="5"/>
        <v>0</v>
      </c>
      <c r="U24" s="122">
        <f t="shared" si="6"/>
        <v>0</v>
      </c>
      <c r="V24" s="17" t="e">
        <f t="shared" si="7"/>
        <v>#REF!</v>
      </c>
      <c r="W24" s="76" t="e">
        <f>SUM(V24/E24)/T2</f>
        <v>#REF!</v>
      </c>
      <c r="X24">
        <f t="shared" si="9"/>
        <v>1584</v>
      </c>
      <c r="Y24" s="439">
        <v>106</v>
      </c>
      <c r="Z24" s="79" t="e">
        <f t="shared" si="8"/>
        <v>#REF!</v>
      </c>
    </row>
    <row r="25" spans="1:26">
      <c r="A25" s="53">
        <f>Gen!A31</f>
        <v>44248</v>
      </c>
      <c r="B25" s="82">
        <v>0</v>
      </c>
      <c r="C25" s="87">
        <f>Gen!B31</f>
        <v>0</v>
      </c>
      <c r="D25" s="434">
        <f t="shared" si="2"/>
        <v>0</v>
      </c>
      <c r="E25" s="74"/>
      <c r="F25" s="70" t="e">
        <f>Gen!U31</f>
        <v>#DIV/0!</v>
      </c>
      <c r="G25" s="85">
        <f>Gen!T31</f>
        <v>0</v>
      </c>
      <c r="H25" s="85">
        <f>[1]Gen!AJ31</f>
        <v>172.05</v>
      </c>
      <c r="I25" s="85">
        <f t="shared" si="0"/>
        <v>172.05</v>
      </c>
      <c r="J25" s="85">
        <f>[1]Gen!AT31</f>
        <v>41422.370000000032</v>
      </c>
      <c r="K25" s="69">
        <f>'Water-Meter'!E26</f>
        <v>0</v>
      </c>
      <c r="L25" s="447">
        <f>'Lpg (2)'!G30</f>
        <v>0</v>
      </c>
      <c r="M25" s="88" t="e">
        <f>#REF!</f>
        <v>#REF!</v>
      </c>
      <c r="N25" s="88" t="e">
        <f>#REF!</f>
        <v>#REF!</v>
      </c>
      <c r="O25" s="88" t="e">
        <f>#REF!</f>
        <v>#REF!</v>
      </c>
      <c r="P25" s="89">
        <f t="shared" si="1"/>
        <v>0.79658403846153902</v>
      </c>
      <c r="Q25" s="6">
        <f>I25*Q2</f>
        <v>380204.6925</v>
      </c>
      <c r="R25" s="76" t="e">
        <f t="shared" si="3"/>
        <v>#DIV/0!</v>
      </c>
      <c r="S25" s="438" t="e">
        <f t="shared" si="4"/>
        <v>#DIV/0!</v>
      </c>
      <c r="T25" s="76">
        <f t="shared" si="5"/>
        <v>0</v>
      </c>
      <c r="U25" s="122">
        <f t="shared" si="6"/>
        <v>0</v>
      </c>
      <c r="V25" s="17">
        <f t="shared" si="7"/>
        <v>380204.6925</v>
      </c>
      <c r="W25" s="76" t="e">
        <f>SUM(V25/E25)/T2</f>
        <v>#DIV/0!</v>
      </c>
      <c r="X25">
        <f t="shared" si="9"/>
        <v>1584</v>
      </c>
      <c r="Y25" s="439">
        <v>106</v>
      </c>
      <c r="Z25" s="79" t="e">
        <f t="shared" si="8"/>
        <v>#DIV/0!</v>
      </c>
    </row>
    <row r="26" spans="1:26">
      <c r="A26" s="53">
        <f>Gen!A32</f>
        <v>44249</v>
      </c>
      <c r="B26" s="82">
        <v>0</v>
      </c>
      <c r="C26" s="87">
        <f>Gen!B32</f>
        <v>0</v>
      </c>
      <c r="D26" s="434">
        <f t="shared" si="2"/>
        <v>0</v>
      </c>
      <c r="E26" s="74"/>
      <c r="F26" s="70" t="e">
        <f>Gen!U32</f>
        <v>#DIV/0!</v>
      </c>
      <c r="G26" s="85">
        <f>Gen!T32</f>
        <v>0</v>
      </c>
      <c r="H26" s="85">
        <f>[1]Gen!AJ32</f>
        <v>18.63</v>
      </c>
      <c r="I26" s="85">
        <f t="shared" si="0"/>
        <v>18.63</v>
      </c>
      <c r="J26" s="85">
        <f>[1]Gen!AT32</f>
        <v>38988.160000000033</v>
      </c>
      <c r="K26" s="69">
        <f>'Water-Meter'!E27</f>
        <v>0</v>
      </c>
      <c r="L26" s="447">
        <f>'Lpg (2)'!G31</f>
        <v>0</v>
      </c>
      <c r="M26" s="88" t="e">
        <f>#REF!</f>
        <v>#REF!</v>
      </c>
      <c r="N26" s="88" t="e">
        <f>#REF!</f>
        <v>#REF!</v>
      </c>
      <c r="O26" s="88" t="e">
        <f>#REF!</f>
        <v>#REF!</v>
      </c>
      <c r="P26" s="89">
        <f t="shared" si="1"/>
        <v>0.74977230769230829</v>
      </c>
      <c r="Q26" s="6">
        <f>I26*Q2</f>
        <v>41169.505499999999</v>
      </c>
      <c r="R26" s="76" t="e">
        <f t="shared" si="3"/>
        <v>#DIV/0!</v>
      </c>
      <c r="S26" s="438" t="e">
        <f t="shared" si="4"/>
        <v>#DIV/0!</v>
      </c>
      <c r="T26" s="76">
        <f t="shared" si="5"/>
        <v>0</v>
      </c>
      <c r="U26" s="122">
        <f t="shared" si="6"/>
        <v>0</v>
      </c>
      <c r="V26" s="17">
        <f t="shared" si="7"/>
        <v>41169.505499999999</v>
      </c>
      <c r="W26" s="76" t="e">
        <f>SUM(V26/E26)/T2</f>
        <v>#DIV/0!</v>
      </c>
      <c r="X26">
        <f t="shared" si="9"/>
        <v>1584</v>
      </c>
      <c r="Y26" s="439">
        <v>106</v>
      </c>
      <c r="Z26" s="79" t="e">
        <f t="shared" si="8"/>
        <v>#DIV/0!</v>
      </c>
    </row>
    <row r="27" spans="1:26">
      <c r="A27" s="53">
        <f>Gen!A33</f>
        <v>44250</v>
      </c>
      <c r="B27" s="82">
        <v>0</v>
      </c>
      <c r="C27" s="87">
        <f>Gen!B33</f>
        <v>0</v>
      </c>
      <c r="D27" s="434">
        <f t="shared" si="2"/>
        <v>0</v>
      </c>
      <c r="E27" s="74"/>
      <c r="F27" s="70" t="e">
        <f>Gen!U33</f>
        <v>#DIV/0!</v>
      </c>
      <c r="G27" s="85">
        <f>Gen!T33</f>
        <v>0</v>
      </c>
      <c r="H27" s="85">
        <f>[1]Gen!AJ33</f>
        <v>311.34000000000003</v>
      </c>
      <c r="I27" s="85">
        <f t="shared" si="0"/>
        <v>311.34000000000003</v>
      </c>
      <c r="J27" s="85">
        <f>[1]Gen!AT33</f>
        <v>36682.670000000035</v>
      </c>
      <c r="K27" s="69">
        <f>'Water-Meter'!E28</f>
        <v>0</v>
      </c>
      <c r="L27" s="447">
        <f>'Lpg (2)'!G32</f>
        <v>0</v>
      </c>
      <c r="M27" s="88" t="e">
        <f>#REF!</f>
        <v>#REF!</v>
      </c>
      <c r="N27" s="88" t="e">
        <f>#REF!</f>
        <v>#REF!</v>
      </c>
      <c r="O27" s="88" t="e">
        <f>#REF!</f>
        <v>#REF!</v>
      </c>
      <c r="P27" s="89">
        <f t="shared" si="1"/>
        <v>0.70543596153846222</v>
      </c>
      <c r="Q27" s="6">
        <f>I27*Q2</f>
        <v>688014.69900000002</v>
      </c>
      <c r="R27" s="76" t="e">
        <f t="shared" si="3"/>
        <v>#DIV/0!</v>
      </c>
      <c r="S27" s="438" t="e">
        <f t="shared" si="4"/>
        <v>#DIV/0!</v>
      </c>
      <c r="T27" s="76">
        <f t="shared" si="5"/>
        <v>0</v>
      </c>
      <c r="U27" s="122">
        <f t="shared" si="6"/>
        <v>0</v>
      </c>
      <c r="V27" s="17">
        <f t="shared" si="7"/>
        <v>688014.69900000002</v>
      </c>
      <c r="W27" s="76" t="e">
        <f>SUM(V27/E27)/T2</f>
        <v>#DIV/0!</v>
      </c>
      <c r="X27">
        <f t="shared" si="9"/>
        <v>1584</v>
      </c>
      <c r="Y27" s="439">
        <v>106</v>
      </c>
      <c r="Z27" s="79" t="e">
        <f t="shared" si="8"/>
        <v>#DIV/0!</v>
      </c>
    </row>
    <row r="28" spans="1:26">
      <c r="A28" s="53">
        <f>Gen!A34</f>
        <v>44251</v>
      </c>
      <c r="B28" s="82">
        <v>0</v>
      </c>
      <c r="C28" s="87">
        <f>Gen!B34</f>
        <v>0</v>
      </c>
      <c r="D28" s="434">
        <f t="shared" si="2"/>
        <v>0</v>
      </c>
      <c r="E28" s="74"/>
      <c r="F28" s="70" t="e">
        <f>Gen!U34</f>
        <v>#DIV/0!</v>
      </c>
      <c r="G28" s="85">
        <f>Gen!T34</f>
        <v>0</v>
      </c>
      <c r="H28" s="85">
        <f>[1]Gen!AJ34</f>
        <v>380.7</v>
      </c>
      <c r="I28" s="85">
        <f t="shared" si="0"/>
        <v>380.7</v>
      </c>
      <c r="J28" s="85">
        <f>[1]Gen!AT34</f>
        <v>44223.030000000035</v>
      </c>
      <c r="K28" s="69">
        <f>'Water-Meter'!E29</f>
        <v>0</v>
      </c>
      <c r="L28" s="447">
        <f>'Lpg (2)'!G33</f>
        <v>0</v>
      </c>
      <c r="M28" s="88" t="e">
        <f>#REF!</f>
        <v>#REF!</v>
      </c>
      <c r="N28" s="88" t="e">
        <f>#REF!</f>
        <v>#REF!</v>
      </c>
      <c r="O28" s="88" t="e">
        <f>#REF!</f>
        <v>#REF!</v>
      </c>
      <c r="P28" s="89">
        <f t="shared" si="1"/>
        <v>0.85044288461538531</v>
      </c>
      <c r="Q28" s="6">
        <f>I28*Q2</f>
        <v>841289.8949999999</v>
      </c>
      <c r="R28" s="76" t="e">
        <f t="shared" si="3"/>
        <v>#DIV/0!</v>
      </c>
      <c r="S28" s="438" t="e">
        <f t="shared" si="4"/>
        <v>#DIV/0!</v>
      </c>
      <c r="T28" s="76">
        <f t="shared" si="5"/>
        <v>0</v>
      </c>
      <c r="U28" s="122">
        <f t="shared" si="6"/>
        <v>0</v>
      </c>
      <c r="V28" s="17">
        <f t="shared" si="7"/>
        <v>841289.8949999999</v>
      </c>
      <c r="W28" s="76" t="e">
        <f>SUM(V28/E28)/T2</f>
        <v>#DIV/0!</v>
      </c>
      <c r="X28">
        <f t="shared" si="9"/>
        <v>1584</v>
      </c>
      <c r="Y28" s="439">
        <v>106</v>
      </c>
      <c r="Z28" s="79" t="e">
        <f t="shared" si="8"/>
        <v>#DIV/0!</v>
      </c>
    </row>
    <row r="29" spans="1:26">
      <c r="A29" s="53">
        <f>Gen!A35</f>
        <v>44252</v>
      </c>
      <c r="B29" s="82">
        <v>0</v>
      </c>
      <c r="C29" s="87">
        <f>Gen!B35</f>
        <v>0</v>
      </c>
      <c r="D29" s="434">
        <f t="shared" si="2"/>
        <v>0</v>
      </c>
      <c r="E29" s="74"/>
      <c r="F29" s="70" t="e">
        <f>Gen!U35</f>
        <v>#DIV/0!</v>
      </c>
      <c r="G29" s="85">
        <f>Gen!T35</f>
        <v>0</v>
      </c>
      <c r="H29" s="85">
        <f>[1]Gen!AJ35</f>
        <v>273.37</v>
      </c>
      <c r="I29" s="85">
        <f t="shared" si="0"/>
        <v>273.37</v>
      </c>
      <c r="J29" s="85">
        <f>[1]Gen!AT35</f>
        <v>41629.060000000034</v>
      </c>
      <c r="K29" s="69">
        <f>'Water-Meter'!E30</f>
        <v>0</v>
      </c>
      <c r="L29" s="447">
        <f>'Lpg (2)'!G34</f>
        <v>0</v>
      </c>
      <c r="M29" s="88" t="e">
        <f>#REF!</f>
        <v>#REF!</v>
      </c>
      <c r="N29" s="88" t="e">
        <f>#REF!</f>
        <v>#REF!</v>
      </c>
      <c r="O29" s="88" t="e">
        <f>#REF!</f>
        <v>#REF!</v>
      </c>
      <c r="P29" s="89">
        <f t="shared" si="1"/>
        <v>0.80055884615384676</v>
      </c>
      <c r="Q29" s="6">
        <f>I29*Q2</f>
        <v>604106.69449999998</v>
      </c>
      <c r="R29" s="76" t="e">
        <f t="shared" si="3"/>
        <v>#DIV/0!</v>
      </c>
      <c r="S29" s="438" t="e">
        <f t="shared" si="4"/>
        <v>#DIV/0!</v>
      </c>
      <c r="T29" s="76">
        <f t="shared" si="5"/>
        <v>0</v>
      </c>
      <c r="U29" s="122">
        <f t="shared" si="6"/>
        <v>0</v>
      </c>
      <c r="V29" s="17">
        <f t="shared" si="7"/>
        <v>604106.69449999998</v>
      </c>
      <c r="W29" s="76" t="e">
        <f>SUM(V29/E29)/T2</f>
        <v>#DIV/0!</v>
      </c>
      <c r="X29">
        <f t="shared" si="9"/>
        <v>1584</v>
      </c>
      <c r="Y29" s="439">
        <v>106</v>
      </c>
      <c r="Z29" s="79" t="e">
        <f t="shared" si="8"/>
        <v>#DIV/0!</v>
      </c>
    </row>
    <row r="30" spans="1:26">
      <c r="A30" s="53">
        <f>Gen!A36</f>
        <v>44253</v>
      </c>
      <c r="B30" s="82">
        <v>0</v>
      </c>
      <c r="C30" s="87">
        <f>Gen!B36</f>
        <v>0</v>
      </c>
      <c r="D30" s="434">
        <f t="shared" si="2"/>
        <v>0</v>
      </c>
      <c r="E30" s="74"/>
      <c r="F30" s="70" t="e">
        <f>Gen!U36</f>
        <v>#DIV/0!</v>
      </c>
      <c r="G30" s="85">
        <f>Gen!T36</f>
        <v>0</v>
      </c>
      <c r="H30" s="85">
        <f>[1]Gen!AJ36</f>
        <v>396.56</v>
      </c>
      <c r="I30" s="85">
        <f t="shared" si="0"/>
        <v>396.56</v>
      </c>
      <c r="J30" s="85">
        <f>[1]Gen!AT36</f>
        <v>39251.170000000035</v>
      </c>
      <c r="K30" s="69">
        <f>'Water-Meter'!E31</f>
        <v>0</v>
      </c>
      <c r="L30" s="447">
        <f>'Lpg (2)'!G35</f>
        <v>0</v>
      </c>
      <c r="M30" s="88" t="e">
        <f>#REF!</f>
        <v>#REF!</v>
      </c>
      <c r="N30" s="88" t="e">
        <f>#REF!</f>
        <v>#REF!</v>
      </c>
      <c r="O30" s="88" t="e">
        <f>#REF!</f>
        <v>#REF!</v>
      </c>
      <c r="P30" s="89">
        <f t="shared" si="1"/>
        <v>0.75483019230769299</v>
      </c>
      <c r="Q30" s="6">
        <f>I30*Q2</f>
        <v>876338.11599999992</v>
      </c>
      <c r="R30" s="76" t="e">
        <f t="shared" si="3"/>
        <v>#DIV/0!</v>
      </c>
      <c r="S30" s="438" t="e">
        <f t="shared" si="4"/>
        <v>#DIV/0!</v>
      </c>
      <c r="T30" s="76">
        <f t="shared" si="5"/>
        <v>0</v>
      </c>
      <c r="U30" s="122">
        <f t="shared" si="6"/>
        <v>0</v>
      </c>
      <c r="V30" s="17">
        <f t="shared" si="7"/>
        <v>876338.11599999992</v>
      </c>
      <c r="W30" s="76" t="e">
        <f>SUM(V30/E30)/T2</f>
        <v>#DIV/0!</v>
      </c>
      <c r="X30">
        <f t="shared" si="9"/>
        <v>1584</v>
      </c>
      <c r="Y30" s="439">
        <v>106</v>
      </c>
      <c r="Z30" s="79" t="e">
        <f t="shared" si="8"/>
        <v>#DIV/0!</v>
      </c>
    </row>
    <row r="31" spans="1:26">
      <c r="A31" s="53">
        <f>Gen!A37</f>
        <v>44254</v>
      </c>
      <c r="B31" s="82">
        <v>0</v>
      </c>
      <c r="C31" s="87">
        <f>Gen!B37</f>
        <v>0</v>
      </c>
      <c r="D31" s="434">
        <f t="shared" si="2"/>
        <v>0</v>
      </c>
      <c r="E31" s="74"/>
      <c r="F31" s="70" t="e">
        <f>Gen!U37</f>
        <v>#DIV/0!</v>
      </c>
      <c r="G31" s="85">
        <f>Gen!T37</f>
        <v>0</v>
      </c>
      <c r="H31" s="85">
        <f>[1]Gen!AJ37</f>
        <v>280.63</v>
      </c>
      <c r="I31" s="85">
        <f t="shared" si="0"/>
        <v>280.63</v>
      </c>
      <c r="J31" s="85">
        <f>[1]Gen!AT37</f>
        <v>36384.370000000032</v>
      </c>
      <c r="K31" s="69">
        <f>'Water-Meter'!E32</f>
        <v>0</v>
      </c>
      <c r="L31" s="447">
        <f>'Lpg (2)'!G36</f>
        <v>0</v>
      </c>
      <c r="M31" s="88" t="e">
        <f>#REF!</f>
        <v>#REF!</v>
      </c>
      <c r="N31" s="88" t="e">
        <f>#REF!</f>
        <v>#REF!</v>
      </c>
      <c r="O31" s="88" t="e">
        <f>#REF!</f>
        <v>#REF!</v>
      </c>
      <c r="P31" s="89">
        <f t="shared" si="1"/>
        <v>0.69969942307692368</v>
      </c>
      <c r="Q31" s="6">
        <f>I31*Q2</f>
        <v>620150.20549999992</v>
      </c>
      <c r="R31" s="76" t="e">
        <f t="shared" si="3"/>
        <v>#DIV/0!</v>
      </c>
      <c r="S31" s="438" t="e">
        <f t="shared" si="4"/>
        <v>#DIV/0!</v>
      </c>
      <c r="T31" s="76">
        <f t="shared" si="5"/>
        <v>0</v>
      </c>
      <c r="U31" s="122">
        <f t="shared" si="6"/>
        <v>0</v>
      </c>
      <c r="V31" s="17">
        <f t="shared" si="7"/>
        <v>620150.20549999992</v>
      </c>
      <c r="W31" s="76" t="e">
        <f>SUM(V31/E31)/T2</f>
        <v>#DIV/0!</v>
      </c>
      <c r="X31">
        <f t="shared" si="9"/>
        <v>1584</v>
      </c>
      <c r="Y31" s="439">
        <v>106</v>
      </c>
      <c r="Z31" s="79" t="e">
        <f t="shared" si="8"/>
        <v>#DIV/0!</v>
      </c>
    </row>
    <row r="32" spans="1:26">
      <c r="A32" s="53">
        <f>Gen!A38</f>
        <v>44255</v>
      </c>
      <c r="B32" s="82">
        <v>0</v>
      </c>
      <c r="C32" s="87">
        <f>Gen!B38</f>
        <v>0</v>
      </c>
      <c r="D32" s="434">
        <f t="shared" si="2"/>
        <v>0</v>
      </c>
      <c r="E32" s="74"/>
      <c r="F32" s="70" t="e">
        <f>Gen!U38</f>
        <v>#DIV/0!</v>
      </c>
      <c r="G32" s="85">
        <f>Gen!T38</f>
        <v>0</v>
      </c>
      <c r="H32" s="85">
        <f>[1]Gen!AJ38</f>
        <v>0</v>
      </c>
      <c r="I32" s="85">
        <f t="shared" si="0"/>
        <v>0</v>
      </c>
      <c r="J32" s="85">
        <f>[1]Gen!AT38</f>
        <v>33780.000000000029</v>
      </c>
      <c r="K32" s="69">
        <f>'Water-Meter'!E33</f>
        <v>0</v>
      </c>
      <c r="L32" s="447">
        <f>'Lpg (2)'!G37</f>
        <v>0</v>
      </c>
      <c r="M32" s="88" t="e">
        <f>#REF!</f>
        <v>#REF!</v>
      </c>
      <c r="N32" s="88" t="e">
        <f>#REF!</f>
        <v>#REF!</v>
      </c>
      <c r="O32" s="88" t="e">
        <f>#REF!</f>
        <v>#REF!</v>
      </c>
      <c r="P32" s="89">
        <f t="shared" si="1"/>
        <v>0.64961538461538515</v>
      </c>
      <c r="Q32" s="6">
        <f>I32*Q2</f>
        <v>0</v>
      </c>
      <c r="R32" s="76" t="e">
        <f t="shared" si="3"/>
        <v>#DIV/0!</v>
      </c>
      <c r="S32" s="438" t="e">
        <f t="shared" si="4"/>
        <v>#DIV/0!</v>
      </c>
      <c r="T32" s="76">
        <f t="shared" si="5"/>
        <v>0</v>
      </c>
      <c r="U32" s="122">
        <f t="shared" si="6"/>
        <v>0</v>
      </c>
      <c r="V32" s="17">
        <f t="shared" si="7"/>
        <v>0</v>
      </c>
      <c r="W32" s="76" t="e">
        <f>SUM(V32/E32)/T2</f>
        <v>#DIV/0!</v>
      </c>
      <c r="X32">
        <f t="shared" si="9"/>
        <v>1584</v>
      </c>
      <c r="Y32" s="439">
        <v>106</v>
      </c>
      <c r="Z32" s="79" t="e">
        <f t="shared" si="8"/>
        <v>#DIV/0!</v>
      </c>
    </row>
    <row r="33" spans="1:26">
      <c r="A33" s="53">
        <f>Gen!A39</f>
        <v>0</v>
      </c>
      <c r="B33" s="82">
        <v>0</v>
      </c>
      <c r="C33" s="87">
        <f>Gen!B39</f>
        <v>0</v>
      </c>
      <c r="D33" s="434">
        <f t="shared" si="2"/>
        <v>0</v>
      </c>
      <c r="E33" s="74"/>
      <c r="F33" s="70" t="e">
        <f>Gen!U39</f>
        <v>#DIV/0!</v>
      </c>
      <c r="G33" s="85">
        <f>Gen!T39</f>
        <v>0</v>
      </c>
      <c r="H33" s="85">
        <f>[1]Gen!AJ39</f>
        <v>0</v>
      </c>
      <c r="I33" s="85">
        <f t="shared" si="0"/>
        <v>0</v>
      </c>
      <c r="J33" s="85">
        <f>[1]Gen!AT39</f>
        <v>33780.000000000029</v>
      </c>
      <c r="K33" s="69">
        <f>'Water-Meter'!E34</f>
        <v>0</v>
      </c>
      <c r="L33" s="447">
        <f>'Lpg (2)'!G38</f>
        <v>0</v>
      </c>
      <c r="M33" s="88" t="e">
        <f>#REF!</f>
        <v>#REF!</v>
      </c>
      <c r="N33" s="88" t="e">
        <f>#REF!</f>
        <v>#REF!</v>
      </c>
      <c r="O33" s="88" t="e">
        <f>#REF!</f>
        <v>#REF!</v>
      </c>
      <c r="P33" s="89">
        <f t="shared" si="1"/>
        <v>0.64961538461538515</v>
      </c>
      <c r="Q33" s="6">
        <f>I33*Q2</f>
        <v>0</v>
      </c>
      <c r="R33" s="76" t="e">
        <f t="shared" si="3"/>
        <v>#DIV/0!</v>
      </c>
      <c r="S33" s="438" t="e">
        <f t="shared" si="4"/>
        <v>#DIV/0!</v>
      </c>
      <c r="T33" s="76">
        <f t="shared" si="5"/>
        <v>0</v>
      </c>
      <c r="U33" s="122">
        <f t="shared" si="6"/>
        <v>0</v>
      </c>
      <c r="V33" s="17">
        <f t="shared" si="7"/>
        <v>0</v>
      </c>
      <c r="W33" s="76" t="e">
        <f>SUM(V33/E33)/T2</f>
        <v>#DIV/0!</v>
      </c>
      <c r="X33">
        <f t="shared" si="9"/>
        <v>1584</v>
      </c>
      <c r="Y33" s="439">
        <v>106</v>
      </c>
      <c r="Z33" s="79" t="e">
        <f t="shared" si="8"/>
        <v>#DIV/0!</v>
      </c>
    </row>
    <row r="34" spans="1:26">
      <c r="A34" s="53">
        <f>Gen!A40</f>
        <v>0</v>
      </c>
      <c r="B34" s="82">
        <v>0</v>
      </c>
      <c r="C34" s="87">
        <f>Gen!B40</f>
        <v>0</v>
      </c>
      <c r="D34" s="434">
        <f t="shared" si="2"/>
        <v>0</v>
      </c>
      <c r="E34" s="74"/>
      <c r="F34" s="70" t="e">
        <f>Gen!U40</f>
        <v>#DIV/0!</v>
      </c>
      <c r="G34" s="85">
        <f>Gen!T40</f>
        <v>0</v>
      </c>
      <c r="H34" s="85">
        <f>[1]Gen!AJ40</f>
        <v>0</v>
      </c>
      <c r="I34" s="85">
        <f t="shared" si="0"/>
        <v>0</v>
      </c>
      <c r="J34" s="85">
        <f>[1]Gen!AT40</f>
        <v>33780.000000000029</v>
      </c>
      <c r="K34" s="69">
        <f>'Water-Meter'!E35</f>
        <v>0</v>
      </c>
      <c r="L34" s="447">
        <f>'Lpg (2)'!G39</f>
        <v>0</v>
      </c>
      <c r="M34" s="88" t="e">
        <f>#REF!</f>
        <v>#REF!</v>
      </c>
      <c r="N34" s="88" t="e">
        <f>#REF!</f>
        <v>#REF!</v>
      </c>
      <c r="O34" s="88" t="e">
        <f>#REF!</f>
        <v>#REF!</v>
      </c>
      <c r="P34" s="89">
        <f t="shared" si="1"/>
        <v>0.64961538461538515</v>
      </c>
      <c r="Q34" s="6">
        <f>I34*Q2</f>
        <v>0</v>
      </c>
      <c r="R34" s="76" t="e">
        <f t="shared" si="3"/>
        <v>#DIV/0!</v>
      </c>
      <c r="S34" s="438" t="e">
        <f t="shared" si="4"/>
        <v>#DIV/0!</v>
      </c>
      <c r="T34" s="76">
        <f t="shared" si="5"/>
        <v>0</v>
      </c>
      <c r="U34" s="122">
        <f t="shared" si="6"/>
        <v>0</v>
      </c>
      <c r="V34" s="17">
        <f t="shared" si="7"/>
        <v>0</v>
      </c>
      <c r="W34" s="76" t="e">
        <f>SUM(V34/E34)/T2</f>
        <v>#DIV/0!</v>
      </c>
      <c r="X34">
        <f t="shared" si="9"/>
        <v>1584</v>
      </c>
      <c r="Y34" s="439">
        <v>106</v>
      </c>
      <c r="Z34" s="79" t="e">
        <f t="shared" si="8"/>
        <v>#DIV/0!</v>
      </c>
    </row>
    <row r="35" spans="1:26">
      <c r="A35" s="53">
        <f>Gen!A41</f>
        <v>0</v>
      </c>
      <c r="B35" s="82">
        <v>0</v>
      </c>
      <c r="C35" s="87">
        <f>Gen!B41</f>
        <v>0</v>
      </c>
      <c r="D35" s="434">
        <f t="shared" si="2"/>
        <v>0</v>
      </c>
      <c r="E35" s="74"/>
      <c r="F35" s="70" t="e">
        <f>Gen!U41</f>
        <v>#DIV/0!</v>
      </c>
      <c r="G35" s="85">
        <f>Gen!T41</f>
        <v>0</v>
      </c>
      <c r="H35" s="85">
        <f>[1]Gen!AJ41</f>
        <v>0</v>
      </c>
      <c r="I35" s="85">
        <f t="shared" si="0"/>
        <v>0</v>
      </c>
      <c r="J35" s="85">
        <f>[1]Gen!AT41</f>
        <v>33780.000000000029</v>
      </c>
      <c r="K35" s="69">
        <f>'Water-Meter'!E36</f>
        <v>0</v>
      </c>
      <c r="L35" s="447">
        <f>'Lpg (2)'!G40</f>
        <v>0</v>
      </c>
      <c r="M35" s="88" t="e">
        <f>#REF!</f>
        <v>#REF!</v>
      </c>
      <c r="N35" s="88" t="e">
        <f>#REF!</f>
        <v>#REF!</v>
      </c>
      <c r="O35" s="88" t="e">
        <f>#REF!</f>
        <v>#REF!</v>
      </c>
      <c r="P35" s="89">
        <f t="shared" si="1"/>
        <v>0.64961538461538515</v>
      </c>
      <c r="Q35" s="6">
        <f>I35*Q2</f>
        <v>0</v>
      </c>
      <c r="R35" s="76" t="e">
        <f t="shared" si="3"/>
        <v>#DIV/0!</v>
      </c>
      <c r="S35" s="438" t="e">
        <f t="shared" si="4"/>
        <v>#DIV/0!</v>
      </c>
      <c r="T35" s="76">
        <f t="shared" si="5"/>
        <v>0</v>
      </c>
      <c r="U35" s="122">
        <f t="shared" si="6"/>
        <v>0</v>
      </c>
      <c r="V35" s="17">
        <f t="shared" si="7"/>
        <v>0</v>
      </c>
      <c r="W35" s="76" t="e">
        <f>SUM(V35/E35)/T2</f>
        <v>#DIV/0!</v>
      </c>
      <c r="X35">
        <f t="shared" si="9"/>
        <v>1584</v>
      </c>
      <c r="Y35" s="439">
        <v>106</v>
      </c>
      <c r="Z35" s="79" t="e">
        <f t="shared" si="8"/>
        <v>#DIV/0!</v>
      </c>
    </row>
    <row r="36" spans="1:26" ht="13.5" thickBot="1">
      <c r="A36" s="54"/>
      <c r="B36" s="81"/>
      <c r="C36" s="71"/>
      <c r="D36" s="84"/>
      <c r="E36" s="7"/>
      <c r="F36" s="71"/>
      <c r="G36" s="86"/>
      <c r="H36" s="86"/>
      <c r="I36" s="86"/>
      <c r="J36" s="86"/>
      <c r="K36" s="69">
        <f>'Water-Meter'!E37</f>
        <v>0</v>
      </c>
      <c r="L36" s="68"/>
      <c r="M36" s="86"/>
      <c r="N36" s="86"/>
      <c r="O36" s="86"/>
      <c r="P36" s="86"/>
      <c r="Q36" s="6">
        <f>I36*2057.79</f>
        <v>0</v>
      </c>
      <c r="R36" s="75"/>
      <c r="S36" s="75"/>
      <c r="T36" s="121"/>
      <c r="U36" s="123"/>
      <c r="V36" s="17">
        <f t="shared" si="7"/>
        <v>0</v>
      </c>
      <c r="W36" s="121"/>
    </row>
    <row r="37" spans="1:26">
      <c r="K37" s="69">
        <f>'Water-Meter'!E38</f>
        <v>58</v>
      </c>
      <c r="S37" s="79" t="e">
        <f>SUM(S5:S16)/[1]Gen!A47</f>
        <v>#REF!</v>
      </c>
    </row>
    <row r="38" spans="1:26">
      <c r="B38" s="83" t="e">
        <f>SUM(B5:B37)/[1]Gen!A47</f>
        <v>#REF!</v>
      </c>
      <c r="M38">
        <f>0.5*2057.79</f>
        <v>1028.895</v>
      </c>
    </row>
    <row r="39" spans="1:26">
      <c r="B39" s="83" t="e">
        <f>SUM(B38*[1]Gen!A47)</f>
        <v>#REF!</v>
      </c>
      <c r="C39" s="83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79" t="e">
        <f>SUM(S37-Y35)</f>
        <v>#REF!</v>
      </c>
    </row>
    <row r="40" spans="1:26">
      <c r="P40">
        <f>P39/K5</f>
        <v>1873.4896551724139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topLeftCell="A7"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37" t="s">
        <v>180</v>
      </c>
      <c r="B1" s="938"/>
      <c r="C1" s="938"/>
      <c r="D1" s="938"/>
      <c r="E1" s="938"/>
      <c r="F1" s="938"/>
      <c r="G1" s="939"/>
    </row>
    <row r="2" spans="1:7" ht="13.5" thickBot="1">
      <c r="A2" s="300"/>
      <c r="B2" s="940" t="s">
        <v>175</v>
      </c>
      <c r="C2" s="941"/>
      <c r="D2" s="942"/>
      <c r="E2" s="940" t="s">
        <v>176</v>
      </c>
      <c r="F2" s="941"/>
      <c r="G2" s="942"/>
    </row>
    <row r="3" spans="1:7" ht="40.5" customHeight="1">
      <c r="A3" s="318" t="s">
        <v>7</v>
      </c>
      <c r="B3" s="319" t="s">
        <v>177</v>
      </c>
      <c r="C3" s="319" t="s">
        <v>178</v>
      </c>
      <c r="D3" s="319" t="s">
        <v>179</v>
      </c>
      <c r="E3" s="319" t="s">
        <v>177</v>
      </c>
      <c r="F3" s="319" t="s">
        <v>178</v>
      </c>
      <c r="G3" s="320" t="s">
        <v>179</v>
      </c>
    </row>
    <row r="4" spans="1:7">
      <c r="A4" s="240">
        <v>43101</v>
      </c>
      <c r="B4" s="479">
        <v>46071</v>
      </c>
      <c r="C4" s="242">
        <v>48188</v>
      </c>
      <c r="D4" s="321">
        <v>2117</v>
      </c>
      <c r="E4" s="322">
        <v>216654</v>
      </c>
      <c r="F4" s="270">
        <v>218779</v>
      </c>
      <c r="G4" s="264">
        <v>2125</v>
      </c>
    </row>
    <row r="5" spans="1:7">
      <c r="A5" s="240">
        <v>43132</v>
      </c>
      <c r="B5" s="479">
        <f t="shared" ref="B5:B63" si="0">C4</f>
        <v>48188</v>
      </c>
      <c r="C5" s="242">
        <v>50066</v>
      </c>
      <c r="D5" s="321">
        <f t="shared" ref="D5:D63" si="1">C5-B5</f>
        <v>1878</v>
      </c>
      <c r="E5" s="322">
        <f t="shared" ref="E5:E63" si="2">F4</f>
        <v>218779</v>
      </c>
      <c r="F5" s="270">
        <v>220744</v>
      </c>
      <c r="G5" s="264">
        <f t="shared" ref="G5:G63" si="3">F5-E5</f>
        <v>1965</v>
      </c>
    </row>
    <row r="6" spans="1:7">
      <c r="A6" s="240">
        <v>43160</v>
      </c>
      <c r="B6" s="479">
        <f t="shared" si="0"/>
        <v>50066</v>
      </c>
      <c r="C6" s="242">
        <v>51916</v>
      </c>
      <c r="D6" s="321">
        <f t="shared" si="1"/>
        <v>1850</v>
      </c>
      <c r="E6" s="322">
        <f t="shared" si="2"/>
        <v>220744</v>
      </c>
      <c r="F6" s="270">
        <v>222873</v>
      </c>
      <c r="G6" s="264">
        <f t="shared" si="3"/>
        <v>2129</v>
      </c>
    </row>
    <row r="7" spans="1:7">
      <c r="A7" s="240">
        <v>43191</v>
      </c>
      <c r="B7" s="479">
        <f t="shared" si="0"/>
        <v>51916</v>
      </c>
      <c r="C7" s="242">
        <v>53641</v>
      </c>
      <c r="D7" s="321">
        <f t="shared" si="1"/>
        <v>1725</v>
      </c>
      <c r="E7" s="322">
        <f t="shared" si="2"/>
        <v>222873</v>
      </c>
      <c r="F7" s="270">
        <v>224922</v>
      </c>
      <c r="G7" s="264">
        <f t="shared" si="3"/>
        <v>2049</v>
      </c>
    </row>
    <row r="8" spans="1:7">
      <c r="A8" s="240">
        <v>43221</v>
      </c>
      <c r="B8" s="479">
        <f t="shared" si="0"/>
        <v>53641</v>
      </c>
      <c r="C8" s="242">
        <v>55409</v>
      </c>
      <c r="D8" s="321">
        <f t="shared" si="1"/>
        <v>1768</v>
      </c>
      <c r="E8" s="322">
        <f t="shared" si="2"/>
        <v>224922</v>
      </c>
      <c r="F8" s="270">
        <v>227063</v>
      </c>
      <c r="G8" s="264">
        <f t="shared" si="3"/>
        <v>2141</v>
      </c>
    </row>
    <row r="9" spans="1:7">
      <c r="A9" s="240">
        <v>43252</v>
      </c>
      <c r="B9" s="479">
        <f t="shared" si="0"/>
        <v>55409</v>
      </c>
      <c r="C9" s="242">
        <v>57396</v>
      </c>
      <c r="D9" s="321">
        <f t="shared" si="1"/>
        <v>1987</v>
      </c>
      <c r="E9" s="322">
        <f t="shared" si="2"/>
        <v>227063</v>
      </c>
      <c r="F9" s="270">
        <v>229163</v>
      </c>
      <c r="G9" s="264">
        <f t="shared" si="3"/>
        <v>2100</v>
      </c>
    </row>
    <row r="10" spans="1:7">
      <c r="A10" s="240">
        <v>43282</v>
      </c>
      <c r="B10" s="479">
        <f t="shared" si="0"/>
        <v>57396</v>
      </c>
      <c r="C10" s="242">
        <v>59391</v>
      </c>
      <c r="D10" s="321">
        <f t="shared" si="1"/>
        <v>1995</v>
      </c>
      <c r="E10" s="322">
        <f t="shared" si="2"/>
        <v>229163</v>
      </c>
      <c r="F10" s="270">
        <v>231359</v>
      </c>
      <c r="G10" s="264">
        <f t="shared" si="3"/>
        <v>2196</v>
      </c>
    </row>
    <row r="11" spans="1:7">
      <c r="A11" s="240">
        <v>43313</v>
      </c>
      <c r="B11" s="479">
        <f t="shared" si="0"/>
        <v>59391</v>
      </c>
      <c r="C11" s="242">
        <v>61427</v>
      </c>
      <c r="D11" s="321">
        <f t="shared" si="1"/>
        <v>2036</v>
      </c>
      <c r="E11" s="322">
        <f t="shared" si="2"/>
        <v>231359</v>
      </c>
      <c r="F11" s="270">
        <v>233548</v>
      </c>
      <c r="G11" s="264">
        <f t="shared" si="3"/>
        <v>2189</v>
      </c>
    </row>
    <row r="12" spans="1:7">
      <c r="A12" s="240">
        <v>43344</v>
      </c>
      <c r="B12" s="479">
        <f t="shared" si="0"/>
        <v>61427</v>
      </c>
      <c r="C12" s="242">
        <v>63464</v>
      </c>
      <c r="D12" s="321">
        <f t="shared" si="1"/>
        <v>2037</v>
      </c>
      <c r="E12" s="322">
        <f t="shared" si="2"/>
        <v>233548</v>
      </c>
      <c r="F12" s="270">
        <v>235653</v>
      </c>
      <c r="G12" s="264">
        <f t="shared" si="3"/>
        <v>2105</v>
      </c>
    </row>
    <row r="13" spans="1:7">
      <c r="A13" s="240">
        <v>43374</v>
      </c>
      <c r="B13" s="479">
        <f t="shared" si="0"/>
        <v>63464</v>
      </c>
      <c r="C13" s="242">
        <v>65577</v>
      </c>
      <c r="D13" s="321">
        <f t="shared" si="1"/>
        <v>2113</v>
      </c>
      <c r="E13" s="322">
        <f t="shared" si="2"/>
        <v>235653</v>
      </c>
      <c r="F13" s="270">
        <v>237802</v>
      </c>
      <c r="G13" s="264">
        <f t="shared" si="3"/>
        <v>2149</v>
      </c>
    </row>
    <row r="14" spans="1:7">
      <c r="A14" s="240">
        <v>43405</v>
      </c>
      <c r="B14" s="479">
        <f t="shared" si="0"/>
        <v>65577</v>
      </c>
      <c r="C14" s="242">
        <v>67714</v>
      </c>
      <c r="D14" s="321">
        <f t="shared" si="1"/>
        <v>2137</v>
      </c>
      <c r="E14" s="322">
        <f t="shared" si="2"/>
        <v>237802</v>
      </c>
      <c r="F14" s="270">
        <v>239883</v>
      </c>
      <c r="G14" s="264">
        <f t="shared" si="3"/>
        <v>2081</v>
      </c>
    </row>
    <row r="15" spans="1:7">
      <c r="A15" s="240">
        <v>43435</v>
      </c>
      <c r="B15" s="479">
        <f t="shared" si="0"/>
        <v>67714</v>
      </c>
      <c r="C15" s="242">
        <v>69886</v>
      </c>
      <c r="D15" s="321">
        <f t="shared" si="1"/>
        <v>2172</v>
      </c>
      <c r="E15" s="322">
        <f t="shared" si="2"/>
        <v>239883</v>
      </c>
      <c r="F15" s="270">
        <v>242023</v>
      </c>
      <c r="G15" s="264">
        <f t="shared" si="3"/>
        <v>2140</v>
      </c>
    </row>
    <row r="16" spans="1:7">
      <c r="A16" s="240">
        <v>43466</v>
      </c>
      <c r="B16" s="479">
        <f t="shared" si="0"/>
        <v>69886</v>
      </c>
      <c r="C16" s="242">
        <v>72120</v>
      </c>
      <c r="D16" s="321">
        <f t="shared" si="1"/>
        <v>2234</v>
      </c>
      <c r="E16" s="322">
        <f t="shared" si="2"/>
        <v>242023</v>
      </c>
      <c r="F16" s="270">
        <v>244252</v>
      </c>
      <c r="G16" s="264">
        <f t="shared" si="3"/>
        <v>2229</v>
      </c>
    </row>
    <row r="17" spans="1:7">
      <c r="A17" s="240">
        <v>43497</v>
      </c>
      <c r="B17" s="479">
        <f t="shared" si="0"/>
        <v>72120</v>
      </c>
      <c r="C17" s="242">
        <v>74132</v>
      </c>
      <c r="D17" s="321">
        <f t="shared" si="1"/>
        <v>2012</v>
      </c>
      <c r="E17" s="322">
        <f t="shared" si="2"/>
        <v>244252</v>
      </c>
      <c r="F17" s="270">
        <v>246272</v>
      </c>
      <c r="G17" s="264">
        <f t="shared" si="3"/>
        <v>2020</v>
      </c>
    </row>
    <row r="18" spans="1:7">
      <c r="A18" s="240">
        <v>43525</v>
      </c>
      <c r="B18" s="479">
        <f t="shared" si="0"/>
        <v>74132</v>
      </c>
      <c r="C18" s="242">
        <v>76130</v>
      </c>
      <c r="D18" s="321">
        <f t="shared" si="1"/>
        <v>1998</v>
      </c>
      <c r="E18" s="322">
        <f t="shared" si="2"/>
        <v>246272</v>
      </c>
      <c r="F18" s="270">
        <v>248562</v>
      </c>
      <c r="G18" s="264">
        <f t="shared" si="3"/>
        <v>2290</v>
      </c>
    </row>
    <row r="19" spans="1:7">
      <c r="A19" s="240">
        <v>43556</v>
      </c>
      <c r="B19" s="479">
        <f t="shared" si="0"/>
        <v>76130</v>
      </c>
      <c r="C19" s="242">
        <v>77859</v>
      </c>
      <c r="D19" s="321">
        <f t="shared" si="1"/>
        <v>1729</v>
      </c>
      <c r="E19" s="322">
        <f t="shared" si="2"/>
        <v>248562</v>
      </c>
      <c r="F19" s="270">
        <v>250789</v>
      </c>
      <c r="G19" s="264">
        <f t="shared" si="3"/>
        <v>2227</v>
      </c>
    </row>
    <row r="20" spans="1:7">
      <c r="A20" s="240">
        <v>43586</v>
      </c>
      <c r="B20" s="479">
        <f t="shared" si="0"/>
        <v>77859</v>
      </c>
      <c r="C20" s="242">
        <v>79636</v>
      </c>
      <c r="D20" s="321">
        <f t="shared" si="1"/>
        <v>1777</v>
      </c>
      <c r="E20" s="322">
        <f t="shared" si="2"/>
        <v>250789</v>
      </c>
      <c r="F20" s="270">
        <v>252878</v>
      </c>
      <c r="G20" s="264">
        <f t="shared" si="3"/>
        <v>2089</v>
      </c>
    </row>
    <row r="21" spans="1:7">
      <c r="A21" s="240">
        <v>43617</v>
      </c>
      <c r="B21" s="479">
        <f t="shared" si="0"/>
        <v>79636</v>
      </c>
      <c r="C21" s="242">
        <v>81603</v>
      </c>
      <c r="D21" s="321">
        <f t="shared" si="1"/>
        <v>1967</v>
      </c>
      <c r="E21" s="322">
        <f t="shared" si="2"/>
        <v>252878</v>
      </c>
      <c r="F21" s="270">
        <v>254783</v>
      </c>
      <c r="G21" s="264">
        <f t="shared" si="3"/>
        <v>1905</v>
      </c>
    </row>
    <row r="22" spans="1:7">
      <c r="A22" s="240">
        <v>43647</v>
      </c>
      <c r="B22" s="479">
        <f t="shared" si="0"/>
        <v>81603</v>
      </c>
      <c r="C22" s="242">
        <v>83511</v>
      </c>
      <c r="D22" s="321">
        <f t="shared" si="1"/>
        <v>1908</v>
      </c>
      <c r="E22" s="322">
        <f t="shared" si="2"/>
        <v>254783</v>
      </c>
      <c r="F22" s="242">
        <v>257138</v>
      </c>
      <c r="G22" s="264">
        <f t="shared" si="3"/>
        <v>2355</v>
      </c>
    </row>
    <row r="23" spans="1:7">
      <c r="A23" s="240">
        <v>43678</v>
      </c>
      <c r="B23" s="479">
        <f t="shared" si="0"/>
        <v>83511</v>
      </c>
      <c r="C23" s="242">
        <v>85418</v>
      </c>
      <c r="D23" s="321">
        <f t="shared" si="1"/>
        <v>1907</v>
      </c>
      <c r="E23" s="322">
        <f t="shared" si="2"/>
        <v>257138</v>
      </c>
      <c r="F23" s="242">
        <v>259453</v>
      </c>
      <c r="G23" s="264">
        <f t="shared" si="3"/>
        <v>2315</v>
      </c>
    </row>
    <row r="24" spans="1:7">
      <c r="A24" s="240">
        <v>43709</v>
      </c>
      <c r="B24" s="479">
        <f t="shared" si="0"/>
        <v>85418</v>
      </c>
      <c r="C24" s="242">
        <v>87262</v>
      </c>
      <c r="D24" s="321">
        <f t="shared" si="1"/>
        <v>1844</v>
      </c>
      <c r="E24" s="322">
        <f t="shared" si="2"/>
        <v>259453</v>
      </c>
      <c r="F24" s="242">
        <v>261652</v>
      </c>
      <c r="G24" s="264">
        <f t="shared" si="3"/>
        <v>2199</v>
      </c>
    </row>
    <row r="25" spans="1:7">
      <c r="A25" s="240">
        <v>43739</v>
      </c>
      <c r="B25" s="479">
        <f t="shared" si="0"/>
        <v>87262</v>
      </c>
      <c r="C25" s="242">
        <v>89489</v>
      </c>
      <c r="D25" s="321">
        <f t="shared" si="1"/>
        <v>2227</v>
      </c>
      <c r="E25" s="322">
        <f t="shared" si="2"/>
        <v>261652</v>
      </c>
      <c r="F25" s="242">
        <v>263905</v>
      </c>
      <c r="G25" s="264">
        <f t="shared" si="3"/>
        <v>2253</v>
      </c>
    </row>
    <row r="26" spans="1:7">
      <c r="A26" s="240">
        <v>43770</v>
      </c>
      <c r="B26" s="479">
        <f t="shared" si="0"/>
        <v>89489</v>
      </c>
      <c r="C26" s="242">
        <v>91615</v>
      </c>
      <c r="D26" s="321">
        <f t="shared" si="1"/>
        <v>2126</v>
      </c>
      <c r="E26" s="322">
        <f t="shared" si="2"/>
        <v>263905</v>
      </c>
      <c r="F26" s="242">
        <v>265969</v>
      </c>
      <c r="G26" s="264">
        <f t="shared" si="3"/>
        <v>2064</v>
      </c>
    </row>
    <row r="27" spans="1:7">
      <c r="A27" s="240">
        <v>43800</v>
      </c>
      <c r="B27" s="479">
        <f t="shared" si="0"/>
        <v>91615</v>
      </c>
      <c r="C27" s="242">
        <v>93828</v>
      </c>
      <c r="D27" s="321">
        <f t="shared" si="1"/>
        <v>2213</v>
      </c>
      <c r="E27" s="322">
        <f t="shared" si="2"/>
        <v>265969</v>
      </c>
      <c r="F27" s="242">
        <v>268212</v>
      </c>
      <c r="G27" s="264">
        <f t="shared" si="3"/>
        <v>2243</v>
      </c>
    </row>
    <row r="28" spans="1:7">
      <c r="A28" s="240">
        <v>43831</v>
      </c>
      <c r="B28" s="479">
        <f t="shared" si="0"/>
        <v>93828</v>
      </c>
      <c r="C28" s="242">
        <v>95998</v>
      </c>
      <c r="D28" s="321">
        <f t="shared" si="1"/>
        <v>2170</v>
      </c>
      <c r="E28" s="322">
        <f t="shared" si="2"/>
        <v>268212</v>
      </c>
      <c r="F28" s="242">
        <v>270443</v>
      </c>
      <c r="G28" s="264">
        <f t="shared" si="3"/>
        <v>2231</v>
      </c>
    </row>
    <row r="29" spans="1:7">
      <c r="A29" s="240">
        <v>43862</v>
      </c>
      <c r="B29" s="479">
        <f t="shared" si="0"/>
        <v>95998</v>
      </c>
      <c r="C29" s="242">
        <v>98070</v>
      </c>
      <c r="D29" s="321">
        <f t="shared" si="1"/>
        <v>2072</v>
      </c>
      <c r="E29" s="322">
        <f t="shared" si="2"/>
        <v>270443</v>
      </c>
      <c r="F29" s="242">
        <v>272554</v>
      </c>
      <c r="G29" s="264">
        <f t="shared" si="3"/>
        <v>2111</v>
      </c>
    </row>
    <row r="30" spans="1:7">
      <c r="A30" s="240">
        <v>43891</v>
      </c>
      <c r="B30" s="479">
        <f t="shared" si="0"/>
        <v>98070</v>
      </c>
      <c r="C30" s="242">
        <v>100381</v>
      </c>
      <c r="D30" s="321">
        <f t="shared" si="1"/>
        <v>2311</v>
      </c>
      <c r="E30" s="322">
        <f t="shared" si="2"/>
        <v>272554</v>
      </c>
      <c r="F30" s="242">
        <v>274788</v>
      </c>
      <c r="G30" s="264">
        <f t="shared" si="3"/>
        <v>2234</v>
      </c>
    </row>
    <row r="31" spans="1:7">
      <c r="A31" s="240">
        <v>43922</v>
      </c>
      <c r="B31" s="479">
        <f t="shared" si="0"/>
        <v>100381</v>
      </c>
      <c r="C31" s="242">
        <v>102607</v>
      </c>
      <c r="D31" s="321">
        <f t="shared" si="1"/>
        <v>2226</v>
      </c>
      <c r="E31" s="322">
        <f t="shared" si="2"/>
        <v>274788</v>
      </c>
      <c r="F31" s="242">
        <v>276874</v>
      </c>
      <c r="G31" s="264">
        <f t="shared" si="3"/>
        <v>2086</v>
      </c>
    </row>
    <row r="32" spans="1:7">
      <c r="A32" s="240">
        <v>43952</v>
      </c>
      <c r="B32" s="479">
        <f t="shared" si="0"/>
        <v>102607</v>
      </c>
      <c r="C32" s="242">
        <v>104898</v>
      </c>
      <c r="D32" s="321">
        <f t="shared" si="1"/>
        <v>2291</v>
      </c>
      <c r="E32" s="322">
        <f t="shared" si="2"/>
        <v>276874</v>
      </c>
      <c r="F32" s="242">
        <v>279093</v>
      </c>
      <c r="G32" s="264">
        <f t="shared" si="3"/>
        <v>2219</v>
      </c>
    </row>
    <row r="33" spans="1:7">
      <c r="A33" s="240">
        <v>43983</v>
      </c>
      <c r="B33" s="479">
        <f t="shared" si="0"/>
        <v>104898</v>
      </c>
      <c r="C33" s="242">
        <v>107117</v>
      </c>
      <c r="D33" s="321">
        <f t="shared" si="1"/>
        <v>2219</v>
      </c>
      <c r="E33" s="322">
        <f t="shared" si="2"/>
        <v>279093</v>
      </c>
      <c r="F33" s="242">
        <v>281240</v>
      </c>
      <c r="G33" s="264">
        <f t="shared" si="3"/>
        <v>2147</v>
      </c>
    </row>
    <row r="34" spans="1:7">
      <c r="A34" s="240">
        <v>44013</v>
      </c>
      <c r="B34" s="479">
        <f t="shared" si="0"/>
        <v>107117</v>
      </c>
      <c r="C34" s="242">
        <v>109400</v>
      </c>
      <c r="D34" s="321">
        <f t="shared" si="1"/>
        <v>2283</v>
      </c>
      <c r="E34" s="322">
        <f t="shared" si="2"/>
        <v>281240</v>
      </c>
      <c r="F34" s="242">
        <v>283452</v>
      </c>
      <c r="G34" s="264">
        <f t="shared" si="3"/>
        <v>2212</v>
      </c>
    </row>
    <row r="35" spans="1:7">
      <c r="A35" s="240">
        <v>44044</v>
      </c>
      <c r="B35" s="479">
        <f t="shared" si="0"/>
        <v>109400</v>
      </c>
      <c r="C35" s="242">
        <v>111576</v>
      </c>
      <c r="D35" s="321">
        <f t="shared" si="1"/>
        <v>2176</v>
      </c>
      <c r="E35" s="322">
        <f t="shared" si="2"/>
        <v>283452</v>
      </c>
      <c r="F35" s="242">
        <v>285683</v>
      </c>
      <c r="G35" s="264">
        <f t="shared" si="3"/>
        <v>2231</v>
      </c>
    </row>
    <row r="36" spans="1:7">
      <c r="A36" s="240">
        <v>44075</v>
      </c>
      <c r="B36" s="479">
        <f t="shared" si="0"/>
        <v>111576</v>
      </c>
      <c r="C36" s="242">
        <v>113681</v>
      </c>
      <c r="D36" s="321">
        <f t="shared" si="1"/>
        <v>2105</v>
      </c>
      <c r="E36" s="322">
        <f t="shared" si="2"/>
        <v>285683</v>
      </c>
      <c r="F36" s="242">
        <v>287829</v>
      </c>
      <c r="G36" s="264">
        <f t="shared" si="3"/>
        <v>2146</v>
      </c>
    </row>
    <row r="37" spans="1:7">
      <c r="A37" s="240">
        <v>44105</v>
      </c>
      <c r="B37" s="479">
        <f t="shared" si="0"/>
        <v>113681</v>
      </c>
      <c r="C37" s="242"/>
      <c r="D37" s="321">
        <f t="shared" si="1"/>
        <v>-113681</v>
      </c>
      <c r="E37" s="322">
        <f t="shared" si="2"/>
        <v>287829</v>
      </c>
      <c r="F37" s="242"/>
      <c r="G37" s="264">
        <f t="shared" si="3"/>
        <v>-287829</v>
      </c>
    </row>
    <row r="38" spans="1:7">
      <c r="A38" s="240">
        <v>44136</v>
      </c>
      <c r="B38" s="479">
        <f t="shared" si="0"/>
        <v>0</v>
      </c>
      <c r="C38" s="242"/>
      <c r="D38" s="321">
        <f t="shared" si="1"/>
        <v>0</v>
      </c>
      <c r="E38" s="322">
        <f t="shared" si="2"/>
        <v>0</v>
      </c>
      <c r="F38" s="242"/>
      <c r="G38" s="264">
        <f t="shared" si="3"/>
        <v>0</v>
      </c>
    </row>
    <row r="39" spans="1:7">
      <c r="A39" s="240">
        <v>44166</v>
      </c>
      <c r="B39" s="479">
        <f t="shared" si="0"/>
        <v>0</v>
      </c>
      <c r="C39" s="242"/>
      <c r="D39" s="321">
        <f t="shared" si="1"/>
        <v>0</v>
      </c>
      <c r="E39" s="322">
        <f t="shared" si="2"/>
        <v>0</v>
      </c>
      <c r="F39" s="242"/>
      <c r="G39" s="264">
        <f t="shared" si="3"/>
        <v>0</v>
      </c>
    </row>
    <row r="40" spans="1:7">
      <c r="A40" s="240">
        <v>44197</v>
      </c>
      <c r="B40" s="479">
        <f t="shared" si="0"/>
        <v>0</v>
      </c>
      <c r="C40" s="242"/>
      <c r="D40" s="321">
        <f t="shared" si="1"/>
        <v>0</v>
      </c>
      <c r="E40" s="322">
        <f t="shared" si="2"/>
        <v>0</v>
      </c>
      <c r="F40" s="242"/>
      <c r="G40" s="264">
        <f t="shared" si="3"/>
        <v>0</v>
      </c>
    </row>
    <row r="41" spans="1:7">
      <c r="A41" s="240">
        <v>44228</v>
      </c>
      <c r="B41" s="479">
        <f t="shared" si="0"/>
        <v>0</v>
      </c>
      <c r="C41" s="242"/>
      <c r="D41" s="321">
        <f t="shared" si="1"/>
        <v>0</v>
      </c>
      <c r="E41" s="322">
        <f t="shared" si="2"/>
        <v>0</v>
      </c>
      <c r="F41" s="242"/>
      <c r="G41" s="264">
        <f t="shared" si="3"/>
        <v>0</v>
      </c>
    </row>
    <row r="42" spans="1:7">
      <c r="A42" s="240">
        <v>44256</v>
      </c>
      <c r="B42" s="479">
        <f t="shared" si="0"/>
        <v>0</v>
      </c>
      <c r="C42" s="242"/>
      <c r="D42" s="321">
        <f t="shared" si="1"/>
        <v>0</v>
      </c>
      <c r="E42" s="322">
        <f t="shared" si="2"/>
        <v>0</v>
      </c>
      <c r="F42" s="242"/>
      <c r="G42" s="264">
        <f t="shared" si="3"/>
        <v>0</v>
      </c>
    </row>
    <row r="43" spans="1:7">
      <c r="A43" s="240">
        <v>44287</v>
      </c>
      <c r="B43" s="479">
        <f t="shared" si="0"/>
        <v>0</v>
      </c>
      <c r="C43" s="242"/>
      <c r="D43" s="321">
        <f t="shared" si="1"/>
        <v>0</v>
      </c>
      <c r="E43" s="322">
        <f t="shared" si="2"/>
        <v>0</v>
      </c>
      <c r="F43" s="242"/>
      <c r="G43" s="264">
        <f t="shared" si="3"/>
        <v>0</v>
      </c>
    </row>
    <row r="44" spans="1:7">
      <c r="A44" s="240">
        <v>44317</v>
      </c>
      <c r="B44" s="479">
        <f t="shared" si="0"/>
        <v>0</v>
      </c>
      <c r="C44" s="242"/>
      <c r="D44" s="321">
        <f t="shared" si="1"/>
        <v>0</v>
      </c>
      <c r="E44" s="322">
        <f t="shared" si="2"/>
        <v>0</v>
      </c>
      <c r="F44" s="242"/>
      <c r="G44" s="264">
        <f t="shared" si="3"/>
        <v>0</v>
      </c>
    </row>
    <row r="45" spans="1:7">
      <c r="A45" s="240">
        <v>44348</v>
      </c>
      <c r="B45" s="479">
        <f t="shared" si="0"/>
        <v>0</v>
      </c>
      <c r="C45" s="242"/>
      <c r="D45" s="321">
        <f t="shared" si="1"/>
        <v>0</v>
      </c>
      <c r="E45" s="322">
        <f t="shared" si="2"/>
        <v>0</v>
      </c>
      <c r="F45" s="242"/>
      <c r="G45" s="264">
        <f t="shared" si="3"/>
        <v>0</v>
      </c>
    </row>
    <row r="46" spans="1:7">
      <c r="A46" s="240">
        <v>44378</v>
      </c>
      <c r="B46" s="479">
        <f t="shared" si="0"/>
        <v>0</v>
      </c>
      <c r="C46" s="242"/>
      <c r="D46" s="321">
        <f t="shared" si="1"/>
        <v>0</v>
      </c>
      <c r="E46" s="322">
        <f t="shared" si="2"/>
        <v>0</v>
      </c>
      <c r="F46" s="242"/>
      <c r="G46" s="264">
        <f t="shared" si="3"/>
        <v>0</v>
      </c>
    </row>
    <row r="47" spans="1:7">
      <c r="A47" s="240">
        <v>44409</v>
      </c>
      <c r="B47" s="479">
        <f t="shared" si="0"/>
        <v>0</v>
      </c>
      <c r="C47" s="242"/>
      <c r="D47" s="321">
        <f t="shared" si="1"/>
        <v>0</v>
      </c>
      <c r="E47" s="322">
        <f t="shared" si="2"/>
        <v>0</v>
      </c>
      <c r="F47" s="242"/>
      <c r="G47" s="264">
        <f t="shared" si="3"/>
        <v>0</v>
      </c>
    </row>
    <row r="48" spans="1:7">
      <c r="A48" s="240">
        <v>44440</v>
      </c>
      <c r="B48" s="479">
        <f t="shared" si="0"/>
        <v>0</v>
      </c>
      <c r="C48" s="242"/>
      <c r="D48" s="321">
        <f t="shared" si="1"/>
        <v>0</v>
      </c>
      <c r="E48" s="322">
        <f t="shared" si="2"/>
        <v>0</v>
      </c>
      <c r="F48" s="242"/>
      <c r="G48" s="264">
        <f t="shared" si="3"/>
        <v>0</v>
      </c>
    </row>
    <row r="49" spans="1:7">
      <c r="A49" s="240">
        <v>44470</v>
      </c>
      <c r="B49" s="479">
        <f t="shared" si="0"/>
        <v>0</v>
      </c>
      <c r="C49" s="242"/>
      <c r="D49" s="321">
        <f t="shared" si="1"/>
        <v>0</v>
      </c>
      <c r="E49" s="322">
        <f t="shared" si="2"/>
        <v>0</v>
      </c>
      <c r="F49" s="6"/>
      <c r="G49" s="264">
        <f t="shared" si="3"/>
        <v>0</v>
      </c>
    </row>
    <row r="50" spans="1:7">
      <c r="A50" s="240">
        <v>44501</v>
      </c>
      <c r="B50" s="479">
        <f t="shared" si="0"/>
        <v>0</v>
      </c>
      <c r="C50" s="242"/>
      <c r="D50" s="321">
        <f t="shared" si="1"/>
        <v>0</v>
      </c>
      <c r="E50" s="322">
        <f t="shared" si="2"/>
        <v>0</v>
      </c>
      <c r="F50" s="6"/>
      <c r="G50" s="264">
        <f t="shared" si="3"/>
        <v>0</v>
      </c>
    </row>
    <row r="51" spans="1:7">
      <c r="A51" s="240">
        <v>44531</v>
      </c>
      <c r="B51" s="479">
        <f t="shared" si="0"/>
        <v>0</v>
      </c>
      <c r="C51" s="242"/>
      <c r="D51" s="321">
        <f t="shared" si="1"/>
        <v>0</v>
      </c>
      <c r="E51" s="322">
        <f t="shared" si="2"/>
        <v>0</v>
      </c>
      <c r="F51" s="6"/>
      <c r="G51" s="264">
        <f t="shared" si="3"/>
        <v>0</v>
      </c>
    </row>
    <row r="52" spans="1:7">
      <c r="A52" s="240">
        <v>44562</v>
      </c>
      <c r="B52" s="479">
        <f t="shared" si="0"/>
        <v>0</v>
      </c>
      <c r="C52" s="242"/>
      <c r="D52" s="321">
        <f t="shared" si="1"/>
        <v>0</v>
      </c>
      <c r="E52" s="322">
        <f t="shared" si="2"/>
        <v>0</v>
      </c>
      <c r="F52" s="6"/>
      <c r="G52" s="264">
        <f t="shared" si="3"/>
        <v>0</v>
      </c>
    </row>
    <row r="53" spans="1:7">
      <c r="A53" s="240">
        <v>44593</v>
      </c>
      <c r="B53" s="479">
        <f t="shared" si="0"/>
        <v>0</v>
      </c>
      <c r="C53" s="6"/>
      <c r="D53" s="321">
        <f t="shared" si="1"/>
        <v>0</v>
      </c>
      <c r="E53" s="322">
        <f t="shared" si="2"/>
        <v>0</v>
      </c>
      <c r="F53" s="6"/>
      <c r="G53" s="264">
        <f t="shared" si="3"/>
        <v>0</v>
      </c>
    </row>
    <row r="54" spans="1:7">
      <c r="A54" s="240">
        <v>44621</v>
      </c>
      <c r="B54" s="479">
        <f t="shared" si="0"/>
        <v>0</v>
      </c>
      <c r="C54" s="6"/>
      <c r="D54" s="321">
        <f t="shared" si="1"/>
        <v>0</v>
      </c>
      <c r="E54" s="322">
        <f t="shared" si="2"/>
        <v>0</v>
      </c>
      <c r="F54" s="6"/>
      <c r="G54" s="264">
        <f t="shared" si="3"/>
        <v>0</v>
      </c>
    </row>
    <row r="55" spans="1:7">
      <c r="A55" s="240">
        <v>44652</v>
      </c>
      <c r="B55" s="479">
        <f t="shared" si="0"/>
        <v>0</v>
      </c>
      <c r="C55" s="6"/>
      <c r="D55" s="321">
        <f t="shared" si="1"/>
        <v>0</v>
      </c>
      <c r="E55" s="322">
        <f t="shared" si="2"/>
        <v>0</v>
      </c>
      <c r="F55" s="6"/>
      <c r="G55" s="264">
        <f t="shared" si="3"/>
        <v>0</v>
      </c>
    </row>
    <row r="56" spans="1:7">
      <c r="A56" s="240">
        <v>44682</v>
      </c>
      <c r="B56" s="479">
        <f t="shared" si="0"/>
        <v>0</v>
      </c>
      <c r="C56" s="6"/>
      <c r="D56" s="321">
        <f t="shared" si="1"/>
        <v>0</v>
      </c>
      <c r="E56" s="322">
        <f t="shared" si="2"/>
        <v>0</v>
      </c>
      <c r="F56" s="6"/>
      <c r="G56" s="264">
        <f t="shared" si="3"/>
        <v>0</v>
      </c>
    </row>
    <row r="57" spans="1:7">
      <c r="A57" s="240">
        <v>44713</v>
      </c>
      <c r="B57" s="479">
        <f t="shared" si="0"/>
        <v>0</v>
      </c>
      <c r="C57" s="6"/>
      <c r="D57" s="321">
        <f t="shared" si="1"/>
        <v>0</v>
      </c>
      <c r="E57" s="322">
        <f t="shared" si="2"/>
        <v>0</v>
      </c>
      <c r="F57" s="6"/>
      <c r="G57" s="264">
        <f t="shared" si="3"/>
        <v>0</v>
      </c>
    </row>
    <row r="58" spans="1:7">
      <c r="A58" s="240">
        <v>44743</v>
      </c>
      <c r="B58" s="479">
        <f t="shared" si="0"/>
        <v>0</v>
      </c>
      <c r="C58" s="6"/>
      <c r="D58" s="321">
        <f t="shared" si="1"/>
        <v>0</v>
      </c>
      <c r="E58" s="322">
        <f t="shared" si="2"/>
        <v>0</v>
      </c>
      <c r="F58" s="6"/>
      <c r="G58" s="264">
        <f t="shared" si="3"/>
        <v>0</v>
      </c>
    </row>
    <row r="59" spans="1:7">
      <c r="A59" s="240">
        <v>44774</v>
      </c>
      <c r="B59" s="479">
        <f t="shared" si="0"/>
        <v>0</v>
      </c>
      <c r="C59" s="6"/>
      <c r="D59" s="321">
        <f t="shared" si="1"/>
        <v>0</v>
      </c>
      <c r="E59" s="322">
        <f t="shared" si="2"/>
        <v>0</v>
      </c>
      <c r="F59" s="6"/>
      <c r="G59" s="264">
        <f t="shared" si="3"/>
        <v>0</v>
      </c>
    </row>
    <row r="60" spans="1:7">
      <c r="A60" s="240">
        <v>44805</v>
      </c>
      <c r="B60" s="479">
        <f t="shared" si="0"/>
        <v>0</v>
      </c>
      <c r="C60" s="6"/>
      <c r="D60" s="321">
        <f t="shared" si="1"/>
        <v>0</v>
      </c>
      <c r="E60" s="322">
        <f t="shared" si="2"/>
        <v>0</v>
      </c>
      <c r="F60" s="6"/>
      <c r="G60" s="264">
        <f t="shared" si="3"/>
        <v>0</v>
      </c>
    </row>
    <row r="61" spans="1:7">
      <c r="A61" s="240">
        <v>44835</v>
      </c>
      <c r="B61" s="479">
        <f t="shared" si="0"/>
        <v>0</v>
      </c>
      <c r="C61" s="6"/>
      <c r="D61" s="321">
        <f t="shared" si="1"/>
        <v>0</v>
      </c>
      <c r="E61" s="322">
        <f t="shared" si="2"/>
        <v>0</v>
      </c>
      <c r="F61" s="6"/>
      <c r="G61" s="264">
        <f t="shared" si="3"/>
        <v>0</v>
      </c>
    </row>
    <row r="62" spans="1:7">
      <c r="A62" s="240">
        <v>44866</v>
      </c>
      <c r="B62" s="479">
        <f t="shared" si="0"/>
        <v>0</v>
      </c>
      <c r="C62" s="6"/>
      <c r="D62" s="321">
        <f t="shared" si="1"/>
        <v>0</v>
      </c>
      <c r="E62" s="322">
        <f t="shared" si="2"/>
        <v>0</v>
      </c>
      <c r="F62" s="6"/>
      <c r="G62" s="264">
        <f t="shared" si="3"/>
        <v>0</v>
      </c>
    </row>
    <row r="63" spans="1:7">
      <c r="A63" s="240">
        <v>44896</v>
      </c>
      <c r="B63" s="479">
        <f t="shared" si="0"/>
        <v>0</v>
      </c>
      <c r="C63" s="6"/>
      <c r="D63" s="321">
        <f t="shared" si="1"/>
        <v>0</v>
      </c>
      <c r="E63" s="322">
        <f t="shared" si="2"/>
        <v>0</v>
      </c>
      <c r="F63" s="6"/>
      <c r="G63" s="264">
        <f t="shared" si="3"/>
        <v>0</v>
      </c>
    </row>
    <row r="64" spans="1:7">
      <c r="A64" s="240">
        <v>44562</v>
      </c>
      <c r="B64" s="479">
        <f t="shared" ref="B64:B75" si="4">C63</f>
        <v>0</v>
      </c>
      <c r="C64" s="242"/>
      <c r="D64" s="321">
        <f t="shared" ref="D64:D75" si="5">C64-B64</f>
        <v>0</v>
      </c>
      <c r="E64" s="322">
        <f t="shared" ref="E64:E75" si="6">F63</f>
        <v>0</v>
      </c>
      <c r="F64" s="6"/>
      <c r="G64" s="264">
        <f t="shared" ref="G64:G75" si="7">F64-E64</f>
        <v>0</v>
      </c>
    </row>
    <row r="65" spans="1:7">
      <c r="A65" s="240">
        <v>44593</v>
      </c>
      <c r="B65" s="479">
        <f t="shared" si="4"/>
        <v>0</v>
      </c>
      <c r="C65" s="6"/>
      <c r="D65" s="321">
        <f t="shared" si="5"/>
        <v>0</v>
      </c>
      <c r="E65" s="322">
        <f t="shared" si="6"/>
        <v>0</v>
      </c>
      <c r="F65" s="6"/>
      <c r="G65" s="264">
        <f t="shared" si="7"/>
        <v>0</v>
      </c>
    </row>
    <row r="66" spans="1:7">
      <c r="A66" s="240">
        <v>44621</v>
      </c>
      <c r="B66" s="479">
        <f t="shared" si="4"/>
        <v>0</v>
      </c>
      <c r="C66" s="6"/>
      <c r="D66" s="321">
        <f t="shared" si="5"/>
        <v>0</v>
      </c>
      <c r="E66" s="322">
        <f t="shared" si="6"/>
        <v>0</v>
      </c>
      <c r="F66" s="6"/>
      <c r="G66" s="264">
        <f t="shared" si="7"/>
        <v>0</v>
      </c>
    </row>
    <row r="67" spans="1:7">
      <c r="A67" s="240">
        <v>44652</v>
      </c>
      <c r="B67" s="479">
        <f t="shared" si="4"/>
        <v>0</v>
      </c>
      <c r="C67" s="6"/>
      <c r="D67" s="321">
        <f t="shared" si="5"/>
        <v>0</v>
      </c>
      <c r="E67" s="322">
        <f t="shared" si="6"/>
        <v>0</v>
      </c>
      <c r="F67" s="6"/>
      <c r="G67" s="264">
        <f t="shared" si="7"/>
        <v>0</v>
      </c>
    </row>
    <row r="68" spans="1:7">
      <c r="A68" s="240">
        <v>44682</v>
      </c>
      <c r="B68" s="479">
        <f t="shared" si="4"/>
        <v>0</v>
      </c>
      <c r="C68" s="6"/>
      <c r="D68" s="321">
        <f t="shared" si="5"/>
        <v>0</v>
      </c>
      <c r="E68" s="322">
        <f t="shared" si="6"/>
        <v>0</v>
      </c>
      <c r="F68" s="6"/>
      <c r="G68" s="264">
        <f t="shared" si="7"/>
        <v>0</v>
      </c>
    </row>
    <row r="69" spans="1:7">
      <c r="A69" s="240">
        <v>44713</v>
      </c>
      <c r="B69" s="479">
        <f t="shared" si="4"/>
        <v>0</v>
      </c>
      <c r="C69" s="6"/>
      <c r="D69" s="321">
        <f t="shared" si="5"/>
        <v>0</v>
      </c>
      <c r="E69" s="322">
        <f t="shared" si="6"/>
        <v>0</v>
      </c>
      <c r="F69" s="6"/>
      <c r="G69" s="264">
        <f t="shared" si="7"/>
        <v>0</v>
      </c>
    </row>
    <row r="70" spans="1:7">
      <c r="A70" s="240">
        <v>44743</v>
      </c>
      <c r="B70" s="479">
        <f t="shared" si="4"/>
        <v>0</v>
      </c>
      <c r="C70" s="6"/>
      <c r="D70" s="321">
        <f t="shared" si="5"/>
        <v>0</v>
      </c>
      <c r="E70" s="322">
        <f t="shared" si="6"/>
        <v>0</v>
      </c>
      <c r="F70" s="6"/>
      <c r="G70" s="264">
        <f t="shared" si="7"/>
        <v>0</v>
      </c>
    </row>
    <row r="71" spans="1:7">
      <c r="A71" s="240">
        <v>44774</v>
      </c>
      <c r="B71" s="479">
        <f t="shared" si="4"/>
        <v>0</v>
      </c>
      <c r="C71" s="6"/>
      <c r="D71" s="321">
        <f t="shared" si="5"/>
        <v>0</v>
      </c>
      <c r="E71" s="322">
        <f t="shared" si="6"/>
        <v>0</v>
      </c>
      <c r="F71" s="6"/>
      <c r="G71" s="264">
        <f t="shared" si="7"/>
        <v>0</v>
      </c>
    </row>
    <row r="72" spans="1:7">
      <c r="A72" s="240">
        <v>44805</v>
      </c>
      <c r="B72" s="479">
        <f t="shared" si="4"/>
        <v>0</v>
      </c>
      <c r="C72" s="6"/>
      <c r="D72" s="321">
        <f t="shared" si="5"/>
        <v>0</v>
      </c>
      <c r="E72" s="322">
        <f t="shared" si="6"/>
        <v>0</v>
      </c>
      <c r="F72" s="6"/>
      <c r="G72" s="264">
        <f t="shared" si="7"/>
        <v>0</v>
      </c>
    </row>
    <row r="73" spans="1:7">
      <c r="A73" s="240">
        <v>44835</v>
      </c>
      <c r="B73" s="479">
        <f t="shared" si="4"/>
        <v>0</v>
      </c>
      <c r="C73" s="6"/>
      <c r="D73" s="321">
        <f t="shared" si="5"/>
        <v>0</v>
      </c>
      <c r="E73" s="322">
        <f t="shared" si="6"/>
        <v>0</v>
      </c>
      <c r="F73" s="6"/>
      <c r="G73" s="264">
        <f t="shared" si="7"/>
        <v>0</v>
      </c>
    </row>
    <row r="74" spans="1:7">
      <c r="A74" s="240">
        <v>44866</v>
      </c>
      <c r="B74" s="479">
        <f t="shared" si="4"/>
        <v>0</v>
      </c>
      <c r="C74" s="6"/>
      <c r="D74" s="321">
        <f t="shared" si="5"/>
        <v>0</v>
      </c>
      <c r="E74" s="322">
        <f t="shared" si="6"/>
        <v>0</v>
      </c>
      <c r="F74" s="6"/>
      <c r="G74" s="264">
        <f t="shared" si="7"/>
        <v>0</v>
      </c>
    </row>
    <row r="75" spans="1:7">
      <c r="A75" s="240">
        <v>44896</v>
      </c>
      <c r="B75" s="479">
        <f t="shared" si="4"/>
        <v>0</v>
      </c>
      <c r="C75" s="6"/>
      <c r="D75" s="321">
        <f t="shared" si="5"/>
        <v>0</v>
      </c>
      <c r="E75" s="322">
        <f t="shared" si="6"/>
        <v>0</v>
      </c>
      <c r="F75" s="6"/>
      <c r="G75" s="264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workbookViewId="0">
      <selection activeCell="Q39" sqref="Q39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37" t="s">
        <v>230</v>
      </c>
      <c r="B1" s="938"/>
      <c r="C1" s="938"/>
      <c r="D1" s="938"/>
      <c r="G1" s="274"/>
      <c r="H1" s="275" t="s">
        <v>231</v>
      </c>
      <c r="I1" s="275"/>
      <c r="J1" s="274"/>
      <c r="K1" s="274"/>
    </row>
    <row r="2" spans="1:12" ht="39" thickBot="1">
      <c r="A2" s="480" t="s">
        <v>7</v>
      </c>
      <c r="B2" s="481" t="s">
        <v>177</v>
      </c>
      <c r="C2" s="481" t="s">
        <v>178</v>
      </c>
      <c r="D2" s="482" t="s">
        <v>194</v>
      </c>
      <c r="E2" s="482" t="s">
        <v>236</v>
      </c>
      <c r="F2" s="483" t="s">
        <v>214</v>
      </c>
      <c r="G2" s="484" t="s">
        <v>232</v>
      </c>
      <c r="H2" s="485" t="s">
        <v>233</v>
      </c>
      <c r="I2" s="486" t="s">
        <v>234</v>
      </c>
      <c r="J2" s="485" t="s">
        <v>235</v>
      </c>
      <c r="K2" s="485" t="s">
        <v>214</v>
      </c>
      <c r="L2" s="487" t="s">
        <v>195</v>
      </c>
    </row>
    <row r="3" spans="1:12">
      <c r="A3" s="240">
        <v>43101</v>
      </c>
      <c r="B3" s="314">
        <v>6476953</v>
      </c>
      <c r="C3" s="242">
        <v>6542879</v>
      </c>
      <c r="D3" s="392">
        <v>65926</v>
      </c>
      <c r="E3" s="242">
        <v>65927.77</v>
      </c>
      <c r="F3" s="488">
        <v>-1.7700000000040745</v>
      </c>
      <c r="G3" s="489">
        <v>52890</v>
      </c>
      <c r="H3" s="242">
        <v>59763</v>
      </c>
      <c r="I3" s="269">
        <v>6873</v>
      </c>
      <c r="J3" s="242">
        <v>6874.87</v>
      </c>
      <c r="K3" s="276">
        <v>-1.8699999999998909</v>
      </c>
      <c r="L3" s="490">
        <v>72799</v>
      </c>
    </row>
    <row r="4" spans="1:12">
      <c r="A4" s="240">
        <v>43132</v>
      </c>
      <c r="B4" s="314">
        <f t="shared" ref="B4:B62" si="0">C3</f>
        <v>6542879</v>
      </c>
      <c r="C4" s="242">
        <v>6604433</v>
      </c>
      <c r="D4" s="392">
        <f t="shared" ref="D4:D62" si="1">C4-B4</f>
        <v>61554</v>
      </c>
      <c r="E4" s="301">
        <v>61553.03</v>
      </c>
      <c r="F4" s="488">
        <f t="shared" ref="F4:F62" si="2">D4-E4</f>
        <v>0.97000000000116415</v>
      </c>
      <c r="G4" s="489">
        <f t="shared" ref="G4:G62" si="3">H3</f>
        <v>59763</v>
      </c>
      <c r="H4" s="242">
        <v>66652</v>
      </c>
      <c r="I4" s="269">
        <f t="shared" ref="I4:I62" si="4">H4-G4</f>
        <v>6889</v>
      </c>
      <c r="J4" s="242">
        <v>6890.89</v>
      </c>
      <c r="K4" s="276">
        <f t="shared" ref="K4:K62" si="5">I4-J4</f>
        <v>-1.8900000000003274</v>
      </c>
      <c r="L4" s="490">
        <f t="shared" ref="L4:L62" si="6">I4+D4</f>
        <v>68443</v>
      </c>
    </row>
    <row r="5" spans="1:12">
      <c r="A5" s="240">
        <v>43160</v>
      </c>
      <c r="B5" s="314">
        <f t="shared" si="0"/>
        <v>6604433</v>
      </c>
      <c r="C5" s="270">
        <v>6660226</v>
      </c>
      <c r="D5" s="392">
        <f t="shared" si="1"/>
        <v>55793</v>
      </c>
      <c r="E5" s="270">
        <v>55792.75</v>
      </c>
      <c r="F5" s="488">
        <f t="shared" si="2"/>
        <v>0.25</v>
      </c>
      <c r="G5" s="489">
        <f t="shared" si="3"/>
        <v>66652</v>
      </c>
      <c r="H5" s="270">
        <v>77607</v>
      </c>
      <c r="I5" s="269">
        <f t="shared" si="4"/>
        <v>10955</v>
      </c>
      <c r="J5" s="270">
        <v>10955.45</v>
      </c>
      <c r="K5" s="276">
        <f t="shared" si="5"/>
        <v>-0.4500000000007276</v>
      </c>
      <c r="L5" s="490">
        <f t="shared" si="6"/>
        <v>66748</v>
      </c>
    </row>
    <row r="6" spans="1:12">
      <c r="A6" s="240">
        <v>43191</v>
      </c>
      <c r="B6" s="314">
        <f t="shared" si="0"/>
        <v>6660226</v>
      </c>
      <c r="C6" s="242">
        <v>6714539</v>
      </c>
      <c r="D6" s="392">
        <f t="shared" si="1"/>
        <v>54313</v>
      </c>
      <c r="E6" s="270">
        <v>54312.28</v>
      </c>
      <c r="F6" s="488">
        <f t="shared" si="2"/>
        <v>0.72000000000116415</v>
      </c>
      <c r="G6" s="489">
        <f t="shared" si="3"/>
        <v>77607</v>
      </c>
      <c r="H6" s="242">
        <v>82271</v>
      </c>
      <c r="I6" s="269">
        <f t="shared" si="4"/>
        <v>4664</v>
      </c>
      <c r="J6" s="270">
        <v>4665.22</v>
      </c>
      <c r="K6" s="276">
        <f t="shared" si="5"/>
        <v>-1.2200000000002547</v>
      </c>
      <c r="L6" s="490">
        <f t="shared" si="6"/>
        <v>58977</v>
      </c>
    </row>
    <row r="7" spans="1:12">
      <c r="A7" s="263">
        <v>43221</v>
      </c>
      <c r="B7" s="314">
        <f t="shared" si="0"/>
        <v>6714539</v>
      </c>
      <c r="C7" s="242">
        <v>6774547</v>
      </c>
      <c r="D7" s="392">
        <f t="shared" si="1"/>
        <v>60008</v>
      </c>
      <c r="E7" s="242">
        <v>60007.47</v>
      </c>
      <c r="F7" s="488">
        <f t="shared" si="2"/>
        <v>0.52999999999883585</v>
      </c>
      <c r="G7" s="489">
        <f t="shared" si="3"/>
        <v>82271</v>
      </c>
      <c r="H7" s="242">
        <v>88664</v>
      </c>
      <c r="I7" s="269">
        <f t="shared" si="4"/>
        <v>6393</v>
      </c>
      <c r="J7" s="242">
        <v>6392.14</v>
      </c>
      <c r="K7" s="276">
        <f t="shared" si="5"/>
        <v>0.85999999999967258</v>
      </c>
      <c r="L7" s="490">
        <f t="shared" si="6"/>
        <v>66401</v>
      </c>
    </row>
    <row r="8" spans="1:12">
      <c r="A8" s="240">
        <v>43252</v>
      </c>
      <c r="B8" s="314">
        <f t="shared" si="0"/>
        <v>6774547</v>
      </c>
      <c r="C8" s="242">
        <v>6845214</v>
      </c>
      <c r="D8" s="392">
        <f t="shared" si="1"/>
        <v>70667</v>
      </c>
      <c r="E8" s="242">
        <v>70666.289999999994</v>
      </c>
      <c r="F8" s="488">
        <f t="shared" si="2"/>
        <v>0.71000000000640284</v>
      </c>
      <c r="G8" s="489">
        <f t="shared" si="3"/>
        <v>88664</v>
      </c>
      <c r="H8" s="242">
        <v>99683</v>
      </c>
      <c r="I8" s="269">
        <f t="shared" si="4"/>
        <v>11019</v>
      </c>
      <c r="J8" s="270">
        <v>11020.51</v>
      </c>
      <c r="K8" s="276">
        <f t="shared" si="5"/>
        <v>-1.5100000000002183</v>
      </c>
      <c r="L8" s="490">
        <f t="shared" si="6"/>
        <v>81686</v>
      </c>
    </row>
    <row r="9" spans="1:12">
      <c r="A9" s="240">
        <v>43282</v>
      </c>
      <c r="B9" s="314">
        <f t="shared" si="0"/>
        <v>6845214</v>
      </c>
      <c r="C9" s="270">
        <v>6921964</v>
      </c>
      <c r="D9" s="392">
        <f t="shared" si="1"/>
        <v>76750</v>
      </c>
      <c r="E9" s="270">
        <v>76750.25</v>
      </c>
      <c r="F9" s="488">
        <f t="shared" si="2"/>
        <v>-0.25</v>
      </c>
      <c r="G9" s="489">
        <f t="shared" si="3"/>
        <v>99683</v>
      </c>
      <c r="H9" s="270">
        <v>107936</v>
      </c>
      <c r="I9" s="269">
        <f t="shared" si="4"/>
        <v>8253</v>
      </c>
      <c r="J9" s="270">
        <v>8252.24</v>
      </c>
      <c r="K9" s="276">
        <f t="shared" si="5"/>
        <v>0.76000000000021828</v>
      </c>
      <c r="L9" s="490">
        <f t="shared" si="6"/>
        <v>85003</v>
      </c>
    </row>
    <row r="10" spans="1:12">
      <c r="A10" s="240">
        <v>43313</v>
      </c>
      <c r="B10" s="314">
        <f t="shared" si="0"/>
        <v>6921964</v>
      </c>
      <c r="C10" s="270">
        <v>7001142</v>
      </c>
      <c r="D10" s="392">
        <f t="shared" si="1"/>
        <v>79178</v>
      </c>
      <c r="E10" s="270">
        <v>79179.56</v>
      </c>
      <c r="F10" s="488">
        <f t="shared" si="2"/>
        <v>-1.5599999999976717</v>
      </c>
      <c r="G10" s="489">
        <f t="shared" si="3"/>
        <v>107936</v>
      </c>
      <c r="H10" s="270">
        <v>116730</v>
      </c>
      <c r="I10" s="269">
        <f t="shared" si="4"/>
        <v>8794</v>
      </c>
      <c r="J10" s="270">
        <v>8793.1200000000008</v>
      </c>
      <c r="K10" s="276">
        <f t="shared" si="5"/>
        <v>0.87999999999919964</v>
      </c>
      <c r="L10" s="490">
        <f t="shared" si="6"/>
        <v>87972</v>
      </c>
    </row>
    <row r="11" spans="1:12">
      <c r="A11" s="240">
        <v>43344</v>
      </c>
      <c r="B11" s="314">
        <f t="shared" si="0"/>
        <v>7001142</v>
      </c>
      <c r="C11" s="270">
        <v>7074217</v>
      </c>
      <c r="D11" s="392">
        <f t="shared" si="1"/>
        <v>73075</v>
      </c>
      <c r="E11" s="270">
        <v>73076.960000000006</v>
      </c>
      <c r="F11" s="488">
        <f t="shared" si="2"/>
        <v>-1.9600000000064028</v>
      </c>
      <c r="G11" s="489">
        <f t="shared" si="3"/>
        <v>116730</v>
      </c>
      <c r="H11" s="270">
        <v>127346</v>
      </c>
      <c r="I11" s="269">
        <f t="shared" si="4"/>
        <v>10616</v>
      </c>
      <c r="J11" s="270">
        <v>10615.37</v>
      </c>
      <c r="K11" s="276">
        <f t="shared" si="5"/>
        <v>0.62999999999919964</v>
      </c>
      <c r="L11" s="490">
        <f t="shared" si="6"/>
        <v>83691</v>
      </c>
    </row>
    <row r="12" spans="1:12">
      <c r="A12" s="240">
        <v>43374</v>
      </c>
      <c r="B12" s="314">
        <f t="shared" si="0"/>
        <v>7074217</v>
      </c>
      <c r="C12" s="242">
        <v>7154506</v>
      </c>
      <c r="D12" s="392">
        <f t="shared" si="1"/>
        <v>80289</v>
      </c>
      <c r="E12" s="242">
        <v>80287.839999999997</v>
      </c>
      <c r="F12" s="488">
        <f t="shared" si="2"/>
        <v>1.1600000000034925</v>
      </c>
      <c r="G12" s="489">
        <f t="shared" si="3"/>
        <v>127346</v>
      </c>
      <c r="H12" s="242">
        <v>134840</v>
      </c>
      <c r="I12" s="269">
        <f t="shared" si="4"/>
        <v>7494</v>
      </c>
      <c r="J12" s="242">
        <v>7493.99</v>
      </c>
      <c r="K12" s="276">
        <f t="shared" si="5"/>
        <v>1.0000000000218279E-2</v>
      </c>
      <c r="L12" s="490">
        <f t="shared" si="6"/>
        <v>87783</v>
      </c>
    </row>
    <row r="13" spans="1:12">
      <c r="A13" s="240">
        <v>43405</v>
      </c>
      <c r="B13" s="314">
        <f t="shared" si="0"/>
        <v>7154506</v>
      </c>
      <c r="C13" s="242">
        <v>7225359</v>
      </c>
      <c r="D13" s="392">
        <f t="shared" si="1"/>
        <v>70853</v>
      </c>
      <c r="E13" s="242">
        <v>70852.88</v>
      </c>
      <c r="F13" s="488">
        <f t="shared" si="2"/>
        <v>0.11999999999534339</v>
      </c>
      <c r="G13" s="489">
        <f t="shared" si="3"/>
        <v>134840</v>
      </c>
      <c r="H13" s="242">
        <v>145302</v>
      </c>
      <c r="I13" s="269">
        <f t="shared" si="4"/>
        <v>10462</v>
      </c>
      <c r="J13" s="242">
        <v>10462.700000000001</v>
      </c>
      <c r="K13" s="276">
        <f t="shared" si="5"/>
        <v>-0.7000000000007276</v>
      </c>
      <c r="L13" s="490">
        <f t="shared" si="6"/>
        <v>81315</v>
      </c>
    </row>
    <row r="14" spans="1:12">
      <c r="A14" s="240">
        <v>43435</v>
      </c>
      <c r="B14" s="314">
        <f t="shared" si="0"/>
        <v>7225359</v>
      </c>
      <c r="C14" s="242">
        <v>7296581</v>
      </c>
      <c r="D14" s="392">
        <f t="shared" si="1"/>
        <v>71222</v>
      </c>
      <c r="E14" s="242">
        <v>71221.22</v>
      </c>
      <c r="F14" s="488">
        <f t="shared" si="2"/>
        <v>0.77999999999883585</v>
      </c>
      <c r="G14" s="489">
        <f t="shared" si="3"/>
        <v>145302</v>
      </c>
      <c r="H14" s="242">
        <v>154999</v>
      </c>
      <c r="I14" s="269">
        <f t="shared" si="4"/>
        <v>9697</v>
      </c>
      <c r="J14" s="242">
        <v>9696.7999999999993</v>
      </c>
      <c r="K14" s="276">
        <f t="shared" si="5"/>
        <v>0.2000000000007276</v>
      </c>
      <c r="L14" s="490">
        <f t="shared" si="6"/>
        <v>80919</v>
      </c>
    </row>
    <row r="15" spans="1:12">
      <c r="A15" s="240">
        <v>43466</v>
      </c>
      <c r="B15" s="314">
        <f t="shared" si="0"/>
        <v>7296581</v>
      </c>
      <c r="C15" s="242">
        <v>7366625</v>
      </c>
      <c r="D15" s="392">
        <f t="shared" si="1"/>
        <v>70044</v>
      </c>
      <c r="E15" s="242">
        <v>70042.86</v>
      </c>
      <c r="F15" s="488">
        <f t="shared" si="2"/>
        <v>1.1399999999994179</v>
      </c>
      <c r="G15" s="489">
        <f t="shared" si="3"/>
        <v>154999</v>
      </c>
      <c r="H15" s="242">
        <v>161103</v>
      </c>
      <c r="I15" s="269">
        <f t="shared" si="4"/>
        <v>6104</v>
      </c>
      <c r="J15" s="242">
        <v>6107.32</v>
      </c>
      <c r="K15" s="276">
        <f t="shared" si="5"/>
        <v>-3.319999999999709</v>
      </c>
      <c r="L15" s="490">
        <f t="shared" si="6"/>
        <v>76148</v>
      </c>
    </row>
    <row r="16" spans="1:12">
      <c r="A16" s="240">
        <v>43497</v>
      </c>
      <c r="B16" s="314">
        <f t="shared" si="0"/>
        <v>7366625</v>
      </c>
      <c r="C16" s="242">
        <v>7427612</v>
      </c>
      <c r="D16" s="392">
        <f t="shared" si="1"/>
        <v>60987</v>
      </c>
      <c r="E16" s="242">
        <v>60986.27</v>
      </c>
      <c r="F16" s="488">
        <f t="shared" si="2"/>
        <v>0.73000000000320142</v>
      </c>
      <c r="G16" s="489">
        <f t="shared" si="3"/>
        <v>161103</v>
      </c>
      <c r="H16" s="242">
        <v>167784</v>
      </c>
      <c r="I16" s="269">
        <f t="shared" si="4"/>
        <v>6681</v>
      </c>
      <c r="J16" s="242">
        <v>6681</v>
      </c>
      <c r="K16" s="276">
        <f t="shared" si="5"/>
        <v>0</v>
      </c>
      <c r="L16" s="490">
        <f t="shared" si="6"/>
        <v>67668</v>
      </c>
    </row>
    <row r="17" spans="1:12">
      <c r="A17" s="240">
        <v>43525</v>
      </c>
      <c r="B17" s="314">
        <f t="shared" si="0"/>
        <v>7427612</v>
      </c>
      <c r="C17" s="242">
        <v>7494502</v>
      </c>
      <c r="D17" s="392">
        <f t="shared" si="1"/>
        <v>66890</v>
      </c>
      <c r="E17" s="242">
        <v>66888.649999999994</v>
      </c>
      <c r="F17" s="488">
        <f t="shared" si="2"/>
        <v>1.3500000000058208</v>
      </c>
      <c r="G17" s="489">
        <f t="shared" si="3"/>
        <v>167784</v>
      </c>
      <c r="H17" s="242">
        <v>178453</v>
      </c>
      <c r="I17" s="269">
        <f t="shared" si="4"/>
        <v>10669</v>
      </c>
      <c r="J17" s="242">
        <v>10669.59</v>
      </c>
      <c r="K17" s="276">
        <f t="shared" si="5"/>
        <v>-0.59000000000014552</v>
      </c>
      <c r="L17" s="490">
        <f t="shared" si="6"/>
        <v>77559</v>
      </c>
    </row>
    <row r="18" spans="1:12">
      <c r="A18" s="240">
        <v>43556</v>
      </c>
      <c r="B18" s="314">
        <f t="shared" si="0"/>
        <v>7494502</v>
      </c>
      <c r="C18" s="242">
        <v>7567839</v>
      </c>
      <c r="D18" s="392">
        <f t="shared" si="1"/>
        <v>73337</v>
      </c>
      <c r="E18" s="242">
        <v>73336.570000000007</v>
      </c>
      <c r="F18" s="488">
        <f t="shared" si="2"/>
        <v>0.42999999999301508</v>
      </c>
      <c r="G18" s="489">
        <f t="shared" si="3"/>
        <v>178453</v>
      </c>
      <c r="H18" s="242">
        <v>185868</v>
      </c>
      <c r="I18" s="269">
        <f t="shared" si="4"/>
        <v>7415</v>
      </c>
      <c r="J18" s="242">
        <v>7415.91</v>
      </c>
      <c r="K18" s="276">
        <f t="shared" si="5"/>
        <v>-0.90999999999985448</v>
      </c>
      <c r="L18" s="490">
        <f t="shared" si="6"/>
        <v>80752</v>
      </c>
    </row>
    <row r="19" spans="1:12">
      <c r="A19" s="240">
        <v>43586</v>
      </c>
      <c r="B19" s="314">
        <f t="shared" si="0"/>
        <v>7567839</v>
      </c>
      <c r="C19" s="242">
        <v>7635177</v>
      </c>
      <c r="D19" s="392">
        <f t="shared" si="1"/>
        <v>67338</v>
      </c>
      <c r="E19" s="242">
        <v>67338.48</v>
      </c>
      <c r="F19" s="488">
        <f t="shared" si="2"/>
        <v>-0.47999999999592546</v>
      </c>
      <c r="G19" s="489">
        <f t="shared" si="3"/>
        <v>185868</v>
      </c>
      <c r="H19" s="242">
        <v>191580</v>
      </c>
      <c r="I19" s="269">
        <f t="shared" si="4"/>
        <v>5712</v>
      </c>
      <c r="J19" s="242">
        <v>5711.08</v>
      </c>
      <c r="K19" s="276">
        <f t="shared" si="5"/>
        <v>0.92000000000007276</v>
      </c>
      <c r="L19" s="490">
        <f t="shared" si="6"/>
        <v>73050</v>
      </c>
    </row>
    <row r="20" spans="1:12">
      <c r="A20" s="240">
        <v>43617</v>
      </c>
      <c r="B20" s="314">
        <f t="shared" si="0"/>
        <v>7635177</v>
      </c>
      <c r="C20" s="242">
        <v>7705814</v>
      </c>
      <c r="D20" s="392">
        <f t="shared" si="1"/>
        <v>70637</v>
      </c>
      <c r="E20" s="242">
        <v>70631.199999999997</v>
      </c>
      <c r="F20" s="488">
        <f>D20-E20</f>
        <v>5.8000000000029104</v>
      </c>
      <c r="G20" s="489">
        <f t="shared" si="3"/>
        <v>191580</v>
      </c>
      <c r="H20" s="242">
        <v>198910</v>
      </c>
      <c r="I20" s="269">
        <f t="shared" si="4"/>
        <v>7330</v>
      </c>
      <c r="J20" s="242">
        <v>7352.54</v>
      </c>
      <c r="K20" s="276">
        <f t="shared" si="5"/>
        <v>-22.539999999999964</v>
      </c>
      <c r="L20" s="490">
        <f t="shared" si="6"/>
        <v>77967</v>
      </c>
    </row>
    <row r="21" spans="1:12">
      <c r="A21" s="240">
        <v>43647</v>
      </c>
      <c r="B21" s="314">
        <f t="shared" si="0"/>
        <v>7705814</v>
      </c>
      <c r="C21" s="242">
        <v>7789265</v>
      </c>
      <c r="D21" s="392">
        <f t="shared" si="1"/>
        <v>83451</v>
      </c>
      <c r="E21" s="242">
        <v>83450.259999999995</v>
      </c>
      <c r="F21" s="488">
        <f t="shared" si="2"/>
        <v>0.74000000000523869</v>
      </c>
      <c r="G21" s="489">
        <f t="shared" si="3"/>
        <v>198910</v>
      </c>
      <c r="H21" s="242">
        <v>208208</v>
      </c>
      <c r="I21" s="269">
        <f t="shared" si="4"/>
        <v>9298</v>
      </c>
      <c r="J21" s="242">
        <v>8921.51</v>
      </c>
      <c r="K21" s="276">
        <f t="shared" si="5"/>
        <v>376.48999999999978</v>
      </c>
      <c r="L21" s="490">
        <f t="shared" si="6"/>
        <v>92749</v>
      </c>
    </row>
    <row r="22" spans="1:12">
      <c r="A22" s="240">
        <v>43678</v>
      </c>
      <c r="B22" s="314">
        <f t="shared" si="0"/>
        <v>7789265</v>
      </c>
      <c r="C22" s="242">
        <v>7867728</v>
      </c>
      <c r="D22" s="392">
        <f t="shared" si="1"/>
        <v>78463</v>
      </c>
      <c r="E22" s="242">
        <v>78463.600000000006</v>
      </c>
      <c r="F22" s="488">
        <f>D22-E22</f>
        <v>-0.60000000000582077</v>
      </c>
      <c r="G22" s="489">
        <f t="shared" si="3"/>
        <v>208208</v>
      </c>
      <c r="H22" s="242">
        <v>216205</v>
      </c>
      <c r="I22" s="269">
        <f t="shared" si="4"/>
        <v>7997</v>
      </c>
      <c r="J22" s="242">
        <v>7870.33</v>
      </c>
      <c r="K22" s="276">
        <f t="shared" si="5"/>
        <v>126.67000000000007</v>
      </c>
      <c r="L22" s="490">
        <f t="shared" si="6"/>
        <v>86460</v>
      </c>
    </row>
    <row r="23" spans="1:12">
      <c r="A23" s="240">
        <v>43709</v>
      </c>
      <c r="B23" s="314">
        <f t="shared" si="0"/>
        <v>7867728</v>
      </c>
      <c r="C23" s="242">
        <v>7937278</v>
      </c>
      <c r="D23" s="392">
        <f t="shared" si="1"/>
        <v>69550</v>
      </c>
      <c r="E23" s="242">
        <v>69549.31</v>
      </c>
      <c r="F23" s="488">
        <f t="shared" si="2"/>
        <v>0.69000000000232831</v>
      </c>
      <c r="G23" s="489">
        <f t="shared" si="3"/>
        <v>216205</v>
      </c>
      <c r="H23" s="242">
        <v>223195</v>
      </c>
      <c r="I23" s="269">
        <f t="shared" si="4"/>
        <v>6990</v>
      </c>
      <c r="J23" s="242">
        <v>6989.22</v>
      </c>
      <c r="K23" s="276">
        <f t="shared" si="5"/>
        <v>0.77999999999974534</v>
      </c>
      <c r="L23" s="490">
        <f t="shared" si="6"/>
        <v>76540</v>
      </c>
    </row>
    <row r="24" spans="1:12">
      <c r="A24" s="240">
        <v>43739</v>
      </c>
      <c r="B24" s="314">
        <f t="shared" si="0"/>
        <v>7937278</v>
      </c>
      <c r="C24" s="242">
        <v>8009185</v>
      </c>
      <c r="D24" s="392">
        <f t="shared" si="1"/>
        <v>71907</v>
      </c>
      <c r="E24" s="242">
        <v>71906.240000000005</v>
      </c>
      <c r="F24" s="488">
        <f t="shared" si="2"/>
        <v>0.75999999999476131</v>
      </c>
      <c r="G24" s="489">
        <f t="shared" si="3"/>
        <v>223195</v>
      </c>
      <c r="H24" s="242">
        <v>229902</v>
      </c>
      <c r="I24" s="269">
        <f t="shared" si="4"/>
        <v>6707</v>
      </c>
      <c r="J24" s="242">
        <v>6706</v>
      </c>
      <c r="K24" s="276">
        <f t="shared" si="5"/>
        <v>1</v>
      </c>
      <c r="L24" s="490">
        <f t="shared" si="6"/>
        <v>78614</v>
      </c>
    </row>
    <row r="25" spans="1:12">
      <c r="A25" s="240">
        <v>43770</v>
      </c>
      <c r="B25" s="314">
        <f t="shared" si="0"/>
        <v>8009185</v>
      </c>
      <c r="C25" s="242">
        <v>8069975</v>
      </c>
      <c r="D25" s="392">
        <f t="shared" si="1"/>
        <v>60790</v>
      </c>
      <c r="E25" s="242">
        <v>60788.44</v>
      </c>
      <c r="F25" s="488">
        <f t="shared" si="2"/>
        <v>1.5599999999976717</v>
      </c>
      <c r="G25" s="489">
        <f t="shared" si="3"/>
        <v>229902</v>
      </c>
      <c r="H25" s="242">
        <v>235486</v>
      </c>
      <c r="I25" s="269">
        <f t="shared" si="4"/>
        <v>5584</v>
      </c>
      <c r="J25" s="242">
        <v>5584</v>
      </c>
      <c r="K25" s="276">
        <f t="shared" si="5"/>
        <v>0</v>
      </c>
      <c r="L25" s="490">
        <f t="shared" si="6"/>
        <v>66374</v>
      </c>
    </row>
    <row r="26" spans="1:12">
      <c r="A26" s="240">
        <v>43800</v>
      </c>
      <c r="B26" s="314">
        <f t="shared" si="0"/>
        <v>8069975</v>
      </c>
      <c r="C26" s="270">
        <v>8133966</v>
      </c>
      <c r="D26" s="392">
        <f t="shared" si="1"/>
        <v>63991</v>
      </c>
      <c r="E26" s="270">
        <v>63990.63</v>
      </c>
      <c r="F26" s="488">
        <f t="shared" si="2"/>
        <v>0.37000000000261934</v>
      </c>
      <c r="G26" s="489">
        <f t="shared" si="3"/>
        <v>235486</v>
      </c>
      <c r="H26" s="270">
        <v>245835</v>
      </c>
      <c r="I26" s="269">
        <f t="shared" si="4"/>
        <v>10349</v>
      </c>
      <c r="J26" s="270">
        <v>10348.06</v>
      </c>
      <c r="K26" s="276">
        <f t="shared" si="5"/>
        <v>0.94000000000050932</v>
      </c>
      <c r="L26" s="490">
        <f t="shared" si="6"/>
        <v>74340</v>
      </c>
    </row>
    <row r="27" spans="1:12">
      <c r="A27" s="240">
        <v>43831</v>
      </c>
      <c r="B27" s="314">
        <f t="shared" si="0"/>
        <v>8133966</v>
      </c>
      <c r="C27" s="242">
        <v>8200024</v>
      </c>
      <c r="D27" s="392">
        <f t="shared" si="1"/>
        <v>66058</v>
      </c>
      <c r="E27" s="242">
        <v>66057.75</v>
      </c>
      <c r="F27" s="488">
        <f t="shared" si="2"/>
        <v>0.25</v>
      </c>
      <c r="G27" s="489">
        <f t="shared" si="3"/>
        <v>245835</v>
      </c>
      <c r="H27" s="242">
        <v>253278</v>
      </c>
      <c r="I27" s="269">
        <f t="shared" si="4"/>
        <v>7443</v>
      </c>
      <c r="J27" s="242">
        <v>7443.22</v>
      </c>
      <c r="K27" s="276">
        <f t="shared" si="5"/>
        <v>-0.22000000000025466</v>
      </c>
      <c r="L27" s="490">
        <f t="shared" si="6"/>
        <v>73501</v>
      </c>
    </row>
    <row r="28" spans="1:12">
      <c r="A28" s="240">
        <v>43862</v>
      </c>
      <c r="B28" s="314">
        <f t="shared" si="0"/>
        <v>8200024</v>
      </c>
      <c r="C28" s="242">
        <v>8265856</v>
      </c>
      <c r="D28" s="392">
        <f t="shared" si="1"/>
        <v>65832</v>
      </c>
      <c r="E28" s="242">
        <v>65831.210000000006</v>
      </c>
      <c r="F28" s="488">
        <f t="shared" si="2"/>
        <v>0.78999999999359716</v>
      </c>
      <c r="G28" s="489">
        <f t="shared" si="3"/>
        <v>253278</v>
      </c>
      <c r="H28" s="242">
        <v>259127</v>
      </c>
      <c r="I28" s="269">
        <f t="shared" si="4"/>
        <v>5849</v>
      </c>
      <c r="J28" s="242">
        <v>5848.37</v>
      </c>
      <c r="K28" s="276">
        <f t="shared" si="5"/>
        <v>0.63000000000010914</v>
      </c>
      <c r="L28" s="490">
        <f t="shared" si="6"/>
        <v>71681</v>
      </c>
    </row>
    <row r="29" spans="1:12">
      <c r="A29" s="240">
        <v>43891</v>
      </c>
      <c r="B29" s="314">
        <f t="shared" si="0"/>
        <v>8265856</v>
      </c>
      <c r="C29" s="242">
        <v>8316467</v>
      </c>
      <c r="D29" s="392">
        <f t="shared" si="1"/>
        <v>50611</v>
      </c>
      <c r="E29" s="242">
        <v>50610.58</v>
      </c>
      <c r="F29" s="488">
        <f t="shared" si="2"/>
        <v>0.41999999999825377</v>
      </c>
      <c r="G29" s="489">
        <f t="shared" si="3"/>
        <v>259127</v>
      </c>
      <c r="H29" s="242">
        <v>262770</v>
      </c>
      <c r="I29" s="269">
        <f t="shared" si="4"/>
        <v>3643</v>
      </c>
      <c r="J29" s="242">
        <v>3643.28</v>
      </c>
      <c r="K29" s="276">
        <f t="shared" si="5"/>
        <v>-0.28000000000020009</v>
      </c>
      <c r="L29" s="490">
        <f t="shared" si="6"/>
        <v>54254</v>
      </c>
    </row>
    <row r="30" spans="1:12">
      <c r="A30" s="240">
        <v>43922</v>
      </c>
      <c r="B30" s="314">
        <f t="shared" si="0"/>
        <v>8316467</v>
      </c>
      <c r="C30" s="270">
        <v>8339290</v>
      </c>
      <c r="D30" s="392">
        <f t="shared" si="1"/>
        <v>22823</v>
      </c>
      <c r="E30" s="270">
        <v>22822.77</v>
      </c>
      <c r="F30" s="488">
        <f t="shared" si="2"/>
        <v>0.22999999999956344</v>
      </c>
      <c r="G30" s="489">
        <f t="shared" si="3"/>
        <v>262770</v>
      </c>
      <c r="H30" s="270">
        <v>264628</v>
      </c>
      <c r="I30" s="269">
        <f t="shared" si="4"/>
        <v>1858</v>
      </c>
      <c r="J30" s="270">
        <v>1858.41</v>
      </c>
      <c r="K30" s="276">
        <f t="shared" si="5"/>
        <v>-0.41000000000008185</v>
      </c>
      <c r="L30" s="490">
        <f t="shared" si="6"/>
        <v>24681</v>
      </c>
    </row>
    <row r="31" spans="1:12">
      <c r="A31" s="240">
        <v>43952</v>
      </c>
      <c r="B31" s="314">
        <f t="shared" si="0"/>
        <v>8339290</v>
      </c>
      <c r="C31" s="242">
        <v>8359648</v>
      </c>
      <c r="D31" s="392">
        <f t="shared" si="1"/>
        <v>20358</v>
      </c>
      <c r="E31" s="242">
        <v>20357.990000000002</v>
      </c>
      <c r="F31" s="488">
        <f t="shared" si="2"/>
        <v>9.9999999983992893E-3</v>
      </c>
      <c r="G31" s="489">
        <f t="shared" si="3"/>
        <v>264628</v>
      </c>
      <c r="H31" s="242">
        <v>265578</v>
      </c>
      <c r="I31" s="269">
        <f t="shared" si="4"/>
        <v>950</v>
      </c>
      <c r="J31" s="242">
        <v>949.76</v>
      </c>
      <c r="K31" s="276">
        <f t="shared" si="5"/>
        <v>0.24000000000000909</v>
      </c>
      <c r="L31" s="490">
        <f t="shared" si="6"/>
        <v>21308</v>
      </c>
    </row>
    <row r="32" spans="1:12">
      <c r="A32" s="240">
        <v>43983</v>
      </c>
      <c r="B32" s="314">
        <f t="shared" si="0"/>
        <v>8359648</v>
      </c>
      <c r="C32" s="242">
        <v>8379633</v>
      </c>
      <c r="D32" s="392">
        <f t="shared" si="1"/>
        <v>19985</v>
      </c>
      <c r="E32" s="242">
        <v>19986.830000000002</v>
      </c>
      <c r="F32" s="488">
        <f t="shared" si="2"/>
        <v>-1.8300000000017462</v>
      </c>
      <c r="G32" s="489">
        <f t="shared" si="3"/>
        <v>265578</v>
      </c>
      <c r="H32" s="242">
        <v>266245</v>
      </c>
      <c r="I32" s="269">
        <f t="shared" si="4"/>
        <v>667</v>
      </c>
      <c r="J32" s="242">
        <v>667.51</v>
      </c>
      <c r="K32" s="276">
        <f t="shared" si="5"/>
        <v>-0.50999999999999091</v>
      </c>
      <c r="L32" s="490">
        <f t="shared" si="6"/>
        <v>20652</v>
      </c>
    </row>
    <row r="33" spans="1:12">
      <c r="A33" s="240">
        <v>44013</v>
      </c>
      <c r="B33" s="314">
        <f t="shared" si="0"/>
        <v>8379633</v>
      </c>
      <c r="C33" s="242">
        <v>8401424</v>
      </c>
      <c r="D33" s="392">
        <f t="shared" si="1"/>
        <v>21791</v>
      </c>
      <c r="E33" s="242">
        <v>21791.54</v>
      </c>
      <c r="F33" s="488">
        <f t="shared" si="2"/>
        <v>-0.54000000000087311</v>
      </c>
      <c r="G33" s="489">
        <f t="shared" si="3"/>
        <v>266245</v>
      </c>
      <c r="H33" s="242">
        <v>267428</v>
      </c>
      <c r="I33" s="269">
        <f t="shared" si="4"/>
        <v>1183</v>
      </c>
      <c r="J33" s="242">
        <v>1182.19</v>
      </c>
      <c r="K33" s="276">
        <f t="shared" si="5"/>
        <v>0.80999999999994543</v>
      </c>
      <c r="L33" s="490">
        <f t="shared" si="6"/>
        <v>22974</v>
      </c>
    </row>
    <row r="34" spans="1:12">
      <c r="A34" s="240">
        <v>44044</v>
      </c>
      <c r="B34" s="314">
        <f t="shared" si="0"/>
        <v>8401424</v>
      </c>
      <c r="C34" s="270">
        <v>8425982</v>
      </c>
      <c r="D34" s="392">
        <f t="shared" si="1"/>
        <v>24558</v>
      </c>
      <c r="E34" s="270">
        <v>24556.98</v>
      </c>
      <c r="F34" s="488">
        <f t="shared" si="2"/>
        <v>1.0200000000004366</v>
      </c>
      <c r="G34" s="489">
        <f t="shared" si="3"/>
        <v>267428</v>
      </c>
      <c r="H34" s="270">
        <v>268712</v>
      </c>
      <c r="I34" s="269">
        <f t="shared" si="4"/>
        <v>1284</v>
      </c>
      <c r="J34" s="270">
        <v>1284.27</v>
      </c>
      <c r="K34" s="276">
        <f t="shared" si="5"/>
        <v>-0.26999999999998181</v>
      </c>
      <c r="L34" s="490">
        <f t="shared" si="6"/>
        <v>25842</v>
      </c>
    </row>
    <row r="35" spans="1:12">
      <c r="A35" s="240">
        <v>44075</v>
      </c>
      <c r="B35" s="314">
        <f t="shared" si="0"/>
        <v>8425982</v>
      </c>
      <c r="C35" s="270">
        <v>8454371</v>
      </c>
      <c r="D35" s="392">
        <f t="shared" si="1"/>
        <v>28389</v>
      </c>
      <c r="E35" s="270">
        <v>28390.560000000001</v>
      </c>
      <c r="F35" s="488">
        <f t="shared" si="2"/>
        <v>-1.5600000000013097</v>
      </c>
      <c r="G35" s="489">
        <f t="shared" si="3"/>
        <v>268712</v>
      </c>
      <c r="H35" s="242">
        <v>270861</v>
      </c>
      <c r="I35" s="269">
        <f t="shared" si="4"/>
        <v>2149</v>
      </c>
      <c r="J35" s="242">
        <v>2149.25</v>
      </c>
      <c r="K35" s="276">
        <f t="shared" si="5"/>
        <v>-0.25</v>
      </c>
      <c r="L35" s="490">
        <f t="shared" si="6"/>
        <v>30538</v>
      </c>
    </row>
    <row r="36" spans="1:12">
      <c r="A36" s="240">
        <v>44105</v>
      </c>
      <c r="B36" s="314">
        <f t="shared" si="0"/>
        <v>8454371</v>
      </c>
      <c r="C36" s="792">
        <v>8470098</v>
      </c>
      <c r="D36" s="392">
        <f t="shared" si="1"/>
        <v>15727</v>
      </c>
      <c r="E36" s="792">
        <v>15726.66</v>
      </c>
      <c r="F36" s="488">
        <f t="shared" si="2"/>
        <v>0.34000000000014552</v>
      </c>
      <c r="G36" s="489">
        <f t="shared" si="3"/>
        <v>270861</v>
      </c>
      <c r="H36" s="792">
        <v>271447</v>
      </c>
      <c r="I36" s="269">
        <f t="shared" si="4"/>
        <v>586</v>
      </c>
      <c r="J36" s="792">
        <v>585.84</v>
      </c>
      <c r="K36" s="276">
        <f t="shared" si="5"/>
        <v>0.15999999999996817</v>
      </c>
      <c r="L36" s="490">
        <f t="shared" si="6"/>
        <v>16313</v>
      </c>
    </row>
    <row r="37" spans="1:12">
      <c r="A37" s="240">
        <v>44136</v>
      </c>
      <c r="B37" s="314">
        <f t="shared" si="0"/>
        <v>8470098</v>
      </c>
      <c r="C37" s="242"/>
      <c r="D37" s="392">
        <f t="shared" si="1"/>
        <v>-8470098</v>
      </c>
      <c r="E37" s="242"/>
      <c r="F37" s="488">
        <f t="shared" si="2"/>
        <v>-8470098</v>
      </c>
      <c r="G37" s="489">
        <f t="shared" si="3"/>
        <v>271447</v>
      </c>
      <c r="H37" s="242"/>
      <c r="I37" s="269">
        <f t="shared" si="4"/>
        <v>-271447</v>
      </c>
      <c r="J37" s="242"/>
      <c r="K37" s="276">
        <f t="shared" si="5"/>
        <v>-271447</v>
      </c>
      <c r="L37" s="490">
        <f t="shared" si="6"/>
        <v>-8741545</v>
      </c>
    </row>
    <row r="38" spans="1:12">
      <c r="A38" s="240">
        <v>44166</v>
      </c>
      <c r="B38" s="314">
        <f t="shared" si="0"/>
        <v>0</v>
      </c>
      <c r="C38" s="242"/>
      <c r="D38" s="392">
        <f t="shared" si="1"/>
        <v>0</v>
      </c>
      <c r="E38" s="242"/>
      <c r="F38" s="488">
        <f t="shared" si="2"/>
        <v>0</v>
      </c>
      <c r="G38" s="489">
        <f t="shared" si="3"/>
        <v>0</v>
      </c>
      <c r="H38" s="242"/>
      <c r="I38" s="269">
        <f t="shared" si="4"/>
        <v>0</v>
      </c>
      <c r="J38" s="242"/>
      <c r="K38" s="276">
        <f t="shared" si="5"/>
        <v>0</v>
      </c>
      <c r="L38" s="490">
        <f t="shared" si="6"/>
        <v>0</v>
      </c>
    </row>
    <row r="39" spans="1:12">
      <c r="A39" s="240">
        <v>44197</v>
      </c>
      <c r="B39" s="314">
        <f t="shared" si="0"/>
        <v>0</v>
      </c>
      <c r="C39" s="242"/>
      <c r="D39" s="392">
        <f t="shared" si="1"/>
        <v>0</v>
      </c>
      <c r="E39" s="242"/>
      <c r="F39" s="488">
        <f t="shared" si="2"/>
        <v>0</v>
      </c>
      <c r="G39" s="489">
        <f t="shared" si="3"/>
        <v>0</v>
      </c>
      <c r="H39" s="242"/>
      <c r="I39" s="269">
        <f t="shared" si="4"/>
        <v>0</v>
      </c>
      <c r="J39" s="242"/>
      <c r="K39" s="276">
        <f t="shared" si="5"/>
        <v>0</v>
      </c>
      <c r="L39" s="490">
        <f t="shared" si="6"/>
        <v>0</v>
      </c>
    </row>
    <row r="40" spans="1:12">
      <c r="A40" s="240">
        <v>44228</v>
      </c>
      <c r="B40" s="314">
        <f t="shared" si="0"/>
        <v>0</v>
      </c>
      <c r="C40" s="242"/>
      <c r="D40" s="392">
        <f t="shared" si="1"/>
        <v>0</v>
      </c>
      <c r="E40" s="242"/>
      <c r="F40" s="488">
        <f t="shared" si="2"/>
        <v>0</v>
      </c>
      <c r="G40" s="489">
        <f t="shared" si="3"/>
        <v>0</v>
      </c>
      <c r="H40" s="242"/>
      <c r="I40" s="269">
        <f t="shared" si="4"/>
        <v>0</v>
      </c>
      <c r="J40" s="242"/>
      <c r="K40" s="276">
        <f t="shared" si="5"/>
        <v>0</v>
      </c>
      <c r="L40" s="490">
        <f t="shared" si="6"/>
        <v>0</v>
      </c>
    </row>
    <row r="41" spans="1:12">
      <c r="A41" s="240">
        <v>44256</v>
      </c>
      <c r="B41" s="314">
        <f t="shared" si="0"/>
        <v>0</v>
      </c>
      <c r="C41" s="242"/>
      <c r="D41" s="392">
        <f t="shared" si="1"/>
        <v>0</v>
      </c>
      <c r="E41" s="242"/>
      <c r="F41" s="488">
        <f t="shared" si="2"/>
        <v>0</v>
      </c>
      <c r="G41" s="489">
        <f t="shared" si="3"/>
        <v>0</v>
      </c>
      <c r="H41" s="242"/>
      <c r="I41" s="269">
        <f t="shared" si="4"/>
        <v>0</v>
      </c>
      <c r="J41" s="242"/>
      <c r="K41" s="276">
        <f t="shared" si="5"/>
        <v>0</v>
      </c>
      <c r="L41" s="490">
        <f t="shared" si="6"/>
        <v>0</v>
      </c>
    </row>
    <row r="42" spans="1:12">
      <c r="A42" s="240">
        <v>44287</v>
      </c>
      <c r="B42" s="314">
        <f t="shared" si="0"/>
        <v>0</v>
      </c>
      <c r="C42" s="242"/>
      <c r="D42" s="392">
        <f t="shared" si="1"/>
        <v>0</v>
      </c>
      <c r="E42" s="242"/>
      <c r="F42" s="488">
        <f t="shared" si="2"/>
        <v>0</v>
      </c>
      <c r="G42" s="489">
        <f t="shared" si="3"/>
        <v>0</v>
      </c>
      <c r="H42" s="242"/>
      <c r="I42" s="269">
        <f t="shared" si="4"/>
        <v>0</v>
      </c>
      <c r="J42" s="242"/>
      <c r="K42" s="276">
        <f t="shared" si="5"/>
        <v>0</v>
      </c>
      <c r="L42" s="490">
        <f t="shared" si="6"/>
        <v>0</v>
      </c>
    </row>
    <row r="43" spans="1:12">
      <c r="A43" s="240">
        <v>44317</v>
      </c>
      <c r="B43" s="314">
        <f t="shared" si="0"/>
        <v>0</v>
      </c>
      <c r="C43" s="242"/>
      <c r="D43" s="392">
        <f t="shared" si="1"/>
        <v>0</v>
      </c>
      <c r="E43" s="242"/>
      <c r="F43" s="488">
        <f t="shared" si="2"/>
        <v>0</v>
      </c>
      <c r="G43" s="489">
        <f t="shared" si="3"/>
        <v>0</v>
      </c>
      <c r="H43" s="242"/>
      <c r="I43" s="269">
        <f t="shared" si="4"/>
        <v>0</v>
      </c>
      <c r="J43" s="242"/>
      <c r="K43" s="276">
        <f t="shared" si="5"/>
        <v>0</v>
      </c>
      <c r="L43" s="490">
        <f t="shared" si="6"/>
        <v>0</v>
      </c>
    </row>
    <row r="44" spans="1:12">
      <c r="A44" s="240">
        <v>44348</v>
      </c>
      <c r="B44" s="314">
        <f t="shared" si="0"/>
        <v>0</v>
      </c>
      <c r="C44" s="242"/>
      <c r="D44" s="392">
        <f t="shared" si="1"/>
        <v>0</v>
      </c>
      <c r="E44" s="242"/>
      <c r="F44" s="488">
        <f t="shared" si="2"/>
        <v>0</v>
      </c>
      <c r="G44" s="489">
        <f t="shared" si="3"/>
        <v>0</v>
      </c>
      <c r="H44" s="242"/>
      <c r="I44" s="269">
        <f t="shared" si="4"/>
        <v>0</v>
      </c>
      <c r="J44" s="242"/>
      <c r="K44" s="276">
        <f t="shared" si="5"/>
        <v>0</v>
      </c>
      <c r="L44" s="490">
        <f t="shared" si="6"/>
        <v>0</v>
      </c>
    </row>
    <row r="45" spans="1:12">
      <c r="A45" s="240">
        <v>44378</v>
      </c>
      <c r="B45" s="314">
        <f t="shared" si="0"/>
        <v>0</v>
      </c>
      <c r="C45" s="242"/>
      <c r="D45" s="392">
        <f t="shared" si="1"/>
        <v>0</v>
      </c>
      <c r="E45" s="242"/>
      <c r="F45" s="488">
        <f t="shared" si="2"/>
        <v>0</v>
      </c>
      <c r="G45" s="489">
        <f t="shared" si="3"/>
        <v>0</v>
      </c>
      <c r="H45" s="242"/>
      <c r="I45" s="269">
        <f t="shared" si="4"/>
        <v>0</v>
      </c>
      <c r="J45" s="242"/>
      <c r="K45" s="276">
        <f t="shared" si="5"/>
        <v>0</v>
      </c>
      <c r="L45" s="490">
        <f t="shared" si="6"/>
        <v>0</v>
      </c>
    </row>
    <row r="46" spans="1:12">
      <c r="A46" s="240">
        <v>44409</v>
      </c>
      <c r="B46" s="314">
        <f t="shared" si="0"/>
        <v>0</v>
      </c>
      <c r="C46" s="242"/>
      <c r="D46" s="392">
        <f t="shared" si="1"/>
        <v>0</v>
      </c>
      <c r="E46" s="242"/>
      <c r="F46" s="488">
        <f t="shared" si="2"/>
        <v>0</v>
      </c>
      <c r="G46" s="489">
        <f t="shared" si="3"/>
        <v>0</v>
      </c>
      <c r="H46" s="242"/>
      <c r="I46" s="269">
        <f t="shared" si="4"/>
        <v>0</v>
      </c>
      <c r="J46" s="242"/>
      <c r="K46" s="276">
        <f t="shared" si="5"/>
        <v>0</v>
      </c>
      <c r="L46" s="490">
        <f t="shared" si="6"/>
        <v>0</v>
      </c>
    </row>
    <row r="47" spans="1:12">
      <c r="A47" s="240">
        <v>44440</v>
      </c>
      <c r="B47" s="314">
        <f t="shared" si="0"/>
        <v>0</v>
      </c>
      <c r="C47" s="242"/>
      <c r="D47" s="392">
        <f t="shared" si="1"/>
        <v>0</v>
      </c>
      <c r="E47" s="242"/>
      <c r="F47" s="488">
        <f t="shared" si="2"/>
        <v>0</v>
      </c>
      <c r="G47" s="489">
        <f t="shared" si="3"/>
        <v>0</v>
      </c>
      <c r="H47" s="242"/>
      <c r="I47" s="269">
        <f t="shared" si="4"/>
        <v>0</v>
      </c>
      <c r="J47" s="242"/>
      <c r="K47" s="276">
        <f t="shared" si="5"/>
        <v>0</v>
      </c>
      <c r="L47" s="490">
        <f t="shared" si="6"/>
        <v>0</v>
      </c>
    </row>
    <row r="48" spans="1:12">
      <c r="A48" s="240">
        <v>44470</v>
      </c>
      <c r="B48" s="314">
        <f t="shared" si="0"/>
        <v>0</v>
      </c>
      <c r="C48" s="242"/>
      <c r="D48" s="392">
        <f t="shared" si="1"/>
        <v>0</v>
      </c>
      <c r="E48" s="242"/>
      <c r="F48" s="488">
        <f t="shared" si="2"/>
        <v>0</v>
      </c>
      <c r="G48" s="489">
        <f t="shared" si="3"/>
        <v>0</v>
      </c>
      <c r="H48" s="242"/>
      <c r="I48" s="269">
        <f t="shared" si="4"/>
        <v>0</v>
      </c>
      <c r="J48" s="242"/>
      <c r="K48" s="276">
        <f t="shared" si="5"/>
        <v>0</v>
      </c>
      <c r="L48" s="490">
        <f t="shared" si="6"/>
        <v>0</v>
      </c>
    </row>
    <row r="49" spans="1:12">
      <c r="A49" s="240">
        <v>44501</v>
      </c>
      <c r="B49" s="314">
        <f t="shared" si="0"/>
        <v>0</v>
      </c>
      <c r="C49" s="242"/>
      <c r="D49" s="392">
        <f t="shared" si="1"/>
        <v>0</v>
      </c>
      <c r="E49" s="242"/>
      <c r="F49" s="488">
        <f t="shared" si="2"/>
        <v>0</v>
      </c>
      <c r="G49" s="489">
        <f t="shared" si="3"/>
        <v>0</v>
      </c>
      <c r="H49" s="242"/>
      <c r="I49" s="269">
        <f t="shared" si="4"/>
        <v>0</v>
      </c>
      <c r="J49" s="242"/>
      <c r="K49" s="276">
        <f t="shared" si="5"/>
        <v>0</v>
      </c>
      <c r="L49" s="490">
        <f t="shared" si="6"/>
        <v>0</v>
      </c>
    </row>
    <row r="50" spans="1:12">
      <c r="A50" s="240">
        <v>44531</v>
      </c>
      <c r="B50" s="314">
        <f t="shared" si="0"/>
        <v>0</v>
      </c>
      <c r="C50" s="242"/>
      <c r="D50" s="392">
        <f t="shared" si="1"/>
        <v>0</v>
      </c>
      <c r="E50" s="242"/>
      <c r="F50" s="488">
        <f t="shared" si="2"/>
        <v>0</v>
      </c>
      <c r="G50" s="489">
        <f t="shared" si="3"/>
        <v>0</v>
      </c>
      <c r="H50" s="242"/>
      <c r="I50" s="269">
        <f t="shared" si="4"/>
        <v>0</v>
      </c>
      <c r="J50" s="242"/>
      <c r="K50" s="276">
        <f t="shared" si="5"/>
        <v>0</v>
      </c>
      <c r="L50" s="490">
        <f t="shared" si="6"/>
        <v>0</v>
      </c>
    </row>
    <row r="51" spans="1:12">
      <c r="A51" s="240">
        <v>44562</v>
      </c>
      <c r="B51" s="314">
        <f t="shared" si="0"/>
        <v>0</v>
      </c>
      <c r="C51" s="242"/>
      <c r="D51" s="392">
        <f t="shared" si="1"/>
        <v>0</v>
      </c>
      <c r="E51" s="242"/>
      <c r="F51" s="488">
        <f t="shared" si="2"/>
        <v>0</v>
      </c>
      <c r="G51" s="489">
        <f t="shared" si="3"/>
        <v>0</v>
      </c>
      <c r="H51" s="242"/>
      <c r="I51" s="269">
        <f t="shared" si="4"/>
        <v>0</v>
      </c>
      <c r="J51" s="242"/>
      <c r="K51" s="276">
        <f t="shared" si="5"/>
        <v>0</v>
      </c>
      <c r="L51" s="490">
        <f t="shared" si="6"/>
        <v>0</v>
      </c>
    </row>
    <row r="52" spans="1:12">
      <c r="A52" s="240">
        <v>44593</v>
      </c>
      <c r="B52" s="314">
        <f t="shared" si="0"/>
        <v>0</v>
      </c>
      <c r="C52" s="242"/>
      <c r="D52" s="392">
        <f t="shared" si="1"/>
        <v>0</v>
      </c>
      <c r="E52" s="242"/>
      <c r="F52" s="488">
        <f t="shared" si="2"/>
        <v>0</v>
      </c>
      <c r="G52" s="489">
        <f t="shared" si="3"/>
        <v>0</v>
      </c>
      <c r="H52" s="242"/>
      <c r="I52" s="269">
        <f t="shared" si="4"/>
        <v>0</v>
      </c>
      <c r="J52" s="242"/>
      <c r="K52" s="276">
        <f t="shared" si="5"/>
        <v>0</v>
      </c>
      <c r="L52" s="490">
        <f t="shared" si="6"/>
        <v>0</v>
      </c>
    </row>
    <row r="53" spans="1:12">
      <c r="A53" s="240">
        <v>44621</v>
      </c>
      <c r="B53" s="314">
        <f t="shared" si="0"/>
        <v>0</v>
      </c>
      <c r="C53" s="242"/>
      <c r="D53" s="392">
        <f t="shared" si="1"/>
        <v>0</v>
      </c>
      <c r="E53" s="242"/>
      <c r="F53" s="488">
        <f t="shared" si="2"/>
        <v>0</v>
      </c>
      <c r="G53" s="489">
        <f t="shared" si="3"/>
        <v>0</v>
      </c>
      <c r="H53" s="242"/>
      <c r="I53" s="269">
        <f t="shared" si="4"/>
        <v>0</v>
      </c>
      <c r="J53" s="242"/>
      <c r="K53" s="276">
        <f t="shared" si="5"/>
        <v>0</v>
      </c>
      <c r="L53" s="490">
        <f t="shared" si="6"/>
        <v>0</v>
      </c>
    </row>
    <row r="54" spans="1:12">
      <c r="A54" s="240">
        <v>44652</v>
      </c>
      <c r="B54" s="314">
        <f t="shared" si="0"/>
        <v>0</v>
      </c>
      <c r="C54" s="242"/>
      <c r="D54" s="392">
        <f t="shared" si="1"/>
        <v>0</v>
      </c>
      <c r="E54" s="242"/>
      <c r="F54" s="488">
        <f t="shared" si="2"/>
        <v>0</v>
      </c>
      <c r="G54" s="489">
        <f t="shared" si="3"/>
        <v>0</v>
      </c>
      <c r="H54" s="242"/>
      <c r="I54" s="269">
        <f t="shared" si="4"/>
        <v>0</v>
      </c>
      <c r="J54" s="242"/>
      <c r="K54" s="276">
        <f t="shared" si="5"/>
        <v>0</v>
      </c>
      <c r="L54" s="490">
        <f t="shared" si="6"/>
        <v>0</v>
      </c>
    </row>
    <row r="55" spans="1:12">
      <c r="A55" s="240">
        <v>44682</v>
      </c>
      <c r="B55" s="314">
        <f t="shared" si="0"/>
        <v>0</v>
      </c>
      <c r="C55" s="242"/>
      <c r="D55" s="392">
        <f t="shared" si="1"/>
        <v>0</v>
      </c>
      <c r="E55" s="242"/>
      <c r="F55" s="488">
        <f t="shared" si="2"/>
        <v>0</v>
      </c>
      <c r="G55" s="489">
        <f t="shared" si="3"/>
        <v>0</v>
      </c>
      <c r="H55" s="242"/>
      <c r="I55" s="269">
        <f t="shared" si="4"/>
        <v>0</v>
      </c>
      <c r="J55" s="242"/>
      <c r="K55" s="276">
        <f t="shared" si="5"/>
        <v>0</v>
      </c>
      <c r="L55" s="490">
        <f t="shared" si="6"/>
        <v>0</v>
      </c>
    </row>
    <row r="56" spans="1:12" ht="12.75" customHeight="1">
      <c r="A56" s="240">
        <v>44713</v>
      </c>
      <c r="B56" s="314">
        <f t="shared" si="0"/>
        <v>0</v>
      </c>
      <c r="C56" s="242"/>
      <c r="D56" s="392">
        <f t="shared" si="1"/>
        <v>0</v>
      </c>
      <c r="E56" s="242"/>
      <c r="F56" s="488">
        <f t="shared" si="2"/>
        <v>0</v>
      </c>
      <c r="G56" s="489">
        <f t="shared" si="3"/>
        <v>0</v>
      </c>
      <c r="H56" s="242"/>
      <c r="I56" s="269">
        <f t="shared" si="4"/>
        <v>0</v>
      </c>
      <c r="J56" s="242"/>
      <c r="K56" s="276">
        <f t="shared" si="5"/>
        <v>0</v>
      </c>
      <c r="L56" s="490">
        <f t="shared" si="6"/>
        <v>0</v>
      </c>
    </row>
    <row r="57" spans="1:12" ht="13.5" customHeight="1">
      <c r="A57" s="240">
        <v>44743</v>
      </c>
      <c r="B57" s="314">
        <f t="shared" si="0"/>
        <v>0</v>
      </c>
      <c r="C57" s="242"/>
      <c r="D57" s="392">
        <f t="shared" si="1"/>
        <v>0</v>
      </c>
      <c r="E57" s="242"/>
      <c r="F57" s="488">
        <f t="shared" si="2"/>
        <v>0</v>
      </c>
      <c r="G57" s="489">
        <f t="shared" si="3"/>
        <v>0</v>
      </c>
      <c r="H57" s="242"/>
      <c r="I57" s="269">
        <f t="shared" si="4"/>
        <v>0</v>
      </c>
      <c r="J57" s="242"/>
      <c r="K57" s="276">
        <f t="shared" si="5"/>
        <v>0</v>
      </c>
      <c r="L57" s="490">
        <f t="shared" si="6"/>
        <v>0</v>
      </c>
    </row>
    <row r="58" spans="1:12">
      <c r="A58" s="240">
        <v>44774</v>
      </c>
      <c r="B58" s="314">
        <f t="shared" si="0"/>
        <v>0</v>
      </c>
      <c r="C58" s="242"/>
      <c r="D58" s="392">
        <f t="shared" si="1"/>
        <v>0</v>
      </c>
      <c r="E58" s="242"/>
      <c r="F58" s="488">
        <f t="shared" si="2"/>
        <v>0</v>
      </c>
      <c r="G58" s="489">
        <f t="shared" si="3"/>
        <v>0</v>
      </c>
      <c r="H58" s="242"/>
      <c r="I58" s="269">
        <f t="shared" si="4"/>
        <v>0</v>
      </c>
      <c r="J58" s="242"/>
      <c r="K58" s="276">
        <f t="shared" si="5"/>
        <v>0</v>
      </c>
      <c r="L58" s="490">
        <f t="shared" si="6"/>
        <v>0</v>
      </c>
    </row>
    <row r="59" spans="1:12">
      <c r="A59" s="240">
        <v>44805</v>
      </c>
      <c r="B59" s="314">
        <f t="shared" si="0"/>
        <v>0</v>
      </c>
      <c r="C59" s="242"/>
      <c r="D59" s="392">
        <f t="shared" si="1"/>
        <v>0</v>
      </c>
      <c r="E59" s="242"/>
      <c r="F59" s="488">
        <f t="shared" si="2"/>
        <v>0</v>
      </c>
      <c r="G59" s="489">
        <f t="shared" si="3"/>
        <v>0</v>
      </c>
      <c r="H59" s="242"/>
      <c r="I59" s="269">
        <f t="shared" si="4"/>
        <v>0</v>
      </c>
      <c r="J59" s="242"/>
      <c r="K59" s="276">
        <f t="shared" si="5"/>
        <v>0</v>
      </c>
      <c r="L59" s="490">
        <f t="shared" si="6"/>
        <v>0</v>
      </c>
    </row>
    <row r="60" spans="1:12">
      <c r="A60" s="240">
        <v>44835</v>
      </c>
      <c r="B60" s="314">
        <f t="shared" si="0"/>
        <v>0</v>
      </c>
      <c r="C60" s="242"/>
      <c r="D60" s="392">
        <f t="shared" si="1"/>
        <v>0</v>
      </c>
      <c r="E60" s="242"/>
      <c r="F60" s="488">
        <f t="shared" si="2"/>
        <v>0</v>
      </c>
      <c r="G60" s="489">
        <f t="shared" si="3"/>
        <v>0</v>
      </c>
      <c r="H60" s="242"/>
      <c r="I60" s="269">
        <f t="shared" si="4"/>
        <v>0</v>
      </c>
      <c r="J60" s="242"/>
      <c r="K60" s="276">
        <f t="shared" si="5"/>
        <v>0</v>
      </c>
      <c r="L60" s="490">
        <f t="shared" si="6"/>
        <v>0</v>
      </c>
    </row>
    <row r="61" spans="1:12">
      <c r="A61" s="240">
        <v>44866</v>
      </c>
      <c r="B61" s="314">
        <f t="shared" si="0"/>
        <v>0</v>
      </c>
      <c r="C61" s="242"/>
      <c r="D61" s="392">
        <f t="shared" si="1"/>
        <v>0</v>
      </c>
      <c r="E61" s="242"/>
      <c r="F61" s="488">
        <f t="shared" si="2"/>
        <v>0</v>
      </c>
      <c r="G61" s="489">
        <f t="shared" si="3"/>
        <v>0</v>
      </c>
      <c r="H61" s="242"/>
      <c r="I61" s="269">
        <f t="shared" si="4"/>
        <v>0</v>
      </c>
      <c r="J61" s="242"/>
      <c r="K61" s="276">
        <f t="shared" si="5"/>
        <v>0</v>
      </c>
      <c r="L61" s="490">
        <f t="shared" si="6"/>
        <v>0</v>
      </c>
    </row>
    <row r="62" spans="1:12">
      <c r="A62" s="240">
        <v>44896</v>
      </c>
      <c r="B62" s="314">
        <f t="shared" si="0"/>
        <v>0</v>
      </c>
      <c r="C62" s="242"/>
      <c r="D62" s="392">
        <f t="shared" si="1"/>
        <v>0</v>
      </c>
      <c r="E62" s="242"/>
      <c r="F62" s="488">
        <f t="shared" si="2"/>
        <v>0</v>
      </c>
      <c r="G62" s="489">
        <f t="shared" si="3"/>
        <v>0</v>
      </c>
      <c r="H62" s="242"/>
      <c r="I62" s="269">
        <f t="shared" si="4"/>
        <v>0</v>
      </c>
      <c r="J62" s="242"/>
      <c r="K62" s="276">
        <f t="shared" si="5"/>
        <v>0</v>
      </c>
      <c r="L62" s="490">
        <f t="shared" si="6"/>
        <v>0</v>
      </c>
    </row>
    <row r="63" spans="1:12">
      <c r="A63" s="240">
        <v>44562</v>
      </c>
      <c r="B63" s="314">
        <f t="shared" ref="B63:B67" si="7">C62</f>
        <v>0</v>
      </c>
      <c r="C63" s="242"/>
      <c r="D63" s="392">
        <f t="shared" ref="D63:D66" si="8">C63-B63</f>
        <v>0</v>
      </c>
      <c r="E63" s="242"/>
      <c r="F63" s="488">
        <f t="shared" ref="F63:F66" si="9">D63-E63</f>
        <v>0</v>
      </c>
      <c r="G63" s="489">
        <f t="shared" ref="G63:G67" si="10">H62</f>
        <v>0</v>
      </c>
      <c r="H63" s="242"/>
      <c r="I63" s="269">
        <f t="shared" ref="I63:I66" si="11">H63-G63</f>
        <v>0</v>
      </c>
      <c r="J63" s="242"/>
      <c r="K63" s="276">
        <f t="shared" ref="K63:K66" si="12">I63-J63</f>
        <v>0</v>
      </c>
      <c r="L63" s="490">
        <f t="shared" ref="L63:L74" si="13">I63+D63</f>
        <v>0</v>
      </c>
    </row>
    <row r="64" spans="1:12">
      <c r="A64" s="240">
        <v>44593</v>
      </c>
      <c r="B64" s="314">
        <f t="shared" si="7"/>
        <v>0</v>
      </c>
      <c r="C64" s="242"/>
      <c r="D64" s="392">
        <f t="shared" si="8"/>
        <v>0</v>
      </c>
      <c r="E64" s="242"/>
      <c r="F64" s="488">
        <f t="shared" si="9"/>
        <v>0</v>
      </c>
      <c r="G64" s="489">
        <f t="shared" si="10"/>
        <v>0</v>
      </c>
      <c r="H64" s="242"/>
      <c r="I64" s="269">
        <f t="shared" si="11"/>
        <v>0</v>
      </c>
      <c r="J64" s="242"/>
      <c r="K64" s="276">
        <f t="shared" si="12"/>
        <v>0</v>
      </c>
      <c r="L64" s="490">
        <f t="shared" si="13"/>
        <v>0</v>
      </c>
    </row>
    <row r="65" spans="1:12">
      <c r="A65" s="240">
        <v>44621</v>
      </c>
      <c r="B65" s="314">
        <f t="shared" si="7"/>
        <v>0</v>
      </c>
      <c r="C65" s="242"/>
      <c r="D65" s="392">
        <f t="shared" si="8"/>
        <v>0</v>
      </c>
      <c r="E65" s="242"/>
      <c r="F65" s="488">
        <f t="shared" si="9"/>
        <v>0</v>
      </c>
      <c r="G65" s="489">
        <f t="shared" si="10"/>
        <v>0</v>
      </c>
      <c r="H65" s="242"/>
      <c r="I65" s="269">
        <f t="shared" si="11"/>
        <v>0</v>
      </c>
      <c r="J65" s="242"/>
      <c r="K65" s="276">
        <f t="shared" si="12"/>
        <v>0</v>
      </c>
      <c r="L65" s="490">
        <f t="shared" si="13"/>
        <v>0</v>
      </c>
    </row>
    <row r="66" spans="1:12">
      <c r="A66" s="240">
        <v>44652</v>
      </c>
      <c r="B66" s="314">
        <f t="shared" si="7"/>
        <v>0</v>
      </c>
      <c r="C66" s="242"/>
      <c r="D66" s="392">
        <f t="shared" si="8"/>
        <v>0</v>
      </c>
      <c r="E66" s="242"/>
      <c r="F66" s="488">
        <f t="shared" si="9"/>
        <v>0</v>
      </c>
      <c r="G66" s="489">
        <f t="shared" si="10"/>
        <v>0</v>
      </c>
      <c r="H66" s="242"/>
      <c r="I66" s="269">
        <f t="shared" si="11"/>
        <v>0</v>
      </c>
      <c r="J66" s="242"/>
      <c r="K66" s="276">
        <f t="shared" si="12"/>
        <v>0</v>
      </c>
      <c r="L66" s="490">
        <f t="shared" si="13"/>
        <v>0</v>
      </c>
    </row>
    <row r="67" spans="1:12">
      <c r="A67" s="240">
        <v>44682</v>
      </c>
      <c r="B67" s="314">
        <f t="shared" si="7"/>
        <v>0</v>
      </c>
      <c r="C67" s="242"/>
      <c r="D67" s="392">
        <f t="shared" ref="D67:D74" si="14">C67-B67</f>
        <v>0</v>
      </c>
      <c r="E67" s="242"/>
      <c r="F67" s="488">
        <f t="shared" ref="F67:F74" si="15">D67-E67</f>
        <v>0</v>
      </c>
      <c r="G67" s="489">
        <f t="shared" si="10"/>
        <v>0</v>
      </c>
      <c r="H67" s="242"/>
      <c r="I67" s="269">
        <f t="shared" ref="I67:I74" si="16">H67-G67</f>
        <v>0</v>
      </c>
      <c r="J67" s="242"/>
      <c r="K67" s="276">
        <f t="shared" ref="K67:K74" si="17">I67-J67</f>
        <v>0</v>
      </c>
      <c r="L67" s="490">
        <f t="shared" si="13"/>
        <v>0</v>
      </c>
    </row>
    <row r="68" spans="1:12">
      <c r="A68" s="240">
        <v>44713</v>
      </c>
      <c r="B68" s="314">
        <f t="shared" ref="B68:B74" si="18">C67</f>
        <v>0</v>
      </c>
      <c r="C68" s="242"/>
      <c r="D68" s="392">
        <f t="shared" si="14"/>
        <v>0</v>
      </c>
      <c r="E68" s="242"/>
      <c r="F68" s="488">
        <f t="shared" si="15"/>
        <v>0</v>
      </c>
      <c r="G68" s="489">
        <f t="shared" ref="G68:G74" si="19">H67</f>
        <v>0</v>
      </c>
      <c r="H68" s="242"/>
      <c r="I68" s="269">
        <f t="shared" si="16"/>
        <v>0</v>
      </c>
      <c r="J68" s="242"/>
      <c r="K68" s="276">
        <f t="shared" si="17"/>
        <v>0</v>
      </c>
      <c r="L68" s="490">
        <f t="shared" si="13"/>
        <v>0</v>
      </c>
    </row>
    <row r="69" spans="1:12">
      <c r="A69" s="240">
        <v>44743</v>
      </c>
      <c r="B69" s="314">
        <f t="shared" si="18"/>
        <v>0</v>
      </c>
      <c r="C69" s="242"/>
      <c r="D69" s="392">
        <f t="shared" si="14"/>
        <v>0</v>
      </c>
      <c r="E69" s="242"/>
      <c r="F69" s="488">
        <f t="shared" si="15"/>
        <v>0</v>
      </c>
      <c r="G69" s="489">
        <f t="shared" si="19"/>
        <v>0</v>
      </c>
      <c r="H69" s="242"/>
      <c r="I69" s="269">
        <f t="shared" si="16"/>
        <v>0</v>
      </c>
      <c r="J69" s="242"/>
      <c r="K69" s="276">
        <f t="shared" si="17"/>
        <v>0</v>
      </c>
      <c r="L69" s="490">
        <f t="shared" si="13"/>
        <v>0</v>
      </c>
    </row>
    <row r="70" spans="1:12">
      <c r="A70" s="240">
        <v>44774</v>
      </c>
      <c r="B70" s="314">
        <f t="shared" si="18"/>
        <v>0</v>
      </c>
      <c r="C70" s="242"/>
      <c r="D70" s="392">
        <f t="shared" si="14"/>
        <v>0</v>
      </c>
      <c r="E70" s="242"/>
      <c r="F70" s="488">
        <f t="shared" si="15"/>
        <v>0</v>
      </c>
      <c r="G70" s="489">
        <f t="shared" si="19"/>
        <v>0</v>
      </c>
      <c r="H70" s="242"/>
      <c r="I70" s="269">
        <f t="shared" si="16"/>
        <v>0</v>
      </c>
      <c r="J70" s="242"/>
      <c r="K70" s="276">
        <f t="shared" si="17"/>
        <v>0</v>
      </c>
      <c r="L70" s="490">
        <f t="shared" si="13"/>
        <v>0</v>
      </c>
    </row>
    <row r="71" spans="1:12">
      <c r="A71" s="240">
        <v>44805</v>
      </c>
      <c r="B71" s="314">
        <f t="shared" si="18"/>
        <v>0</v>
      </c>
      <c r="C71" s="242"/>
      <c r="D71" s="392">
        <f t="shared" si="14"/>
        <v>0</v>
      </c>
      <c r="E71" s="242"/>
      <c r="F71" s="488">
        <f t="shared" si="15"/>
        <v>0</v>
      </c>
      <c r="G71" s="489">
        <f t="shared" si="19"/>
        <v>0</v>
      </c>
      <c r="H71" s="242"/>
      <c r="I71" s="269">
        <f t="shared" si="16"/>
        <v>0</v>
      </c>
      <c r="J71" s="242"/>
      <c r="K71" s="276">
        <f t="shared" si="17"/>
        <v>0</v>
      </c>
      <c r="L71" s="490">
        <f t="shared" si="13"/>
        <v>0</v>
      </c>
    </row>
    <row r="72" spans="1:12">
      <c r="A72" s="240">
        <v>44835</v>
      </c>
      <c r="B72" s="314">
        <f t="shared" si="18"/>
        <v>0</v>
      </c>
      <c r="C72" s="242"/>
      <c r="D72" s="392">
        <f t="shared" si="14"/>
        <v>0</v>
      </c>
      <c r="E72" s="242"/>
      <c r="F72" s="488">
        <f t="shared" si="15"/>
        <v>0</v>
      </c>
      <c r="G72" s="489">
        <f t="shared" si="19"/>
        <v>0</v>
      </c>
      <c r="H72" s="242"/>
      <c r="I72" s="269">
        <f t="shared" si="16"/>
        <v>0</v>
      </c>
      <c r="J72" s="242"/>
      <c r="K72" s="276">
        <f t="shared" si="17"/>
        <v>0</v>
      </c>
      <c r="L72" s="490">
        <f t="shared" si="13"/>
        <v>0</v>
      </c>
    </row>
    <row r="73" spans="1:12">
      <c r="A73" s="240">
        <v>44866</v>
      </c>
      <c r="B73" s="314">
        <f t="shared" si="18"/>
        <v>0</v>
      </c>
      <c r="C73" s="242"/>
      <c r="D73" s="392">
        <f t="shared" si="14"/>
        <v>0</v>
      </c>
      <c r="E73" s="242"/>
      <c r="F73" s="488">
        <f t="shared" si="15"/>
        <v>0</v>
      </c>
      <c r="G73" s="489">
        <f t="shared" si="19"/>
        <v>0</v>
      </c>
      <c r="H73" s="242"/>
      <c r="I73" s="269">
        <f t="shared" si="16"/>
        <v>0</v>
      </c>
      <c r="J73" s="242"/>
      <c r="K73" s="276">
        <f t="shared" si="17"/>
        <v>0</v>
      </c>
      <c r="L73" s="490">
        <f t="shared" si="13"/>
        <v>0</v>
      </c>
    </row>
    <row r="74" spans="1:12">
      <c r="A74" s="240">
        <v>44896</v>
      </c>
      <c r="B74" s="314">
        <f t="shared" si="18"/>
        <v>0</v>
      </c>
      <c r="C74" s="242"/>
      <c r="D74" s="392">
        <f t="shared" si="14"/>
        <v>0</v>
      </c>
      <c r="E74" s="242"/>
      <c r="F74" s="488">
        <f t="shared" si="15"/>
        <v>0</v>
      </c>
      <c r="G74" s="489">
        <f t="shared" si="19"/>
        <v>0</v>
      </c>
      <c r="H74" s="242"/>
      <c r="I74" s="269">
        <f t="shared" si="16"/>
        <v>0</v>
      </c>
      <c r="J74" s="242"/>
      <c r="K74" s="276">
        <f t="shared" si="17"/>
        <v>0</v>
      </c>
      <c r="L74" s="490">
        <f t="shared" si="13"/>
        <v>0</v>
      </c>
    </row>
    <row r="75" spans="1:12" ht="13.5" thickBot="1"/>
    <row r="76" spans="1:12">
      <c r="B76" s="943"/>
      <c r="C76" s="944"/>
      <c r="D76" s="944"/>
      <c r="E76" s="945"/>
      <c r="H76" s="943"/>
      <c r="I76" s="944"/>
      <c r="J76" s="944"/>
      <c r="K76" s="944"/>
      <c r="L76" s="945"/>
    </row>
    <row r="77" spans="1:12">
      <c r="B77" s="946"/>
      <c r="C77" s="947"/>
      <c r="D77" s="947"/>
      <c r="E77" s="948"/>
      <c r="H77" s="946"/>
      <c r="I77" s="947"/>
      <c r="J77" s="947"/>
      <c r="K77" s="947"/>
      <c r="L77" s="948"/>
    </row>
    <row r="78" spans="1:12">
      <c r="B78" s="946"/>
      <c r="C78" s="947"/>
      <c r="D78" s="947"/>
      <c r="E78" s="948"/>
      <c r="H78" s="946"/>
      <c r="I78" s="947"/>
      <c r="J78" s="947"/>
      <c r="K78" s="947"/>
      <c r="L78" s="948"/>
    </row>
    <row r="79" spans="1:12">
      <c r="B79" s="946"/>
      <c r="C79" s="947"/>
      <c r="D79" s="947"/>
      <c r="E79" s="948"/>
      <c r="H79" s="946"/>
      <c r="I79" s="947"/>
      <c r="J79" s="947"/>
      <c r="K79" s="947"/>
      <c r="L79" s="948"/>
    </row>
    <row r="80" spans="1:12">
      <c r="B80" s="946"/>
      <c r="C80" s="947"/>
      <c r="D80" s="947"/>
      <c r="E80" s="948"/>
      <c r="H80" s="946"/>
      <c r="I80" s="947"/>
      <c r="J80" s="947"/>
      <c r="K80" s="947"/>
      <c r="L80" s="948"/>
    </row>
    <row r="81" spans="2:12">
      <c r="B81" s="946"/>
      <c r="C81" s="947"/>
      <c r="D81" s="947"/>
      <c r="E81" s="948"/>
      <c r="H81" s="946"/>
      <c r="I81" s="947"/>
      <c r="J81" s="947"/>
      <c r="K81" s="947"/>
      <c r="L81" s="948"/>
    </row>
    <row r="82" spans="2:12">
      <c r="B82" s="946"/>
      <c r="C82" s="947"/>
      <c r="D82" s="947"/>
      <c r="E82" s="948"/>
      <c r="H82" s="946"/>
      <c r="I82" s="947"/>
      <c r="J82" s="947"/>
      <c r="K82" s="947"/>
      <c r="L82" s="948"/>
    </row>
    <row r="83" spans="2:12">
      <c r="B83" s="946"/>
      <c r="C83" s="947"/>
      <c r="D83" s="947"/>
      <c r="E83" s="948"/>
      <c r="H83" s="946"/>
      <c r="I83" s="947"/>
      <c r="J83" s="947"/>
      <c r="K83" s="947"/>
      <c r="L83" s="948"/>
    </row>
    <row r="84" spans="2:12">
      <c r="B84" s="946"/>
      <c r="C84" s="947"/>
      <c r="D84" s="947"/>
      <c r="E84" s="948"/>
      <c r="H84" s="946"/>
      <c r="I84" s="947"/>
      <c r="J84" s="947"/>
      <c r="K84" s="947"/>
      <c r="L84" s="948"/>
    </row>
    <row r="85" spans="2:12">
      <c r="B85" s="946"/>
      <c r="C85" s="947"/>
      <c r="D85" s="947"/>
      <c r="E85" s="948"/>
      <c r="H85" s="946"/>
      <c r="I85" s="947"/>
      <c r="J85" s="947"/>
      <c r="K85" s="947"/>
      <c r="L85" s="948"/>
    </row>
    <row r="86" spans="2:12">
      <c r="B86" s="946"/>
      <c r="C86" s="947"/>
      <c r="D86" s="947"/>
      <c r="E86" s="948"/>
      <c r="H86" s="946"/>
      <c r="I86" s="947"/>
      <c r="J86" s="947"/>
      <c r="K86" s="947"/>
      <c r="L86" s="948"/>
    </row>
    <row r="87" spans="2:12">
      <c r="B87" s="946"/>
      <c r="C87" s="947"/>
      <c r="D87" s="947"/>
      <c r="E87" s="948"/>
      <c r="H87" s="946"/>
      <c r="I87" s="947"/>
      <c r="J87" s="947"/>
      <c r="K87" s="947"/>
      <c r="L87" s="948"/>
    </row>
    <row r="88" spans="2:12">
      <c r="B88" s="946"/>
      <c r="C88" s="947"/>
      <c r="D88" s="947"/>
      <c r="E88" s="948"/>
      <c r="H88" s="946"/>
      <c r="I88" s="947"/>
      <c r="J88" s="947"/>
      <c r="K88" s="947"/>
      <c r="L88" s="948"/>
    </row>
    <row r="89" spans="2:12">
      <c r="B89" s="946"/>
      <c r="C89" s="947"/>
      <c r="D89" s="947"/>
      <c r="E89" s="948"/>
      <c r="H89" s="946"/>
      <c r="I89" s="947"/>
      <c r="J89" s="947"/>
      <c r="K89" s="947"/>
      <c r="L89" s="948"/>
    </row>
    <row r="90" spans="2:12" ht="13.5" thickBot="1">
      <c r="B90" s="949"/>
      <c r="C90" s="950"/>
      <c r="D90" s="950"/>
      <c r="E90" s="951"/>
      <c r="H90" s="949"/>
      <c r="I90" s="950"/>
      <c r="J90" s="950"/>
      <c r="K90" s="950"/>
      <c r="L90" s="951"/>
    </row>
    <row r="91" spans="2:12">
      <c r="B91" s="952" t="s">
        <v>312</v>
      </c>
      <c r="C91" s="953"/>
      <c r="D91" s="953"/>
      <c r="E91" s="954"/>
      <c r="H91" s="952" t="s">
        <v>313</v>
      </c>
      <c r="I91" s="953"/>
      <c r="J91" s="953"/>
      <c r="K91" s="953"/>
      <c r="L91" s="954"/>
    </row>
    <row r="92" spans="2:12">
      <c r="B92" s="955"/>
      <c r="C92" s="956"/>
      <c r="D92" s="956"/>
      <c r="E92" s="957"/>
      <c r="H92" s="955"/>
      <c r="I92" s="956"/>
      <c r="J92" s="956"/>
      <c r="K92" s="956"/>
      <c r="L92" s="957"/>
    </row>
    <row r="93" spans="2:12" ht="13.5" thickBot="1">
      <c r="B93" s="958"/>
      <c r="C93" s="959"/>
      <c r="D93" s="959"/>
      <c r="E93" s="960"/>
      <c r="H93" s="958"/>
      <c r="I93" s="959"/>
      <c r="J93" s="959"/>
      <c r="K93" s="959"/>
      <c r="L93" s="960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A2" sqref="A2:J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61" t="s">
        <v>254</v>
      </c>
      <c r="B1" s="961"/>
      <c r="C1" s="961"/>
      <c r="D1" s="961"/>
      <c r="E1" s="961"/>
      <c r="F1" s="961"/>
      <c r="G1" s="961"/>
      <c r="H1" s="961"/>
      <c r="I1" s="961"/>
      <c r="J1" s="961"/>
    </row>
    <row r="2" spans="1:10" ht="19.5" thickBot="1">
      <c r="A2" s="970">
        <f>A5</f>
        <v>44228</v>
      </c>
      <c r="B2" s="971"/>
      <c r="C2" s="971"/>
      <c r="D2" s="971"/>
      <c r="E2" s="971"/>
      <c r="F2" s="971"/>
      <c r="G2" s="971"/>
      <c r="H2" s="971"/>
      <c r="I2" s="971"/>
      <c r="J2" s="971"/>
    </row>
    <row r="3" spans="1:10" ht="15.75" thickBot="1">
      <c r="A3" s="962" t="s">
        <v>7</v>
      </c>
      <c r="B3" s="964" t="s">
        <v>255</v>
      </c>
      <c r="C3" s="440"/>
      <c r="D3" s="966" t="s">
        <v>256</v>
      </c>
      <c r="E3" s="967"/>
      <c r="F3" s="968" t="s">
        <v>257</v>
      </c>
      <c r="G3" s="969"/>
      <c r="H3" s="967"/>
      <c r="I3" s="968" t="s">
        <v>258</v>
      </c>
      <c r="J3" s="967"/>
    </row>
    <row r="4" spans="1:10" ht="30.75" thickBot="1">
      <c r="A4" s="963"/>
      <c r="B4" s="965"/>
      <c r="C4" s="445" t="s">
        <v>303</v>
      </c>
      <c r="D4" s="393" t="s">
        <v>259</v>
      </c>
      <c r="E4" s="398" t="s">
        <v>3</v>
      </c>
      <c r="F4" s="393" t="s">
        <v>259</v>
      </c>
      <c r="G4" s="393" t="s">
        <v>260</v>
      </c>
      <c r="H4" s="393" t="s">
        <v>261</v>
      </c>
      <c r="I4" s="393" t="s">
        <v>17</v>
      </c>
      <c r="J4" s="393" t="s">
        <v>262</v>
      </c>
    </row>
    <row r="5" spans="1:10" ht="17.100000000000001" customHeight="1" thickBot="1">
      <c r="A5" s="217">
        <f>Gen!A11</f>
        <v>44228</v>
      </c>
      <c r="B5" s="399">
        <f>Gen!B11</f>
        <v>0</v>
      </c>
      <c r="C5" s="443">
        <f>Gen!AJ11</f>
        <v>97.65</v>
      </c>
      <c r="D5" s="444">
        <f>Gen!S11</f>
        <v>1209.1599999999999</v>
      </c>
      <c r="E5" s="395">
        <f>Gen!C11</f>
        <v>38934.209999999992</v>
      </c>
      <c r="F5" s="396">
        <f>'Water-Meter'!E6</f>
        <v>58</v>
      </c>
      <c r="G5" s="397">
        <f>'Water-Meter'!AN6</f>
        <v>82</v>
      </c>
      <c r="H5" s="395">
        <f>'Utility report '!AC6</f>
        <v>49</v>
      </c>
      <c r="I5" s="394">
        <f>'Kit report'!F4</f>
        <v>252.00000000004366</v>
      </c>
      <c r="J5" s="395">
        <f>'Kit report'!X4</f>
        <v>320.00000000007276</v>
      </c>
    </row>
    <row r="6" spans="1:10" ht="17.100000000000001" customHeight="1" thickBot="1">
      <c r="A6" s="217">
        <f>Gen!A12</f>
        <v>44229</v>
      </c>
      <c r="B6" s="399">
        <f>Gen!B12</f>
        <v>0</v>
      </c>
      <c r="C6" s="443">
        <f>Gen!AJ12</f>
        <v>0</v>
      </c>
      <c r="D6" s="444">
        <f>Gen!S12</f>
        <v>0</v>
      </c>
      <c r="E6" s="395">
        <f>Gen!C12</f>
        <v>37627.399999999994</v>
      </c>
      <c r="F6" s="396" t="str">
        <f>'Water-Meter'!E7</f>
        <v>0</v>
      </c>
      <c r="G6" s="397">
        <f>'Water-Meter'!AN7</f>
        <v>0</v>
      </c>
      <c r="H6" s="395">
        <f>'Utility report '!AC7</f>
        <v>-45884</v>
      </c>
      <c r="I6" s="394">
        <f>'Kit report'!F5</f>
        <v>-1089588</v>
      </c>
      <c r="J6" s="395">
        <f>'Kit report'!X5</f>
        <v>-1597760</v>
      </c>
    </row>
    <row r="7" spans="1:10" ht="17.100000000000001" customHeight="1" thickBot="1">
      <c r="A7" s="217">
        <f>Gen!A13</f>
        <v>44230</v>
      </c>
      <c r="B7" s="399">
        <f>Gen!B13</f>
        <v>0</v>
      </c>
      <c r="C7" s="443">
        <f>Gen!AJ13</f>
        <v>0</v>
      </c>
      <c r="D7" s="444">
        <f>Gen!S13</f>
        <v>0</v>
      </c>
      <c r="E7" s="395">
        <f>Gen!C13</f>
        <v>37627.399999999994</v>
      </c>
      <c r="F7" s="396">
        <f>'Water-Meter'!E8</f>
        <v>0</v>
      </c>
      <c r="G7" s="397">
        <f>'Water-Meter'!AN8</f>
        <v>0</v>
      </c>
      <c r="H7" s="395">
        <f>'Utility report '!AC8</f>
        <v>0</v>
      </c>
      <c r="I7" s="394">
        <f>'Kit report'!F6</f>
        <v>0</v>
      </c>
      <c r="J7" s="395">
        <f>'Kit report'!X6</f>
        <v>0</v>
      </c>
    </row>
    <row r="8" spans="1:10" ht="17.100000000000001" customHeight="1" thickBot="1">
      <c r="A8" s="217">
        <f>Gen!A14</f>
        <v>44231</v>
      </c>
      <c r="B8" s="399">
        <f>Gen!B14</f>
        <v>0</v>
      </c>
      <c r="C8" s="443">
        <f>Gen!AJ14</f>
        <v>0</v>
      </c>
      <c r="D8" s="444">
        <f>Gen!S14</f>
        <v>0</v>
      </c>
      <c r="E8" s="395">
        <f>Gen!C14</f>
        <v>37627.399999999994</v>
      </c>
      <c r="F8" s="396">
        <f>'Water-Meter'!E9</f>
        <v>0</v>
      </c>
      <c r="G8" s="397">
        <f>'Water-Meter'!AN9</f>
        <v>0</v>
      </c>
      <c r="H8" s="395">
        <f>'Utility report '!AC9</f>
        <v>0</v>
      </c>
      <c r="I8" s="394">
        <f>'Kit report'!F7</f>
        <v>0</v>
      </c>
      <c r="J8" s="395">
        <f>'Kit report'!X7</f>
        <v>0</v>
      </c>
    </row>
    <row r="9" spans="1:10" ht="17.100000000000001" customHeight="1" thickBot="1">
      <c r="A9" s="217">
        <f>Gen!A15</f>
        <v>44232</v>
      </c>
      <c r="B9" s="399">
        <f>Gen!B15</f>
        <v>0</v>
      </c>
      <c r="C9" s="443">
        <f>Gen!AJ15</f>
        <v>0</v>
      </c>
      <c r="D9" s="444">
        <f>Gen!S15</f>
        <v>0</v>
      </c>
      <c r="E9" s="395">
        <f>Gen!C15</f>
        <v>37627.399999999994</v>
      </c>
      <c r="F9" s="396">
        <f>'Water-Meter'!E10</f>
        <v>0</v>
      </c>
      <c r="G9" s="397">
        <f>'Water-Meter'!AN10</f>
        <v>0</v>
      </c>
      <c r="H9" s="395">
        <f>'Utility report '!AC10</f>
        <v>0</v>
      </c>
      <c r="I9" s="394">
        <f>'Kit report'!F8</f>
        <v>0</v>
      </c>
      <c r="J9" s="395">
        <f>'Kit report'!X8</f>
        <v>0</v>
      </c>
    </row>
    <row r="10" spans="1:10" ht="17.100000000000001" customHeight="1" thickBot="1">
      <c r="A10" s="217">
        <f>Gen!A16</f>
        <v>44233</v>
      </c>
      <c r="B10" s="399">
        <f>Gen!B16</f>
        <v>0</v>
      </c>
      <c r="C10" s="443">
        <f>Gen!AJ16</f>
        <v>0</v>
      </c>
      <c r="D10" s="444">
        <f>Gen!S16</f>
        <v>0</v>
      </c>
      <c r="E10" s="395">
        <f>Gen!C16</f>
        <v>37627.399999999994</v>
      </c>
      <c r="F10" s="396">
        <f>'Water-Meter'!E11</f>
        <v>0</v>
      </c>
      <c r="G10" s="397">
        <f>'Water-Meter'!AN11</f>
        <v>0</v>
      </c>
      <c r="H10" s="395">
        <f>'Utility report '!AC11</f>
        <v>0</v>
      </c>
      <c r="I10" s="394">
        <f>'Kit report'!F9</f>
        <v>0</v>
      </c>
      <c r="J10" s="395">
        <f>'Kit report'!X9</f>
        <v>0</v>
      </c>
    </row>
    <row r="11" spans="1:10" ht="17.100000000000001" customHeight="1" thickBot="1">
      <c r="A11" s="217">
        <f>Gen!A17</f>
        <v>44234</v>
      </c>
      <c r="B11" s="399">
        <f>Gen!B17</f>
        <v>0</v>
      </c>
      <c r="C11" s="443">
        <f>Gen!AJ17</f>
        <v>0</v>
      </c>
      <c r="D11" s="444">
        <f>Gen!S17</f>
        <v>0</v>
      </c>
      <c r="E11" s="395">
        <f>Gen!C17</f>
        <v>37627.399999999994</v>
      </c>
      <c r="F11" s="396">
        <f>'Water-Meter'!E12</f>
        <v>0</v>
      </c>
      <c r="G11" s="397">
        <f>'Water-Meter'!AN12</f>
        <v>0</v>
      </c>
      <c r="H11" s="395">
        <f>'Utility report '!AC12</f>
        <v>0</v>
      </c>
      <c r="I11" s="394">
        <f>'Kit report'!F10</f>
        <v>0</v>
      </c>
      <c r="J11" s="395">
        <f>'Kit report'!X10</f>
        <v>0</v>
      </c>
    </row>
    <row r="12" spans="1:10" ht="17.100000000000001" customHeight="1" thickBot="1">
      <c r="A12" s="217">
        <f>Gen!A18</f>
        <v>44235</v>
      </c>
      <c r="B12" s="399">
        <f>Gen!B18</f>
        <v>0</v>
      </c>
      <c r="C12" s="443">
        <f>Gen!AJ18</f>
        <v>0</v>
      </c>
      <c r="D12" s="444">
        <f>Gen!S18</f>
        <v>0</v>
      </c>
      <c r="E12" s="395">
        <f>Gen!C18</f>
        <v>37627.399999999994</v>
      </c>
      <c r="F12" s="396">
        <f>'Water-Meter'!E13</f>
        <v>0</v>
      </c>
      <c r="G12" s="397">
        <f>'Water-Meter'!AN13</f>
        <v>0</v>
      </c>
      <c r="H12" s="395">
        <f>'Utility report '!AC13</f>
        <v>0</v>
      </c>
      <c r="I12" s="394">
        <f>'Kit report'!F11</f>
        <v>0</v>
      </c>
      <c r="J12" s="395">
        <f>'Kit report'!X11</f>
        <v>0</v>
      </c>
    </row>
    <row r="13" spans="1:10" ht="17.100000000000001" customHeight="1" thickBot="1">
      <c r="A13" s="217">
        <f>Gen!A19</f>
        <v>44236</v>
      </c>
      <c r="B13" s="399">
        <f>Gen!B19</f>
        <v>0</v>
      </c>
      <c r="C13" s="443">
        <f>Gen!AJ19</f>
        <v>0</v>
      </c>
      <c r="D13" s="444">
        <f>Gen!S19</f>
        <v>0</v>
      </c>
      <c r="E13" s="395">
        <f>Gen!C19</f>
        <v>37627.399999999994</v>
      </c>
      <c r="F13" s="396">
        <f>'Water-Meter'!E14</f>
        <v>0</v>
      </c>
      <c r="G13" s="397">
        <f>'Water-Meter'!AN14</f>
        <v>0</v>
      </c>
      <c r="H13" s="395">
        <f>'Utility report '!AC14</f>
        <v>0</v>
      </c>
      <c r="I13" s="394">
        <f>'Kit report'!F12</f>
        <v>0</v>
      </c>
      <c r="J13" s="395">
        <f>'Kit report'!X12</f>
        <v>0</v>
      </c>
    </row>
    <row r="14" spans="1:10" ht="17.100000000000001" customHeight="1" thickBot="1">
      <c r="A14" s="217">
        <f>Gen!A20</f>
        <v>44237</v>
      </c>
      <c r="B14" s="399">
        <f>Gen!B20</f>
        <v>0</v>
      </c>
      <c r="C14" s="443">
        <f>Gen!AJ20</f>
        <v>0</v>
      </c>
      <c r="D14" s="444">
        <f>Gen!S20</f>
        <v>0</v>
      </c>
      <c r="E14" s="395">
        <f>Gen!C20</f>
        <v>37627.399999999994</v>
      </c>
      <c r="F14" s="396">
        <f>'Water-Meter'!E15</f>
        <v>0</v>
      </c>
      <c r="G14" s="397">
        <f>'Water-Meter'!AN15</f>
        <v>0</v>
      </c>
      <c r="H14" s="395">
        <f>'Utility report '!AC15</f>
        <v>0</v>
      </c>
      <c r="I14" s="394">
        <f>'Kit report'!F13</f>
        <v>0</v>
      </c>
      <c r="J14" s="395">
        <f>'Kit report'!X13</f>
        <v>0</v>
      </c>
    </row>
    <row r="15" spans="1:10" ht="17.100000000000001" customHeight="1" thickBot="1">
      <c r="A15" s="217">
        <f>Gen!A21</f>
        <v>44238</v>
      </c>
      <c r="B15" s="399">
        <f>Gen!B21</f>
        <v>0</v>
      </c>
      <c r="C15" s="443">
        <f>Gen!AJ21</f>
        <v>0</v>
      </c>
      <c r="D15" s="444">
        <f>Gen!S21</f>
        <v>0</v>
      </c>
      <c r="E15" s="395">
        <f>Gen!C21</f>
        <v>37627.399999999994</v>
      </c>
      <c r="F15" s="396">
        <f>'Water-Meter'!E16</f>
        <v>0</v>
      </c>
      <c r="G15" s="397">
        <f>'Water-Meter'!AN16</f>
        <v>0</v>
      </c>
      <c r="H15" s="395">
        <f>'Utility report '!AC16</f>
        <v>0</v>
      </c>
      <c r="I15" s="394">
        <f>'Kit report'!F14</f>
        <v>0</v>
      </c>
      <c r="J15" s="395">
        <f>'Kit report'!X14</f>
        <v>0</v>
      </c>
    </row>
    <row r="16" spans="1:10" ht="17.100000000000001" customHeight="1" thickBot="1">
      <c r="A16" s="217">
        <f>Gen!A22</f>
        <v>44239</v>
      </c>
      <c r="B16" s="399">
        <f>Gen!B22</f>
        <v>0</v>
      </c>
      <c r="C16" s="443">
        <f>Gen!AJ22</f>
        <v>0</v>
      </c>
      <c r="D16" s="444">
        <f>Gen!S22</f>
        <v>0</v>
      </c>
      <c r="E16" s="395">
        <f>Gen!C22</f>
        <v>37627.399999999994</v>
      </c>
      <c r="F16" s="396">
        <f>'Water-Meter'!E17</f>
        <v>0</v>
      </c>
      <c r="G16" s="397">
        <f>'Water-Meter'!AN17</f>
        <v>0</v>
      </c>
      <c r="H16" s="395">
        <f>'Utility report '!AC17</f>
        <v>0</v>
      </c>
      <c r="I16" s="394">
        <f>'Kit report'!F15</f>
        <v>0</v>
      </c>
      <c r="J16" s="395">
        <f>'Kit report'!X15</f>
        <v>0</v>
      </c>
    </row>
    <row r="17" spans="1:10" ht="17.100000000000001" customHeight="1" thickBot="1">
      <c r="A17" s="217">
        <f>Gen!A23</f>
        <v>44240</v>
      </c>
      <c r="B17" s="399">
        <f>Gen!B23</f>
        <v>0</v>
      </c>
      <c r="C17" s="443">
        <f>Gen!AJ23</f>
        <v>0</v>
      </c>
      <c r="D17" s="444">
        <f>Gen!S23</f>
        <v>0</v>
      </c>
      <c r="E17" s="395">
        <f>Gen!C23</f>
        <v>37627.399999999994</v>
      </c>
      <c r="F17" s="396">
        <f>'Water-Meter'!E18</f>
        <v>0</v>
      </c>
      <c r="G17" s="397">
        <f>'Water-Meter'!AN18</f>
        <v>0</v>
      </c>
      <c r="H17" s="395">
        <f>'Utility report '!AC18</f>
        <v>0</v>
      </c>
      <c r="I17" s="394">
        <f>'Kit report'!F16</f>
        <v>0</v>
      </c>
      <c r="J17" s="395">
        <f>'Kit report'!X16</f>
        <v>0</v>
      </c>
    </row>
    <row r="18" spans="1:10" ht="17.100000000000001" customHeight="1" thickBot="1">
      <c r="A18" s="217">
        <f>Gen!A24</f>
        <v>44241</v>
      </c>
      <c r="B18" s="399">
        <f>Gen!B24</f>
        <v>0</v>
      </c>
      <c r="C18" s="443">
        <f>Gen!AJ24</f>
        <v>0</v>
      </c>
      <c r="D18" s="444">
        <f>Gen!S24</f>
        <v>0</v>
      </c>
      <c r="E18" s="395">
        <f>Gen!C24</f>
        <v>37627.399999999994</v>
      </c>
      <c r="F18" s="396">
        <f>'Water-Meter'!E19</f>
        <v>0</v>
      </c>
      <c r="G18" s="397">
        <f>'Water-Meter'!AN19</f>
        <v>0</v>
      </c>
      <c r="H18" s="395">
        <f>'Utility report '!AC19</f>
        <v>0</v>
      </c>
      <c r="I18" s="394">
        <f>'Kit report'!F17</f>
        <v>0</v>
      </c>
      <c r="J18" s="395">
        <f>'Kit report'!X17</f>
        <v>0</v>
      </c>
    </row>
    <row r="19" spans="1:10" ht="17.100000000000001" customHeight="1" thickBot="1">
      <c r="A19" s="217">
        <f>Gen!A25</f>
        <v>44242</v>
      </c>
      <c r="B19" s="399">
        <f>Gen!B25</f>
        <v>0</v>
      </c>
      <c r="C19" s="443">
        <f>Gen!AJ25</f>
        <v>0</v>
      </c>
      <c r="D19" s="444">
        <f>Gen!S25</f>
        <v>0</v>
      </c>
      <c r="E19" s="395">
        <f>Gen!C25</f>
        <v>37627.399999999994</v>
      </c>
      <c r="F19" s="396">
        <f>'Water-Meter'!E20</f>
        <v>0</v>
      </c>
      <c r="G19" s="397">
        <f>'Water-Meter'!AN20</f>
        <v>0</v>
      </c>
      <c r="H19" s="395">
        <f>'Utility report '!AC20</f>
        <v>0</v>
      </c>
      <c r="I19" s="394">
        <f>'Kit report'!F18</f>
        <v>0</v>
      </c>
      <c r="J19" s="395">
        <f>'Kit report'!X18</f>
        <v>0</v>
      </c>
    </row>
    <row r="20" spans="1:10" ht="17.100000000000001" customHeight="1" thickBot="1">
      <c r="A20" s="217">
        <f>Gen!A26</f>
        <v>44243</v>
      </c>
      <c r="B20" s="399">
        <f>Gen!B26</f>
        <v>0</v>
      </c>
      <c r="C20" s="443">
        <f>Gen!AJ26</f>
        <v>0</v>
      </c>
      <c r="D20" s="444">
        <f>Gen!S26</f>
        <v>0</v>
      </c>
      <c r="E20" s="395">
        <f>Gen!C26</f>
        <v>37627.399999999994</v>
      </c>
      <c r="F20" s="396">
        <f>'Water-Meter'!E21</f>
        <v>0</v>
      </c>
      <c r="G20" s="397">
        <f>'Water-Meter'!AN21</f>
        <v>0</v>
      </c>
      <c r="H20" s="395">
        <f>'Utility report '!AC21</f>
        <v>0</v>
      </c>
      <c r="I20" s="394">
        <f>'Kit report'!F19</f>
        <v>0</v>
      </c>
      <c r="J20" s="395">
        <f>'Kit report'!X19</f>
        <v>0</v>
      </c>
    </row>
    <row r="21" spans="1:10" ht="15.75" thickBot="1">
      <c r="A21" s="217">
        <f>Gen!A27</f>
        <v>44244</v>
      </c>
      <c r="B21" s="399">
        <f>Gen!B27</f>
        <v>0</v>
      </c>
      <c r="C21" s="443">
        <f>Gen!AJ27</f>
        <v>0</v>
      </c>
      <c r="D21" s="444">
        <f>Gen!S27</f>
        <v>0</v>
      </c>
      <c r="E21" s="395">
        <f>Gen!C27</f>
        <v>37627.399999999994</v>
      </c>
      <c r="F21" s="396">
        <f>'Water-Meter'!E22</f>
        <v>0</v>
      </c>
      <c r="G21" s="397">
        <f>'Water-Meter'!AN22</f>
        <v>0</v>
      </c>
      <c r="H21" s="395">
        <f>'Utility report '!AC22</f>
        <v>0</v>
      </c>
      <c r="I21" s="394">
        <f>'Kit report'!F20</f>
        <v>0</v>
      </c>
      <c r="J21" s="395">
        <f>'Kit report'!X20</f>
        <v>0</v>
      </c>
    </row>
    <row r="22" spans="1:10" ht="15" customHeight="1" thickBot="1">
      <c r="A22" s="217">
        <f>Gen!A28</f>
        <v>44245</v>
      </c>
      <c r="B22" s="399">
        <f>Gen!B28</f>
        <v>0</v>
      </c>
      <c r="C22" s="443">
        <f>Gen!AJ28</f>
        <v>0</v>
      </c>
      <c r="D22" s="444">
        <f>Gen!S28</f>
        <v>0</v>
      </c>
      <c r="E22" s="395">
        <f>Gen!C28</f>
        <v>37627.399999999994</v>
      </c>
      <c r="F22" s="396">
        <f>'Water-Meter'!E23</f>
        <v>0</v>
      </c>
      <c r="G22" s="397">
        <f>'Water-Meter'!AN23</f>
        <v>0</v>
      </c>
      <c r="H22" s="395">
        <f>'Utility report '!AC23</f>
        <v>0</v>
      </c>
      <c r="I22" s="394">
        <f>'Kit report'!F21</f>
        <v>0</v>
      </c>
      <c r="J22" s="395">
        <f>'Kit report'!X21</f>
        <v>0</v>
      </c>
    </row>
    <row r="23" spans="1:10" ht="15" customHeight="1" thickBot="1">
      <c r="A23" s="217">
        <f>Gen!A29</f>
        <v>44246</v>
      </c>
      <c r="B23" s="399">
        <f>Gen!B29</f>
        <v>0</v>
      </c>
      <c r="C23" s="443">
        <f>Gen!AJ29</f>
        <v>0</v>
      </c>
      <c r="D23" s="444">
        <f>Gen!S29</f>
        <v>0</v>
      </c>
      <c r="E23" s="395">
        <f>Gen!C29</f>
        <v>37627.399999999994</v>
      </c>
      <c r="F23" s="396">
        <f>'Water-Meter'!E24</f>
        <v>0</v>
      </c>
      <c r="G23" s="397">
        <f>'Water-Meter'!AN24</f>
        <v>0</v>
      </c>
      <c r="H23" s="395">
        <f>'Utility report '!AC24</f>
        <v>0</v>
      </c>
      <c r="I23" s="394">
        <f>'Kit report'!F22</f>
        <v>0</v>
      </c>
      <c r="J23" s="395">
        <f>'Kit report'!X22</f>
        <v>0</v>
      </c>
    </row>
    <row r="24" spans="1:10" ht="15" customHeight="1" thickBot="1">
      <c r="A24" s="217">
        <f>Gen!A30</f>
        <v>44247</v>
      </c>
      <c r="B24" s="399">
        <f>Gen!B30</f>
        <v>0</v>
      </c>
      <c r="C24" s="443">
        <f>Gen!AJ30</f>
        <v>0</v>
      </c>
      <c r="D24" s="444">
        <f>Gen!S30</f>
        <v>0</v>
      </c>
      <c r="E24" s="395">
        <f>Gen!C30</f>
        <v>37627.399999999994</v>
      </c>
      <c r="F24" s="396">
        <f>'Water-Meter'!E25</f>
        <v>0</v>
      </c>
      <c r="G24" s="397">
        <f>'Water-Meter'!AN25</f>
        <v>0</v>
      </c>
      <c r="H24" s="395">
        <f>'Utility report '!AC25</f>
        <v>0</v>
      </c>
      <c r="I24" s="394">
        <f>'Kit report'!F23</f>
        <v>0</v>
      </c>
      <c r="J24" s="395">
        <f>'Kit report'!X23</f>
        <v>0</v>
      </c>
    </row>
    <row r="25" spans="1:10" ht="15" customHeight="1" thickBot="1">
      <c r="A25" s="217">
        <f>Gen!A31</f>
        <v>44248</v>
      </c>
      <c r="B25" s="399">
        <f>Gen!B31</f>
        <v>0</v>
      </c>
      <c r="C25" s="443">
        <f>Gen!AJ31</f>
        <v>0</v>
      </c>
      <c r="D25" s="444">
        <f>Gen!S31</f>
        <v>0</v>
      </c>
      <c r="E25" s="395">
        <f>Gen!C31</f>
        <v>37627.399999999994</v>
      </c>
      <c r="F25" s="396">
        <f>'Water-Meter'!E26</f>
        <v>0</v>
      </c>
      <c r="G25" s="397">
        <f>'Water-Meter'!AN26</f>
        <v>0</v>
      </c>
      <c r="H25" s="395">
        <f>'Utility report '!AC26</f>
        <v>0</v>
      </c>
      <c r="I25" s="394">
        <f>'Kit report'!F24</f>
        <v>0</v>
      </c>
      <c r="J25" s="395">
        <f>'Kit report'!X24</f>
        <v>0</v>
      </c>
    </row>
    <row r="26" spans="1:10" ht="15" customHeight="1" thickBot="1">
      <c r="A26" s="217">
        <f>Gen!A32</f>
        <v>44249</v>
      </c>
      <c r="B26" s="399">
        <f>Gen!B32</f>
        <v>0</v>
      </c>
      <c r="C26" s="443">
        <f>Gen!AJ32</f>
        <v>0</v>
      </c>
      <c r="D26" s="444">
        <f>Gen!S32</f>
        <v>0</v>
      </c>
      <c r="E26" s="395">
        <f>Gen!C32</f>
        <v>37627.399999999994</v>
      </c>
      <c r="F26" s="396">
        <f>'Water-Meter'!E27</f>
        <v>0</v>
      </c>
      <c r="G26" s="397">
        <f>'Water-Meter'!AN27</f>
        <v>0</v>
      </c>
      <c r="H26" s="395">
        <f>'Utility report '!AC27</f>
        <v>0</v>
      </c>
      <c r="I26" s="394">
        <f>'Kit report'!F25</f>
        <v>0</v>
      </c>
      <c r="J26" s="395">
        <f>'Kit report'!X25</f>
        <v>0</v>
      </c>
    </row>
    <row r="27" spans="1:10" ht="15" customHeight="1" thickBot="1">
      <c r="A27" s="217">
        <f>Gen!A33</f>
        <v>44250</v>
      </c>
      <c r="B27" s="399">
        <f>Gen!B33</f>
        <v>0</v>
      </c>
      <c r="C27" s="443">
        <f>Gen!AJ33</f>
        <v>0</v>
      </c>
      <c r="D27" s="444">
        <f>Gen!S33</f>
        <v>0</v>
      </c>
      <c r="E27" s="395">
        <f>Gen!C33</f>
        <v>37627.399999999994</v>
      </c>
      <c r="F27" s="396">
        <f>'Water-Meter'!E28</f>
        <v>0</v>
      </c>
      <c r="G27" s="397">
        <f>'Water-Meter'!AN28</f>
        <v>0</v>
      </c>
      <c r="H27" s="395">
        <f>'Utility report '!AC28</f>
        <v>0</v>
      </c>
      <c r="I27" s="394">
        <f>'Kit report'!F26</f>
        <v>0</v>
      </c>
      <c r="J27" s="395">
        <f>'Kit report'!X26</f>
        <v>0</v>
      </c>
    </row>
    <row r="28" spans="1:10" ht="15" customHeight="1" thickBot="1">
      <c r="A28" s="217">
        <f>Gen!A34</f>
        <v>44251</v>
      </c>
      <c r="B28" s="399">
        <f>Gen!B34</f>
        <v>0</v>
      </c>
      <c r="C28" s="443">
        <f>Gen!AJ34</f>
        <v>0</v>
      </c>
      <c r="D28" s="444">
        <f>Gen!S34</f>
        <v>0</v>
      </c>
      <c r="E28" s="395">
        <f>Gen!C34</f>
        <v>37627.399999999994</v>
      </c>
      <c r="F28" s="396">
        <f>'Water-Meter'!E29</f>
        <v>0</v>
      </c>
      <c r="G28" s="397">
        <f>'Water-Meter'!AN29</f>
        <v>0</v>
      </c>
      <c r="H28" s="395">
        <f>'Utility report '!AC29</f>
        <v>0</v>
      </c>
      <c r="I28" s="394">
        <f>'Kit report'!F27</f>
        <v>0</v>
      </c>
      <c r="J28" s="395">
        <f>'Kit report'!X27</f>
        <v>0</v>
      </c>
    </row>
    <row r="29" spans="1:10" ht="15" customHeight="1" thickBot="1">
      <c r="A29" s="217">
        <f>Gen!A35</f>
        <v>44252</v>
      </c>
      <c r="B29" s="399">
        <f>Gen!B35</f>
        <v>0</v>
      </c>
      <c r="C29" s="443">
        <f>Gen!AJ35</f>
        <v>0</v>
      </c>
      <c r="D29" s="444">
        <f>Gen!S35</f>
        <v>0</v>
      </c>
      <c r="E29" s="395">
        <f>Gen!C35</f>
        <v>37627.399999999994</v>
      </c>
      <c r="F29" s="396">
        <f>'Water-Meter'!E30</f>
        <v>0</v>
      </c>
      <c r="G29" s="397">
        <f>'Water-Meter'!AN30</f>
        <v>0</v>
      </c>
      <c r="H29" s="395">
        <f>'Utility report '!AC30</f>
        <v>0</v>
      </c>
      <c r="I29" s="394">
        <f>'Kit report'!F28</f>
        <v>0</v>
      </c>
      <c r="J29" s="395">
        <f>'Kit report'!X28</f>
        <v>0</v>
      </c>
    </row>
    <row r="30" spans="1:10" ht="15" customHeight="1" thickBot="1">
      <c r="A30" s="217">
        <f>Gen!A36</f>
        <v>44253</v>
      </c>
      <c r="B30" s="399">
        <f>Gen!B36</f>
        <v>0</v>
      </c>
      <c r="C30" s="443">
        <f>Gen!AJ36</f>
        <v>0</v>
      </c>
      <c r="D30" s="444">
        <f>Gen!S36</f>
        <v>0</v>
      </c>
      <c r="E30" s="395">
        <f>Gen!C36</f>
        <v>37627.399999999994</v>
      </c>
      <c r="F30" s="396">
        <f>'Water-Meter'!E31</f>
        <v>0</v>
      </c>
      <c r="G30" s="397">
        <f>'Water-Meter'!AN31</f>
        <v>0</v>
      </c>
      <c r="H30" s="395">
        <f>'Utility report '!AC31</f>
        <v>0</v>
      </c>
      <c r="I30" s="394">
        <f>'Kit report'!F29</f>
        <v>0</v>
      </c>
      <c r="J30" s="395">
        <f>'Kit report'!X29</f>
        <v>0</v>
      </c>
    </row>
    <row r="31" spans="1:10" ht="15" customHeight="1" thickBot="1">
      <c r="A31" s="217">
        <f>Gen!A37</f>
        <v>44254</v>
      </c>
      <c r="B31" s="399">
        <f>Gen!B37</f>
        <v>0</v>
      </c>
      <c r="C31" s="443">
        <f>Gen!AJ37</f>
        <v>0</v>
      </c>
      <c r="D31" s="444">
        <f>Gen!S37</f>
        <v>0</v>
      </c>
      <c r="E31" s="395">
        <f>Gen!C37</f>
        <v>37627.399999999994</v>
      </c>
      <c r="F31" s="396">
        <f>'Water-Meter'!E32</f>
        <v>0</v>
      </c>
      <c r="G31" s="397">
        <f>'Water-Meter'!AN32</f>
        <v>0</v>
      </c>
      <c r="H31" s="395">
        <f>'Utility report '!AC32</f>
        <v>0</v>
      </c>
      <c r="I31" s="394">
        <f>'Kit report'!F30</f>
        <v>0</v>
      </c>
      <c r="J31" s="395">
        <f>'Kit report'!X30</f>
        <v>0</v>
      </c>
    </row>
    <row r="32" spans="1:10" ht="15" customHeight="1" thickBot="1">
      <c r="A32" s="217">
        <f>Gen!A38</f>
        <v>44255</v>
      </c>
      <c r="B32" s="399">
        <f>Gen!B38</f>
        <v>0</v>
      </c>
      <c r="C32" s="443">
        <f>Gen!AJ38</f>
        <v>0</v>
      </c>
      <c r="D32" s="444">
        <f>Gen!S38</f>
        <v>0</v>
      </c>
      <c r="E32" s="395">
        <f>Gen!C38</f>
        <v>37627.399999999994</v>
      </c>
      <c r="F32" s="396">
        <f>'Water-Meter'!E33</f>
        <v>0</v>
      </c>
      <c r="G32" s="397">
        <f>'Water-Meter'!AN33</f>
        <v>0</v>
      </c>
      <c r="H32" s="395">
        <f>'Utility report '!AC33</f>
        <v>0</v>
      </c>
      <c r="I32" s="394">
        <f>'Kit report'!F31</f>
        <v>0</v>
      </c>
      <c r="J32" s="395">
        <f>'Kit report'!X31</f>
        <v>0</v>
      </c>
    </row>
    <row r="33" spans="1:10" ht="15" customHeight="1" thickBot="1">
      <c r="A33" s="217">
        <f>Gen!A39</f>
        <v>0</v>
      </c>
      <c r="B33" s="399">
        <f>Gen!B39</f>
        <v>0</v>
      </c>
      <c r="C33" s="443">
        <f>Gen!AJ39</f>
        <v>0</v>
      </c>
      <c r="D33" s="444">
        <f>Gen!S39</f>
        <v>0</v>
      </c>
      <c r="E33" s="395">
        <f>Gen!C39</f>
        <v>37627.399999999994</v>
      </c>
      <c r="F33" s="396">
        <f>'Water-Meter'!E34</f>
        <v>0</v>
      </c>
      <c r="G33" s="397">
        <f>'Water-Meter'!AN34</f>
        <v>0</v>
      </c>
      <c r="H33" s="395">
        <f>'Utility report '!AC34</f>
        <v>0</v>
      </c>
      <c r="I33" s="394">
        <f>'Kit report'!F32</f>
        <v>0</v>
      </c>
      <c r="J33" s="395">
        <f>'Kit report'!X32</f>
        <v>0</v>
      </c>
    </row>
    <row r="34" spans="1:10" ht="15" customHeight="1" thickBot="1">
      <c r="A34" s="217">
        <f>Gen!A40</f>
        <v>0</v>
      </c>
      <c r="B34" s="399">
        <f>Gen!B40</f>
        <v>0</v>
      </c>
      <c r="C34" s="443">
        <f>Gen!AJ40</f>
        <v>0</v>
      </c>
      <c r="D34" s="444">
        <f>Gen!S40</f>
        <v>0</v>
      </c>
      <c r="E34" s="442">
        <f>Gen!C40</f>
        <v>37627.399999999994</v>
      </c>
      <c r="F34" s="396">
        <f>'Water-Meter'!E35</f>
        <v>0</v>
      </c>
      <c r="G34" s="397">
        <f>'Water-Meter'!AN35</f>
        <v>0</v>
      </c>
      <c r="H34" s="395">
        <f>'Utility report '!AC35</f>
        <v>0</v>
      </c>
      <c r="I34" s="394">
        <f>'Kit report'!F33</f>
        <v>0</v>
      </c>
      <c r="J34" s="395">
        <f>'Kit report'!X33</f>
        <v>0</v>
      </c>
    </row>
    <row r="35" spans="1:10" ht="15" customHeight="1">
      <c r="A35" s="217">
        <f>Gen!A41</f>
        <v>0</v>
      </c>
      <c r="B35" s="399">
        <f>Gen!B41</f>
        <v>0</v>
      </c>
      <c r="C35" s="443">
        <f>Gen!AJ41</f>
        <v>0</v>
      </c>
      <c r="D35" s="444">
        <f>Gen!T41</f>
        <v>0</v>
      </c>
      <c r="E35" s="397">
        <f>Gen!C41</f>
        <v>37627.399999999994</v>
      </c>
      <c r="F35" s="396">
        <f>'Water-Meter'!E36</f>
        <v>0</v>
      </c>
      <c r="G35" s="397">
        <f>'Water-Meter'!AN36</f>
        <v>0</v>
      </c>
      <c r="H35" s="395">
        <f>'Utility report '!AC36</f>
        <v>0</v>
      </c>
      <c r="I35" s="394">
        <f>'Kit report'!F34</f>
        <v>0</v>
      </c>
      <c r="J35" s="395">
        <f>'Kit report'!X34</f>
        <v>0</v>
      </c>
    </row>
    <row r="36" spans="1:10" ht="15">
      <c r="A36" s="217"/>
      <c r="B36" s="17"/>
      <c r="C36" s="443">
        <f>Gen!AK42</f>
        <v>0</v>
      </c>
      <c r="D36" s="444">
        <f>Gen!T42</f>
        <v>0</v>
      </c>
      <c r="E36" s="397">
        <f>Gen!C42</f>
        <v>37627.399999999994</v>
      </c>
      <c r="F36" s="396">
        <f>'Water-Meter'!E37</f>
        <v>0</v>
      </c>
      <c r="G36" s="397">
        <f>'Water-Meter'!AN37</f>
        <v>82</v>
      </c>
      <c r="H36" s="395">
        <f>'Utility report '!AC37</f>
        <v>0</v>
      </c>
      <c r="I36" s="394">
        <f>'Kit report'!F35</f>
        <v>-1089336</v>
      </c>
      <c r="J36" s="395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michael.wendo</cp:lastModifiedBy>
  <cp:lastPrinted>2020-08-16T05:05:58Z</cp:lastPrinted>
  <dcterms:created xsi:type="dcterms:W3CDTF">2009-01-25T09:02:38Z</dcterms:created>
  <dcterms:modified xsi:type="dcterms:W3CDTF">2021-02-02T13:35:18Z</dcterms:modified>
</cp:coreProperties>
</file>