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mericas/Whistler/"/>
    </mc:Choice>
  </mc:AlternateContent>
  <xr:revisionPtr revIDLastSave="0" documentId="8_{B673C124-3896-40EC-AD81-4CEBD10383DD}" xr6:coauthVersionLast="46" xr6:coauthVersionMax="46" xr10:uidLastSave="{00000000-0000-0000-0000-000000000000}"/>
  <bookViews>
    <workbookView xWindow="-108" yWindow="-108" windowWidth="23256" windowHeight="12408" xr2:uid="{00000000-000D-0000-FFFF-FFFF00000000}"/>
  </bookViews>
  <sheets>
    <sheet name="TOTAL" sheetId="2" r:id="rId1"/>
    <sheet name="FSRW Meter Readings" sheetId="1" r:id="rId2"/>
  </sheets>
  <definedNames>
    <definedName name="_xlnm.Print_Titles" localSheetId="1">'FSRW Meter Readings'!$1:$5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M38" i="1"/>
  <c r="L38" i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K36" i="1" l="1"/>
  <c r="I31" i="2" s="1"/>
  <c r="K35" i="1"/>
  <c r="I30" i="2" s="1"/>
  <c r="K34" i="1"/>
  <c r="I29" i="2" s="1"/>
  <c r="K33" i="1"/>
  <c r="I28" i="2" s="1"/>
  <c r="I36" i="1"/>
  <c r="J36" i="1" s="1"/>
  <c r="E31" i="2" s="1"/>
  <c r="I35" i="1"/>
  <c r="J35" i="1" s="1"/>
  <c r="E30" i="2" s="1"/>
  <c r="I34" i="1"/>
  <c r="J34" i="1" s="1"/>
  <c r="E29" i="2" s="1"/>
  <c r="I33" i="1"/>
  <c r="J33" i="1" s="1"/>
  <c r="E28" i="2" s="1"/>
  <c r="G36" i="1"/>
  <c r="G35" i="1"/>
  <c r="H35" i="1" s="1"/>
  <c r="G30" i="2" s="1"/>
  <c r="G34" i="1"/>
  <c r="H34" i="1" s="1"/>
  <c r="G29" i="2" s="1"/>
  <c r="G33" i="1"/>
  <c r="H33" i="1" s="1"/>
  <c r="G28" i="2" s="1"/>
  <c r="C35" i="1"/>
  <c r="B35" i="1"/>
  <c r="C34" i="1"/>
  <c r="B34" i="1"/>
  <c r="C33" i="1"/>
  <c r="B33" i="1"/>
  <c r="K37" i="1" l="1"/>
  <c r="I32" i="2" s="1"/>
  <c r="K32" i="1"/>
  <c r="I27" i="2" s="1"/>
  <c r="K31" i="1"/>
  <c r="I26" i="2" s="1"/>
  <c r="K30" i="1"/>
  <c r="I25" i="2" s="1"/>
  <c r="K29" i="1"/>
  <c r="I24" i="2" s="1"/>
  <c r="K28" i="1"/>
  <c r="I23" i="2" s="1"/>
  <c r="K27" i="1"/>
  <c r="I22" i="2" s="1"/>
  <c r="K26" i="1"/>
  <c r="I21" i="2" s="1"/>
  <c r="K25" i="1"/>
  <c r="I20" i="2" s="1"/>
  <c r="K24" i="1"/>
  <c r="I19" i="2" s="1"/>
  <c r="K23" i="1"/>
  <c r="I18" i="2" s="1"/>
  <c r="K22" i="1"/>
  <c r="I17" i="2" s="1"/>
  <c r="K21" i="1"/>
  <c r="I16" i="2" s="1"/>
  <c r="K20" i="1"/>
  <c r="I15" i="2" s="1"/>
  <c r="K19" i="1"/>
  <c r="I14" i="2" s="1"/>
  <c r="K18" i="1"/>
  <c r="I13" i="2" s="1"/>
  <c r="K17" i="1"/>
  <c r="I12" i="2" s="1"/>
  <c r="K16" i="1"/>
  <c r="I11" i="2" s="1"/>
  <c r="K15" i="1"/>
  <c r="I10" i="2" s="1"/>
  <c r="K14" i="1"/>
  <c r="I9" i="2" s="1"/>
  <c r="K13" i="1"/>
  <c r="I8" i="2" s="1"/>
  <c r="K12" i="1"/>
  <c r="I7" i="2" s="1"/>
  <c r="K11" i="1"/>
  <c r="I6" i="2" s="1"/>
  <c r="K10" i="1"/>
  <c r="I5" i="2" s="1"/>
  <c r="K9" i="1"/>
  <c r="I4" i="2" s="1"/>
  <c r="K8" i="1"/>
  <c r="I3" i="2" s="1"/>
  <c r="K7" i="1"/>
  <c r="I2" i="2" s="1"/>
  <c r="I37" i="1"/>
  <c r="J37" i="1" s="1"/>
  <c r="E32" i="2" s="1"/>
  <c r="I32" i="1"/>
  <c r="J32" i="1" s="1"/>
  <c r="E27" i="2" s="1"/>
  <c r="I31" i="1"/>
  <c r="J31" i="1" s="1"/>
  <c r="E26" i="2" s="1"/>
  <c r="I30" i="1"/>
  <c r="J30" i="1" s="1"/>
  <c r="E25" i="2" s="1"/>
  <c r="I29" i="1"/>
  <c r="J29" i="1" s="1"/>
  <c r="E24" i="2" s="1"/>
  <c r="I28" i="1"/>
  <c r="J28" i="1" s="1"/>
  <c r="E23" i="2" s="1"/>
  <c r="I27" i="1"/>
  <c r="J27" i="1" s="1"/>
  <c r="E22" i="2" s="1"/>
  <c r="I26" i="1"/>
  <c r="J26" i="1" s="1"/>
  <c r="E21" i="2" s="1"/>
  <c r="I25" i="1"/>
  <c r="J25" i="1" s="1"/>
  <c r="E20" i="2" s="1"/>
  <c r="I24" i="1"/>
  <c r="J24" i="1" s="1"/>
  <c r="E19" i="2" s="1"/>
  <c r="I23" i="1"/>
  <c r="J23" i="1" s="1"/>
  <c r="I22" i="1"/>
  <c r="J22" i="1" s="1"/>
  <c r="E17" i="2" s="1"/>
  <c r="I21" i="1"/>
  <c r="J21" i="1" s="1"/>
  <c r="E16" i="2" s="1"/>
  <c r="I20" i="1"/>
  <c r="J20" i="1" s="1"/>
  <c r="E15" i="2" s="1"/>
  <c r="I19" i="1"/>
  <c r="J19" i="1" s="1"/>
  <c r="E14" i="2" s="1"/>
  <c r="I18" i="1"/>
  <c r="J18" i="1" s="1"/>
  <c r="E13" i="2" s="1"/>
  <c r="I17" i="1"/>
  <c r="J17" i="1" s="1"/>
  <c r="E12" i="2" s="1"/>
  <c r="I16" i="1"/>
  <c r="J16" i="1" s="1"/>
  <c r="E11" i="2" s="1"/>
  <c r="I15" i="1"/>
  <c r="J15" i="1" s="1"/>
  <c r="E10" i="2" s="1"/>
  <c r="I14" i="1"/>
  <c r="J14" i="1" s="1"/>
  <c r="E9" i="2" s="1"/>
  <c r="I12" i="1"/>
  <c r="J12" i="1" s="1"/>
  <c r="E7" i="2" s="1"/>
  <c r="I11" i="1"/>
  <c r="J11" i="1" s="1"/>
  <c r="E6" i="2" s="1"/>
  <c r="I10" i="1"/>
  <c r="J10" i="1" s="1"/>
  <c r="E5" i="2" s="1"/>
  <c r="I13" i="1"/>
  <c r="J13" i="1" s="1"/>
  <c r="E8" i="2" s="1"/>
  <c r="I9" i="1"/>
  <c r="J9" i="1" s="1"/>
  <c r="E4" i="2" s="1"/>
  <c r="I8" i="1"/>
  <c r="J8" i="1" s="1"/>
  <c r="E3" i="2" s="1"/>
  <c r="I7" i="1"/>
  <c r="J7" i="1" s="1"/>
  <c r="E2" i="2" s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25" i="1"/>
  <c r="G28" i="1"/>
  <c r="G29" i="1"/>
  <c r="G30" i="1"/>
  <c r="G31" i="1"/>
  <c r="G37" i="1"/>
  <c r="G32" i="1"/>
  <c r="G11" i="1"/>
  <c r="G10" i="1"/>
  <c r="G9" i="1"/>
  <c r="G8" i="1"/>
  <c r="G7" i="1"/>
  <c r="G27" i="1"/>
  <c r="G26" i="1"/>
  <c r="E18" i="2" l="1"/>
  <c r="J38" i="1"/>
  <c r="B37" i="1"/>
  <c r="B36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C37" i="1"/>
  <c r="C36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H10" i="1"/>
  <c r="G5" i="2" s="1"/>
  <c r="H11" i="1"/>
  <c r="G6" i="2" s="1"/>
  <c r="H12" i="1"/>
  <c r="G7" i="2" s="1"/>
  <c r="H13" i="1"/>
  <c r="G8" i="2" s="1"/>
  <c r="H14" i="1"/>
  <c r="G9" i="2" s="1"/>
  <c r="H15" i="1"/>
  <c r="G10" i="2" s="1"/>
  <c r="H16" i="1"/>
  <c r="G11" i="2" s="1"/>
  <c r="H17" i="1"/>
  <c r="G12" i="2" s="1"/>
  <c r="H18" i="1"/>
  <c r="G13" i="2" s="1"/>
  <c r="H19" i="1"/>
  <c r="G14" i="2" s="1"/>
  <c r="H20" i="1"/>
  <c r="G15" i="2" s="1"/>
  <c r="H21" i="1"/>
  <c r="G16" i="2" s="1"/>
  <c r="H22" i="1"/>
  <c r="G17" i="2" s="1"/>
  <c r="H23" i="1"/>
  <c r="G18" i="2" s="1"/>
  <c r="H24" i="1"/>
  <c r="G19" i="2" s="1"/>
  <c r="H25" i="1"/>
  <c r="G20" i="2" s="1"/>
  <c r="H26" i="1"/>
  <c r="G21" i="2" s="1"/>
  <c r="H27" i="1"/>
  <c r="G22" i="2" s="1"/>
  <c r="H28" i="1"/>
  <c r="G23" i="2" s="1"/>
  <c r="H29" i="1"/>
  <c r="G24" i="2" s="1"/>
  <c r="H30" i="1"/>
  <c r="G25" i="2" s="1"/>
  <c r="H31" i="1"/>
  <c r="G26" i="2" s="1"/>
  <c r="H32" i="1"/>
  <c r="G27" i="2" s="1"/>
  <c r="H36" i="1"/>
  <c r="G31" i="2" s="1"/>
  <c r="H37" i="1"/>
  <c r="G32" i="2" s="1"/>
  <c r="H7" i="1"/>
  <c r="G2" i="2" s="1"/>
  <c r="H8" i="1"/>
  <c r="G3" i="2" s="1"/>
  <c r="H9" i="1"/>
  <c r="G4" i="2" s="1"/>
  <c r="I38" i="1" l="1"/>
  <c r="K38" i="1"/>
  <c r="H38" i="1"/>
  <c r="G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Hartwell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Select month for this sheet</t>
        </r>
      </text>
    </comment>
    <comment ref="E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Input year for sheet</t>
        </r>
      </text>
    </comment>
    <comment ref="A6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Readings from last day of previous month
</t>
        </r>
      </text>
    </comment>
  </commentList>
</comments>
</file>

<file path=xl/sharedStrings.xml><?xml version="1.0" encoding="utf-8"?>
<sst xmlns="http://schemas.openxmlformats.org/spreadsheetml/2006/main" count="63" uniqueCount="25">
  <si>
    <t>Day</t>
  </si>
  <si>
    <t>Month</t>
  </si>
  <si>
    <t>Year</t>
  </si>
  <si>
    <t>March</t>
  </si>
  <si>
    <t>Daily Readings</t>
  </si>
  <si>
    <t>Daily Meter Readings</t>
  </si>
  <si>
    <t>Hotel</t>
  </si>
  <si>
    <t>Gas (GJ)</t>
  </si>
  <si>
    <r>
      <t>Gas (M</t>
    </r>
    <r>
      <rPr>
        <b/>
        <sz val="11"/>
        <color theme="3"/>
        <rFont val="Calibri"/>
        <family val="2"/>
      </rPr>
      <t>³)</t>
    </r>
  </si>
  <si>
    <t>Hydro (Kw/h)</t>
  </si>
  <si>
    <t>Totals:</t>
  </si>
  <si>
    <t>Water (M³)</t>
  </si>
  <si>
    <t>Prev Month:</t>
  </si>
  <si>
    <t>Calculated usage from previous reading</t>
  </si>
  <si>
    <t>Kw/h with multiplier</t>
  </si>
  <si>
    <t>Site Name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</si>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</sst>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4" tint="0.399975585192419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8" fillId="0" borderId="0"/>
  </cellStyleXfs>
  <cellXfs count="36">
    <xf numFmtId="0" fontId="0" fillId="0" borderId="0" xfId="0"/>
    <xf numFmtId="0" fontId="0" fillId="0" borderId="0" xfId="0" applyAlignment="1">
      <alignment horizontal="right"/>
    </xf>
    <xf numFmtId="0" fontId="0" fillId="2" borderId="4" xfId="0" applyFill="1" applyBorder="1"/>
    <xf numFmtId="0" fontId="0" fillId="0" borderId="0" xfId="0" applyAlignment="1">
      <alignment horizontal="left"/>
    </xf>
    <xf numFmtId="3" fontId="0" fillId="3" borderId="3" xfId="0" applyNumberFormat="1" applyFill="1" applyBorder="1"/>
    <xf numFmtId="3" fontId="0" fillId="3" borderId="3" xfId="0" applyNumberFormat="1" applyFill="1" applyBorder="1" applyAlignment="1" applyProtection="1">
      <protection hidden="1"/>
    </xf>
    <xf numFmtId="3" fontId="0" fillId="0" borderId="4" xfId="0" applyNumberFormat="1" applyBorder="1"/>
    <xf numFmtId="0" fontId="0" fillId="2" borderId="4" xfId="0" applyFill="1" applyBorder="1" applyAlignment="1">
      <alignment vertical="center"/>
    </xf>
    <xf numFmtId="0" fontId="0" fillId="2" borderId="4" xfId="0" applyNumberFormat="1" applyFill="1" applyBorder="1" applyAlignment="1">
      <alignment vertical="center"/>
    </xf>
    <xf numFmtId="1" fontId="0" fillId="2" borderId="4" xfId="0" applyNumberFormat="1" applyFill="1" applyBorder="1"/>
    <xf numFmtId="2" fontId="0" fillId="2" borderId="4" xfId="0" applyNumberFormat="1" applyFill="1" applyBorder="1"/>
    <xf numFmtId="1" fontId="0" fillId="2" borderId="4" xfId="0" applyNumberFormat="1" applyFill="1" applyBorder="1" applyAlignment="1" applyProtection="1"/>
    <xf numFmtId="0" fontId="1" fillId="0" borderId="0" xfId="1"/>
    <xf numFmtId="0" fontId="0" fillId="0" borderId="0" xfId="0" applyNumberFormat="1" applyAlignment="1">
      <alignment horizontal="right"/>
    </xf>
    <xf numFmtId="0" fontId="2" fillId="0" borderId="1" xfId="2" applyAlignment="1">
      <alignment vertical="center"/>
    </xf>
    <xf numFmtId="0" fontId="2" fillId="0" borderId="5" xfId="2" applyBorder="1" applyAlignment="1">
      <alignment horizontal="center" vertical="center"/>
    </xf>
    <xf numFmtId="0" fontId="2" fillId="0" borderId="5" xfId="2" applyBorder="1" applyAlignment="1">
      <alignment horizontal="center" vertical="center" wrapText="1"/>
    </xf>
    <xf numFmtId="4" fontId="0" fillId="0" borderId="2" xfId="0" applyNumberFormat="1" applyBorder="1"/>
    <xf numFmtId="3" fontId="0" fillId="0" borderId="2" xfId="0" applyNumberFormat="1" applyBorder="1"/>
    <xf numFmtId="0" fontId="2" fillId="0" borderId="6" xfId="2" applyBorder="1" applyAlignment="1">
      <alignment horizontal="center" vertical="center"/>
    </xf>
    <xf numFmtId="164" fontId="0" fillId="0" borderId="4" xfId="0" applyNumberFormat="1" applyBorder="1"/>
    <xf numFmtId="165" fontId="0" fillId="2" borderId="4" xfId="0" applyNumberFormat="1" applyFill="1" applyBorder="1"/>
    <xf numFmtId="164" fontId="0" fillId="0" borderId="2" xfId="0" applyNumberFormat="1" applyBorder="1"/>
    <xf numFmtId="0" fontId="7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2" fontId="9" fillId="0" borderId="2" xfId="3" applyNumberFormat="1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8" fillId="0" borderId="0" xfId="3"/>
    <xf numFmtId="0" fontId="10" fillId="0" borderId="2" xfId="3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1" fontId="8" fillId="0" borderId="2" xfId="3" applyNumberFormat="1" applyBorder="1" applyAlignment="1">
      <alignment horizontal="center"/>
    </xf>
    <xf numFmtId="2" fontId="6" fillId="0" borderId="2" xfId="3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right"/>
    </xf>
  </cellXfs>
  <cellStyles count="4">
    <cellStyle name="Heading 3" xfId="2" builtinId="18"/>
    <cellStyle name="Normal" xfId="0" builtinId="0"/>
    <cellStyle name="Normal 2" xfId="3" xr:uid="{00000000-0005-0000-0000-000002000000}"/>
    <cellStyle name="Title" xfId="1" builtinId="15"/>
  </cellStyles>
  <dxfs count="7"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35719</xdr:colOff>
      <xdr:row>0</xdr:row>
      <xdr:rowOff>0</xdr:rowOff>
    </xdr:from>
    <xdr:to>
      <xdr:col>9</xdr:col>
      <xdr:colOff>716093</xdr:colOff>
      <xdr:row>2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469" y="0"/>
          <a:ext cx="1418562" cy="1005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L6" sqref="L6"/>
    </sheetView>
  </sheetViews>
  <sheetFormatPr defaultColWidth="9.109375" defaultRowHeight="13.2" x14ac:dyDescent="0.25"/>
  <cols>
    <col min="1" max="1" width="12.6640625" style="28" bestFit="1" customWidth="1"/>
    <col min="2" max="4" width="9.109375" style="28"/>
    <col min="5" max="5" width="10.6640625" style="28" customWidth="1"/>
    <col min="6" max="6" width="12.109375" style="28" customWidth="1"/>
    <col min="7" max="8" width="9.109375" style="28"/>
    <col min="9" max="9" width="10.88671875" style="28" customWidth="1"/>
    <col min="10" max="10" width="11.33203125" style="28" customWidth="1"/>
    <col min="11" max="16384" width="9.109375" style="28"/>
  </cols>
  <sheetData>
    <row r="1" spans="1:12" ht="57.6" x14ac:dyDescent="0.25">
      <c r="A1" s="23" t="s">
        <v>15</v>
      </c>
      <c r="B1" s="23" t="s">
        <v>0</v>
      </c>
      <c r="C1" s="24" t="s">
        <v>1</v>
      </c>
      <c r="D1" s="23" t="s">
        <v>2</v>
      </c>
      <c r="E1" s="25" t="s">
        <v>16</v>
      </c>
      <c r="F1" s="26" t="s">
        <v>17</v>
      </c>
      <c r="G1" s="25" t="s">
        <v>18</v>
      </c>
      <c r="H1" s="26" t="s">
        <v>19</v>
      </c>
      <c r="I1" s="25" t="s">
        <v>20</v>
      </c>
      <c r="J1" s="27" t="s">
        <v>21</v>
      </c>
      <c r="K1" s="25" t="s">
        <v>22</v>
      </c>
      <c r="L1" s="25" t="s">
        <v>23</v>
      </c>
    </row>
    <row r="2" spans="1:12" ht="14.4" x14ac:dyDescent="0.3">
      <c r="A2" s="29" t="s">
        <v>24</v>
      </c>
      <c r="B2" s="30">
        <v>1</v>
      </c>
      <c r="C2" s="31">
        <v>3</v>
      </c>
      <c r="D2" s="30">
        <v>2021</v>
      </c>
      <c r="E2" s="32">
        <f>'FSRW Meter Readings'!J7</f>
        <v>12000</v>
      </c>
      <c r="F2" s="33">
        <v>0.06</v>
      </c>
      <c r="G2" s="32">
        <f>'FSRW Meter Readings'!H7</f>
        <v>2189.5935600000003</v>
      </c>
      <c r="H2" s="33">
        <v>0.4</v>
      </c>
      <c r="I2" s="32">
        <f>'FSRW Meter Readings'!K7</f>
        <v>3</v>
      </c>
      <c r="J2" s="33"/>
      <c r="K2" s="32">
        <f>'FSRW Meter Readings'!L7</f>
        <v>0</v>
      </c>
      <c r="L2" s="32">
        <f>'FSRW Meter Readings'!M7</f>
        <v>0</v>
      </c>
    </row>
    <row r="3" spans="1:12" ht="14.4" x14ac:dyDescent="0.3">
      <c r="A3" s="29" t="s">
        <v>24</v>
      </c>
      <c r="B3" s="30">
        <f>B2+1</f>
        <v>2</v>
      </c>
      <c r="C3" s="31">
        <v>3</v>
      </c>
      <c r="D3" s="30">
        <v>2021</v>
      </c>
      <c r="E3" s="32">
        <f>'FSRW Meter Readings'!J8</f>
        <v>15600</v>
      </c>
      <c r="F3" s="33">
        <v>0.06</v>
      </c>
      <c r="G3" s="32">
        <f>'FSRW Meter Readings'!H8</f>
        <v>2802.6797568000006</v>
      </c>
      <c r="H3" s="33">
        <v>0.4</v>
      </c>
      <c r="I3" s="32">
        <f>'FSRW Meter Readings'!K8</f>
        <v>1</v>
      </c>
      <c r="J3" s="33"/>
      <c r="K3" s="32">
        <f>'FSRW Meter Readings'!L8</f>
        <v>0</v>
      </c>
      <c r="L3" s="32">
        <f>'FSRW Meter Readings'!M8</f>
        <v>0</v>
      </c>
    </row>
    <row r="4" spans="1:12" ht="14.4" x14ac:dyDescent="0.3">
      <c r="A4" s="29" t="s">
        <v>24</v>
      </c>
      <c r="B4" s="30">
        <f t="shared" ref="B4:B32" si="0">B3+1</f>
        <v>3</v>
      </c>
      <c r="C4" s="31">
        <v>3</v>
      </c>
      <c r="D4" s="30">
        <v>2021</v>
      </c>
      <c r="E4" s="32">
        <f>'FSRW Meter Readings'!J9</f>
        <v>14400</v>
      </c>
      <c r="F4" s="33">
        <v>0.06</v>
      </c>
      <c r="G4" s="32">
        <f>'FSRW Meter Readings'!H9</f>
        <v>2773.4851760000006</v>
      </c>
      <c r="H4" s="33">
        <v>0.4</v>
      </c>
      <c r="I4" s="32">
        <f>'FSRW Meter Readings'!K9</f>
        <v>3</v>
      </c>
      <c r="J4" s="33"/>
      <c r="K4" s="32">
        <f>'FSRW Meter Readings'!L9</f>
        <v>0</v>
      </c>
      <c r="L4" s="32">
        <f>'FSRW Meter Readings'!M9</f>
        <v>0</v>
      </c>
    </row>
    <row r="5" spans="1:12" ht="14.4" x14ac:dyDescent="0.3">
      <c r="A5" s="29" t="s">
        <v>24</v>
      </c>
      <c r="B5" s="30">
        <f t="shared" si="0"/>
        <v>4</v>
      </c>
      <c r="C5" s="31">
        <v>3</v>
      </c>
      <c r="D5" s="30">
        <v>2021</v>
      </c>
      <c r="E5" s="32">
        <f>'FSRW Meter Readings'!J10</f>
        <v>14400</v>
      </c>
      <c r="F5" s="33">
        <v>0.06</v>
      </c>
      <c r="G5" s="32">
        <f>'FSRW Meter Readings'!H10</f>
        <v>2773.4851760000006</v>
      </c>
      <c r="H5" s="33">
        <v>0.4</v>
      </c>
      <c r="I5" s="32">
        <f>'FSRW Meter Readings'!K10</f>
        <v>6</v>
      </c>
      <c r="J5" s="33"/>
      <c r="K5" s="32">
        <f>'FSRW Meter Readings'!L10</f>
        <v>0</v>
      </c>
      <c r="L5" s="32">
        <f>'FSRW Meter Readings'!M10</f>
        <v>0</v>
      </c>
    </row>
    <row r="6" spans="1:12" ht="14.4" x14ac:dyDescent="0.3">
      <c r="A6" s="29" t="s">
        <v>24</v>
      </c>
      <c r="B6" s="30">
        <f t="shared" si="0"/>
        <v>5</v>
      </c>
      <c r="C6" s="31">
        <v>3</v>
      </c>
      <c r="D6" s="30">
        <v>2021</v>
      </c>
      <c r="E6" s="32">
        <f>'FSRW Meter Readings'!J11</f>
        <v>16800</v>
      </c>
      <c r="F6" s="33">
        <v>0.06</v>
      </c>
      <c r="G6" s="32">
        <f>'FSRW Meter Readings'!H11</f>
        <v>3240.5984687999999</v>
      </c>
      <c r="H6" s="33">
        <v>0.4</v>
      </c>
      <c r="I6" s="32">
        <f>'FSRW Meter Readings'!K11</f>
        <v>7</v>
      </c>
      <c r="J6" s="33"/>
      <c r="K6" s="32">
        <f>'FSRW Meter Readings'!L11</f>
        <v>0</v>
      </c>
      <c r="L6" s="32">
        <f>'FSRW Meter Readings'!M11</f>
        <v>0</v>
      </c>
    </row>
    <row r="7" spans="1:12" ht="14.4" x14ac:dyDescent="0.3">
      <c r="A7" s="29" t="s">
        <v>24</v>
      </c>
      <c r="B7" s="30">
        <f t="shared" si="0"/>
        <v>6</v>
      </c>
      <c r="C7" s="31">
        <v>3</v>
      </c>
      <c r="D7" s="30">
        <v>2021</v>
      </c>
      <c r="E7" s="32">
        <f>'FSRW Meter Readings'!J12</f>
        <v>15600</v>
      </c>
      <c r="F7" s="33">
        <v>0.06</v>
      </c>
      <c r="G7" s="32">
        <f>'FSRW Meter Readings'!H12</f>
        <v>3007.0418224000005</v>
      </c>
      <c r="H7" s="33">
        <v>0.4</v>
      </c>
      <c r="I7" s="32">
        <f>'FSRW Meter Readings'!K12</f>
        <v>7</v>
      </c>
      <c r="J7" s="33"/>
      <c r="K7" s="32">
        <f>'FSRW Meter Readings'!L12</f>
        <v>0</v>
      </c>
      <c r="L7" s="32">
        <f>'FSRW Meter Readings'!M12</f>
        <v>0</v>
      </c>
    </row>
    <row r="8" spans="1:12" ht="14.4" x14ac:dyDescent="0.3">
      <c r="A8" s="29" t="s">
        <v>24</v>
      </c>
      <c r="B8" s="30">
        <f t="shared" si="0"/>
        <v>7</v>
      </c>
      <c r="C8" s="31">
        <v>3</v>
      </c>
      <c r="D8" s="30">
        <v>2021</v>
      </c>
      <c r="E8" s="32">
        <f>'FSRW Meter Readings'!J13</f>
        <v>15600</v>
      </c>
      <c r="F8" s="33">
        <v>0.06</v>
      </c>
      <c r="G8" s="32">
        <f>'FSRW Meter Readings'!H13</f>
        <v>4700.3275088000009</v>
      </c>
      <c r="H8" s="33">
        <v>0.4</v>
      </c>
      <c r="I8" s="32">
        <f>'FSRW Meter Readings'!K13</f>
        <v>3.5</v>
      </c>
      <c r="J8" s="33"/>
      <c r="K8" s="32">
        <f>'FSRW Meter Readings'!L13</f>
        <v>0</v>
      </c>
      <c r="L8" s="32">
        <f>'FSRW Meter Readings'!M13</f>
        <v>0</v>
      </c>
    </row>
    <row r="9" spans="1:12" ht="14.4" x14ac:dyDescent="0.3">
      <c r="A9" s="29" t="s">
        <v>24</v>
      </c>
      <c r="B9" s="30">
        <f t="shared" si="0"/>
        <v>8</v>
      </c>
      <c r="C9" s="31">
        <v>3</v>
      </c>
      <c r="D9" s="30">
        <v>2021</v>
      </c>
      <c r="E9" s="32">
        <f>'FSRW Meter Readings'!J14</f>
        <v>13200</v>
      </c>
      <c r="F9" s="33">
        <v>0.06</v>
      </c>
      <c r="G9" s="32">
        <f>'FSRW Meter Readings'!H14</f>
        <v>846.64284320000013</v>
      </c>
      <c r="H9" s="33">
        <v>0.4</v>
      </c>
      <c r="I9" s="32">
        <f>'FSRW Meter Readings'!K14</f>
        <v>6.5</v>
      </c>
      <c r="J9" s="33"/>
      <c r="K9" s="32">
        <f>'FSRW Meter Readings'!L14</f>
        <v>0</v>
      </c>
      <c r="L9" s="32">
        <f>'FSRW Meter Readings'!M14</f>
        <v>0</v>
      </c>
    </row>
    <row r="10" spans="1:12" ht="14.4" x14ac:dyDescent="0.3">
      <c r="A10" s="29" t="s">
        <v>24</v>
      </c>
      <c r="B10" s="30">
        <f t="shared" si="0"/>
        <v>9</v>
      </c>
      <c r="C10" s="31">
        <v>3</v>
      </c>
      <c r="D10" s="30">
        <v>2021</v>
      </c>
      <c r="E10" s="32">
        <f>'FSRW Meter Readings'!J15</f>
        <v>15600</v>
      </c>
      <c r="F10" s="33">
        <v>0.06</v>
      </c>
      <c r="G10" s="32">
        <f>'FSRW Meter Readings'!H15</f>
        <v>3007.0418224000005</v>
      </c>
      <c r="H10" s="33">
        <v>0.4</v>
      </c>
      <c r="I10" s="32">
        <f>'FSRW Meter Readings'!K15</f>
        <v>3</v>
      </c>
      <c r="J10" s="33"/>
      <c r="K10" s="32">
        <f>'FSRW Meter Readings'!L15</f>
        <v>0</v>
      </c>
      <c r="L10" s="32">
        <f>'FSRW Meter Readings'!M15</f>
        <v>0</v>
      </c>
    </row>
    <row r="11" spans="1:12" ht="14.4" x14ac:dyDescent="0.3">
      <c r="A11" s="29" t="s">
        <v>24</v>
      </c>
      <c r="B11" s="30">
        <f t="shared" si="0"/>
        <v>10</v>
      </c>
      <c r="C11" s="31">
        <v>3</v>
      </c>
      <c r="D11" s="30">
        <v>2021</v>
      </c>
      <c r="E11" s="32">
        <f>'FSRW Meter Readings'!J16</f>
        <v>15600</v>
      </c>
      <c r="F11" s="33">
        <v>0.06</v>
      </c>
      <c r="G11" s="32">
        <f>'FSRW Meter Readings'!H16</f>
        <v>2773.4851760000006</v>
      </c>
      <c r="H11" s="33">
        <v>0.4</v>
      </c>
      <c r="I11" s="32">
        <f>'FSRW Meter Readings'!K16</f>
        <v>4</v>
      </c>
      <c r="J11" s="33"/>
      <c r="K11" s="32">
        <f>'FSRW Meter Readings'!L16</f>
        <v>0</v>
      </c>
      <c r="L11" s="32">
        <f>'FSRW Meter Readings'!M16</f>
        <v>0</v>
      </c>
    </row>
    <row r="12" spans="1:12" ht="14.4" x14ac:dyDescent="0.3">
      <c r="A12" s="29" t="s">
        <v>24</v>
      </c>
      <c r="B12" s="30">
        <f t="shared" si="0"/>
        <v>11</v>
      </c>
      <c r="C12" s="31">
        <v>3</v>
      </c>
      <c r="D12" s="30">
        <v>2021</v>
      </c>
      <c r="E12" s="32">
        <f>'FSRW Meter Readings'!J17</f>
        <v>14400</v>
      </c>
      <c r="F12" s="33">
        <v>0.06</v>
      </c>
      <c r="G12" s="32">
        <f>'FSRW Meter Readings'!H17</f>
        <v>2831.8743376000002</v>
      </c>
      <c r="H12" s="33">
        <v>0.4</v>
      </c>
      <c r="I12" s="32">
        <f>'FSRW Meter Readings'!K17</f>
        <v>2</v>
      </c>
      <c r="J12" s="33"/>
      <c r="K12" s="32">
        <f>'FSRW Meter Readings'!L17</f>
        <v>0</v>
      </c>
      <c r="L12" s="32">
        <f>'FSRW Meter Readings'!M17</f>
        <v>0</v>
      </c>
    </row>
    <row r="13" spans="1:12" ht="14.4" x14ac:dyDescent="0.3">
      <c r="A13" s="29" t="s">
        <v>24</v>
      </c>
      <c r="B13" s="30">
        <f t="shared" si="0"/>
        <v>12</v>
      </c>
      <c r="C13" s="31">
        <v>3</v>
      </c>
      <c r="D13" s="30">
        <v>2021</v>
      </c>
      <c r="E13" s="32">
        <f>'FSRW Meter Readings'!J18</f>
        <v>16800</v>
      </c>
      <c r="F13" s="33">
        <v>0.06</v>
      </c>
      <c r="G13" s="32">
        <f>'FSRW Meter Readings'!H18</f>
        <v>3328.1822112000004</v>
      </c>
      <c r="H13" s="33">
        <v>0.4</v>
      </c>
      <c r="I13" s="32">
        <f>'FSRW Meter Readings'!K18</f>
        <v>7</v>
      </c>
      <c r="J13" s="33"/>
      <c r="K13" s="32">
        <f>'FSRW Meter Readings'!L18</f>
        <v>0</v>
      </c>
      <c r="L13" s="32">
        <f>'FSRW Meter Readings'!M18</f>
        <v>0</v>
      </c>
    </row>
    <row r="14" spans="1:12" ht="14.4" x14ac:dyDescent="0.3">
      <c r="A14" s="29" t="s">
        <v>24</v>
      </c>
      <c r="B14" s="30">
        <f t="shared" si="0"/>
        <v>13</v>
      </c>
      <c r="C14" s="31">
        <v>3</v>
      </c>
      <c r="D14" s="30">
        <v>2021</v>
      </c>
      <c r="E14" s="32">
        <f>'FSRW Meter Readings'!J19</f>
        <v>16800</v>
      </c>
      <c r="F14" s="33">
        <v>0.06</v>
      </c>
      <c r="G14" s="32">
        <f>'FSRW Meter Readings'!H19</f>
        <v>2656.7068528000004</v>
      </c>
      <c r="H14" s="33">
        <v>0.4</v>
      </c>
      <c r="I14" s="32">
        <f>'FSRW Meter Readings'!K19</f>
        <v>4</v>
      </c>
      <c r="J14" s="33"/>
      <c r="K14" s="32">
        <f>'FSRW Meter Readings'!L19</f>
        <v>0</v>
      </c>
      <c r="L14" s="32">
        <f>'FSRW Meter Readings'!M19</f>
        <v>0</v>
      </c>
    </row>
    <row r="15" spans="1:12" ht="14.4" x14ac:dyDescent="0.3">
      <c r="A15" s="29" t="s">
        <v>24</v>
      </c>
      <c r="B15" s="30">
        <f t="shared" si="0"/>
        <v>14</v>
      </c>
      <c r="C15" s="31">
        <v>3</v>
      </c>
      <c r="D15" s="30">
        <v>2021</v>
      </c>
      <c r="E15" s="32">
        <f>'FSRW Meter Readings'!J20</f>
        <v>14400</v>
      </c>
      <c r="F15" s="33">
        <v>0.06</v>
      </c>
      <c r="G15" s="32">
        <f>'FSRW Meter Readings'!H20</f>
        <v>2335.566464</v>
      </c>
      <c r="H15" s="33">
        <v>0.4</v>
      </c>
      <c r="I15" s="32">
        <f>'FSRW Meter Readings'!K20</f>
        <v>7</v>
      </c>
      <c r="J15" s="33"/>
      <c r="K15" s="32">
        <f>'FSRW Meter Readings'!L20</f>
        <v>0</v>
      </c>
      <c r="L15" s="32">
        <f>'FSRW Meter Readings'!M20</f>
        <v>0</v>
      </c>
    </row>
    <row r="16" spans="1:12" ht="14.4" x14ac:dyDescent="0.3">
      <c r="A16" s="29" t="s">
        <v>24</v>
      </c>
      <c r="B16" s="30">
        <f t="shared" si="0"/>
        <v>15</v>
      </c>
      <c r="C16" s="31">
        <v>3</v>
      </c>
      <c r="D16" s="30">
        <v>2021</v>
      </c>
      <c r="E16" s="32">
        <f>'FSRW Meter Readings'!J21</f>
        <v>13200</v>
      </c>
      <c r="F16" s="33">
        <v>0.06</v>
      </c>
      <c r="G16" s="32">
        <f>'FSRW Meter Readings'!H21</f>
        <v>2627.5122720000004</v>
      </c>
      <c r="H16" s="33">
        <v>0.4</v>
      </c>
      <c r="I16" s="32">
        <f>'FSRW Meter Readings'!K21</f>
        <v>6</v>
      </c>
      <c r="J16" s="33"/>
      <c r="K16" s="32">
        <f>'FSRW Meter Readings'!L21</f>
        <v>0</v>
      </c>
      <c r="L16" s="32">
        <f>'FSRW Meter Readings'!M21</f>
        <v>0</v>
      </c>
    </row>
    <row r="17" spans="1:12" ht="14.4" x14ac:dyDescent="0.3">
      <c r="A17" s="29" t="s">
        <v>24</v>
      </c>
      <c r="B17" s="30">
        <f t="shared" si="0"/>
        <v>16</v>
      </c>
      <c r="C17" s="31">
        <v>3</v>
      </c>
      <c r="D17" s="30">
        <v>2021</v>
      </c>
      <c r="E17" s="32">
        <f>'FSRW Meter Readings'!J22</f>
        <v>15600</v>
      </c>
      <c r="F17" s="33">
        <v>0.06</v>
      </c>
      <c r="G17" s="32">
        <f>'FSRW Meter Readings'!H22</f>
        <v>2685.9014336000005</v>
      </c>
      <c r="H17" s="33">
        <v>0.4</v>
      </c>
      <c r="I17" s="32">
        <f>'FSRW Meter Readings'!K22</f>
        <v>9</v>
      </c>
      <c r="J17" s="33"/>
      <c r="K17" s="32">
        <f>'FSRW Meter Readings'!L22</f>
        <v>0</v>
      </c>
      <c r="L17" s="32">
        <f>'FSRW Meter Readings'!M22</f>
        <v>0</v>
      </c>
    </row>
    <row r="18" spans="1:12" ht="14.4" x14ac:dyDescent="0.3">
      <c r="A18" s="29" t="s">
        <v>24</v>
      </c>
      <c r="B18" s="30">
        <f t="shared" si="0"/>
        <v>17</v>
      </c>
      <c r="C18" s="31">
        <v>3</v>
      </c>
      <c r="D18" s="30">
        <v>2021</v>
      </c>
      <c r="E18" s="32">
        <f>'FSRW Meter Readings'!J23</f>
        <v>18000</v>
      </c>
      <c r="F18" s="33">
        <v>0.06</v>
      </c>
      <c r="G18" s="32">
        <f>'FSRW Meter Readings'!H23</f>
        <v>3240.5984687999999</v>
      </c>
      <c r="H18" s="33">
        <v>0.4</v>
      </c>
      <c r="I18" s="32">
        <f>'FSRW Meter Readings'!K23</f>
        <v>14</v>
      </c>
      <c r="J18" s="33"/>
      <c r="K18" s="32">
        <f>'FSRW Meter Readings'!L23</f>
        <v>0</v>
      </c>
      <c r="L18" s="32">
        <f>'FSRW Meter Readings'!M23</f>
        <v>0</v>
      </c>
    </row>
    <row r="19" spans="1:12" ht="14.4" x14ac:dyDescent="0.3">
      <c r="A19" s="29" t="s">
        <v>24</v>
      </c>
      <c r="B19" s="30">
        <f t="shared" si="0"/>
        <v>18</v>
      </c>
      <c r="C19" s="31">
        <v>3</v>
      </c>
      <c r="D19" s="30">
        <v>2021</v>
      </c>
      <c r="E19" s="32">
        <f>'FSRW Meter Readings'!J24</f>
        <v>14400</v>
      </c>
      <c r="F19" s="33">
        <v>0.06</v>
      </c>
      <c r="G19" s="32">
        <f>'FSRW Meter Readings'!H24</f>
        <v>2569.1231104000003</v>
      </c>
      <c r="H19" s="33">
        <v>0.4</v>
      </c>
      <c r="I19" s="32">
        <f>'FSRW Meter Readings'!K24</f>
        <v>10</v>
      </c>
      <c r="J19" s="33"/>
      <c r="K19" s="32">
        <f>'FSRW Meter Readings'!L24</f>
        <v>0</v>
      </c>
      <c r="L19" s="32">
        <f>'FSRW Meter Readings'!M24</f>
        <v>0</v>
      </c>
    </row>
    <row r="20" spans="1:12" ht="14.4" x14ac:dyDescent="0.3">
      <c r="A20" s="29" t="s">
        <v>24</v>
      </c>
      <c r="B20" s="30">
        <f t="shared" si="0"/>
        <v>19</v>
      </c>
      <c r="C20" s="31">
        <v>3</v>
      </c>
      <c r="D20" s="30">
        <v>2021</v>
      </c>
      <c r="E20" s="32">
        <f>'FSRW Meter Readings'!J25</f>
        <v>14400</v>
      </c>
      <c r="F20" s="33">
        <v>0.06</v>
      </c>
      <c r="G20" s="32">
        <f>'FSRW Meter Readings'!H25</f>
        <v>2627.5122720000004</v>
      </c>
      <c r="H20" s="33">
        <v>0.4</v>
      </c>
      <c r="I20" s="32">
        <f>'FSRW Meter Readings'!K25</f>
        <v>10</v>
      </c>
      <c r="J20" s="33"/>
      <c r="K20" s="32">
        <f>'FSRW Meter Readings'!L25</f>
        <v>0</v>
      </c>
      <c r="L20" s="32">
        <f>'FSRW Meter Readings'!M25</f>
        <v>0</v>
      </c>
    </row>
    <row r="21" spans="1:12" ht="14.4" x14ac:dyDescent="0.3">
      <c r="A21" s="29" t="s">
        <v>24</v>
      </c>
      <c r="B21" s="30">
        <f t="shared" si="0"/>
        <v>20</v>
      </c>
      <c r="C21" s="31">
        <v>3</v>
      </c>
      <c r="D21" s="30">
        <v>2021</v>
      </c>
      <c r="E21" s="32">
        <f>'FSRW Meter Readings'!J26</f>
        <v>15600</v>
      </c>
      <c r="F21" s="33">
        <v>0.06</v>
      </c>
      <c r="G21" s="32">
        <f>'FSRW Meter Readings'!H26</f>
        <v>2802.6797568000006</v>
      </c>
      <c r="H21" s="33">
        <v>0.4</v>
      </c>
      <c r="I21" s="32">
        <f>'FSRW Meter Readings'!K26</f>
        <v>12</v>
      </c>
      <c r="J21" s="33"/>
      <c r="K21" s="32">
        <f>'FSRW Meter Readings'!L26</f>
        <v>0</v>
      </c>
      <c r="L21" s="32">
        <f>'FSRW Meter Readings'!M26</f>
        <v>0</v>
      </c>
    </row>
    <row r="22" spans="1:12" ht="14.4" x14ac:dyDescent="0.3">
      <c r="A22" s="29" t="s">
        <v>24</v>
      </c>
      <c r="B22" s="30">
        <f t="shared" si="0"/>
        <v>21</v>
      </c>
      <c r="C22" s="31">
        <v>3</v>
      </c>
      <c r="D22" s="30">
        <v>2021</v>
      </c>
      <c r="E22" s="32">
        <f>'FSRW Meter Readings'!J27</f>
        <v>14400</v>
      </c>
      <c r="F22" s="33">
        <v>0.06</v>
      </c>
      <c r="G22" s="32">
        <f>'FSRW Meter Readings'!H27</f>
        <v>2773.4851760000006</v>
      </c>
      <c r="H22" s="33">
        <v>0.4</v>
      </c>
      <c r="I22" s="32">
        <f>'FSRW Meter Readings'!K27</f>
        <v>15</v>
      </c>
      <c r="J22" s="33"/>
      <c r="K22" s="32">
        <f>'FSRW Meter Readings'!L27</f>
        <v>0</v>
      </c>
      <c r="L22" s="32">
        <f>'FSRW Meter Readings'!M27</f>
        <v>0</v>
      </c>
    </row>
    <row r="23" spans="1:12" ht="14.4" x14ac:dyDescent="0.3">
      <c r="A23" s="29" t="s">
        <v>24</v>
      </c>
      <c r="B23" s="30">
        <f t="shared" si="0"/>
        <v>22</v>
      </c>
      <c r="C23" s="31">
        <v>3</v>
      </c>
      <c r="D23" s="30">
        <v>2021</v>
      </c>
      <c r="E23" s="32">
        <f>'FSRW Meter Readings'!J28</f>
        <v>15600</v>
      </c>
      <c r="F23" s="33">
        <v>0.06</v>
      </c>
      <c r="G23" s="32">
        <f>'FSRW Meter Readings'!H28</f>
        <v>2977.8472416000004</v>
      </c>
      <c r="H23" s="33">
        <v>0.4</v>
      </c>
      <c r="I23" s="32">
        <f>'FSRW Meter Readings'!K28</f>
        <v>8</v>
      </c>
      <c r="J23" s="33"/>
      <c r="K23" s="32">
        <f>'FSRW Meter Readings'!L28</f>
        <v>0</v>
      </c>
      <c r="L23" s="32">
        <f>'FSRW Meter Readings'!M28</f>
        <v>0</v>
      </c>
    </row>
    <row r="24" spans="1:12" ht="14.4" x14ac:dyDescent="0.3">
      <c r="A24" s="29" t="s">
        <v>24</v>
      </c>
      <c r="B24" s="30">
        <f t="shared" si="0"/>
        <v>23</v>
      </c>
      <c r="C24" s="31">
        <v>3</v>
      </c>
      <c r="D24" s="30">
        <v>2021</v>
      </c>
      <c r="E24" s="32">
        <f>'FSRW Meter Readings'!J29</f>
        <v>0</v>
      </c>
      <c r="F24" s="33">
        <v>0.06</v>
      </c>
      <c r="G24" s="32">
        <f>'FSRW Meter Readings'!H29</f>
        <v>0</v>
      </c>
      <c r="H24" s="33">
        <v>0.4</v>
      </c>
      <c r="I24" s="32">
        <f>'FSRW Meter Readings'!K29</f>
        <v>0</v>
      </c>
      <c r="J24" s="33"/>
      <c r="K24" s="32">
        <f>'FSRW Meter Readings'!L29</f>
        <v>0</v>
      </c>
      <c r="L24" s="32">
        <f>'FSRW Meter Readings'!M29</f>
        <v>0</v>
      </c>
    </row>
    <row r="25" spans="1:12" ht="14.4" x14ac:dyDescent="0.3">
      <c r="A25" s="29" t="s">
        <v>24</v>
      </c>
      <c r="B25" s="30">
        <f t="shared" si="0"/>
        <v>24</v>
      </c>
      <c r="C25" s="31">
        <v>3</v>
      </c>
      <c r="D25" s="30">
        <v>2021</v>
      </c>
      <c r="E25" s="32">
        <f>'FSRW Meter Readings'!J30</f>
        <v>0</v>
      </c>
      <c r="F25" s="33">
        <v>0.06</v>
      </c>
      <c r="G25" s="32">
        <f>'FSRW Meter Readings'!H30</f>
        <v>0</v>
      </c>
      <c r="H25" s="33">
        <v>0.4</v>
      </c>
      <c r="I25" s="32">
        <f>'FSRW Meter Readings'!K30</f>
        <v>0</v>
      </c>
      <c r="J25" s="33"/>
      <c r="K25" s="32">
        <f>'FSRW Meter Readings'!L30</f>
        <v>0</v>
      </c>
      <c r="L25" s="32">
        <f>'FSRW Meter Readings'!M30</f>
        <v>0</v>
      </c>
    </row>
    <row r="26" spans="1:12" ht="14.4" x14ac:dyDescent="0.3">
      <c r="A26" s="29" t="s">
        <v>24</v>
      </c>
      <c r="B26" s="30">
        <f>B25+1</f>
        <v>25</v>
      </c>
      <c r="C26" s="31">
        <v>3</v>
      </c>
      <c r="D26" s="30">
        <v>2021</v>
      </c>
      <c r="E26" s="32">
        <f>'FSRW Meter Readings'!J31</f>
        <v>0</v>
      </c>
      <c r="F26" s="33">
        <v>0.06</v>
      </c>
      <c r="G26" s="32">
        <f>'FSRW Meter Readings'!H31</f>
        <v>0</v>
      </c>
      <c r="H26" s="33">
        <v>0.4</v>
      </c>
      <c r="I26" s="32">
        <f>'FSRW Meter Readings'!K31</f>
        <v>0</v>
      </c>
      <c r="J26" s="33"/>
      <c r="K26" s="32">
        <f>'FSRW Meter Readings'!L31</f>
        <v>0</v>
      </c>
      <c r="L26" s="32">
        <f>'FSRW Meter Readings'!M31</f>
        <v>0</v>
      </c>
    </row>
    <row r="27" spans="1:12" ht="14.4" x14ac:dyDescent="0.3">
      <c r="A27" s="29" t="s">
        <v>24</v>
      </c>
      <c r="B27" s="30">
        <f t="shared" si="0"/>
        <v>26</v>
      </c>
      <c r="C27" s="31">
        <v>3</v>
      </c>
      <c r="D27" s="30">
        <v>2021</v>
      </c>
      <c r="E27" s="32">
        <f>'FSRW Meter Readings'!J32</f>
        <v>0</v>
      </c>
      <c r="F27" s="33">
        <v>0.06</v>
      </c>
      <c r="G27" s="32">
        <f>'FSRW Meter Readings'!H32</f>
        <v>0</v>
      </c>
      <c r="H27" s="33">
        <v>0.4</v>
      </c>
      <c r="I27" s="32">
        <f>'FSRW Meter Readings'!K32</f>
        <v>0</v>
      </c>
      <c r="J27" s="33"/>
      <c r="K27" s="32">
        <f>'FSRW Meter Readings'!L32</f>
        <v>0</v>
      </c>
      <c r="L27" s="32">
        <f>'FSRW Meter Readings'!M32</f>
        <v>0</v>
      </c>
    </row>
    <row r="28" spans="1:12" ht="14.4" x14ac:dyDescent="0.3">
      <c r="A28" s="29" t="s">
        <v>24</v>
      </c>
      <c r="B28" s="30">
        <f t="shared" si="0"/>
        <v>27</v>
      </c>
      <c r="C28" s="31">
        <v>3</v>
      </c>
      <c r="D28" s="30">
        <v>2021</v>
      </c>
      <c r="E28" s="32">
        <f>'FSRW Meter Readings'!J33</f>
        <v>0</v>
      </c>
      <c r="F28" s="33">
        <v>0.06</v>
      </c>
      <c r="G28" s="32">
        <f>'FSRW Meter Readings'!H33</f>
        <v>0</v>
      </c>
      <c r="H28" s="33">
        <v>0.4</v>
      </c>
      <c r="I28" s="32">
        <f>'FSRW Meter Readings'!K33</f>
        <v>0</v>
      </c>
      <c r="J28" s="33"/>
      <c r="K28" s="32">
        <f>'FSRW Meter Readings'!L33</f>
        <v>0</v>
      </c>
      <c r="L28" s="32">
        <f>'FSRW Meter Readings'!M33</f>
        <v>0</v>
      </c>
    </row>
    <row r="29" spans="1:12" ht="14.4" x14ac:dyDescent="0.3">
      <c r="A29" s="29" t="s">
        <v>24</v>
      </c>
      <c r="B29" s="30">
        <f t="shared" si="0"/>
        <v>28</v>
      </c>
      <c r="C29" s="31">
        <v>3</v>
      </c>
      <c r="D29" s="30">
        <v>2021</v>
      </c>
      <c r="E29" s="32">
        <f>'FSRW Meter Readings'!J34</f>
        <v>0</v>
      </c>
      <c r="F29" s="33">
        <v>0.06</v>
      </c>
      <c r="G29" s="32">
        <f>'FSRW Meter Readings'!H34</f>
        <v>0</v>
      </c>
      <c r="H29" s="33">
        <v>0.4</v>
      </c>
      <c r="I29" s="32">
        <f>'FSRW Meter Readings'!K34</f>
        <v>0</v>
      </c>
      <c r="J29" s="33"/>
      <c r="K29" s="32">
        <f>'FSRW Meter Readings'!L34</f>
        <v>0</v>
      </c>
      <c r="L29" s="32">
        <f>'FSRW Meter Readings'!M34</f>
        <v>0</v>
      </c>
    </row>
    <row r="30" spans="1:12" ht="14.4" x14ac:dyDescent="0.3">
      <c r="A30" s="29" t="s">
        <v>24</v>
      </c>
      <c r="B30" s="30">
        <f t="shared" si="0"/>
        <v>29</v>
      </c>
      <c r="C30" s="31">
        <v>3</v>
      </c>
      <c r="D30" s="30">
        <v>2021</v>
      </c>
      <c r="E30" s="32">
        <f>'FSRW Meter Readings'!J35</f>
        <v>0</v>
      </c>
      <c r="F30" s="33">
        <v>0.06</v>
      </c>
      <c r="G30" s="32">
        <f>'FSRW Meter Readings'!H35</f>
        <v>0</v>
      </c>
      <c r="H30" s="33">
        <v>0.4</v>
      </c>
      <c r="I30" s="32">
        <f>'FSRW Meter Readings'!K35</f>
        <v>0</v>
      </c>
      <c r="J30" s="33"/>
      <c r="K30" s="32">
        <f>'FSRW Meter Readings'!L35</f>
        <v>0</v>
      </c>
      <c r="L30" s="32">
        <f>'FSRW Meter Readings'!M35</f>
        <v>0</v>
      </c>
    </row>
    <row r="31" spans="1:12" ht="14.4" x14ac:dyDescent="0.3">
      <c r="A31" s="29" t="s">
        <v>24</v>
      </c>
      <c r="B31" s="30">
        <f t="shared" si="0"/>
        <v>30</v>
      </c>
      <c r="C31" s="31">
        <v>3</v>
      </c>
      <c r="D31" s="30">
        <v>2021</v>
      </c>
      <c r="E31" s="32">
        <f>'FSRW Meter Readings'!J36</f>
        <v>0</v>
      </c>
      <c r="F31" s="33">
        <v>0.06</v>
      </c>
      <c r="G31" s="32">
        <f>'FSRW Meter Readings'!H36</f>
        <v>0</v>
      </c>
      <c r="H31" s="33">
        <v>0.4</v>
      </c>
      <c r="I31" s="32">
        <f>'FSRW Meter Readings'!K36</f>
        <v>0</v>
      </c>
      <c r="J31" s="33"/>
      <c r="K31" s="32">
        <f>'FSRW Meter Readings'!L36</f>
        <v>0</v>
      </c>
      <c r="L31" s="32">
        <f>'FSRW Meter Readings'!M36</f>
        <v>0</v>
      </c>
    </row>
    <row r="32" spans="1:12" ht="14.4" x14ac:dyDescent="0.3">
      <c r="A32" s="29" t="s">
        <v>24</v>
      </c>
      <c r="B32" s="30">
        <f t="shared" si="0"/>
        <v>31</v>
      </c>
      <c r="C32" s="31">
        <v>3</v>
      </c>
      <c r="D32" s="30">
        <v>2021</v>
      </c>
      <c r="E32" s="32">
        <f>'FSRW Meter Readings'!J37</f>
        <v>0</v>
      </c>
      <c r="F32" s="33">
        <v>0.06</v>
      </c>
      <c r="G32" s="32">
        <f>'FSRW Meter Readings'!H37</f>
        <v>0</v>
      </c>
      <c r="H32" s="33">
        <v>0.4</v>
      </c>
      <c r="I32" s="32">
        <f>'FSRW Meter Readings'!K37</f>
        <v>0</v>
      </c>
      <c r="J32" s="33"/>
      <c r="K32" s="32">
        <f>'FSRW Meter Readings'!L37</f>
        <v>0</v>
      </c>
      <c r="L32" s="32">
        <f>'FSRW Meter Readings'!M37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zoomScale="80" zoomScaleNormal="80" workbookViewId="0">
      <pane ySplit="5" topLeftCell="A6" activePane="bottomLeft" state="frozen"/>
      <selection pane="bottomLeft" activeCell="F28" sqref="F28"/>
    </sheetView>
  </sheetViews>
  <sheetFormatPr defaultRowHeight="14.4" x14ac:dyDescent="0.3"/>
  <cols>
    <col min="1" max="1" width="11.6640625" customWidth="1"/>
    <col min="2" max="2" width="7.33203125" hidden="1" customWidth="1"/>
    <col min="3" max="3" width="6.88671875" hidden="1" customWidth="1"/>
    <col min="4" max="11" width="11.109375" customWidth="1"/>
    <col min="12" max="12" width="13.109375" bestFit="1" customWidth="1"/>
    <col min="13" max="13" width="12" bestFit="1" customWidth="1"/>
  </cols>
  <sheetData>
    <row r="1" spans="1:13" ht="56.25" customHeight="1" x14ac:dyDescent="0.45">
      <c r="A1" s="12" t="s">
        <v>5</v>
      </c>
    </row>
    <row r="2" spans="1:13" x14ac:dyDescent="0.3">
      <c r="A2" t="s">
        <v>6</v>
      </c>
      <c r="D2" s="13" t="s">
        <v>3</v>
      </c>
      <c r="E2" s="3">
        <v>2021</v>
      </c>
    </row>
    <row r="3" spans="1:13" ht="22.5" customHeight="1" x14ac:dyDescent="0.3"/>
    <row r="4" spans="1:13" x14ac:dyDescent="0.3">
      <c r="C4" s="3"/>
      <c r="D4" s="34" t="s">
        <v>4</v>
      </c>
      <c r="E4" s="34"/>
      <c r="F4" s="34"/>
      <c r="G4" s="34" t="s">
        <v>13</v>
      </c>
      <c r="H4" s="34"/>
      <c r="I4" s="34"/>
      <c r="J4" s="34"/>
      <c r="K4" s="34"/>
    </row>
    <row r="5" spans="1:13" ht="29.4" thickBot="1" x14ac:dyDescent="0.35">
      <c r="A5" s="19" t="s">
        <v>0</v>
      </c>
      <c r="B5" s="14" t="s">
        <v>1</v>
      </c>
      <c r="C5" s="14" t="s">
        <v>2</v>
      </c>
      <c r="D5" s="15" t="s">
        <v>7</v>
      </c>
      <c r="E5" s="16" t="s">
        <v>9</v>
      </c>
      <c r="F5" s="15" t="s">
        <v>11</v>
      </c>
      <c r="G5" s="15" t="s">
        <v>7</v>
      </c>
      <c r="H5" s="15" t="s">
        <v>8</v>
      </c>
      <c r="I5" s="16" t="s">
        <v>9</v>
      </c>
      <c r="J5" s="16" t="s">
        <v>14</v>
      </c>
      <c r="K5" s="15" t="s">
        <v>11</v>
      </c>
      <c r="L5" s="15" t="s">
        <v>22</v>
      </c>
      <c r="M5" s="15" t="s">
        <v>23</v>
      </c>
    </row>
    <row r="6" spans="1:13" x14ac:dyDescent="0.3">
      <c r="A6" s="35" t="s">
        <v>12</v>
      </c>
      <c r="B6" s="35"/>
      <c r="C6" s="35"/>
      <c r="D6" s="6">
        <v>150678</v>
      </c>
      <c r="E6" s="6">
        <v>45176</v>
      </c>
      <c r="F6" s="20">
        <v>98211</v>
      </c>
      <c r="G6" s="4"/>
      <c r="H6" s="4"/>
      <c r="I6" s="5"/>
      <c r="J6" s="5"/>
      <c r="K6" s="4"/>
      <c r="L6" s="32">
        <v>0</v>
      </c>
      <c r="M6" s="32">
        <v>0</v>
      </c>
    </row>
    <row r="7" spans="1:13" x14ac:dyDescent="0.3">
      <c r="A7" s="7">
        <v>1</v>
      </c>
      <c r="B7" s="8">
        <f>MONTH(DATEVALUE(D2&amp;"1"))</f>
        <v>3</v>
      </c>
      <c r="C7" s="7">
        <f>(E2)</f>
        <v>2021</v>
      </c>
      <c r="D7" s="6">
        <v>150753</v>
      </c>
      <c r="E7" s="6">
        <v>45186</v>
      </c>
      <c r="F7" s="20">
        <v>98214</v>
      </c>
      <c r="G7" s="9">
        <f>IF(D7,SUM(D7-(LOOKUP(2,1/(D6:D6&lt;&gt;""),D6:D6))),0)</f>
        <v>75</v>
      </c>
      <c r="H7" s="10">
        <f>IF(G7,SUM((G7*1.153936)*25.3),0)</f>
        <v>2189.5935600000003</v>
      </c>
      <c r="I7" s="11">
        <f>IF(E7,SUM(E7-(LOOKUP(2,1/(E6:E6&lt;&gt;""),E6:E6))),0)</f>
        <v>10</v>
      </c>
      <c r="J7" s="11">
        <f>SUM(I7*1200)</f>
        <v>12000</v>
      </c>
      <c r="K7" s="21">
        <f>IF(F7,SUM(F7-(LOOKUP(2,1/(F6:F6&lt;&gt;""),F6:F6))),0)</f>
        <v>3</v>
      </c>
      <c r="L7" s="32">
        <v>0</v>
      </c>
      <c r="M7" s="32">
        <v>0</v>
      </c>
    </row>
    <row r="8" spans="1:13" x14ac:dyDescent="0.3">
      <c r="A8" s="2">
        <v>2</v>
      </c>
      <c r="B8" s="2">
        <f>MONTH(DATEVALUE(D2&amp;"1"))</f>
        <v>3</v>
      </c>
      <c r="C8" s="2">
        <f>(E2)</f>
        <v>2021</v>
      </c>
      <c r="D8" s="6">
        <v>150849</v>
      </c>
      <c r="E8" s="6">
        <v>45199</v>
      </c>
      <c r="F8" s="20">
        <v>98215</v>
      </c>
      <c r="G8" s="9">
        <f>IF(D8,SUM(D8-(LOOKUP(2,1/(D6:D7&lt;&gt;""),D6:D7))),0)</f>
        <v>96</v>
      </c>
      <c r="H8" s="10">
        <f t="shared" ref="H8:H37" si="0">IF(G8,SUM((G8*1.153936)*25.3),0)</f>
        <v>2802.6797568000006</v>
      </c>
      <c r="I8" s="11">
        <f>IF(E8,SUM(E8-(LOOKUP(2,1/(E6:E7&lt;&gt;""),E6:E7))),0)</f>
        <v>13</v>
      </c>
      <c r="J8" s="11">
        <f t="shared" ref="J8:J37" si="1">SUM(I8*1200)</f>
        <v>15600</v>
      </c>
      <c r="K8" s="21">
        <f>IF(F8,SUM(F8-(LOOKUP(2,1/(F6:F7&lt;&gt;""),F6:F7))),0)</f>
        <v>1</v>
      </c>
      <c r="L8" s="32">
        <v>0</v>
      </c>
      <c r="M8" s="32">
        <v>0</v>
      </c>
    </row>
    <row r="9" spans="1:13" x14ac:dyDescent="0.3">
      <c r="A9" s="2">
        <v>3</v>
      </c>
      <c r="B9" s="8">
        <f>MONTH(DATEVALUE(D2&amp;"1"))</f>
        <v>3</v>
      </c>
      <c r="C9" s="2">
        <f>(E2)</f>
        <v>2021</v>
      </c>
      <c r="D9" s="6">
        <v>150944</v>
      </c>
      <c r="E9" s="6">
        <v>45211</v>
      </c>
      <c r="F9" s="20">
        <v>98218</v>
      </c>
      <c r="G9" s="9">
        <f>IF(D9,SUM(D9-(LOOKUP(2,1/(D6:D8&lt;&gt;""),D6:D8))),0)</f>
        <v>95</v>
      </c>
      <c r="H9" s="10">
        <f t="shared" si="0"/>
        <v>2773.4851760000006</v>
      </c>
      <c r="I9" s="11">
        <f>IF(E9,SUM(E9-(LOOKUP(2,1/(E6:E8&lt;&gt;""),E6:E8))),0)</f>
        <v>12</v>
      </c>
      <c r="J9" s="11">
        <f t="shared" si="1"/>
        <v>14400</v>
      </c>
      <c r="K9" s="21">
        <f>IF(F9,SUM(F9-(LOOKUP(2,1/(F6:F8&lt;&gt;""),F6:F8))),0)</f>
        <v>3</v>
      </c>
      <c r="L9" s="32">
        <v>0</v>
      </c>
      <c r="M9" s="32">
        <v>0</v>
      </c>
    </row>
    <row r="10" spans="1:13" x14ac:dyDescent="0.3">
      <c r="A10" s="2">
        <v>4</v>
      </c>
      <c r="B10" s="2">
        <f>MONTH(DATEVALUE(D2&amp;"1"))</f>
        <v>3</v>
      </c>
      <c r="C10" s="2">
        <f>(E2)</f>
        <v>2021</v>
      </c>
      <c r="D10" s="6">
        <v>151039</v>
      </c>
      <c r="E10" s="6">
        <v>45223</v>
      </c>
      <c r="F10" s="20">
        <v>98224</v>
      </c>
      <c r="G10" s="9">
        <f>IF(D10,SUM(D10-(LOOKUP(2,1/(D6:D9&lt;&gt;""),D6:D9))),0)</f>
        <v>95</v>
      </c>
      <c r="H10" s="10">
        <f t="shared" si="0"/>
        <v>2773.4851760000006</v>
      </c>
      <c r="I10" s="11">
        <f t="shared" ref="I10" si="2">IF(E10,SUM(E10-(LOOKUP(2,1/(E9:E9&lt;&gt;""),E9:E9))),0)</f>
        <v>12</v>
      </c>
      <c r="J10" s="11">
        <f t="shared" si="1"/>
        <v>14400</v>
      </c>
      <c r="K10" s="21">
        <f>IF(F10,SUM(F10-(LOOKUP(2,1/(F6:F9&lt;&gt;""),F6:F9))),0)</f>
        <v>6</v>
      </c>
      <c r="L10" s="32">
        <v>0</v>
      </c>
      <c r="M10" s="32">
        <v>0</v>
      </c>
    </row>
    <row r="11" spans="1:13" x14ac:dyDescent="0.3">
      <c r="A11" s="2">
        <v>5</v>
      </c>
      <c r="B11" s="8">
        <f>MONTH(DATEVALUE(D2&amp;"1"))</f>
        <v>3</v>
      </c>
      <c r="C11" s="2">
        <f>(E2)</f>
        <v>2021</v>
      </c>
      <c r="D11" s="6">
        <v>151150</v>
      </c>
      <c r="E11" s="6">
        <v>45237</v>
      </c>
      <c r="F11" s="20">
        <v>98231</v>
      </c>
      <c r="G11" s="9">
        <f>IF(D11,SUM(D11-(LOOKUP(2,1/(D6:D10&lt;&gt;""),D6:D10))),0)</f>
        <v>111</v>
      </c>
      <c r="H11" s="10">
        <f t="shared" si="0"/>
        <v>3240.5984687999999</v>
      </c>
      <c r="I11" s="11">
        <f>IF(E11,SUM(E11-(LOOKUP(2,1/(E6:E10&lt;&gt;""),E6:E10))),0)</f>
        <v>14</v>
      </c>
      <c r="J11" s="11">
        <f t="shared" si="1"/>
        <v>16800</v>
      </c>
      <c r="K11" s="21">
        <f>IF(F11,SUM(F11-(LOOKUP(2,1/(F6:F10&lt;&gt;""),F6:F10))),0)</f>
        <v>7</v>
      </c>
      <c r="L11" s="32">
        <v>0</v>
      </c>
      <c r="M11" s="32">
        <v>0</v>
      </c>
    </row>
    <row r="12" spans="1:13" x14ac:dyDescent="0.3">
      <c r="A12" s="2">
        <v>6</v>
      </c>
      <c r="B12" s="2">
        <f>MONTH(DATEVALUE(D2&amp;"1"))</f>
        <v>3</v>
      </c>
      <c r="C12" s="2">
        <f>(E2)</f>
        <v>2021</v>
      </c>
      <c r="D12" s="6">
        <v>151253</v>
      </c>
      <c r="E12" s="6">
        <v>45250</v>
      </c>
      <c r="F12" s="20">
        <v>98238</v>
      </c>
      <c r="G12" s="9">
        <f>IF(D12,SUM(D12-(LOOKUP(2,1/(D6:D11&lt;&gt;""),D6:D11))),0)</f>
        <v>103</v>
      </c>
      <c r="H12" s="10">
        <f t="shared" si="0"/>
        <v>3007.0418224000005</v>
      </c>
      <c r="I12" s="11">
        <f>IF(E12,SUM(E12-(LOOKUP(2,1/(E6:E11&lt;&gt;""),E6:E11))),0)</f>
        <v>13</v>
      </c>
      <c r="J12" s="11">
        <f t="shared" si="1"/>
        <v>15600</v>
      </c>
      <c r="K12" s="21">
        <f>IF(F12,SUM(F12-(LOOKUP(2,1/(F6:F11&lt;&gt;""),F6:F11))),0)</f>
        <v>7</v>
      </c>
      <c r="L12" s="32">
        <v>0</v>
      </c>
      <c r="M12" s="32">
        <v>0</v>
      </c>
    </row>
    <row r="13" spans="1:13" x14ac:dyDescent="0.3">
      <c r="A13" s="2">
        <v>7</v>
      </c>
      <c r="B13" s="8">
        <f>MONTH(DATEVALUE(D2&amp;"1"))</f>
        <v>3</v>
      </c>
      <c r="C13" s="2">
        <f>(E2)</f>
        <v>2021</v>
      </c>
      <c r="D13" s="6">
        <v>151414</v>
      </c>
      <c r="E13" s="6">
        <v>45263</v>
      </c>
      <c r="F13" s="20">
        <v>98241.5</v>
      </c>
      <c r="G13" s="9">
        <f>IF(D13,SUM(D13-(LOOKUP(2,1/(D6:D12&lt;&gt;""),D6:D12))),0)</f>
        <v>161</v>
      </c>
      <c r="H13" s="10">
        <f t="shared" si="0"/>
        <v>4700.3275088000009</v>
      </c>
      <c r="I13" s="11">
        <f t="shared" ref="I13" si="3">IF(E13,SUM(E13-(LOOKUP(2,1/(E12:E12&lt;&gt;""),E12:E12))),0)</f>
        <v>13</v>
      </c>
      <c r="J13" s="11">
        <f t="shared" si="1"/>
        <v>15600</v>
      </c>
      <c r="K13" s="21">
        <f>IF(F13,SUM(F13-(LOOKUP(2,1/(F6:F12&lt;&gt;""),F6:F12))),0)</f>
        <v>3.5</v>
      </c>
      <c r="L13" s="32">
        <v>0</v>
      </c>
      <c r="M13" s="32">
        <v>0</v>
      </c>
    </row>
    <row r="14" spans="1:13" x14ac:dyDescent="0.3">
      <c r="A14" s="2">
        <v>8</v>
      </c>
      <c r="B14" s="2">
        <f>MONTH(DATEVALUE(D2&amp;"1"))</f>
        <v>3</v>
      </c>
      <c r="C14" s="2">
        <f>(E2)</f>
        <v>2021</v>
      </c>
      <c r="D14" s="6">
        <v>151443</v>
      </c>
      <c r="E14" s="6">
        <v>45274</v>
      </c>
      <c r="F14" s="20">
        <v>98248</v>
      </c>
      <c r="G14" s="9">
        <f>IF(D14,SUM(D14-(LOOKUP(2,1/(D6:D13&lt;&gt;""),D6:D13))),0)</f>
        <v>29</v>
      </c>
      <c r="H14" s="10">
        <f t="shared" si="0"/>
        <v>846.64284320000013</v>
      </c>
      <c r="I14" s="11">
        <f>IF(E14,SUM(E14-(LOOKUP(2,1/(E6:E13&lt;&gt;""),E6:E13))),0)</f>
        <v>11</v>
      </c>
      <c r="J14" s="11">
        <f t="shared" si="1"/>
        <v>13200</v>
      </c>
      <c r="K14" s="21">
        <f>IF(F14,SUM(F14-(LOOKUP(2,1/(F6:F13&lt;&gt;""),F6:F13))),0)</f>
        <v>6.5</v>
      </c>
      <c r="L14" s="32">
        <v>0</v>
      </c>
      <c r="M14" s="32">
        <v>0</v>
      </c>
    </row>
    <row r="15" spans="1:13" x14ac:dyDescent="0.3">
      <c r="A15" s="2">
        <v>9</v>
      </c>
      <c r="B15" s="8">
        <f>MONTH(DATEVALUE(D2&amp;"1"))</f>
        <v>3</v>
      </c>
      <c r="C15" s="2">
        <f>(E2)</f>
        <v>2021</v>
      </c>
      <c r="D15" s="6">
        <v>151546</v>
      </c>
      <c r="E15" s="6">
        <v>45287</v>
      </c>
      <c r="F15" s="20">
        <v>98251</v>
      </c>
      <c r="G15" s="9">
        <f>IF(D15,SUM(D15-(LOOKUP(2,1/(D6:D14&lt;&gt;""),D6:D14))),0)</f>
        <v>103</v>
      </c>
      <c r="H15" s="10">
        <f t="shared" si="0"/>
        <v>3007.0418224000005</v>
      </c>
      <c r="I15" s="11">
        <f>IF(E15,SUM(E15-(LOOKUP(2,1/(E6:E14&lt;&gt;""),E6:E14))),0)</f>
        <v>13</v>
      </c>
      <c r="J15" s="11">
        <f t="shared" si="1"/>
        <v>15600</v>
      </c>
      <c r="K15" s="21">
        <f>IF(F15,SUM(F15-(LOOKUP(2,1/(F6:F14&lt;&gt;""),F6:F14))),0)</f>
        <v>3</v>
      </c>
      <c r="L15" s="32">
        <v>0</v>
      </c>
      <c r="M15" s="32">
        <v>0</v>
      </c>
    </row>
    <row r="16" spans="1:13" x14ac:dyDescent="0.3">
      <c r="A16" s="2">
        <v>10</v>
      </c>
      <c r="B16" s="2">
        <f>MONTH(DATEVALUE(D2&amp;"1"))</f>
        <v>3</v>
      </c>
      <c r="C16" s="2">
        <f>(E2)</f>
        <v>2021</v>
      </c>
      <c r="D16" s="6">
        <v>151641</v>
      </c>
      <c r="E16" s="6">
        <v>45300</v>
      </c>
      <c r="F16" s="20">
        <v>98255</v>
      </c>
      <c r="G16" s="9">
        <f>IF(D16,SUM(D16-(LOOKUP(2,1/(D6:D15&lt;&gt;""),D6:D15))),0)</f>
        <v>95</v>
      </c>
      <c r="H16" s="10">
        <f t="shared" si="0"/>
        <v>2773.4851760000006</v>
      </c>
      <c r="I16" s="11">
        <f>IF(E16,SUM(E16-(LOOKUP(2,1/(E6:E15&lt;&gt;""),E6:E15))),0)</f>
        <v>13</v>
      </c>
      <c r="J16" s="11">
        <f t="shared" si="1"/>
        <v>15600</v>
      </c>
      <c r="K16" s="21">
        <f>IF(F16,SUM(F16-(LOOKUP(2,1/(F6:F15&lt;&gt;""),F6:F15))),0)</f>
        <v>4</v>
      </c>
      <c r="L16" s="32">
        <v>0</v>
      </c>
      <c r="M16" s="32">
        <v>0</v>
      </c>
    </row>
    <row r="17" spans="1:13" x14ac:dyDescent="0.3">
      <c r="A17" s="2">
        <v>11</v>
      </c>
      <c r="B17" s="8">
        <f>MONTH(DATEVALUE(D2&amp;"1"))</f>
        <v>3</v>
      </c>
      <c r="C17" s="2">
        <f>(E2)</f>
        <v>2021</v>
      </c>
      <c r="D17" s="6">
        <v>151738</v>
      </c>
      <c r="E17" s="6">
        <v>45312</v>
      </c>
      <c r="F17" s="20">
        <v>98257</v>
      </c>
      <c r="G17" s="9">
        <f>IF(D17,SUM(D17-(LOOKUP(2,1/(D6:D16&lt;&gt;""),D6:D16))),0)</f>
        <v>97</v>
      </c>
      <c r="H17" s="10">
        <f t="shared" si="0"/>
        <v>2831.8743376000002</v>
      </c>
      <c r="I17" s="11">
        <f>IF(E17,SUM(E17-(LOOKUP(2,1/(E6:E16&lt;&gt;""),E6:E16))),0)</f>
        <v>12</v>
      </c>
      <c r="J17" s="11">
        <f t="shared" si="1"/>
        <v>14400</v>
      </c>
      <c r="K17" s="21">
        <f>IF(F17,SUM(F17-(LOOKUP(2,1/(F6:F16&lt;&gt;""),F6:F16))),0)</f>
        <v>2</v>
      </c>
      <c r="L17" s="32">
        <v>0</v>
      </c>
      <c r="M17" s="32">
        <v>0</v>
      </c>
    </row>
    <row r="18" spans="1:13" x14ac:dyDescent="0.3">
      <c r="A18" s="2">
        <v>12</v>
      </c>
      <c r="B18" s="2">
        <f>MONTH(DATEVALUE(D2&amp;"1"))</f>
        <v>3</v>
      </c>
      <c r="C18" s="2">
        <f>(E2)</f>
        <v>2021</v>
      </c>
      <c r="D18" s="6">
        <v>151852</v>
      </c>
      <c r="E18" s="6">
        <v>45326</v>
      </c>
      <c r="F18" s="20">
        <v>98264</v>
      </c>
      <c r="G18" s="9">
        <f>IF(D18,SUM(D18-(LOOKUP(2,1/(D6:D17&lt;&gt;""),D6:D17))),0)</f>
        <v>114</v>
      </c>
      <c r="H18" s="10">
        <f t="shared" si="0"/>
        <v>3328.1822112000004</v>
      </c>
      <c r="I18" s="11">
        <f>IF(E18,SUM(E18-(LOOKUP(2,1/(E6:E17&lt;&gt;""),E6:E17))),0)</f>
        <v>14</v>
      </c>
      <c r="J18" s="11">
        <f t="shared" si="1"/>
        <v>16800</v>
      </c>
      <c r="K18" s="21">
        <f>IF(F18,SUM(F18-(LOOKUP(2,1/(F6:F17&lt;&gt;""),F6:F17))),0)</f>
        <v>7</v>
      </c>
      <c r="L18" s="32">
        <v>0</v>
      </c>
      <c r="M18" s="32">
        <v>0</v>
      </c>
    </row>
    <row r="19" spans="1:13" x14ac:dyDescent="0.3">
      <c r="A19" s="2">
        <v>13</v>
      </c>
      <c r="B19" s="8">
        <f>MONTH(DATEVALUE(D2&amp;"1"))</f>
        <v>3</v>
      </c>
      <c r="C19" s="2">
        <f>(E2)</f>
        <v>2021</v>
      </c>
      <c r="D19" s="6">
        <v>151943</v>
      </c>
      <c r="E19" s="6">
        <v>45340</v>
      </c>
      <c r="F19" s="20">
        <v>98268</v>
      </c>
      <c r="G19" s="9">
        <f>IF(D19,SUM(D19-(LOOKUP(2,1/(D6:D18&lt;&gt;""),D6:D18))),0)</f>
        <v>91</v>
      </c>
      <c r="H19" s="10">
        <f t="shared" si="0"/>
        <v>2656.7068528000004</v>
      </c>
      <c r="I19" s="11">
        <f>IF(E19,SUM(E19-(LOOKUP(2,1/(E6:E18&lt;&gt;""),E6:E18))),0)</f>
        <v>14</v>
      </c>
      <c r="J19" s="11">
        <f t="shared" si="1"/>
        <v>16800</v>
      </c>
      <c r="K19" s="21">
        <f>IF(F19,SUM(F19-(LOOKUP(2,1/(F6:F18&lt;&gt;""),F6:F18))),0)</f>
        <v>4</v>
      </c>
      <c r="L19" s="32">
        <v>0</v>
      </c>
      <c r="M19" s="32">
        <v>0</v>
      </c>
    </row>
    <row r="20" spans="1:13" x14ac:dyDescent="0.3">
      <c r="A20" s="2">
        <v>14</v>
      </c>
      <c r="B20" s="2">
        <f>MONTH(DATEVALUE(D2&amp;"1"))</f>
        <v>3</v>
      </c>
      <c r="C20" s="2">
        <f>(E2)</f>
        <v>2021</v>
      </c>
      <c r="D20" s="6">
        <v>152023</v>
      </c>
      <c r="E20" s="6">
        <v>45352</v>
      </c>
      <c r="F20" s="20">
        <v>98275</v>
      </c>
      <c r="G20" s="9">
        <f>IF(D20,SUM(D20-(LOOKUP(2,1/(D6:D19&lt;&gt;""),D6:D19))),0)</f>
        <v>80</v>
      </c>
      <c r="H20" s="10">
        <f t="shared" si="0"/>
        <v>2335.566464</v>
      </c>
      <c r="I20" s="11">
        <f>IF(E20,SUM(E20-(LOOKUP(2,1/(E6:E19&lt;&gt;""),E6:E19))),0)</f>
        <v>12</v>
      </c>
      <c r="J20" s="11">
        <f t="shared" si="1"/>
        <v>14400</v>
      </c>
      <c r="K20" s="21">
        <f>IF(F20,SUM(F20-(LOOKUP(2,1/(F6:F19&lt;&gt;""),F6:F19))),0)</f>
        <v>7</v>
      </c>
      <c r="L20" s="32">
        <v>0</v>
      </c>
      <c r="M20" s="32">
        <v>0</v>
      </c>
    </row>
    <row r="21" spans="1:13" x14ac:dyDescent="0.3">
      <c r="A21" s="2">
        <v>15</v>
      </c>
      <c r="B21" s="2">
        <f>MONTH(DATEVALUE(D2&amp;"1"))</f>
        <v>3</v>
      </c>
      <c r="C21" s="2">
        <f>(E2)</f>
        <v>2021</v>
      </c>
      <c r="D21" s="6">
        <v>152113</v>
      </c>
      <c r="E21" s="6">
        <v>45363</v>
      </c>
      <c r="F21" s="20">
        <v>98281</v>
      </c>
      <c r="G21" s="9">
        <f>IF(D21,SUM(D21-(LOOKUP(2,1/(D6:D20&lt;&gt;""),D6:D20))),0)</f>
        <v>90</v>
      </c>
      <c r="H21" s="10">
        <f t="shared" si="0"/>
        <v>2627.5122720000004</v>
      </c>
      <c r="I21" s="11">
        <f>IF(E21,SUM(E21-(LOOKUP(2,1/(E6:E20&lt;&gt;""),E6:E20))),0)</f>
        <v>11</v>
      </c>
      <c r="J21" s="11">
        <f t="shared" si="1"/>
        <v>13200</v>
      </c>
      <c r="K21" s="21">
        <f>IF(F21,SUM(F21-(LOOKUP(2,1/(F6:F20&lt;&gt;""),F6:F20))),0)</f>
        <v>6</v>
      </c>
      <c r="L21" s="32">
        <v>0</v>
      </c>
      <c r="M21" s="32">
        <v>0</v>
      </c>
    </row>
    <row r="22" spans="1:13" x14ac:dyDescent="0.3">
      <c r="A22" s="2">
        <v>16</v>
      </c>
      <c r="B22" s="2">
        <f>MONTH(DATEVALUE(D2&amp;"1"))</f>
        <v>3</v>
      </c>
      <c r="C22" s="2">
        <f>(E2)</f>
        <v>2021</v>
      </c>
      <c r="D22" s="6">
        <v>152205</v>
      </c>
      <c r="E22" s="6">
        <v>45376</v>
      </c>
      <c r="F22" s="20">
        <v>98290</v>
      </c>
      <c r="G22" s="9">
        <f>IF(D22,SUM(D22-(LOOKUP(2,1/(D6:D21&lt;&gt;""),D6:D21))),0)</f>
        <v>92</v>
      </c>
      <c r="H22" s="10">
        <f t="shared" si="0"/>
        <v>2685.9014336000005</v>
      </c>
      <c r="I22" s="11">
        <f>IF(E22,SUM(E22-(LOOKUP(2,1/(E6:E21&lt;&gt;""),E6:E21))),0)</f>
        <v>13</v>
      </c>
      <c r="J22" s="11">
        <f t="shared" si="1"/>
        <v>15600</v>
      </c>
      <c r="K22" s="21">
        <f>IF(F22,SUM(F22-(LOOKUP(2,1/(F6:F21&lt;&gt;""),F6:F21))),0)</f>
        <v>9</v>
      </c>
      <c r="L22" s="32">
        <v>0</v>
      </c>
      <c r="M22" s="32">
        <v>0</v>
      </c>
    </row>
    <row r="23" spans="1:13" x14ac:dyDescent="0.3">
      <c r="A23" s="2">
        <v>17</v>
      </c>
      <c r="B23" s="2">
        <f>MONTH(DATEVALUE(D2&amp;"1"))</f>
        <v>3</v>
      </c>
      <c r="C23" s="2">
        <f>(E2)</f>
        <v>2021</v>
      </c>
      <c r="D23" s="6">
        <v>152316</v>
      </c>
      <c r="E23" s="6">
        <v>45391</v>
      </c>
      <c r="F23" s="20">
        <v>98304</v>
      </c>
      <c r="G23" s="9">
        <f>IF(D23,SUM(D23-(LOOKUP(2,1/(D6:D22&lt;&gt;""),D6:D22))),0)</f>
        <v>111</v>
      </c>
      <c r="H23" s="10">
        <f t="shared" si="0"/>
        <v>3240.5984687999999</v>
      </c>
      <c r="I23" s="11">
        <f>IF(E23,SUM(E23-(LOOKUP(2,1/(E6:E22&lt;&gt;""),E6:E22))),0)</f>
        <v>15</v>
      </c>
      <c r="J23" s="11">
        <f t="shared" si="1"/>
        <v>18000</v>
      </c>
      <c r="K23" s="21">
        <f>IF(F23,SUM(F23-(LOOKUP(2,1/(F6:F22&lt;&gt;""),F6:F22))),0)</f>
        <v>14</v>
      </c>
      <c r="L23" s="32">
        <v>0</v>
      </c>
      <c r="M23" s="32">
        <v>0</v>
      </c>
    </row>
    <row r="24" spans="1:13" x14ac:dyDescent="0.3">
      <c r="A24" s="2">
        <v>18</v>
      </c>
      <c r="B24" s="2">
        <f>MONTH(DATEVALUE(D2&amp;"1"))</f>
        <v>3</v>
      </c>
      <c r="C24" s="2">
        <f>(E2)</f>
        <v>2021</v>
      </c>
      <c r="D24" s="6">
        <v>152404</v>
      </c>
      <c r="E24" s="6">
        <v>45403</v>
      </c>
      <c r="F24" s="20">
        <v>98314</v>
      </c>
      <c r="G24" s="9">
        <f>IF(D24,SUM(D24-(LOOKUP(2,1/(D6:D23&lt;&gt;""),D6:D23))),0)</f>
        <v>88</v>
      </c>
      <c r="H24" s="10">
        <f t="shared" si="0"/>
        <v>2569.1231104000003</v>
      </c>
      <c r="I24" s="11">
        <f>IF(E24,SUM(E24-(LOOKUP(2,1/(E6:E23&lt;&gt;""),E6:E23))),0)</f>
        <v>12</v>
      </c>
      <c r="J24" s="11">
        <f t="shared" si="1"/>
        <v>14400</v>
      </c>
      <c r="K24" s="21">
        <f>IF(F24,SUM(F24-(LOOKUP(2,1/(F6:F23&lt;&gt;""),F6:F23))),0)</f>
        <v>10</v>
      </c>
      <c r="L24" s="32">
        <v>0</v>
      </c>
      <c r="M24" s="32">
        <v>0</v>
      </c>
    </row>
    <row r="25" spans="1:13" x14ac:dyDescent="0.3">
      <c r="A25" s="2">
        <v>19</v>
      </c>
      <c r="B25" s="2">
        <f>MONTH(DATEVALUE(D2&amp;"1"))</f>
        <v>3</v>
      </c>
      <c r="C25" s="2">
        <f>(E2)</f>
        <v>2021</v>
      </c>
      <c r="D25" s="6">
        <v>152494</v>
      </c>
      <c r="E25" s="6">
        <v>45415</v>
      </c>
      <c r="F25" s="20">
        <v>98324</v>
      </c>
      <c r="G25" s="9">
        <f>IF(D25,SUM(D25-(LOOKUP(2,1/(D6:D24&lt;&gt;""),D6:D24))),0)</f>
        <v>90</v>
      </c>
      <c r="H25" s="10">
        <f t="shared" si="0"/>
        <v>2627.5122720000004</v>
      </c>
      <c r="I25" s="11">
        <f>IF(E25,SUM(E25-(LOOKUP(2,1/(E6:E24&lt;&gt;""),E6:E24))),0)</f>
        <v>12</v>
      </c>
      <c r="J25" s="11">
        <f t="shared" si="1"/>
        <v>14400</v>
      </c>
      <c r="K25" s="21">
        <f>IF(F25,SUM(F25-(LOOKUP(2,1/(F6:F24&lt;&gt;""),F6:F24))),0)</f>
        <v>10</v>
      </c>
      <c r="L25" s="32">
        <v>0</v>
      </c>
      <c r="M25" s="32">
        <v>0</v>
      </c>
    </row>
    <row r="26" spans="1:13" x14ac:dyDescent="0.3">
      <c r="A26" s="2">
        <v>20</v>
      </c>
      <c r="B26" s="2">
        <f>MONTH(DATEVALUE(D2&amp;"1"))</f>
        <v>3</v>
      </c>
      <c r="C26" s="2">
        <f>(E2)</f>
        <v>2021</v>
      </c>
      <c r="D26" s="6">
        <v>152590</v>
      </c>
      <c r="E26" s="6">
        <v>45428</v>
      </c>
      <c r="F26" s="20">
        <v>98336</v>
      </c>
      <c r="G26" s="9">
        <f>IF(D26,SUM(D26-(LOOKUP(2,1/(D6:D25&lt;&gt;""),D6:D25))),0)</f>
        <v>96</v>
      </c>
      <c r="H26" s="10">
        <f t="shared" si="0"/>
        <v>2802.6797568000006</v>
      </c>
      <c r="I26" s="11">
        <f>IF(E26,SUM(E26-(LOOKUP(2,1/(E6:E25&lt;&gt;""),E6:E25))),0)</f>
        <v>13</v>
      </c>
      <c r="J26" s="11">
        <f t="shared" si="1"/>
        <v>15600</v>
      </c>
      <c r="K26" s="21">
        <f>IF(F26,SUM(F26-(LOOKUP(2,1/(F6:F25&lt;&gt;""),F6:F25))),0)</f>
        <v>12</v>
      </c>
      <c r="L26" s="32">
        <v>0</v>
      </c>
      <c r="M26" s="32">
        <v>0</v>
      </c>
    </row>
    <row r="27" spans="1:13" x14ac:dyDescent="0.3">
      <c r="A27" s="2">
        <v>21</v>
      </c>
      <c r="B27" s="2">
        <f>MONTH(DATEVALUE(D2&amp;"1"))</f>
        <v>3</v>
      </c>
      <c r="C27" s="2">
        <f>(E2)</f>
        <v>2021</v>
      </c>
      <c r="D27" s="6">
        <v>152685</v>
      </c>
      <c r="E27" s="6">
        <v>45440</v>
      </c>
      <c r="F27" s="20">
        <v>98351</v>
      </c>
      <c r="G27" s="9">
        <f>IF(D27,SUM(D27-(LOOKUP(2,1/(D6:D26&lt;&gt;""),D6:D26))),0)</f>
        <v>95</v>
      </c>
      <c r="H27" s="10">
        <f t="shared" si="0"/>
        <v>2773.4851760000006</v>
      </c>
      <c r="I27" s="11">
        <f>IF(E27,SUM(E27-(LOOKUP(2,1/(E6:E26&lt;&gt;""),E6:E26))),0)</f>
        <v>12</v>
      </c>
      <c r="J27" s="11">
        <f t="shared" si="1"/>
        <v>14400</v>
      </c>
      <c r="K27" s="21">
        <f>IF(F27,SUM(F27-(LOOKUP(2,1/(F6:F26&lt;&gt;""),F6:F26))),0)</f>
        <v>15</v>
      </c>
      <c r="L27" s="32">
        <v>0</v>
      </c>
      <c r="M27" s="32">
        <v>0</v>
      </c>
    </row>
    <row r="28" spans="1:13" x14ac:dyDescent="0.3">
      <c r="A28" s="2">
        <v>22</v>
      </c>
      <c r="B28" s="2">
        <f>MONTH(DATEVALUE(D2&amp;"1"))</f>
        <v>3</v>
      </c>
      <c r="C28" s="2">
        <f>(E2)</f>
        <v>2021</v>
      </c>
      <c r="D28" s="6">
        <v>152787</v>
      </c>
      <c r="E28" s="6">
        <v>45453</v>
      </c>
      <c r="F28" s="20">
        <v>98359</v>
      </c>
      <c r="G28" s="9">
        <f>IF(D28,SUM(D28-(LOOKUP(2,1/(D6:D27&lt;&gt;""),D6:D27))),0)</f>
        <v>102</v>
      </c>
      <c r="H28" s="10">
        <f t="shared" si="0"/>
        <v>2977.8472416000004</v>
      </c>
      <c r="I28" s="11">
        <f>IF(E28,SUM(E28-(LOOKUP(2,1/(E6:E27&lt;&gt;""),E6:E27))),0)</f>
        <v>13</v>
      </c>
      <c r="J28" s="11">
        <f t="shared" si="1"/>
        <v>15600</v>
      </c>
      <c r="K28" s="21">
        <f>IF(F28,SUM(F28-(LOOKUP(2,1/(F6:F27&lt;&gt;""),F6:F27))),0)</f>
        <v>8</v>
      </c>
      <c r="L28" s="32">
        <v>0</v>
      </c>
      <c r="M28" s="32">
        <v>0</v>
      </c>
    </row>
    <row r="29" spans="1:13" x14ac:dyDescent="0.3">
      <c r="A29" s="2">
        <v>23</v>
      </c>
      <c r="B29" s="2">
        <f>MONTH(DATEVALUE(D2&amp;"1"))</f>
        <v>3</v>
      </c>
      <c r="C29" s="2">
        <f>(E2)</f>
        <v>2021</v>
      </c>
      <c r="D29" s="6"/>
      <c r="E29" s="6"/>
      <c r="F29" s="20"/>
      <c r="G29" s="9">
        <f>IF(D29,SUM(D29-(LOOKUP(2,1/(D6:D28&lt;&gt;""),D6:D28))),0)</f>
        <v>0</v>
      </c>
      <c r="H29" s="10">
        <f t="shared" si="0"/>
        <v>0</v>
      </c>
      <c r="I29" s="11">
        <f>IF(E29,SUM(E29-(LOOKUP(2,1/(E6:E28&lt;&gt;""),E6:E28))),0)</f>
        <v>0</v>
      </c>
      <c r="J29" s="11">
        <f t="shared" si="1"/>
        <v>0</v>
      </c>
      <c r="K29" s="21">
        <f>IF(F29,SUM(F29-(LOOKUP(2,1/(F6:F28&lt;&gt;""),F6:F28))),0)</f>
        <v>0</v>
      </c>
      <c r="L29" s="32">
        <v>0</v>
      </c>
      <c r="M29" s="32">
        <v>0</v>
      </c>
    </row>
    <row r="30" spans="1:13" x14ac:dyDescent="0.3">
      <c r="A30" s="2">
        <v>24</v>
      </c>
      <c r="B30" s="2">
        <f>MONTH(DATEVALUE(D2&amp;"1"))</f>
        <v>3</v>
      </c>
      <c r="C30" s="2">
        <f>(E2)</f>
        <v>2021</v>
      </c>
      <c r="D30" s="6"/>
      <c r="E30" s="6"/>
      <c r="F30" s="20"/>
      <c r="G30" s="9">
        <f>IF(D30,SUM(D30-(LOOKUP(2,1/(D6:D29&lt;&gt;""),D6:D29))),0)</f>
        <v>0</v>
      </c>
      <c r="H30" s="10">
        <f t="shared" si="0"/>
        <v>0</v>
      </c>
      <c r="I30" s="11">
        <f>IF(E30,SUM(E30-(LOOKUP(2,1/(E6:E29&lt;&gt;""),E6:E29))),0)</f>
        <v>0</v>
      </c>
      <c r="J30" s="11">
        <f t="shared" si="1"/>
        <v>0</v>
      </c>
      <c r="K30" s="21">
        <f>IF(F30,SUM(F30-(LOOKUP(2,1/(F6:F29&lt;&gt;""),F6:F29))),0)</f>
        <v>0</v>
      </c>
      <c r="L30" s="32">
        <v>0</v>
      </c>
      <c r="M30" s="32">
        <v>0</v>
      </c>
    </row>
    <row r="31" spans="1:13" x14ac:dyDescent="0.3">
      <c r="A31" s="2">
        <v>25</v>
      </c>
      <c r="B31" s="2">
        <f>MONTH(DATEVALUE(D2&amp;"1"))</f>
        <v>3</v>
      </c>
      <c r="C31" s="2">
        <f>(E2)</f>
        <v>2021</v>
      </c>
      <c r="D31" s="6"/>
      <c r="E31" s="6"/>
      <c r="F31" s="20"/>
      <c r="G31" s="9">
        <f>IF(D31,SUM(D31-(LOOKUP(2,1/(D6:D30&lt;&gt;""),D6:D30))),0)</f>
        <v>0</v>
      </c>
      <c r="H31" s="10">
        <f t="shared" si="0"/>
        <v>0</v>
      </c>
      <c r="I31" s="11">
        <f>IF(E31,SUM(E31-(LOOKUP(2,1/(E6:E30&lt;&gt;""),E6:E30))),0)</f>
        <v>0</v>
      </c>
      <c r="J31" s="11">
        <f t="shared" si="1"/>
        <v>0</v>
      </c>
      <c r="K31" s="21">
        <f>IF(F31,SUM(F31-(LOOKUP(2,1/(F6:F30&lt;&gt;""),F6:F30))),0)</f>
        <v>0</v>
      </c>
      <c r="L31" s="32">
        <v>0</v>
      </c>
      <c r="M31" s="32">
        <v>0</v>
      </c>
    </row>
    <row r="32" spans="1:13" x14ac:dyDescent="0.3">
      <c r="A32" s="2">
        <v>26</v>
      </c>
      <c r="B32" s="2">
        <f>MONTH(DATEVALUE(D2&amp;"1"))</f>
        <v>3</v>
      </c>
      <c r="C32" s="2">
        <f>(E2)</f>
        <v>2021</v>
      </c>
      <c r="D32" s="6"/>
      <c r="E32" s="6"/>
      <c r="F32" s="20"/>
      <c r="G32" s="9">
        <f>IF(D32,SUM(D32-(LOOKUP(2,1/(D6:D31&lt;&gt;""),D6:D31))),0)</f>
        <v>0</v>
      </c>
      <c r="H32" s="10">
        <f t="shared" si="0"/>
        <v>0</v>
      </c>
      <c r="I32" s="11">
        <f>IF(E32,SUM(E32-(LOOKUP(2,1/(E6:E31&lt;&gt;""),E6:E31))),0)</f>
        <v>0</v>
      </c>
      <c r="J32" s="11">
        <f t="shared" si="1"/>
        <v>0</v>
      </c>
      <c r="K32" s="21">
        <f>IF(F32,SUM(F32-(LOOKUP(2,1/(F6:F31&lt;&gt;""),F6:F31))),0)</f>
        <v>0</v>
      </c>
      <c r="L32" s="32">
        <v>0</v>
      </c>
      <c r="M32" s="32">
        <v>0</v>
      </c>
    </row>
    <row r="33" spans="1:13" x14ac:dyDescent="0.3">
      <c r="A33" s="2">
        <v>27</v>
      </c>
      <c r="B33" s="2" t="e">
        <f>MONTH(DATEVALUE(#REF!&amp;"1"))</f>
        <v>#REF!</v>
      </c>
      <c r="C33" s="2" t="e">
        <f>(#REF!)</f>
        <v>#REF!</v>
      </c>
      <c r="D33" s="6"/>
      <c r="E33" s="6"/>
      <c r="F33" s="20"/>
      <c r="G33" s="9">
        <f>IF(D33,SUM(D33-(LOOKUP(2,1/(D6:D32&lt;&gt;""),D6:D32))),0)</f>
        <v>0</v>
      </c>
      <c r="H33" s="10">
        <f>IF(G33,SUM((G33*1.153936)*25.3),0)</f>
        <v>0</v>
      </c>
      <c r="I33" s="11">
        <f>IF(E33,SUM(E33-(LOOKUP(2,1/(E6:E32&lt;&gt;""),E6:E32))),0)</f>
        <v>0</v>
      </c>
      <c r="J33" s="11">
        <f t="shared" si="1"/>
        <v>0</v>
      </c>
      <c r="K33" s="21">
        <f>IF(F33,SUM(F33-(LOOKUP(2,1/(F6:F32&lt;&gt;""),F6:F32))),0)</f>
        <v>0</v>
      </c>
      <c r="L33" s="32">
        <v>0</v>
      </c>
      <c r="M33" s="32">
        <v>0</v>
      </c>
    </row>
    <row r="34" spans="1:13" x14ac:dyDescent="0.3">
      <c r="A34" s="2">
        <v>28</v>
      </c>
      <c r="B34" s="2" t="e">
        <f>MONTH(DATEVALUE(#REF!&amp;"1"))</f>
        <v>#REF!</v>
      </c>
      <c r="C34" s="2" t="e">
        <f>(#REF!)</f>
        <v>#REF!</v>
      </c>
      <c r="D34" s="6"/>
      <c r="E34" s="6"/>
      <c r="F34" s="20"/>
      <c r="G34" s="9">
        <f>IF(D34,SUM(D34-(LOOKUP(2,1/(D6:D33&lt;&gt;""),D6:D33))),0)</f>
        <v>0</v>
      </c>
      <c r="H34" s="10">
        <f t="shared" ref="H34" si="4">IF(G34,SUM((G34*1.153936)*25.3),0)</f>
        <v>0</v>
      </c>
      <c r="I34" s="11">
        <f>IF(E34,SUM(E34-(LOOKUP(2,1/(E6:E33&lt;&gt;""),E6:E33))),0)</f>
        <v>0</v>
      </c>
      <c r="J34" s="11">
        <f t="shared" si="1"/>
        <v>0</v>
      </c>
      <c r="K34" s="21">
        <f>IF(F34,SUM(F34-(LOOKUP(2,1/(F6:F33&lt;&gt;""),F6:F33))),0)</f>
        <v>0</v>
      </c>
      <c r="L34" s="32">
        <v>0</v>
      </c>
      <c r="M34" s="32">
        <v>0</v>
      </c>
    </row>
    <row r="35" spans="1:13" x14ac:dyDescent="0.3">
      <c r="A35" s="2">
        <v>29</v>
      </c>
      <c r="B35" s="2" t="e">
        <f>MONTH(DATEVALUE(D1&amp;"1"))</f>
        <v>#VALUE!</v>
      </c>
      <c r="C35" s="2">
        <f>(E1)</f>
        <v>0</v>
      </c>
      <c r="D35" s="6"/>
      <c r="E35" s="6"/>
      <c r="F35" s="20"/>
      <c r="G35" s="9">
        <f>IF(D35,SUM(D35-(LOOKUP(2,1/(D6:D34&lt;&gt;""),D6:D34))),0)</f>
        <v>0</v>
      </c>
      <c r="H35" s="10">
        <f>IF(G35,SUM((G35*1.153936)*25.3),0)</f>
        <v>0</v>
      </c>
      <c r="I35" s="11">
        <f>IF(E35,SUM(E35-(LOOKUP(2,1/(E6:E34&lt;&gt;""),E6:E34))),0)</f>
        <v>0</v>
      </c>
      <c r="J35" s="11">
        <f t="shared" si="1"/>
        <v>0</v>
      </c>
      <c r="K35" s="21">
        <f>IF(F35,SUM(F35-(LOOKUP(2,1/(F6:F34&lt;&gt;""),F6:F34))),0)</f>
        <v>0</v>
      </c>
      <c r="L35" s="32">
        <v>0</v>
      </c>
      <c r="M35" s="32">
        <v>0</v>
      </c>
    </row>
    <row r="36" spans="1:13" x14ac:dyDescent="0.3">
      <c r="A36" s="2">
        <v>30</v>
      </c>
      <c r="B36" s="2">
        <f>MONTH(DATEVALUE(D2&amp;"1"))</f>
        <v>3</v>
      </c>
      <c r="C36" s="2">
        <f>(E2)</f>
        <v>2021</v>
      </c>
      <c r="D36" s="6"/>
      <c r="E36" s="6"/>
      <c r="F36" s="20"/>
      <c r="G36" s="9">
        <f>IF(D36,SUM(D36-(LOOKUP(2,1/(D6:D35&lt;&gt;""),D6:D35))),0)</f>
        <v>0</v>
      </c>
      <c r="H36" s="10">
        <f>IF(G36,SUM((G36*1.153936)*25.3),0)</f>
        <v>0</v>
      </c>
      <c r="I36" s="11">
        <f>IF(E36,SUM(E36-(LOOKUP(2,1/(E6:E35&lt;&gt;""),E6:E35))),0)</f>
        <v>0</v>
      </c>
      <c r="J36" s="11">
        <f t="shared" si="1"/>
        <v>0</v>
      </c>
      <c r="K36" s="21">
        <f>IF(F36,SUM(F36-(LOOKUP(2,1/(F6:F35&lt;&gt;""),F6:F35))),0)</f>
        <v>0</v>
      </c>
      <c r="L36" s="32">
        <v>0</v>
      </c>
      <c r="M36" s="32">
        <v>0</v>
      </c>
    </row>
    <row r="37" spans="1:13" x14ac:dyDescent="0.3">
      <c r="A37" s="2">
        <v>31</v>
      </c>
      <c r="B37" s="2">
        <f>MONTH(DATEVALUE(D2&amp;"1"))</f>
        <v>3</v>
      </c>
      <c r="C37" s="2">
        <f>(E2)</f>
        <v>2021</v>
      </c>
      <c r="D37" s="6"/>
      <c r="E37" s="6"/>
      <c r="F37" s="20"/>
      <c r="G37" s="9">
        <f>IF(D37,SUM(D37-(LOOKUP(2,1/(D6:D36&lt;&gt;""),D6:D36))),0)</f>
        <v>0</v>
      </c>
      <c r="H37" s="10">
        <f t="shared" si="0"/>
        <v>0</v>
      </c>
      <c r="I37" s="11">
        <f>IF(E37,SUM(E37-(LOOKUP(2,1/(E6:E36&lt;&gt;""),E6:E36))),0)</f>
        <v>0</v>
      </c>
      <c r="J37" s="11">
        <f t="shared" si="1"/>
        <v>0</v>
      </c>
      <c r="K37" s="21">
        <f>IF(F37,SUM(F37-(LOOKUP(2,1/(F6:F36&lt;&gt;""),F6:F36))),0)</f>
        <v>0</v>
      </c>
      <c r="L37" s="32">
        <v>0</v>
      </c>
      <c r="M37" s="32">
        <v>0</v>
      </c>
    </row>
    <row r="38" spans="1:13" x14ac:dyDescent="0.3">
      <c r="F38" s="1" t="s">
        <v>10</v>
      </c>
      <c r="G38" s="18">
        <f t="shared" ref="G38:M38" si="5">SUM(G7:G37)</f>
        <v>2109</v>
      </c>
      <c r="H38" s="17">
        <f t="shared" si="5"/>
        <v>61571.37090720002</v>
      </c>
      <c r="I38" s="18">
        <f t="shared" si="5"/>
        <v>277</v>
      </c>
      <c r="J38" s="18">
        <f t="shared" si="5"/>
        <v>332400</v>
      </c>
      <c r="K38" s="22">
        <f t="shared" si="5"/>
        <v>148</v>
      </c>
      <c r="L38" s="22">
        <f t="shared" si="5"/>
        <v>0</v>
      </c>
      <c r="M38" s="22">
        <f t="shared" si="5"/>
        <v>0</v>
      </c>
    </row>
  </sheetData>
  <mergeCells count="3">
    <mergeCell ref="G4:K4"/>
    <mergeCell ref="D4:F4"/>
    <mergeCell ref="A6:C6"/>
  </mergeCells>
  <conditionalFormatting sqref="G7:G32 I7:K7 I36:I37 G36:G37 K36:K37 I8:I32 K8:K32 J8:J37">
    <cfRule type="cellIs" priority="13" stopIfTrue="1" operator="equal">
      <formula>0</formula>
    </cfRule>
    <cfRule type="cellIs" dxfId="6" priority="14" operator="lessThan">
      <formula>1</formula>
    </cfRule>
  </conditionalFormatting>
  <conditionalFormatting sqref="H7:H32 H36:H37">
    <cfRule type="cellIs" priority="11" stopIfTrue="1" operator="equal">
      <formula>0</formula>
    </cfRule>
    <cfRule type="cellIs" dxfId="5" priority="12" operator="lessThan">
      <formula>1</formula>
    </cfRule>
  </conditionalFormatting>
  <conditionalFormatting sqref="D2 E2">
    <cfRule type="containsBlanks" dxfId="4" priority="10">
      <formula>LEN(TRIM(D2))=0</formula>
    </cfRule>
  </conditionalFormatting>
  <conditionalFormatting sqref="I33:I34 G33:G34 K33:K34">
    <cfRule type="cellIs" priority="7" stopIfTrue="1" operator="equal">
      <formula>0</formula>
    </cfRule>
    <cfRule type="cellIs" dxfId="3" priority="8" operator="lessThan">
      <formula>1</formula>
    </cfRule>
  </conditionalFormatting>
  <conditionalFormatting sqref="H33:H34">
    <cfRule type="cellIs" priority="5" stopIfTrue="1" operator="equal">
      <formula>0</formula>
    </cfRule>
    <cfRule type="cellIs" dxfId="2" priority="6" operator="lessThan">
      <formula>1</formula>
    </cfRule>
  </conditionalFormatting>
  <conditionalFormatting sqref="I35 G35 K35">
    <cfRule type="cellIs" priority="3" stopIfTrue="1" operator="equal">
      <formula>0</formula>
    </cfRule>
    <cfRule type="cellIs" dxfId="1" priority="4" operator="lessThan">
      <formula>1</formula>
    </cfRule>
  </conditionalFormatting>
  <conditionalFormatting sqref="H35">
    <cfRule type="cellIs" priority="1" stopIfTrue="1" operator="equal">
      <formula>0</formula>
    </cfRule>
    <cfRule type="cellIs" dxfId="0" priority="2" operator="lessThan">
      <formula>1</formula>
    </cfRule>
  </conditionalFormatting>
  <dataValidations disablePrompts="1" count="1">
    <dataValidation type="list" allowBlank="1" showInputMessage="1" showErrorMessage="1" sqref="D2" xr:uid="{00000000-0002-0000-0100-000000000000}">
      <formula1>"January,February,March,April,May,June,July,August,September,October,November,December"</formula1>
    </dataValidation>
  </dataValidations>
  <pageMargins left="0.7" right="0.7" top="0.75" bottom="0.75" header="0.3" footer="0.3"/>
  <pageSetup orientation="portrait" r:id="rId1"/>
  <headerFooter>
    <oddFooter>&amp;Z&amp;F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FSRW Meter Readings</vt:lpstr>
      <vt:lpstr>'FSRW Meter Readings'!Print_Titles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Ronald Diab</cp:lastModifiedBy>
  <cp:lastPrinted>2021-03-09T09:21:45Z</cp:lastPrinted>
  <dcterms:created xsi:type="dcterms:W3CDTF">2021-03-09T05:20:06Z</dcterms:created>
  <dcterms:modified xsi:type="dcterms:W3CDTF">2021-03-23T14:11:38Z</dcterms:modified>
</cp:coreProperties>
</file>