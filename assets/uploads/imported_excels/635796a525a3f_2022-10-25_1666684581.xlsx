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936" documentId="13_ncr:1_{76C55D63-F869-4AF5-AAA3-3D809A91432B}" xr6:coauthVersionLast="47" xr6:coauthVersionMax="47" xr10:uidLastSave="{75027B27-BBC5-40E9-A1E3-BB79F88EA20D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27" l="1"/>
  <c r="J28" i="27"/>
  <c r="J27" i="27"/>
  <c r="J26" i="27"/>
  <c r="J25" i="27"/>
  <c r="J24" i="27"/>
  <c r="J23" i="27"/>
  <c r="J22" i="27"/>
  <c r="J21" i="27"/>
  <c r="J20" i="27"/>
  <c r="J19" i="27"/>
  <c r="J18" i="27"/>
  <c r="J5" i="27"/>
  <c r="J17" i="27"/>
  <c r="J16" i="27"/>
  <c r="J15" i="27"/>
  <c r="J14" i="27"/>
  <c r="J13" i="27"/>
  <c r="J12" i="27"/>
  <c r="J11" i="27"/>
  <c r="J10" i="27"/>
  <c r="J9" i="27"/>
  <c r="J8" i="27"/>
  <c r="J7" i="27"/>
  <c r="J6" i="27"/>
  <c r="L37" i="27"/>
  <c r="L36" i="27"/>
  <c r="L30" i="27"/>
  <c r="L31" i="27"/>
  <c r="L32" i="27"/>
  <c r="L33" i="27"/>
  <c r="L34" i="27"/>
  <c r="L35" i="27"/>
  <c r="G32" i="28"/>
  <c r="G33" i="28"/>
  <c r="G34" i="28"/>
  <c r="G35" i="28"/>
  <c r="G36" i="28"/>
  <c r="G37" i="28"/>
  <c r="G38" i="28"/>
  <c r="G39" i="28"/>
  <c r="K37" i="27"/>
  <c r="F37" i="27"/>
  <c r="C37" i="27"/>
  <c r="D37" i="27" s="1"/>
  <c r="E39" i="28"/>
  <c r="C39" i="28"/>
  <c r="F39" i="28" s="1"/>
  <c r="M32" i="26"/>
  <c r="B32" i="26"/>
  <c r="C38" i="28"/>
  <c r="E38" i="28"/>
  <c r="F38" i="28"/>
  <c r="E32" i="26" s="1"/>
  <c r="K36" i="27"/>
  <c r="G32" i="26" s="1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L29" i="27" s="1"/>
  <c r="F29" i="27"/>
  <c r="C29" i="27"/>
  <c r="D29" i="27" s="1"/>
  <c r="K28" i="27"/>
  <c r="L28" i="27" s="1"/>
  <c r="F28" i="27"/>
  <c r="C28" i="27"/>
  <c r="D28" i="27" s="1"/>
  <c r="K27" i="27"/>
  <c r="L27" i="27" s="1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<sst xmlns="http://schemas.openxmlformats.org/spreadsheetml/2006/main" count="72" uniqueCount="33">
  <si>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</si>
  <si>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</si>
  <si>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</si>
  <si>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</si>
  <si>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</si>
  <si>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</si>
  <si>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</si>
  <si>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</si>
  <si>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</si>
  <si>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</si>
  <si>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</si>
  <si>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</si>
  <si>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</si>
  <si>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</si>
  <si>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</si>
  <si>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 xml:space="preserve">October 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</si>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</sst>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1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60" xfId="6" applyFont="1" applyBorder="1"/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4" xfId="6" applyFont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2" borderId="66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3" borderId="63" xfId="6" applyFont="1" applyFill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2" borderId="72" xfId="6" applyFont="1" applyFill="1" applyBorder="1" applyAlignment="1">
      <alignment horizontal="center" vertical="center"/>
    </xf>
    <xf numFmtId="0" fontId="10" fillId="2" borderId="67" xfId="6" applyFont="1" applyFill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164" fontId="10" fillId="3" borderId="63" xfId="6" applyNumberFormat="1" applyFont="1" applyFill="1" applyBorder="1" applyAlignment="1">
      <alignment horizontal="center" vertical="center"/>
    </xf>
    <xf numFmtId="164" fontId="10" fillId="0" borderId="78" xfId="6" applyNumberFormat="1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164" fontId="10" fillId="0" borderId="83" xfId="6" applyNumberFormat="1" applyFont="1" applyBorder="1" applyAlignment="1">
      <alignment horizontal="center" vertical="center"/>
    </xf>
    <xf numFmtId="164" fontId="10" fillId="3" borderId="84" xfId="6" applyNumberFormat="1" applyFont="1" applyFill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3"/>
  <sheetViews>
    <sheetView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10</v>
      </c>
      <c r="D2" s="10">
        <v>2022</v>
      </c>
      <c r="E2" s="11">
        <f>IF(Electricity!F8&lt;0,0,Electricity!F8)</f>
        <v>25610.000000001492</v>
      </c>
      <c r="F2" s="82">
        <v>9.3200000000000005E-2</v>
      </c>
      <c r="G2" s="11">
        <f>IF('Water, Gas, Diesel'!K6&lt;0,0,'Water, Gas, Diesel'!K6)</f>
        <v>0</v>
      </c>
      <c r="H2" s="82">
        <v>0.7</v>
      </c>
      <c r="I2" s="11">
        <f>IF('Water, Gas, Diesel'!C6&lt;0,0,'Water, Gas, Diesel'!C6)</f>
        <v>1664</v>
      </c>
      <c r="J2" s="82">
        <v>0.21186441</v>
      </c>
      <c r="K2" s="11">
        <f>IF('Water, Gas, Diesel'!F6&lt;0,0,'Water, Gas, Diesel'!F6)</f>
        <v>301</v>
      </c>
      <c r="L2" s="82">
        <v>1.6949000000000001</v>
      </c>
      <c r="M2" s="11">
        <f>Electricity!H8</f>
        <v>118</v>
      </c>
      <c r="O2" s="107"/>
    </row>
    <row r="3" spans="1:15">
      <c r="A3" s="8" t="s">
        <v>13</v>
      </c>
      <c r="B3" s="9">
        <f>B2+1</f>
        <v>2</v>
      </c>
      <c r="C3" s="9">
        <v>10</v>
      </c>
      <c r="D3" s="10">
        <v>2022</v>
      </c>
      <c r="E3" s="11">
        <f>IF(Electricity!F9&lt;0,0,Electricity!F9)</f>
        <v>21669.999999999163</v>
      </c>
      <c r="F3" s="82">
        <v>9.3200000000000005E-2</v>
      </c>
      <c r="G3" s="11">
        <f>IF('Water, Gas, Diesel'!K7&lt;0,0,'Water, Gas, Diesel'!K7)</f>
        <v>0</v>
      </c>
      <c r="H3" s="82">
        <v>0.7</v>
      </c>
      <c r="I3" s="11">
        <f>IF('Water, Gas, Diesel'!C7&lt;0,0,'Water, Gas, Diesel'!C7)</f>
        <v>1512</v>
      </c>
      <c r="J3" s="82">
        <v>0.21186441</v>
      </c>
      <c r="K3" s="11">
        <f>IF('Water, Gas, Diesel'!F7&lt;0,0,'Water, Gas, Diesel'!F7)</f>
        <v>251</v>
      </c>
      <c r="L3" s="82">
        <v>1.6949000000000001</v>
      </c>
      <c r="M3" s="11">
        <f>Electricity!H9</f>
        <v>109</v>
      </c>
    </row>
    <row r="4" spans="1:15">
      <c r="A4" s="8" t="s">
        <v>13</v>
      </c>
      <c r="B4" s="9">
        <f t="shared" ref="B4:B32" si="0">B3+1</f>
        <v>3</v>
      </c>
      <c r="C4" s="9">
        <v>10</v>
      </c>
      <c r="D4" s="10">
        <v>2022</v>
      </c>
      <c r="E4" s="11">
        <f>IF(Electricity!F10&lt;0,0,Electricity!F10)</f>
        <v>26927.500000001601</v>
      </c>
      <c r="F4" s="82">
        <v>9.3200000000000005E-2</v>
      </c>
      <c r="G4" s="11">
        <f>IF('Water, Gas, Diesel'!K8&lt;0,0,'Water, Gas, Diesel'!K8)</f>
        <v>0</v>
      </c>
      <c r="H4" s="82">
        <v>0.7</v>
      </c>
      <c r="I4" s="11">
        <f>IF('Water, Gas, Diesel'!C8&lt;0,0,'Water, Gas, Diesel'!C8)</f>
        <v>1976</v>
      </c>
      <c r="J4" s="82">
        <v>0.21186441</v>
      </c>
      <c r="K4" s="11">
        <f>IF('Water, Gas, Diesel'!F8&lt;0,0,'Water, Gas, Diesel'!F8)</f>
        <v>317</v>
      </c>
      <c r="L4" s="82">
        <v>1.6949000000000001</v>
      </c>
      <c r="M4" s="11">
        <f>Electricity!H10</f>
        <v>118</v>
      </c>
    </row>
    <row r="5" spans="1:15">
      <c r="A5" s="8" t="s">
        <v>13</v>
      </c>
      <c r="B5" s="9">
        <f t="shared" si="0"/>
        <v>4</v>
      </c>
      <c r="C5" s="9">
        <v>10</v>
      </c>
      <c r="D5" s="10">
        <v>2022</v>
      </c>
      <c r="E5" s="11">
        <f>IF(Electricity!F11&lt;0,0,Electricity!F11)</f>
        <v>21649.999999999636</v>
      </c>
      <c r="F5" s="82">
        <v>9.3200000000000005E-2</v>
      </c>
      <c r="G5" s="11">
        <f>IF('Water, Gas, Diesel'!K9&lt;0,0,'Water, Gas, Diesel'!K9)</f>
        <v>0</v>
      </c>
      <c r="H5" s="82">
        <v>0.7</v>
      </c>
      <c r="I5" s="11">
        <f>IF('Water, Gas, Diesel'!C9&lt;0,0,'Water, Gas, Diesel'!C9)</f>
        <v>1153</v>
      </c>
      <c r="J5" s="82">
        <v>0.21186441</v>
      </c>
      <c r="K5" s="11">
        <f>IF('Water, Gas, Diesel'!F9&lt;0,0,'Water, Gas, Diesel'!F9)</f>
        <v>120</v>
      </c>
      <c r="L5" s="82">
        <v>1.6949000000000001</v>
      </c>
      <c r="M5" s="11">
        <f>Electricity!H11</f>
        <v>129</v>
      </c>
    </row>
    <row r="6" spans="1:15">
      <c r="A6" s="8" t="s">
        <v>13</v>
      </c>
      <c r="B6" s="9">
        <f t="shared" si="0"/>
        <v>5</v>
      </c>
      <c r="C6" s="9">
        <v>10</v>
      </c>
      <c r="D6" s="10">
        <v>2022</v>
      </c>
      <c r="E6" s="11">
        <f>IF(Electricity!F12&lt;0,0,Electricity!F12)</f>
        <v>21545.000000000982</v>
      </c>
      <c r="F6" s="82">
        <v>9.3200000000000005E-2</v>
      </c>
      <c r="G6" s="11">
        <f>IF('Water, Gas, Diesel'!K10&lt;0,0,'Water, Gas, Diesel'!K10)</f>
        <v>0</v>
      </c>
      <c r="H6" s="82">
        <v>0.7</v>
      </c>
      <c r="I6" s="11">
        <f>IF('Water, Gas, Diesel'!C10&lt;0,0,'Water, Gas, Diesel'!C10)</f>
        <v>2400</v>
      </c>
      <c r="J6" s="82">
        <v>0.21186441</v>
      </c>
      <c r="K6" s="11">
        <f>IF('Water, Gas, Diesel'!F10&lt;0,0,'Water, Gas, Diesel'!F10)</f>
        <v>313</v>
      </c>
      <c r="L6" s="82">
        <v>1.6949000000000001</v>
      </c>
      <c r="M6" s="11">
        <f>Electricity!H12</f>
        <v>113</v>
      </c>
    </row>
    <row r="7" spans="1:15">
      <c r="A7" s="8" t="s">
        <v>13</v>
      </c>
      <c r="B7" s="9">
        <f t="shared" si="0"/>
        <v>6</v>
      </c>
      <c r="C7" s="9">
        <v>10</v>
      </c>
      <c r="D7" s="10">
        <v>2022</v>
      </c>
      <c r="E7" s="11">
        <f>IF(Electricity!F13&lt;0,0,Electricity!F13)</f>
        <v>19474.999999997635</v>
      </c>
      <c r="F7" s="82">
        <v>9.3200000000000005E-2</v>
      </c>
      <c r="G7" s="11">
        <f>IF('Water, Gas, Diesel'!K11&lt;0,0,'Water, Gas, Diesel'!K11)</f>
        <v>30</v>
      </c>
      <c r="H7" s="82">
        <v>0.7</v>
      </c>
      <c r="I7" s="11">
        <f>IF('Water, Gas, Diesel'!C11&lt;0,0,'Water, Gas, Diesel'!C11)</f>
        <v>1336</v>
      </c>
      <c r="J7" s="82">
        <v>0.21186441</v>
      </c>
      <c r="K7" s="11">
        <f>IF('Water, Gas, Diesel'!F11&lt;0,0,'Water, Gas, Diesel'!F11)</f>
        <v>239</v>
      </c>
      <c r="L7" s="82">
        <v>1.6949000000000001</v>
      </c>
      <c r="M7" s="11">
        <f>Electricity!H13</f>
        <v>117</v>
      </c>
    </row>
    <row r="8" spans="1:15">
      <c r="A8" s="8" t="s">
        <v>13</v>
      </c>
      <c r="B8" s="9">
        <f t="shared" si="0"/>
        <v>7</v>
      </c>
      <c r="C8" s="9">
        <v>10</v>
      </c>
      <c r="D8" s="10">
        <v>2022</v>
      </c>
      <c r="E8" s="11">
        <f>IF(Electricity!F14&lt;0,0,Electricity!F14)</f>
        <v>27240.000000001601</v>
      </c>
      <c r="F8" s="82">
        <v>9.3200000000000005E-2</v>
      </c>
      <c r="G8" s="11">
        <f>IF('Water, Gas, Diesel'!K12&lt;0,0,'Water, Gas, Diesel'!K12)</f>
        <v>0</v>
      </c>
      <c r="H8" s="82">
        <v>0.7</v>
      </c>
      <c r="I8" s="11">
        <f>IF('Water, Gas, Diesel'!C12&lt;0,0,'Water, Gas, Diesel'!C12)</f>
        <v>2115</v>
      </c>
      <c r="J8" s="82">
        <v>0.21186441</v>
      </c>
      <c r="K8" s="11">
        <f>IF('Water, Gas, Diesel'!F12&lt;0,0,'Water, Gas, Diesel'!F12)</f>
        <v>353</v>
      </c>
      <c r="L8" s="82">
        <v>1.6949000000000001</v>
      </c>
      <c r="M8" s="11">
        <f>Electricity!H14</f>
        <v>116</v>
      </c>
    </row>
    <row r="9" spans="1:15">
      <c r="A9" s="8" t="s">
        <v>13</v>
      </c>
      <c r="B9" s="9">
        <f t="shared" si="0"/>
        <v>8</v>
      </c>
      <c r="C9" s="9">
        <v>10</v>
      </c>
      <c r="D9" s="10">
        <v>2022</v>
      </c>
      <c r="E9" s="11">
        <f>IF(Electricity!F15&lt;0,0,Electricity!F15)</f>
        <v>21350.000000002183</v>
      </c>
      <c r="F9" s="82">
        <v>9.3200000000000005E-2</v>
      </c>
      <c r="G9" s="11">
        <f>IF('Water, Gas, Diesel'!K13&lt;0,0,'Water, Gas, Diesel'!K13)</f>
        <v>0</v>
      </c>
      <c r="H9" s="82">
        <v>0.7</v>
      </c>
      <c r="I9" s="11">
        <f>IF('Water, Gas, Diesel'!C13&lt;0,0,'Water, Gas, Diesel'!C13)</f>
        <v>0</v>
      </c>
      <c r="J9" s="82">
        <v>0.21186441</v>
      </c>
      <c r="K9" s="11">
        <f>IF('Water, Gas, Diesel'!F13&lt;0,0,'Water, Gas, Diesel'!F13)</f>
        <v>296</v>
      </c>
      <c r="L9" s="82">
        <v>1.6949000000000001</v>
      </c>
      <c r="M9" s="11">
        <f>Electricity!H15</f>
        <v>107</v>
      </c>
    </row>
    <row r="10" spans="1:15">
      <c r="A10" s="8" t="s">
        <v>13</v>
      </c>
      <c r="B10" s="9">
        <f t="shared" si="0"/>
        <v>9</v>
      </c>
      <c r="C10" s="9">
        <v>10</v>
      </c>
      <c r="D10" s="10">
        <v>2022</v>
      </c>
      <c r="E10" s="11">
        <f>IF(Electricity!F16&lt;0,0,Electricity!F16)</f>
        <v>28304.999999995744</v>
      </c>
      <c r="F10" s="82">
        <v>9.3200000000000005E-2</v>
      </c>
      <c r="G10" s="11">
        <f>IF('Water, Gas, Diesel'!K14&lt;0,0,'Water, Gas, Diesel'!K14)</f>
        <v>0</v>
      </c>
      <c r="H10" s="82">
        <v>0.7</v>
      </c>
      <c r="I10" s="11">
        <f>IF('Water, Gas, Diesel'!C14&lt;0,0,'Water, Gas, Diesel'!C14)</f>
        <v>4461</v>
      </c>
      <c r="J10" s="82">
        <v>0.21186441</v>
      </c>
      <c r="K10" s="11">
        <f>IF('Water, Gas, Diesel'!F14&lt;0,0,'Water, Gas, Diesel'!F14)</f>
        <v>100</v>
      </c>
      <c r="L10" s="82">
        <v>1.6949000000000001</v>
      </c>
      <c r="M10" s="11">
        <f>Electricity!H16</f>
        <v>97</v>
      </c>
    </row>
    <row r="11" spans="1:15">
      <c r="A11" s="8" t="s">
        <v>13</v>
      </c>
      <c r="B11" s="9">
        <f t="shared" si="0"/>
        <v>10</v>
      </c>
      <c r="C11" s="9">
        <v>10</v>
      </c>
      <c r="D11" s="10">
        <v>2022</v>
      </c>
      <c r="E11" s="11">
        <f>IF(Electricity!F17&lt;0,0,Electricity!F17)</f>
        <v>15675.000000001091</v>
      </c>
      <c r="F11" s="82">
        <v>9.3200000000000005E-2</v>
      </c>
      <c r="G11" s="11">
        <f>IF('Water, Gas, Diesel'!K15&lt;0,0,'Water, Gas, Diesel'!K15)</f>
        <v>0</v>
      </c>
      <c r="H11" s="82">
        <v>0.7</v>
      </c>
      <c r="I11" s="11">
        <f>IF('Water, Gas, Diesel'!C15&lt;0,0,'Water, Gas, Diesel'!C15)</f>
        <v>1826</v>
      </c>
      <c r="J11" s="82">
        <v>0.21186441</v>
      </c>
      <c r="K11" s="11">
        <f>IF('Water, Gas, Diesel'!F15&lt;0,0,'Water, Gas, Diesel'!F15)</f>
        <v>100</v>
      </c>
      <c r="L11" s="82">
        <v>1.6949000000000001</v>
      </c>
      <c r="M11" s="11">
        <f>Electricity!H17</f>
        <v>97</v>
      </c>
    </row>
    <row r="12" spans="1:15">
      <c r="A12" s="8" t="s">
        <v>13</v>
      </c>
      <c r="B12" s="9">
        <f t="shared" si="0"/>
        <v>11</v>
      </c>
      <c r="C12" s="9">
        <v>10</v>
      </c>
      <c r="D12" s="10">
        <v>2022</v>
      </c>
      <c r="E12" s="11">
        <f>IF(Electricity!F18&lt;0,0,Electricity!F18)</f>
        <v>21977.500000002692</v>
      </c>
      <c r="F12" s="82">
        <v>9.3200000000000005E-2</v>
      </c>
      <c r="G12" s="11">
        <f>IF('Water, Gas, Diesel'!K16&lt;0,0,'Water, Gas, Diesel'!K16)</f>
        <v>0</v>
      </c>
      <c r="H12" s="82">
        <v>0.7</v>
      </c>
      <c r="I12" s="11">
        <f>IF('Water, Gas, Diesel'!C16&lt;0,0,'Water, Gas, Diesel'!C16)</f>
        <v>2090</v>
      </c>
      <c r="J12" s="82">
        <v>0.21186441</v>
      </c>
      <c r="K12" s="11">
        <f>IF('Water, Gas, Diesel'!F16&lt;0,0,'Water, Gas, Diesel'!F16)</f>
        <v>270</v>
      </c>
      <c r="L12" s="82">
        <v>1.6949000000000001</v>
      </c>
      <c r="M12" s="11">
        <f>Electricity!H18</f>
        <v>134</v>
      </c>
    </row>
    <row r="13" spans="1:15">
      <c r="A13" s="8" t="s">
        <v>13</v>
      </c>
      <c r="B13" s="9">
        <f t="shared" si="0"/>
        <v>12</v>
      </c>
      <c r="C13" s="9">
        <v>10</v>
      </c>
      <c r="D13" s="10">
        <v>2022</v>
      </c>
      <c r="E13" s="11">
        <f>IF(Electricity!F19&lt;0,0,Electricity!F19)</f>
        <v>18867.499999996653</v>
      </c>
      <c r="F13" s="82">
        <v>9.3200000000000005E-2</v>
      </c>
      <c r="G13" s="11">
        <f>IF('Water, Gas, Diesel'!K17&lt;0,0,'Water, Gas, Diesel'!K17)</f>
        <v>0</v>
      </c>
      <c r="H13" s="82">
        <v>0.7</v>
      </c>
      <c r="I13" s="11">
        <f>IF('Water, Gas, Diesel'!C17&lt;0,0,'Water, Gas, Diesel'!C17)</f>
        <v>1987</v>
      </c>
      <c r="J13" s="82">
        <v>0.21186441</v>
      </c>
      <c r="K13" s="11">
        <f>IF('Water, Gas, Diesel'!F17&lt;0,0,'Water, Gas, Diesel'!F17)</f>
        <v>231</v>
      </c>
      <c r="L13" s="82">
        <v>1.6949000000000001</v>
      </c>
      <c r="M13" s="11">
        <f>Electricity!H19</f>
        <v>113</v>
      </c>
    </row>
    <row r="14" spans="1:15">
      <c r="A14" s="8" t="s">
        <v>13</v>
      </c>
      <c r="B14" s="9">
        <f t="shared" si="0"/>
        <v>13</v>
      </c>
      <c r="C14" s="9">
        <v>10</v>
      </c>
      <c r="D14" s="10">
        <v>2022</v>
      </c>
      <c r="E14" s="11">
        <f>IF(Electricity!F20&lt;0,0,Electricity!F20)</f>
        <v>18975.000000000364</v>
      </c>
      <c r="F14" s="82">
        <v>9.3200000000000005E-2</v>
      </c>
      <c r="G14" s="11">
        <f>IF('Water, Gas, Diesel'!K18&lt;0,0,'Water, Gas, Diesel'!K18)</f>
        <v>0</v>
      </c>
      <c r="H14" s="82">
        <v>0.7</v>
      </c>
      <c r="I14" s="11">
        <f>IF('Water, Gas, Diesel'!C18&lt;0,0,'Water, Gas, Diesel'!C18)</f>
        <v>1901</v>
      </c>
      <c r="J14" s="82">
        <v>0.21186441</v>
      </c>
      <c r="K14" s="11">
        <f>IF('Water, Gas, Diesel'!F18&lt;0,0,'Water, Gas, Diesel'!F18)</f>
        <v>269</v>
      </c>
      <c r="L14" s="82">
        <v>1.6949000000000001</v>
      </c>
      <c r="M14" s="11">
        <f>Electricity!H20</f>
        <v>85</v>
      </c>
    </row>
    <row r="15" spans="1:15">
      <c r="A15" s="8" t="s">
        <v>13</v>
      </c>
      <c r="B15" s="9">
        <f t="shared" si="0"/>
        <v>14</v>
      </c>
      <c r="C15" s="9">
        <v>10</v>
      </c>
      <c r="D15" s="10">
        <v>2022</v>
      </c>
      <c r="E15" s="11">
        <f>IF(Electricity!F21&lt;0,0,Electricity!F21)</f>
        <v>26040.000000002692</v>
      </c>
      <c r="F15" s="82">
        <v>9.3200000000000005E-2</v>
      </c>
      <c r="G15" s="11">
        <f>IF('Water, Gas, Diesel'!K19&lt;0,0,'Water, Gas, Diesel'!K19)</f>
        <v>0</v>
      </c>
      <c r="H15" s="82">
        <v>0.7</v>
      </c>
      <c r="I15" s="11">
        <f>IF('Water, Gas, Diesel'!C19&lt;0,0,'Water, Gas, Diesel'!C19)</f>
        <v>2315</v>
      </c>
      <c r="J15" s="82">
        <v>0.21186441</v>
      </c>
      <c r="K15" s="11">
        <f>IF('Water, Gas, Diesel'!F19&lt;0,0,'Water, Gas, Diesel'!F19)</f>
        <v>325</v>
      </c>
      <c r="L15" s="82">
        <v>1.6949000000000001</v>
      </c>
      <c r="M15" s="11">
        <f>Electricity!H21</f>
        <v>91</v>
      </c>
    </row>
    <row r="16" spans="1:15">
      <c r="A16" s="8" t="s">
        <v>13</v>
      </c>
      <c r="B16" s="9">
        <f t="shared" si="0"/>
        <v>15</v>
      </c>
      <c r="C16" s="9">
        <v>10</v>
      </c>
      <c r="D16" s="10">
        <v>2022</v>
      </c>
      <c r="E16" s="11">
        <f>IF(Electricity!F22&lt;0,0,Electricity!F22)</f>
        <v>23067.499999997381</v>
      </c>
      <c r="F16" s="82">
        <v>9.3200000000000005E-2</v>
      </c>
      <c r="G16" s="11">
        <f>IF('Water, Gas, Diesel'!K20&lt;0,0,'Water, Gas, Diesel'!K20)</f>
        <v>49</v>
      </c>
      <c r="H16" s="82">
        <v>0.7</v>
      </c>
      <c r="I16" s="11">
        <f>IF('Water, Gas, Diesel'!C20&lt;0,0,'Water, Gas, Diesel'!C20)</f>
        <v>2298</v>
      </c>
      <c r="J16" s="82">
        <v>0.21186441</v>
      </c>
      <c r="K16" s="11">
        <f>IF('Water, Gas, Diesel'!F20&lt;0,0,'Water, Gas, Diesel'!F20)</f>
        <v>281</v>
      </c>
      <c r="L16" s="82">
        <v>1.6949000000000001</v>
      </c>
      <c r="M16" s="11">
        <f>Electricity!H22</f>
        <v>101</v>
      </c>
    </row>
    <row r="17" spans="1:13">
      <c r="A17" s="8" t="s">
        <v>13</v>
      </c>
      <c r="B17" s="9">
        <f t="shared" si="0"/>
        <v>16</v>
      </c>
      <c r="C17" s="9">
        <v>10</v>
      </c>
      <c r="D17" s="10">
        <v>2022</v>
      </c>
      <c r="E17" s="11">
        <f>IF(Electricity!F23&lt;0,0,Electricity!F23)</f>
        <v>22272.499999999127</v>
      </c>
      <c r="F17" s="82">
        <v>9.3200000000000005E-2</v>
      </c>
      <c r="G17" s="11">
        <f>IF('Water, Gas, Diesel'!K21&lt;0,0,'Water, Gas, Diesel'!K21)</f>
        <v>1</v>
      </c>
      <c r="H17" s="82">
        <v>0.7</v>
      </c>
      <c r="I17" s="11">
        <f>IF('Water, Gas, Diesel'!C21&lt;0,0,'Water, Gas, Diesel'!C21)</f>
        <v>2276</v>
      </c>
      <c r="J17" s="82">
        <v>0.21186441</v>
      </c>
      <c r="K17" s="11">
        <f>IF('Water, Gas, Diesel'!F21&lt;0,0,'Water, Gas, Diesel'!F21)</f>
        <v>284</v>
      </c>
      <c r="L17" s="82">
        <v>1.6949000000000001</v>
      </c>
      <c r="M17" s="11">
        <f>Electricity!H23</f>
        <v>133</v>
      </c>
    </row>
    <row r="18" spans="1:13">
      <c r="A18" s="8" t="s">
        <v>13</v>
      </c>
      <c r="B18" s="9">
        <f t="shared" si="0"/>
        <v>17</v>
      </c>
      <c r="C18" s="9">
        <v>10</v>
      </c>
      <c r="D18" s="10">
        <v>2022</v>
      </c>
      <c r="E18" s="11">
        <f>IF(Electricity!F24&lt;0,0,Electricity!F24)</f>
        <v>20754.9999999992</v>
      </c>
      <c r="F18" s="82">
        <v>9.3200000000000005E-2</v>
      </c>
      <c r="G18" s="11">
        <f>IF('Water, Gas, Diesel'!K22&lt;0,0,'Water, Gas, Diesel'!K22)</f>
        <v>400</v>
      </c>
      <c r="H18" s="82">
        <v>0.7</v>
      </c>
      <c r="I18" s="11">
        <f>IF('Water, Gas, Diesel'!C22&lt;0,0,'Water, Gas, Diesel'!C22)</f>
        <v>2001</v>
      </c>
      <c r="J18" s="82">
        <v>0.21186441</v>
      </c>
      <c r="K18" s="11">
        <f>IF('Water, Gas, Diesel'!F22&lt;0,0,'Water, Gas, Diesel'!F22)</f>
        <v>273</v>
      </c>
      <c r="L18" s="82">
        <v>1.6949000000000001</v>
      </c>
      <c r="M18" s="11">
        <f>Electricity!H24</f>
        <v>112</v>
      </c>
    </row>
    <row r="19" spans="1:13">
      <c r="A19" s="8" t="s">
        <v>13</v>
      </c>
      <c r="B19" s="9">
        <f t="shared" si="0"/>
        <v>18</v>
      </c>
      <c r="C19" s="9">
        <v>10</v>
      </c>
      <c r="D19" s="10">
        <v>2022</v>
      </c>
      <c r="E19" s="11">
        <f>IF(Electricity!F25&lt;0,0,Electricity!F25)</f>
        <v>22402.500000002874</v>
      </c>
      <c r="F19" s="82">
        <v>9.3200000000000005E-2</v>
      </c>
      <c r="G19" s="11">
        <f>IF('Water, Gas, Diesel'!K23&lt;0,0,'Water, Gas, Diesel'!K23)</f>
        <v>44</v>
      </c>
      <c r="H19" s="82">
        <v>0.7</v>
      </c>
      <c r="I19" s="11">
        <f>IF('Water, Gas, Diesel'!C23&lt;0,0,'Water, Gas, Diesel'!C23)</f>
        <v>2071</v>
      </c>
      <c r="J19" s="82">
        <v>0.21186441</v>
      </c>
      <c r="K19" s="11">
        <f>IF('Water, Gas, Diesel'!F23&lt;0,0,'Water, Gas, Diesel'!F23)</f>
        <v>277</v>
      </c>
      <c r="L19" s="82">
        <v>1.6949000000000001</v>
      </c>
      <c r="M19" s="11">
        <f>Electricity!H25</f>
        <v>130</v>
      </c>
    </row>
    <row r="20" spans="1:13">
      <c r="A20" s="8" t="s">
        <v>13</v>
      </c>
      <c r="B20" s="9">
        <f t="shared" si="0"/>
        <v>19</v>
      </c>
      <c r="C20" s="9">
        <v>10</v>
      </c>
      <c r="D20" s="10">
        <v>2022</v>
      </c>
      <c r="E20" s="11">
        <f>IF(Electricity!F26&lt;0,0,Electricity!F26)</f>
        <v>20120.00000000171</v>
      </c>
      <c r="F20" s="82">
        <v>9.3200000000000005E-2</v>
      </c>
      <c r="G20" s="11">
        <f>IF('Water, Gas, Diesel'!K24&lt;0,0,'Water, Gas, Diesel'!K24)</f>
        <v>0</v>
      </c>
      <c r="H20" s="82">
        <v>0.7</v>
      </c>
      <c r="I20" s="11">
        <f>IF('Water, Gas, Diesel'!C24&lt;0,0,'Water, Gas, Diesel'!C24)</f>
        <v>2047</v>
      </c>
      <c r="J20" s="82">
        <v>0.21186441</v>
      </c>
      <c r="K20" s="11">
        <f>IF('Water, Gas, Diesel'!F24&lt;0,0,'Water, Gas, Diesel'!F24)</f>
        <v>239</v>
      </c>
      <c r="L20" s="82">
        <v>1.6949000000000001</v>
      </c>
      <c r="M20" s="11">
        <f>Electricity!H26</f>
        <v>130</v>
      </c>
    </row>
    <row r="21" spans="1:13">
      <c r="A21" s="8" t="s">
        <v>13</v>
      </c>
      <c r="B21" s="9">
        <f t="shared" si="0"/>
        <v>20</v>
      </c>
      <c r="C21" s="9">
        <v>10</v>
      </c>
      <c r="D21" s="10">
        <v>2022</v>
      </c>
      <c r="E21" s="11">
        <f>IF(Electricity!F27&lt;0,0,Electricity!F27)</f>
        <v>22384.999999999309</v>
      </c>
      <c r="F21" s="82">
        <v>9.3200000000000005E-2</v>
      </c>
      <c r="G21" s="11">
        <f>IF('Water, Gas, Diesel'!K25&lt;0,0,'Water, Gas, Diesel'!K25)</f>
        <v>160</v>
      </c>
      <c r="H21" s="82">
        <v>0.7</v>
      </c>
      <c r="I21" s="11">
        <f>IF('Water, Gas, Diesel'!C25&lt;0,0,'Water, Gas, Diesel'!C25)</f>
        <v>2254</v>
      </c>
      <c r="J21" s="82">
        <v>0.21186441</v>
      </c>
      <c r="K21" s="11">
        <f>IF('Water, Gas, Diesel'!F25&lt;0,0,'Water, Gas, Diesel'!F25)</f>
        <v>293</v>
      </c>
      <c r="L21" s="82">
        <v>1.6949000000000001</v>
      </c>
      <c r="M21" s="11">
        <f>Electricity!H27</f>
        <v>146</v>
      </c>
    </row>
    <row r="22" spans="1:13">
      <c r="A22" s="8" t="s">
        <v>13</v>
      </c>
      <c r="B22" s="9">
        <f t="shared" si="0"/>
        <v>21</v>
      </c>
      <c r="C22" s="9">
        <v>10</v>
      </c>
      <c r="D22" s="10">
        <v>2022</v>
      </c>
      <c r="E22" s="11">
        <f>IF(Electricity!F28&lt;0,0,Electricity!F28)</f>
        <v>23327.500000000327</v>
      </c>
      <c r="F22" s="82">
        <v>9.3200000000000005E-2</v>
      </c>
      <c r="G22" s="11">
        <f>IF('Water, Gas, Diesel'!K26&lt;0,0,'Water, Gas, Diesel'!K26)</f>
        <v>0</v>
      </c>
      <c r="H22" s="82">
        <v>0.7</v>
      </c>
      <c r="I22" s="11">
        <f>IF('Water, Gas, Diesel'!C26&lt;0,0,'Water, Gas, Diesel'!C26)</f>
        <v>2278</v>
      </c>
      <c r="J22" s="82">
        <v>0.21186441</v>
      </c>
      <c r="K22" s="11">
        <f>IF('Water, Gas, Diesel'!F26&lt;0,0,'Water, Gas, Diesel'!F26)</f>
        <v>313</v>
      </c>
      <c r="L22" s="82">
        <v>1.6949000000000001</v>
      </c>
      <c r="M22" s="11">
        <f>Electricity!H28</f>
        <v>147</v>
      </c>
    </row>
    <row r="23" spans="1:13">
      <c r="A23" s="8" t="s">
        <v>13</v>
      </c>
      <c r="B23" s="9">
        <f t="shared" si="0"/>
        <v>22</v>
      </c>
      <c r="C23" s="9">
        <v>10</v>
      </c>
      <c r="D23" s="10">
        <v>2022</v>
      </c>
      <c r="E23" s="11">
        <f>IF(Electricity!F29&lt;0,0,Electricity!F29)</f>
        <v>19284.999999999854</v>
      </c>
      <c r="F23" s="82">
        <v>9.3200000000000005E-2</v>
      </c>
      <c r="G23" s="11">
        <f>IF('Water, Gas, Diesel'!K27&lt;0,0,'Water, Gas, Diesel'!K27)</f>
        <v>40</v>
      </c>
      <c r="H23" s="82">
        <v>0.7</v>
      </c>
      <c r="I23" s="11">
        <f>IF('Water, Gas, Diesel'!C27&lt;0,0,'Water, Gas, Diesel'!C27)</f>
        <v>1567</v>
      </c>
      <c r="J23" s="82">
        <v>0.21186441</v>
      </c>
      <c r="K23" s="11">
        <f>IF('Water, Gas, Diesel'!F27&lt;0,0,'Water, Gas, Diesel'!F27)</f>
        <v>291</v>
      </c>
      <c r="L23" s="82">
        <v>1.6949000000000001</v>
      </c>
      <c r="M23" s="11">
        <f>Electricity!H29</f>
        <v>145</v>
      </c>
    </row>
    <row r="24" spans="1:13">
      <c r="A24" s="8" t="s">
        <v>13</v>
      </c>
      <c r="B24" s="9">
        <f t="shared" si="0"/>
        <v>23</v>
      </c>
      <c r="C24" s="9">
        <v>10</v>
      </c>
      <c r="D24" s="10">
        <v>2022</v>
      </c>
      <c r="E24" s="11">
        <f>IF(Electricity!F30&lt;0,0,Electricity!F30)</f>
        <v>21050.000000000182</v>
      </c>
      <c r="F24" s="82">
        <v>9.3200000000000005E-2</v>
      </c>
      <c r="G24" s="11">
        <f>IF('Water, Gas, Diesel'!K28&lt;0,0,'Water, Gas, Diesel'!K28)</f>
        <v>0</v>
      </c>
      <c r="H24" s="82">
        <v>0.7</v>
      </c>
      <c r="I24" s="11">
        <f>IF('Water, Gas, Diesel'!C28&lt;0,0,'Water, Gas, Diesel'!C28)</f>
        <v>1329</v>
      </c>
      <c r="J24" s="82">
        <v>0.21186441</v>
      </c>
      <c r="K24" s="11">
        <f>IF('Water, Gas, Diesel'!F28&lt;0,0,'Water, Gas, Diesel'!F28)</f>
        <v>283</v>
      </c>
      <c r="L24" s="82">
        <v>1.6949000000000001</v>
      </c>
      <c r="M24" s="11">
        <f>Electricity!H30</f>
        <v>123</v>
      </c>
    </row>
    <row r="25" spans="1:13">
      <c r="A25" s="8" t="s">
        <v>13</v>
      </c>
      <c r="B25" s="9">
        <f t="shared" si="0"/>
        <v>24</v>
      </c>
      <c r="C25" s="9">
        <v>10</v>
      </c>
      <c r="D25" s="10">
        <v>2022</v>
      </c>
      <c r="E25" s="11">
        <f>IF(Electricity!F31&lt;0,0,Electricity!F31)</f>
        <v>0</v>
      </c>
      <c r="F25" s="82">
        <v>9.3200000000000005E-2</v>
      </c>
      <c r="G25" s="11">
        <f>IF('Water, Gas, Diesel'!K29&lt;0,0,'Water, Gas, Diesel'!K29)</f>
        <v>10930</v>
      </c>
      <c r="H25" s="82">
        <v>0.7</v>
      </c>
      <c r="I25" s="11">
        <f>IF('Water, Gas, Diesel'!C29&lt;0,0,'Water, Gas, Diesel'!C29)</f>
        <v>0</v>
      </c>
      <c r="J25" s="82">
        <v>0.21186441</v>
      </c>
      <c r="K25" s="11">
        <f>IF('Water, Gas, Diesel'!F29&lt;0,0,'Water, Gas, Diesel'!F29)</f>
        <v>0</v>
      </c>
      <c r="L25" s="82">
        <v>1.6949000000000001</v>
      </c>
      <c r="M25" s="11">
        <f>Electricity!H31</f>
        <v>125</v>
      </c>
    </row>
    <row r="26" spans="1:13">
      <c r="A26" s="8" t="s">
        <v>13</v>
      </c>
      <c r="B26" s="9">
        <f>B25+1</f>
        <v>25</v>
      </c>
      <c r="C26" s="9">
        <v>10</v>
      </c>
      <c r="D26" s="10">
        <v>2022</v>
      </c>
      <c r="E26" s="11">
        <f>IF(Electricity!F32&lt;0,0,Electricity!F32)</f>
        <v>0</v>
      </c>
      <c r="F26" s="82">
        <v>9.3200000000000005E-2</v>
      </c>
      <c r="G26" s="11">
        <f>IF('Water, Gas, Diesel'!K30&lt;0,0,'Water, Gas, Diesel'!K30)</f>
        <v>0</v>
      </c>
      <c r="H26" s="82">
        <v>0.7</v>
      </c>
      <c r="I26" s="11">
        <f>IF('Water, Gas, Diesel'!C30&lt;0,0,'Water, Gas, Diesel'!C30)</f>
        <v>0</v>
      </c>
      <c r="J26" s="82">
        <v>0.21186441</v>
      </c>
      <c r="K26" s="11">
        <f>IF('Water, Gas, Diesel'!F30&lt;0,0,'Water, Gas, Diesel'!F30)</f>
        <v>0</v>
      </c>
      <c r="L26" s="82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10</v>
      </c>
      <c r="D27" s="10">
        <v>2022</v>
      </c>
      <c r="E27" s="11">
        <f>IF(Electricity!F33&lt;0,0,Electricity!F33)</f>
        <v>0</v>
      </c>
      <c r="F27" s="82">
        <v>9.3200000000000005E-2</v>
      </c>
      <c r="G27" s="11">
        <f>IF('Water, Gas, Diesel'!K31&lt;0,0,'Water, Gas, Diesel'!K31)</f>
        <v>0</v>
      </c>
      <c r="H27" s="82">
        <v>0.7</v>
      </c>
      <c r="I27" s="11">
        <f>IF('Water, Gas, Diesel'!C31&lt;0,0,'Water, Gas, Diesel'!C31)</f>
        <v>0</v>
      </c>
      <c r="J27" s="82">
        <v>0.21186441</v>
      </c>
      <c r="K27" s="11">
        <f>IF('Water, Gas, Diesel'!F31&lt;0,0,'Water, Gas, Diesel'!F31)</f>
        <v>0</v>
      </c>
      <c r="L27" s="82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10</v>
      </c>
      <c r="D28" s="10">
        <v>2022</v>
      </c>
      <c r="E28" s="11">
        <f>IF(Electricity!F34&lt;0,0,Electricity!F34)</f>
        <v>0</v>
      </c>
      <c r="F28" s="82">
        <v>9.3200000000000005E-2</v>
      </c>
      <c r="G28" s="11">
        <f>IF('Water, Gas, Diesel'!K32&lt;0,0,'Water, Gas, Diesel'!K32)</f>
        <v>0</v>
      </c>
      <c r="H28" s="82">
        <v>0.7</v>
      </c>
      <c r="I28" s="11">
        <f>IF('Water, Gas, Diesel'!C32&lt;0,0,'Water, Gas, Diesel'!C32)</f>
        <v>0</v>
      </c>
      <c r="J28" s="82">
        <v>0.21186441</v>
      </c>
      <c r="K28" s="11">
        <f>IF('Water, Gas, Diesel'!F32&lt;0,0,'Water, Gas, Diesel'!F32)</f>
        <v>0</v>
      </c>
      <c r="L28" s="82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10</v>
      </c>
      <c r="D29" s="10">
        <v>2022</v>
      </c>
      <c r="E29" s="11">
        <f>IF(Electricity!F35&lt;0,0,Electricity!F35)</f>
        <v>0</v>
      </c>
      <c r="F29" s="82">
        <v>9.3200000000000005E-2</v>
      </c>
      <c r="G29" s="11">
        <f>IF('Water, Gas, Diesel'!K33&lt;0,0,'Water, Gas, Diesel'!K33)</f>
        <v>0</v>
      </c>
      <c r="H29" s="82">
        <v>0.7</v>
      </c>
      <c r="I29" s="11">
        <f>IF('Water, Gas, Diesel'!C33&lt;0,0,'Water, Gas, Diesel'!C33)</f>
        <v>0</v>
      </c>
      <c r="J29" s="82">
        <v>0.21186441</v>
      </c>
      <c r="K29" s="11">
        <f>IF('Water, Gas, Diesel'!F33&lt;0,0,'Water, Gas, Diesel'!F33)</f>
        <v>0</v>
      </c>
      <c r="L29" s="82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10</v>
      </c>
      <c r="D30" s="10">
        <v>2022</v>
      </c>
      <c r="E30" s="11">
        <f>IF(Electricity!F36&lt;0,0,Electricity!F36)</f>
        <v>0</v>
      </c>
      <c r="F30" s="82">
        <v>9.3200000000000005E-2</v>
      </c>
      <c r="G30" s="11">
        <f>IF('Water, Gas, Diesel'!K34&lt;0,0,'Water, Gas, Diesel'!K34)</f>
        <v>0</v>
      </c>
      <c r="H30" s="82">
        <v>0.7</v>
      </c>
      <c r="I30" s="11">
        <f>IF('Water, Gas, Diesel'!C34&lt;0,0,'Water, Gas, Diesel'!C34)</f>
        <v>0</v>
      </c>
      <c r="J30" s="82">
        <v>0.21186441</v>
      </c>
      <c r="K30" s="11">
        <f>IF('Water, Gas, Diesel'!F34&lt;0,0,'Water, Gas, Diesel'!F34)</f>
        <v>0</v>
      </c>
      <c r="L30" s="82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10</v>
      </c>
      <c r="D31" s="10">
        <v>2022</v>
      </c>
      <c r="E31" s="11">
        <f>IF(Electricity!F37&lt;0,0,Electricity!F37)</f>
        <v>0</v>
      </c>
      <c r="F31" s="82">
        <v>9.3200000000000005E-2</v>
      </c>
      <c r="G31" s="11">
        <f>IF('Water, Gas, Diesel'!K35&lt;0,0,'Water, Gas, Diesel'!K35)</f>
        <v>0</v>
      </c>
      <c r="H31" s="82">
        <v>0.7</v>
      </c>
      <c r="I31" s="11">
        <f>IF('Water, Gas, Diesel'!C35&lt;0,0,'Water, Gas, Diesel'!C35)</f>
        <v>0</v>
      </c>
      <c r="J31" s="82">
        <v>0.21186441</v>
      </c>
      <c r="K31" s="11">
        <f>IF('Water, Gas, Diesel'!F35&lt;0,0,'Water, Gas, Diesel'!F35)</f>
        <v>0</v>
      </c>
      <c r="L31" s="82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10</v>
      </c>
      <c r="D32" s="10">
        <v>2022</v>
      </c>
      <c r="E32" s="11">
        <f>IF(Electricity!F38&lt;0,0,Electricity!F38)</f>
        <v>0</v>
      </c>
      <c r="F32" s="82">
        <v>9.3200000000000005E-2</v>
      </c>
      <c r="G32" s="11">
        <f>IF('Water, Gas, Diesel'!K36&lt;0,0,'Water, Gas, Diesel'!K36)</f>
        <v>0</v>
      </c>
      <c r="H32" s="82">
        <v>0.7</v>
      </c>
      <c r="I32" s="11">
        <f>IF('Water, Gas, Diesel'!C36&lt;0,0,'Water, Gas, Diesel'!C36)</f>
        <v>0</v>
      </c>
      <c r="J32" s="82">
        <v>0.21186441</v>
      </c>
      <c r="K32" s="11">
        <f>IF('Water, Gas, Diesel'!F36&lt;0,0,'Water, Gas, Diesel'!F36)</f>
        <v>0</v>
      </c>
      <c r="L32" s="82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29" activePane="bottomLeft" state="frozen"/>
      <selection pane="bottomLeft" activeCell="J32" sqref="J32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5" t="s">
        <v>14</v>
      </c>
      <c r="B1" s="143"/>
      <c r="C1" s="144"/>
      <c r="D1" s="144"/>
      <c r="E1" s="144"/>
      <c r="F1" s="144"/>
      <c r="G1" s="144"/>
      <c r="H1" s="145"/>
    </row>
    <row r="2" spans="1:8" ht="15.75" customHeight="1">
      <c r="A2" s="148" t="s">
        <v>15</v>
      </c>
      <c r="B2" s="151" t="s">
        <v>16</v>
      </c>
      <c r="C2" s="152"/>
      <c r="D2" s="152"/>
      <c r="E2" s="153"/>
      <c r="F2" s="154" t="s">
        <v>17</v>
      </c>
      <c r="G2" s="156" t="s">
        <v>18</v>
      </c>
      <c r="H2" s="146" t="s">
        <v>19</v>
      </c>
    </row>
    <row r="3" spans="1:8">
      <c r="A3" s="149"/>
      <c r="B3" s="158" t="s">
        <v>20</v>
      </c>
      <c r="C3" s="159"/>
      <c r="D3" s="158" t="s">
        <v>21</v>
      </c>
      <c r="E3" s="159"/>
      <c r="F3" s="154"/>
      <c r="G3" s="156"/>
      <c r="H3" s="146"/>
    </row>
    <row r="4" spans="1:8">
      <c r="A4" s="149"/>
      <c r="B4" s="160"/>
      <c r="C4" s="161"/>
      <c r="D4" s="160"/>
      <c r="E4" s="161"/>
      <c r="F4" s="154"/>
      <c r="G4" s="156"/>
      <c r="H4" s="146"/>
    </row>
    <row r="5" spans="1:8">
      <c r="A5" s="150"/>
      <c r="B5" s="17" t="s">
        <v>22</v>
      </c>
      <c r="C5" s="62" t="s">
        <v>23</v>
      </c>
      <c r="D5" s="63" t="s">
        <v>22</v>
      </c>
      <c r="E5" s="62" t="s">
        <v>23</v>
      </c>
      <c r="F5" s="155"/>
      <c r="G5" s="157"/>
      <c r="H5" s="147"/>
    </row>
    <row r="6" spans="1:8" ht="15.75" hidden="1">
      <c r="A6" s="96"/>
      <c r="B6" s="24"/>
      <c r="C6" s="64"/>
      <c r="D6" s="65"/>
      <c r="E6" s="64"/>
      <c r="F6" s="27"/>
      <c r="G6" s="66"/>
      <c r="H6" s="97"/>
    </row>
    <row r="7" spans="1:8" ht="27.75" hidden="1" customHeight="1">
      <c r="A7" s="98">
        <v>30</v>
      </c>
      <c r="B7" s="68">
        <v>15868</v>
      </c>
      <c r="C7" s="69">
        <f t="shared" ref="C7:C24" si="0">(B8-B7)*2500</f>
        <v>10734.999999999673</v>
      </c>
      <c r="D7" s="68">
        <v>16167</v>
      </c>
      <c r="E7" s="69">
        <f t="shared" ref="E7:E24" si="1">(D8-D7)*2500</f>
        <v>8162.4999999985448</v>
      </c>
      <c r="F7" s="94">
        <f t="shared" ref="F7:F38" si="2">C7+E7</f>
        <v>18897.499999998217</v>
      </c>
      <c r="G7" s="67">
        <f>F7*0.0932</f>
        <v>1761.2469999998339</v>
      </c>
      <c r="H7" s="104"/>
    </row>
    <row r="8" spans="1:8" ht="30.95" customHeight="1">
      <c r="A8" s="99">
        <v>1</v>
      </c>
      <c r="B8" s="93">
        <v>15872.294</v>
      </c>
      <c r="C8" s="70">
        <f t="shared" si="0"/>
        <v>14682.499999998981</v>
      </c>
      <c r="D8" s="71">
        <v>16170.264999999999</v>
      </c>
      <c r="E8" s="70">
        <f t="shared" si="1"/>
        <v>10927.50000000251</v>
      </c>
      <c r="F8" s="51">
        <f t="shared" si="2"/>
        <v>25610.000000001492</v>
      </c>
      <c r="G8" s="67">
        <f t="shared" ref="G8:G39" si="3">F8*0.0932</f>
        <v>2386.852000000139</v>
      </c>
      <c r="H8" s="100">
        <v>118</v>
      </c>
    </row>
    <row r="9" spans="1:8" ht="30.95" customHeight="1">
      <c r="A9" s="101">
        <v>2</v>
      </c>
      <c r="B9" s="72">
        <v>15878.166999999999</v>
      </c>
      <c r="C9" s="39">
        <f t="shared" si="0"/>
        <v>12912.500000002183</v>
      </c>
      <c r="D9" s="71">
        <v>16174.636</v>
      </c>
      <c r="E9" s="39">
        <f t="shared" si="1"/>
        <v>8757.4999999969805</v>
      </c>
      <c r="F9" s="47">
        <f t="shared" si="2"/>
        <v>21669.999999999163</v>
      </c>
      <c r="G9" s="67">
        <f t="shared" si="3"/>
        <v>2019.643999999922</v>
      </c>
      <c r="H9" s="102">
        <v>109</v>
      </c>
    </row>
    <row r="10" spans="1:8" ht="30.95" customHeight="1">
      <c r="A10" s="99">
        <v>3</v>
      </c>
      <c r="B10" s="73">
        <v>15883.332</v>
      </c>
      <c r="C10" s="70">
        <f t="shared" si="0"/>
        <v>15172.499999998763</v>
      </c>
      <c r="D10" s="71">
        <v>16178.138999999999</v>
      </c>
      <c r="E10" s="70">
        <f t="shared" si="1"/>
        <v>11755.000000002838</v>
      </c>
      <c r="F10" s="51">
        <f t="shared" si="2"/>
        <v>26927.500000001601</v>
      </c>
      <c r="G10" s="67">
        <f t="shared" si="3"/>
        <v>2509.6430000001492</v>
      </c>
      <c r="H10" s="102">
        <v>118</v>
      </c>
    </row>
    <row r="11" spans="1:8" ht="30.95" customHeight="1">
      <c r="A11" s="101">
        <v>4</v>
      </c>
      <c r="B11" s="75">
        <v>15889.401</v>
      </c>
      <c r="C11" s="39">
        <f t="shared" si="0"/>
        <v>12325.000000000728</v>
      </c>
      <c r="D11" s="74">
        <v>16182.841</v>
      </c>
      <c r="E11" s="39">
        <f t="shared" si="1"/>
        <v>9324.9999999989086</v>
      </c>
      <c r="F11" s="47">
        <f t="shared" si="2"/>
        <v>21649.999999999636</v>
      </c>
      <c r="G11" s="67">
        <f t="shared" si="3"/>
        <v>2017.7799999999661</v>
      </c>
      <c r="H11" s="102">
        <v>129</v>
      </c>
    </row>
    <row r="12" spans="1:8" ht="30.95" customHeight="1">
      <c r="A12" s="99">
        <v>5</v>
      </c>
      <c r="B12" s="77">
        <v>15894.331</v>
      </c>
      <c r="C12" s="70">
        <f t="shared" si="0"/>
        <v>12607.499999999163</v>
      </c>
      <c r="D12" s="76">
        <v>16186.571</v>
      </c>
      <c r="E12" s="70">
        <f t="shared" si="1"/>
        <v>8937.500000001819</v>
      </c>
      <c r="F12" s="51">
        <f t="shared" si="2"/>
        <v>21545.000000000982</v>
      </c>
      <c r="G12" s="67">
        <f t="shared" si="3"/>
        <v>2007.9940000000915</v>
      </c>
      <c r="H12" s="102">
        <v>113</v>
      </c>
    </row>
    <row r="13" spans="1:8" ht="30.95" customHeight="1">
      <c r="A13" s="101">
        <v>6</v>
      </c>
      <c r="B13" s="75">
        <v>15899.374</v>
      </c>
      <c r="C13" s="39">
        <f t="shared" si="0"/>
        <v>10932.499999998981</v>
      </c>
      <c r="D13" s="74">
        <v>16190.146000000001</v>
      </c>
      <c r="E13" s="39">
        <f t="shared" si="1"/>
        <v>8542.4999999986539</v>
      </c>
      <c r="F13" s="47">
        <f t="shared" si="2"/>
        <v>19474.999999997635</v>
      </c>
      <c r="G13" s="67">
        <f t="shared" si="3"/>
        <v>1815.0699999997796</v>
      </c>
      <c r="H13" s="102">
        <v>117</v>
      </c>
    </row>
    <row r="14" spans="1:8" ht="30.95" customHeight="1">
      <c r="A14" s="99">
        <v>7</v>
      </c>
      <c r="B14" s="77">
        <v>15903.746999999999</v>
      </c>
      <c r="C14" s="70">
        <f t="shared" si="0"/>
        <v>15585.000000000946</v>
      </c>
      <c r="D14" s="76">
        <v>16193.563</v>
      </c>
      <c r="E14" s="70">
        <f t="shared" si="1"/>
        <v>11655.000000000655</v>
      </c>
      <c r="F14" s="51">
        <f t="shared" si="2"/>
        <v>27240.000000001601</v>
      </c>
      <c r="G14" s="67">
        <f t="shared" si="3"/>
        <v>2538.7680000001492</v>
      </c>
      <c r="H14" s="102">
        <v>116</v>
      </c>
    </row>
    <row r="15" spans="1:8" ht="30.95" customHeight="1">
      <c r="A15" s="101">
        <v>8</v>
      </c>
      <c r="B15" s="75">
        <v>15909.981</v>
      </c>
      <c r="C15" s="39">
        <f t="shared" si="0"/>
        <v>12417.500000001382</v>
      </c>
      <c r="D15" s="141">
        <v>16198.225</v>
      </c>
      <c r="E15" s="39">
        <f t="shared" si="1"/>
        <v>8932.5000000008004</v>
      </c>
      <c r="F15" s="47">
        <f t="shared" si="2"/>
        <v>21350.000000002183</v>
      </c>
      <c r="G15" s="67">
        <f t="shared" si="3"/>
        <v>1989.8200000002034</v>
      </c>
      <c r="H15" s="102">
        <v>107</v>
      </c>
    </row>
    <row r="16" spans="1:8" ht="30.95" customHeight="1">
      <c r="A16" s="99">
        <v>9</v>
      </c>
      <c r="B16" s="79">
        <v>15914.948</v>
      </c>
      <c r="C16" s="70">
        <f t="shared" si="0"/>
        <v>18779.999999997017</v>
      </c>
      <c r="D16" s="103">
        <v>16201.798000000001</v>
      </c>
      <c r="E16" s="70">
        <f t="shared" si="1"/>
        <v>9524.9999999987267</v>
      </c>
      <c r="F16" s="51">
        <f t="shared" si="2"/>
        <v>28304.999999995744</v>
      </c>
      <c r="G16" s="67">
        <f t="shared" si="3"/>
        <v>2638.0259999996033</v>
      </c>
      <c r="H16" s="102">
        <v>97</v>
      </c>
    </row>
    <row r="17" spans="1:8" ht="30.95" customHeight="1">
      <c r="A17" s="101">
        <v>10</v>
      </c>
      <c r="B17" s="77">
        <v>15922.46</v>
      </c>
      <c r="C17" s="39">
        <f t="shared" si="0"/>
        <v>6607.5000000000728</v>
      </c>
      <c r="D17" s="75">
        <v>16205.608</v>
      </c>
      <c r="E17" s="39">
        <f t="shared" si="1"/>
        <v>9067.5000000010186</v>
      </c>
      <c r="F17" s="47">
        <f t="shared" si="2"/>
        <v>15675.000000001091</v>
      </c>
      <c r="G17" s="67">
        <f t="shared" si="3"/>
        <v>1460.9100000001017</v>
      </c>
      <c r="H17" s="102">
        <v>97</v>
      </c>
    </row>
    <row r="18" spans="1:8" ht="30.95" customHeight="1">
      <c r="A18" s="99">
        <v>11</v>
      </c>
      <c r="B18" s="75">
        <v>15925.102999999999</v>
      </c>
      <c r="C18" s="70">
        <f t="shared" si="0"/>
        <v>12355.000000002292</v>
      </c>
      <c r="D18" s="79">
        <v>16209.235000000001</v>
      </c>
      <c r="E18" s="70">
        <f t="shared" si="1"/>
        <v>9622.5000000004002</v>
      </c>
      <c r="F18" s="51">
        <f t="shared" si="2"/>
        <v>21977.500000002692</v>
      </c>
      <c r="G18" s="67">
        <f t="shared" si="3"/>
        <v>2048.3030000002509</v>
      </c>
      <c r="H18" s="102">
        <v>134</v>
      </c>
    </row>
    <row r="19" spans="1:8" ht="30.95" customHeight="1">
      <c r="A19" s="101">
        <v>12</v>
      </c>
      <c r="B19" s="77">
        <v>15930.045</v>
      </c>
      <c r="C19" s="39">
        <f t="shared" si="0"/>
        <v>10547.499999997854</v>
      </c>
      <c r="D19" s="77">
        <v>16213.084000000001</v>
      </c>
      <c r="E19" s="39">
        <f t="shared" si="1"/>
        <v>8319.9999999987995</v>
      </c>
      <c r="F19" s="47">
        <f t="shared" si="2"/>
        <v>18867.499999996653</v>
      </c>
      <c r="G19" s="67">
        <f t="shared" si="3"/>
        <v>1758.4509999996881</v>
      </c>
      <c r="H19" s="102">
        <v>113</v>
      </c>
    </row>
    <row r="20" spans="1:8" ht="30.95" customHeight="1">
      <c r="A20" s="99">
        <v>13</v>
      </c>
      <c r="B20" s="75">
        <v>15934.263999999999</v>
      </c>
      <c r="C20" s="70">
        <f t="shared" si="0"/>
        <v>10567.500000001928</v>
      </c>
      <c r="D20" s="75">
        <v>16216.412</v>
      </c>
      <c r="E20" s="70">
        <f t="shared" si="1"/>
        <v>8407.4999999984357</v>
      </c>
      <c r="F20" s="51">
        <f t="shared" si="2"/>
        <v>18975.000000000364</v>
      </c>
      <c r="G20" s="67">
        <f t="shared" si="3"/>
        <v>1768.4700000000339</v>
      </c>
      <c r="H20" s="102">
        <v>85</v>
      </c>
    </row>
    <row r="21" spans="1:8" ht="30.95" customHeight="1">
      <c r="A21" s="101">
        <v>14</v>
      </c>
      <c r="B21" s="75">
        <v>15938.491</v>
      </c>
      <c r="C21" s="39">
        <f t="shared" si="0"/>
        <v>14732.500000000073</v>
      </c>
      <c r="D21" s="142">
        <v>16219.775</v>
      </c>
      <c r="E21" s="39">
        <f t="shared" si="1"/>
        <v>11307.500000002619</v>
      </c>
      <c r="F21" s="47">
        <f t="shared" si="2"/>
        <v>26040.000000002692</v>
      </c>
      <c r="G21" s="67">
        <f t="shared" si="3"/>
        <v>2426.9280000002509</v>
      </c>
      <c r="H21" s="102">
        <v>91</v>
      </c>
    </row>
    <row r="22" spans="1:8" ht="30.95" customHeight="1">
      <c r="A22" s="99">
        <v>15</v>
      </c>
      <c r="B22" s="75">
        <v>15944.384</v>
      </c>
      <c r="C22" s="70">
        <f t="shared" si="0"/>
        <v>13015.000000000327</v>
      </c>
      <c r="D22" s="57">
        <v>16224.298000000001</v>
      </c>
      <c r="E22" s="70">
        <f t="shared" si="1"/>
        <v>10052.499999997053</v>
      </c>
      <c r="F22" s="51">
        <f t="shared" si="2"/>
        <v>23067.499999997381</v>
      </c>
      <c r="G22" s="67">
        <f t="shared" si="3"/>
        <v>2149.8909999997559</v>
      </c>
      <c r="H22" s="102">
        <v>101</v>
      </c>
    </row>
    <row r="23" spans="1:8" ht="30.95" customHeight="1">
      <c r="A23" s="101">
        <v>16</v>
      </c>
      <c r="B23" s="83">
        <v>15949.59</v>
      </c>
      <c r="C23" s="39">
        <f t="shared" si="0"/>
        <v>12699.999999999818</v>
      </c>
      <c r="D23" s="84">
        <v>16228.319</v>
      </c>
      <c r="E23" s="39">
        <f t="shared" si="1"/>
        <v>9572.4999999993088</v>
      </c>
      <c r="F23" s="47">
        <f t="shared" si="2"/>
        <v>22272.499999999127</v>
      </c>
      <c r="G23" s="67">
        <f t="shared" si="3"/>
        <v>2075.7969999999186</v>
      </c>
      <c r="H23" s="102">
        <v>133</v>
      </c>
    </row>
    <row r="24" spans="1:8" ht="30.95" customHeight="1">
      <c r="A24" s="99">
        <v>17</v>
      </c>
      <c r="B24" s="85">
        <v>15954.67</v>
      </c>
      <c r="C24" s="70">
        <f t="shared" si="0"/>
        <v>11869.999999998981</v>
      </c>
      <c r="D24" s="103">
        <v>16232.147999999999</v>
      </c>
      <c r="E24" s="70">
        <f t="shared" si="1"/>
        <v>8885.0000000002183</v>
      </c>
      <c r="F24" s="51">
        <f t="shared" si="2"/>
        <v>20754.9999999992</v>
      </c>
      <c r="G24" s="67">
        <f t="shared" si="3"/>
        <v>1934.3659999999254</v>
      </c>
      <c r="H24" s="102">
        <v>112</v>
      </c>
    </row>
    <row r="25" spans="1:8" ht="30.95" customHeight="1">
      <c r="A25" s="101">
        <v>18</v>
      </c>
      <c r="B25" s="75">
        <v>15959.418</v>
      </c>
      <c r="C25" s="39">
        <f>(B26-B25)*2500</f>
        <v>12784.999999998945</v>
      </c>
      <c r="D25" s="78">
        <v>16235.701999999999</v>
      </c>
      <c r="E25" s="39">
        <f>(D26-D25)*2500</f>
        <v>9617.500000003929</v>
      </c>
      <c r="F25" s="47">
        <f t="shared" si="2"/>
        <v>22402.500000002874</v>
      </c>
      <c r="G25" s="67">
        <f t="shared" si="3"/>
        <v>2087.9130000002679</v>
      </c>
      <c r="H25" s="102">
        <v>130</v>
      </c>
    </row>
    <row r="26" spans="1:8" ht="30.95" customHeight="1">
      <c r="A26" s="99">
        <v>19</v>
      </c>
      <c r="B26" s="77">
        <v>15964.531999999999</v>
      </c>
      <c r="C26" s="70">
        <f t="shared" ref="C26:C38" si="4">(B27-B26)*2500</f>
        <v>11247.500000004038</v>
      </c>
      <c r="D26" s="103">
        <v>16239.549000000001</v>
      </c>
      <c r="E26" s="70">
        <f t="shared" ref="E26:E38" si="5">(D27-D26)*2500</f>
        <v>8872.4999999976717</v>
      </c>
      <c r="F26" s="47">
        <f t="shared" si="2"/>
        <v>20120.00000000171</v>
      </c>
      <c r="G26" s="67">
        <f t="shared" si="3"/>
        <v>1875.1840000001594</v>
      </c>
      <c r="H26" s="102">
        <v>130</v>
      </c>
    </row>
    <row r="27" spans="1:8" ht="30.95" customHeight="1">
      <c r="A27" s="101">
        <v>20</v>
      </c>
      <c r="B27" s="75">
        <v>15969.031000000001</v>
      </c>
      <c r="C27" s="39">
        <f t="shared" si="4"/>
        <v>12959.999999998217</v>
      </c>
      <c r="D27" s="80">
        <v>16243.098</v>
      </c>
      <c r="E27" s="39">
        <f t="shared" si="5"/>
        <v>9425.0000000010914</v>
      </c>
      <c r="F27" s="51">
        <f t="shared" si="2"/>
        <v>22384.999999999309</v>
      </c>
      <c r="G27" s="67">
        <f t="shared" si="3"/>
        <v>2086.2819999999356</v>
      </c>
      <c r="H27" s="102">
        <v>146</v>
      </c>
    </row>
    <row r="28" spans="1:8" ht="30.95" customHeight="1">
      <c r="A28" s="99">
        <v>21</v>
      </c>
      <c r="B28" s="77">
        <v>15974.215</v>
      </c>
      <c r="C28" s="70">
        <f t="shared" si="4"/>
        <v>13307.5000000008</v>
      </c>
      <c r="D28" s="103">
        <v>16246.868</v>
      </c>
      <c r="E28" s="70">
        <f t="shared" si="5"/>
        <v>10019.999999999527</v>
      </c>
      <c r="F28" s="47">
        <f t="shared" si="2"/>
        <v>23327.500000000327</v>
      </c>
      <c r="G28" s="67">
        <f t="shared" si="3"/>
        <v>2174.1230000000305</v>
      </c>
      <c r="H28" s="102">
        <v>147</v>
      </c>
    </row>
    <row r="29" spans="1:8" ht="30.95" customHeight="1">
      <c r="A29" s="101">
        <v>22</v>
      </c>
      <c r="B29" s="75">
        <v>15979.538</v>
      </c>
      <c r="C29" s="39">
        <f t="shared" si="4"/>
        <v>11107.499999998254</v>
      </c>
      <c r="D29" s="78">
        <v>16250.876</v>
      </c>
      <c r="E29" s="39">
        <f t="shared" si="5"/>
        <v>8177.5000000016007</v>
      </c>
      <c r="F29" s="51">
        <f t="shared" si="2"/>
        <v>19284.999999999854</v>
      </c>
      <c r="G29" s="67">
        <f t="shared" si="3"/>
        <v>1797.3619999999864</v>
      </c>
      <c r="H29" s="102">
        <v>145</v>
      </c>
    </row>
    <row r="30" spans="1:8" ht="30.95" customHeight="1">
      <c r="A30" s="99">
        <v>23</v>
      </c>
      <c r="B30" s="77">
        <v>15983.981</v>
      </c>
      <c r="C30" s="70">
        <f t="shared" si="4"/>
        <v>11997.500000002219</v>
      </c>
      <c r="D30" s="103">
        <v>16254.147000000001</v>
      </c>
      <c r="E30" s="70">
        <f t="shared" si="5"/>
        <v>9052.4999999979627</v>
      </c>
      <c r="F30" s="47">
        <f t="shared" si="2"/>
        <v>21050.000000000182</v>
      </c>
      <c r="G30" s="67">
        <f t="shared" si="3"/>
        <v>1961.860000000017</v>
      </c>
      <c r="H30" s="102">
        <v>123</v>
      </c>
    </row>
    <row r="31" spans="1:8" ht="30.95" customHeight="1">
      <c r="A31" s="101">
        <v>24</v>
      </c>
      <c r="B31" s="75">
        <v>15988.78</v>
      </c>
      <c r="C31" s="39">
        <f t="shared" si="4"/>
        <v>-39971950</v>
      </c>
      <c r="D31" s="78">
        <v>16257.768</v>
      </c>
      <c r="E31" s="39">
        <f t="shared" si="5"/>
        <v>-40644420</v>
      </c>
      <c r="F31" s="51">
        <f t="shared" si="2"/>
        <v>-80616370</v>
      </c>
      <c r="G31" s="67">
        <f t="shared" si="3"/>
        <v>-7513445.6840000004</v>
      </c>
      <c r="H31" s="102">
        <v>125</v>
      </c>
    </row>
    <row r="32" spans="1:8" ht="30.95" customHeight="1">
      <c r="A32" s="99">
        <v>25</v>
      </c>
      <c r="B32" s="77"/>
      <c r="C32" s="70">
        <f t="shared" si="4"/>
        <v>0</v>
      </c>
      <c r="D32" s="103"/>
      <c r="E32" s="70">
        <f t="shared" si="5"/>
        <v>0</v>
      </c>
      <c r="F32" s="47">
        <f t="shared" si="2"/>
        <v>0</v>
      </c>
      <c r="G32" s="67">
        <f t="shared" si="3"/>
        <v>0</v>
      </c>
      <c r="H32" s="102"/>
    </row>
    <row r="33" spans="1:8" ht="30.95" customHeight="1">
      <c r="A33" s="101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2"/>
    </row>
    <row r="34" spans="1:8" ht="30.95" customHeight="1">
      <c r="A34" s="99">
        <v>27</v>
      </c>
      <c r="B34" s="77"/>
      <c r="C34" s="70">
        <f t="shared" si="4"/>
        <v>0</v>
      </c>
      <c r="D34" s="103"/>
      <c r="E34" s="39">
        <f t="shared" si="5"/>
        <v>0</v>
      </c>
      <c r="F34" s="47">
        <f t="shared" si="2"/>
        <v>0</v>
      </c>
      <c r="G34" s="67">
        <f t="shared" si="3"/>
        <v>0</v>
      </c>
      <c r="H34" s="102"/>
    </row>
    <row r="35" spans="1:8" ht="30.95" customHeight="1">
      <c r="A35" s="101">
        <v>28</v>
      </c>
      <c r="B35" s="81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2"/>
    </row>
    <row r="36" spans="1:8" ht="30.95" customHeight="1">
      <c r="A36" s="99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100"/>
    </row>
    <row r="37" spans="1:8" ht="30.95" customHeight="1">
      <c r="A37" s="128">
        <v>30</v>
      </c>
      <c r="B37" s="129"/>
      <c r="C37" s="108">
        <f>(B38-B37)*2500</f>
        <v>0</v>
      </c>
      <c r="D37" s="130"/>
      <c r="E37" s="108">
        <f>(D38-D37)*2500</f>
        <v>0</v>
      </c>
      <c r="F37" s="109">
        <f t="shared" si="2"/>
        <v>0</v>
      </c>
      <c r="G37" s="67">
        <f t="shared" si="3"/>
        <v>0</v>
      </c>
      <c r="H37" s="131"/>
    </row>
    <row r="38" spans="1:8" ht="30.95" customHeight="1">
      <c r="A38" s="99">
        <v>31</v>
      </c>
      <c r="B38" s="40"/>
      <c r="C38" s="70">
        <f t="shared" si="4"/>
        <v>0</v>
      </c>
      <c r="D38" s="103"/>
      <c r="E38" s="70">
        <f t="shared" si="5"/>
        <v>0</v>
      </c>
      <c r="F38" s="51">
        <f t="shared" si="2"/>
        <v>0</v>
      </c>
      <c r="G38" s="139">
        <f t="shared" si="3"/>
        <v>0</v>
      </c>
      <c r="H38" s="140"/>
    </row>
    <row r="39" spans="1:8" ht="30.95" customHeight="1">
      <c r="A39" s="132">
        <v>1</v>
      </c>
      <c r="B39" s="133"/>
      <c r="C39" s="134">
        <f t="shared" ref="C39" si="6">(B40-B39)*2500</f>
        <v>0</v>
      </c>
      <c r="D39" s="135"/>
      <c r="E39" s="134">
        <f t="shared" ref="E39" si="7">(D40-D39)*2500</f>
        <v>0</v>
      </c>
      <c r="F39" s="136">
        <f t="shared" ref="F39" si="8">C39+E39</f>
        <v>0</v>
      </c>
      <c r="G39" s="137">
        <f t="shared" si="3"/>
        <v>0</v>
      </c>
      <c r="H39" s="138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27" activePane="bottomLeft" state="frozen"/>
      <selection pane="bottomLeft" activeCell="N30" sqref="N30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8" t="s">
        <v>14</v>
      </c>
      <c r="B1" s="163" t="s">
        <v>24</v>
      </c>
      <c r="C1" s="164"/>
      <c r="D1" s="165"/>
      <c r="E1" s="166" t="s">
        <v>25</v>
      </c>
      <c r="F1" s="164"/>
      <c r="G1" s="164"/>
      <c r="H1" s="164"/>
      <c r="I1" s="165"/>
      <c r="J1" s="166" t="s">
        <v>26</v>
      </c>
      <c r="K1" s="164"/>
      <c r="L1" s="167"/>
    </row>
    <row r="2" spans="1:12" ht="27" customHeight="1">
      <c r="A2" s="162"/>
      <c r="B2" s="168"/>
      <c r="C2" s="169"/>
      <c r="D2" s="170"/>
      <c r="E2" s="168"/>
      <c r="F2" s="169"/>
      <c r="G2" s="169"/>
      <c r="H2" s="169"/>
      <c r="I2" s="170"/>
      <c r="J2" s="168"/>
      <c r="K2" s="169"/>
      <c r="L2" s="170"/>
    </row>
    <row r="3" spans="1:12" ht="59.25" customHeight="1">
      <c r="A3" s="92" t="s">
        <v>15</v>
      </c>
      <c r="B3" s="17" t="s">
        <v>22</v>
      </c>
      <c r="C3" s="18" t="s">
        <v>27</v>
      </c>
      <c r="D3" s="19" t="s">
        <v>28</v>
      </c>
      <c r="E3" s="89" t="s">
        <v>22</v>
      </c>
      <c r="F3" s="20" t="s">
        <v>23</v>
      </c>
      <c r="G3" s="21" t="s">
        <v>29</v>
      </c>
      <c r="H3" s="21" t="s">
        <v>30</v>
      </c>
      <c r="I3" s="88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hidden="1" customHeight="1">
      <c r="A5" s="90">
        <v>30</v>
      </c>
      <c r="B5" s="90">
        <v>7052232</v>
      </c>
      <c r="C5" s="105">
        <f>B6-B5</f>
        <v>0</v>
      </c>
      <c r="D5" s="34">
        <f>C5*0.21186441</f>
        <v>0</v>
      </c>
      <c r="E5" s="35">
        <v>565220</v>
      </c>
      <c r="F5" s="106">
        <f>E6-E5</f>
        <v>0</v>
      </c>
      <c r="G5" s="36">
        <f>F5*0.84746</f>
        <v>0</v>
      </c>
      <c r="H5" s="36">
        <f>F5*0.84746</f>
        <v>0</v>
      </c>
      <c r="I5" s="91">
        <f>G5+H5</f>
        <v>0</v>
      </c>
      <c r="J5" s="37">
        <f>4960+6350</f>
        <v>11310</v>
      </c>
      <c r="K5" s="38">
        <f>J5-J6</f>
        <v>0</v>
      </c>
      <c r="L5" s="39">
        <f>K5*0.7</f>
        <v>0</v>
      </c>
    </row>
    <row r="6" spans="1:12" ht="32.450000000000003" customHeight="1">
      <c r="A6" s="40">
        <v>1</v>
      </c>
      <c r="B6" s="90">
        <v>7052232</v>
      </c>
      <c r="C6" s="53">
        <f t="shared" ref="C6:C15" si="0">B7-B6</f>
        <v>1664</v>
      </c>
      <c r="D6" s="41">
        <f>C6*0.21186441</f>
        <v>352.54237824000001</v>
      </c>
      <c r="E6" s="42">
        <v>565220</v>
      </c>
      <c r="F6" s="54">
        <f t="shared" ref="F6:F15" si="1">E7-E6</f>
        <v>301</v>
      </c>
      <c r="G6" s="43">
        <f>F6*0.84746</f>
        <v>255.08545999999998</v>
      </c>
      <c r="H6" s="43">
        <f>F6*0.84746</f>
        <v>255.08545999999998</v>
      </c>
      <c r="I6" s="44">
        <f t="shared" ref="I6:I36" si="2">G6+H6</f>
        <v>510.17091999999997</v>
      </c>
      <c r="J6" s="37">
        <f>4960+6350</f>
        <v>11310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7053896</v>
      </c>
      <c r="C7" s="55">
        <f t="shared" si="0"/>
        <v>1512</v>
      </c>
      <c r="D7" s="46">
        <f>C7*0.21186441</f>
        <v>320.33898792000002</v>
      </c>
      <c r="E7" s="47">
        <v>565521</v>
      </c>
      <c r="F7" s="56">
        <f t="shared" si="1"/>
        <v>251</v>
      </c>
      <c r="G7" s="48">
        <f t="shared" ref="G7:G36" si="4">F7*0.84746</f>
        <v>212.71245999999999</v>
      </c>
      <c r="H7" s="48">
        <f t="shared" ref="H7:H36" si="5">F7*0.84746</f>
        <v>212.71245999999999</v>
      </c>
      <c r="I7" s="49">
        <f t="shared" si="2"/>
        <v>425.42491999999999</v>
      </c>
      <c r="J7" s="37">
        <f>4960+6350</f>
        <v>11310</v>
      </c>
      <c r="K7" s="38">
        <f t="shared" si="3"/>
        <v>0</v>
      </c>
      <c r="L7" s="39">
        <f t="shared" ref="L7:L35" si="6">K7*0.7</f>
        <v>0</v>
      </c>
    </row>
    <row r="8" spans="1:12" ht="32.450000000000003" customHeight="1">
      <c r="A8" s="40">
        <v>3</v>
      </c>
      <c r="B8" s="40">
        <v>7055408</v>
      </c>
      <c r="C8" s="53">
        <f t="shared" si="0"/>
        <v>1976</v>
      </c>
      <c r="D8" s="46">
        <f t="shared" ref="D8:D36" si="7">C8*0.21186441</f>
        <v>418.64407416</v>
      </c>
      <c r="E8" s="47">
        <v>565772</v>
      </c>
      <c r="F8" s="54">
        <f t="shared" si="1"/>
        <v>317</v>
      </c>
      <c r="G8" s="43">
        <f t="shared" si="4"/>
        <v>268.64481999999998</v>
      </c>
      <c r="H8" s="43">
        <f t="shared" si="5"/>
        <v>268.64481999999998</v>
      </c>
      <c r="I8" s="49">
        <f t="shared" si="2"/>
        <v>537.28963999999996</v>
      </c>
      <c r="J8" s="37">
        <f>4960+6350</f>
        <v>11310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7057384</v>
      </c>
      <c r="C9" s="55">
        <f t="shared" si="0"/>
        <v>1153</v>
      </c>
      <c r="D9" s="46">
        <f t="shared" si="7"/>
        <v>244.27966473000001</v>
      </c>
      <c r="E9" s="47">
        <v>566089</v>
      </c>
      <c r="F9" s="56">
        <f t="shared" si="1"/>
        <v>120</v>
      </c>
      <c r="G9" s="48">
        <f t="shared" si="4"/>
        <v>101.6952</v>
      </c>
      <c r="H9" s="48">
        <f t="shared" si="5"/>
        <v>101.6952</v>
      </c>
      <c r="I9" s="49">
        <f t="shared" si="2"/>
        <v>203.3904</v>
      </c>
      <c r="J9" s="37">
        <f>4960+6350</f>
        <v>11310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7058537</v>
      </c>
      <c r="C10" s="53">
        <f t="shared" si="0"/>
        <v>2400</v>
      </c>
      <c r="D10" s="46">
        <f t="shared" si="7"/>
        <v>508.47458399999999</v>
      </c>
      <c r="E10" s="47">
        <v>566209</v>
      </c>
      <c r="F10" s="54">
        <f t="shared" si="1"/>
        <v>313</v>
      </c>
      <c r="G10" s="43">
        <f t="shared" si="4"/>
        <v>265.25497999999999</v>
      </c>
      <c r="H10" s="43">
        <f t="shared" si="5"/>
        <v>265.25497999999999</v>
      </c>
      <c r="I10" s="49">
        <f t="shared" si="2"/>
        <v>530.50995999999998</v>
      </c>
      <c r="J10" s="37">
        <f>4960+6350</f>
        <v>11310</v>
      </c>
      <c r="K10" s="38">
        <f t="shared" si="3"/>
        <v>-10</v>
      </c>
      <c r="L10" s="39">
        <f t="shared" si="6"/>
        <v>-7</v>
      </c>
    </row>
    <row r="11" spans="1:12" ht="32.450000000000003" customHeight="1">
      <c r="A11" s="45">
        <v>6</v>
      </c>
      <c r="B11" s="45">
        <v>7060937</v>
      </c>
      <c r="C11" s="55">
        <f t="shared" si="0"/>
        <v>1336</v>
      </c>
      <c r="D11" s="46">
        <f t="shared" si="7"/>
        <v>283.05085176</v>
      </c>
      <c r="E11" s="47">
        <v>566522</v>
      </c>
      <c r="F11" s="56">
        <f t="shared" si="1"/>
        <v>239</v>
      </c>
      <c r="G11" s="48">
        <f t="shared" si="4"/>
        <v>202.54293999999999</v>
      </c>
      <c r="H11" s="48">
        <f t="shared" si="5"/>
        <v>202.54293999999999</v>
      </c>
      <c r="I11" s="49">
        <f t="shared" si="2"/>
        <v>405.08587999999997</v>
      </c>
      <c r="J11" s="37">
        <f>4960+6360</f>
        <v>11320</v>
      </c>
      <c r="K11" s="38">
        <f t="shared" si="3"/>
        <v>30</v>
      </c>
      <c r="L11" s="39">
        <f t="shared" si="6"/>
        <v>21</v>
      </c>
    </row>
    <row r="12" spans="1:12" ht="32.450000000000003" customHeight="1">
      <c r="A12" s="40">
        <v>7</v>
      </c>
      <c r="B12" s="40">
        <v>7062273</v>
      </c>
      <c r="C12" s="53">
        <f t="shared" si="0"/>
        <v>2115</v>
      </c>
      <c r="D12" s="46">
        <f t="shared" si="7"/>
        <v>448.09322715000002</v>
      </c>
      <c r="E12" s="47">
        <v>566761</v>
      </c>
      <c r="F12" s="54">
        <f t="shared" si="1"/>
        <v>353</v>
      </c>
      <c r="G12" s="43">
        <f t="shared" si="4"/>
        <v>299.15337999999997</v>
      </c>
      <c r="H12" s="43">
        <f t="shared" si="5"/>
        <v>299.15337999999997</v>
      </c>
      <c r="I12" s="49">
        <f t="shared" si="2"/>
        <v>598.30675999999994</v>
      </c>
      <c r="J12" s="37">
        <f>4930+6360</f>
        <v>11290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7064388</v>
      </c>
      <c r="C13" s="55">
        <f t="shared" si="0"/>
        <v>-814</v>
      </c>
      <c r="D13" s="46">
        <f t="shared" si="7"/>
        <v>-172.45762974000002</v>
      </c>
      <c r="E13" s="47">
        <v>567114</v>
      </c>
      <c r="F13" s="56">
        <f t="shared" si="1"/>
        <v>296</v>
      </c>
      <c r="G13" s="48">
        <f t="shared" si="4"/>
        <v>250.84816000000001</v>
      </c>
      <c r="H13" s="48">
        <f t="shared" si="5"/>
        <v>250.84816000000001</v>
      </c>
      <c r="I13" s="49">
        <f t="shared" si="2"/>
        <v>501.69632000000001</v>
      </c>
      <c r="J13" s="37">
        <f>4930+6360</f>
        <v>11290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7063574</v>
      </c>
      <c r="C14" s="53">
        <f t="shared" si="0"/>
        <v>4461</v>
      </c>
      <c r="D14" s="46">
        <f t="shared" si="7"/>
        <v>945.12713300999997</v>
      </c>
      <c r="E14" s="47">
        <v>567410</v>
      </c>
      <c r="F14" s="54">
        <f t="shared" si="1"/>
        <v>100</v>
      </c>
      <c r="G14" s="48">
        <f t="shared" si="4"/>
        <v>84.745999999999995</v>
      </c>
      <c r="H14" s="43">
        <f t="shared" si="5"/>
        <v>84.745999999999995</v>
      </c>
      <c r="I14" s="49">
        <f t="shared" si="2"/>
        <v>169.49199999999999</v>
      </c>
      <c r="J14" s="37">
        <f>4930+6360</f>
        <v>11290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>
        <v>7068035</v>
      </c>
      <c r="C15" s="55">
        <f t="shared" si="0"/>
        <v>1826</v>
      </c>
      <c r="D15" s="46">
        <f t="shared" si="7"/>
        <v>386.86441266000003</v>
      </c>
      <c r="E15" s="47">
        <v>567510</v>
      </c>
      <c r="F15" s="56">
        <f t="shared" si="1"/>
        <v>100</v>
      </c>
      <c r="G15" s="48">
        <f t="shared" si="4"/>
        <v>84.745999999999995</v>
      </c>
      <c r="H15" s="48">
        <f t="shared" si="5"/>
        <v>84.745999999999995</v>
      </c>
      <c r="I15" s="49">
        <f t="shared" si="2"/>
        <v>169.49199999999999</v>
      </c>
      <c r="J15" s="37">
        <f>4930+6360</f>
        <v>11290</v>
      </c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>
        <v>7069861</v>
      </c>
      <c r="C16" s="53">
        <f>B17-B16</f>
        <v>2090</v>
      </c>
      <c r="D16" s="46">
        <f t="shared" si="7"/>
        <v>442.7966169</v>
      </c>
      <c r="E16" s="47">
        <v>567610</v>
      </c>
      <c r="F16" s="54">
        <f>E17-E16</f>
        <v>270</v>
      </c>
      <c r="G16" s="43">
        <f t="shared" si="4"/>
        <v>228.8142</v>
      </c>
      <c r="H16" s="43">
        <f t="shared" si="5"/>
        <v>228.8142</v>
      </c>
      <c r="I16" s="49">
        <f t="shared" si="2"/>
        <v>457.6284</v>
      </c>
      <c r="J16" s="37">
        <f>4930+6360</f>
        <v>11290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7071951</v>
      </c>
      <c r="C17" s="55">
        <f t="shared" ref="C17:C35" si="8">B18-B17</f>
        <v>1987</v>
      </c>
      <c r="D17" s="46">
        <f t="shared" si="7"/>
        <v>420.97458267000002</v>
      </c>
      <c r="E17" s="47">
        <v>567880</v>
      </c>
      <c r="F17" s="56">
        <f t="shared" ref="F17:F35" si="9">E18-E17</f>
        <v>231</v>
      </c>
      <c r="G17" s="48">
        <f t="shared" si="4"/>
        <v>195.76326</v>
      </c>
      <c r="H17" s="48">
        <f t="shared" si="5"/>
        <v>195.76326</v>
      </c>
      <c r="I17" s="49">
        <f t="shared" si="2"/>
        <v>391.52652</v>
      </c>
      <c r="J17" s="37">
        <f>4930+6360</f>
        <v>11290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>
        <v>7073938</v>
      </c>
      <c r="C18" s="53">
        <f t="shared" si="8"/>
        <v>1901</v>
      </c>
      <c r="D18" s="46">
        <f t="shared" si="7"/>
        <v>402.75424341000002</v>
      </c>
      <c r="E18" s="51">
        <v>568111</v>
      </c>
      <c r="F18" s="54">
        <f t="shared" si="9"/>
        <v>269</v>
      </c>
      <c r="G18" s="43">
        <f t="shared" si="4"/>
        <v>227.96673999999999</v>
      </c>
      <c r="H18" s="43">
        <f t="shared" si="5"/>
        <v>227.96673999999999</v>
      </c>
      <c r="I18" s="49">
        <f t="shared" si="2"/>
        <v>455.93347999999997</v>
      </c>
      <c r="J18" s="37">
        <f>4930+6360</f>
        <v>11290</v>
      </c>
      <c r="K18" s="38">
        <f t="shared" si="3"/>
        <v>-120</v>
      </c>
      <c r="L18" s="39">
        <f t="shared" si="6"/>
        <v>-84</v>
      </c>
    </row>
    <row r="19" spans="1:12" ht="32.450000000000003" customHeight="1">
      <c r="A19" s="45">
        <v>14</v>
      </c>
      <c r="B19" s="45">
        <v>7075839</v>
      </c>
      <c r="C19" s="55">
        <f t="shared" si="8"/>
        <v>2315</v>
      </c>
      <c r="D19" s="46">
        <f t="shared" si="7"/>
        <v>490.46610915000002</v>
      </c>
      <c r="E19" s="52">
        <v>568380</v>
      </c>
      <c r="F19" s="56">
        <f t="shared" si="9"/>
        <v>325</v>
      </c>
      <c r="G19" s="48">
        <f t="shared" si="4"/>
        <v>275.42450000000002</v>
      </c>
      <c r="H19" s="48">
        <f t="shared" si="5"/>
        <v>275.42450000000002</v>
      </c>
      <c r="I19" s="49">
        <f t="shared" si="2"/>
        <v>550.84900000000005</v>
      </c>
      <c r="J19" s="50">
        <f>5050+6360</f>
        <v>11410</v>
      </c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>
        <v>7078154</v>
      </c>
      <c r="C20" s="53">
        <f t="shared" si="8"/>
        <v>2298</v>
      </c>
      <c r="D20" s="46">
        <f t="shared" si="7"/>
        <v>486.86441417999998</v>
      </c>
      <c r="E20" s="51">
        <v>568705</v>
      </c>
      <c r="F20" s="54">
        <f t="shared" si="9"/>
        <v>281</v>
      </c>
      <c r="G20" s="43">
        <f t="shared" si="4"/>
        <v>238.13625999999999</v>
      </c>
      <c r="H20" s="43">
        <f t="shared" si="5"/>
        <v>238.13625999999999</v>
      </c>
      <c r="I20" s="49">
        <f t="shared" si="2"/>
        <v>476.27251999999999</v>
      </c>
      <c r="J20" s="50">
        <f>5050+6360</f>
        <v>11410</v>
      </c>
      <c r="K20" s="38">
        <f t="shared" si="3"/>
        <v>49</v>
      </c>
      <c r="L20" s="39">
        <f t="shared" si="6"/>
        <v>34.299999999999997</v>
      </c>
    </row>
    <row r="21" spans="1:12" ht="32.450000000000003" customHeight="1">
      <c r="A21" s="45">
        <v>16</v>
      </c>
      <c r="B21" s="85">
        <v>7080452</v>
      </c>
      <c r="C21" s="55">
        <f t="shared" si="8"/>
        <v>2276</v>
      </c>
      <c r="D21" s="46">
        <f t="shared" si="7"/>
        <v>482.20339716000001</v>
      </c>
      <c r="E21" s="86">
        <v>568986</v>
      </c>
      <c r="F21" s="56">
        <f t="shared" si="9"/>
        <v>284</v>
      </c>
      <c r="G21" s="48">
        <f t="shared" si="4"/>
        <v>240.67864</v>
      </c>
      <c r="H21" s="48">
        <f t="shared" si="5"/>
        <v>240.67864</v>
      </c>
      <c r="I21" s="49">
        <f t="shared" si="2"/>
        <v>481.35728</v>
      </c>
      <c r="J21" s="87">
        <f>5001+6360</f>
        <v>11361</v>
      </c>
      <c r="K21" s="38">
        <f t="shared" si="3"/>
        <v>1</v>
      </c>
      <c r="L21" s="39">
        <f t="shared" si="6"/>
        <v>0.7</v>
      </c>
    </row>
    <row r="22" spans="1:12" ht="32.450000000000003" customHeight="1">
      <c r="A22" s="40">
        <v>17</v>
      </c>
      <c r="B22" s="40">
        <v>7082728</v>
      </c>
      <c r="C22" s="53">
        <f t="shared" si="8"/>
        <v>2001</v>
      </c>
      <c r="D22" s="46">
        <f t="shared" si="7"/>
        <v>423.94068441000002</v>
      </c>
      <c r="E22" s="52">
        <v>569270</v>
      </c>
      <c r="F22" s="54">
        <f t="shared" si="9"/>
        <v>273</v>
      </c>
      <c r="G22" s="43">
        <f t="shared" si="4"/>
        <v>231.35658000000001</v>
      </c>
      <c r="H22" s="43">
        <f t="shared" si="5"/>
        <v>231.35658000000001</v>
      </c>
      <c r="I22" s="49">
        <f t="shared" si="2"/>
        <v>462.71316000000002</v>
      </c>
      <c r="J22" s="50">
        <f>5000+6360</f>
        <v>11360</v>
      </c>
      <c r="K22" s="38">
        <f t="shared" si="3"/>
        <v>400</v>
      </c>
      <c r="L22" s="39">
        <f t="shared" si="6"/>
        <v>280</v>
      </c>
    </row>
    <row r="23" spans="1:12" ht="32.450000000000003" customHeight="1">
      <c r="A23" s="45">
        <v>18</v>
      </c>
      <c r="B23" s="45">
        <v>7084729</v>
      </c>
      <c r="C23" s="55">
        <f t="shared" si="8"/>
        <v>2071</v>
      </c>
      <c r="D23" s="46">
        <f t="shared" si="7"/>
        <v>438.77119311000001</v>
      </c>
      <c r="E23" s="52">
        <v>569543</v>
      </c>
      <c r="F23" s="56">
        <f t="shared" si="9"/>
        <v>277</v>
      </c>
      <c r="G23" s="48">
        <f t="shared" si="4"/>
        <v>234.74642</v>
      </c>
      <c r="H23" s="48">
        <f t="shared" si="5"/>
        <v>234.74642</v>
      </c>
      <c r="I23" s="49">
        <f t="shared" si="2"/>
        <v>469.49284</v>
      </c>
      <c r="J23" s="50">
        <f>4600+6360</f>
        <v>10960</v>
      </c>
      <c r="K23" s="38">
        <f t="shared" si="3"/>
        <v>44</v>
      </c>
      <c r="L23" s="39">
        <f t="shared" si="6"/>
        <v>30.799999999999997</v>
      </c>
    </row>
    <row r="24" spans="1:12" ht="32.450000000000003" customHeight="1">
      <c r="A24" s="40">
        <v>19</v>
      </c>
      <c r="B24" s="40">
        <v>7086800</v>
      </c>
      <c r="C24" s="53">
        <f t="shared" si="8"/>
        <v>2047</v>
      </c>
      <c r="D24" s="46">
        <f t="shared" si="7"/>
        <v>433.68644727000003</v>
      </c>
      <c r="E24" s="52">
        <v>569820</v>
      </c>
      <c r="F24" s="54">
        <f t="shared" si="9"/>
        <v>239</v>
      </c>
      <c r="G24" s="43">
        <f t="shared" si="4"/>
        <v>202.54293999999999</v>
      </c>
      <c r="H24" s="43">
        <f t="shared" si="5"/>
        <v>202.54293999999999</v>
      </c>
      <c r="I24" s="49">
        <f t="shared" si="2"/>
        <v>405.08587999999997</v>
      </c>
      <c r="J24" s="50">
        <f>4590+6326</f>
        <v>10916</v>
      </c>
      <c r="K24" s="38">
        <f t="shared" si="3"/>
        <v>-44</v>
      </c>
      <c r="L24" s="39">
        <f t="shared" si="6"/>
        <v>-30.799999999999997</v>
      </c>
    </row>
    <row r="25" spans="1:12" ht="32.450000000000003" customHeight="1">
      <c r="A25" s="45">
        <v>20</v>
      </c>
      <c r="B25" s="45">
        <v>7088847</v>
      </c>
      <c r="C25" s="55">
        <f t="shared" si="8"/>
        <v>2254</v>
      </c>
      <c r="D25" s="46">
        <f t="shared" si="7"/>
        <v>477.54238014000003</v>
      </c>
      <c r="E25" s="52">
        <v>570059</v>
      </c>
      <c r="F25" s="56">
        <f t="shared" si="9"/>
        <v>293</v>
      </c>
      <c r="G25" s="48">
        <f t="shared" si="4"/>
        <v>248.30578</v>
      </c>
      <c r="H25" s="48">
        <f t="shared" si="5"/>
        <v>248.30578</v>
      </c>
      <c r="I25" s="49">
        <f t="shared" si="2"/>
        <v>496.61156</v>
      </c>
      <c r="J25" s="50">
        <f>4600+6360</f>
        <v>10960</v>
      </c>
      <c r="K25" s="38">
        <f t="shared" si="3"/>
        <v>160</v>
      </c>
      <c r="L25" s="39">
        <f t="shared" si="6"/>
        <v>112</v>
      </c>
    </row>
    <row r="26" spans="1:12" ht="32.450000000000003" customHeight="1">
      <c r="A26" s="40">
        <v>21</v>
      </c>
      <c r="B26" s="40">
        <v>7091101</v>
      </c>
      <c r="C26" s="53">
        <f t="shared" si="8"/>
        <v>2278</v>
      </c>
      <c r="D26" s="46">
        <f t="shared" si="7"/>
        <v>482.62712598000002</v>
      </c>
      <c r="E26" s="52">
        <v>570352</v>
      </c>
      <c r="F26" s="54">
        <f t="shared" si="9"/>
        <v>313</v>
      </c>
      <c r="G26" s="43">
        <f t="shared" si="4"/>
        <v>265.25497999999999</v>
      </c>
      <c r="H26" s="43">
        <f t="shared" si="5"/>
        <v>265.25497999999999</v>
      </c>
      <c r="I26" s="49">
        <f t="shared" si="2"/>
        <v>530.50995999999998</v>
      </c>
      <c r="J26" s="50">
        <f>4440+6360</f>
        <v>10800</v>
      </c>
      <c r="K26" s="38">
        <f t="shared" si="3"/>
        <v>-170</v>
      </c>
      <c r="L26" s="39">
        <f t="shared" si="6"/>
        <v>-118.99999999999999</v>
      </c>
    </row>
    <row r="27" spans="1:12" ht="32.450000000000003" customHeight="1">
      <c r="A27" s="45">
        <v>22</v>
      </c>
      <c r="B27" s="45">
        <v>7093379</v>
      </c>
      <c r="C27" s="55">
        <f t="shared" si="8"/>
        <v>1567</v>
      </c>
      <c r="D27" s="46">
        <f t="shared" si="7"/>
        <v>331.99153046999999</v>
      </c>
      <c r="E27" s="52">
        <v>570665</v>
      </c>
      <c r="F27" s="56">
        <f t="shared" si="9"/>
        <v>291</v>
      </c>
      <c r="G27" s="48">
        <f t="shared" si="4"/>
        <v>246.61086</v>
      </c>
      <c r="H27" s="48">
        <f t="shared" si="5"/>
        <v>246.61086</v>
      </c>
      <c r="I27" s="49">
        <f t="shared" si="2"/>
        <v>493.22172</v>
      </c>
      <c r="J27" s="50">
        <f>4600+6370</f>
        <v>10970</v>
      </c>
      <c r="K27" s="38">
        <f t="shared" si="3"/>
        <v>40</v>
      </c>
      <c r="L27" s="39">
        <f t="shared" si="6"/>
        <v>28</v>
      </c>
    </row>
    <row r="28" spans="1:12" ht="32.450000000000003" customHeight="1">
      <c r="A28" s="40">
        <v>23</v>
      </c>
      <c r="B28" s="40">
        <v>7094946</v>
      </c>
      <c r="C28" s="53">
        <f t="shared" si="8"/>
        <v>1329</v>
      </c>
      <c r="D28" s="46">
        <f t="shared" si="7"/>
        <v>281.56780089</v>
      </c>
      <c r="E28" s="52">
        <v>570956</v>
      </c>
      <c r="F28" s="54">
        <f t="shared" si="9"/>
        <v>283</v>
      </c>
      <c r="G28" s="43">
        <f t="shared" si="4"/>
        <v>239.83117999999999</v>
      </c>
      <c r="H28" s="43">
        <f t="shared" si="5"/>
        <v>239.83117999999999</v>
      </c>
      <c r="I28" s="49">
        <f t="shared" si="2"/>
        <v>479.66235999999998</v>
      </c>
      <c r="J28" s="50">
        <f>4560+6370</f>
        <v>10930</v>
      </c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>
        <v>7096275</v>
      </c>
      <c r="C29" s="55">
        <f t="shared" si="8"/>
        <v>-7096275</v>
      </c>
      <c r="D29" s="46">
        <f t="shared" si="7"/>
        <v>-1503448.11607275</v>
      </c>
      <c r="E29" s="52">
        <v>571239</v>
      </c>
      <c r="F29" s="56">
        <f t="shared" si="9"/>
        <v>-571239</v>
      </c>
      <c r="G29" s="48">
        <f t="shared" si="4"/>
        <v>-484102.20293999999</v>
      </c>
      <c r="H29" s="48">
        <f t="shared" si="5"/>
        <v>-484102.20293999999</v>
      </c>
      <c r="I29" s="49">
        <f t="shared" si="2"/>
        <v>-968204.40587999998</v>
      </c>
      <c r="J29" s="50">
        <f>4560+6370</f>
        <v>10930</v>
      </c>
      <c r="K29" s="38">
        <f t="shared" si="3"/>
        <v>10930</v>
      </c>
      <c r="L29" s="39">
        <f t="shared" si="6"/>
        <v>7650.9999999999991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13">
        <v>30</v>
      </c>
      <c r="B35" s="114"/>
      <c r="C35" s="115">
        <f t="shared" si="8"/>
        <v>0</v>
      </c>
      <c r="D35" s="116">
        <f t="shared" si="7"/>
        <v>0</v>
      </c>
      <c r="E35" s="109"/>
      <c r="F35" s="115">
        <f t="shared" si="9"/>
        <v>0</v>
      </c>
      <c r="G35" s="117">
        <f t="shared" si="4"/>
        <v>0</v>
      </c>
      <c r="H35" s="117">
        <f t="shared" si="5"/>
        <v>0</v>
      </c>
      <c r="I35" s="118">
        <f t="shared" si="2"/>
        <v>0</v>
      </c>
      <c r="J35" s="119"/>
      <c r="K35" s="120">
        <f t="shared" si="3"/>
        <v>0</v>
      </c>
      <c r="L35" s="39">
        <f t="shared" si="6"/>
        <v>0</v>
      </c>
    </row>
    <row r="36" spans="1:12" ht="32.450000000000003" customHeight="1">
      <c r="A36" s="110">
        <v>31</v>
      </c>
      <c r="B36" s="111"/>
      <c r="C36" s="121">
        <f t="shared" ref="C36" si="10">B37-B36</f>
        <v>0</v>
      </c>
      <c r="D36" s="122">
        <f t="shared" si="7"/>
        <v>0</v>
      </c>
      <c r="E36" s="112"/>
      <c r="F36" s="121">
        <f t="shared" ref="F36" si="11">E37-E36</f>
        <v>0</v>
      </c>
      <c r="G36" s="123">
        <f t="shared" ref="G36" si="12">F36*0.84746</f>
        <v>0</v>
      </c>
      <c r="H36" s="123">
        <f t="shared" ref="H36" si="13">F36*0.84746</f>
        <v>0</v>
      </c>
      <c r="I36" s="124">
        <f t="shared" ref="I36" si="14">G36+H36</f>
        <v>0</v>
      </c>
      <c r="J36" s="125"/>
      <c r="K36" s="126">
        <f t="shared" ref="K36" si="15">J36-J37</f>
        <v>0</v>
      </c>
      <c r="L36" s="127">
        <f>K36*0.7</f>
        <v>0</v>
      </c>
    </row>
    <row r="37" spans="1:12" ht="32.450000000000003" customHeight="1">
      <c r="A37" s="110">
        <v>1</v>
      </c>
      <c r="B37" s="111"/>
      <c r="C37" s="121">
        <f t="shared" ref="C37" si="16">B38-B37</f>
        <v>0</v>
      </c>
      <c r="D37" s="122">
        <f t="shared" ref="D37" si="17">C37*0.21186441</f>
        <v>0</v>
      </c>
      <c r="E37" s="112"/>
      <c r="F37" s="121">
        <f t="shared" ref="F37" si="18">E38-E37</f>
        <v>0</v>
      </c>
      <c r="G37" s="123">
        <f t="shared" ref="G37" si="19">F37*0.84746</f>
        <v>0</v>
      </c>
      <c r="H37" s="123">
        <f t="shared" ref="H37" si="20">F37*0.84746</f>
        <v>0</v>
      </c>
      <c r="I37" s="124">
        <f t="shared" ref="I37" si="21">G37+H37</f>
        <v>0</v>
      </c>
      <c r="J37" s="125"/>
      <c r="K37" s="126">
        <f t="shared" ref="K37" si="22">J37-J38</f>
        <v>0</v>
      </c>
      <c r="L37" s="127">
        <f>K37*0.7</f>
        <v>0</v>
      </c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AEBB5B-D00D-43AF-8F2A-074ED349A6B7}"/>
</file>

<file path=customXml/itemProps2.xml><?xml version="1.0" encoding="utf-8"?>
<ds:datastoreItem xmlns:ds="http://schemas.openxmlformats.org/officeDocument/2006/customXml" ds:itemID="{EABE8B19-C2BB-4BEC-A32A-6CD528ACF4E7}"/>
</file>

<file path=customXml/itemProps3.xml><?xml version="1.0" encoding="utf-8"?>
<ds:datastoreItem xmlns:ds="http://schemas.openxmlformats.org/officeDocument/2006/customXml" ds:itemID="{00ACCEA6-CCEB-471A-8FFF-3AFFECD46F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2022-10-25T07:55:43Z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