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L31" i="1" l="1"/>
  <c r="K31" i="1"/>
  <c r="G31" i="1"/>
  <c r="E31" i="1"/>
  <c r="D31" i="1"/>
  <c r="B31" i="1"/>
  <c r="L30" i="1"/>
  <c r="K30" i="1"/>
  <c r="G30" i="1"/>
  <c r="E30" i="1"/>
  <c r="D30" i="1"/>
  <c r="B30" i="1"/>
  <c r="D31" i="3"/>
  <c r="B31" i="3"/>
  <c r="D30" i="3"/>
  <c r="B30" i="3"/>
  <c r="C3" i="3" l="1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D2" i="1"/>
  <c r="D4" i="3"/>
  <c r="D5" i="3" s="1"/>
  <c r="D3" i="3"/>
  <c r="D3" i="1" s="1"/>
  <c r="D6" i="3" l="1"/>
  <c r="D5" i="1"/>
  <c r="D4" i="1"/>
  <c r="I3" i="1"/>
  <c r="I4" i="1"/>
  <c r="I5" i="1"/>
  <c r="I6" i="1"/>
  <c r="I7" i="1"/>
  <c r="I8" i="1"/>
  <c r="I9" i="1"/>
  <c r="I10" i="1"/>
  <c r="I1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<sst xmlns="http://schemas.openxmlformats.org/spreadsheetml/2006/main" count="106" uniqueCount="33">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</sst>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1" sqref="I11:I31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5</v>
      </c>
      <c r="D2" s="9">
        <f>Submetering!D2</f>
        <v>2022</v>
      </c>
      <c r="E2" s="20">
        <f>Submetering!E2</f>
        <v>7376.55</v>
      </c>
      <c r="F2" s="16">
        <v>0.12</v>
      </c>
      <c r="G2" s="20">
        <f>Submetering!F2+Submetering!G2</f>
        <v>332.14000000000004</v>
      </c>
      <c r="H2" s="16">
        <v>0.71</v>
      </c>
      <c r="I2" s="20">
        <f>Submetering!J2+Submetering!I2+Submetering!H2</f>
        <v>74.87</v>
      </c>
      <c r="J2" s="16">
        <v>2.3196172978505634</v>
      </c>
      <c r="K2" s="20">
        <f>Submetering!K2</f>
        <v>63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5</v>
      </c>
      <c r="D3" s="9">
        <f>Submetering!D3</f>
        <v>2022</v>
      </c>
      <c r="E3" s="20">
        <f>Submetering!E3</f>
        <v>7938.34</v>
      </c>
      <c r="F3" s="16">
        <v>0.12</v>
      </c>
      <c r="G3" s="20">
        <f>Submetering!F3+Submetering!G3</f>
        <v>262.06</v>
      </c>
      <c r="H3" s="16">
        <v>0.71</v>
      </c>
      <c r="I3" s="20">
        <f>Submetering!J3+Submetering!I3+Submetering!H3</f>
        <v>88.36</v>
      </c>
      <c r="J3" s="16">
        <v>2.3196172978505634</v>
      </c>
      <c r="K3" s="20">
        <f>Submetering!K3</f>
        <v>70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f t="shared" ref="C4:C31" si="1">C3</f>
        <v>5</v>
      </c>
      <c r="D4" s="9">
        <f>Submetering!D4</f>
        <v>2022</v>
      </c>
      <c r="E4" s="20">
        <f>Submetering!E4</f>
        <v>7854.98</v>
      </c>
      <c r="F4" s="16">
        <v>0.12</v>
      </c>
      <c r="G4" s="20">
        <f>Submetering!F4+Submetering!G4</f>
        <v>272.52</v>
      </c>
      <c r="H4" s="16">
        <v>0.71</v>
      </c>
      <c r="I4" s="20">
        <f>Submetering!J4+Submetering!I4+Submetering!H4</f>
        <v>83.07</v>
      </c>
      <c r="J4" s="16">
        <v>2.3196172978505634</v>
      </c>
      <c r="K4" s="20">
        <f>Submetering!K4</f>
        <v>99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5</v>
      </c>
      <c r="D5" s="9">
        <f>Submetering!D5</f>
        <v>2022</v>
      </c>
      <c r="E5" s="20">
        <f>Submetering!E5</f>
        <v>8412.23</v>
      </c>
      <c r="F5" s="16">
        <v>0.12</v>
      </c>
      <c r="G5" s="20">
        <f>Submetering!F5+Submetering!G5</f>
        <v>275.20999999999998</v>
      </c>
      <c r="H5" s="16">
        <v>0.71</v>
      </c>
      <c r="I5" s="20">
        <f>Submetering!J5+Submetering!I5+Submetering!H5</f>
        <v>79.959999999999994</v>
      </c>
      <c r="J5" s="16">
        <v>2.3196172978505634</v>
      </c>
      <c r="K5" s="20">
        <f>Submetering!K5</f>
        <v>99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5</v>
      </c>
      <c r="D6" s="9">
        <f>Submetering!D6</f>
        <v>2022</v>
      </c>
      <c r="E6" s="20">
        <f>Submetering!E6</f>
        <v>8379.5300000000007</v>
      </c>
      <c r="F6" s="16">
        <v>0.12</v>
      </c>
      <c r="G6" s="20">
        <f>Submetering!F6+Submetering!G6</f>
        <v>317.98999999999995</v>
      </c>
      <c r="H6" s="16">
        <v>0.71</v>
      </c>
      <c r="I6" s="20">
        <f>Submetering!J6+Submetering!I6+Submetering!H6</f>
        <v>89.51</v>
      </c>
      <c r="J6" s="16">
        <v>2.3196172978505634</v>
      </c>
      <c r="K6" s="20">
        <f>Submetering!K6</f>
        <v>106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5</v>
      </c>
      <c r="D7" s="9">
        <f>Submetering!D7</f>
        <v>2022</v>
      </c>
      <c r="E7" s="20">
        <f>Submetering!E7</f>
        <v>8519.06</v>
      </c>
      <c r="F7" s="16">
        <v>0.12</v>
      </c>
      <c r="G7" s="20">
        <f>Submetering!F7+Submetering!G7</f>
        <v>385.41999999999996</v>
      </c>
      <c r="H7" s="16">
        <v>0.71</v>
      </c>
      <c r="I7" s="20">
        <f>Submetering!J7+Submetering!I7+Submetering!H7</f>
        <v>98.86</v>
      </c>
      <c r="J7" s="16">
        <v>2.3196172978505634</v>
      </c>
      <c r="K7" s="20">
        <f>Submetering!K7</f>
        <v>101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5</v>
      </c>
      <c r="D8" s="9">
        <f>Submetering!D8</f>
        <v>2022</v>
      </c>
      <c r="E8" s="20">
        <f>Submetering!E8</f>
        <v>8564.6299999999992</v>
      </c>
      <c r="F8" s="16">
        <v>0.12</v>
      </c>
      <c r="G8" s="20">
        <f>Submetering!F8+Submetering!G8</f>
        <v>244.32999999999998</v>
      </c>
      <c r="H8" s="16">
        <v>0.71</v>
      </c>
      <c r="I8" s="20">
        <f>Submetering!J8+Submetering!I8+Submetering!H8</f>
        <v>98.59</v>
      </c>
      <c r="J8" s="16">
        <v>2.3196172978505634</v>
      </c>
      <c r="K8" s="20">
        <f>Submetering!K8</f>
        <v>92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5</v>
      </c>
      <c r="D9" s="9">
        <f>Submetering!D9</f>
        <v>2022</v>
      </c>
      <c r="E9" s="20">
        <f>Submetering!E9</f>
        <v>8737.01</v>
      </c>
      <c r="F9" s="16">
        <v>0.12</v>
      </c>
      <c r="G9" s="20">
        <f>Submetering!F9+Submetering!G9</f>
        <v>279.60000000000002</v>
      </c>
      <c r="H9" s="16">
        <v>0.71</v>
      </c>
      <c r="I9" s="20">
        <f>Submetering!J9+Submetering!I9+Submetering!H9</f>
        <v>58.4</v>
      </c>
      <c r="J9" s="16">
        <v>2.3196172978505634</v>
      </c>
      <c r="K9" s="20">
        <f>Submetering!K9</f>
        <v>103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5</v>
      </c>
      <c r="D10" s="9">
        <f>Submetering!D10</f>
        <v>2022</v>
      </c>
      <c r="E10" s="20">
        <f>Submetering!E10</f>
        <v>8987.59</v>
      </c>
      <c r="F10" s="16">
        <v>0.12</v>
      </c>
      <c r="G10" s="20">
        <f>Submetering!F10+Submetering!G10</f>
        <v>285.12</v>
      </c>
      <c r="H10" s="16">
        <v>0.71</v>
      </c>
      <c r="I10" s="20">
        <f>Submetering!J10+Submetering!I10+Submetering!H10</f>
        <v>37.81</v>
      </c>
      <c r="J10" s="16">
        <v>2.3196172978505634</v>
      </c>
      <c r="K10" s="20">
        <f>Submetering!K10</f>
        <v>105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5</v>
      </c>
      <c r="D11" s="9">
        <f>Submetering!D11</f>
        <v>2022</v>
      </c>
      <c r="E11" s="20">
        <f>Submetering!E11</f>
        <v>9209.66</v>
      </c>
      <c r="F11" s="16">
        <v>0.12</v>
      </c>
      <c r="G11" s="20">
        <f>Submetering!F11+Submetering!G11</f>
        <v>313.01</v>
      </c>
      <c r="H11" s="16">
        <v>0.71</v>
      </c>
      <c r="I11" s="20">
        <f>Submetering!J11+Submetering!I11+Submetering!H11</f>
        <v>35.22</v>
      </c>
      <c r="J11" s="16">
        <v>2.3196172978505634</v>
      </c>
      <c r="K11" s="20">
        <f>Submetering!K11</f>
        <v>100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5</v>
      </c>
      <c r="D12" s="9">
        <f>Submetering!D12</f>
        <v>2022</v>
      </c>
      <c r="E12" s="20">
        <f>Submetering!E12</f>
        <v>9409.43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88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5</v>
      </c>
      <c r="D13" s="9">
        <f>Submetering!D13</f>
        <v>2022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5</v>
      </c>
      <c r="D14" s="9">
        <f>Submetering!D14</f>
        <v>2022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5</v>
      </c>
      <c r="D15" s="9">
        <f>Submetering!D15</f>
        <v>2022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5</v>
      </c>
      <c r="D16" s="9">
        <f>Submetering!D16</f>
        <v>2022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5</v>
      </c>
      <c r="D17" s="9">
        <f>Submetering!D17</f>
        <v>2022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5</v>
      </c>
      <c r="D18" s="9">
        <f>Submetering!D18</f>
        <v>2022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5</v>
      </c>
      <c r="D19" s="9">
        <f>Submetering!D19</f>
        <v>2022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5</v>
      </c>
      <c r="D20" s="9">
        <f>Submetering!D20</f>
        <v>2022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5</v>
      </c>
      <c r="D21" s="9">
        <f>Submetering!D21</f>
        <v>2022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5</v>
      </c>
      <c r="D22" s="9">
        <f>Submetering!D22</f>
        <v>2022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5</v>
      </c>
      <c r="D23" s="9">
        <f>Submetering!D23</f>
        <v>2022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5</v>
      </c>
      <c r="D24" s="9">
        <f>Submetering!D24</f>
        <v>2022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5</v>
      </c>
      <c r="D25" s="9">
        <f>Submetering!D25</f>
        <v>2022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5</v>
      </c>
      <c r="D26" s="9">
        <f>Submetering!D26</f>
        <v>2022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5</v>
      </c>
      <c r="D27" s="9">
        <f>Submetering!D27</f>
        <v>2022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5</v>
      </c>
      <c r="D28" s="9">
        <f>Submetering!D28</f>
        <v>2022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5</v>
      </c>
      <c r="D29" s="9">
        <f>Submetering!D29</f>
        <v>2022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5</v>
      </c>
      <c r="D30" s="9">
        <f>Submetering!D30</f>
        <v>2022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5</v>
      </c>
      <c r="D31" s="9">
        <f>Submetering!D31</f>
        <v>2022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</sheetPr>
  <dimension ref="A1:Q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5</v>
      </c>
      <c r="D2" s="40">
        <v>2022</v>
      </c>
      <c r="E2" s="37">
        <v>7376.55</v>
      </c>
      <c r="F2" s="37">
        <v>311.72000000000003</v>
      </c>
      <c r="G2" s="37">
        <v>20.420000000000002</v>
      </c>
      <c r="H2" s="37">
        <v>1.87</v>
      </c>
      <c r="I2" s="37">
        <v>28</v>
      </c>
      <c r="J2" s="37">
        <v>45</v>
      </c>
      <c r="K2" s="6">
        <v>63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5</v>
      </c>
      <c r="D3" s="40">
        <f>D2</f>
        <v>2022</v>
      </c>
      <c r="E3" s="37">
        <v>7938.34</v>
      </c>
      <c r="F3" s="37">
        <v>242.14</v>
      </c>
      <c r="G3" s="37">
        <v>19.920000000000002</v>
      </c>
      <c r="H3" s="37">
        <v>5.86</v>
      </c>
      <c r="I3" s="37">
        <v>30</v>
      </c>
      <c r="J3" s="37">
        <v>52.5</v>
      </c>
      <c r="K3" s="6">
        <v>70</v>
      </c>
      <c r="P3" s="34"/>
      <c r="Q3" s="33"/>
    </row>
    <row r="4" spans="1:17" x14ac:dyDescent="0.25">
      <c r="A4" s="17" t="s">
        <v>32</v>
      </c>
      <c r="B4" s="6">
        <f t="shared" ref="B4:B31" si="0">B3+1</f>
        <v>3</v>
      </c>
      <c r="C4" s="6">
        <f t="shared" ref="C4:C31" si="1">C3</f>
        <v>5</v>
      </c>
      <c r="D4" s="40">
        <f t="shared" ref="D4:D31" si="2">D3</f>
        <v>2022</v>
      </c>
      <c r="E4" s="37">
        <v>7854.98</v>
      </c>
      <c r="F4" s="37">
        <v>255.09</v>
      </c>
      <c r="G4" s="37">
        <v>17.43</v>
      </c>
      <c r="H4" s="37">
        <v>6.07</v>
      </c>
      <c r="I4" s="37">
        <v>26</v>
      </c>
      <c r="J4" s="37">
        <v>51</v>
      </c>
      <c r="K4" s="6">
        <v>99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5</v>
      </c>
      <c r="D5" s="40">
        <f t="shared" si="2"/>
        <v>2022</v>
      </c>
      <c r="E5" s="37">
        <v>8412.23</v>
      </c>
      <c r="F5" s="37">
        <v>250.81</v>
      </c>
      <c r="G5" s="37">
        <v>24.4</v>
      </c>
      <c r="H5" s="37">
        <v>1.96</v>
      </c>
      <c r="I5" s="37">
        <v>28</v>
      </c>
      <c r="J5" s="37">
        <v>50</v>
      </c>
      <c r="K5" s="6">
        <v>99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5</v>
      </c>
      <c r="D6" s="40">
        <f t="shared" si="2"/>
        <v>2022</v>
      </c>
      <c r="E6" s="37">
        <v>8379.5300000000007</v>
      </c>
      <c r="F6" s="37">
        <v>293.58999999999997</v>
      </c>
      <c r="G6" s="37">
        <v>24.4</v>
      </c>
      <c r="H6" s="37">
        <v>2.0099999999999998</v>
      </c>
      <c r="I6" s="37">
        <v>31</v>
      </c>
      <c r="J6" s="37">
        <v>56.5</v>
      </c>
      <c r="K6" s="6">
        <v>106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5</v>
      </c>
      <c r="D7" s="40">
        <f t="shared" si="2"/>
        <v>2022</v>
      </c>
      <c r="E7" s="37">
        <v>8519.06</v>
      </c>
      <c r="F7" s="37">
        <v>361.02</v>
      </c>
      <c r="G7" s="37">
        <v>24.4</v>
      </c>
      <c r="H7" s="37">
        <v>1.86</v>
      </c>
      <c r="I7" s="37">
        <v>33.5</v>
      </c>
      <c r="J7" s="37">
        <v>63.5</v>
      </c>
      <c r="K7" s="6">
        <v>101</v>
      </c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5</v>
      </c>
      <c r="D8" s="40">
        <f t="shared" si="2"/>
        <v>2022</v>
      </c>
      <c r="E8" s="37">
        <v>8564.6299999999992</v>
      </c>
      <c r="F8" s="37">
        <v>223.42</v>
      </c>
      <c r="G8" s="37">
        <v>20.91</v>
      </c>
      <c r="H8" s="37">
        <v>2.59</v>
      </c>
      <c r="I8" s="37">
        <v>32.5</v>
      </c>
      <c r="J8" s="37">
        <v>63.5</v>
      </c>
      <c r="K8" s="6">
        <v>92</v>
      </c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5</v>
      </c>
      <c r="D9" s="40">
        <f t="shared" si="2"/>
        <v>2022</v>
      </c>
      <c r="E9" s="37">
        <v>8737.01</v>
      </c>
      <c r="F9" s="37">
        <v>261.17</v>
      </c>
      <c r="G9" s="37">
        <v>18.43</v>
      </c>
      <c r="H9" s="37">
        <v>2.4</v>
      </c>
      <c r="I9" s="37">
        <v>37</v>
      </c>
      <c r="J9" s="37">
        <v>19</v>
      </c>
      <c r="K9" s="6">
        <v>103</v>
      </c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5</v>
      </c>
      <c r="D10" s="40">
        <f t="shared" si="2"/>
        <v>2022</v>
      </c>
      <c r="E10" s="37">
        <v>8987.59</v>
      </c>
      <c r="F10" s="37">
        <v>268.19</v>
      </c>
      <c r="G10" s="37">
        <v>16.93</v>
      </c>
      <c r="H10" s="37">
        <v>1.81</v>
      </c>
      <c r="I10" s="37">
        <v>36</v>
      </c>
      <c r="J10" s="37"/>
      <c r="K10" s="6">
        <v>105</v>
      </c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5</v>
      </c>
      <c r="D11" s="40">
        <f t="shared" si="2"/>
        <v>2022</v>
      </c>
      <c r="E11" s="37">
        <v>9209.66</v>
      </c>
      <c r="F11" s="37">
        <v>296.08</v>
      </c>
      <c r="G11" s="37">
        <v>16.93</v>
      </c>
      <c r="H11" s="37">
        <v>2.2200000000000002</v>
      </c>
      <c r="I11" s="37">
        <v>33</v>
      </c>
      <c r="J11" s="37"/>
      <c r="K11" s="6">
        <v>100</v>
      </c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5</v>
      </c>
      <c r="D12" s="40">
        <f t="shared" si="2"/>
        <v>2022</v>
      </c>
      <c r="E12" s="37">
        <v>9409.43</v>
      </c>
      <c r="F12" s="37"/>
      <c r="G12" s="37"/>
      <c r="H12" s="37"/>
      <c r="I12" s="37"/>
      <c r="J12" s="37"/>
      <c r="K12" s="6">
        <v>88</v>
      </c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5</v>
      </c>
      <c r="D13" s="40">
        <f t="shared" si="2"/>
        <v>2022</v>
      </c>
      <c r="E13" s="37"/>
      <c r="F13" s="37"/>
      <c r="G13" s="37"/>
      <c r="H13" s="37"/>
      <c r="I13" s="37"/>
      <c r="J13" s="37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5</v>
      </c>
      <c r="D14" s="40">
        <f t="shared" si="2"/>
        <v>2022</v>
      </c>
      <c r="E14" s="37"/>
      <c r="F14" s="37"/>
      <c r="G14" s="37"/>
      <c r="H14" s="37"/>
      <c r="I14" s="37"/>
      <c r="J14" s="37"/>
    </row>
    <row r="15" spans="1:17" x14ac:dyDescent="0.25">
      <c r="A15" s="17" t="s">
        <v>32</v>
      </c>
      <c r="B15" s="6">
        <f t="shared" si="0"/>
        <v>14</v>
      </c>
      <c r="C15" s="6">
        <f t="shared" si="1"/>
        <v>5</v>
      </c>
      <c r="D15" s="40">
        <f t="shared" si="2"/>
        <v>2022</v>
      </c>
      <c r="E15" s="37"/>
      <c r="F15" s="37"/>
      <c r="G15" s="37"/>
      <c r="H15" s="37"/>
      <c r="I15" s="37"/>
      <c r="J15" s="37"/>
    </row>
    <row r="16" spans="1:17" x14ac:dyDescent="0.25">
      <c r="A16" s="17" t="s">
        <v>32</v>
      </c>
      <c r="B16" s="6">
        <f t="shared" si="0"/>
        <v>15</v>
      </c>
      <c r="C16" s="6">
        <f t="shared" si="1"/>
        <v>5</v>
      </c>
      <c r="D16" s="40">
        <f t="shared" si="2"/>
        <v>2022</v>
      </c>
      <c r="E16" s="37"/>
      <c r="F16" s="37"/>
      <c r="G16" s="37"/>
      <c r="H16" s="37"/>
      <c r="I16" s="37"/>
      <c r="J16" s="37"/>
    </row>
    <row r="17" spans="1:13" x14ac:dyDescent="0.25">
      <c r="A17" s="17" t="s">
        <v>32</v>
      </c>
      <c r="B17" s="6">
        <f t="shared" si="0"/>
        <v>16</v>
      </c>
      <c r="C17" s="6">
        <f t="shared" si="1"/>
        <v>5</v>
      </c>
      <c r="D17" s="40">
        <f t="shared" si="2"/>
        <v>2022</v>
      </c>
      <c r="E17" s="37"/>
      <c r="F17" s="37"/>
      <c r="G17" s="37"/>
      <c r="H17" s="37"/>
      <c r="I17" s="37"/>
      <c r="J17" s="37"/>
    </row>
    <row r="18" spans="1:13" x14ac:dyDescent="0.25">
      <c r="A18" s="17" t="s">
        <v>32</v>
      </c>
      <c r="B18" s="6">
        <f t="shared" si="0"/>
        <v>17</v>
      </c>
      <c r="C18" s="6">
        <f t="shared" si="1"/>
        <v>5</v>
      </c>
      <c r="D18" s="40">
        <f t="shared" si="2"/>
        <v>2022</v>
      </c>
      <c r="E18" s="37"/>
      <c r="F18" s="37"/>
      <c r="G18" s="37"/>
      <c r="H18" s="37"/>
      <c r="I18" s="37"/>
      <c r="J18" s="37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5</v>
      </c>
      <c r="D19" s="40">
        <f t="shared" si="2"/>
        <v>2022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5</v>
      </c>
      <c r="D20" s="40">
        <f t="shared" si="2"/>
        <v>2022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5</v>
      </c>
      <c r="D21" s="40">
        <f t="shared" si="2"/>
        <v>2022</v>
      </c>
      <c r="E21" s="37"/>
      <c r="F21" s="37"/>
      <c r="G21" s="37"/>
      <c r="H21" s="37"/>
      <c r="I21" s="37"/>
      <c r="J21" s="37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5</v>
      </c>
      <c r="D22" s="40">
        <f t="shared" si="2"/>
        <v>2022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5</v>
      </c>
      <c r="D23" s="40">
        <f t="shared" si="2"/>
        <v>2022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5</v>
      </c>
      <c r="D24" s="40">
        <f t="shared" si="2"/>
        <v>2022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5</v>
      </c>
      <c r="D25" s="40">
        <f t="shared" si="2"/>
        <v>2022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5</v>
      </c>
      <c r="D26" s="40">
        <f t="shared" si="2"/>
        <v>2022</v>
      </c>
      <c r="E26" s="37"/>
      <c r="F26" s="37"/>
      <c r="G26" s="37"/>
      <c r="H26" s="37"/>
      <c r="I26" s="37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5</v>
      </c>
      <c r="D27" s="6">
        <f t="shared" si="2"/>
        <v>2022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5</v>
      </c>
      <c r="D28" s="6">
        <f t="shared" si="2"/>
        <v>2022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5</v>
      </c>
      <c r="D29" s="6">
        <f t="shared" si="2"/>
        <v>2022</v>
      </c>
    </row>
    <row r="30" spans="1:13" x14ac:dyDescent="0.25">
      <c r="A30" s="17" t="s">
        <v>32</v>
      </c>
      <c r="B30" s="6">
        <f t="shared" si="0"/>
        <v>29</v>
      </c>
      <c r="C30" s="6">
        <f t="shared" si="1"/>
        <v>5</v>
      </c>
      <c r="D30" s="6">
        <f t="shared" si="2"/>
        <v>2022</v>
      </c>
    </row>
    <row r="31" spans="1:13" x14ac:dyDescent="0.25">
      <c r="A31" s="17" t="s">
        <v>32</v>
      </c>
      <c r="B31" s="6">
        <f t="shared" si="0"/>
        <v>30</v>
      </c>
      <c r="C31" s="6">
        <f t="shared" si="1"/>
        <v>5</v>
      </c>
      <c r="D31" s="6">
        <f t="shared" si="2"/>
        <v>2022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2"/>
      <c r="C1" s="1"/>
      <c r="D1" s="11"/>
      <c r="E1" s="1"/>
      <c r="F1" s="14"/>
      <c r="G1" s="1"/>
      <c r="H1" s="1"/>
      <c r="I1" s="43"/>
      <c r="J1" s="48"/>
      <c r="K1" s="49"/>
      <c r="L1" s="49"/>
      <c r="M1" s="49"/>
      <c r="N1" s="49"/>
      <c r="O1" s="49"/>
      <c r="P1" s="21"/>
      <c r="Q1" s="21"/>
    </row>
    <row r="2" spans="1:17" ht="35.25" customHeight="1" thickBot="1" x14ac:dyDescent="0.3">
      <c r="A2" s="19" t="s">
        <v>15</v>
      </c>
      <c r="B2" s="42"/>
      <c r="C2" s="52" t="s">
        <v>22</v>
      </c>
      <c r="D2" s="53"/>
      <c r="E2" s="46" t="s">
        <v>23</v>
      </c>
      <c r="F2" s="46"/>
      <c r="G2" s="46" t="s">
        <v>24</v>
      </c>
      <c r="H2" s="46"/>
      <c r="I2" s="44"/>
      <c r="J2" s="50" t="s">
        <v>27</v>
      </c>
      <c r="K2" s="51"/>
      <c r="L2" s="54" t="s">
        <v>28</v>
      </c>
      <c r="M2" s="54"/>
      <c r="N2" s="54" t="s">
        <v>29</v>
      </c>
      <c r="O2" s="54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47">
        <f>IF((C5-C4&lt;0), "",C5-C4)</f>
        <v>7975</v>
      </c>
      <c r="E4" s="18">
        <v>23837512</v>
      </c>
      <c r="F4" s="55">
        <f>IF((E5-E4&lt;0), "",E5-E4)</f>
        <v>5799</v>
      </c>
      <c r="G4" s="18">
        <v>9975816</v>
      </c>
      <c r="H4" s="47">
        <f>IF((G5-G4&lt;0), "",G5-G4)</f>
        <v>3477</v>
      </c>
      <c r="I4" s="44"/>
      <c r="J4" s="18"/>
      <c r="K4" s="47">
        <v>0</v>
      </c>
      <c r="L4" s="18"/>
      <c r="M4" s="47">
        <v>0</v>
      </c>
      <c r="N4" s="18">
        <v>75776</v>
      </c>
      <c r="O4" s="4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47"/>
      <c r="E5" s="18">
        <v>23843311</v>
      </c>
      <c r="F5" s="56"/>
      <c r="G5" s="18">
        <v>9979293</v>
      </c>
      <c r="H5" s="47"/>
      <c r="I5" s="44"/>
      <c r="J5" s="18">
        <v>0</v>
      </c>
      <c r="K5" s="47"/>
      <c r="L5" s="18">
        <v>0</v>
      </c>
      <c r="M5" s="47"/>
      <c r="N5" s="18">
        <v>75809</v>
      </c>
      <c r="O5" s="47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2022-05-12T12:18:42Z</dcterms:modified>
</cp:coreProperties>
</file>