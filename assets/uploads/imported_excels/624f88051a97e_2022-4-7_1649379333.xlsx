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7" i="1" l="1"/>
  <c r="AD10" i="1"/>
  <c r="AD11" i="1"/>
  <c r="AD12" i="1" s="1"/>
  <c r="AE8" i="1" l="1"/>
  <c r="Q7" i="2"/>
  <c r="Q8" i="2"/>
  <c r="M4" i="2" l="1"/>
  <c r="M5" i="2"/>
  <c r="M6" i="2"/>
  <c r="M7" i="2"/>
  <c r="M3" i="2"/>
  <c r="C4" i="2" l="1"/>
  <c r="F3" i="4" l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10" i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3" i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10" i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0" i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10" i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P10" i="2" l="1"/>
  <c r="Q9" i="2"/>
  <c r="M8" i="2"/>
  <c r="C5" i="2"/>
  <c r="U2" i="1"/>
  <c r="I3" i="11"/>
  <c r="P11" i="2" l="1"/>
  <c r="Q10" i="2"/>
  <c r="L10" i="2"/>
  <c r="M9" i="2"/>
  <c r="C6" i="2"/>
  <c r="P12" i="2" l="1"/>
  <c r="Q11" i="2"/>
  <c r="L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P13" i="2" l="1"/>
  <c r="Q12" i="2"/>
  <c r="L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P14" i="2" l="1"/>
  <c r="Q13" i="2"/>
  <c r="L13" i="2"/>
  <c r="M12" i="2"/>
  <c r="B10" i="2"/>
  <c r="C9" i="2"/>
  <c r="K16" i="11"/>
  <c r="N94" i="10"/>
  <c r="N93" i="10"/>
  <c r="M94" i="10"/>
  <c r="M93" i="10"/>
  <c r="P15" i="2" l="1"/>
  <c r="Q14" i="2"/>
  <c r="L14" i="2"/>
  <c r="M13" i="2"/>
  <c r="B11" i="2"/>
  <c r="C10" i="2"/>
  <c r="N9" i="10"/>
  <c r="P16" i="2" l="1"/>
  <c r="Q15" i="2"/>
  <c r="L15" i="2"/>
  <c r="M14" i="2"/>
  <c r="B12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P17" i="2" l="1"/>
  <c r="Q16" i="2"/>
  <c r="L16" i="2"/>
  <c r="M15" i="2"/>
  <c r="B13" i="2"/>
  <c r="C12" i="2"/>
  <c r="G64" i="10"/>
  <c r="AG31" i="1"/>
  <c r="AG32" i="1"/>
  <c r="AE31" i="1"/>
  <c r="AE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P18" i="2" l="1"/>
  <c r="Q17" i="2"/>
  <c r="L17" i="2"/>
  <c r="M16" i="2"/>
  <c r="I31" i="4"/>
  <c r="B14" i="2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P19" i="2" l="1"/>
  <c r="Q18" i="2"/>
  <c r="L18" i="2"/>
  <c r="M17" i="2"/>
  <c r="Y31" i="4"/>
  <c r="B15" i="2"/>
  <c r="C14" i="2"/>
  <c r="Y32" i="4"/>
  <c r="D17" i="4"/>
  <c r="P20" i="2" l="1"/>
  <c r="Q19" i="2"/>
  <c r="L19" i="2"/>
  <c r="M18" i="2"/>
  <c r="B16" i="2"/>
  <c r="C15" i="2"/>
  <c r="Q3" i="2"/>
  <c r="Q4" i="2"/>
  <c r="Q5" i="2"/>
  <c r="P21" i="2" l="1"/>
  <c r="Q20" i="2"/>
  <c r="L20" i="2"/>
  <c r="M19" i="2"/>
  <c r="B17" i="2"/>
  <c r="C16" i="2"/>
  <c r="Y31" i="8"/>
  <c r="Y30" i="8"/>
  <c r="AD31" i="8"/>
  <c r="AE31" i="8" s="1"/>
  <c r="AD30" i="8"/>
  <c r="AE30" i="8" s="1"/>
  <c r="P22" i="2" l="1"/>
  <c r="Q21" i="2"/>
  <c r="L21" i="2"/>
  <c r="M20" i="2"/>
  <c r="B18" i="2"/>
  <c r="C17" i="2"/>
  <c r="P23" i="2" l="1"/>
  <c r="Q22" i="2"/>
  <c r="L22" i="2"/>
  <c r="M21" i="2"/>
  <c r="B19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P24" i="2" l="1"/>
  <c r="Q23" i="2"/>
  <c r="L23" i="2"/>
  <c r="M22" i="2"/>
  <c r="B20" i="2"/>
  <c r="C19" i="2"/>
  <c r="AC33" i="1"/>
  <c r="AE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Z33" i="4" s="1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X33" i="4" l="1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<sst xmlns="http://schemas.openxmlformats.org/spreadsheetml/2006/main" count="440" uniqueCount="150">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</sst>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tabSelected="1"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9">
        <v>1.27</v>
      </c>
      <c r="G9" s="37">
        <f>Gas!C10*0.9147</f>
        <v>0</v>
      </c>
      <c r="H9" s="140">
        <v>3.65</v>
      </c>
      <c r="I9" s="142">
        <f>Submetering!H9+Submetering!AD9+Submetering!AE9</f>
        <v>-194</v>
      </c>
      <c r="J9" s="142">
        <v>10.029999999999999</v>
      </c>
      <c r="K9" s="37">
        <f>ELECT.!B10</f>
        <v>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9">
        <v>1.27</v>
      </c>
      <c r="G10" s="37">
        <f>Gas!C11*0.9147</f>
        <v>0</v>
      </c>
      <c r="H10" s="140">
        <v>3.65</v>
      </c>
      <c r="I10" s="142">
        <f>Submetering!H10+Submetering!AD10+Submetering!AE10</f>
        <v>-194</v>
      </c>
      <c r="J10" s="142">
        <v>10.029999999999999</v>
      </c>
      <c r="K10" s="37">
        <f>ELECT.!B11</f>
        <v>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9">
        <v>1.27</v>
      </c>
      <c r="G11" s="37">
        <f>Gas!C12*0.9147</f>
        <v>0</v>
      </c>
      <c r="H11" s="140">
        <v>3.65</v>
      </c>
      <c r="I11" s="142">
        <f>Submetering!H11+Submetering!AD11+Submetering!AE11</f>
        <v>-194</v>
      </c>
      <c r="J11" s="142">
        <v>10.029999999999999</v>
      </c>
      <c r="K11" s="37">
        <f>ELECT.!B12</f>
        <v>0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0</v>
      </c>
      <c r="F9" s="37">
        <f>Water!E10</f>
        <v>0</v>
      </c>
      <c r="G9" s="37">
        <f>Water!G10</f>
        <v>0</v>
      </c>
      <c r="H9" s="37">
        <f>Water!I10</f>
        <v>0</v>
      </c>
      <c r="I9" s="37">
        <f>ELECT.!F10</f>
        <v>0</v>
      </c>
      <c r="J9" s="37">
        <f>ELECT.!H10</f>
        <v>0</v>
      </c>
      <c r="K9" s="37">
        <f>ELECT.!K10</f>
        <v>0</v>
      </c>
      <c r="L9" s="37">
        <f>ELECT.!M10</f>
        <v>0</v>
      </c>
      <c r="M9" s="37">
        <f>ELECT.!O10</f>
        <v>0</v>
      </c>
      <c r="N9" s="37">
        <f>ELECT.!Q10</f>
        <v>0</v>
      </c>
      <c r="O9" s="37">
        <f>ELECT.!S10</f>
        <v>0</v>
      </c>
      <c r="P9" s="37">
        <f>ELECT.!W10*2</f>
        <v>0</v>
      </c>
      <c r="Q9" s="37">
        <f>ELECT.!D10</f>
        <v>0</v>
      </c>
      <c r="R9" s="38">
        <f>BTU!C10</f>
        <v>0</v>
      </c>
      <c r="S9" s="38">
        <f>BTU!F10</f>
        <v>0</v>
      </c>
      <c r="T9" s="38">
        <f>BTU!I10</f>
        <v>0</v>
      </c>
      <c r="U9" s="38">
        <f>BTU!O10</f>
        <v>0</v>
      </c>
      <c r="V9" s="38" t="str">
        <f>BTU!L10</f>
        <v>0</v>
      </c>
      <c r="W9" s="38">
        <f>BTU!R10</f>
        <v>0</v>
      </c>
      <c r="X9" s="35">
        <f>ELECT.!B10</f>
        <v>0</v>
      </c>
      <c r="Y9" s="3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5">
        <f t="shared" si="1"/>
        <v>-25.569199999999999</v>
      </c>
      <c r="AE9" s="35">
        <f t="shared" si="2"/>
        <v>-168.4308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0</v>
      </c>
      <c r="F10" s="37">
        <f>Water!E11</f>
        <v>0</v>
      </c>
      <c r="G10" s="37">
        <f>Water!G11</f>
        <v>0</v>
      </c>
      <c r="H10" s="37">
        <f>Water!I11</f>
        <v>0</v>
      </c>
      <c r="I10" s="37">
        <f>ELECT.!F11</f>
        <v>0</v>
      </c>
      <c r="J10" s="37">
        <f>ELECT.!H11</f>
        <v>0</v>
      </c>
      <c r="K10" s="37">
        <f>ELECT.!K11</f>
        <v>0</v>
      </c>
      <c r="L10" s="37">
        <f>ELECT.!M11</f>
        <v>0</v>
      </c>
      <c r="M10" s="37">
        <f>ELECT.!O11</f>
        <v>0</v>
      </c>
      <c r="N10" s="37">
        <f>ELECT.!Q11</f>
        <v>0</v>
      </c>
      <c r="O10" s="37">
        <f>ELECT.!S11</f>
        <v>0</v>
      </c>
      <c r="P10" s="37">
        <f>ELECT.!W11*2</f>
        <v>0</v>
      </c>
      <c r="Q10" s="37">
        <f>ELECT.!D11</f>
        <v>0</v>
      </c>
      <c r="R10" s="38">
        <f>BTU!C11</f>
        <v>0</v>
      </c>
      <c r="S10" s="38">
        <f>BTU!F11</f>
        <v>0</v>
      </c>
      <c r="T10" s="38">
        <f>BTU!I11</f>
        <v>0</v>
      </c>
      <c r="U10" s="38">
        <f>BTU!O11</f>
        <v>0</v>
      </c>
      <c r="V10" s="38">
        <f>BTU!L11</f>
        <v>0</v>
      </c>
      <c r="W10" s="38">
        <f>BTU!R11</f>
        <v>0</v>
      </c>
      <c r="X10" s="35">
        <f>ELECT.!B11</f>
        <v>0</v>
      </c>
      <c r="Y10" s="3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5">
        <f t="shared" si="1"/>
        <v>-25.569199999999999</v>
      </c>
      <c r="AE10" s="35">
        <f t="shared" si="2"/>
        <v>-168.4308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0</v>
      </c>
      <c r="F11" s="37">
        <f>Water!E12</f>
        <v>0</v>
      </c>
      <c r="G11" s="37">
        <f>Water!G12</f>
        <v>0</v>
      </c>
      <c r="H11" s="37">
        <f>Water!I12</f>
        <v>0</v>
      </c>
      <c r="I11" s="37">
        <f>ELECT.!F12</f>
        <v>0</v>
      </c>
      <c r="J11" s="37">
        <f>ELECT.!H12</f>
        <v>0</v>
      </c>
      <c r="K11" s="37">
        <f>ELECT.!K12</f>
        <v>0</v>
      </c>
      <c r="L11" s="37">
        <f>ELECT.!M12</f>
        <v>0</v>
      </c>
      <c r="M11" s="37">
        <f>ELECT.!O12</f>
        <v>0</v>
      </c>
      <c r="N11" s="37">
        <f>ELECT.!Q12</f>
        <v>0</v>
      </c>
      <c r="O11" s="37">
        <f>ELECT.!S12</f>
        <v>0</v>
      </c>
      <c r="P11" s="37">
        <f>ELECT.!W12*2</f>
        <v>0</v>
      </c>
      <c r="Q11" s="37">
        <f>ELECT.!D12</f>
        <v>0</v>
      </c>
      <c r="R11" s="38">
        <f>BTU!C12</f>
        <v>0</v>
      </c>
      <c r="S11" s="38">
        <f>BTU!F12</f>
        <v>0</v>
      </c>
      <c r="T11" s="38">
        <f>BTU!I12</f>
        <v>0</v>
      </c>
      <c r="U11" s="38">
        <f>BTU!O12</f>
        <v>0</v>
      </c>
      <c r="V11" s="38">
        <f>BTU!L12</f>
        <v>0</v>
      </c>
      <c r="W11" s="38">
        <f>BTU!R12</f>
        <v>0</v>
      </c>
      <c r="X11" s="35">
        <f>ELECT.!B12</f>
        <v>0</v>
      </c>
      <c r="Y11" s="3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5">
        <f t="shared" si="1"/>
        <v>-25.569199999999999</v>
      </c>
      <c r="AE11" s="35">
        <f t="shared" si="2"/>
        <v>-168.4308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>
        <f>ELECT.!F13</f>
        <v>0</v>
      </c>
      <c r="J12" s="37">
        <f>ELECT.!H13</f>
        <v>0</v>
      </c>
      <c r="K12" s="37">
        <f>ELECT.!K13</f>
        <v>0</v>
      </c>
      <c r="L12" s="37">
        <f>ELECT.!M13</f>
        <v>0</v>
      </c>
      <c r="M12" s="37">
        <f>ELECT.!O13</f>
        <v>0</v>
      </c>
      <c r="N12" s="37">
        <f>ELECT.!Q13</f>
        <v>0</v>
      </c>
      <c r="O12" s="37">
        <f>ELECT.!S13</f>
        <v>0</v>
      </c>
      <c r="P12" s="37">
        <f>ELECT.!W13*2</f>
        <v>0</v>
      </c>
      <c r="Q12" s="37">
        <f>ELECT.!D13</f>
        <v>0</v>
      </c>
      <c r="R12" s="38">
        <f>BTU!C13</f>
        <v>0</v>
      </c>
      <c r="S12" s="38">
        <f>BTU!F13</f>
        <v>0</v>
      </c>
      <c r="T12" s="38">
        <f>BTU!I13</f>
        <v>0</v>
      </c>
      <c r="U12" s="38">
        <f>BTU!O13</f>
        <v>0</v>
      </c>
      <c r="V12" s="38">
        <f>BTU!L13</f>
        <v>0</v>
      </c>
      <c r="W12" s="38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38">
        <f>BTU!C14</f>
        <v>0</v>
      </c>
      <c r="S13" s="38">
        <f>BTU!F14</f>
        <v>0</v>
      </c>
      <c r="T13" s="38">
        <f>BTU!I14</f>
        <v>0</v>
      </c>
      <c r="U13" s="38">
        <f>BTU!O14</f>
        <v>0</v>
      </c>
      <c r="V13" s="38">
        <f>BTU!L14</f>
        <v>0</v>
      </c>
      <c r="W13" s="38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38">
        <f>BTU!C15</f>
        <v>0</v>
      </c>
      <c r="S14" s="38">
        <f>BTU!F15</f>
        <v>0</v>
      </c>
      <c r="T14" s="38">
        <f>BTU!I15</f>
        <v>0</v>
      </c>
      <c r="U14" s="38">
        <f>BTU!O15</f>
        <v>0</v>
      </c>
      <c r="V14" s="38">
        <f>BTU!L15</f>
        <v>0</v>
      </c>
      <c r="W14" s="38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38">
        <f>BTU!C16</f>
        <v>0</v>
      </c>
      <c r="S15" s="38">
        <f>BTU!F16</f>
        <v>0</v>
      </c>
      <c r="T15" s="38">
        <f>BTU!I16</f>
        <v>0</v>
      </c>
      <c r="U15" s="38">
        <f>BTU!O16</f>
        <v>0</v>
      </c>
      <c r="V15" s="38">
        <f>BTU!L16</f>
        <v>0</v>
      </c>
      <c r="W15" s="38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38">
        <f>BTU!C17</f>
        <v>0</v>
      </c>
      <c r="S16" s="38">
        <f>BTU!F17</f>
        <v>0</v>
      </c>
      <c r="T16" s="38">
        <f>BTU!I17</f>
        <v>0</v>
      </c>
      <c r="U16" s="38">
        <f>BTU!O17</f>
        <v>0</v>
      </c>
      <c r="V16" s="38">
        <f>BTU!L17</f>
        <v>0</v>
      </c>
      <c r="W16" s="38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38">
        <f>BTU!C18</f>
        <v>0</v>
      </c>
      <c r="S17" s="38">
        <f>BTU!F18</f>
        <v>0</v>
      </c>
      <c r="T17" s="38">
        <f>BTU!I18</f>
        <v>0</v>
      </c>
      <c r="U17" s="38">
        <f>BTU!O18</f>
        <v>0</v>
      </c>
      <c r="V17" s="38">
        <f>BTU!L18</f>
        <v>0</v>
      </c>
      <c r="W17" s="38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38">
        <f>BTU!C19</f>
        <v>0</v>
      </c>
      <c r="S18" s="38">
        <f>BTU!F19</f>
        <v>0</v>
      </c>
      <c r="T18" s="38">
        <f>BTU!I19</f>
        <v>0</v>
      </c>
      <c r="U18" s="38">
        <f>BTU!O19</f>
        <v>0</v>
      </c>
      <c r="V18" s="38">
        <f>BTU!L19</f>
        <v>0</v>
      </c>
      <c r="W18" s="38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F26" sqref="F26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f t="shared" ref="B10:B32" si="10">B9</f>
        <v>46865</v>
      </c>
      <c r="C10" s="14">
        <f t="shared" si="1"/>
        <v>0</v>
      </c>
      <c r="D10" s="32">
        <f t="shared" ref="D10:D32" si="11">D9</f>
        <v>40468</v>
      </c>
      <c r="E10" s="14">
        <f t="shared" si="2"/>
        <v>0</v>
      </c>
      <c r="F10" s="32">
        <f t="shared" ref="F10:F32" si="12">F9</f>
        <v>21508</v>
      </c>
      <c r="G10" s="14">
        <f t="shared" si="3"/>
        <v>0</v>
      </c>
      <c r="H10" s="32">
        <f t="shared" ref="H10:H32" si="13">H9</f>
        <v>254492</v>
      </c>
      <c r="I10" s="14">
        <f t="shared" si="4"/>
        <v>0</v>
      </c>
      <c r="J10" s="32">
        <f t="shared" ref="J10:J32" si="14">J9</f>
        <v>308479</v>
      </c>
      <c r="K10" s="14">
        <f t="shared" si="5"/>
        <v>0</v>
      </c>
      <c r="L10" s="32">
        <f t="shared" ref="L10:L32" si="15">L9</f>
        <v>26015</v>
      </c>
      <c r="M10" s="14">
        <f t="shared" si="6"/>
        <v>0</v>
      </c>
      <c r="N10" s="32">
        <f t="shared" ref="N10:N32" si="16">N9</f>
        <v>225861</v>
      </c>
      <c r="O10" s="14">
        <f t="shared" si="7"/>
        <v>0</v>
      </c>
      <c r="P10" s="32">
        <f t="shared" ref="P10:P32" si="17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f t="shared" ref="T10:T32" si="18">T9</f>
        <v>3972</v>
      </c>
      <c r="U10" s="14">
        <f t="shared" si="9"/>
        <v>0</v>
      </c>
    </row>
    <row r="11" spans="1:24" ht="13.5" thickBot="1" x14ac:dyDescent="0.25">
      <c r="A11" s="9">
        <v>44660</v>
      </c>
      <c r="B11" s="32">
        <f t="shared" si="10"/>
        <v>46865</v>
      </c>
      <c r="C11" s="14">
        <f t="shared" si="1"/>
        <v>0</v>
      </c>
      <c r="D11" s="32">
        <f t="shared" si="11"/>
        <v>40468</v>
      </c>
      <c r="E11" s="14">
        <f t="shared" si="2"/>
        <v>0</v>
      </c>
      <c r="F11" s="32">
        <f t="shared" si="12"/>
        <v>21508</v>
      </c>
      <c r="G11" s="14">
        <f t="shared" si="3"/>
        <v>0</v>
      </c>
      <c r="H11" s="32">
        <f t="shared" si="13"/>
        <v>254492</v>
      </c>
      <c r="I11" s="14">
        <f t="shared" si="4"/>
        <v>0</v>
      </c>
      <c r="J11" s="32">
        <f t="shared" si="14"/>
        <v>308479</v>
      </c>
      <c r="K11" s="14">
        <f t="shared" si="5"/>
        <v>0</v>
      </c>
      <c r="L11" s="32">
        <f t="shared" si="15"/>
        <v>26015</v>
      </c>
      <c r="M11" s="14">
        <f t="shared" si="6"/>
        <v>0</v>
      </c>
      <c r="N11" s="32">
        <f t="shared" si="16"/>
        <v>225861</v>
      </c>
      <c r="O11" s="14">
        <f t="shared" si="7"/>
        <v>0</v>
      </c>
      <c r="P11" s="32">
        <f t="shared" si="17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f t="shared" si="18"/>
        <v>3972</v>
      </c>
      <c r="U11" s="14">
        <f t="shared" si="9"/>
        <v>0</v>
      </c>
    </row>
    <row r="12" spans="1:24" ht="13.5" thickBot="1" x14ac:dyDescent="0.25">
      <c r="A12" s="9">
        <v>44661</v>
      </c>
      <c r="B12" s="32">
        <f t="shared" si="10"/>
        <v>46865</v>
      </c>
      <c r="C12" s="14">
        <f t="shared" si="1"/>
        <v>0</v>
      </c>
      <c r="D12" s="32">
        <f t="shared" si="11"/>
        <v>40468</v>
      </c>
      <c r="E12" s="14">
        <f t="shared" si="2"/>
        <v>0</v>
      </c>
      <c r="F12" s="32">
        <f t="shared" si="12"/>
        <v>21508</v>
      </c>
      <c r="G12" s="14">
        <f t="shared" si="3"/>
        <v>0</v>
      </c>
      <c r="H12" s="32">
        <f t="shared" si="13"/>
        <v>254492</v>
      </c>
      <c r="I12" s="14">
        <f t="shared" si="4"/>
        <v>0</v>
      </c>
      <c r="J12" s="32">
        <f t="shared" si="14"/>
        <v>308479</v>
      </c>
      <c r="K12" s="14">
        <f t="shared" si="5"/>
        <v>0</v>
      </c>
      <c r="L12" s="32">
        <f t="shared" si="15"/>
        <v>26015</v>
      </c>
      <c r="M12" s="14">
        <f t="shared" si="6"/>
        <v>0</v>
      </c>
      <c r="N12" s="32">
        <f t="shared" si="16"/>
        <v>225861</v>
      </c>
      <c r="O12" s="14">
        <f t="shared" si="7"/>
        <v>0</v>
      </c>
      <c r="P12" s="32">
        <f t="shared" si="17"/>
        <v>147398</v>
      </c>
      <c r="Q12" s="14">
        <f t="shared" si="0"/>
        <v>0</v>
      </c>
      <c r="R12" s="1">
        <v>55047</v>
      </c>
      <c r="S12" s="14">
        <f t="shared" si="8"/>
        <v>0</v>
      </c>
      <c r="T12" s="32">
        <f t="shared" si="18"/>
        <v>3972</v>
      </c>
      <c r="U12" s="14">
        <f t="shared" si="9"/>
        <v>0</v>
      </c>
    </row>
    <row r="13" spans="1:24" ht="13.5" thickBot="1" x14ac:dyDescent="0.25">
      <c r="A13" s="9">
        <v>44662</v>
      </c>
      <c r="B13" s="32">
        <f t="shared" si="10"/>
        <v>46865</v>
      </c>
      <c r="C13" s="14">
        <f t="shared" si="1"/>
        <v>0</v>
      </c>
      <c r="D13" s="32">
        <f t="shared" si="11"/>
        <v>40468</v>
      </c>
      <c r="E13" s="14">
        <f t="shared" si="2"/>
        <v>0</v>
      </c>
      <c r="F13" s="32">
        <f t="shared" si="12"/>
        <v>21508</v>
      </c>
      <c r="G13" s="14">
        <f t="shared" si="3"/>
        <v>0</v>
      </c>
      <c r="H13" s="32">
        <f t="shared" si="13"/>
        <v>254492</v>
      </c>
      <c r="I13" s="14">
        <f t="shared" si="4"/>
        <v>0</v>
      </c>
      <c r="J13" s="32">
        <f t="shared" si="14"/>
        <v>308479</v>
      </c>
      <c r="K13" s="14">
        <f t="shared" si="5"/>
        <v>0</v>
      </c>
      <c r="L13" s="32">
        <f t="shared" si="15"/>
        <v>26015</v>
      </c>
      <c r="M13" s="14">
        <f t="shared" si="6"/>
        <v>0</v>
      </c>
      <c r="N13" s="32">
        <f t="shared" si="16"/>
        <v>225861</v>
      </c>
      <c r="O13" s="14">
        <f t="shared" si="7"/>
        <v>0</v>
      </c>
      <c r="P13" s="32">
        <f t="shared" si="17"/>
        <v>147398</v>
      </c>
      <c r="Q13" s="14">
        <f t="shared" si="0"/>
        <v>0</v>
      </c>
      <c r="R13" s="1">
        <v>55047</v>
      </c>
      <c r="S13" s="14">
        <f t="shared" si="8"/>
        <v>0</v>
      </c>
      <c r="T13" s="32">
        <f t="shared" si="18"/>
        <v>3972</v>
      </c>
      <c r="U13" s="14">
        <f t="shared" si="9"/>
        <v>0</v>
      </c>
    </row>
    <row r="14" spans="1:24" ht="13.5" thickBot="1" x14ac:dyDescent="0.25">
      <c r="A14" s="9">
        <v>44663</v>
      </c>
      <c r="B14" s="32">
        <f t="shared" si="10"/>
        <v>46865</v>
      </c>
      <c r="C14" s="14">
        <f t="shared" si="1"/>
        <v>0</v>
      </c>
      <c r="D14" s="32">
        <f t="shared" si="11"/>
        <v>40468</v>
      </c>
      <c r="E14" s="14">
        <f t="shared" si="2"/>
        <v>0</v>
      </c>
      <c r="F14" s="32">
        <f t="shared" si="12"/>
        <v>21508</v>
      </c>
      <c r="G14" s="14">
        <f t="shared" si="3"/>
        <v>0</v>
      </c>
      <c r="H14" s="32">
        <f t="shared" si="13"/>
        <v>254492</v>
      </c>
      <c r="I14" s="14">
        <f t="shared" si="4"/>
        <v>0</v>
      </c>
      <c r="J14" s="32">
        <f t="shared" si="14"/>
        <v>308479</v>
      </c>
      <c r="K14" s="14">
        <f t="shared" si="5"/>
        <v>0</v>
      </c>
      <c r="L14" s="32">
        <f t="shared" si="15"/>
        <v>26015</v>
      </c>
      <c r="M14" s="14">
        <f t="shared" si="6"/>
        <v>0</v>
      </c>
      <c r="N14" s="32">
        <f t="shared" si="16"/>
        <v>225861</v>
      </c>
      <c r="O14" s="14">
        <f t="shared" si="7"/>
        <v>0</v>
      </c>
      <c r="P14" s="32">
        <f t="shared" si="17"/>
        <v>147398</v>
      </c>
      <c r="Q14" s="14">
        <f t="shared" si="0"/>
        <v>0</v>
      </c>
      <c r="R14" s="1">
        <v>55047</v>
      </c>
      <c r="S14" s="14">
        <v>0</v>
      </c>
      <c r="T14" s="32">
        <f t="shared" si="18"/>
        <v>3972</v>
      </c>
      <c r="U14" s="14">
        <f t="shared" si="9"/>
        <v>0</v>
      </c>
    </row>
    <row r="15" spans="1:24" ht="13.5" thickBot="1" x14ac:dyDescent="0.25">
      <c r="A15" s="9">
        <v>44664</v>
      </c>
      <c r="B15" s="32">
        <f t="shared" si="10"/>
        <v>46865</v>
      </c>
      <c r="C15" s="14">
        <f t="shared" si="1"/>
        <v>0</v>
      </c>
      <c r="D15" s="32">
        <f t="shared" si="11"/>
        <v>40468</v>
      </c>
      <c r="E15" s="14">
        <f t="shared" si="2"/>
        <v>0</v>
      </c>
      <c r="F15" s="32">
        <f t="shared" si="12"/>
        <v>21508</v>
      </c>
      <c r="G15" s="14">
        <f t="shared" ref="G15" si="19">(F15-F14)*100/5</f>
        <v>0</v>
      </c>
      <c r="H15" s="32">
        <f t="shared" si="13"/>
        <v>254492</v>
      </c>
      <c r="I15" s="14">
        <f t="shared" ref="I15" si="20">(H15-H14)</f>
        <v>0</v>
      </c>
      <c r="J15" s="32">
        <f t="shared" si="14"/>
        <v>308479</v>
      </c>
      <c r="K15" s="14">
        <f t="shared" si="5"/>
        <v>0</v>
      </c>
      <c r="L15" s="32">
        <f t="shared" si="15"/>
        <v>26015</v>
      </c>
      <c r="M15" s="14">
        <f t="shared" si="6"/>
        <v>0</v>
      </c>
      <c r="N15" s="32">
        <f t="shared" si="16"/>
        <v>225861</v>
      </c>
      <c r="O15" s="14">
        <f t="shared" ref="O15" si="21">N15-N14</f>
        <v>0</v>
      </c>
      <c r="P15" s="32">
        <f t="shared" si="17"/>
        <v>147398</v>
      </c>
      <c r="Q15" s="14">
        <f t="shared" si="0"/>
        <v>0</v>
      </c>
      <c r="R15" s="1">
        <v>55047</v>
      </c>
      <c r="S15" s="14">
        <v>0</v>
      </c>
      <c r="T15" s="32">
        <f t="shared" si="18"/>
        <v>3972</v>
      </c>
      <c r="U15" s="14">
        <f t="shared" ref="U15" si="22">(T15-T14)*800/5</f>
        <v>0</v>
      </c>
      <c r="X15" t="s">
        <v>12</v>
      </c>
    </row>
    <row r="16" spans="1:24" ht="13.5" thickBot="1" x14ac:dyDescent="0.25">
      <c r="A16" s="9">
        <v>44665</v>
      </c>
      <c r="B16" s="32">
        <f t="shared" si="10"/>
        <v>46865</v>
      </c>
      <c r="C16" s="14">
        <f t="shared" si="1"/>
        <v>0</v>
      </c>
      <c r="D16" s="32">
        <f t="shared" si="11"/>
        <v>40468</v>
      </c>
      <c r="E16" s="14">
        <f t="shared" si="2"/>
        <v>0</v>
      </c>
      <c r="F16" s="32">
        <f t="shared" si="12"/>
        <v>21508</v>
      </c>
      <c r="G16" s="14">
        <f t="shared" si="3"/>
        <v>0</v>
      </c>
      <c r="H16" s="32">
        <f t="shared" si="13"/>
        <v>254492</v>
      </c>
      <c r="I16" s="14">
        <f t="shared" si="4"/>
        <v>0</v>
      </c>
      <c r="J16" s="32">
        <f t="shared" si="14"/>
        <v>308479</v>
      </c>
      <c r="K16" s="14">
        <f t="shared" si="5"/>
        <v>0</v>
      </c>
      <c r="L16" s="32">
        <f t="shared" si="15"/>
        <v>26015</v>
      </c>
      <c r="M16" s="14">
        <f t="shared" si="6"/>
        <v>0</v>
      </c>
      <c r="N16" s="32">
        <f t="shared" si="16"/>
        <v>225861</v>
      </c>
      <c r="O16" s="14">
        <f t="shared" si="7"/>
        <v>0</v>
      </c>
      <c r="P16" s="32">
        <f t="shared" si="17"/>
        <v>147398</v>
      </c>
      <c r="Q16" s="14">
        <f t="shared" si="0"/>
        <v>0</v>
      </c>
      <c r="R16" s="1">
        <v>55047</v>
      </c>
      <c r="S16" s="14">
        <f t="shared" si="8"/>
        <v>0</v>
      </c>
      <c r="T16" s="32">
        <f t="shared" si="18"/>
        <v>3972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f t="shared" si="10"/>
        <v>46865</v>
      </c>
      <c r="C17" s="14">
        <f t="shared" si="1"/>
        <v>0</v>
      </c>
      <c r="D17" s="32">
        <f t="shared" si="11"/>
        <v>40468</v>
      </c>
      <c r="E17" s="14">
        <f t="shared" si="2"/>
        <v>0</v>
      </c>
      <c r="F17" s="32">
        <f t="shared" si="12"/>
        <v>21508</v>
      </c>
      <c r="G17" s="14">
        <f t="shared" si="3"/>
        <v>0</v>
      </c>
      <c r="H17" s="32">
        <f t="shared" si="13"/>
        <v>254492</v>
      </c>
      <c r="I17" s="14">
        <f t="shared" si="4"/>
        <v>0</v>
      </c>
      <c r="J17" s="32">
        <f t="shared" si="14"/>
        <v>308479</v>
      </c>
      <c r="K17" s="14">
        <f t="shared" si="5"/>
        <v>0</v>
      </c>
      <c r="L17" s="32">
        <f t="shared" si="15"/>
        <v>26015</v>
      </c>
      <c r="M17" s="14">
        <f t="shared" si="6"/>
        <v>0</v>
      </c>
      <c r="N17" s="32">
        <f t="shared" si="16"/>
        <v>225861</v>
      </c>
      <c r="O17" s="14">
        <f t="shared" si="7"/>
        <v>0</v>
      </c>
      <c r="P17" s="32">
        <f t="shared" si="17"/>
        <v>147398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8"/>
        <v>3972</v>
      </c>
      <c r="U17" s="14">
        <f t="shared" si="9"/>
        <v>0</v>
      </c>
    </row>
    <row r="18" spans="1:23" ht="13.5" thickBot="1" x14ac:dyDescent="0.25">
      <c r="A18" s="9">
        <v>44667</v>
      </c>
      <c r="B18" s="32">
        <f t="shared" si="10"/>
        <v>46865</v>
      </c>
      <c r="C18" s="14">
        <f t="shared" si="1"/>
        <v>0</v>
      </c>
      <c r="D18" s="32">
        <f t="shared" si="11"/>
        <v>40468</v>
      </c>
      <c r="E18" s="14">
        <f t="shared" si="2"/>
        <v>0</v>
      </c>
      <c r="F18" s="32">
        <f t="shared" si="12"/>
        <v>21508</v>
      </c>
      <c r="G18" s="14">
        <f t="shared" si="3"/>
        <v>0</v>
      </c>
      <c r="H18" s="32">
        <f t="shared" si="13"/>
        <v>254492</v>
      </c>
      <c r="I18" s="14">
        <f t="shared" si="4"/>
        <v>0</v>
      </c>
      <c r="J18" s="32">
        <f t="shared" si="14"/>
        <v>308479</v>
      </c>
      <c r="K18" s="14">
        <f t="shared" si="5"/>
        <v>0</v>
      </c>
      <c r="L18" s="32">
        <f t="shared" si="15"/>
        <v>26015</v>
      </c>
      <c r="M18" s="14">
        <f t="shared" si="6"/>
        <v>0</v>
      </c>
      <c r="N18" s="32">
        <f t="shared" si="16"/>
        <v>225861</v>
      </c>
      <c r="O18" s="14">
        <f t="shared" si="7"/>
        <v>0</v>
      </c>
      <c r="P18" s="32">
        <f t="shared" si="17"/>
        <v>147398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8"/>
        <v>3972</v>
      </c>
      <c r="U18" s="14">
        <f t="shared" si="9"/>
        <v>0</v>
      </c>
    </row>
    <row r="19" spans="1:23" ht="13.5" thickBot="1" x14ac:dyDescent="0.25">
      <c r="A19" s="9">
        <v>44668</v>
      </c>
      <c r="B19" s="32">
        <f t="shared" si="10"/>
        <v>46865</v>
      </c>
      <c r="C19" s="14">
        <f t="shared" si="1"/>
        <v>0</v>
      </c>
      <c r="D19" s="32">
        <f t="shared" si="11"/>
        <v>40468</v>
      </c>
      <c r="E19" s="14">
        <f t="shared" si="2"/>
        <v>0</v>
      </c>
      <c r="F19" s="32">
        <f t="shared" si="12"/>
        <v>21508</v>
      </c>
      <c r="G19" s="14">
        <f t="shared" si="3"/>
        <v>0</v>
      </c>
      <c r="H19" s="32">
        <f t="shared" si="13"/>
        <v>254492</v>
      </c>
      <c r="I19" s="14">
        <f t="shared" si="4"/>
        <v>0</v>
      </c>
      <c r="J19" s="32">
        <f t="shared" si="14"/>
        <v>308479</v>
      </c>
      <c r="K19" s="14">
        <f t="shared" si="5"/>
        <v>0</v>
      </c>
      <c r="L19" s="32">
        <f t="shared" si="15"/>
        <v>26015</v>
      </c>
      <c r="M19" s="14">
        <f t="shared" si="6"/>
        <v>0</v>
      </c>
      <c r="N19" s="32">
        <f t="shared" si="16"/>
        <v>225861</v>
      </c>
      <c r="O19" s="14">
        <f t="shared" si="7"/>
        <v>0</v>
      </c>
      <c r="P19" s="32">
        <f t="shared" si="17"/>
        <v>147398</v>
      </c>
      <c r="Q19" s="14">
        <f t="shared" si="0"/>
        <v>0</v>
      </c>
      <c r="R19" s="1">
        <v>55047</v>
      </c>
      <c r="S19" s="14">
        <f t="shared" si="8"/>
        <v>0</v>
      </c>
      <c r="T19" s="32">
        <f t="shared" si="18"/>
        <v>3972</v>
      </c>
      <c r="U19" s="14">
        <f t="shared" si="9"/>
        <v>0</v>
      </c>
      <c r="W19" t="s">
        <v>12</v>
      </c>
    </row>
    <row r="20" spans="1:23" ht="13.5" thickBot="1" x14ac:dyDescent="0.25">
      <c r="A20" s="9">
        <v>44669</v>
      </c>
      <c r="B20" s="32">
        <f t="shared" si="10"/>
        <v>46865</v>
      </c>
      <c r="C20" s="14">
        <f t="shared" si="1"/>
        <v>0</v>
      </c>
      <c r="D20" s="32">
        <f t="shared" si="11"/>
        <v>40468</v>
      </c>
      <c r="E20" s="14">
        <f t="shared" si="2"/>
        <v>0</v>
      </c>
      <c r="F20" s="32">
        <f t="shared" si="12"/>
        <v>21508</v>
      </c>
      <c r="G20" s="14">
        <f t="shared" si="3"/>
        <v>0</v>
      </c>
      <c r="H20" s="32">
        <f t="shared" si="13"/>
        <v>254492</v>
      </c>
      <c r="I20" s="14">
        <f t="shared" si="4"/>
        <v>0</v>
      </c>
      <c r="J20" s="32">
        <f t="shared" si="14"/>
        <v>308479</v>
      </c>
      <c r="K20" s="14">
        <f t="shared" si="5"/>
        <v>0</v>
      </c>
      <c r="L20" s="32">
        <f t="shared" si="15"/>
        <v>26015</v>
      </c>
      <c r="M20" s="14">
        <f t="shared" si="6"/>
        <v>0</v>
      </c>
      <c r="N20" s="32">
        <f t="shared" si="16"/>
        <v>225861</v>
      </c>
      <c r="O20" s="14">
        <f t="shared" si="7"/>
        <v>0</v>
      </c>
      <c r="P20" s="32">
        <f t="shared" si="17"/>
        <v>147398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18"/>
        <v>3972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0"/>
        <v>46865</v>
      </c>
      <c r="C21" s="14">
        <f t="shared" si="1"/>
        <v>0</v>
      </c>
      <c r="D21" s="32">
        <f t="shared" si="11"/>
        <v>40468</v>
      </c>
      <c r="E21" s="14">
        <f t="shared" si="2"/>
        <v>0</v>
      </c>
      <c r="F21" s="32">
        <f t="shared" si="12"/>
        <v>21508</v>
      </c>
      <c r="G21" s="14">
        <f t="shared" si="3"/>
        <v>0</v>
      </c>
      <c r="H21" s="32">
        <f t="shared" si="13"/>
        <v>254492</v>
      </c>
      <c r="I21" s="14">
        <f t="shared" si="4"/>
        <v>0</v>
      </c>
      <c r="J21" s="32">
        <f t="shared" si="14"/>
        <v>308479</v>
      </c>
      <c r="K21" s="14">
        <f t="shared" si="5"/>
        <v>0</v>
      </c>
      <c r="L21" s="32">
        <f t="shared" si="15"/>
        <v>26015</v>
      </c>
      <c r="M21" s="14">
        <f t="shared" si="6"/>
        <v>0</v>
      </c>
      <c r="N21" s="32">
        <f t="shared" si="16"/>
        <v>225861</v>
      </c>
      <c r="O21" s="14">
        <f t="shared" si="7"/>
        <v>0</v>
      </c>
      <c r="P21" s="32">
        <f t="shared" si="17"/>
        <v>147398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8"/>
        <v>3972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0"/>
        <v>46865</v>
      </c>
      <c r="C22" s="14">
        <f t="shared" si="1"/>
        <v>0</v>
      </c>
      <c r="D22" s="32">
        <f t="shared" si="11"/>
        <v>40468</v>
      </c>
      <c r="E22" s="14">
        <f t="shared" si="2"/>
        <v>0</v>
      </c>
      <c r="F22" s="32">
        <f t="shared" si="12"/>
        <v>21508</v>
      </c>
      <c r="G22" s="14">
        <f t="shared" si="3"/>
        <v>0</v>
      </c>
      <c r="H22" s="32">
        <f t="shared" si="13"/>
        <v>254492</v>
      </c>
      <c r="I22" s="14">
        <f t="shared" si="4"/>
        <v>0</v>
      </c>
      <c r="J22" s="32">
        <f t="shared" si="14"/>
        <v>308479</v>
      </c>
      <c r="K22" s="14">
        <f t="shared" si="5"/>
        <v>0</v>
      </c>
      <c r="L22" s="32">
        <f t="shared" si="15"/>
        <v>26015</v>
      </c>
      <c r="M22" s="14">
        <f t="shared" si="6"/>
        <v>0</v>
      </c>
      <c r="N22" s="32">
        <f t="shared" si="16"/>
        <v>225861</v>
      </c>
      <c r="O22" s="14">
        <f t="shared" si="7"/>
        <v>0</v>
      </c>
      <c r="P22" s="32">
        <f t="shared" si="17"/>
        <v>147398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8"/>
        <v>3972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0"/>
        <v>46865</v>
      </c>
      <c r="C23" s="14">
        <f t="shared" si="1"/>
        <v>0</v>
      </c>
      <c r="D23" s="32">
        <f t="shared" si="11"/>
        <v>40468</v>
      </c>
      <c r="E23" s="14">
        <f t="shared" si="2"/>
        <v>0</v>
      </c>
      <c r="F23" s="32">
        <f t="shared" si="12"/>
        <v>21508</v>
      </c>
      <c r="G23" s="14">
        <f t="shared" si="3"/>
        <v>0</v>
      </c>
      <c r="H23" s="32">
        <f t="shared" si="13"/>
        <v>254492</v>
      </c>
      <c r="I23" s="14">
        <f t="shared" si="4"/>
        <v>0</v>
      </c>
      <c r="J23" s="32">
        <f t="shared" si="14"/>
        <v>308479</v>
      </c>
      <c r="K23" s="14">
        <f t="shared" si="5"/>
        <v>0</v>
      </c>
      <c r="L23" s="32">
        <f t="shared" si="15"/>
        <v>26015</v>
      </c>
      <c r="M23" s="14">
        <f t="shared" si="6"/>
        <v>0</v>
      </c>
      <c r="N23" s="32">
        <f t="shared" si="16"/>
        <v>225861</v>
      </c>
      <c r="O23" s="14">
        <f t="shared" si="7"/>
        <v>0</v>
      </c>
      <c r="P23" s="32">
        <f t="shared" si="17"/>
        <v>147398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8"/>
        <v>3972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0"/>
        <v>46865</v>
      </c>
      <c r="C24" s="14">
        <f t="shared" si="1"/>
        <v>0</v>
      </c>
      <c r="D24" s="32">
        <f t="shared" si="11"/>
        <v>40468</v>
      </c>
      <c r="E24" s="14">
        <f t="shared" si="2"/>
        <v>0</v>
      </c>
      <c r="F24" s="32">
        <f t="shared" si="12"/>
        <v>21508</v>
      </c>
      <c r="G24" s="14">
        <f t="shared" si="3"/>
        <v>0</v>
      </c>
      <c r="H24" s="32">
        <f t="shared" si="13"/>
        <v>254492</v>
      </c>
      <c r="I24" s="14">
        <f t="shared" si="4"/>
        <v>0</v>
      </c>
      <c r="J24" s="32">
        <f t="shared" si="14"/>
        <v>308479</v>
      </c>
      <c r="K24" s="14">
        <f t="shared" si="5"/>
        <v>0</v>
      </c>
      <c r="L24" s="32">
        <f t="shared" si="15"/>
        <v>26015</v>
      </c>
      <c r="M24" s="14">
        <f t="shared" si="6"/>
        <v>0</v>
      </c>
      <c r="N24" s="32">
        <f t="shared" si="16"/>
        <v>225861</v>
      </c>
      <c r="O24" s="14">
        <f t="shared" si="7"/>
        <v>0</v>
      </c>
      <c r="P24" s="32">
        <f t="shared" si="17"/>
        <v>147398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8"/>
        <v>3972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0"/>
        <v>46865</v>
      </c>
      <c r="C25" s="14">
        <f t="shared" si="1"/>
        <v>0</v>
      </c>
      <c r="D25" s="32">
        <f t="shared" si="11"/>
        <v>40468</v>
      </c>
      <c r="E25" s="14">
        <f t="shared" si="2"/>
        <v>0</v>
      </c>
      <c r="F25" s="32">
        <f t="shared" si="12"/>
        <v>21508</v>
      </c>
      <c r="G25" s="14">
        <f t="shared" si="3"/>
        <v>0</v>
      </c>
      <c r="H25" s="32">
        <f t="shared" si="13"/>
        <v>254492</v>
      </c>
      <c r="I25" s="14">
        <f t="shared" si="4"/>
        <v>0</v>
      </c>
      <c r="J25" s="32">
        <f t="shared" si="14"/>
        <v>308479</v>
      </c>
      <c r="K25" s="14">
        <f t="shared" si="5"/>
        <v>0</v>
      </c>
      <c r="L25" s="32">
        <f t="shared" si="15"/>
        <v>26015</v>
      </c>
      <c r="M25" s="14">
        <f t="shared" si="6"/>
        <v>0</v>
      </c>
      <c r="N25" s="32">
        <f t="shared" si="16"/>
        <v>225861</v>
      </c>
      <c r="O25" s="14">
        <f t="shared" si="7"/>
        <v>0</v>
      </c>
      <c r="P25" s="32">
        <f t="shared" si="17"/>
        <v>147398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8"/>
        <v>3972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0"/>
        <v>46865</v>
      </c>
      <c r="C26" s="14">
        <f t="shared" si="1"/>
        <v>0</v>
      </c>
      <c r="D26" s="32">
        <f t="shared" si="11"/>
        <v>40468</v>
      </c>
      <c r="E26" s="14">
        <f t="shared" si="2"/>
        <v>0</v>
      </c>
      <c r="F26" s="32">
        <f t="shared" si="12"/>
        <v>21508</v>
      </c>
      <c r="G26" s="14">
        <f t="shared" si="3"/>
        <v>0</v>
      </c>
      <c r="H26" s="32">
        <f t="shared" si="13"/>
        <v>254492</v>
      </c>
      <c r="I26" s="14">
        <f t="shared" si="4"/>
        <v>0</v>
      </c>
      <c r="J26" s="32">
        <f t="shared" si="14"/>
        <v>308479</v>
      </c>
      <c r="K26" s="14">
        <f t="shared" si="5"/>
        <v>0</v>
      </c>
      <c r="L26" s="32">
        <f t="shared" si="15"/>
        <v>26015</v>
      </c>
      <c r="M26" s="14">
        <f t="shared" si="6"/>
        <v>0</v>
      </c>
      <c r="N26" s="32">
        <f t="shared" si="16"/>
        <v>225861</v>
      </c>
      <c r="O26" s="14">
        <f t="shared" si="7"/>
        <v>0</v>
      </c>
      <c r="P26" s="32">
        <f t="shared" si="17"/>
        <v>147398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8"/>
        <v>3972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0"/>
        <v>46865</v>
      </c>
      <c r="C27" s="14">
        <f t="shared" si="1"/>
        <v>0</v>
      </c>
      <c r="D27" s="32">
        <f t="shared" si="11"/>
        <v>40468</v>
      </c>
      <c r="E27" s="14">
        <f t="shared" si="2"/>
        <v>0</v>
      </c>
      <c r="F27" s="32">
        <f t="shared" si="12"/>
        <v>21508</v>
      </c>
      <c r="G27" s="14">
        <f t="shared" si="3"/>
        <v>0</v>
      </c>
      <c r="H27" s="32">
        <f t="shared" si="13"/>
        <v>254492</v>
      </c>
      <c r="I27" s="14">
        <f t="shared" si="4"/>
        <v>0</v>
      </c>
      <c r="J27" s="32">
        <f t="shared" si="14"/>
        <v>308479</v>
      </c>
      <c r="K27" s="14">
        <f t="shared" si="5"/>
        <v>0</v>
      </c>
      <c r="L27" s="32">
        <f t="shared" si="15"/>
        <v>26015</v>
      </c>
      <c r="M27" s="14">
        <f t="shared" si="6"/>
        <v>0</v>
      </c>
      <c r="N27" s="32">
        <f t="shared" si="16"/>
        <v>225861</v>
      </c>
      <c r="O27" s="14">
        <f t="shared" si="7"/>
        <v>0</v>
      </c>
      <c r="P27" s="32">
        <f t="shared" si="17"/>
        <v>147398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8"/>
        <v>3972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0"/>
        <v>46865</v>
      </c>
      <c r="C28" s="14">
        <f t="shared" si="1"/>
        <v>0</v>
      </c>
      <c r="D28" s="32">
        <f t="shared" si="11"/>
        <v>40468</v>
      </c>
      <c r="E28" s="14">
        <f t="shared" si="2"/>
        <v>0</v>
      </c>
      <c r="F28" s="32">
        <f t="shared" si="12"/>
        <v>21508</v>
      </c>
      <c r="G28" s="14">
        <f t="shared" si="3"/>
        <v>0</v>
      </c>
      <c r="H28" s="32">
        <f t="shared" si="13"/>
        <v>254492</v>
      </c>
      <c r="I28" s="14">
        <f t="shared" si="4"/>
        <v>0</v>
      </c>
      <c r="J28" s="32">
        <f t="shared" si="14"/>
        <v>308479</v>
      </c>
      <c r="K28" s="14">
        <f t="shared" si="5"/>
        <v>0</v>
      </c>
      <c r="L28" s="32">
        <f t="shared" si="15"/>
        <v>26015</v>
      </c>
      <c r="M28" s="14">
        <f t="shared" si="6"/>
        <v>0</v>
      </c>
      <c r="N28" s="32">
        <f t="shared" si="16"/>
        <v>225861</v>
      </c>
      <c r="O28" s="14">
        <f t="shared" si="7"/>
        <v>0</v>
      </c>
      <c r="P28" s="32">
        <f t="shared" si="17"/>
        <v>147398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8"/>
        <v>3972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0"/>
        <v>46865</v>
      </c>
      <c r="C29" s="14">
        <f t="shared" si="1"/>
        <v>0</v>
      </c>
      <c r="D29" s="32">
        <f t="shared" si="11"/>
        <v>40468</v>
      </c>
      <c r="E29" s="14">
        <f t="shared" si="2"/>
        <v>0</v>
      </c>
      <c r="F29" s="32">
        <f t="shared" si="12"/>
        <v>21508</v>
      </c>
      <c r="G29" s="14">
        <f t="shared" si="3"/>
        <v>0</v>
      </c>
      <c r="H29" s="32">
        <f t="shared" si="13"/>
        <v>254492</v>
      </c>
      <c r="I29" s="14">
        <f t="shared" si="4"/>
        <v>0</v>
      </c>
      <c r="J29" s="32">
        <f t="shared" si="14"/>
        <v>308479</v>
      </c>
      <c r="K29" s="14">
        <f t="shared" si="5"/>
        <v>0</v>
      </c>
      <c r="L29" s="32">
        <f t="shared" si="15"/>
        <v>26015</v>
      </c>
      <c r="M29" s="14">
        <f t="shared" si="6"/>
        <v>0</v>
      </c>
      <c r="N29" s="32">
        <f t="shared" si="16"/>
        <v>225861</v>
      </c>
      <c r="O29" s="14">
        <f t="shared" si="7"/>
        <v>0</v>
      </c>
      <c r="P29" s="32">
        <f t="shared" si="17"/>
        <v>147398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8"/>
        <v>3972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0"/>
        <v>46865</v>
      </c>
      <c r="C30" s="14">
        <f t="shared" si="1"/>
        <v>0</v>
      </c>
      <c r="D30" s="32">
        <f t="shared" si="11"/>
        <v>40468</v>
      </c>
      <c r="E30" s="14">
        <f t="shared" si="2"/>
        <v>0</v>
      </c>
      <c r="F30" s="32">
        <f t="shared" si="12"/>
        <v>21508</v>
      </c>
      <c r="G30" s="14">
        <f t="shared" si="3"/>
        <v>0</v>
      </c>
      <c r="H30" s="32">
        <f t="shared" si="13"/>
        <v>254492</v>
      </c>
      <c r="I30" s="14">
        <f t="shared" si="4"/>
        <v>0</v>
      </c>
      <c r="J30" s="32">
        <f t="shared" si="14"/>
        <v>308479</v>
      </c>
      <c r="K30" s="14">
        <f t="shared" si="5"/>
        <v>0</v>
      </c>
      <c r="L30" s="32">
        <f t="shared" si="15"/>
        <v>26015</v>
      </c>
      <c r="M30" s="14">
        <f t="shared" si="6"/>
        <v>0</v>
      </c>
      <c r="N30" s="32">
        <f t="shared" si="16"/>
        <v>225861</v>
      </c>
      <c r="O30" s="14">
        <f t="shared" si="7"/>
        <v>0</v>
      </c>
      <c r="P30" s="32">
        <f t="shared" si="17"/>
        <v>147398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8"/>
        <v>3972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0"/>
        <v>46865</v>
      </c>
      <c r="C31" s="14">
        <f t="shared" si="1"/>
        <v>0</v>
      </c>
      <c r="D31" s="32">
        <f t="shared" si="11"/>
        <v>40468</v>
      </c>
      <c r="E31" s="14">
        <f t="shared" si="2"/>
        <v>0</v>
      </c>
      <c r="F31" s="32">
        <f t="shared" si="12"/>
        <v>21508</v>
      </c>
      <c r="G31" s="14">
        <f t="shared" si="3"/>
        <v>0</v>
      </c>
      <c r="H31" s="32">
        <f t="shared" si="13"/>
        <v>254492</v>
      </c>
      <c r="I31" s="14">
        <f t="shared" si="4"/>
        <v>0</v>
      </c>
      <c r="J31" s="32">
        <f t="shared" si="14"/>
        <v>308479</v>
      </c>
      <c r="K31" s="14">
        <f t="shared" si="5"/>
        <v>0</v>
      </c>
      <c r="L31" s="32">
        <f t="shared" si="15"/>
        <v>26015</v>
      </c>
      <c r="M31" s="14">
        <f t="shared" si="6"/>
        <v>0</v>
      </c>
      <c r="N31" s="32">
        <f t="shared" si="16"/>
        <v>225861</v>
      </c>
      <c r="O31" s="14">
        <f t="shared" si="7"/>
        <v>0</v>
      </c>
      <c r="P31" s="32">
        <f t="shared" si="17"/>
        <v>147398</v>
      </c>
      <c r="Q31" s="14">
        <f t="shared" si="0"/>
        <v>0</v>
      </c>
      <c r="R31" s="1">
        <v>55047</v>
      </c>
      <c r="S31" s="14">
        <v>0</v>
      </c>
      <c r="T31" s="32">
        <f t="shared" si="18"/>
        <v>3972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0"/>
        <v>46865</v>
      </c>
      <c r="C32" s="14">
        <f t="shared" si="1"/>
        <v>0</v>
      </c>
      <c r="D32" s="32">
        <f t="shared" si="11"/>
        <v>40468</v>
      </c>
      <c r="E32" s="14">
        <f t="shared" si="2"/>
        <v>0</v>
      </c>
      <c r="F32" s="32">
        <f t="shared" si="12"/>
        <v>21508</v>
      </c>
      <c r="G32" s="14">
        <f t="shared" si="3"/>
        <v>0</v>
      </c>
      <c r="H32" s="32">
        <f t="shared" si="13"/>
        <v>254492</v>
      </c>
      <c r="I32" s="14">
        <f t="shared" si="4"/>
        <v>0</v>
      </c>
      <c r="J32" s="32">
        <f t="shared" si="14"/>
        <v>308479</v>
      </c>
      <c r="K32" s="14">
        <f t="shared" si="5"/>
        <v>0</v>
      </c>
      <c r="L32" s="32">
        <f t="shared" si="15"/>
        <v>26015</v>
      </c>
      <c r="M32" s="14">
        <f t="shared" si="6"/>
        <v>0</v>
      </c>
      <c r="N32" s="32">
        <f t="shared" si="16"/>
        <v>225861</v>
      </c>
      <c r="O32" s="14">
        <f t="shared" si="7"/>
        <v>0</v>
      </c>
      <c r="P32" s="32">
        <f t="shared" si="17"/>
        <v>147398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8"/>
        <v>3972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10" sqref="B10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/>
      <c r="C10" s="145">
        <f t="shared" ref="C10:C32" si="17">C9</f>
        <v>19482</v>
      </c>
      <c r="D10" s="39">
        <f t="shared" si="3"/>
        <v>0</v>
      </c>
      <c r="E10" s="146">
        <f t="shared" ref="E10:E32" si="18">E9</f>
        <v>30439978</v>
      </c>
      <c r="F10" s="39">
        <f t="shared" si="4"/>
        <v>0</v>
      </c>
      <c r="G10" s="147">
        <f t="shared" ref="G10:G32" si="19">G9</f>
        <v>97111874</v>
      </c>
      <c r="H10" s="39">
        <f t="shared" si="5"/>
        <v>0</v>
      </c>
      <c r="I10" s="148">
        <f t="shared" si="6"/>
        <v>0</v>
      </c>
      <c r="J10" s="146">
        <f t="shared" ref="J10:J32" si="20">J9</f>
        <v>9684263</v>
      </c>
      <c r="K10" s="39">
        <f t="shared" si="14"/>
        <v>0</v>
      </c>
      <c r="L10" s="149">
        <f t="shared" ref="L10:L32" si="21">L9</f>
        <v>9760824</v>
      </c>
      <c r="M10" s="39">
        <f t="shared" si="7"/>
        <v>0</v>
      </c>
      <c r="N10" s="146">
        <f t="shared" ref="N10:N32" si="22">N9</f>
        <v>6489500</v>
      </c>
      <c r="O10" s="39">
        <f t="shared" si="15"/>
        <v>0</v>
      </c>
      <c r="P10" s="149">
        <f t="shared" ref="P10:P32" si="23">P9</f>
        <v>6069424</v>
      </c>
      <c r="Q10" s="39">
        <f t="shared" si="8"/>
        <v>0</v>
      </c>
      <c r="R10" s="146">
        <f t="shared" ref="R10:R32" si="24">R9</f>
        <v>20677039</v>
      </c>
      <c r="S10" s="39">
        <f t="shared" si="9"/>
        <v>0</v>
      </c>
      <c r="T10" s="146">
        <v>0</v>
      </c>
      <c r="U10" s="150"/>
      <c r="V10" s="146">
        <f t="shared" ref="V10:V32" si="25">V9</f>
        <v>8599102</v>
      </c>
      <c r="W10" s="39">
        <f t="shared" si="10"/>
        <v>0</v>
      </c>
      <c r="X10" s="19">
        <f t="shared" si="11"/>
        <v>0</v>
      </c>
      <c r="Y10" s="151">
        <f t="shared" si="12"/>
        <v>0</v>
      </c>
      <c r="Z10" s="3">
        <f t="shared" si="13"/>
        <v>0</v>
      </c>
      <c r="AA10" s="3">
        <f t="shared" si="16"/>
        <v>19692.117785599999</v>
      </c>
    </row>
    <row r="11" spans="1:27" ht="15.75" customHeight="1" thickBot="1" x14ac:dyDescent="0.3">
      <c r="A11" s="9">
        <v>44660</v>
      </c>
      <c r="B11" s="39"/>
      <c r="C11" s="145">
        <f t="shared" si="17"/>
        <v>19482</v>
      </c>
      <c r="D11" s="39">
        <f t="shared" si="3"/>
        <v>0</v>
      </c>
      <c r="E11" s="146">
        <f t="shared" si="18"/>
        <v>30439978</v>
      </c>
      <c r="F11" s="39">
        <f t="shared" si="4"/>
        <v>0</v>
      </c>
      <c r="G11" s="147">
        <f t="shared" si="19"/>
        <v>97111874</v>
      </c>
      <c r="H11" s="39">
        <f t="shared" si="5"/>
        <v>0</v>
      </c>
      <c r="I11" s="148">
        <f t="shared" si="6"/>
        <v>0</v>
      </c>
      <c r="J11" s="146">
        <f t="shared" si="20"/>
        <v>9684263</v>
      </c>
      <c r="K11" s="39">
        <f t="shared" si="14"/>
        <v>0</v>
      </c>
      <c r="L11" s="149">
        <f t="shared" si="21"/>
        <v>9760824</v>
      </c>
      <c r="M11" s="39">
        <f t="shared" si="7"/>
        <v>0</v>
      </c>
      <c r="N11" s="146">
        <f t="shared" si="22"/>
        <v>6489500</v>
      </c>
      <c r="O11" s="39">
        <f t="shared" si="15"/>
        <v>0</v>
      </c>
      <c r="P11" s="149">
        <f t="shared" si="23"/>
        <v>6069424</v>
      </c>
      <c r="Q11" s="39">
        <f t="shared" si="8"/>
        <v>0</v>
      </c>
      <c r="R11" s="146">
        <f t="shared" si="24"/>
        <v>20677039</v>
      </c>
      <c r="S11" s="39">
        <f t="shared" si="9"/>
        <v>0</v>
      </c>
      <c r="T11" s="146">
        <v>0</v>
      </c>
      <c r="U11" s="150"/>
      <c r="V11" s="146">
        <f t="shared" si="25"/>
        <v>8599102</v>
      </c>
      <c r="W11" s="39">
        <f t="shared" si="10"/>
        <v>0</v>
      </c>
      <c r="X11" s="19">
        <f t="shared" si="11"/>
        <v>0</v>
      </c>
      <c r="Y11" s="151">
        <f t="shared" si="12"/>
        <v>0</v>
      </c>
      <c r="Z11" s="3">
        <f t="shared" si="13"/>
        <v>0</v>
      </c>
      <c r="AA11" s="3">
        <f t="shared" si="16"/>
        <v>13012.773196800001</v>
      </c>
    </row>
    <row r="12" spans="1:27" ht="16.5" thickBot="1" x14ac:dyDescent="0.3">
      <c r="A12" s="9">
        <v>44661</v>
      </c>
      <c r="B12" s="39"/>
      <c r="C12" s="145">
        <f t="shared" si="17"/>
        <v>19482</v>
      </c>
      <c r="D12" s="39">
        <f t="shared" si="3"/>
        <v>0</v>
      </c>
      <c r="E12" s="146">
        <f t="shared" si="18"/>
        <v>30439978</v>
      </c>
      <c r="F12" s="39">
        <f t="shared" si="4"/>
        <v>0</v>
      </c>
      <c r="G12" s="147">
        <f t="shared" si="19"/>
        <v>97111874</v>
      </c>
      <c r="H12" s="39">
        <f t="shared" si="5"/>
        <v>0</v>
      </c>
      <c r="I12" s="148">
        <f t="shared" si="6"/>
        <v>0</v>
      </c>
      <c r="J12" s="146">
        <f t="shared" si="20"/>
        <v>9684263</v>
      </c>
      <c r="K12" s="39">
        <f t="shared" si="14"/>
        <v>0</v>
      </c>
      <c r="L12" s="149">
        <f t="shared" si="21"/>
        <v>9760824</v>
      </c>
      <c r="M12" s="39">
        <f t="shared" si="7"/>
        <v>0</v>
      </c>
      <c r="N12" s="146">
        <f t="shared" si="22"/>
        <v>6489500</v>
      </c>
      <c r="O12" s="39">
        <f t="shared" si="15"/>
        <v>0</v>
      </c>
      <c r="P12" s="149">
        <f t="shared" si="23"/>
        <v>6069424</v>
      </c>
      <c r="Q12" s="39">
        <f t="shared" si="8"/>
        <v>0</v>
      </c>
      <c r="R12" s="146">
        <f t="shared" si="24"/>
        <v>20677039</v>
      </c>
      <c r="S12" s="39">
        <f t="shared" si="9"/>
        <v>0</v>
      </c>
      <c r="T12" s="146">
        <v>0</v>
      </c>
      <c r="U12" s="150"/>
      <c r="V12" s="146">
        <f t="shared" si="25"/>
        <v>8599102</v>
      </c>
      <c r="W12" s="39">
        <f t="shared" si="10"/>
        <v>0</v>
      </c>
      <c r="X12" s="19">
        <f t="shared" si="11"/>
        <v>0</v>
      </c>
      <c r="Y12" s="151">
        <f t="shared" si="12"/>
        <v>0</v>
      </c>
      <c r="Z12" s="3">
        <f t="shared" si="13"/>
        <v>0</v>
      </c>
      <c r="AA12" s="3">
        <f t="shared" si="16"/>
        <v>6116.0354735999999</v>
      </c>
    </row>
    <row r="13" spans="1:27" ht="16.5" thickBot="1" x14ac:dyDescent="0.3">
      <c r="A13" s="9">
        <v>44662</v>
      </c>
      <c r="B13" s="39"/>
      <c r="C13" s="145">
        <f t="shared" si="17"/>
        <v>19482</v>
      </c>
      <c r="D13" s="39">
        <f t="shared" ref="D13" si="26">IF((C13-C12)&lt;0,"0",(C13-C12))*160</f>
        <v>0</v>
      </c>
      <c r="E13" s="146">
        <f t="shared" si="18"/>
        <v>30439978</v>
      </c>
      <c r="F13" s="39">
        <f t="shared" ref="F13" si="27">IF((E13-E12)&lt;0,"0",(E13-E12))</f>
        <v>0</v>
      </c>
      <c r="G13" s="147">
        <f t="shared" si="19"/>
        <v>97111874</v>
      </c>
      <c r="H13" s="39">
        <f t="shared" ref="H13" si="28">IF((G13-G12)&lt;0,"0",(G13-G12))</f>
        <v>0</v>
      </c>
      <c r="I13" s="148">
        <f t="shared" ref="I13" si="29">F13+H13</f>
        <v>0</v>
      </c>
      <c r="J13" s="146">
        <f t="shared" si="20"/>
        <v>9684263</v>
      </c>
      <c r="K13" s="39">
        <f t="shared" ref="K13" si="30">(IF((J13-J12)&lt;0,"0",(J13-J12)))*2</f>
        <v>0</v>
      </c>
      <c r="L13" s="149">
        <f t="shared" si="21"/>
        <v>9760824</v>
      </c>
      <c r="M13" s="39">
        <f t="shared" ref="M13" si="31">IF((L13-L12)&lt;0,"0",(L13-L12))</f>
        <v>0</v>
      </c>
      <c r="N13" s="146">
        <f t="shared" si="22"/>
        <v>6489500</v>
      </c>
      <c r="O13" s="39">
        <f t="shared" ref="O13" si="32">(IF((N13-N12)&lt;0,"0",(N13-N12)))*2</f>
        <v>0</v>
      </c>
      <c r="P13" s="149">
        <f t="shared" si="23"/>
        <v>6069424</v>
      </c>
      <c r="Q13" s="39">
        <f t="shared" ref="Q13" si="33">IF((P13-P12)&lt;0,"0",(P13-P12))</f>
        <v>0</v>
      </c>
      <c r="R13" s="146">
        <f t="shared" si="24"/>
        <v>20677039</v>
      </c>
      <c r="S13" s="39">
        <f t="shared" ref="S13" si="34">IF((R13-R12)&lt;0,"0",(R13-R12))</f>
        <v>0</v>
      </c>
      <c r="T13" s="146">
        <v>0</v>
      </c>
      <c r="U13" s="150"/>
      <c r="V13" s="146">
        <f t="shared" si="25"/>
        <v>8599102</v>
      </c>
      <c r="W13" s="39">
        <f t="shared" ref="W13" si="35">IF((V13-V12)&lt;0,"0",(V13-V12))</f>
        <v>0</v>
      </c>
      <c r="X13" s="19">
        <f t="shared" ref="X13" si="36">K13+M13+O13+Q13+S13+U13+W13</f>
        <v>0</v>
      </c>
      <c r="Y13" s="151">
        <f t="shared" ref="Y13" si="37">I13-X13</f>
        <v>0</v>
      </c>
      <c r="Z13" s="3">
        <f t="shared" ref="Z13" si="38">(0.93352*(W13+S13)+0.5568*(Q13+O13))*0.26</f>
        <v>0</v>
      </c>
      <c r="AA13" s="3">
        <f t="shared" si="16"/>
        <v>0</v>
      </c>
    </row>
    <row r="14" spans="1:27" ht="16.5" thickBot="1" x14ac:dyDescent="0.3">
      <c r="A14" s="9">
        <v>44663</v>
      </c>
      <c r="B14" s="39"/>
      <c r="C14" s="145">
        <f t="shared" si="17"/>
        <v>19482</v>
      </c>
      <c r="D14" s="39">
        <f t="shared" si="3"/>
        <v>0</v>
      </c>
      <c r="E14" s="146">
        <f t="shared" si="18"/>
        <v>30439978</v>
      </c>
      <c r="F14" s="39">
        <f t="shared" si="4"/>
        <v>0</v>
      </c>
      <c r="G14" s="147">
        <f t="shared" si="19"/>
        <v>97111874</v>
      </c>
      <c r="H14" s="39">
        <f t="shared" si="5"/>
        <v>0</v>
      </c>
      <c r="I14" s="148">
        <f t="shared" si="6"/>
        <v>0</v>
      </c>
      <c r="J14" s="146">
        <f t="shared" si="20"/>
        <v>9684263</v>
      </c>
      <c r="K14" s="39">
        <f t="shared" si="14"/>
        <v>0</v>
      </c>
      <c r="L14" s="149">
        <f t="shared" si="21"/>
        <v>9760824</v>
      </c>
      <c r="M14" s="39">
        <f t="shared" si="7"/>
        <v>0</v>
      </c>
      <c r="N14" s="146">
        <f t="shared" si="22"/>
        <v>6489500</v>
      </c>
      <c r="O14" s="39">
        <f t="shared" si="15"/>
        <v>0</v>
      </c>
      <c r="P14" s="149">
        <f t="shared" si="23"/>
        <v>6069424</v>
      </c>
      <c r="Q14" s="39">
        <f t="shared" si="8"/>
        <v>0</v>
      </c>
      <c r="R14" s="146">
        <f t="shared" si="24"/>
        <v>20677039</v>
      </c>
      <c r="S14" s="39">
        <f>IF((R14-R13)&lt;0,"0",(R14-R13))</f>
        <v>0</v>
      </c>
      <c r="T14" s="146">
        <v>0</v>
      </c>
      <c r="U14" s="150"/>
      <c r="V14" s="146">
        <f t="shared" si="25"/>
        <v>8599102</v>
      </c>
      <c r="W14" s="39">
        <f t="shared" si="10"/>
        <v>0</v>
      </c>
      <c r="X14" s="19">
        <f t="shared" si="11"/>
        <v>0</v>
      </c>
      <c r="Y14" s="151">
        <f t="shared" si="12"/>
        <v>0</v>
      </c>
      <c r="Z14" s="3">
        <f t="shared" si="13"/>
        <v>0</v>
      </c>
      <c r="AA14" s="3">
        <f t="shared" si="16"/>
        <v>0</v>
      </c>
    </row>
    <row r="15" spans="1:27" ht="16.5" thickBot="1" x14ac:dyDescent="0.3">
      <c r="A15" s="9">
        <v>44664</v>
      </c>
      <c r="B15" s="39"/>
      <c r="C15" s="145">
        <f t="shared" si="17"/>
        <v>19482</v>
      </c>
      <c r="D15" s="39">
        <f t="shared" si="3"/>
        <v>0</v>
      </c>
      <c r="E15" s="146">
        <f t="shared" si="18"/>
        <v>30439978</v>
      </c>
      <c r="F15" s="39">
        <f t="shared" si="4"/>
        <v>0</v>
      </c>
      <c r="G15" s="147">
        <f t="shared" si="19"/>
        <v>97111874</v>
      </c>
      <c r="H15" s="39">
        <f t="shared" si="5"/>
        <v>0</v>
      </c>
      <c r="I15" s="148">
        <f t="shared" si="6"/>
        <v>0</v>
      </c>
      <c r="J15" s="146">
        <f t="shared" si="20"/>
        <v>9684263</v>
      </c>
      <c r="K15" s="39">
        <f t="shared" si="14"/>
        <v>0</v>
      </c>
      <c r="L15" s="149">
        <f t="shared" si="21"/>
        <v>9760824</v>
      </c>
      <c r="M15" s="39">
        <f t="shared" si="7"/>
        <v>0</v>
      </c>
      <c r="N15" s="146">
        <f t="shared" si="22"/>
        <v>6489500</v>
      </c>
      <c r="O15" s="39">
        <f t="shared" si="15"/>
        <v>0</v>
      </c>
      <c r="P15" s="149">
        <f t="shared" si="23"/>
        <v>6069424</v>
      </c>
      <c r="Q15" s="39">
        <f t="shared" si="8"/>
        <v>0</v>
      </c>
      <c r="R15" s="146">
        <f t="shared" si="24"/>
        <v>20677039</v>
      </c>
      <c r="S15" s="39">
        <f>IF((R15-R14)&lt;0,"0",(R15-R14))</f>
        <v>0</v>
      </c>
      <c r="T15" s="146">
        <v>0</v>
      </c>
      <c r="U15" s="150"/>
      <c r="V15" s="146">
        <f t="shared" si="25"/>
        <v>8599102</v>
      </c>
      <c r="W15" s="39">
        <f t="shared" si="10"/>
        <v>0</v>
      </c>
      <c r="X15" s="19">
        <f t="shared" si="11"/>
        <v>0</v>
      </c>
      <c r="Y15" s="151">
        <f t="shared" si="12"/>
        <v>0</v>
      </c>
      <c r="Z15" s="3">
        <f t="shared" si="13"/>
        <v>0</v>
      </c>
      <c r="AA15" s="3">
        <f t="shared" si="16"/>
        <v>0</v>
      </c>
    </row>
    <row r="16" spans="1:27" ht="16.5" thickBot="1" x14ac:dyDescent="0.3">
      <c r="A16" s="9">
        <v>44665</v>
      </c>
      <c r="B16" s="39"/>
      <c r="C16" s="145">
        <f t="shared" si="17"/>
        <v>19482</v>
      </c>
      <c r="D16" s="39">
        <f t="shared" si="3"/>
        <v>0</v>
      </c>
      <c r="E16" s="146">
        <f t="shared" si="18"/>
        <v>30439978</v>
      </c>
      <c r="F16" s="39">
        <f t="shared" si="4"/>
        <v>0</v>
      </c>
      <c r="G16" s="147">
        <f t="shared" si="19"/>
        <v>97111874</v>
      </c>
      <c r="H16" s="39">
        <f t="shared" si="5"/>
        <v>0</v>
      </c>
      <c r="I16" s="148">
        <f t="shared" si="6"/>
        <v>0</v>
      </c>
      <c r="J16" s="146">
        <f t="shared" si="20"/>
        <v>9684263</v>
      </c>
      <c r="K16" s="39">
        <f t="shared" si="14"/>
        <v>0</v>
      </c>
      <c r="L16" s="149">
        <f t="shared" si="21"/>
        <v>9760824</v>
      </c>
      <c r="M16" s="39">
        <f t="shared" si="7"/>
        <v>0</v>
      </c>
      <c r="N16" s="146">
        <f t="shared" si="22"/>
        <v>6489500</v>
      </c>
      <c r="O16" s="39">
        <f t="shared" si="15"/>
        <v>0</v>
      </c>
      <c r="P16" s="149">
        <f t="shared" si="23"/>
        <v>6069424</v>
      </c>
      <c r="Q16" s="39">
        <f t="shared" si="8"/>
        <v>0</v>
      </c>
      <c r="R16" s="146">
        <f t="shared" si="24"/>
        <v>20677039</v>
      </c>
      <c r="S16" s="39">
        <f t="shared" si="9"/>
        <v>0</v>
      </c>
      <c r="T16" s="146">
        <v>0</v>
      </c>
      <c r="U16" s="150"/>
      <c r="V16" s="146">
        <f t="shared" si="25"/>
        <v>8599102</v>
      </c>
      <c r="W16" s="39">
        <f t="shared" si="10"/>
        <v>0</v>
      </c>
      <c r="X16" s="19">
        <f t="shared" si="11"/>
        <v>0</v>
      </c>
      <c r="Y16" s="151">
        <f t="shared" si="12"/>
        <v>0</v>
      </c>
      <c r="Z16" s="3">
        <f t="shared" si="13"/>
        <v>0</v>
      </c>
      <c r="AA16" s="3">
        <f t="shared" si="16"/>
        <v>0</v>
      </c>
    </row>
    <row r="17" spans="1:27" s="131" customFormat="1" ht="16.5" thickBot="1" x14ac:dyDescent="0.3">
      <c r="A17" s="9">
        <v>44666</v>
      </c>
      <c r="B17" s="39"/>
      <c r="C17" s="145">
        <f t="shared" si="17"/>
        <v>19482</v>
      </c>
      <c r="D17" s="39">
        <f t="shared" si="3"/>
        <v>0</v>
      </c>
      <c r="E17" s="146">
        <f t="shared" si="18"/>
        <v>30439978</v>
      </c>
      <c r="F17" s="39">
        <f t="shared" si="4"/>
        <v>0</v>
      </c>
      <c r="G17" s="147">
        <f t="shared" si="19"/>
        <v>97111874</v>
      </c>
      <c r="H17" s="39">
        <f t="shared" si="5"/>
        <v>0</v>
      </c>
      <c r="I17" s="152">
        <f t="shared" si="6"/>
        <v>0</v>
      </c>
      <c r="J17" s="146">
        <f t="shared" si="20"/>
        <v>9684263</v>
      </c>
      <c r="K17" s="130">
        <f t="shared" si="14"/>
        <v>0</v>
      </c>
      <c r="L17" s="149">
        <f t="shared" si="21"/>
        <v>9760824</v>
      </c>
      <c r="M17" s="130">
        <f t="shared" si="7"/>
        <v>0</v>
      </c>
      <c r="N17" s="146">
        <f t="shared" si="22"/>
        <v>6489500</v>
      </c>
      <c r="O17" s="130">
        <f t="shared" si="15"/>
        <v>0</v>
      </c>
      <c r="P17" s="149">
        <f t="shared" si="23"/>
        <v>6069424</v>
      </c>
      <c r="Q17" s="130">
        <f t="shared" si="8"/>
        <v>0</v>
      </c>
      <c r="R17" s="146">
        <f t="shared" si="24"/>
        <v>20677039</v>
      </c>
      <c r="S17" s="130">
        <f t="shared" si="9"/>
        <v>0</v>
      </c>
      <c r="T17" s="153">
        <v>0</v>
      </c>
      <c r="U17" s="150"/>
      <c r="V17" s="146">
        <f t="shared" si="25"/>
        <v>8599102</v>
      </c>
      <c r="W17" s="130">
        <f t="shared" si="10"/>
        <v>0</v>
      </c>
      <c r="X17" s="19">
        <f t="shared" si="11"/>
        <v>0</v>
      </c>
      <c r="Y17" s="154">
        <f t="shared" si="12"/>
        <v>0</v>
      </c>
      <c r="Z17" s="155">
        <f t="shared" si="13"/>
        <v>0</v>
      </c>
      <c r="AA17" s="3">
        <f t="shared" si="16"/>
        <v>0</v>
      </c>
    </row>
    <row r="18" spans="1:27" s="131" customFormat="1" ht="16.5" thickBot="1" x14ac:dyDescent="0.3">
      <c r="A18" s="9">
        <v>44667</v>
      </c>
      <c r="B18" s="39"/>
      <c r="C18" s="145">
        <f t="shared" si="17"/>
        <v>19482</v>
      </c>
      <c r="D18" s="39">
        <f t="shared" si="3"/>
        <v>0</v>
      </c>
      <c r="E18" s="146">
        <f t="shared" si="18"/>
        <v>30439978</v>
      </c>
      <c r="F18" s="39">
        <f t="shared" si="4"/>
        <v>0</v>
      </c>
      <c r="G18" s="147">
        <f t="shared" si="19"/>
        <v>97111874</v>
      </c>
      <c r="H18" s="39">
        <f t="shared" si="5"/>
        <v>0</v>
      </c>
      <c r="I18" s="152">
        <f t="shared" si="6"/>
        <v>0</v>
      </c>
      <c r="J18" s="146">
        <f t="shared" si="20"/>
        <v>9684263</v>
      </c>
      <c r="K18" s="130">
        <f t="shared" si="14"/>
        <v>0</v>
      </c>
      <c r="L18" s="149">
        <f t="shared" si="21"/>
        <v>9760824</v>
      </c>
      <c r="M18" s="130">
        <f t="shared" si="7"/>
        <v>0</v>
      </c>
      <c r="N18" s="146">
        <f t="shared" si="22"/>
        <v>6489500</v>
      </c>
      <c r="O18" s="130">
        <f t="shared" si="15"/>
        <v>0</v>
      </c>
      <c r="P18" s="149">
        <f t="shared" si="23"/>
        <v>6069424</v>
      </c>
      <c r="Q18" s="130">
        <f t="shared" si="8"/>
        <v>0</v>
      </c>
      <c r="R18" s="146">
        <f t="shared" si="24"/>
        <v>20677039</v>
      </c>
      <c r="S18" s="130">
        <f t="shared" si="9"/>
        <v>0</v>
      </c>
      <c r="T18" s="153">
        <v>0</v>
      </c>
      <c r="U18" s="150"/>
      <c r="V18" s="146">
        <f t="shared" si="25"/>
        <v>8599102</v>
      </c>
      <c r="W18" s="130">
        <f t="shared" si="10"/>
        <v>0</v>
      </c>
      <c r="X18" s="19">
        <f t="shared" si="11"/>
        <v>0</v>
      </c>
      <c r="Y18" s="154">
        <f t="shared" si="12"/>
        <v>0</v>
      </c>
      <c r="Z18" s="155">
        <f t="shared" si="13"/>
        <v>0</v>
      </c>
      <c r="AA18" s="3">
        <f t="shared" si="16"/>
        <v>0</v>
      </c>
    </row>
    <row r="19" spans="1:27" s="131" customFormat="1" ht="16.5" thickBot="1" x14ac:dyDescent="0.3">
      <c r="A19" s="9">
        <v>44668</v>
      </c>
      <c r="B19" s="39"/>
      <c r="C19" s="145">
        <f t="shared" si="17"/>
        <v>19482</v>
      </c>
      <c r="D19" s="39">
        <f t="shared" si="3"/>
        <v>0</v>
      </c>
      <c r="E19" s="146">
        <f t="shared" si="18"/>
        <v>30439978</v>
      </c>
      <c r="F19" s="39">
        <f t="shared" si="4"/>
        <v>0</v>
      </c>
      <c r="G19" s="147">
        <f t="shared" si="19"/>
        <v>97111874</v>
      </c>
      <c r="H19" s="39">
        <f t="shared" si="5"/>
        <v>0</v>
      </c>
      <c r="I19" s="152">
        <f t="shared" si="6"/>
        <v>0</v>
      </c>
      <c r="J19" s="146">
        <f t="shared" si="20"/>
        <v>9684263</v>
      </c>
      <c r="K19" s="130">
        <f t="shared" si="14"/>
        <v>0</v>
      </c>
      <c r="L19" s="149">
        <f t="shared" si="21"/>
        <v>9760824</v>
      </c>
      <c r="M19" s="130">
        <f t="shared" si="7"/>
        <v>0</v>
      </c>
      <c r="N19" s="146">
        <f t="shared" si="22"/>
        <v>6489500</v>
      </c>
      <c r="O19" s="130">
        <f t="shared" si="15"/>
        <v>0</v>
      </c>
      <c r="P19" s="149">
        <f t="shared" si="23"/>
        <v>6069424</v>
      </c>
      <c r="Q19" s="130">
        <f t="shared" si="8"/>
        <v>0</v>
      </c>
      <c r="R19" s="146">
        <f t="shared" si="24"/>
        <v>20677039</v>
      </c>
      <c r="S19" s="130">
        <f t="shared" si="9"/>
        <v>0</v>
      </c>
      <c r="T19" s="153">
        <v>0</v>
      </c>
      <c r="U19" s="150"/>
      <c r="V19" s="146">
        <f t="shared" si="25"/>
        <v>8599102</v>
      </c>
      <c r="W19" s="130">
        <f t="shared" si="10"/>
        <v>0</v>
      </c>
      <c r="X19" s="19">
        <f t="shared" si="11"/>
        <v>0</v>
      </c>
      <c r="Y19" s="154">
        <f t="shared" si="12"/>
        <v>0</v>
      </c>
      <c r="Z19" s="155">
        <f t="shared" si="13"/>
        <v>0</v>
      </c>
      <c r="AA19" s="3">
        <f t="shared" si="16"/>
        <v>0</v>
      </c>
    </row>
    <row r="20" spans="1:27" s="131" customFormat="1" ht="16.5" thickBot="1" x14ac:dyDescent="0.3">
      <c r="A20" s="9">
        <v>44669</v>
      </c>
      <c r="B20" s="39"/>
      <c r="C20" s="145">
        <f t="shared" si="17"/>
        <v>19482</v>
      </c>
      <c r="D20" s="39">
        <f t="shared" si="3"/>
        <v>0</v>
      </c>
      <c r="E20" s="146">
        <f t="shared" si="18"/>
        <v>30439978</v>
      </c>
      <c r="F20" s="39">
        <f t="shared" si="4"/>
        <v>0</v>
      </c>
      <c r="G20" s="147">
        <f t="shared" si="19"/>
        <v>97111874</v>
      </c>
      <c r="H20" s="39">
        <f t="shared" si="5"/>
        <v>0</v>
      </c>
      <c r="I20" s="152">
        <f t="shared" si="6"/>
        <v>0</v>
      </c>
      <c r="J20" s="146">
        <f t="shared" si="20"/>
        <v>9684263</v>
      </c>
      <c r="K20" s="130">
        <f t="shared" si="14"/>
        <v>0</v>
      </c>
      <c r="L20" s="149">
        <f t="shared" si="21"/>
        <v>9760824</v>
      </c>
      <c r="M20" s="130">
        <f t="shared" si="7"/>
        <v>0</v>
      </c>
      <c r="N20" s="146">
        <f t="shared" si="22"/>
        <v>6489500</v>
      </c>
      <c r="O20" s="130">
        <f t="shared" si="15"/>
        <v>0</v>
      </c>
      <c r="P20" s="149">
        <f t="shared" si="23"/>
        <v>6069424</v>
      </c>
      <c r="Q20" s="130">
        <f t="shared" si="8"/>
        <v>0</v>
      </c>
      <c r="R20" s="146">
        <f t="shared" si="24"/>
        <v>20677039</v>
      </c>
      <c r="S20" s="130">
        <f t="shared" si="9"/>
        <v>0</v>
      </c>
      <c r="T20" s="153">
        <v>0</v>
      </c>
      <c r="U20" s="150"/>
      <c r="V20" s="146">
        <f t="shared" si="25"/>
        <v>8599102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0</v>
      </c>
    </row>
    <row r="21" spans="1:27" s="131" customFormat="1" ht="16.5" thickBot="1" x14ac:dyDescent="0.3">
      <c r="A21" s="9">
        <v>44670</v>
      </c>
      <c r="B21" s="39"/>
      <c r="C21" s="145">
        <f t="shared" si="17"/>
        <v>19482</v>
      </c>
      <c r="D21" s="39">
        <f t="shared" si="3"/>
        <v>0</v>
      </c>
      <c r="E21" s="146">
        <f t="shared" si="18"/>
        <v>30439978</v>
      </c>
      <c r="F21" s="39">
        <f t="shared" si="4"/>
        <v>0</v>
      </c>
      <c r="G21" s="147">
        <f t="shared" si="19"/>
        <v>97111874</v>
      </c>
      <c r="H21" s="39">
        <f t="shared" si="5"/>
        <v>0</v>
      </c>
      <c r="I21" s="152">
        <f t="shared" si="6"/>
        <v>0</v>
      </c>
      <c r="J21" s="146">
        <f t="shared" si="20"/>
        <v>9684263</v>
      </c>
      <c r="K21" s="130">
        <f t="shared" si="14"/>
        <v>0</v>
      </c>
      <c r="L21" s="149">
        <f t="shared" si="21"/>
        <v>9760824</v>
      </c>
      <c r="M21" s="130">
        <f t="shared" si="7"/>
        <v>0</v>
      </c>
      <c r="N21" s="146">
        <f t="shared" si="22"/>
        <v>6489500</v>
      </c>
      <c r="O21" s="130">
        <f t="shared" si="15"/>
        <v>0</v>
      </c>
      <c r="P21" s="149">
        <f t="shared" si="23"/>
        <v>6069424</v>
      </c>
      <c r="Q21" s="130">
        <f t="shared" si="8"/>
        <v>0</v>
      </c>
      <c r="R21" s="146">
        <f t="shared" si="24"/>
        <v>20677039</v>
      </c>
      <c r="S21" s="130">
        <f t="shared" si="9"/>
        <v>0</v>
      </c>
      <c r="T21" s="153">
        <v>0</v>
      </c>
      <c r="U21" s="150"/>
      <c r="V21" s="146">
        <f t="shared" si="25"/>
        <v>8599102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0</v>
      </c>
    </row>
    <row r="22" spans="1:27" ht="16.5" thickBot="1" x14ac:dyDescent="0.3">
      <c r="A22" s="9">
        <v>44671</v>
      </c>
      <c r="B22" s="39"/>
      <c r="C22" s="145">
        <f t="shared" si="17"/>
        <v>19482</v>
      </c>
      <c r="D22" s="39">
        <f t="shared" si="3"/>
        <v>0</v>
      </c>
      <c r="E22" s="146">
        <f t="shared" si="18"/>
        <v>30439978</v>
      </c>
      <c r="F22" s="39">
        <f t="shared" si="4"/>
        <v>0</v>
      </c>
      <c r="G22" s="147">
        <f t="shared" si="19"/>
        <v>97111874</v>
      </c>
      <c r="H22" s="39">
        <f t="shared" si="5"/>
        <v>0</v>
      </c>
      <c r="I22" s="148">
        <f t="shared" si="6"/>
        <v>0</v>
      </c>
      <c r="J22" s="146">
        <f t="shared" si="20"/>
        <v>9684263</v>
      </c>
      <c r="K22" s="39">
        <f t="shared" si="14"/>
        <v>0</v>
      </c>
      <c r="L22" s="149">
        <f t="shared" si="21"/>
        <v>9760824</v>
      </c>
      <c r="M22" s="39">
        <f t="shared" si="7"/>
        <v>0</v>
      </c>
      <c r="N22" s="146">
        <f t="shared" si="22"/>
        <v>6489500</v>
      </c>
      <c r="O22" s="39">
        <f t="shared" si="15"/>
        <v>0</v>
      </c>
      <c r="P22" s="149">
        <f t="shared" si="23"/>
        <v>6069424</v>
      </c>
      <c r="Q22" s="39">
        <f t="shared" si="8"/>
        <v>0</v>
      </c>
      <c r="R22" s="146">
        <f t="shared" si="24"/>
        <v>20677039</v>
      </c>
      <c r="S22" s="39">
        <f t="shared" si="9"/>
        <v>0</v>
      </c>
      <c r="T22" s="146">
        <v>0</v>
      </c>
      <c r="U22" s="150"/>
      <c r="V22" s="146">
        <f t="shared" si="25"/>
        <v>8599102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9">
        <v>44672</v>
      </c>
      <c r="B23" s="39"/>
      <c r="C23" s="145">
        <f t="shared" si="17"/>
        <v>19482</v>
      </c>
      <c r="D23" s="39">
        <f t="shared" si="3"/>
        <v>0</v>
      </c>
      <c r="E23" s="146">
        <f t="shared" si="18"/>
        <v>30439978</v>
      </c>
      <c r="F23" s="39">
        <f t="shared" si="4"/>
        <v>0</v>
      </c>
      <c r="G23" s="147">
        <f t="shared" si="19"/>
        <v>97111874</v>
      </c>
      <c r="H23" s="39">
        <f t="shared" si="5"/>
        <v>0</v>
      </c>
      <c r="I23" s="148">
        <f t="shared" si="6"/>
        <v>0</v>
      </c>
      <c r="J23" s="146">
        <f t="shared" si="20"/>
        <v>9684263</v>
      </c>
      <c r="K23" s="39">
        <f t="shared" si="14"/>
        <v>0</v>
      </c>
      <c r="L23" s="149">
        <f t="shared" si="21"/>
        <v>9760824</v>
      </c>
      <c r="M23" s="39">
        <f t="shared" si="7"/>
        <v>0</v>
      </c>
      <c r="N23" s="146">
        <f t="shared" si="22"/>
        <v>6489500</v>
      </c>
      <c r="O23" s="39">
        <f t="shared" si="15"/>
        <v>0</v>
      </c>
      <c r="P23" s="149">
        <f t="shared" si="23"/>
        <v>6069424</v>
      </c>
      <c r="Q23" s="39">
        <f t="shared" si="8"/>
        <v>0</v>
      </c>
      <c r="R23" s="146">
        <f t="shared" si="24"/>
        <v>20677039</v>
      </c>
      <c r="S23" s="39">
        <f t="shared" si="9"/>
        <v>0</v>
      </c>
      <c r="T23" s="146">
        <v>0</v>
      </c>
      <c r="U23" s="150"/>
      <c r="V23" s="146">
        <f t="shared" si="25"/>
        <v>8599102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17"/>
        <v>19482</v>
      </c>
      <c r="D24" s="39">
        <f t="shared" si="3"/>
        <v>0</v>
      </c>
      <c r="E24" s="146">
        <f t="shared" si="18"/>
        <v>30439978</v>
      </c>
      <c r="F24" s="39">
        <f t="shared" si="4"/>
        <v>0</v>
      </c>
      <c r="G24" s="147">
        <f t="shared" si="19"/>
        <v>97111874</v>
      </c>
      <c r="H24" s="39">
        <f t="shared" si="5"/>
        <v>0</v>
      </c>
      <c r="I24" s="148">
        <f t="shared" si="6"/>
        <v>0</v>
      </c>
      <c r="J24" s="146">
        <f t="shared" si="20"/>
        <v>9684263</v>
      </c>
      <c r="K24" s="39">
        <f t="shared" si="14"/>
        <v>0</v>
      </c>
      <c r="L24" s="149">
        <f t="shared" si="21"/>
        <v>9760824</v>
      </c>
      <c r="M24" s="39">
        <f t="shared" si="7"/>
        <v>0</v>
      </c>
      <c r="N24" s="146">
        <f t="shared" si="22"/>
        <v>6489500</v>
      </c>
      <c r="O24" s="39">
        <f t="shared" si="15"/>
        <v>0</v>
      </c>
      <c r="P24" s="149">
        <f t="shared" si="23"/>
        <v>6069424</v>
      </c>
      <c r="Q24" s="39">
        <f t="shared" si="8"/>
        <v>0</v>
      </c>
      <c r="R24" s="146">
        <f t="shared" si="24"/>
        <v>20677039</v>
      </c>
      <c r="S24" s="39">
        <f t="shared" si="9"/>
        <v>0</v>
      </c>
      <c r="T24" s="146">
        <v>0</v>
      </c>
      <c r="U24" s="150"/>
      <c r="V24" s="146">
        <f t="shared" si="25"/>
        <v>8599102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17"/>
        <v>19482</v>
      </c>
      <c r="D25" s="39">
        <f t="shared" si="3"/>
        <v>0</v>
      </c>
      <c r="E25" s="146">
        <f t="shared" si="18"/>
        <v>30439978</v>
      </c>
      <c r="F25" s="39">
        <f t="shared" si="4"/>
        <v>0</v>
      </c>
      <c r="G25" s="147">
        <f t="shared" si="19"/>
        <v>97111874</v>
      </c>
      <c r="H25" s="39">
        <f t="shared" si="5"/>
        <v>0</v>
      </c>
      <c r="I25" s="148">
        <f t="shared" si="6"/>
        <v>0</v>
      </c>
      <c r="J25" s="146">
        <f t="shared" si="20"/>
        <v>9684263</v>
      </c>
      <c r="K25" s="39">
        <f t="shared" si="14"/>
        <v>0</v>
      </c>
      <c r="L25" s="149">
        <f t="shared" si="21"/>
        <v>9760824</v>
      </c>
      <c r="M25" s="39">
        <f t="shared" si="7"/>
        <v>0</v>
      </c>
      <c r="N25" s="146">
        <f t="shared" si="22"/>
        <v>6489500</v>
      </c>
      <c r="O25" s="39">
        <f t="shared" si="15"/>
        <v>0</v>
      </c>
      <c r="P25" s="149">
        <f t="shared" si="23"/>
        <v>6069424</v>
      </c>
      <c r="Q25" s="39">
        <f t="shared" si="8"/>
        <v>0</v>
      </c>
      <c r="R25" s="146">
        <f t="shared" si="24"/>
        <v>20677039</v>
      </c>
      <c r="S25" s="39">
        <f t="shared" si="9"/>
        <v>0</v>
      </c>
      <c r="T25" s="146">
        <v>0</v>
      </c>
      <c r="U25" s="150"/>
      <c r="V25" s="146">
        <f t="shared" si="25"/>
        <v>8599102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17"/>
        <v>19482</v>
      </c>
      <c r="D26" s="39">
        <f t="shared" si="3"/>
        <v>0</v>
      </c>
      <c r="E26" s="146">
        <f t="shared" si="18"/>
        <v>30439978</v>
      </c>
      <c r="F26" s="39">
        <f t="shared" si="4"/>
        <v>0</v>
      </c>
      <c r="G26" s="147">
        <f t="shared" si="19"/>
        <v>97111874</v>
      </c>
      <c r="H26" s="39">
        <f t="shared" si="5"/>
        <v>0</v>
      </c>
      <c r="I26" s="148">
        <f t="shared" si="6"/>
        <v>0</v>
      </c>
      <c r="J26" s="146">
        <f t="shared" si="20"/>
        <v>9684263</v>
      </c>
      <c r="K26" s="39">
        <f t="shared" si="14"/>
        <v>0</v>
      </c>
      <c r="L26" s="149">
        <f t="shared" si="21"/>
        <v>9760824</v>
      </c>
      <c r="M26" s="39">
        <f t="shared" si="7"/>
        <v>0</v>
      </c>
      <c r="N26" s="146">
        <f t="shared" si="22"/>
        <v>6489500</v>
      </c>
      <c r="O26" s="39">
        <f t="shared" si="15"/>
        <v>0</v>
      </c>
      <c r="P26" s="149">
        <f t="shared" si="23"/>
        <v>6069424</v>
      </c>
      <c r="Q26" s="39">
        <f t="shared" si="8"/>
        <v>0</v>
      </c>
      <c r="R26" s="146">
        <f t="shared" si="24"/>
        <v>20677039</v>
      </c>
      <c r="S26" s="39">
        <f t="shared" si="9"/>
        <v>0</v>
      </c>
      <c r="T26" s="146">
        <v>0</v>
      </c>
      <c r="U26" s="150"/>
      <c r="V26" s="146">
        <f t="shared" si="25"/>
        <v>8599102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17"/>
        <v>19482</v>
      </c>
      <c r="D27" s="39">
        <f t="shared" si="3"/>
        <v>0</v>
      </c>
      <c r="E27" s="146">
        <f t="shared" si="18"/>
        <v>30439978</v>
      </c>
      <c r="F27" s="39">
        <f t="shared" si="4"/>
        <v>0</v>
      </c>
      <c r="G27" s="147">
        <f t="shared" si="19"/>
        <v>97111874</v>
      </c>
      <c r="H27" s="39">
        <f t="shared" si="5"/>
        <v>0</v>
      </c>
      <c r="I27" s="148">
        <f t="shared" si="6"/>
        <v>0</v>
      </c>
      <c r="J27" s="146">
        <f t="shared" si="20"/>
        <v>9684263</v>
      </c>
      <c r="K27" s="39">
        <f t="shared" si="14"/>
        <v>0</v>
      </c>
      <c r="L27" s="149">
        <f t="shared" si="21"/>
        <v>9760824</v>
      </c>
      <c r="M27" s="39">
        <f t="shared" si="7"/>
        <v>0</v>
      </c>
      <c r="N27" s="146">
        <f t="shared" si="22"/>
        <v>6489500</v>
      </c>
      <c r="O27" s="39">
        <f t="shared" si="15"/>
        <v>0</v>
      </c>
      <c r="P27" s="149">
        <f t="shared" si="23"/>
        <v>6069424</v>
      </c>
      <c r="Q27" s="39">
        <f t="shared" si="8"/>
        <v>0</v>
      </c>
      <c r="R27" s="146">
        <f t="shared" si="24"/>
        <v>20677039</v>
      </c>
      <c r="S27" s="39">
        <f t="shared" si="9"/>
        <v>0</v>
      </c>
      <c r="T27" s="146">
        <v>0</v>
      </c>
      <c r="U27" s="150"/>
      <c r="V27" s="146">
        <f t="shared" si="25"/>
        <v>8599102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17"/>
        <v>19482</v>
      </c>
      <c r="D28" s="39">
        <f t="shared" si="3"/>
        <v>0</v>
      </c>
      <c r="E28" s="146">
        <f t="shared" si="18"/>
        <v>30439978</v>
      </c>
      <c r="F28" s="39">
        <f t="shared" si="4"/>
        <v>0</v>
      </c>
      <c r="G28" s="147">
        <f t="shared" si="19"/>
        <v>97111874</v>
      </c>
      <c r="H28" s="39">
        <f t="shared" si="5"/>
        <v>0</v>
      </c>
      <c r="I28" s="148">
        <f t="shared" si="6"/>
        <v>0</v>
      </c>
      <c r="J28" s="146">
        <f t="shared" si="20"/>
        <v>9684263</v>
      </c>
      <c r="K28" s="39">
        <f t="shared" si="14"/>
        <v>0</v>
      </c>
      <c r="L28" s="149">
        <f t="shared" si="21"/>
        <v>9760824</v>
      </c>
      <c r="M28" s="39">
        <f t="shared" si="7"/>
        <v>0</v>
      </c>
      <c r="N28" s="146">
        <f t="shared" si="22"/>
        <v>6489500</v>
      </c>
      <c r="O28" s="39">
        <f t="shared" si="15"/>
        <v>0</v>
      </c>
      <c r="P28" s="149">
        <f t="shared" si="23"/>
        <v>6069424</v>
      </c>
      <c r="Q28" s="39">
        <f t="shared" si="8"/>
        <v>0</v>
      </c>
      <c r="R28" s="146">
        <f t="shared" si="24"/>
        <v>20677039</v>
      </c>
      <c r="S28" s="39">
        <f t="shared" si="9"/>
        <v>0</v>
      </c>
      <c r="T28" s="146">
        <v>0</v>
      </c>
      <c r="U28" s="150"/>
      <c r="V28" s="146">
        <f t="shared" si="25"/>
        <v>8599102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17"/>
        <v>19482</v>
      </c>
      <c r="D29" s="39">
        <f t="shared" si="3"/>
        <v>0</v>
      </c>
      <c r="E29" s="146">
        <f t="shared" si="18"/>
        <v>30439978</v>
      </c>
      <c r="F29" s="39">
        <f t="shared" si="4"/>
        <v>0</v>
      </c>
      <c r="G29" s="147">
        <f t="shared" si="19"/>
        <v>97111874</v>
      </c>
      <c r="H29" s="39">
        <f t="shared" si="5"/>
        <v>0</v>
      </c>
      <c r="I29" s="148">
        <f t="shared" si="6"/>
        <v>0</v>
      </c>
      <c r="J29" s="146">
        <f t="shared" si="20"/>
        <v>9684263</v>
      </c>
      <c r="K29" s="39">
        <f t="shared" si="14"/>
        <v>0</v>
      </c>
      <c r="L29" s="149">
        <f t="shared" si="21"/>
        <v>9760824</v>
      </c>
      <c r="M29" s="39">
        <f t="shared" si="7"/>
        <v>0</v>
      </c>
      <c r="N29" s="146">
        <f t="shared" si="22"/>
        <v>6489500</v>
      </c>
      <c r="O29" s="39">
        <f t="shared" si="15"/>
        <v>0</v>
      </c>
      <c r="P29" s="149">
        <f t="shared" si="23"/>
        <v>6069424</v>
      </c>
      <c r="Q29" s="39">
        <f t="shared" si="8"/>
        <v>0</v>
      </c>
      <c r="R29" s="146">
        <f t="shared" si="24"/>
        <v>20677039</v>
      </c>
      <c r="S29" s="39">
        <f t="shared" si="9"/>
        <v>0</v>
      </c>
      <c r="T29" s="146">
        <v>0</v>
      </c>
      <c r="U29" s="150"/>
      <c r="V29" s="146">
        <f t="shared" si="25"/>
        <v>8599102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17"/>
        <v>19482</v>
      </c>
      <c r="D30" s="39">
        <f>IF((C30-C29)&lt;0,"0",(C30-C29))*160</f>
        <v>0</v>
      </c>
      <c r="E30" s="146">
        <f t="shared" si="18"/>
        <v>30439978</v>
      </c>
      <c r="F30" s="39">
        <f>IF((E30-E29)&lt;0,"0",(E30-E29))</f>
        <v>0</v>
      </c>
      <c r="G30" s="147">
        <f t="shared" si="19"/>
        <v>97111874</v>
      </c>
      <c r="H30" s="39">
        <f>IF((G30-G29)&lt;0,"0",(G30-G29))</f>
        <v>0</v>
      </c>
      <c r="I30" s="148">
        <f t="shared" si="6"/>
        <v>0</v>
      </c>
      <c r="J30" s="146">
        <f t="shared" si="20"/>
        <v>9684263</v>
      </c>
      <c r="K30" s="39">
        <f>(IF((J30-J29)&lt;0,"0",(J30-J29)))*2</f>
        <v>0</v>
      </c>
      <c r="L30" s="149">
        <f t="shared" si="21"/>
        <v>9760824</v>
      </c>
      <c r="M30" s="39">
        <f>IF((L30-L29)&lt;0,"0",(L30-L29))</f>
        <v>0</v>
      </c>
      <c r="N30" s="146">
        <f t="shared" si="22"/>
        <v>6489500</v>
      </c>
      <c r="O30" s="39">
        <f>(IF((N30-N29)&lt;0,"0",(N30-N29)))*2</f>
        <v>0</v>
      </c>
      <c r="P30" s="149">
        <f t="shared" si="23"/>
        <v>6069424</v>
      </c>
      <c r="Q30" s="39">
        <f>IF((P30-P29)&lt;0,"0",(P30-P29))</f>
        <v>0</v>
      </c>
      <c r="R30" s="146">
        <f t="shared" si="24"/>
        <v>20677039</v>
      </c>
      <c r="S30" s="39">
        <f>IF((R30-R29)&lt;0,"0",(R30-R29))</f>
        <v>0</v>
      </c>
      <c r="T30" s="146">
        <v>0</v>
      </c>
      <c r="U30" s="150"/>
      <c r="V30" s="146">
        <f t="shared" si="25"/>
        <v>8599102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17"/>
        <v>19482</v>
      </c>
      <c r="D31" s="39">
        <f t="shared" ref="D31:D32" si="39">IF((C31-C30)&lt;0,"0",(C31-C30))*160</f>
        <v>0</v>
      </c>
      <c r="E31" s="146">
        <f t="shared" si="18"/>
        <v>30439978</v>
      </c>
      <c r="F31" s="39">
        <f t="shared" ref="F31:F32" si="40">IF((E31-E30)&lt;0,"0",(E31-E30))</f>
        <v>0</v>
      </c>
      <c r="G31" s="147">
        <f t="shared" si="19"/>
        <v>97111874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20"/>
        <v>9684263</v>
      </c>
      <c r="K31" s="39">
        <f t="shared" ref="K31:K32" si="43">(IF((J31-J30)&lt;0,"0",(J31-J30)))*2</f>
        <v>0</v>
      </c>
      <c r="L31" s="149">
        <f t="shared" si="21"/>
        <v>9760824</v>
      </c>
      <c r="M31" s="39">
        <f t="shared" ref="M31:M32" si="44">IF((L31-L30)&lt;0,"0",(L31-L30))</f>
        <v>0</v>
      </c>
      <c r="N31" s="146">
        <f t="shared" si="22"/>
        <v>6489500</v>
      </c>
      <c r="O31" s="39">
        <f t="shared" ref="O31:O32" si="45">(IF((N31-N30)&lt;0,"0",(N31-N30)))*2</f>
        <v>0</v>
      </c>
      <c r="P31" s="149">
        <f t="shared" si="23"/>
        <v>6069424</v>
      </c>
      <c r="Q31" s="39">
        <f t="shared" ref="Q31:Q32" si="46">IF((P31-P30)&lt;0,"0",(P31-P30))</f>
        <v>0</v>
      </c>
      <c r="R31" s="146">
        <f t="shared" si="24"/>
        <v>20677039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25"/>
        <v>8599102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17"/>
        <v>19482</v>
      </c>
      <c r="D32" s="39">
        <f t="shared" si="39"/>
        <v>0</v>
      </c>
      <c r="E32" s="146">
        <f t="shared" si="18"/>
        <v>30439978</v>
      </c>
      <c r="F32" s="39">
        <f t="shared" si="40"/>
        <v>0</v>
      </c>
      <c r="G32" s="147">
        <f t="shared" si="19"/>
        <v>97111874</v>
      </c>
      <c r="H32" s="39">
        <f t="shared" si="41"/>
        <v>0</v>
      </c>
      <c r="I32" s="148">
        <f t="shared" si="42"/>
        <v>0</v>
      </c>
      <c r="J32" s="146">
        <f t="shared" si="20"/>
        <v>9684263</v>
      </c>
      <c r="K32" s="39">
        <f t="shared" si="43"/>
        <v>0</v>
      </c>
      <c r="L32" s="149">
        <f t="shared" si="21"/>
        <v>9760824</v>
      </c>
      <c r="M32" s="39">
        <f t="shared" si="44"/>
        <v>0</v>
      </c>
      <c r="N32" s="146">
        <f t="shared" si="22"/>
        <v>6489500</v>
      </c>
      <c r="O32" s="39">
        <f t="shared" si="45"/>
        <v>0</v>
      </c>
      <c r="P32" s="149">
        <f t="shared" si="23"/>
        <v>6069424</v>
      </c>
      <c r="Q32" s="39">
        <f t="shared" si="46"/>
        <v>0</v>
      </c>
      <c r="R32" s="146">
        <f t="shared" si="24"/>
        <v>20677039</v>
      </c>
      <c r="S32" s="39">
        <f t="shared" si="47"/>
        <v>0</v>
      </c>
      <c r="T32" s="146">
        <v>0</v>
      </c>
      <c r="U32" s="150"/>
      <c r="V32" s="146">
        <f t="shared" si="25"/>
        <v>8599102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1153</v>
      </c>
      <c r="C33" s="137">
        <v>0</v>
      </c>
      <c r="D33" s="137">
        <f>SUM(D3:D32)</f>
        <v>4000</v>
      </c>
      <c r="E33" s="56">
        <v>0</v>
      </c>
      <c r="F33" s="56">
        <f>SUM(F3:F32)</f>
        <v>94751</v>
      </c>
      <c r="G33" s="56">
        <v>0</v>
      </c>
      <c r="H33" s="56">
        <f>SUM(H3:H32)</f>
        <v>283186</v>
      </c>
      <c r="I33" s="56">
        <f>SUM(I3:I32)</f>
        <v>377937</v>
      </c>
      <c r="J33" s="56">
        <v>0</v>
      </c>
      <c r="K33" s="56">
        <f>SUM(K2:K32)</f>
        <v>63764</v>
      </c>
      <c r="L33" s="56">
        <v>0</v>
      </c>
      <c r="M33" s="56">
        <f>SUM(M3:M32)</f>
        <v>42776</v>
      </c>
      <c r="N33" s="56">
        <v>0</v>
      </c>
      <c r="O33" s="56">
        <f>SUM(O3:O32)</f>
        <v>50884</v>
      </c>
      <c r="P33" s="56">
        <v>0</v>
      </c>
      <c r="Q33" s="56">
        <f>SUM(Q3:Q32)</f>
        <v>43360</v>
      </c>
      <c r="R33" s="56">
        <v>0</v>
      </c>
      <c r="S33" s="56">
        <f>SUM(S3:S32)</f>
        <v>63338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69032</v>
      </c>
      <c r="X33" s="56">
        <f>SUM(X3:X32)</f>
        <v>333154</v>
      </c>
      <c r="Y33" s="56">
        <f>SUM(Y3:Y32)</f>
        <v>44783</v>
      </c>
      <c r="Z33" s="56">
        <f>SUM(Z3:Z32)</f>
        <v>45771.726415999998</v>
      </c>
      <c r="AA33" s="56">
        <f>SUM(AA3:AA32)</f>
        <v>176851.4332416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9" sqref="J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f t="shared" ref="B10:B32" si="8">B9</f>
        <v>444679</v>
      </c>
      <c r="C10" s="39">
        <f>(IF((B10-B9)&lt;0,"0",(B10-B9)))*10</f>
        <v>0</v>
      </c>
      <c r="D10" s="3">
        <f t="shared" ref="D10:D32" si="9">D9</f>
        <v>6165</v>
      </c>
      <c r="E10" s="39">
        <f t="shared" si="2"/>
        <v>0</v>
      </c>
      <c r="F10" s="3">
        <f t="shared" ref="F10:F32" si="10">F9</f>
        <v>8450000</v>
      </c>
      <c r="G10" s="39">
        <f t="shared" si="5"/>
        <v>0</v>
      </c>
      <c r="H10" s="3">
        <f t="shared" ref="H10:H32" si="11">H9</f>
        <v>783940</v>
      </c>
      <c r="I10" s="44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44660</v>
      </c>
      <c r="B11" s="3">
        <f t="shared" si="8"/>
        <v>444679</v>
      </c>
      <c r="C11" s="39">
        <f t="shared" si="7"/>
        <v>0</v>
      </c>
      <c r="D11" s="3">
        <f t="shared" si="9"/>
        <v>6165</v>
      </c>
      <c r="E11" s="39">
        <f t="shared" si="2"/>
        <v>0</v>
      </c>
      <c r="F11" s="3">
        <f t="shared" si="10"/>
        <v>8450000</v>
      </c>
      <c r="G11" s="39">
        <f t="shared" si="5"/>
        <v>0</v>
      </c>
      <c r="H11" s="3">
        <f t="shared" si="11"/>
        <v>783940</v>
      </c>
      <c r="I11" s="44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44661</v>
      </c>
      <c r="B12" s="3">
        <f t="shared" si="8"/>
        <v>444679</v>
      </c>
      <c r="C12" s="39">
        <f t="shared" si="7"/>
        <v>0</v>
      </c>
      <c r="D12" s="3">
        <f t="shared" si="9"/>
        <v>6165</v>
      </c>
      <c r="E12" s="39">
        <f t="shared" si="2"/>
        <v>0</v>
      </c>
      <c r="F12" s="3">
        <f t="shared" si="10"/>
        <v>8450000</v>
      </c>
      <c r="G12" s="39">
        <f t="shared" si="5"/>
        <v>0</v>
      </c>
      <c r="H12" s="3">
        <f t="shared" si="11"/>
        <v>783940</v>
      </c>
      <c r="I12" s="44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44662</v>
      </c>
      <c r="B13" s="3">
        <f t="shared" si="8"/>
        <v>444679</v>
      </c>
      <c r="C13" s="39">
        <f t="shared" si="7"/>
        <v>0</v>
      </c>
      <c r="D13" s="3">
        <f t="shared" si="9"/>
        <v>6165</v>
      </c>
      <c r="E13" s="39">
        <f t="shared" si="2"/>
        <v>0</v>
      </c>
      <c r="F13" s="3">
        <f t="shared" si="10"/>
        <v>8450000</v>
      </c>
      <c r="G13" s="39">
        <f t="shared" si="5"/>
        <v>0</v>
      </c>
      <c r="H13" s="3">
        <f t="shared" si="11"/>
        <v>783940</v>
      </c>
      <c r="I13" s="44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44663</v>
      </c>
      <c r="B14" s="3">
        <f t="shared" si="8"/>
        <v>444679</v>
      </c>
      <c r="C14" s="39">
        <f t="shared" si="7"/>
        <v>0</v>
      </c>
      <c r="D14" s="3">
        <f t="shared" si="9"/>
        <v>6165</v>
      </c>
      <c r="E14" s="39">
        <f t="shared" si="2"/>
        <v>0</v>
      </c>
      <c r="F14" s="3">
        <f t="shared" si="10"/>
        <v>8450000</v>
      </c>
      <c r="G14" s="39">
        <f t="shared" si="5"/>
        <v>0</v>
      </c>
      <c r="H14" s="3">
        <f t="shared" si="11"/>
        <v>783940</v>
      </c>
      <c r="I14" s="44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44664</v>
      </c>
      <c r="B15" s="3">
        <f t="shared" si="8"/>
        <v>444679</v>
      </c>
      <c r="C15" s="39">
        <f t="shared" si="7"/>
        <v>0</v>
      </c>
      <c r="D15" s="3">
        <f t="shared" si="9"/>
        <v>6165</v>
      </c>
      <c r="E15" s="39">
        <f t="shared" si="2"/>
        <v>0</v>
      </c>
      <c r="F15" s="3">
        <f t="shared" si="10"/>
        <v>8450000</v>
      </c>
      <c r="G15" s="39">
        <f t="shared" si="5"/>
        <v>0</v>
      </c>
      <c r="H15" s="3">
        <f t="shared" si="11"/>
        <v>783940</v>
      </c>
      <c r="I15" s="44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44665</v>
      </c>
      <c r="B16" s="3">
        <f t="shared" si="8"/>
        <v>444679</v>
      </c>
      <c r="C16" s="39">
        <f t="shared" si="7"/>
        <v>0</v>
      </c>
      <c r="D16" s="3">
        <f t="shared" si="9"/>
        <v>6165</v>
      </c>
      <c r="E16" s="39">
        <f t="shared" si="2"/>
        <v>0</v>
      </c>
      <c r="F16" s="3">
        <f t="shared" si="10"/>
        <v>8450000</v>
      </c>
      <c r="G16" s="39">
        <f t="shared" si="5"/>
        <v>0</v>
      </c>
      <c r="H16" s="3">
        <f t="shared" si="11"/>
        <v>783940</v>
      </c>
      <c r="I16" s="44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44666</v>
      </c>
      <c r="B17" s="3">
        <f t="shared" si="8"/>
        <v>444679</v>
      </c>
      <c r="C17" s="39">
        <f t="shared" si="7"/>
        <v>0</v>
      </c>
      <c r="D17" s="3">
        <f t="shared" si="9"/>
        <v>6165</v>
      </c>
      <c r="E17" s="39">
        <f t="shared" si="2"/>
        <v>0</v>
      </c>
      <c r="F17" s="3">
        <f t="shared" si="10"/>
        <v>8450000</v>
      </c>
      <c r="G17" s="39">
        <f t="shared" si="5"/>
        <v>0</v>
      </c>
      <c r="H17" s="3">
        <f t="shared" si="11"/>
        <v>783940</v>
      </c>
      <c r="I17" s="44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f t="shared" si="8"/>
        <v>444679</v>
      </c>
      <c r="C18" s="39">
        <f t="shared" si="7"/>
        <v>0</v>
      </c>
      <c r="D18" s="3">
        <f t="shared" si="9"/>
        <v>6165</v>
      </c>
      <c r="E18" s="39">
        <f t="shared" si="2"/>
        <v>0</v>
      </c>
      <c r="F18" s="3">
        <f t="shared" si="10"/>
        <v>8450000</v>
      </c>
      <c r="G18" s="39">
        <f t="shared" si="5"/>
        <v>0</v>
      </c>
      <c r="H18" s="3">
        <f t="shared" si="11"/>
        <v>783940</v>
      </c>
      <c r="I18" s="44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44668</v>
      </c>
      <c r="B19" s="3">
        <f t="shared" si="8"/>
        <v>444679</v>
      </c>
      <c r="C19" s="39">
        <f t="shared" si="7"/>
        <v>0</v>
      </c>
      <c r="D19" s="3">
        <f t="shared" si="9"/>
        <v>6165</v>
      </c>
      <c r="E19" s="39">
        <f t="shared" ref="E19:E32" si="12">(IF((D19-D18)&lt;0,"0",(D19-D18)))*10</f>
        <v>0</v>
      </c>
      <c r="F19" s="3">
        <f t="shared" si="10"/>
        <v>8450000</v>
      </c>
      <c r="G19" s="39">
        <f t="shared" si="5"/>
        <v>0</v>
      </c>
      <c r="H19" s="3">
        <f t="shared" si="11"/>
        <v>783940</v>
      </c>
      <c r="I19" s="44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44669</v>
      </c>
      <c r="B20" s="3">
        <f t="shared" si="8"/>
        <v>444679</v>
      </c>
      <c r="C20" s="39">
        <f t="shared" si="7"/>
        <v>0</v>
      </c>
      <c r="D20" s="3">
        <f t="shared" si="9"/>
        <v>6165</v>
      </c>
      <c r="E20" s="39">
        <f t="shared" si="12"/>
        <v>0</v>
      </c>
      <c r="F20" s="3">
        <f t="shared" si="10"/>
        <v>8450000</v>
      </c>
      <c r="G20" s="39">
        <f t="shared" si="5"/>
        <v>0</v>
      </c>
      <c r="H20" s="3">
        <f t="shared" si="11"/>
        <v>783940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8"/>
        <v>444679</v>
      </c>
      <c r="C21" s="39">
        <f t="shared" si="7"/>
        <v>0</v>
      </c>
      <c r="D21" s="3">
        <f t="shared" si="9"/>
        <v>6165</v>
      </c>
      <c r="E21" s="39">
        <f t="shared" si="12"/>
        <v>0</v>
      </c>
      <c r="F21" s="3">
        <f t="shared" si="10"/>
        <v>8450000</v>
      </c>
      <c r="G21" s="39">
        <f t="shared" si="5"/>
        <v>0</v>
      </c>
      <c r="H21" s="3">
        <f t="shared" si="11"/>
        <v>783940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8"/>
        <v>444679</v>
      </c>
      <c r="C22" s="39">
        <f t="shared" si="7"/>
        <v>0</v>
      </c>
      <c r="D22" s="3">
        <f t="shared" si="9"/>
        <v>6165</v>
      </c>
      <c r="E22" s="39">
        <f t="shared" si="12"/>
        <v>0</v>
      </c>
      <c r="F22" s="3">
        <f t="shared" si="10"/>
        <v>8450000</v>
      </c>
      <c r="G22" s="39">
        <f t="shared" si="5"/>
        <v>0</v>
      </c>
      <c r="H22" s="3">
        <f t="shared" si="11"/>
        <v>783940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8"/>
        <v>444679</v>
      </c>
      <c r="C23" s="39">
        <f t="shared" si="7"/>
        <v>0</v>
      </c>
      <c r="D23" s="3">
        <f t="shared" si="9"/>
        <v>6165</v>
      </c>
      <c r="E23" s="39">
        <f t="shared" si="12"/>
        <v>0</v>
      </c>
      <c r="F23" s="3">
        <f t="shared" si="10"/>
        <v>8450000</v>
      </c>
      <c r="G23" s="39">
        <f t="shared" si="5"/>
        <v>0</v>
      </c>
      <c r="H23" s="3">
        <f t="shared" si="11"/>
        <v>783940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8"/>
        <v>444679</v>
      </c>
      <c r="C24" s="39">
        <f t="shared" si="7"/>
        <v>0</v>
      </c>
      <c r="D24" s="3">
        <f t="shared" si="9"/>
        <v>6165</v>
      </c>
      <c r="E24" s="39">
        <f t="shared" si="12"/>
        <v>0</v>
      </c>
      <c r="F24" s="3">
        <f t="shared" si="10"/>
        <v>8450000</v>
      </c>
      <c r="G24" s="39">
        <f t="shared" si="5"/>
        <v>0</v>
      </c>
      <c r="H24" s="3">
        <f t="shared" si="11"/>
        <v>783940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8"/>
        <v>444679</v>
      </c>
      <c r="C25" s="39">
        <f t="shared" si="7"/>
        <v>0</v>
      </c>
      <c r="D25" s="3">
        <f t="shared" si="9"/>
        <v>6165</v>
      </c>
      <c r="E25" s="39">
        <f t="shared" si="12"/>
        <v>0</v>
      </c>
      <c r="F25" s="3">
        <f t="shared" si="10"/>
        <v>8450000</v>
      </c>
      <c r="G25" s="39">
        <f t="shared" si="5"/>
        <v>0</v>
      </c>
      <c r="H25" s="3">
        <f t="shared" si="11"/>
        <v>783940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8"/>
        <v>444679</v>
      </c>
      <c r="C26" s="39">
        <f t="shared" si="7"/>
        <v>0</v>
      </c>
      <c r="D26" s="3">
        <f t="shared" si="9"/>
        <v>6165</v>
      </c>
      <c r="E26" s="39">
        <f t="shared" si="12"/>
        <v>0</v>
      </c>
      <c r="F26" s="3">
        <f t="shared" si="10"/>
        <v>8450000</v>
      </c>
      <c r="G26" s="39">
        <f t="shared" si="5"/>
        <v>0</v>
      </c>
      <c r="H26" s="3">
        <f t="shared" si="11"/>
        <v>783940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8"/>
        <v>444679</v>
      </c>
      <c r="C27" s="39">
        <f t="shared" si="7"/>
        <v>0</v>
      </c>
      <c r="D27" s="3">
        <f t="shared" si="9"/>
        <v>6165</v>
      </c>
      <c r="E27" s="39">
        <f t="shared" si="12"/>
        <v>0</v>
      </c>
      <c r="F27" s="3">
        <f t="shared" si="10"/>
        <v>8450000</v>
      </c>
      <c r="G27" s="39">
        <f t="shared" si="5"/>
        <v>0</v>
      </c>
      <c r="H27" s="3">
        <f t="shared" si="11"/>
        <v>783940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8"/>
        <v>444679</v>
      </c>
      <c r="C28" s="39">
        <f t="shared" si="7"/>
        <v>0</v>
      </c>
      <c r="D28" s="3">
        <f t="shared" si="9"/>
        <v>6165</v>
      </c>
      <c r="E28" s="39">
        <f t="shared" si="12"/>
        <v>0</v>
      </c>
      <c r="F28" s="3">
        <f t="shared" si="10"/>
        <v>8450000</v>
      </c>
      <c r="G28" s="39">
        <f t="shared" si="5"/>
        <v>0</v>
      </c>
      <c r="H28" s="3">
        <f t="shared" si="11"/>
        <v>783940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8"/>
        <v>444679</v>
      </c>
      <c r="C29" s="39">
        <f t="shared" si="7"/>
        <v>0</v>
      </c>
      <c r="D29" s="3">
        <f t="shared" si="9"/>
        <v>6165</v>
      </c>
      <c r="E29" s="39">
        <f t="shared" si="12"/>
        <v>0</v>
      </c>
      <c r="F29" s="3">
        <f t="shared" si="10"/>
        <v>8450000</v>
      </c>
      <c r="G29" s="39">
        <f t="shared" si="5"/>
        <v>0</v>
      </c>
      <c r="H29" s="3">
        <f t="shared" si="11"/>
        <v>783940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8"/>
        <v>444679</v>
      </c>
      <c r="C30" s="39">
        <f t="shared" si="7"/>
        <v>0</v>
      </c>
      <c r="D30" s="3">
        <f t="shared" si="9"/>
        <v>6165</v>
      </c>
      <c r="E30" s="39">
        <f t="shared" si="12"/>
        <v>0</v>
      </c>
      <c r="F30" s="3">
        <f t="shared" si="10"/>
        <v>8450000</v>
      </c>
      <c r="G30" s="39">
        <f t="shared" si="5"/>
        <v>0</v>
      </c>
      <c r="H30" s="3">
        <f t="shared" si="11"/>
        <v>783940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8"/>
        <v>444679</v>
      </c>
      <c r="C31" s="39">
        <f t="shared" si="7"/>
        <v>0</v>
      </c>
      <c r="D31" s="3">
        <f t="shared" si="9"/>
        <v>6165</v>
      </c>
      <c r="E31" s="39">
        <f t="shared" si="12"/>
        <v>0</v>
      </c>
      <c r="F31" s="3">
        <f t="shared" si="10"/>
        <v>8450000</v>
      </c>
      <c r="G31" s="39">
        <f t="shared" si="5"/>
        <v>0</v>
      </c>
      <c r="H31" s="3">
        <f t="shared" si="11"/>
        <v>783940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8"/>
        <v>444679</v>
      </c>
      <c r="C32" s="39">
        <f t="shared" si="7"/>
        <v>0</v>
      </c>
      <c r="D32" s="3">
        <f t="shared" si="9"/>
        <v>6165</v>
      </c>
      <c r="E32" s="39">
        <f t="shared" si="12"/>
        <v>0</v>
      </c>
      <c r="F32" s="3">
        <f t="shared" si="10"/>
        <v>8450000</v>
      </c>
      <c r="G32" s="39">
        <f t="shared" si="5"/>
        <v>0</v>
      </c>
      <c r="H32" s="3">
        <f t="shared" si="11"/>
        <v>783940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7400</v>
      </c>
      <c r="D33" s="3"/>
      <c r="E33" s="56">
        <f>SUM(E3:E32)</f>
        <v>3770</v>
      </c>
      <c r="F33" s="3"/>
      <c r="G33" s="56">
        <f>SUM(G3:G32)</f>
        <v>2405.7000000000003</v>
      </c>
      <c r="H33" s="3"/>
      <c r="I33" s="56">
        <f>SUM(I3:I32)</f>
        <v>30.375</v>
      </c>
      <c r="J33" s="56">
        <f>SUM(J3:J32)</f>
        <v>13606.075000000001</v>
      </c>
      <c r="K33" s="56">
        <f>SUM(K3:K32)</f>
        <v>79731.599500000011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I14" sqref="I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f t="shared" ref="B10:B32" si="1">B9</f>
        <v>18175422</v>
      </c>
      <c r="C10" s="45">
        <f t="shared" si="0"/>
        <v>0</v>
      </c>
    </row>
    <row r="11" spans="1:9" ht="24" thickBot="1" x14ac:dyDescent="0.4">
      <c r="A11" s="9">
        <v>44660</v>
      </c>
      <c r="B11" s="133">
        <f t="shared" si="1"/>
        <v>18175422</v>
      </c>
      <c r="C11" s="45">
        <f>IF((B11-B10)&lt;0,"0",(B11-B10))</f>
        <v>0</v>
      </c>
    </row>
    <row r="12" spans="1:9" ht="24" thickBot="1" x14ac:dyDescent="0.4">
      <c r="A12" s="9">
        <v>44661</v>
      </c>
      <c r="B12" s="133">
        <f t="shared" si="1"/>
        <v>18175422</v>
      </c>
      <c r="C12" s="45">
        <f t="shared" si="0"/>
        <v>0</v>
      </c>
    </row>
    <row r="13" spans="1:9" ht="24" thickBot="1" x14ac:dyDescent="0.4">
      <c r="A13" s="9">
        <v>44662</v>
      </c>
      <c r="B13" s="133">
        <f t="shared" si="1"/>
        <v>18175422</v>
      </c>
      <c r="C13" s="45">
        <f t="shared" si="0"/>
        <v>0</v>
      </c>
    </row>
    <row r="14" spans="1:9" ht="24" thickBot="1" x14ac:dyDescent="0.4">
      <c r="A14" s="9">
        <v>44663</v>
      </c>
      <c r="B14" s="133">
        <f t="shared" si="1"/>
        <v>18175422</v>
      </c>
      <c r="C14" s="45">
        <f t="shared" si="0"/>
        <v>0</v>
      </c>
    </row>
    <row r="15" spans="1:9" ht="24" thickBot="1" x14ac:dyDescent="0.4">
      <c r="A15" s="9">
        <v>44664</v>
      </c>
      <c r="B15" s="133">
        <f t="shared" si="1"/>
        <v>18175422</v>
      </c>
      <c r="C15" s="45">
        <f t="shared" si="0"/>
        <v>0</v>
      </c>
      <c r="I15" t="s">
        <v>12</v>
      </c>
    </row>
    <row r="16" spans="1:9" ht="26.25" customHeight="1" thickBot="1" x14ac:dyDescent="0.4">
      <c r="A16" s="9">
        <v>44665</v>
      </c>
      <c r="B16" s="133">
        <f t="shared" si="1"/>
        <v>18175422</v>
      </c>
      <c r="C16" s="45">
        <f t="shared" si="0"/>
        <v>0</v>
      </c>
      <c r="F16" s="156"/>
    </row>
    <row r="17" spans="1:9" ht="25.5" customHeight="1" thickBot="1" x14ac:dyDescent="0.4">
      <c r="A17" s="9">
        <v>44666</v>
      </c>
      <c r="B17" s="133">
        <f t="shared" si="1"/>
        <v>18175422</v>
      </c>
      <c r="C17" s="45">
        <f t="shared" si="0"/>
        <v>0</v>
      </c>
    </row>
    <row r="18" spans="1:9" ht="24" thickBot="1" x14ac:dyDescent="0.4">
      <c r="A18" s="9">
        <v>44667</v>
      </c>
      <c r="B18" s="133">
        <f t="shared" si="1"/>
        <v>18175422</v>
      </c>
      <c r="C18" s="45">
        <f t="shared" si="0"/>
        <v>0</v>
      </c>
      <c r="I18" s="35"/>
    </row>
    <row r="19" spans="1:9" ht="24" thickBot="1" x14ac:dyDescent="0.4">
      <c r="A19" s="9">
        <v>44668</v>
      </c>
      <c r="B19" s="133">
        <f t="shared" si="1"/>
        <v>18175422</v>
      </c>
      <c r="C19" s="45">
        <f t="shared" si="0"/>
        <v>0</v>
      </c>
    </row>
    <row r="20" spans="1:9" ht="24" thickBot="1" x14ac:dyDescent="0.4">
      <c r="A20" s="9">
        <v>44669</v>
      </c>
      <c r="B20" s="133">
        <f t="shared" si="1"/>
        <v>18175422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18175422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18175422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18175422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18175422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18175422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18175422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18175422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18175422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18175422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18175422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18175422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18175422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18290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N1" zoomScaleNormal="100" workbookViewId="0">
      <pane ySplit="1" topLeftCell="A2" activePane="bottomLeft" state="frozen"/>
      <selection pane="bottomLeft" activeCell="X10" sqref="X10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f t="shared" ref="B10:B32" si="36">B9</f>
        <v>23050.235000000001</v>
      </c>
      <c r="C10" s="44">
        <f t="shared" si="21"/>
        <v>0</v>
      </c>
      <c r="D10" s="28">
        <f t="shared" si="22"/>
        <v>0</v>
      </c>
      <c r="E10" s="1">
        <f t="shared" ref="E10:E32" si="37">E9</f>
        <v>4148.1319999999996</v>
      </c>
      <c r="F10" s="44">
        <f t="shared" si="23"/>
        <v>0</v>
      </c>
      <c r="G10" s="28">
        <f t="shared" si="24"/>
        <v>0</v>
      </c>
      <c r="H10" s="1">
        <f t="shared" ref="H10:H32" si="38">H9</f>
        <v>4998</v>
      </c>
      <c r="I10" s="44">
        <f t="shared" si="25"/>
        <v>0</v>
      </c>
      <c r="J10" s="28">
        <f t="shared" si="26"/>
        <v>0</v>
      </c>
      <c r="K10" s="7">
        <v>13889.7</v>
      </c>
      <c r="L10" s="44" t="str">
        <f t="shared" si="27"/>
        <v>0</v>
      </c>
      <c r="M10" s="28">
        <f t="shared" si="28"/>
        <v>0</v>
      </c>
      <c r="N10" s="7">
        <f t="shared" ref="N10:N32" si="39">N9</f>
        <v>3477.692</v>
      </c>
      <c r="O10" s="44">
        <f>IF((N10-N9)&lt;0,"0",(N10-N9))</f>
        <v>0</v>
      </c>
      <c r="P10" s="28">
        <f t="shared" si="30"/>
        <v>0</v>
      </c>
      <c r="Q10" s="7">
        <f t="shared" si="31"/>
        <v>5299.27</v>
      </c>
      <c r="R10" s="44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7">
        <v>44659</v>
      </c>
      <c r="X10" s="158">
        <f t="shared" ref="X10:X32" si="40">X9</f>
        <v>167943</v>
      </c>
      <c r="Y10" s="163">
        <f t="shared" si="20"/>
        <v>0</v>
      </c>
      <c r="Z10" s="158">
        <f t="shared" ref="Z10:Z32" si="41">Z9</f>
        <v>8854</v>
      </c>
      <c r="AA10" s="163">
        <f t="shared" si="20"/>
        <v>0</v>
      </c>
      <c r="AB10" s="158">
        <f t="shared" ref="AB10:AB32" si="42">AB9</f>
        <v>26.5</v>
      </c>
      <c r="AC10" s="163">
        <f t="shared" si="20"/>
        <v>0</v>
      </c>
      <c r="AD10" s="158">
        <f t="shared" ref="AD10:AD32" si="43">AD9</f>
        <v>369</v>
      </c>
      <c r="AE10" s="163">
        <f t="shared" si="20"/>
        <v>0</v>
      </c>
      <c r="AF10" s="158">
        <f t="shared" ref="AF10:AF32" si="44">AF9</f>
        <v>6688</v>
      </c>
      <c r="AG10" s="163">
        <f t="shared" si="20"/>
        <v>0</v>
      </c>
    </row>
    <row r="11" spans="1:33" ht="16.5" thickBot="1" x14ac:dyDescent="0.25">
      <c r="A11" s="9">
        <v>44660</v>
      </c>
      <c r="B11" s="160">
        <f t="shared" si="36"/>
        <v>23050.235000000001</v>
      </c>
      <c r="C11" s="44">
        <f t="shared" si="21"/>
        <v>0</v>
      </c>
      <c r="D11" s="28">
        <f t="shared" si="22"/>
        <v>0</v>
      </c>
      <c r="E11" s="1">
        <f t="shared" si="37"/>
        <v>4148.1319999999996</v>
      </c>
      <c r="F11" s="44">
        <f t="shared" si="23"/>
        <v>0</v>
      </c>
      <c r="G11" s="28">
        <f t="shared" si="24"/>
        <v>0</v>
      </c>
      <c r="H11" s="1">
        <f t="shared" si="38"/>
        <v>4998</v>
      </c>
      <c r="I11" s="44">
        <f t="shared" si="25"/>
        <v>0</v>
      </c>
      <c r="J11" s="28">
        <f t="shared" si="26"/>
        <v>0</v>
      </c>
      <c r="K11" s="7">
        <v>13889.7</v>
      </c>
      <c r="L11" s="44">
        <f t="shared" si="27"/>
        <v>0</v>
      </c>
      <c r="M11" s="28">
        <f t="shared" si="28"/>
        <v>0</v>
      </c>
      <c r="N11" s="7">
        <f t="shared" si="39"/>
        <v>3477.692</v>
      </c>
      <c r="O11" s="44">
        <f t="shared" si="29"/>
        <v>0</v>
      </c>
      <c r="P11" s="28">
        <f t="shared" si="30"/>
        <v>0</v>
      </c>
      <c r="Q11" s="7">
        <f t="shared" si="31"/>
        <v>5299.27</v>
      </c>
      <c r="R11" s="44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7">
        <v>44660</v>
      </c>
      <c r="X11" s="158">
        <f t="shared" si="40"/>
        <v>167943</v>
      </c>
      <c r="Y11" s="163">
        <f t="shared" si="20"/>
        <v>0</v>
      </c>
      <c r="Z11" s="158">
        <f t="shared" si="41"/>
        <v>8854</v>
      </c>
      <c r="AA11" s="163">
        <f t="shared" si="20"/>
        <v>0</v>
      </c>
      <c r="AB11" s="158">
        <f t="shared" si="42"/>
        <v>26.5</v>
      </c>
      <c r="AC11" s="163">
        <f t="shared" si="20"/>
        <v>0</v>
      </c>
      <c r="AD11" s="158">
        <f t="shared" si="43"/>
        <v>369</v>
      </c>
      <c r="AE11" s="163">
        <f t="shared" si="20"/>
        <v>0</v>
      </c>
      <c r="AF11" s="158">
        <f t="shared" si="44"/>
        <v>6688</v>
      </c>
      <c r="AG11" s="163">
        <f t="shared" si="20"/>
        <v>0</v>
      </c>
    </row>
    <row r="12" spans="1:33" ht="16.5" thickBot="1" x14ac:dyDescent="0.25">
      <c r="A12" s="9">
        <v>44661</v>
      </c>
      <c r="B12" s="160">
        <f t="shared" si="36"/>
        <v>23050.235000000001</v>
      </c>
      <c r="C12" s="44">
        <f t="shared" si="21"/>
        <v>0</v>
      </c>
      <c r="D12" s="28">
        <f t="shared" si="22"/>
        <v>0</v>
      </c>
      <c r="E12" s="1">
        <f t="shared" si="37"/>
        <v>4148.1319999999996</v>
      </c>
      <c r="F12" s="44">
        <f t="shared" si="23"/>
        <v>0</v>
      </c>
      <c r="G12" s="28">
        <f t="shared" si="24"/>
        <v>0</v>
      </c>
      <c r="H12" s="1">
        <f t="shared" si="38"/>
        <v>4998</v>
      </c>
      <c r="I12" s="44">
        <f t="shared" si="25"/>
        <v>0</v>
      </c>
      <c r="J12" s="28">
        <f t="shared" si="26"/>
        <v>0</v>
      </c>
      <c r="K12" s="7">
        <v>13889.7</v>
      </c>
      <c r="L12" s="44">
        <f t="shared" si="27"/>
        <v>0</v>
      </c>
      <c r="M12" s="28">
        <f t="shared" si="28"/>
        <v>0</v>
      </c>
      <c r="N12" s="7">
        <f t="shared" si="39"/>
        <v>3477.692</v>
      </c>
      <c r="O12" s="44">
        <f t="shared" si="29"/>
        <v>0</v>
      </c>
      <c r="P12" s="28">
        <f t="shared" si="30"/>
        <v>0</v>
      </c>
      <c r="Q12" s="7">
        <f t="shared" si="31"/>
        <v>5299.27</v>
      </c>
      <c r="R12" s="44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7">
        <v>44661</v>
      </c>
      <c r="X12" s="158">
        <f t="shared" si="40"/>
        <v>167943</v>
      </c>
      <c r="Y12" s="163">
        <f t="shared" si="20"/>
        <v>0</v>
      </c>
      <c r="Z12" s="158">
        <f t="shared" si="41"/>
        <v>8854</v>
      </c>
      <c r="AA12" s="163">
        <f t="shared" si="20"/>
        <v>0</v>
      </c>
      <c r="AB12" s="158">
        <f t="shared" si="42"/>
        <v>26.5</v>
      </c>
      <c r="AC12" s="163">
        <f t="shared" si="20"/>
        <v>0</v>
      </c>
      <c r="AD12" s="158">
        <f t="shared" si="43"/>
        <v>369</v>
      </c>
      <c r="AE12" s="163">
        <f t="shared" si="20"/>
        <v>0</v>
      </c>
      <c r="AF12" s="158">
        <f t="shared" si="44"/>
        <v>6688</v>
      </c>
      <c r="AG12" s="163">
        <f t="shared" si="20"/>
        <v>0</v>
      </c>
    </row>
    <row r="13" spans="1:33" ht="16.5" thickBot="1" x14ac:dyDescent="0.25">
      <c r="A13" s="9">
        <v>44662</v>
      </c>
      <c r="B13" s="160">
        <f t="shared" si="36"/>
        <v>23050.235000000001</v>
      </c>
      <c r="C13" s="44">
        <f t="shared" si="21"/>
        <v>0</v>
      </c>
      <c r="D13" s="28">
        <f t="shared" si="22"/>
        <v>0</v>
      </c>
      <c r="E13" s="1">
        <f t="shared" si="37"/>
        <v>4148.1319999999996</v>
      </c>
      <c r="F13" s="44">
        <f t="shared" si="23"/>
        <v>0</v>
      </c>
      <c r="G13" s="28">
        <f t="shared" si="24"/>
        <v>0</v>
      </c>
      <c r="H13" s="1">
        <f t="shared" si="38"/>
        <v>4998</v>
      </c>
      <c r="I13" s="44">
        <f t="shared" si="25"/>
        <v>0</v>
      </c>
      <c r="J13" s="28">
        <f t="shared" si="26"/>
        <v>0</v>
      </c>
      <c r="K13" s="7">
        <v>13889.7</v>
      </c>
      <c r="L13" s="44">
        <f t="shared" si="27"/>
        <v>0</v>
      </c>
      <c r="M13" s="28">
        <f t="shared" si="28"/>
        <v>0</v>
      </c>
      <c r="N13" s="7">
        <f t="shared" si="39"/>
        <v>3477.692</v>
      </c>
      <c r="O13" s="44">
        <f t="shared" si="29"/>
        <v>0</v>
      </c>
      <c r="P13" s="28">
        <f t="shared" si="30"/>
        <v>0</v>
      </c>
      <c r="Q13" s="7">
        <f t="shared" si="31"/>
        <v>5299.27</v>
      </c>
      <c r="R13" s="44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44662</v>
      </c>
      <c r="X13" s="158">
        <f t="shared" si="40"/>
        <v>167943</v>
      </c>
      <c r="Y13" s="163">
        <f t="shared" si="20"/>
        <v>0</v>
      </c>
      <c r="Z13" s="158">
        <f t="shared" si="41"/>
        <v>8854</v>
      </c>
      <c r="AA13" s="163">
        <f t="shared" si="20"/>
        <v>0</v>
      </c>
      <c r="AB13" s="158">
        <f t="shared" si="42"/>
        <v>26.5</v>
      </c>
      <c r="AC13" s="163">
        <f t="shared" si="20"/>
        <v>0</v>
      </c>
      <c r="AD13" s="158">
        <f t="shared" si="43"/>
        <v>369</v>
      </c>
      <c r="AE13" s="163">
        <f t="shared" si="20"/>
        <v>0</v>
      </c>
      <c r="AF13" s="158">
        <f t="shared" si="44"/>
        <v>6688</v>
      </c>
      <c r="AG13" s="163">
        <f t="shared" si="20"/>
        <v>0</v>
      </c>
    </row>
    <row r="14" spans="1:33" ht="16.5" thickBot="1" x14ac:dyDescent="0.25">
      <c r="A14" s="9">
        <v>44663</v>
      </c>
      <c r="B14" s="160">
        <f t="shared" si="36"/>
        <v>23050.235000000001</v>
      </c>
      <c r="C14" s="44">
        <f t="shared" si="21"/>
        <v>0</v>
      </c>
      <c r="D14" s="28">
        <f t="shared" si="22"/>
        <v>0</v>
      </c>
      <c r="E14" s="1">
        <f t="shared" si="37"/>
        <v>4148.1319999999996</v>
      </c>
      <c r="F14" s="44">
        <f t="shared" si="23"/>
        <v>0</v>
      </c>
      <c r="G14" s="28">
        <f t="shared" si="24"/>
        <v>0</v>
      </c>
      <c r="H14" s="1">
        <f t="shared" si="38"/>
        <v>4998</v>
      </c>
      <c r="I14" s="44">
        <f t="shared" si="25"/>
        <v>0</v>
      </c>
      <c r="J14" s="28">
        <f t="shared" si="26"/>
        <v>0</v>
      </c>
      <c r="K14" s="7">
        <v>13889.7</v>
      </c>
      <c r="L14" s="44">
        <f t="shared" si="27"/>
        <v>0</v>
      </c>
      <c r="M14" s="28">
        <f t="shared" si="28"/>
        <v>0</v>
      </c>
      <c r="N14" s="7">
        <f t="shared" si="39"/>
        <v>3477.692</v>
      </c>
      <c r="O14" s="44">
        <f>IF((N14-N13)&lt;0,"0",(N14-N13))</f>
        <v>0</v>
      </c>
      <c r="P14" s="28">
        <f t="shared" si="30"/>
        <v>0</v>
      </c>
      <c r="Q14" s="7">
        <f t="shared" si="31"/>
        <v>5299.27</v>
      </c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44663</v>
      </c>
      <c r="X14" s="158">
        <f t="shared" si="40"/>
        <v>167943</v>
      </c>
      <c r="Y14" s="163">
        <f t="shared" si="20"/>
        <v>0</v>
      </c>
      <c r="Z14" s="158">
        <f t="shared" si="41"/>
        <v>8854</v>
      </c>
      <c r="AA14" s="163">
        <f t="shared" si="20"/>
        <v>0</v>
      </c>
      <c r="AB14" s="158">
        <f t="shared" si="42"/>
        <v>26.5</v>
      </c>
      <c r="AC14" s="163">
        <f t="shared" si="20"/>
        <v>0</v>
      </c>
      <c r="AD14" s="158">
        <f t="shared" si="43"/>
        <v>369</v>
      </c>
      <c r="AE14" s="163">
        <f t="shared" si="20"/>
        <v>0</v>
      </c>
      <c r="AF14" s="158">
        <f t="shared" si="44"/>
        <v>6688</v>
      </c>
      <c r="AG14" s="163">
        <f t="shared" si="20"/>
        <v>0</v>
      </c>
    </row>
    <row r="15" spans="1:33" ht="16.5" thickBot="1" x14ac:dyDescent="0.25">
      <c r="A15" s="9">
        <v>44664</v>
      </c>
      <c r="B15" s="160">
        <f t="shared" si="36"/>
        <v>23050.235000000001</v>
      </c>
      <c r="C15" s="44">
        <f t="shared" ref="C15" si="45">IF((B15-B14)&lt;0,"0",(B15-B14))</f>
        <v>0</v>
      </c>
      <c r="D15" s="28">
        <f t="shared" ref="D15" si="46">C15*1.9*1000</f>
        <v>0</v>
      </c>
      <c r="E15" s="1">
        <f t="shared" si="37"/>
        <v>4148.1319999999996</v>
      </c>
      <c r="F15" s="44">
        <f t="shared" ref="F15" si="47">IF((E15-E14)&lt;0,"0",(E15-E14))</f>
        <v>0</v>
      </c>
      <c r="G15" s="28">
        <f t="shared" ref="G15" si="48">F15*1.9*1000</f>
        <v>0</v>
      </c>
      <c r="H15" s="1">
        <f t="shared" si="38"/>
        <v>4998</v>
      </c>
      <c r="I15" s="44">
        <f t="shared" ref="I15" si="49">IF((H15-H14)&lt;0,"0",(H15-H14))</f>
        <v>0</v>
      </c>
      <c r="J15" s="28">
        <f t="shared" ref="J15" si="50">I15*1.9*1000</f>
        <v>0</v>
      </c>
      <c r="K15" s="7">
        <v>13889.7</v>
      </c>
      <c r="L15" s="44">
        <f t="shared" ref="L15" si="51">IF((K15-K14)&lt;0,"0",(K15-K14))</f>
        <v>0</v>
      </c>
      <c r="M15" s="28">
        <f t="shared" ref="M15" si="52">L15*1.9*1000</f>
        <v>0</v>
      </c>
      <c r="N15" s="7">
        <f t="shared" si="39"/>
        <v>3477.692</v>
      </c>
      <c r="O15" s="44">
        <f>IF((N15-N14)&lt;0,"0",(N15-N14))</f>
        <v>0</v>
      </c>
      <c r="P15" s="28">
        <f t="shared" ref="P15" si="53">O15*1.9*1000</f>
        <v>0</v>
      </c>
      <c r="Q15" s="7">
        <f t="shared" si="31"/>
        <v>5299.27</v>
      </c>
      <c r="R15" s="44">
        <f t="shared" ref="R15" si="54">IF((Q15-Q14)&lt;0,"0",(Q15-Q14))</f>
        <v>0</v>
      </c>
      <c r="S15" s="28">
        <f t="shared" ref="S15" si="55">R15*1.9*1000</f>
        <v>0</v>
      </c>
      <c r="T15" s="8">
        <f t="shared" ref="T15" si="56">C15+F15+I15+L15+O15+R15</f>
        <v>0</v>
      </c>
      <c r="U15" s="30">
        <f t="shared" ref="U15" si="57">T15*1.9*1000</f>
        <v>0</v>
      </c>
      <c r="W15" s="157">
        <v>44664</v>
      </c>
      <c r="X15" s="158">
        <f t="shared" si="40"/>
        <v>167943</v>
      </c>
      <c r="Y15" s="163">
        <f t="shared" si="20"/>
        <v>0</v>
      </c>
      <c r="Z15" s="158">
        <f t="shared" si="41"/>
        <v>8854</v>
      </c>
      <c r="AA15" s="163">
        <f t="shared" si="20"/>
        <v>0</v>
      </c>
      <c r="AB15" s="158">
        <f t="shared" si="42"/>
        <v>26.5</v>
      </c>
      <c r="AC15" s="163">
        <f t="shared" si="20"/>
        <v>0</v>
      </c>
      <c r="AD15" s="158">
        <f t="shared" si="43"/>
        <v>369</v>
      </c>
      <c r="AE15" s="163">
        <f t="shared" si="20"/>
        <v>0</v>
      </c>
      <c r="AF15" s="158">
        <f t="shared" si="44"/>
        <v>6688</v>
      </c>
      <c r="AG15" s="163">
        <f t="shared" si="20"/>
        <v>0</v>
      </c>
    </row>
    <row r="16" spans="1:33" ht="16.5" thickBot="1" x14ac:dyDescent="0.25">
      <c r="A16" s="9">
        <v>44665</v>
      </c>
      <c r="B16" s="160">
        <f t="shared" si="36"/>
        <v>23050.235000000001</v>
      </c>
      <c r="C16" s="44">
        <f t="shared" si="21"/>
        <v>0</v>
      </c>
      <c r="D16" s="28">
        <f t="shared" si="22"/>
        <v>0</v>
      </c>
      <c r="E16" s="1">
        <f t="shared" si="37"/>
        <v>4148.1319999999996</v>
      </c>
      <c r="F16" s="44">
        <f t="shared" si="23"/>
        <v>0</v>
      </c>
      <c r="G16" s="28">
        <f t="shared" si="24"/>
        <v>0</v>
      </c>
      <c r="H16" s="1">
        <f t="shared" si="38"/>
        <v>4998</v>
      </c>
      <c r="I16" s="44">
        <f t="shared" si="25"/>
        <v>0</v>
      </c>
      <c r="J16" s="28">
        <f t="shared" si="26"/>
        <v>0</v>
      </c>
      <c r="K16" s="7">
        <v>13889.7</v>
      </c>
      <c r="L16" s="44">
        <f t="shared" si="27"/>
        <v>0</v>
      </c>
      <c r="M16" s="28">
        <f t="shared" si="28"/>
        <v>0</v>
      </c>
      <c r="N16" s="7">
        <f t="shared" si="39"/>
        <v>3477.692</v>
      </c>
      <c r="O16" s="44">
        <f t="shared" si="29"/>
        <v>0</v>
      </c>
      <c r="P16" s="28">
        <f t="shared" si="30"/>
        <v>0</v>
      </c>
      <c r="Q16" s="7">
        <f t="shared" si="31"/>
        <v>5299.27</v>
      </c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44665</v>
      </c>
      <c r="X16" s="158">
        <f t="shared" si="40"/>
        <v>167943</v>
      </c>
      <c r="Y16" s="163">
        <f t="shared" si="20"/>
        <v>0</v>
      </c>
      <c r="Z16" s="158">
        <f t="shared" si="41"/>
        <v>8854</v>
      </c>
      <c r="AA16" s="163">
        <f t="shared" si="20"/>
        <v>0</v>
      </c>
      <c r="AB16" s="158">
        <f t="shared" si="42"/>
        <v>26.5</v>
      </c>
      <c r="AC16" s="163">
        <f t="shared" si="20"/>
        <v>0</v>
      </c>
      <c r="AD16" s="158">
        <f t="shared" si="43"/>
        <v>369</v>
      </c>
      <c r="AE16" s="163">
        <f t="shared" si="20"/>
        <v>0</v>
      </c>
      <c r="AF16" s="158">
        <f t="shared" si="44"/>
        <v>6688</v>
      </c>
      <c r="AG16" s="163">
        <f t="shared" si="20"/>
        <v>0</v>
      </c>
    </row>
    <row r="17" spans="1:33" ht="16.5" thickBot="1" x14ac:dyDescent="0.25">
      <c r="A17" s="9">
        <v>44666</v>
      </c>
      <c r="B17" s="160">
        <f t="shared" si="36"/>
        <v>23050.235000000001</v>
      </c>
      <c r="C17" s="44">
        <f t="shared" si="21"/>
        <v>0</v>
      </c>
      <c r="D17" s="28">
        <f t="shared" si="22"/>
        <v>0</v>
      </c>
      <c r="E17" s="1">
        <f t="shared" si="37"/>
        <v>4148.1319999999996</v>
      </c>
      <c r="F17" s="44">
        <f t="shared" si="23"/>
        <v>0</v>
      </c>
      <c r="G17" s="28">
        <f t="shared" si="24"/>
        <v>0</v>
      </c>
      <c r="H17" s="1">
        <f t="shared" si="38"/>
        <v>4998</v>
      </c>
      <c r="I17" s="44">
        <f t="shared" si="25"/>
        <v>0</v>
      </c>
      <c r="J17" s="28">
        <f t="shared" si="26"/>
        <v>0</v>
      </c>
      <c r="K17" s="7">
        <v>13889.7</v>
      </c>
      <c r="L17" s="44">
        <f t="shared" si="27"/>
        <v>0</v>
      </c>
      <c r="M17" s="28">
        <f t="shared" si="28"/>
        <v>0</v>
      </c>
      <c r="N17" s="7">
        <f t="shared" si="39"/>
        <v>3477.692</v>
      </c>
      <c r="O17" s="44">
        <f t="shared" si="29"/>
        <v>0</v>
      </c>
      <c r="P17" s="28">
        <f t="shared" si="30"/>
        <v>0</v>
      </c>
      <c r="Q17" s="7">
        <f t="shared" si="31"/>
        <v>5299.27</v>
      </c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44666</v>
      </c>
      <c r="X17" s="158">
        <f t="shared" si="40"/>
        <v>167943</v>
      </c>
      <c r="Y17" s="163">
        <f t="shared" si="20"/>
        <v>0</v>
      </c>
      <c r="Z17" s="158">
        <f t="shared" si="41"/>
        <v>8854</v>
      </c>
      <c r="AA17" s="163">
        <f t="shared" si="20"/>
        <v>0</v>
      </c>
      <c r="AB17" s="158">
        <f t="shared" si="42"/>
        <v>26.5</v>
      </c>
      <c r="AC17" s="163">
        <f t="shared" si="20"/>
        <v>0</v>
      </c>
      <c r="AD17" s="158">
        <f t="shared" si="43"/>
        <v>369</v>
      </c>
      <c r="AE17" s="163">
        <f t="shared" si="20"/>
        <v>0</v>
      </c>
      <c r="AF17" s="158">
        <f t="shared" si="44"/>
        <v>6688</v>
      </c>
      <c r="AG17" s="163">
        <f t="shared" si="20"/>
        <v>0</v>
      </c>
    </row>
    <row r="18" spans="1:33" ht="16.5" thickBot="1" x14ac:dyDescent="0.25">
      <c r="A18" s="9">
        <v>44667</v>
      </c>
      <c r="B18" s="160">
        <f t="shared" si="36"/>
        <v>23050.235000000001</v>
      </c>
      <c r="C18" s="44">
        <f t="shared" si="21"/>
        <v>0</v>
      </c>
      <c r="D18" s="28">
        <f t="shared" si="22"/>
        <v>0</v>
      </c>
      <c r="E18" s="1">
        <f t="shared" si="37"/>
        <v>4148.1319999999996</v>
      </c>
      <c r="F18" s="44">
        <f t="shared" si="23"/>
        <v>0</v>
      </c>
      <c r="G18" s="28">
        <f t="shared" si="24"/>
        <v>0</v>
      </c>
      <c r="H18" s="1">
        <f t="shared" si="38"/>
        <v>4998</v>
      </c>
      <c r="I18" s="44">
        <f t="shared" si="25"/>
        <v>0</v>
      </c>
      <c r="J18" s="28">
        <f t="shared" si="26"/>
        <v>0</v>
      </c>
      <c r="K18" s="7">
        <v>13889.7</v>
      </c>
      <c r="L18" s="44">
        <f t="shared" si="27"/>
        <v>0</v>
      </c>
      <c r="M18" s="28">
        <f t="shared" si="28"/>
        <v>0</v>
      </c>
      <c r="N18" s="7">
        <f t="shared" si="39"/>
        <v>3477.692</v>
      </c>
      <c r="O18" s="44">
        <f t="shared" si="29"/>
        <v>0</v>
      </c>
      <c r="P18" s="28">
        <f t="shared" si="30"/>
        <v>0</v>
      </c>
      <c r="Q18" s="7">
        <f t="shared" si="31"/>
        <v>5299.27</v>
      </c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44667</v>
      </c>
      <c r="X18" s="158">
        <f t="shared" si="40"/>
        <v>167943</v>
      </c>
      <c r="Y18" s="163">
        <f t="shared" si="20"/>
        <v>0</v>
      </c>
      <c r="Z18" s="158">
        <f t="shared" si="41"/>
        <v>8854</v>
      </c>
      <c r="AA18" s="163">
        <f t="shared" si="20"/>
        <v>0</v>
      </c>
      <c r="AB18" s="158">
        <f t="shared" si="42"/>
        <v>26.5</v>
      </c>
      <c r="AC18" s="163">
        <f t="shared" si="20"/>
        <v>0</v>
      </c>
      <c r="AD18" s="158">
        <f t="shared" si="43"/>
        <v>369</v>
      </c>
      <c r="AE18" s="163">
        <f t="shared" si="20"/>
        <v>0</v>
      </c>
      <c r="AF18" s="158">
        <f t="shared" si="44"/>
        <v>6688</v>
      </c>
      <c r="AG18" s="163">
        <f t="shared" si="20"/>
        <v>0</v>
      </c>
    </row>
    <row r="19" spans="1:33" ht="16.5" thickBot="1" x14ac:dyDescent="0.25">
      <c r="A19" s="9">
        <v>44668</v>
      </c>
      <c r="B19" s="160">
        <f t="shared" si="36"/>
        <v>23050.235000000001</v>
      </c>
      <c r="C19" s="44">
        <f t="shared" si="21"/>
        <v>0</v>
      </c>
      <c r="D19" s="28">
        <f t="shared" si="22"/>
        <v>0</v>
      </c>
      <c r="E19" s="1">
        <f t="shared" si="37"/>
        <v>4148.1319999999996</v>
      </c>
      <c r="F19" s="44">
        <f t="shared" si="23"/>
        <v>0</v>
      </c>
      <c r="G19" s="28">
        <f t="shared" si="24"/>
        <v>0</v>
      </c>
      <c r="H19" s="1">
        <f t="shared" si="38"/>
        <v>4998</v>
      </c>
      <c r="I19" s="44">
        <f t="shared" si="25"/>
        <v>0</v>
      </c>
      <c r="J19" s="28">
        <f t="shared" si="26"/>
        <v>0</v>
      </c>
      <c r="K19" s="7">
        <v>13889.7</v>
      </c>
      <c r="L19" s="44">
        <f t="shared" si="27"/>
        <v>0</v>
      </c>
      <c r="M19" s="28">
        <f t="shared" si="28"/>
        <v>0</v>
      </c>
      <c r="N19" s="7">
        <f t="shared" si="39"/>
        <v>3477.692</v>
      </c>
      <c r="O19" s="44">
        <f t="shared" si="29"/>
        <v>0</v>
      </c>
      <c r="P19" s="28">
        <f t="shared" si="30"/>
        <v>0</v>
      </c>
      <c r="Q19" s="7">
        <f t="shared" si="31"/>
        <v>5299.27</v>
      </c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44668</v>
      </c>
      <c r="X19" s="158">
        <f t="shared" si="40"/>
        <v>167943</v>
      </c>
      <c r="Y19" s="163">
        <f t="shared" si="20"/>
        <v>0</v>
      </c>
      <c r="Z19" s="158">
        <f t="shared" si="41"/>
        <v>8854</v>
      </c>
      <c r="AA19" s="163">
        <f t="shared" si="20"/>
        <v>0</v>
      </c>
      <c r="AB19" s="158">
        <f t="shared" si="42"/>
        <v>26.5</v>
      </c>
      <c r="AC19" s="163">
        <f t="shared" si="20"/>
        <v>0</v>
      </c>
      <c r="AD19" s="158">
        <f t="shared" si="43"/>
        <v>369</v>
      </c>
      <c r="AE19" s="163">
        <f t="shared" si="20"/>
        <v>0</v>
      </c>
      <c r="AF19" s="158">
        <f t="shared" si="44"/>
        <v>6688</v>
      </c>
      <c r="AG19" s="163">
        <f t="shared" si="20"/>
        <v>0</v>
      </c>
    </row>
    <row r="20" spans="1:33" ht="16.5" thickBot="1" x14ac:dyDescent="0.25">
      <c r="A20" s="9">
        <v>44669</v>
      </c>
      <c r="B20" s="160">
        <f t="shared" si="36"/>
        <v>23050.235000000001</v>
      </c>
      <c r="C20" s="44">
        <f t="shared" si="21"/>
        <v>0</v>
      </c>
      <c r="D20" s="28">
        <f t="shared" si="22"/>
        <v>0</v>
      </c>
      <c r="E20" s="1">
        <f t="shared" si="37"/>
        <v>4148.1319999999996</v>
      </c>
      <c r="F20" s="44">
        <f t="shared" si="23"/>
        <v>0</v>
      </c>
      <c r="G20" s="28">
        <f t="shared" si="24"/>
        <v>0</v>
      </c>
      <c r="H20" s="1">
        <f t="shared" si="38"/>
        <v>4998</v>
      </c>
      <c r="I20" s="44">
        <f t="shared" si="25"/>
        <v>0</v>
      </c>
      <c r="J20" s="28">
        <f t="shared" si="26"/>
        <v>0</v>
      </c>
      <c r="K20" s="7">
        <v>13889.7</v>
      </c>
      <c r="L20" s="44">
        <f t="shared" si="27"/>
        <v>0</v>
      </c>
      <c r="M20" s="28">
        <f t="shared" si="28"/>
        <v>0</v>
      </c>
      <c r="N20" s="7">
        <f t="shared" si="39"/>
        <v>3477.692</v>
      </c>
      <c r="O20" s="44">
        <f t="shared" si="29"/>
        <v>0</v>
      </c>
      <c r="P20" s="28">
        <f t="shared" si="30"/>
        <v>0</v>
      </c>
      <c r="Q20" s="7">
        <f t="shared" si="31"/>
        <v>5299.27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si="40"/>
        <v>167943</v>
      </c>
      <c r="Y20" s="163">
        <f t="shared" si="20"/>
        <v>0</v>
      </c>
      <c r="Z20" s="158">
        <f t="shared" si="41"/>
        <v>8854</v>
      </c>
      <c r="AA20" s="163">
        <f t="shared" si="20"/>
        <v>0</v>
      </c>
      <c r="AB20" s="158">
        <f t="shared" si="42"/>
        <v>26.5</v>
      </c>
      <c r="AC20" s="163">
        <f t="shared" si="20"/>
        <v>0</v>
      </c>
      <c r="AD20" s="158">
        <f t="shared" si="43"/>
        <v>369</v>
      </c>
      <c r="AE20" s="163">
        <f t="shared" si="20"/>
        <v>0</v>
      </c>
      <c r="AF20" s="158">
        <f t="shared" si="44"/>
        <v>6688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36"/>
        <v>23050.235000000001</v>
      </c>
      <c r="C21" s="44">
        <f t="shared" si="21"/>
        <v>0</v>
      </c>
      <c r="D21" s="28">
        <f t="shared" si="22"/>
        <v>0</v>
      </c>
      <c r="E21" s="1">
        <f t="shared" si="37"/>
        <v>4148.1319999999996</v>
      </c>
      <c r="F21" s="44">
        <f t="shared" si="23"/>
        <v>0</v>
      </c>
      <c r="G21" s="28">
        <f t="shared" si="24"/>
        <v>0</v>
      </c>
      <c r="H21" s="1">
        <f t="shared" si="38"/>
        <v>4998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39"/>
        <v>3477.692</v>
      </c>
      <c r="O21" s="44">
        <f t="shared" si="29"/>
        <v>0</v>
      </c>
      <c r="P21" s="28">
        <f t="shared" si="30"/>
        <v>0</v>
      </c>
      <c r="Q21" s="7">
        <f t="shared" si="31"/>
        <v>5299.27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40"/>
        <v>167943</v>
      </c>
      <c r="Y21" s="163">
        <f t="shared" si="20"/>
        <v>0</v>
      </c>
      <c r="Z21" s="158">
        <f t="shared" si="41"/>
        <v>8854</v>
      </c>
      <c r="AA21" s="163">
        <f t="shared" si="20"/>
        <v>0</v>
      </c>
      <c r="AB21" s="158">
        <f t="shared" si="42"/>
        <v>26.5</v>
      </c>
      <c r="AC21" s="163">
        <f t="shared" si="20"/>
        <v>0</v>
      </c>
      <c r="AD21" s="158">
        <f t="shared" si="43"/>
        <v>369</v>
      </c>
      <c r="AE21" s="163">
        <f t="shared" si="20"/>
        <v>0</v>
      </c>
      <c r="AF21" s="158">
        <f t="shared" si="44"/>
        <v>6688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36"/>
        <v>23050.235000000001</v>
      </c>
      <c r="C22" s="44">
        <f t="shared" si="21"/>
        <v>0</v>
      </c>
      <c r="D22" s="28">
        <f t="shared" si="22"/>
        <v>0</v>
      </c>
      <c r="E22" s="1">
        <f t="shared" si="37"/>
        <v>4148.1319999999996</v>
      </c>
      <c r="F22" s="44">
        <f t="shared" si="23"/>
        <v>0</v>
      </c>
      <c r="G22" s="28">
        <f t="shared" si="24"/>
        <v>0</v>
      </c>
      <c r="H22" s="1">
        <f t="shared" si="38"/>
        <v>4998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39"/>
        <v>3477.692</v>
      </c>
      <c r="O22" s="44">
        <f t="shared" si="29"/>
        <v>0</v>
      </c>
      <c r="P22" s="28">
        <f t="shared" si="30"/>
        <v>0</v>
      </c>
      <c r="Q22" s="7">
        <f t="shared" si="31"/>
        <v>5299.27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40"/>
        <v>167943</v>
      </c>
      <c r="Y22" s="163">
        <f t="shared" si="20"/>
        <v>0</v>
      </c>
      <c r="Z22" s="158">
        <f t="shared" si="41"/>
        <v>8854</v>
      </c>
      <c r="AA22" s="163">
        <f t="shared" si="20"/>
        <v>0</v>
      </c>
      <c r="AB22" s="158">
        <f t="shared" si="42"/>
        <v>26.5</v>
      </c>
      <c r="AC22" s="163">
        <f t="shared" si="20"/>
        <v>0</v>
      </c>
      <c r="AD22" s="158">
        <f t="shared" si="43"/>
        <v>369</v>
      </c>
      <c r="AE22" s="163">
        <f t="shared" si="20"/>
        <v>0</v>
      </c>
      <c r="AF22" s="158">
        <f t="shared" si="44"/>
        <v>6688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36"/>
        <v>23050.235000000001</v>
      </c>
      <c r="C23" s="44">
        <f t="shared" si="21"/>
        <v>0</v>
      </c>
      <c r="D23" s="28">
        <f t="shared" si="22"/>
        <v>0</v>
      </c>
      <c r="E23" s="1">
        <f t="shared" si="37"/>
        <v>4148.1319999999996</v>
      </c>
      <c r="F23" s="44">
        <f t="shared" si="23"/>
        <v>0</v>
      </c>
      <c r="G23" s="28">
        <f t="shared" si="24"/>
        <v>0</v>
      </c>
      <c r="H23" s="1">
        <f t="shared" si="38"/>
        <v>4998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39"/>
        <v>3477.692</v>
      </c>
      <c r="O23" s="44">
        <f t="shared" si="29"/>
        <v>0</v>
      </c>
      <c r="P23" s="28">
        <f t="shared" si="30"/>
        <v>0</v>
      </c>
      <c r="Q23" s="7">
        <f t="shared" si="31"/>
        <v>5299.27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40"/>
        <v>167943</v>
      </c>
      <c r="Y23" s="163">
        <f t="shared" si="20"/>
        <v>0</v>
      </c>
      <c r="Z23" s="158">
        <f t="shared" si="41"/>
        <v>8854</v>
      </c>
      <c r="AA23" s="163">
        <f t="shared" si="20"/>
        <v>0</v>
      </c>
      <c r="AB23" s="158">
        <f t="shared" si="42"/>
        <v>26.5</v>
      </c>
      <c r="AC23" s="163">
        <f t="shared" si="20"/>
        <v>0</v>
      </c>
      <c r="AD23" s="158">
        <f t="shared" si="43"/>
        <v>369</v>
      </c>
      <c r="AE23" s="163">
        <f t="shared" si="20"/>
        <v>0</v>
      </c>
      <c r="AF23" s="158">
        <f t="shared" si="44"/>
        <v>6688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36"/>
        <v>23050.235000000001</v>
      </c>
      <c r="C24" s="44">
        <f t="shared" si="21"/>
        <v>0</v>
      </c>
      <c r="D24" s="28">
        <f t="shared" si="22"/>
        <v>0</v>
      </c>
      <c r="E24" s="1">
        <f t="shared" si="37"/>
        <v>4148.1319999999996</v>
      </c>
      <c r="F24" s="44">
        <f t="shared" si="23"/>
        <v>0</v>
      </c>
      <c r="G24" s="28">
        <f t="shared" si="24"/>
        <v>0</v>
      </c>
      <c r="H24" s="1">
        <f t="shared" si="38"/>
        <v>4998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39"/>
        <v>3477.692</v>
      </c>
      <c r="O24" s="44">
        <f t="shared" si="29"/>
        <v>0</v>
      </c>
      <c r="P24" s="28">
        <f t="shared" si="30"/>
        <v>0</v>
      </c>
      <c r="Q24" s="7">
        <f t="shared" si="31"/>
        <v>5299.27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40"/>
        <v>167943</v>
      </c>
      <c r="Y24" s="163">
        <f t="shared" si="20"/>
        <v>0</v>
      </c>
      <c r="Z24" s="158">
        <f t="shared" si="41"/>
        <v>8854</v>
      </c>
      <c r="AA24" s="163">
        <f t="shared" si="20"/>
        <v>0</v>
      </c>
      <c r="AB24" s="158">
        <f t="shared" si="42"/>
        <v>26.5</v>
      </c>
      <c r="AC24" s="163">
        <f t="shared" si="20"/>
        <v>0</v>
      </c>
      <c r="AD24" s="158">
        <f t="shared" si="43"/>
        <v>369</v>
      </c>
      <c r="AE24" s="163">
        <f t="shared" si="20"/>
        <v>0</v>
      </c>
      <c r="AF24" s="158">
        <f t="shared" si="44"/>
        <v>6688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36"/>
        <v>23050.235000000001</v>
      </c>
      <c r="C25" s="44">
        <f t="shared" si="21"/>
        <v>0</v>
      </c>
      <c r="D25" s="28">
        <f t="shared" si="22"/>
        <v>0</v>
      </c>
      <c r="E25" s="1">
        <f t="shared" si="37"/>
        <v>4148.1319999999996</v>
      </c>
      <c r="F25" s="44">
        <f t="shared" si="23"/>
        <v>0</v>
      </c>
      <c r="G25" s="28">
        <f t="shared" si="24"/>
        <v>0</v>
      </c>
      <c r="H25" s="1">
        <f t="shared" si="38"/>
        <v>4998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39"/>
        <v>3477.692</v>
      </c>
      <c r="O25" s="44">
        <f t="shared" si="29"/>
        <v>0</v>
      </c>
      <c r="P25" s="28">
        <f t="shared" si="30"/>
        <v>0</v>
      </c>
      <c r="Q25" s="7">
        <f t="shared" si="31"/>
        <v>5299.27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40"/>
        <v>167943</v>
      </c>
      <c r="Y25" s="163">
        <f t="shared" si="20"/>
        <v>0</v>
      </c>
      <c r="Z25" s="158">
        <f t="shared" si="41"/>
        <v>8854</v>
      </c>
      <c r="AA25" s="163">
        <f t="shared" si="20"/>
        <v>0</v>
      </c>
      <c r="AB25" s="158">
        <f t="shared" si="42"/>
        <v>26.5</v>
      </c>
      <c r="AC25" s="163">
        <f t="shared" si="20"/>
        <v>0</v>
      </c>
      <c r="AD25" s="158">
        <f t="shared" si="43"/>
        <v>369</v>
      </c>
      <c r="AE25" s="163">
        <f t="shared" si="20"/>
        <v>0</v>
      </c>
      <c r="AF25" s="158">
        <f t="shared" si="44"/>
        <v>6688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36"/>
        <v>23050.235000000001</v>
      </c>
      <c r="C26" s="44">
        <f t="shared" si="21"/>
        <v>0</v>
      </c>
      <c r="D26" s="28">
        <f t="shared" si="22"/>
        <v>0</v>
      </c>
      <c r="E26" s="1">
        <f t="shared" si="37"/>
        <v>4148.1319999999996</v>
      </c>
      <c r="F26" s="44">
        <f t="shared" si="23"/>
        <v>0</v>
      </c>
      <c r="G26" s="28">
        <f t="shared" si="24"/>
        <v>0</v>
      </c>
      <c r="H26" s="1">
        <f t="shared" si="38"/>
        <v>4998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39"/>
        <v>3477.692</v>
      </c>
      <c r="O26" s="44">
        <f t="shared" si="29"/>
        <v>0</v>
      </c>
      <c r="P26" s="28">
        <f t="shared" si="30"/>
        <v>0</v>
      </c>
      <c r="Q26" s="7">
        <f t="shared" si="31"/>
        <v>5299.27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40"/>
        <v>167943</v>
      </c>
      <c r="Y26" s="163">
        <f t="shared" si="20"/>
        <v>0</v>
      </c>
      <c r="Z26" s="158">
        <f t="shared" si="41"/>
        <v>8854</v>
      </c>
      <c r="AA26" s="163">
        <f t="shared" si="20"/>
        <v>0</v>
      </c>
      <c r="AB26" s="158">
        <f t="shared" si="42"/>
        <v>26.5</v>
      </c>
      <c r="AC26" s="163">
        <f t="shared" si="20"/>
        <v>0</v>
      </c>
      <c r="AD26" s="158">
        <f t="shared" si="43"/>
        <v>369</v>
      </c>
      <c r="AE26" s="163">
        <f t="shared" si="20"/>
        <v>0</v>
      </c>
      <c r="AF26" s="158">
        <f t="shared" si="44"/>
        <v>6688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36"/>
        <v>23050.235000000001</v>
      </c>
      <c r="C27" s="44">
        <f t="shared" si="21"/>
        <v>0</v>
      </c>
      <c r="D27" s="28">
        <f t="shared" si="22"/>
        <v>0</v>
      </c>
      <c r="E27" s="1">
        <f t="shared" si="37"/>
        <v>4148.1319999999996</v>
      </c>
      <c r="F27" s="44">
        <f t="shared" si="23"/>
        <v>0</v>
      </c>
      <c r="G27" s="28">
        <f t="shared" si="24"/>
        <v>0</v>
      </c>
      <c r="H27" s="1">
        <f t="shared" si="38"/>
        <v>4998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39"/>
        <v>3477.692</v>
      </c>
      <c r="O27" s="44">
        <f t="shared" si="29"/>
        <v>0</v>
      </c>
      <c r="P27" s="28">
        <f t="shared" si="30"/>
        <v>0</v>
      </c>
      <c r="Q27" s="7">
        <f t="shared" si="31"/>
        <v>5299.27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40"/>
        <v>167943</v>
      </c>
      <c r="Y27" s="163">
        <f t="shared" si="20"/>
        <v>0</v>
      </c>
      <c r="Z27" s="158">
        <f t="shared" si="41"/>
        <v>8854</v>
      </c>
      <c r="AA27" s="163">
        <f t="shared" si="20"/>
        <v>0</v>
      </c>
      <c r="AB27" s="158">
        <f t="shared" si="42"/>
        <v>26.5</v>
      </c>
      <c r="AC27" s="163">
        <f t="shared" si="20"/>
        <v>0</v>
      </c>
      <c r="AD27" s="158">
        <f t="shared" si="43"/>
        <v>369</v>
      </c>
      <c r="AE27" s="163">
        <f t="shared" si="20"/>
        <v>0</v>
      </c>
      <c r="AF27" s="158">
        <f t="shared" si="44"/>
        <v>6688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36"/>
        <v>23050.235000000001</v>
      </c>
      <c r="C28" s="44">
        <f t="shared" si="21"/>
        <v>0</v>
      </c>
      <c r="D28" s="28">
        <f t="shared" si="22"/>
        <v>0</v>
      </c>
      <c r="E28" s="1">
        <f t="shared" si="37"/>
        <v>4148.1319999999996</v>
      </c>
      <c r="F28" s="44">
        <f t="shared" si="23"/>
        <v>0</v>
      </c>
      <c r="G28" s="28">
        <f t="shared" si="24"/>
        <v>0</v>
      </c>
      <c r="H28" s="1">
        <f t="shared" si="38"/>
        <v>4998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39"/>
        <v>3477.692</v>
      </c>
      <c r="O28" s="44">
        <f t="shared" si="29"/>
        <v>0</v>
      </c>
      <c r="P28" s="28">
        <f t="shared" si="30"/>
        <v>0</v>
      </c>
      <c r="Q28" s="7">
        <f t="shared" si="31"/>
        <v>5299.27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40"/>
        <v>167943</v>
      </c>
      <c r="Y28" s="163">
        <f t="shared" si="20"/>
        <v>0</v>
      </c>
      <c r="Z28" s="158">
        <f t="shared" si="41"/>
        <v>8854</v>
      </c>
      <c r="AA28" s="163">
        <f t="shared" si="20"/>
        <v>0</v>
      </c>
      <c r="AB28" s="158">
        <f t="shared" si="42"/>
        <v>26.5</v>
      </c>
      <c r="AC28" s="163">
        <f t="shared" si="20"/>
        <v>0</v>
      </c>
      <c r="AD28" s="158">
        <f t="shared" si="43"/>
        <v>369</v>
      </c>
      <c r="AE28" s="163">
        <f t="shared" si="20"/>
        <v>0</v>
      </c>
      <c r="AF28" s="158">
        <f t="shared" si="44"/>
        <v>6688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36"/>
        <v>23050.235000000001</v>
      </c>
      <c r="C29" s="44">
        <f t="shared" si="21"/>
        <v>0</v>
      </c>
      <c r="D29" s="28">
        <f t="shared" si="22"/>
        <v>0</v>
      </c>
      <c r="E29" s="1">
        <f t="shared" si="37"/>
        <v>4148.1319999999996</v>
      </c>
      <c r="F29" s="44">
        <f t="shared" si="23"/>
        <v>0</v>
      </c>
      <c r="G29" s="28">
        <f t="shared" si="24"/>
        <v>0</v>
      </c>
      <c r="H29" s="1">
        <f t="shared" si="38"/>
        <v>4998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39"/>
        <v>3477.692</v>
      </c>
      <c r="O29" s="44">
        <f t="shared" si="29"/>
        <v>0</v>
      </c>
      <c r="P29" s="28">
        <f t="shared" si="30"/>
        <v>0</v>
      </c>
      <c r="Q29" s="7">
        <f t="shared" si="31"/>
        <v>5299.27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40"/>
        <v>167943</v>
      </c>
      <c r="Y29" s="163">
        <f t="shared" si="20"/>
        <v>0</v>
      </c>
      <c r="Z29" s="158">
        <f t="shared" si="41"/>
        <v>8854</v>
      </c>
      <c r="AA29" s="163">
        <f t="shared" si="20"/>
        <v>0</v>
      </c>
      <c r="AB29" s="158">
        <f t="shared" si="42"/>
        <v>26.5</v>
      </c>
      <c r="AC29" s="163">
        <f t="shared" si="20"/>
        <v>0</v>
      </c>
      <c r="AD29" s="158">
        <f t="shared" si="43"/>
        <v>369</v>
      </c>
      <c r="AE29" s="163">
        <f t="shared" si="20"/>
        <v>0</v>
      </c>
      <c r="AF29" s="158">
        <f t="shared" si="44"/>
        <v>6688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36"/>
        <v>23050.235000000001</v>
      </c>
      <c r="C30" s="44">
        <f t="shared" si="21"/>
        <v>0</v>
      </c>
      <c r="D30" s="28">
        <f t="shared" si="22"/>
        <v>0</v>
      </c>
      <c r="E30" s="1">
        <f t="shared" si="37"/>
        <v>4148.1319999999996</v>
      </c>
      <c r="F30" s="44">
        <f t="shared" si="23"/>
        <v>0</v>
      </c>
      <c r="G30" s="28">
        <f t="shared" si="24"/>
        <v>0</v>
      </c>
      <c r="H30" s="1">
        <f t="shared" si="38"/>
        <v>4998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39"/>
        <v>3477.692</v>
      </c>
      <c r="O30" s="44">
        <f t="shared" si="29"/>
        <v>0</v>
      </c>
      <c r="P30" s="28">
        <f t="shared" si="30"/>
        <v>0</v>
      </c>
      <c r="Q30" s="7">
        <f t="shared" si="31"/>
        <v>5299.27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40"/>
        <v>167943</v>
      </c>
      <c r="Y30" s="163">
        <f t="shared" si="20"/>
        <v>0</v>
      </c>
      <c r="Z30" s="158">
        <f t="shared" si="41"/>
        <v>8854</v>
      </c>
      <c r="AA30" s="163">
        <f t="shared" si="20"/>
        <v>0</v>
      </c>
      <c r="AB30" s="158">
        <f t="shared" si="42"/>
        <v>26.5</v>
      </c>
      <c r="AC30" s="163">
        <f t="shared" si="20"/>
        <v>0</v>
      </c>
      <c r="AD30" s="158">
        <f t="shared" si="43"/>
        <v>369</v>
      </c>
      <c r="AE30" s="163">
        <f t="shared" si="20"/>
        <v>0</v>
      </c>
      <c r="AF30" s="158">
        <f t="shared" si="44"/>
        <v>6688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36"/>
        <v>23050.235000000001</v>
      </c>
      <c r="C31" s="44">
        <f t="shared" si="21"/>
        <v>0</v>
      </c>
      <c r="D31" s="28">
        <f t="shared" si="22"/>
        <v>0</v>
      </c>
      <c r="E31" s="1">
        <f t="shared" si="37"/>
        <v>4148.1319999999996</v>
      </c>
      <c r="F31" s="44">
        <f t="shared" si="23"/>
        <v>0</v>
      </c>
      <c r="G31" s="28">
        <f t="shared" si="24"/>
        <v>0</v>
      </c>
      <c r="H31" s="1">
        <f t="shared" si="38"/>
        <v>4998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39"/>
        <v>3477.692</v>
      </c>
      <c r="O31" s="44">
        <f t="shared" si="29"/>
        <v>0</v>
      </c>
      <c r="P31" s="28">
        <f t="shared" si="30"/>
        <v>0</v>
      </c>
      <c r="Q31" s="7">
        <f t="shared" si="31"/>
        <v>5299.27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40"/>
        <v>167943</v>
      </c>
      <c r="Y31" s="163">
        <f t="shared" si="20"/>
        <v>0</v>
      </c>
      <c r="Z31" s="158">
        <f t="shared" si="41"/>
        <v>8854</v>
      </c>
      <c r="AA31" s="163">
        <f t="shared" si="20"/>
        <v>0</v>
      </c>
      <c r="AB31" s="158">
        <f t="shared" si="42"/>
        <v>26.5</v>
      </c>
      <c r="AC31" s="163">
        <f t="shared" si="20"/>
        <v>0</v>
      </c>
      <c r="AD31" s="158">
        <f t="shared" si="43"/>
        <v>369</v>
      </c>
      <c r="AE31" s="163">
        <f t="shared" si="20"/>
        <v>0</v>
      </c>
      <c r="AF31" s="158">
        <f t="shared" si="44"/>
        <v>6688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36"/>
        <v>23050.235000000001</v>
      </c>
      <c r="C32" s="44">
        <f t="shared" si="21"/>
        <v>0</v>
      </c>
      <c r="D32" s="28">
        <f t="shared" si="22"/>
        <v>0</v>
      </c>
      <c r="E32" s="1">
        <f t="shared" si="37"/>
        <v>4148.1319999999996</v>
      </c>
      <c r="F32" s="44">
        <f t="shared" si="23"/>
        <v>0</v>
      </c>
      <c r="G32" s="28">
        <f t="shared" si="24"/>
        <v>0</v>
      </c>
      <c r="H32" s="1">
        <f t="shared" si="38"/>
        <v>4998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39"/>
        <v>3477.692</v>
      </c>
      <c r="O32" s="44">
        <f t="shared" si="29"/>
        <v>0</v>
      </c>
      <c r="P32" s="28">
        <f t="shared" si="30"/>
        <v>0</v>
      </c>
      <c r="Q32" s="7">
        <f t="shared" si="31"/>
        <v>5299.27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40"/>
        <v>167943</v>
      </c>
      <c r="Y32" s="163">
        <f t="shared" ref="Y32" si="58">IF((X32-X31)&lt;0,"0",(X32-X31))</f>
        <v>0</v>
      </c>
      <c r="Z32" s="158">
        <f t="shared" si="41"/>
        <v>8854</v>
      </c>
      <c r="AA32" s="163">
        <f t="shared" ref="AA32" si="59">IF((Z32-Z31)&lt;0,"0",(Z32-Z31))</f>
        <v>0</v>
      </c>
      <c r="AB32" s="158">
        <f t="shared" si="42"/>
        <v>26.5</v>
      </c>
      <c r="AC32" s="163">
        <f t="shared" ref="AC32" si="60">IF((AB32-AB31)&lt;0,"0",(AB32-AB31))</f>
        <v>0</v>
      </c>
      <c r="AD32" s="158">
        <f t="shared" si="43"/>
        <v>369</v>
      </c>
      <c r="AE32" s="163">
        <f t="shared" ref="AE32" si="61">IF((AD32-AD31)&lt;0,"0",(AD32-AD31))</f>
        <v>0</v>
      </c>
      <c r="AF32" s="158">
        <f t="shared" si="44"/>
        <v>6688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50.936000000001513</v>
      </c>
      <c r="D33" s="137">
        <f>SUM(D3:D32)</f>
        <v>96778.400000002875</v>
      </c>
      <c r="E33" s="137"/>
      <c r="F33" s="44">
        <f>SUM(F2:F32)</f>
        <v>8.1419999999998254</v>
      </c>
      <c r="G33" s="137">
        <f>SUM(G3:G32)</f>
        <v>15469.799999999668</v>
      </c>
      <c r="H33" s="137"/>
      <c r="I33" s="44">
        <f>SUM(I2:I32)</f>
        <v>28</v>
      </c>
      <c r="J33" s="137">
        <f>SUM(J3:J32)</f>
        <v>53200</v>
      </c>
      <c r="K33" s="137"/>
      <c r="L33" s="44">
        <f>SUM(L2:L32)</f>
        <v>5.6499999999996362</v>
      </c>
      <c r="M33" s="137">
        <f>SUM(M3:M32)</f>
        <v>10734.999999999309</v>
      </c>
      <c r="N33" s="137"/>
      <c r="O33" s="44">
        <f>SUM(O2:O32)</f>
        <v>8.8840000000000146</v>
      </c>
      <c r="P33" s="137">
        <f>SUM(P3:P32)</f>
        <v>16879.600000000028</v>
      </c>
      <c r="Q33" s="137"/>
      <c r="R33" s="44">
        <f>SUM(R3:R32)</f>
        <v>4.180000000000291</v>
      </c>
      <c r="S33" s="137">
        <f>SUM(S3:S32)</f>
        <v>7942.000000000553</v>
      </c>
      <c r="T33" s="137">
        <f>SUM(T3:T32)</f>
        <v>105.79200000000128</v>
      </c>
      <c r="U33" s="137">
        <f>SUM(U3:U32)</f>
        <v>201004.80000000243</v>
      </c>
      <c r="V33"/>
      <c r="W33" s="137" t="s">
        <v>141</v>
      </c>
      <c r="X33" s="137"/>
      <c r="Y33" s="137">
        <f>SUM(Y2:Y32)</f>
        <v>1057</v>
      </c>
      <c r="Z33" s="137"/>
      <c r="AA33" s="137">
        <f>SUM(AA2:AA32)</f>
        <v>83</v>
      </c>
      <c r="AB33" s="137"/>
      <c r="AC33" s="137">
        <f>SUM(AC2:AC32)</f>
        <v>2.8999999999999986</v>
      </c>
      <c r="AD33" s="137"/>
      <c r="AE33" s="137">
        <f>SUM(AE2:AE32)</f>
        <v>28</v>
      </c>
      <c r="AF33" s="137">
        <v>0</v>
      </c>
      <c r="AG33" s="137">
        <f>SUM(AG2:AG32)</f>
        <v>209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7" sqref="F27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84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84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89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89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85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85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84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84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89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89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85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85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84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84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89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89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85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85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84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84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89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89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85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85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84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84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89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89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85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85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84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84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89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89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85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85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84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84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89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89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85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85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84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84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89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89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85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85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84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84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89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89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85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85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84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84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89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89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85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85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84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84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89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89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85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85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84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84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89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89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85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85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84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84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89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89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85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85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84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84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89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89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85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85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84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84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89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89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84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84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89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89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84">
        <v>23</v>
      </c>
      <c r="D49" s="61" t="s">
        <v>83</v>
      </c>
      <c r="E49" s="62"/>
      <c r="F49" s="76"/>
      <c r="G49" s="63">
        <f t="shared" si="2"/>
        <v>0</v>
      </c>
      <c r="H49" s="64"/>
      <c r="J49" s="184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89"/>
      <c r="D50" s="61" t="s">
        <v>82</v>
      </c>
      <c r="E50" s="62"/>
      <c r="F50" s="76"/>
      <c r="G50" s="63">
        <f t="shared" si="2"/>
        <v>0</v>
      </c>
      <c r="H50" s="64"/>
      <c r="J50" s="189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90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90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91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91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92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92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84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84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85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85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84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84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85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85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84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84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85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85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84">
        <v>28</v>
      </c>
      <c r="D62" s="179" t="s">
        <v>86</v>
      </c>
      <c r="E62" s="62"/>
      <c r="F62" s="62"/>
      <c r="G62" s="63"/>
      <c r="H62" s="181" t="s">
        <v>87</v>
      </c>
      <c r="I62" s="67"/>
      <c r="J62" s="184">
        <v>28</v>
      </c>
      <c r="K62" s="179" t="s">
        <v>86</v>
      </c>
      <c r="L62" s="62"/>
      <c r="M62" s="62"/>
      <c r="N62" s="63"/>
      <c r="O62" s="181" t="s">
        <v>87</v>
      </c>
    </row>
    <row r="63" spans="1:15" ht="15" x14ac:dyDescent="0.2">
      <c r="A63" s="67"/>
      <c r="B63" s="57"/>
      <c r="C63" s="185"/>
      <c r="D63" s="180"/>
      <c r="E63" s="62"/>
      <c r="F63" s="62"/>
      <c r="G63" s="63"/>
      <c r="H63" s="182"/>
      <c r="I63" s="67"/>
      <c r="J63" s="185"/>
      <c r="K63" s="180"/>
      <c r="L63" s="62"/>
      <c r="M63" s="62"/>
      <c r="N63" s="63"/>
      <c r="O63" s="182"/>
    </row>
    <row r="64" spans="1:15" x14ac:dyDescent="0.2">
      <c r="A64" s="67"/>
      <c r="B64" s="57"/>
      <c r="C64" s="183" t="s">
        <v>88</v>
      </c>
      <c r="D64" s="183"/>
      <c r="E64" s="183"/>
      <c r="F64" s="183"/>
      <c r="G64" s="81">
        <f>SUM(G2:G63)</f>
        <v>36473</v>
      </c>
      <c r="H64" s="82"/>
      <c r="I64" s="67"/>
      <c r="J64" s="183" t="s">
        <v>88</v>
      </c>
      <c r="K64" s="183"/>
      <c r="L64" s="183"/>
      <c r="M64" s="183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6">
        <v>44593</v>
      </c>
      <c r="C69" s="187"/>
      <c r="D69" s="187"/>
      <c r="E69" s="188"/>
      <c r="F69" s="85"/>
      <c r="G69" s="186">
        <v>44621</v>
      </c>
      <c r="H69" s="187"/>
      <c r="I69" s="187"/>
      <c r="J69" s="188"/>
      <c r="K69" s="85"/>
      <c r="L69" s="176" t="s">
        <v>25</v>
      </c>
      <c r="M69" s="177"/>
      <c r="N69" s="177"/>
      <c r="O69" s="178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2022-04-08T00:47:38Z</dcterms:modified>
</cp:coreProperties>
</file>