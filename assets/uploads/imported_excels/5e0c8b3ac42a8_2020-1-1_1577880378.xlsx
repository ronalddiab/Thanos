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0" sheetId="1" r:id="rId3"/>
  </sheets>
  <externalReferences>
    <externalReference r:id="rId4"/>
  </externalReferences>
  <definedNames>
    <definedName name="_xlnm.Print_Area" localSheetId="2">'01 - 2020'!$A$1:$J$37</definedName>
  </definedNames>
  <calcPr calcId="162913" calcMode="manual"/>
</workbook>
</file>

<file path=xl/calcChain.xml><?xml version="1.0" encoding="utf-8"?>
<calcChain xmlns="http://schemas.openxmlformats.org/spreadsheetml/2006/main">
  <c r="L2" i="3" l="1"/>
  <c r="K2" i="3"/>
  <c r="I2" i="3"/>
  <c r="G2" i="3"/>
  <c r="E2" i="3"/>
  <c r="J2" i="2"/>
  <c r="I2" i="2"/>
  <c r="H2" i="2"/>
  <c r="F2" i="2"/>
  <c r="E2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E25" i="2"/>
  <c r="F25" i="2"/>
  <c r="H25" i="2"/>
  <c r="I25" i="2"/>
  <c r="J25" i="2"/>
  <c r="L24" i="3" l="1"/>
  <c r="K24" i="3"/>
  <c r="I24" i="3"/>
  <c r="G24" i="3"/>
  <c r="E24" i="3"/>
  <c r="J24" i="2"/>
  <c r="I24" i="2"/>
  <c r="H24" i="2"/>
  <c r="F24" i="2"/>
  <c r="E24" i="2"/>
  <c r="J23" i="2" l="1"/>
  <c r="I23" i="2"/>
  <c r="H23" i="2"/>
  <c r="F23" i="2"/>
  <c r="E23" i="2"/>
  <c r="L23" i="3" l="1"/>
  <c r="K23" i="3"/>
  <c r="I23" i="3"/>
  <c r="G23" i="3"/>
  <c r="E23" i="3"/>
  <c r="J22" i="2" l="1"/>
  <c r="I22" i="2"/>
  <c r="H22" i="2"/>
  <c r="F22" i="2"/>
  <c r="E22" i="2"/>
  <c r="J21" i="2"/>
  <c r="I21" i="2"/>
  <c r="H21" i="2"/>
  <c r="F21" i="2"/>
  <c r="E21" i="2"/>
  <c r="L22" i="3"/>
  <c r="K22" i="3"/>
  <c r="I22" i="3"/>
  <c r="G22" i="3"/>
  <c r="E22" i="3"/>
  <c r="L21" i="3"/>
  <c r="K21" i="3"/>
  <c r="I21" i="3"/>
  <c r="G21" i="3"/>
  <c r="E21" i="3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E18" i="2"/>
  <c r="F18" i="2"/>
  <c r="H18" i="2"/>
  <c r="I18" i="2"/>
  <c r="J18" i="2"/>
  <c r="L18" i="3" l="1"/>
  <c r="K18" i="3"/>
  <c r="I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4" i="3" l="1"/>
  <c r="K14" i="3"/>
  <c r="I14" i="3"/>
  <c r="G14" i="3"/>
  <c r="E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K38" i="1"/>
  <c r="L5" i="3" l="1"/>
  <c r="K5" i="3"/>
  <c r="I5" i="3"/>
  <c r="G5" i="3"/>
  <c r="E5" i="3"/>
  <c r="J5" i="2"/>
  <c r="I5" i="2"/>
  <c r="H5" i="2"/>
  <c r="F5" i="2"/>
  <c r="E5" i="2"/>
  <c r="J4" i="2" l="1"/>
  <c r="I4" i="2"/>
  <c r="H4" i="2"/>
  <c r="F4" i="2"/>
  <c r="E4" i="2"/>
  <c r="L4" i="3"/>
  <c r="K4" i="3"/>
  <c r="I4" i="3"/>
  <c r="G4" i="3"/>
  <c r="E4" i="3"/>
  <c r="J38" i="1" l="1"/>
  <c r="I38" i="1"/>
  <c r="I39" i="1" s="1"/>
  <c r="H38" i="1"/>
  <c r="H39" i="1" s="1"/>
  <c r="G38" i="1"/>
  <c r="F38" i="1"/>
  <c r="E38" i="1"/>
  <c r="D38" i="1"/>
  <c r="C38" i="1"/>
  <c r="B38" i="1"/>
  <c r="L29" i="3" l="1"/>
  <c r="K29" i="3"/>
  <c r="I29" i="3"/>
  <c r="G29" i="3"/>
  <c r="E29" i="3"/>
  <c r="J29" i="2"/>
  <c r="I29" i="2"/>
  <c r="H29" i="2"/>
  <c r="F29" i="2"/>
  <c r="E29" i="2"/>
  <c r="L25" i="3" l="1"/>
  <c r="K25" i="3"/>
  <c r="I25" i="3"/>
  <c r="G25" i="3"/>
  <c r="E25" i="3"/>
  <c r="L15" i="3" l="1"/>
  <c r="K15" i="3"/>
  <c r="I15" i="3"/>
  <c r="G15" i="3"/>
  <c r="E15" i="3"/>
  <c r="L8" i="3" l="1"/>
  <c r="K8" i="3"/>
  <c r="I8" i="3"/>
  <c r="G8" i="3"/>
  <c r="E8" i="3"/>
  <c r="J32" i="2" l="1"/>
  <c r="I32" i="2"/>
  <c r="H32" i="2"/>
  <c r="F32" i="2"/>
  <c r="E32" i="2"/>
  <c r="E31" i="3" l="1"/>
  <c r="L31" i="3"/>
  <c r="K31" i="3"/>
  <c r="I31" i="3"/>
  <c r="G31" i="3"/>
  <c r="J31" i="2"/>
  <c r="I31" i="2"/>
  <c r="H31" i="2"/>
  <c r="F31" i="2"/>
  <c r="E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<sst xmlns="http://schemas.openxmlformats.org/spreadsheetml/2006/main" count="106" uniqueCount="37">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</sst>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64" fontId="6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December%202019%20DI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Daily "/>
      <sheetName val="Submetering Daily "/>
      <sheetName val="12 - 2019"/>
    </sheetNames>
    <sheetDataSet>
      <sheetData sheetId="0"/>
      <sheetData sheetId="1"/>
      <sheetData sheetId="2">
        <row r="6">
          <cell r="B6">
            <v>253727</v>
          </cell>
          <cell r="C6">
            <v>74657.899999999994</v>
          </cell>
          <cell r="E6">
            <v>7954</v>
          </cell>
          <cell r="F6">
            <v>1477.18</v>
          </cell>
          <cell r="G6">
            <v>13927.81</v>
          </cell>
          <cell r="H6">
            <v>14528</v>
          </cell>
          <cell r="I6">
            <v>80180</v>
          </cell>
          <cell r="J6">
            <v>36766524</v>
          </cell>
        </row>
        <row r="7">
          <cell r="B7">
            <v>256978</v>
          </cell>
          <cell r="C7">
            <v>79818.600000000006</v>
          </cell>
          <cell r="E7">
            <v>7977.7</v>
          </cell>
          <cell r="F7">
            <v>1482.12</v>
          </cell>
          <cell r="G7">
            <v>13958.73</v>
          </cell>
          <cell r="H7">
            <v>14528</v>
          </cell>
          <cell r="I7">
            <v>80271</v>
          </cell>
          <cell r="J7">
            <v>36782939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9" sqref="L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4" t="s">
        <v>21</v>
      </c>
      <c r="O1" s="4"/>
    </row>
    <row r="2" spans="1:15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'[1]12 - 2019'!B7-'[1]12 - 2019'!B6+'[1]12 - 2019'!C7-'[1]12 - 2019'!C6</f>
        <v>8411.7000000000116</v>
      </c>
      <c r="F2" s="25">
        <v>0.11799999999999999</v>
      </c>
      <c r="G2" s="27">
        <f>(('[1]12 - 2019'!E7-'[1]12 - 2019'!E6)+('[1]12 - 2019'!F7-'[1]12 - 2019'!F6)+('[1]12 - 2019'!G7-'[1]12 - 2019'!G6))*1.81</f>
        <v>107.80359999999949</v>
      </c>
      <c r="H2" s="25">
        <v>0.99</v>
      </c>
      <c r="I2" s="27">
        <f>'[1]12 - 2019'!J7-'[1]12 - 2019'!J6</f>
        <v>16415</v>
      </c>
      <c r="J2" s="25">
        <v>8.1000000000000003E-2</v>
      </c>
      <c r="K2" s="27">
        <f>'[1]12 - 2019'!H7-'[1]12 - 2019'!H6</f>
        <v>0</v>
      </c>
      <c r="L2" s="27">
        <f>'[1]12 - 2019'!I7-'[1]12 - 2019'!I6</f>
        <v>91</v>
      </c>
      <c r="M2" s="26">
        <v>4.3936294247669103</v>
      </c>
      <c r="N2" s="6">
        <v>102</v>
      </c>
    </row>
    <row r="3" spans="1:15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v>0</v>
      </c>
      <c r="F3" s="25">
        <v>0.11799999999999999</v>
      </c>
      <c r="G3" s="27">
        <v>0</v>
      </c>
      <c r="H3" s="25">
        <v>0.99</v>
      </c>
      <c r="I3" s="27">
        <v>0</v>
      </c>
      <c r="J3" s="25">
        <v>8.1000000000000003E-2</v>
      </c>
      <c r="K3" s="27">
        <v>0</v>
      </c>
      <c r="L3" s="27">
        <v>0</v>
      </c>
      <c r="M3" s="26">
        <v>4.393629424766913</v>
      </c>
      <c r="N3" s="6"/>
    </row>
    <row r="4" spans="1:15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'01 - 2020'!B9-'01 - 2020'!B8+'01 - 2020'!C9-'01 - 2020'!C8</f>
        <v>0</v>
      </c>
      <c r="F4" s="25">
        <v>0.11799999999999999</v>
      </c>
      <c r="G4" s="27">
        <f>(('01 - 2020'!E9-'01 - 2020'!E8)+('01 - 2020'!F9-'01 - 2020'!F8)+('01 - 2020'!G9-'01 - 2020'!G8))*1.81</f>
        <v>0</v>
      </c>
      <c r="H4" s="25">
        <v>0.99</v>
      </c>
      <c r="I4" s="27">
        <f>'01 - 2020'!J9-'01 - 2020'!J8</f>
        <v>0</v>
      </c>
      <c r="J4" s="25">
        <v>8.1000000000000003E-2</v>
      </c>
      <c r="K4" s="27">
        <f>'01 - 2020'!H9-'01 - 2020'!H8</f>
        <v>0</v>
      </c>
      <c r="L4" s="27">
        <f>'01 - 2020'!I9-'01 - 2020'!I8</f>
        <v>0</v>
      </c>
      <c r="M4" s="26">
        <v>4.393629424766913</v>
      </c>
      <c r="N4" s="6"/>
    </row>
    <row r="5" spans="1:15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'01 - 2020'!B10-'01 - 2020'!B9+'01 - 2020'!C10-'01 - 2020'!C9</f>
        <v>0</v>
      </c>
      <c r="F5" s="25">
        <v>0.11799999999999999</v>
      </c>
      <c r="G5" s="27">
        <f>(('01 - 2020'!E10-'01 - 2020'!E9)+('01 - 2020'!F10-'01 - 2020'!F9)+('01 - 2020'!G10-'01 - 2020'!G9))*1.81</f>
        <v>0</v>
      </c>
      <c r="H5" s="25">
        <v>0.99</v>
      </c>
      <c r="I5" s="27">
        <f>'01 - 2020'!J10-'01 - 2020'!J9</f>
        <v>0</v>
      </c>
      <c r="J5" s="25">
        <v>8.1000000000000003E-2</v>
      </c>
      <c r="K5" s="27">
        <f>'01 - 2020'!H10-'01 - 2020'!H9</f>
        <v>0</v>
      </c>
      <c r="L5" s="27">
        <f>'01 - 2020'!I10-'01 - 2020'!I9</f>
        <v>0</v>
      </c>
      <c r="M5" s="26">
        <v>4.393629424766913</v>
      </c>
      <c r="N5" s="6"/>
    </row>
    <row r="6" spans="1:15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'01 - 2020'!B11-'01 - 2020'!B10+'01 - 2020'!C11-'01 - 2020'!C10</f>
        <v>0</v>
      </c>
      <c r="F6" s="25">
        <v>0.11799999999999999</v>
      </c>
      <c r="G6" s="27">
        <f>(('01 - 2020'!E11-'01 - 2020'!E10)+('01 - 2020'!F11-'01 - 2020'!F10)+('01 - 2020'!G11-'01 - 2020'!G10))*1.81</f>
        <v>0</v>
      </c>
      <c r="H6" s="25">
        <v>0.99</v>
      </c>
      <c r="I6" s="27">
        <f>'01 - 2020'!J11-'01 - 2020'!J10</f>
        <v>0</v>
      </c>
      <c r="J6" s="25">
        <v>8.1000000000000003E-2</v>
      </c>
      <c r="K6" s="27">
        <f>'01 - 2020'!H11-'01 - 2020'!H10</f>
        <v>0</v>
      </c>
      <c r="L6" s="27">
        <f>'01 - 2020'!I11-'01 - 2020'!I10</f>
        <v>0</v>
      </c>
      <c r="M6" s="26">
        <v>4.393629424766913</v>
      </c>
      <c r="N6" s="15"/>
    </row>
    <row r="7" spans="1:15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'01 - 2020'!B12-'01 - 2020'!B11+'01 - 2020'!C12-'01 - 2020'!C11</f>
        <v>0</v>
      </c>
      <c r="F7" s="25">
        <v>0.11799999999999999</v>
      </c>
      <c r="G7" s="27">
        <f>(('01 - 2020'!E12-'01 - 2020'!E11)+('01 - 2020'!F12-'01 - 2020'!F11)+('01 - 2020'!G12-'01 - 2020'!G11))*1.81</f>
        <v>0</v>
      </c>
      <c r="H7" s="25">
        <v>0.99</v>
      </c>
      <c r="I7" s="27">
        <f>'01 - 2020'!J12-'01 - 2020'!J11</f>
        <v>0</v>
      </c>
      <c r="J7" s="25">
        <v>8.1000000000000003E-2</v>
      </c>
      <c r="K7" s="27">
        <f>'01 - 2020'!H12-'01 - 2020'!H11</f>
        <v>0</v>
      </c>
      <c r="L7" s="27">
        <f>'01 - 2020'!I12-'01 - 2020'!I11</f>
        <v>0</v>
      </c>
      <c r="M7" s="26">
        <v>4.393629424766913</v>
      </c>
      <c r="N7" s="6"/>
    </row>
    <row r="8" spans="1:15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'01 - 2020'!B13-'01 - 2020'!B12+'01 - 2020'!C13-'01 - 2020'!C12</f>
        <v>0</v>
      </c>
      <c r="F8" s="25">
        <v>0.11799999999999999</v>
      </c>
      <c r="G8" s="27">
        <f>(('01 - 2020'!E13-'01 - 2020'!E12)+('01 - 2020'!F13-'01 - 2020'!F12)+('01 - 2020'!G13-'01 - 2020'!G12))*1.81</f>
        <v>0</v>
      </c>
      <c r="H8" s="25">
        <v>0.99</v>
      </c>
      <c r="I8" s="27">
        <f>'01 - 2020'!J13-'01 - 2020'!J12</f>
        <v>0</v>
      </c>
      <c r="J8" s="25">
        <v>8.1000000000000003E-2</v>
      </c>
      <c r="K8" s="27">
        <f>'01 - 2020'!H13-'01 - 2020'!H12</f>
        <v>0</v>
      </c>
      <c r="L8" s="27">
        <f>'01 - 2020'!I13-'01 - 2020'!I12</f>
        <v>0</v>
      </c>
      <c r="M8" s="26">
        <v>4.393629424766913</v>
      </c>
      <c r="N8" s="6"/>
    </row>
    <row r="9" spans="1:15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'01 - 2020'!B14-'01 - 2020'!B13+'01 - 2020'!C14-'01 - 2020'!C13</f>
        <v>0</v>
      </c>
      <c r="F9" s="25">
        <v>0.11799999999999999</v>
      </c>
      <c r="G9" s="27">
        <f>(('01 - 2020'!E14-'01 - 2020'!E13)+('01 - 2020'!F14-'01 - 2020'!F13)+('01 - 2020'!G14-'01 - 2020'!G13))*1.81</f>
        <v>0</v>
      </c>
      <c r="H9" s="25">
        <v>0.99</v>
      </c>
      <c r="I9" s="27">
        <f>'01 - 2020'!J14-'01 - 2020'!J13</f>
        <v>0</v>
      </c>
      <c r="J9" s="25">
        <v>8.1000000000000003E-2</v>
      </c>
      <c r="K9" s="27">
        <f>'01 - 2020'!H14-'01 - 2020'!H13</f>
        <v>0</v>
      </c>
      <c r="L9" s="27">
        <f>'01 - 2020'!I14-'01 - 2020'!I13</f>
        <v>0</v>
      </c>
      <c r="M9" s="26">
        <v>4.393629424766913</v>
      </c>
      <c r="N9" s="6"/>
    </row>
    <row r="10" spans="1:15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'01 - 2020'!B15-'01 - 2020'!B14+'01 - 2020'!C15-'01 - 2020'!C14</f>
        <v>0</v>
      </c>
      <c r="F10" s="25">
        <v>0.11799999999999999</v>
      </c>
      <c r="G10" s="27">
        <f>(('01 - 2020'!E15-'01 - 2020'!E14)+('01 - 2020'!F15-'01 - 2020'!F14)+('01 - 2020'!G15-'01 - 2020'!G14))*1.81</f>
        <v>0</v>
      </c>
      <c r="H10" s="25">
        <v>0.99</v>
      </c>
      <c r="I10" s="27">
        <f>'01 - 2020'!J15-'01 - 2020'!J14</f>
        <v>0</v>
      </c>
      <c r="J10" s="25">
        <v>8.1000000000000003E-2</v>
      </c>
      <c r="K10" s="27">
        <f>'01 - 2020'!H15-'01 - 2020'!H14</f>
        <v>0</v>
      </c>
      <c r="L10" s="27">
        <f>'01 - 2020'!I15-'01 - 2020'!I14</f>
        <v>0</v>
      </c>
      <c r="M10" s="26">
        <v>4.393629424766913</v>
      </c>
      <c r="N10" s="6"/>
    </row>
    <row r="11" spans="1:15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'01 - 2020'!B16-'01 - 2020'!B15+'01 - 2020'!C16-'01 - 2020'!C15</f>
        <v>0</v>
      </c>
      <c r="F11" s="25">
        <v>0.11799999999999999</v>
      </c>
      <c r="G11" s="27">
        <f>(('01 - 2020'!E16-'01 - 2020'!E15)+('01 - 2020'!F16-'01 - 2020'!F15)+('01 - 2020'!G16-'01 - 2020'!G15))*1.81</f>
        <v>0</v>
      </c>
      <c r="H11" s="25">
        <v>0.99</v>
      </c>
      <c r="I11" s="27">
        <f>'01 - 2020'!J16-'01 - 2020'!J15</f>
        <v>0</v>
      </c>
      <c r="J11" s="25">
        <v>8.1000000000000003E-2</v>
      </c>
      <c r="K11" s="27">
        <f>'01 - 2020'!H16-'01 - 2020'!H15</f>
        <v>0</v>
      </c>
      <c r="L11" s="27">
        <f>'01 - 2020'!I16-'01 - 2020'!I15</f>
        <v>0</v>
      </c>
      <c r="M11" s="26">
        <v>4.393629424766913</v>
      </c>
      <c r="N11" s="6"/>
    </row>
    <row r="12" spans="1:15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'01 - 2020'!B17-'01 - 2020'!B16+'01 - 2020'!C17-'01 - 2020'!C16</f>
        <v>0</v>
      </c>
      <c r="F12" s="25">
        <v>0.11799999999999999</v>
      </c>
      <c r="G12" s="27">
        <f>(('01 - 2020'!E17-'01 - 2020'!E16)+('01 - 2020'!F17-'01 - 2020'!F16)+('01 - 2020'!G17-'01 - 2020'!G16))*1.81</f>
        <v>0</v>
      </c>
      <c r="H12" s="25">
        <v>0.99</v>
      </c>
      <c r="I12" s="27">
        <f>'01 - 2020'!J17-'01 - 2020'!J16</f>
        <v>0</v>
      </c>
      <c r="J12" s="25">
        <v>8.1000000000000003E-2</v>
      </c>
      <c r="K12" s="27">
        <f>'01 - 2020'!H17-'01 - 2020'!H16</f>
        <v>0</v>
      </c>
      <c r="L12" s="27">
        <f>'01 - 2020'!I17-'01 - 2020'!I16</f>
        <v>0</v>
      </c>
      <c r="M12" s="26">
        <v>4.393629424766913</v>
      </c>
      <c r="N12" s="6"/>
    </row>
    <row r="13" spans="1:15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'01 - 2020'!B18-'01 - 2020'!B17+'01 - 2020'!C18-'01 - 2020'!C17</f>
        <v>0</v>
      </c>
      <c r="F13" s="25">
        <v>0.11799999999999999</v>
      </c>
      <c r="G13" s="27">
        <f>(('01 - 2020'!E18-'01 - 2020'!E17)+('01 - 2020'!F18-'01 - 2020'!F17)+('01 - 2020'!G18-'01 - 2020'!G17))*1.81</f>
        <v>0</v>
      </c>
      <c r="H13" s="25">
        <v>0.99</v>
      </c>
      <c r="I13" s="27">
        <f>'01 - 2020'!J18-'01 - 2020'!J17</f>
        <v>0</v>
      </c>
      <c r="J13" s="25">
        <v>8.1000000000000003E-2</v>
      </c>
      <c r="K13" s="27">
        <f>'01 - 2020'!H18-'01 - 2020'!H17</f>
        <v>0</v>
      </c>
      <c r="L13" s="27">
        <f>'01 - 2020'!I18-'01 - 2020'!I17</f>
        <v>0</v>
      </c>
      <c r="M13" s="26">
        <v>4.393629424766913</v>
      </c>
      <c r="N13" s="6"/>
    </row>
    <row r="14" spans="1:15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'01 - 2020'!B19-'01 - 2020'!B18+'01 - 2020'!C19-'01 - 2020'!C18</f>
        <v>0</v>
      </c>
      <c r="F14" s="25">
        <v>0.11799999999999999</v>
      </c>
      <c r="G14" s="27">
        <f>(('01 - 2020'!E19-'01 - 2020'!E18)+('01 - 2020'!F19-'01 - 2020'!F18)+('01 - 2020'!G19-'01 - 2020'!G18))*1.81</f>
        <v>0</v>
      </c>
      <c r="H14" s="25">
        <v>0.99</v>
      </c>
      <c r="I14" s="27">
        <f>'01 - 2020'!J19-'01 - 2020'!J18</f>
        <v>0</v>
      </c>
      <c r="J14" s="25">
        <v>8.1000000000000003E-2</v>
      </c>
      <c r="K14" s="27">
        <f>'01 - 2020'!H19-'01 - 2020'!H18</f>
        <v>0</v>
      </c>
      <c r="L14" s="27">
        <f>'01 - 2020'!I19-'01 - 2020'!I18</f>
        <v>0</v>
      </c>
      <c r="M14" s="26">
        <v>4.393629424766913</v>
      </c>
      <c r="N14" s="6"/>
      <c r="O14" s="27"/>
    </row>
    <row r="15" spans="1:15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'01 - 2020'!B20-'01 - 2020'!B19+'01 - 2020'!C20-'01 - 2020'!C19</f>
        <v>0</v>
      </c>
      <c r="F15" s="25">
        <v>0.11799999999999999</v>
      </c>
      <c r="G15" s="27">
        <f>(('01 - 2020'!E20-'01 - 2020'!E19)+('01 - 2020'!F20-'01 - 2020'!F19)+('01 - 2020'!G20-'01 - 2020'!G19))*1.81</f>
        <v>0</v>
      </c>
      <c r="H15" s="25">
        <v>0.99</v>
      </c>
      <c r="I15" s="27">
        <f>'01 - 2020'!J20-'01 - 2020'!J19</f>
        <v>0</v>
      </c>
      <c r="J15" s="25">
        <v>8.1000000000000003E-2</v>
      </c>
      <c r="K15" s="27">
        <f>'01 - 2020'!H20-'01 - 2020'!H19</f>
        <v>0</v>
      </c>
      <c r="L15" s="27">
        <f>'01 - 2020'!I20-'01 - 2020'!I19</f>
        <v>0</v>
      </c>
      <c r="M15" s="26">
        <v>4.393629424766913</v>
      </c>
      <c r="N15" s="6"/>
    </row>
    <row r="16" spans="1:15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'01 - 2020'!B21-'01 - 2020'!B20+'01 - 2020'!C21-'01 - 2020'!C20</f>
        <v>0</v>
      </c>
      <c r="F16" s="25">
        <v>0.11799999999999999</v>
      </c>
      <c r="G16" s="27">
        <f>(('01 - 2020'!E21-'01 - 2020'!E20)+('01 - 2020'!F21-'01 - 2020'!F20)+('01 - 2020'!G21-'01 - 2020'!G20))*1.81</f>
        <v>0</v>
      </c>
      <c r="H16" s="25">
        <v>0.99</v>
      </c>
      <c r="I16" s="27">
        <f>'01 - 2020'!J21-'01 - 2020'!J20</f>
        <v>0</v>
      </c>
      <c r="J16" s="25">
        <v>8.1000000000000003E-2</v>
      </c>
      <c r="K16" s="27">
        <f>'01 - 2020'!H21-'01 - 2020'!H20</f>
        <v>0</v>
      </c>
      <c r="L16" s="27">
        <f>'01 - 2020'!I21-'01 - 2020'!I20</f>
        <v>0</v>
      </c>
      <c r="M16" s="26">
        <v>4.393629424766913</v>
      </c>
      <c r="N16" s="6"/>
    </row>
    <row r="17" spans="1:16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'01 - 2020'!B22-'01 - 2020'!B21+'01 - 2020'!C22-'01 - 2020'!C21</f>
        <v>0</v>
      </c>
      <c r="F17" s="25">
        <v>0.11799999999999999</v>
      </c>
      <c r="G17" s="27">
        <f>(('01 - 2020'!E22-'01 - 2020'!E21)+('01 - 2020'!F22-'01 - 2020'!F21)+('01 - 2020'!G22-'01 - 2020'!G21))*1.81</f>
        <v>0</v>
      </c>
      <c r="H17" s="25">
        <v>0.99</v>
      </c>
      <c r="I17" s="27">
        <f>'01 - 2020'!J22-'01 - 2020'!J21</f>
        <v>0</v>
      </c>
      <c r="J17" s="25">
        <v>8.1000000000000003E-2</v>
      </c>
      <c r="K17" s="27">
        <f>'01 - 2020'!H22-'01 - 2020'!H21</f>
        <v>0</v>
      </c>
      <c r="L17" s="27">
        <f>'01 - 2020'!I22-'01 - 2020'!I21</f>
        <v>0</v>
      </c>
      <c r="M17" s="26">
        <v>4.393629424766913</v>
      </c>
      <c r="N17" s="27"/>
    </row>
    <row r="18" spans="1:16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'01 - 2020'!B23-'01 - 2020'!B22+'01 - 2020'!C23-'01 - 2020'!C22</f>
        <v>0</v>
      </c>
      <c r="F18" s="25">
        <v>0.11799999999999999</v>
      </c>
      <c r="G18" s="27">
        <f>(('01 - 2020'!E23-'01 - 2020'!E22)+('01 - 2020'!F23-'01 - 2020'!F22)+('01 - 2020'!G23-'01 - 2020'!G22))*1.81</f>
        <v>0</v>
      </c>
      <c r="H18" s="25">
        <v>0.99</v>
      </c>
      <c r="I18" s="27">
        <f>'01 - 2020'!J23-'01 - 2020'!J22</f>
        <v>0</v>
      </c>
      <c r="J18" s="25">
        <v>8.1000000000000003E-2</v>
      </c>
      <c r="K18" s="27">
        <f>'01 - 2020'!H23-'01 - 2020'!H22</f>
        <v>0</v>
      </c>
      <c r="L18" s="27">
        <f>'01 - 2020'!I23-'01 - 2020'!I22</f>
        <v>0</v>
      </c>
      <c r="M18" s="26">
        <v>4.393629424766913</v>
      </c>
      <c r="N18" s="27"/>
    </row>
    <row r="19" spans="1:16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'01 - 2020'!B24-'01 - 2020'!B23+'01 - 2020'!C24-'01 - 2020'!C23</f>
        <v>0</v>
      </c>
      <c r="F19" s="25">
        <v>0.11799999999999999</v>
      </c>
      <c r="G19" s="27">
        <f>(('01 - 2020'!E24-'01 - 2020'!E23)+('01 - 2020'!F24-'01 - 2020'!F23)+('01 - 2020'!G24-'01 - 2020'!G23))*1.81</f>
        <v>0</v>
      </c>
      <c r="H19" s="25">
        <v>0.99</v>
      </c>
      <c r="I19" s="27">
        <f>'01 - 2020'!J24-'01 - 2020'!J23</f>
        <v>0</v>
      </c>
      <c r="J19" s="25">
        <v>8.1000000000000003E-2</v>
      </c>
      <c r="K19" s="27">
        <f>'01 - 2020'!H24-'01 - 2020'!H23</f>
        <v>0</v>
      </c>
      <c r="L19" s="27">
        <f>'01 - 2020'!I24-'01 - 2020'!I23</f>
        <v>0</v>
      </c>
      <c r="M19" s="26">
        <v>4.393629424766913</v>
      </c>
      <c r="N19" s="27"/>
    </row>
    <row r="20" spans="1:16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'01 - 2020'!B25-'01 - 2020'!B24+'01 - 2020'!C25-'01 - 2020'!C24</f>
        <v>0</v>
      </c>
      <c r="F20" s="25">
        <v>0.11799999999999999</v>
      </c>
      <c r="G20" s="27">
        <f>(('01 - 2020'!E25-'01 - 2020'!E24)+('01 - 2020'!F25-'01 - 2020'!F24)+('01 - 2020'!G25-'01 - 2020'!G24))*1.81</f>
        <v>0</v>
      </c>
      <c r="H20" s="25">
        <v>0.99</v>
      </c>
      <c r="I20" s="27">
        <f>'01 - 2020'!J25-'01 - 2020'!J24</f>
        <v>0</v>
      </c>
      <c r="J20" s="25">
        <v>8.1000000000000003E-2</v>
      </c>
      <c r="K20" s="27">
        <f>'01 - 2020'!H25-'01 - 2020'!H24</f>
        <v>0</v>
      </c>
      <c r="L20" s="27">
        <f>'01 - 2020'!I25-'01 - 2020'!I24</f>
        <v>0</v>
      </c>
      <c r="M20" s="26">
        <v>4.393629424766913</v>
      </c>
      <c r="N20" s="27"/>
    </row>
    <row r="21" spans="1:16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'01 - 2020'!B26-'01 - 2020'!B25+'01 - 2020'!C26-'01 - 2020'!C25</f>
        <v>0</v>
      </c>
      <c r="F21" s="25">
        <v>0.11799999999999999</v>
      </c>
      <c r="G21" s="27">
        <f>(('01 - 2020'!E26-'01 - 2020'!E25)+('01 - 2020'!F26-'01 - 2020'!F25)+('01 - 2020'!G26-'01 - 2020'!G25))*1.81</f>
        <v>0</v>
      </c>
      <c r="H21" s="25">
        <v>0.99</v>
      </c>
      <c r="I21" s="27">
        <f>'01 - 2020'!J26-'01 - 2020'!J25</f>
        <v>0</v>
      </c>
      <c r="J21" s="25">
        <v>8.1000000000000003E-2</v>
      </c>
      <c r="K21" s="27">
        <f>'01 - 2020'!H26-'01 - 2020'!H25</f>
        <v>0</v>
      </c>
      <c r="L21" s="27">
        <f>'01 - 2020'!I26-'01 - 2020'!I25</f>
        <v>0</v>
      </c>
      <c r="M21" s="26">
        <v>4.393629424766913</v>
      </c>
      <c r="N21" s="6"/>
    </row>
    <row r="22" spans="1:16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'01 - 2020'!B27-'01 - 2020'!B26+'01 - 2020'!C27-'01 - 2020'!C26</f>
        <v>0</v>
      </c>
      <c r="F22" s="25">
        <v>0.11799999999999999</v>
      </c>
      <c r="G22" s="27">
        <f>(('01 - 2020'!E27-'01 - 2020'!E26)+('01 - 2020'!F27-'01 - 2020'!F26)+('01 - 2020'!G27-'01 - 2020'!G26))*1.81</f>
        <v>0</v>
      </c>
      <c r="H22" s="25">
        <v>0.99</v>
      </c>
      <c r="I22" s="27">
        <f>'01 - 2020'!J27-'01 - 2020'!J26</f>
        <v>0</v>
      </c>
      <c r="J22" s="25">
        <v>8.1000000000000003E-2</v>
      </c>
      <c r="K22" s="27">
        <f>'01 - 2020'!H27-'01 - 2020'!H26</f>
        <v>0</v>
      </c>
      <c r="L22" s="27">
        <f>'01 - 2020'!I27-'01 - 2020'!I26</f>
        <v>0</v>
      </c>
      <c r="M22" s="26">
        <v>4.393629424766913</v>
      </c>
      <c r="N22" s="6"/>
    </row>
    <row r="23" spans="1:16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'01 - 2020'!B28-'01 - 2020'!B27+'01 - 2020'!C28-'01 - 2020'!C27</f>
        <v>0</v>
      </c>
      <c r="F23" s="25">
        <v>0.11799999999999999</v>
      </c>
      <c r="G23" s="27">
        <f>(('01 - 2020'!E28-'01 - 2020'!E27)+('01 - 2020'!F28-'01 - 2020'!F27)+('01 - 2020'!G28-'01 - 2020'!G27))*1.81</f>
        <v>0</v>
      </c>
      <c r="H23" s="25">
        <v>0.99</v>
      </c>
      <c r="I23" s="27">
        <f>'01 - 2020'!J28-'01 - 2020'!J27</f>
        <v>0</v>
      </c>
      <c r="J23" s="25">
        <v>8.1000000000000003E-2</v>
      </c>
      <c r="K23" s="27">
        <f>'01 - 2020'!H28-'01 - 2020'!H27</f>
        <v>0</v>
      </c>
      <c r="L23" s="27">
        <f>'01 - 2020'!I28-'01 - 2020'!I27</f>
        <v>0</v>
      </c>
      <c r="M23" s="26">
        <v>4.393629424766913</v>
      </c>
      <c r="N23" s="6"/>
    </row>
    <row r="24" spans="1:16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'01 - 2020'!B29-'01 - 2020'!B28+'01 - 2020'!C29-'01 - 2020'!C28</f>
        <v>0</v>
      </c>
      <c r="F24" s="25">
        <v>0.11799999999999999</v>
      </c>
      <c r="G24" s="27">
        <f>(('01 - 2020'!E29-'01 - 2020'!E28)+('01 - 2020'!F29-'01 - 2020'!F28)+('01 - 2020'!G29-'01 - 2020'!G28))*1.81</f>
        <v>0</v>
      </c>
      <c r="H24" s="25">
        <v>0.99</v>
      </c>
      <c r="I24" s="27">
        <f>'01 - 2020'!J29-'01 - 2020'!J28</f>
        <v>0</v>
      </c>
      <c r="J24" s="25">
        <v>8.1000000000000003E-2</v>
      </c>
      <c r="K24" s="27">
        <f>'01 - 2020'!H29-'01 - 2020'!H28</f>
        <v>0</v>
      </c>
      <c r="L24" s="27">
        <f>'01 - 2020'!I29-'01 - 2020'!I28</f>
        <v>0</v>
      </c>
      <c r="M24" s="26">
        <v>4.393629424766913</v>
      </c>
      <c r="N24" s="6"/>
    </row>
    <row r="25" spans="1:16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'01 - 2020'!B30-'01 - 2020'!B29+'01 - 2020'!C30-'01 - 2020'!C29</f>
        <v>0</v>
      </c>
      <c r="F25" s="25">
        <v>0.11799999999999999</v>
      </c>
      <c r="G25" s="27">
        <f>(('01 - 2020'!E30-'01 - 2020'!E29)+('01 - 2020'!F30-'01 - 2020'!F29)+('01 - 2020'!G30-'01 - 2020'!G29))*1.81</f>
        <v>0</v>
      </c>
      <c r="H25" s="25">
        <v>0.99</v>
      </c>
      <c r="I25" s="27">
        <f>'01 - 2020'!J30-'01 - 2020'!J29</f>
        <v>0</v>
      </c>
      <c r="J25" s="25">
        <v>8.1000000000000003E-2</v>
      </c>
      <c r="K25" s="27">
        <f>'01 - 2020'!H30-'01 - 2020'!H29</f>
        <v>0</v>
      </c>
      <c r="L25" s="27">
        <f>'01 - 2020'!I30-'01 - 2020'!I29</f>
        <v>0</v>
      </c>
      <c r="M25" s="26">
        <v>4.393629424766913</v>
      </c>
      <c r="N25" s="6"/>
      <c r="P25" s="14"/>
    </row>
    <row r="26" spans="1:16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'01 - 2020'!B31-'01 - 2020'!B30+'01 - 2020'!C31-'01 - 2020'!C30</f>
        <v>0</v>
      </c>
      <c r="F26" s="25">
        <v>0.11799999999999999</v>
      </c>
      <c r="G26" s="27">
        <f>(('01 - 2020'!E31-'01 - 2020'!E30)+('01 - 2020'!F31-'01 - 2020'!F30)+('01 - 2020'!G31-'01 - 2020'!G30))*1.81</f>
        <v>0</v>
      </c>
      <c r="H26" s="25">
        <v>0.99</v>
      </c>
      <c r="I26" s="27">
        <f>'01 - 2020'!J31-'01 - 2020'!J30</f>
        <v>0</v>
      </c>
      <c r="J26" s="25">
        <v>8.1000000000000003E-2</v>
      </c>
      <c r="K26" s="27">
        <f>'01 - 2020'!H31-'01 - 2020'!H30</f>
        <v>0</v>
      </c>
      <c r="L26" s="27">
        <f>'01 - 2020'!I31-'01 - 2020'!I30</f>
        <v>0</v>
      </c>
      <c r="M26" s="26">
        <v>4.393629424766913</v>
      </c>
      <c r="N26" s="6"/>
    </row>
    <row r="27" spans="1:16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'01 - 2020'!B32-'01 - 2020'!B31+'01 - 2020'!C32-'01 - 2020'!C31</f>
        <v>0</v>
      </c>
      <c r="F27" s="25">
        <v>0.11799999999999999</v>
      </c>
      <c r="G27" s="27">
        <f>(('01 - 2020'!E32-'01 - 2020'!E31)+('01 - 2020'!F32-'01 - 2020'!F31)+('01 - 2020'!G32-'01 - 2020'!G31))*1.81</f>
        <v>0</v>
      </c>
      <c r="H27" s="25">
        <v>0.99</v>
      </c>
      <c r="I27" s="27">
        <f>'01 - 2020'!J32-'01 - 2020'!J31</f>
        <v>0</v>
      </c>
      <c r="J27" s="25">
        <v>8.1000000000000003E-2</v>
      </c>
      <c r="K27" s="27">
        <f>'01 - 2020'!H32-'01 - 2020'!H31</f>
        <v>0</v>
      </c>
      <c r="L27" s="27">
        <f>'01 - 2020'!I32-'01 - 2020'!I31</f>
        <v>0</v>
      </c>
      <c r="M27" s="26">
        <v>4.393629424766913</v>
      </c>
      <c r="N27" s="6"/>
    </row>
    <row r="28" spans="1:16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4.393629424766913</v>
      </c>
      <c r="N28" s="6"/>
    </row>
    <row r="29" spans="1:16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'01 - 2020'!B34-'01 - 2020'!B33+'01 - 2020'!C34-'01 - 2020'!C33</f>
        <v>0</v>
      </c>
      <c r="F29" s="25">
        <v>0.11799999999999999</v>
      </c>
      <c r="G29" s="27">
        <f>(('01 - 2020'!E34-'01 - 2020'!E33)+('01 - 2020'!F34-'01 - 2020'!F33)+('01 - 2020'!G34-'01 - 2020'!G33))*1.81</f>
        <v>0</v>
      </c>
      <c r="H29" s="25">
        <v>0.99</v>
      </c>
      <c r="I29" s="27">
        <f>'01 - 2020'!J34-'01 - 2020'!J33</f>
        <v>0</v>
      </c>
      <c r="J29" s="25">
        <v>8.1000000000000003E-2</v>
      </c>
      <c r="K29" s="27">
        <f>'01 - 2020'!H34-'01 - 2020'!H33</f>
        <v>0</v>
      </c>
      <c r="L29" s="27">
        <f>'01 - 2020'!I34-'01 - 2020'!I33</f>
        <v>0</v>
      </c>
      <c r="M29" s="26">
        <v>4.393629424766913</v>
      </c>
      <c r="N29" s="6"/>
    </row>
    <row r="30" spans="1:16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5">
        <v>0.11799999999999999</v>
      </c>
      <c r="G30" s="27">
        <v>0</v>
      </c>
      <c r="H30" s="25">
        <v>0.99</v>
      </c>
      <c r="I30" s="27">
        <v>0</v>
      </c>
      <c r="J30" s="25">
        <v>8.1000000000000003E-2</v>
      </c>
      <c r="K30" s="27">
        <v>0</v>
      </c>
      <c r="L30" s="27">
        <v>0</v>
      </c>
      <c r="M30" s="26">
        <v>4.393629424766913</v>
      </c>
      <c r="N30" s="6"/>
    </row>
    <row r="31" spans="1:16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'01 - 2020'!B36-'01 - 2020'!B35+'01 - 2020'!C36-'01 - 2020'!C35</f>
        <v>0</v>
      </c>
      <c r="F31" s="25">
        <v>0.11799999999999999</v>
      </c>
      <c r="G31" s="27">
        <f>(('01 - 2020'!E36-'01 - 2020'!E35)+('01 - 2020'!F36-'01 - 2020'!F35)+('01 - 2020'!G36-'01 - 2020'!G35))*1.81</f>
        <v>0</v>
      </c>
      <c r="H31" s="25">
        <v>0.99</v>
      </c>
      <c r="I31" s="27">
        <f>'01 - 2020'!J36-'01 - 2020'!J35</f>
        <v>0</v>
      </c>
      <c r="J31" s="25">
        <v>8.1000000000000003E-2</v>
      </c>
      <c r="K31" s="27">
        <f>'01 - 2020'!H36-'01 - 2020'!H35</f>
        <v>0</v>
      </c>
      <c r="L31" s="27">
        <f>'01 - 2020'!I36-'01 - 2020'!I35</f>
        <v>0</v>
      </c>
      <c r="M31" s="26">
        <v>4.393629424766913</v>
      </c>
      <c r="N31" s="6"/>
    </row>
    <row r="32" spans="1:16" x14ac:dyDescent="0.25">
      <c r="A32" s="25" t="s">
        <v>27</v>
      </c>
      <c r="B32">
        <v>31</v>
      </c>
      <c r="C32" s="25">
        <v>1</v>
      </c>
      <c r="D32" s="25">
        <v>2020</v>
      </c>
      <c r="E32" s="27">
        <v>0</v>
      </c>
      <c r="F32" s="25">
        <v>0.11799999999999999</v>
      </c>
      <c r="G32" s="27">
        <v>0</v>
      </c>
      <c r="H32" s="25">
        <v>0.99</v>
      </c>
      <c r="I32" s="27">
        <v>0</v>
      </c>
      <c r="J32" s="25">
        <v>8.1000000000000003E-2</v>
      </c>
      <c r="K32" s="27">
        <v>0</v>
      </c>
      <c r="L32" s="27">
        <v>0</v>
      </c>
      <c r="M32" s="26">
        <v>4.393629424766913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7" sqref="J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</v>
      </c>
      <c r="D2">
        <v>2020</v>
      </c>
      <c r="E2" s="27">
        <f>'[1]12 - 2019'!B7-'[1]12 - 2019'!B6</f>
        <v>3251</v>
      </c>
      <c r="F2" s="27">
        <f>'[1]12 - 2019'!C7-'[1]12 - 2019'!C6</f>
        <v>5160.7000000000116</v>
      </c>
      <c r="G2" s="25">
        <v>0.11799999999999999</v>
      </c>
      <c r="H2" s="27">
        <f>'[1]12 - 2019'!E7-'[1]12 - 2019'!E6</f>
        <v>23.699999999999818</v>
      </c>
      <c r="I2" s="27">
        <f>'[1]12 - 2019'!F7-'[1]12 - 2019'!F6</f>
        <v>4.9399999999998272</v>
      </c>
      <c r="J2" s="27">
        <f>'[1]12 - 2019'!G7-'[1]12 - 2019'!G6</f>
        <v>30.920000000000073</v>
      </c>
      <c r="K2" s="25">
        <v>0.74</v>
      </c>
      <c r="L2" s="6">
        <v>102</v>
      </c>
      <c r="M2" s="12"/>
    </row>
    <row r="3" spans="1:13" x14ac:dyDescent="0.25">
      <c r="A3" t="s">
        <v>27</v>
      </c>
      <c r="B3">
        <f>B2+1</f>
        <v>2</v>
      </c>
      <c r="C3" s="25">
        <v>1</v>
      </c>
      <c r="D3" s="25">
        <v>2020</v>
      </c>
      <c r="E3" s="27">
        <v>0</v>
      </c>
      <c r="F3" s="27">
        <v>0</v>
      </c>
      <c r="G3" s="25">
        <v>0.11799999999999999</v>
      </c>
      <c r="H3" s="27">
        <v>0</v>
      </c>
      <c r="I3" s="27">
        <v>0</v>
      </c>
      <c r="J3" s="27">
        <v>0</v>
      </c>
      <c r="K3" s="25">
        <v>0.74</v>
      </c>
      <c r="L3" s="6"/>
      <c r="M3" s="12"/>
    </row>
    <row r="4" spans="1:13" x14ac:dyDescent="0.25">
      <c r="A4" t="s">
        <v>27</v>
      </c>
      <c r="B4">
        <f t="shared" ref="B4:B31" si="0">B3+1</f>
        <v>3</v>
      </c>
      <c r="C4" s="25">
        <v>1</v>
      </c>
      <c r="D4" s="25">
        <v>2020</v>
      </c>
      <c r="E4" s="27">
        <f>'01 - 2020'!B9-'01 - 2020'!B8</f>
        <v>0</v>
      </c>
      <c r="F4" s="27">
        <f>'01 - 2020'!C9-'01 - 2020'!C8</f>
        <v>0</v>
      </c>
      <c r="G4" s="25">
        <v>0.11799999999999999</v>
      </c>
      <c r="H4" s="27">
        <f>'01 - 2020'!E9-'01 - 2020'!E8</f>
        <v>0</v>
      </c>
      <c r="I4" s="27">
        <f>'01 - 2020'!F9-'01 - 2020'!F8</f>
        <v>0</v>
      </c>
      <c r="J4" s="27">
        <f>'01 - 2020'!G9-'01 - 2020'!G8</f>
        <v>0</v>
      </c>
      <c r="K4" s="25">
        <v>0.74</v>
      </c>
      <c r="L4" s="6"/>
      <c r="M4" s="12"/>
    </row>
    <row r="5" spans="1:13" x14ac:dyDescent="0.25">
      <c r="A5" t="s">
        <v>27</v>
      </c>
      <c r="B5">
        <f t="shared" si="0"/>
        <v>4</v>
      </c>
      <c r="C5" s="25">
        <v>1</v>
      </c>
      <c r="D5" s="25">
        <v>2020</v>
      </c>
      <c r="E5" s="27">
        <f>'01 - 2020'!B10-'01 - 2020'!B9</f>
        <v>0</v>
      </c>
      <c r="F5" s="27">
        <f>'01 - 2020'!C10-'01 - 2020'!C9</f>
        <v>0</v>
      </c>
      <c r="G5" s="25">
        <v>0.11799999999999999</v>
      </c>
      <c r="H5" s="27">
        <f>'01 - 2020'!E10-'01 - 2020'!E9</f>
        <v>0</v>
      </c>
      <c r="I5" s="27">
        <f>'01 - 2020'!F10-'01 - 2020'!F9</f>
        <v>0</v>
      </c>
      <c r="J5" s="27">
        <f>'01 - 2020'!G10-'01 - 2020'!G9</f>
        <v>0</v>
      </c>
      <c r="K5" s="25">
        <v>0.74</v>
      </c>
      <c r="L5" s="6"/>
      <c r="M5" s="12"/>
    </row>
    <row r="6" spans="1:13" x14ac:dyDescent="0.25">
      <c r="A6" t="s">
        <v>27</v>
      </c>
      <c r="B6">
        <f t="shared" si="0"/>
        <v>5</v>
      </c>
      <c r="C6" s="25">
        <v>1</v>
      </c>
      <c r="D6" s="25">
        <v>2020</v>
      </c>
      <c r="E6" s="27">
        <f>'01 - 2020'!B11-'01 - 2020'!B10</f>
        <v>0</v>
      </c>
      <c r="F6" s="27">
        <f>'01 - 2020'!C11-'01 - 2020'!C10</f>
        <v>0</v>
      </c>
      <c r="G6" s="25">
        <v>0.11799999999999999</v>
      </c>
      <c r="H6" s="27">
        <f>'01 - 2020'!E11-'01 - 2020'!E10</f>
        <v>0</v>
      </c>
      <c r="I6" s="27">
        <f>'01 - 2020'!F11-'01 - 2020'!F10</f>
        <v>0</v>
      </c>
      <c r="J6" s="27">
        <f>'01 - 2020'!G11-'01 - 2020'!G10</f>
        <v>0</v>
      </c>
      <c r="K6" s="25">
        <v>0.74</v>
      </c>
      <c r="L6" s="15"/>
      <c r="M6" s="13"/>
    </row>
    <row r="7" spans="1:13" x14ac:dyDescent="0.25">
      <c r="A7" t="s">
        <v>27</v>
      </c>
      <c r="B7">
        <f t="shared" si="0"/>
        <v>6</v>
      </c>
      <c r="C7" s="25">
        <v>1</v>
      </c>
      <c r="D7" s="25">
        <v>2020</v>
      </c>
      <c r="E7" s="27">
        <f>'01 - 2020'!B12-'01 - 2020'!B11</f>
        <v>0</v>
      </c>
      <c r="F7" s="27">
        <f>'01 - 2020'!C12-'01 - 2020'!C11</f>
        <v>0</v>
      </c>
      <c r="G7" s="25">
        <v>0.11799999999999999</v>
      </c>
      <c r="H7" s="27">
        <f>'01 - 2020'!E12-'01 - 2020'!E11</f>
        <v>0</v>
      </c>
      <c r="I7" s="27">
        <f>'01 - 2020'!F12-'01 - 2020'!F11</f>
        <v>0</v>
      </c>
      <c r="J7" s="27">
        <f>'01 - 2020'!G12-'01 - 2020'!G11</f>
        <v>0</v>
      </c>
      <c r="K7" s="25">
        <v>0.74</v>
      </c>
      <c r="L7" s="6"/>
      <c r="M7" s="13"/>
    </row>
    <row r="8" spans="1:13" x14ac:dyDescent="0.25">
      <c r="A8" t="s">
        <v>27</v>
      </c>
      <c r="B8">
        <f t="shared" si="0"/>
        <v>7</v>
      </c>
      <c r="C8" s="25">
        <v>1</v>
      </c>
      <c r="D8" s="25">
        <v>2020</v>
      </c>
      <c r="E8" s="27">
        <f>'01 - 2020'!B13-'01 - 2020'!B12</f>
        <v>0</v>
      </c>
      <c r="F8" s="27">
        <f>'01 - 2020'!C13-'01 - 2020'!C12</f>
        <v>0</v>
      </c>
      <c r="G8" s="25">
        <v>0.11799999999999999</v>
      </c>
      <c r="H8" s="27">
        <f>'01 - 2020'!E13-'01 - 2020'!E12</f>
        <v>0</v>
      </c>
      <c r="I8" s="27">
        <f>'01 - 2020'!F13-'01 - 2020'!F12</f>
        <v>0</v>
      </c>
      <c r="J8" s="27">
        <f>'01 - 2020'!G13-'01 - 2020'!G12</f>
        <v>0</v>
      </c>
      <c r="K8" s="25">
        <v>0.74</v>
      </c>
      <c r="L8" s="6"/>
      <c r="M8" s="13"/>
    </row>
    <row r="9" spans="1:13" x14ac:dyDescent="0.25">
      <c r="A9" t="s">
        <v>27</v>
      </c>
      <c r="B9">
        <f t="shared" si="0"/>
        <v>8</v>
      </c>
      <c r="C9" s="25">
        <v>1</v>
      </c>
      <c r="D9" s="25">
        <v>2020</v>
      </c>
      <c r="E9" s="27">
        <f>'01 - 2020'!B14-'01 - 2020'!B13</f>
        <v>0</v>
      </c>
      <c r="F9" s="27">
        <f>'01 - 2020'!C14-'01 - 2020'!C13</f>
        <v>0</v>
      </c>
      <c r="G9" s="25">
        <v>0.11799999999999999</v>
      </c>
      <c r="H9" s="27">
        <f>'01 - 2020'!E14-'01 - 2020'!E13</f>
        <v>0</v>
      </c>
      <c r="I9" s="27">
        <f>'01 - 2020'!F14-'01 - 2020'!F13</f>
        <v>0</v>
      </c>
      <c r="J9" s="27">
        <f>'01 - 2020'!G14-'01 - 2020'!G13</f>
        <v>0</v>
      </c>
      <c r="K9" s="25">
        <v>0.74</v>
      </c>
      <c r="L9" s="6"/>
      <c r="M9" s="13"/>
    </row>
    <row r="10" spans="1:13" x14ac:dyDescent="0.25">
      <c r="A10" t="s">
        <v>27</v>
      </c>
      <c r="B10">
        <f t="shared" si="0"/>
        <v>9</v>
      </c>
      <c r="C10" s="25">
        <v>1</v>
      </c>
      <c r="D10" s="25">
        <v>2020</v>
      </c>
      <c r="E10" s="27">
        <f>'01 - 2020'!B15-'01 - 2020'!B14</f>
        <v>0</v>
      </c>
      <c r="F10" s="27">
        <f>'01 - 2020'!C15-'01 - 2020'!C14</f>
        <v>0</v>
      </c>
      <c r="G10" s="25">
        <v>0.11799999999999999</v>
      </c>
      <c r="H10" s="27">
        <f>'01 - 2020'!E15-'01 - 2020'!E14</f>
        <v>0</v>
      </c>
      <c r="I10" s="27">
        <f>'01 - 2020'!F15-'01 - 2020'!F14</f>
        <v>0</v>
      </c>
      <c r="J10" s="27">
        <f>'01 - 2020'!G15-'01 - 2020'!G14</f>
        <v>0</v>
      </c>
      <c r="K10" s="25">
        <v>0.74</v>
      </c>
      <c r="L10" s="27"/>
      <c r="M10" s="13"/>
    </row>
    <row r="11" spans="1:13" x14ac:dyDescent="0.25">
      <c r="A11" t="s">
        <v>27</v>
      </c>
      <c r="B11">
        <f t="shared" si="0"/>
        <v>10</v>
      </c>
      <c r="C11" s="25">
        <v>1</v>
      </c>
      <c r="D11" s="25">
        <v>2020</v>
      </c>
      <c r="E11" s="27">
        <f>'01 - 2020'!B16-'01 - 2020'!B15</f>
        <v>0</v>
      </c>
      <c r="F11" s="27">
        <f>'01 - 2020'!C16-'01 - 2020'!C15</f>
        <v>0</v>
      </c>
      <c r="G11" s="25">
        <v>0.11799999999999999</v>
      </c>
      <c r="H11" s="27">
        <f>'01 - 2020'!E16-'01 - 2020'!E15</f>
        <v>0</v>
      </c>
      <c r="I11" s="27">
        <f>'01 - 2020'!F16-'01 - 2020'!F15</f>
        <v>0</v>
      </c>
      <c r="J11" s="27">
        <f>'01 - 2020'!G16-'01 - 2020'!G15</f>
        <v>0</v>
      </c>
      <c r="K11" s="25">
        <v>0.74</v>
      </c>
      <c r="L11" s="27"/>
      <c r="M11" s="13"/>
    </row>
    <row r="12" spans="1:13" x14ac:dyDescent="0.25">
      <c r="A12" t="s">
        <v>27</v>
      </c>
      <c r="B12">
        <f t="shared" si="0"/>
        <v>11</v>
      </c>
      <c r="C12" s="25">
        <v>1</v>
      </c>
      <c r="D12" s="25">
        <v>2020</v>
      </c>
      <c r="E12" s="27">
        <f>'01 - 2020'!B17-'01 - 2020'!B16</f>
        <v>0</v>
      </c>
      <c r="F12" s="27">
        <f>'01 - 2020'!C17-'01 - 2020'!C16</f>
        <v>0</v>
      </c>
      <c r="G12" s="25">
        <v>0.11799999999999999</v>
      </c>
      <c r="H12" s="27">
        <f>'01 - 2020'!E17-'01 - 2020'!E16</f>
        <v>0</v>
      </c>
      <c r="I12" s="27">
        <f>'01 - 2020'!F17-'01 - 2020'!F16</f>
        <v>0</v>
      </c>
      <c r="J12" s="27">
        <f>'01 - 2020'!G17-'01 - 2020'!G16</f>
        <v>0</v>
      </c>
      <c r="K12" s="25">
        <v>0.74</v>
      </c>
      <c r="L12" s="27"/>
      <c r="M12" s="13"/>
    </row>
    <row r="13" spans="1:13" x14ac:dyDescent="0.25">
      <c r="A13" t="s">
        <v>27</v>
      </c>
      <c r="B13">
        <f t="shared" si="0"/>
        <v>12</v>
      </c>
      <c r="C13" s="25">
        <v>1</v>
      </c>
      <c r="D13" s="25">
        <v>2020</v>
      </c>
      <c r="E13" s="27">
        <f>'01 - 2020'!B18-'01 - 2020'!B17</f>
        <v>0</v>
      </c>
      <c r="F13" s="27">
        <f>'01 - 2020'!C18-'01 - 2020'!C17</f>
        <v>0</v>
      </c>
      <c r="G13" s="25">
        <v>0.11799999999999999</v>
      </c>
      <c r="H13" s="27">
        <f>'01 - 2020'!E18-'01 - 2020'!E17</f>
        <v>0</v>
      </c>
      <c r="I13" s="27">
        <f>'01 - 2020'!F18-'01 - 2020'!F17</f>
        <v>0</v>
      </c>
      <c r="J13" s="27">
        <f>'01 - 2020'!G18-'01 - 2020'!G17</f>
        <v>0</v>
      </c>
      <c r="K13" s="25">
        <v>0.74</v>
      </c>
      <c r="L13" s="27"/>
      <c r="M13" s="13"/>
    </row>
    <row r="14" spans="1:13" x14ac:dyDescent="0.25">
      <c r="A14" t="s">
        <v>27</v>
      </c>
      <c r="B14">
        <f t="shared" si="0"/>
        <v>13</v>
      </c>
      <c r="C14" s="25">
        <v>1</v>
      </c>
      <c r="D14" s="25">
        <v>2020</v>
      </c>
      <c r="E14" s="27">
        <f>'01 - 2020'!B19-'01 - 2020'!B18</f>
        <v>0</v>
      </c>
      <c r="F14" s="27">
        <f>'01 - 2020'!C19-'01 - 2020'!C18</f>
        <v>0</v>
      </c>
      <c r="G14" s="25">
        <v>0.11799999999999999</v>
      </c>
      <c r="H14" s="27">
        <f>'01 - 2020'!E19-'01 - 2020'!E18</f>
        <v>0</v>
      </c>
      <c r="I14" s="27">
        <f>'01 - 2020'!F19-'01 - 2020'!F18</f>
        <v>0</v>
      </c>
      <c r="J14" s="27">
        <f>'01 - 2020'!G19-'01 - 2020'!G18</f>
        <v>0</v>
      </c>
      <c r="K14" s="25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5">
        <v>1</v>
      </c>
      <c r="D15" s="25">
        <v>2020</v>
      </c>
      <c r="E15" s="27">
        <f>'01 - 2020'!B20-'01 - 2020'!B19</f>
        <v>0</v>
      </c>
      <c r="F15" s="27">
        <f>'01 - 2020'!C20-'01 - 2020'!C19</f>
        <v>0</v>
      </c>
      <c r="G15" s="25">
        <v>0.11799999999999999</v>
      </c>
      <c r="H15" s="27">
        <f>'01 - 2020'!E20-'01 - 2020'!E19</f>
        <v>0</v>
      </c>
      <c r="I15" s="27">
        <f>'01 - 2020'!F20-'01 - 2020'!F19</f>
        <v>0</v>
      </c>
      <c r="J15" s="27">
        <f>'01 - 2020'!G20-'01 - 2020'!G19</f>
        <v>0</v>
      </c>
      <c r="K15" s="25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5">
        <v>1</v>
      </c>
      <c r="D16" s="25">
        <v>2020</v>
      </c>
      <c r="E16" s="27">
        <f>'01 - 2020'!B21-'01 - 2020'!B20</f>
        <v>0</v>
      </c>
      <c r="F16" s="27">
        <f>'01 - 2020'!C21-'01 - 2020'!C20</f>
        <v>0</v>
      </c>
      <c r="G16" s="25">
        <v>0.11799999999999999</v>
      </c>
      <c r="H16" s="27">
        <f>'01 - 2020'!E21-'01 - 2020'!E20</f>
        <v>0</v>
      </c>
      <c r="I16" s="27">
        <f>'01 - 2020'!F21-'01 - 2020'!F20</f>
        <v>0</v>
      </c>
      <c r="J16" s="27">
        <f>'01 - 2020'!G21-'01 - 2020'!G20</f>
        <v>0</v>
      </c>
      <c r="K16" s="25">
        <v>0.74</v>
      </c>
      <c r="L16" s="27"/>
      <c r="M16" s="13"/>
    </row>
    <row r="17" spans="1:13" x14ac:dyDescent="0.25">
      <c r="A17" t="s">
        <v>27</v>
      </c>
      <c r="B17">
        <f t="shared" si="0"/>
        <v>16</v>
      </c>
      <c r="C17" s="25">
        <v>1</v>
      </c>
      <c r="D17" s="25">
        <v>2020</v>
      </c>
      <c r="E17" s="27">
        <f>'01 - 2020'!B22-'01 - 2020'!B21</f>
        <v>0</v>
      </c>
      <c r="F17" s="27">
        <f>'01 - 2020'!C22-'01 - 2020'!C21</f>
        <v>0</v>
      </c>
      <c r="G17" s="25">
        <v>0.11799999999999999</v>
      </c>
      <c r="H17" s="27">
        <f>'01 - 2020'!E22-'01 - 2020'!E21</f>
        <v>0</v>
      </c>
      <c r="I17" s="27">
        <f>'01 - 2020'!F22-'01 - 2020'!F21</f>
        <v>0</v>
      </c>
      <c r="J17" s="27">
        <f>'01 - 2020'!G22-'01 - 2020'!G21</f>
        <v>0</v>
      </c>
      <c r="K17" s="25">
        <v>0.74</v>
      </c>
      <c r="L17" s="27"/>
      <c r="M17" s="13"/>
    </row>
    <row r="18" spans="1:13" x14ac:dyDescent="0.25">
      <c r="A18" t="s">
        <v>27</v>
      </c>
      <c r="B18">
        <f t="shared" si="0"/>
        <v>17</v>
      </c>
      <c r="C18" s="25">
        <v>1</v>
      </c>
      <c r="D18" s="25">
        <v>2020</v>
      </c>
      <c r="E18" s="27">
        <f>'01 - 2020'!B23-'01 - 2020'!B22</f>
        <v>0</v>
      </c>
      <c r="F18" s="27">
        <f>'01 - 2020'!C23-'01 - 2020'!C22</f>
        <v>0</v>
      </c>
      <c r="G18" s="25">
        <v>0.11799999999999999</v>
      </c>
      <c r="H18" s="27">
        <f>'01 - 2020'!E23-'01 - 2020'!E22</f>
        <v>0</v>
      </c>
      <c r="I18" s="27">
        <f>'01 - 2020'!F23-'01 - 2020'!F22</f>
        <v>0</v>
      </c>
      <c r="J18" s="27">
        <f>'01 - 2020'!G23-'01 - 2020'!G22</f>
        <v>0</v>
      </c>
      <c r="K18" s="25">
        <v>0.74</v>
      </c>
      <c r="L18" s="27"/>
      <c r="M18" s="13"/>
    </row>
    <row r="19" spans="1:13" x14ac:dyDescent="0.25">
      <c r="A19" t="s">
        <v>27</v>
      </c>
      <c r="B19">
        <f>B18+1</f>
        <v>18</v>
      </c>
      <c r="C19" s="25">
        <v>1</v>
      </c>
      <c r="D19" s="25">
        <v>2020</v>
      </c>
      <c r="E19" s="27">
        <f>'01 - 2020'!B24-'01 - 2020'!B23</f>
        <v>0</v>
      </c>
      <c r="F19" s="27">
        <f>'01 - 2020'!C24-'01 - 2020'!C23</f>
        <v>0</v>
      </c>
      <c r="G19" s="25">
        <v>0.11799999999999999</v>
      </c>
      <c r="H19" s="27">
        <f>'01 - 2020'!E24-'01 - 2020'!E23</f>
        <v>0</v>
      </c>
      <c r="I19" s="27">
        <f>'01 - 2020'!F24-'01 - 2020'!F23</f>
        <v>0</v>
      </c>
      <c r="J19" s="27">
        <f>'01 - 2020'!G24-'01 - 2020'!G23</f>
        <v>0</v>
      </c>
      <c r="K19" s="25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5">
        <v>1</v>
      </c>
      <c r="D20" s="25">
        <v>2020</v>
      </c>
      <c r="E20" s="27">
        <f>'01 - 2020'!B25-'01 - 2020'!B24</f>
        <v>0</v>
      </c>
      <c r="F20" s="27">
        <f>'01 - 2020'!C25-'01 - 2020'!C24</f>
        <v>0</v>
      </c>
      <c r="G20" s="25">
        <v>0.11799999999999999</v>
      </c>
      <c r="H20" s="27">
        <f>'01 - 2020'!E25-'01 - 2020'!E24</f>
        <v>0</v>
      </c>
      <c r="I20" s="27">
        <f>'01 - 2020'!F25-'01 - 2020'!F24</f>
        <v>0</v>
      </c>
      <c r="J20" s="27">
        <f>'01 - 2020'!G25-'01 - 2020'!G24</f>
        <v>0</v>
      </c>
      <c r="K20" s="25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5">
        <v>1</v>
      </c>
      <c r="D21" s="25">
        <v>2020</v>
      </c>
      <c r="E21" s="27">
        <f>'01 - 2020'!B26-'01 - 2020'!B25</f>
        <v>0</v>
      </c>
      <c r="F21" s="27">
        <f>'01 - 2020'!C26-'01 - 2020'!C25</f>
        <v>0</v>
      </c>
      <c r="G21" s="25">
        <v>0.11799999999999999</v>
      </c>
      <c r="H21" s="27">
        <f>'01 - 2020'!E26-'01 - 2020'!E25</f>
        <v>0</v>
      </c>
      <c r="I21" s="27">
        <f>'01 - 2020'!F26-'01 - 2020'!F25</f>
        <v>0</v>
      </c>
      <c r="J21" s="27">
        <f>'01 - 2020'!G26-'01 - 2020'!G25</f>
        <v>0</v>
      </c>
      <c r="K21" s="25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5">
        <v>1</v>
      </c>
      <c r="D22" s="25">
        <v>2020</v>
      </c>
      <c r="E22" s="27">
        <f>'01 - 2020'!B27-'01 - 2020'!B26</f>
        <v>0</v>
      </c>
      <c r="F22" s="27">
        <f>'01 - 2020'!C27-'01 - 2020'!C26</f>
        <v>0</v>
      </c>
      <c r="G22" s="25">
        <v>0.11799999999999999</v>
      </c>
      <c r="H22" s="27">
        <f>'01 - 2020'!E27-'01 - 2020'!E26</f>
        <v>0</v>
      </c>
      <c r="I22" s="27">
        <f>'01 - 2020'!F27-'01 - 2020'!F26</f>
        <v>0</v>
      </c>
      <c r="J22" s="27">
        <f>'01 - 2020'!G27-'01 - 2020'!G26</f>
        <v>0</v>
      </c>
      <c r="K22" s="25">
        <v>0.74</v>
      </c>
      <c r="L22" s="27"/>
      <c r="M22" s="13"/>
    </row>
    <row r="23" spans="1:13" x14ac:dyDescent="0.25">
      <c r="A23" t="s">
        <v>27</v>
      </c>
      <c r="B23">
        <f t="shared" si="0"/>
        <v>22</v>
      </c>
      <c r="C23" s="25">
        <v>1</v>
      </c>
      <c r="D23" s="25">
        <v>2020</v>
      </c>
      <c r="E23" s="27">
        <f>'01 - 2020'!B28-'01 - 2020'!B27</f>
        <v>0</v>
      </c>
      <c r="F23" s="27">
        <f>'01 - 2020'!C28-'01 - 2020'!C27</f>
        <v>0</v>
      </c>
      <c r="G23" s="25">
        <v>0.11799999999999999</v>
      </c>
      <c r="H23" s="27">
        <f>'01 - 2020'!E28-'01 - 2020'!E27</f>
        <v>0</v>
      </c>
      <c r="I23" s="27">
        <f>'01 - 2020'!F28-'01 - 2020'!F27</f>
        <v>0</v>
      </c>
      <c r="J23" s="27">
        <f>'01 - 2020'!G28-'01 - 2020'!G27</f>
        <v>0</v>
      </c>
      <c r="K23" s="25">
        <v>0.74</v>
      </c>
      <c r="L23" s="27"/>
      <c r="M23" s="13"/>
    </row>
    <row r="24" spans="1:13" x14ac:dyDescent="0.25">
      <c r="A24" t="s">
        <v>27</v>
      </c>
      <c r="B24">
        <f t="shared" si="0"/>
        <v>23</v>
      </c>
      <c r="C24" s="25">
        <v>1</v>
      </c>
      <c r="D24" s="25">
        <v>2020</v>
      </c>
      <c r="E24" s="27">
        <f>'01 - 2020'!B29-'01 - 2020'!B28</f>
        <v>0</v>
      </c>
      <c r="F24" s="27">
        <f>'01 - 2020'!C29-'01 - 2020'!C28</f>
        <v>0</v>
      </c>
      <c r="G24" s="25">
        <v>0.11799999999999999</v>
      </c>
      <c r="H24" s="27">
        <f>'01 - 2020'!E29-'01 - 2020'!E28</f>
        <v>0</v>
      </c>
      <c r="I24" s="27">
        <f>'01 - 2020'!F29-'01 - 2020'!F28</f>
        <v>0</v>
      </c>
      <c r="J24" s="27">
        <f>'01 - 2020'!G29-'01 - 2020'!G28</f>
        <v>0</v>
      </c>
      <c r="K24" s="25">
        <v>0.74</v>
      </c>
      <c r="L24" s="27"/>
      <c r="M24" s="13"/>
    </row>
    <row r="25" spans="1:13" x14ac:dyDescent="0.25">
      <c r="A25" t="s">
        <v>27</v>
      </c>
      <c r="B25">
        <f t="shared" si="0"/>
        <v>24</v>
      </c>
      <c r="C25" s="25">
        <v>1</v>
      </c>
      <c r="D25" s="25">
        <v>2020</v>
      </c>
      <c r="E25" s="27">
        <f>'01 - 2020'!B30-'01 - 2020'!B29</f>
        <v>0</v>
      </c>
      <c r="F25" s="27">
        <f>'01 - 2020'!C30-'01 - 2020'!C29</f>
        <v>0</v>
      </c>
      <c r="G25" s="25">
        <v>0.11799999999999999</v>
      </c>
      <c r="H25" s="27">
        <f>'01 - 2020'!E30-'01 - 2020'!E29</f>
        <v>0</v>
      </c>
      <c r="I25" s="27">
        <f>'01 - 2020'!F30-'01 - 2020'!F29</f>
        <v>0</v>
      </c>
      <c r="J25" s="27">
        <f>'01 - 2020'!G30-'01 - 2020'!G29</f>
        <v>0</v>
      </c>
      <c r="K25" s="25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5">
        <v>1</v>
      </c>
      <c r="D26" s="25">
        <v>2020</v>
      </c>
      <c r="E26" s="27">
        <f>'01 - 2020'!B31-'01 - 2020'!B30</f>
        <v>0</v>
      </c>
      <c r="F26" s="27">
        <f>'01 - 2020'!C31-'01 - 2020'!C30</f>
        <v>0</v>
      </c>
      <c r="G26" s="25">
        <v>0.11799999999999999</v>
      </c>
      <c r="H26" s="27">
        <f>'01 - 2020'!E31-'01 - 2020'!E30</f>
        <v>0</v>
      </c>
      <c r="I26" s="27">
        <f>'01 - 2020'!F31-'01 - 2020'!F30</f>
        <v>0</v>
      </c>
      <c r="J26" s="27">
        <f>'01 - 2020'!G31-'01 - 2020'!G30</f>
        <v>0</v>
      </c>
      <c r="K26" s="25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5">
        <v>1</v>
      </c>
      <c r="D27" s="25">
        <v>2020</v>
      </c>
      <c r="E27" s="27">
        <f>'01 - 2020'!B32-'01 - 2020'!B31</f>
        <v>0</v>
      </c>
      <c r="F27" s="27">
        <f>'01 - 2020'!C32-'01 - 2020'!C31</f>
        <v>0</v>
      </c>
      <c r="G27" s="25">
        <v>0.11799999999999999</v>
      </c>
      <c r="H27" s="27">
        <f>'01 - 2020'!E32-'01 - 2020'!E31</f>
        <v>0</v>
      </c>
      <c r="I27" s="27">
        <f>'01 - 2020'!F32-'01 - 2020'!F31</f>
        <v>0</v>
      </c>
      <c r="J27" s="27">
        <f>'01 - 2020'!G32-'01 - 2020'!G31</f>
        <v>0</v>
      </c>
      <c r="K27" s="25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5">
        <v>1</v>
      </c>
      <c r="D28" s="25">
        <v>2020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5">
        <v>1</v>
      </c>
      <c r="D29" s="25">
        <v>2020</v>
      </c>
      <c r="E29" s="27">
        <f>'01 - 2020'!B34-'01 - 2020'!B33</f>
        <v>0</v>
      </c>
      <c r="F29" s="27">
        <f>'01 - 2020'!C34-'01 - 2020'!C33</f>
        <v>0</v>
      </c>
      <c r="G29" s="25">
        <v>0.11799999999999999</v>
      </c>
      <c r="H29" s="27">
        <f>'01 - 2020'!E34-'01 - 2020'!E33</f>
        <v>0</v>
      </c>
      <c r="I29" s="27">
        <f>'01 - 2020'!F34-'01 - 2020'!F33</f>
        <v>0</v>
      </c>
      <c r="J29" s="27">
        <f>'01 - 2020'!G34-'01 - 2020'!G33</f>
        <v>0</v>
      </c>
      <c r="K29" s="25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5">
        <v>1</v>
      </c>
      <c r="D30" s="25">
        <v>2020</v>
      </c>
      <c r="E30" s="27">
        <v>0</v>
      </c>
      <c r="F30" s="27">
        <v>0</v>
      </c>
      <c r="G30" s="25">
        <v>0.11799999999999999</v>
      </c>
      <c r="H30" s="27">
        <v>0</v>
      </c>
      <c r="I30" s="27">
        <v>0</v>
      </c>
      <c r="J30" s="27">
        <v>0</v>
      </c>
      <c r="K30" s="25">
        <v>0.74</v>
      </c>
      <c r="L30" s="6"/>
    </row>
    <row r="31" spans="1:13" x14ac:dyDescent="0.25">
      <c r="A31" t="s">
        <v>27</v>
      </c>
      <c r="B31">
        <f t="shared" si="0"/>
        <v>30</v>
      </c>
      <c r="C31" s="25">
        <v>1</v>
      </c>
      <c r="D31" s="25">
        <v>2020</v>
      </c>
      <c r="E31" s="27">
        <f>'01 - 2020'!B36-'01 - 2020'!B35</f>
        <v>0</v>
      </c>
      <c r="F31" s="27">
        <f>'01 - 2020'!C36-'01 - 2020'!C35</f>
        <v>0</v>
      </c>
      <c r="G31" s="25">
        <v>0.11799999999999999</v>
      </c>
      <c r="H31" s="27">
        <f>'01 - 2020'!E36-'01 - 2020'!E35</f>
        <v>0</v>
      </c>
      <c r="I31" s="27">
        <f>'01 - 2020'!F36-'01 - 2020'!F35</f>
        <v>0</v>
      </c>
      <c r="J31" s="27">
        <f>'01 - 2020'!G36-'01 - 2020'!G35</f>
        <v>0</v>
      </c>
      <c r="K31" s="25">
        <v>0.74</v>
      </c>
      <c r="L31" s="6"/>
    </row>
    <row r="32" spans="1:13" x14ac:dyDescent="0.25">
      <c r="A32" s="25" t="s">
        <v>27</v>
      </c>
      <c r="B32">
        <v>31</v>
      </c>
      <c r="C32" s="25">
        <v>1</v>
      </c>
      <c r="D32" s="25">
        <v>2020</v>
      </c>
      <c r="E32" s="27">
        <f>'01 - 2020'!B37-'01 - 2020'!B36</f>
        <v>0</v>
      </c>
      <c r="F32" s="27">
        <f>'01 - 2020'!C37-'01 - 2020'!C36</f>
        <v>0</v>
      </c>
      <c r="G32" s="25">
        <v>0.11799999999999999</v>
      </c>
      <c r="H32" s="27">
        <f>'01 - 2020'!E37-'01 - 2020'!E36</f>
        <v>0</v>
      </c>
      <c r="I32" s="27">
        <f>'01 - 2020'!F37-'01 - 2020'!F36</f>
        <v>0</v>
      </c>
      <c r="J32" s="27">
        <f>'01 - 2020'!G37-'01 - 2020'!G36</f>
        <v>0</v>
      </c>
      <c r="K32" s="25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zoomScaleNormal="100" workbookViewId="0">
      <selection activeCell="S30" sqref="S3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0" t="s">
        <v>30</v>
      </c>
      <c r="B2" s="60"/>
      <c r="C2" s="60"/>
      <c r="D2" s="60"/>
      <c r="E2" s="60"/>
      <c r="F2" s="60"/>
      <c r="G2" s="60"/>
      <c r="H2" s="60"/>
      <c r="I2" s="60"/>
      <c r="J2" s="60"/>
      <c r="K2" s="25"/>
      <c r="L2" s="25"/>
    </row>
    <row r="3" spans="1:15" ht="16.5" thickBot="1" x14ac:dyDescent="0.3">
      <c r="A3" s="53" t="s">
        <v>36</v>
      </c>
      <c r="B3" s="53"/>
      <c r="C3" s="53"/>
      <c r="D3" s="53"/>
      <c r="E3" s="53"/>
      <c r="F3" s="53"/>
      <c r="G3" s="53"/>
      <c r="H3" s="53"/>
      <c r="I3" s="53"/>
      <c r="J3" s="53"/>
      <c r="K3" s="25"/>
      <c r="L3" s="25"/>
    </row>
    <row r="4" spans="1:15" ht="16.5" thickBot="1" x14ac:dyDescent="0.3">
      <c r="A4" s="2"/>
      <c r="B4" s="54">
        <v>19</v>
      </c>
      <c r="C4" s="55"/>
      <c r="D4" s="54" t="s">
        <v>0</v>
      </c>
      <c r="E4" s="56"/>
      <c r="F4" s="56"/>
      <c r="G4" s="57"/>
      <c r="H4" s="58" t="s">
        <v>1</v>
      </c>
      <c r="I4" s="59"/>
      <c r="J4" s="31" t="s">
        <v>2</v>
      </c>
      <c r="K4" s="3"/>
      <c r="L4" s="25"/>
    </row>
    <row r="5" spans="1:15" ht="30" x14ac:dyDescent="0.25">
      <c r="A5" s="45" t="s">
        <v>3</v>
      </c>
      <c r="B5" s="46" t="s">
        <v>33</v>
      </c>
      <c r="C5" s="47" t="s">
        <v>34</v>
      </c>
      <c r="D5" s="47" t="s">
        <v>4</v>
      </c>
      <c r="E5" s="47" t="s">
        <v>5</v>
      </c>
      <c r="F5" s="47" t="s">
        <v>6</v>
      </c>
      <c r="G5" s="48" t="s">
        <v>7</v>
      </c>
      <c r="H5" s="47" t="s">
        <v>28</v>
      </c>
      <c r="I5" s="47" t="s">
        <v>29</v>
      </c>
      <c r="J5" s="47" t="s">
        <v>8</v>
      </c>
      <c r="K5" s="32" t="s">
        <v>31</v>
      </c>
      <c r="L5" s="33" t="s">
        <v>32</v>
      </c>
    </row>
    <row r="6" spans="1:15" ht="12.75" customHeight="1" x14ac:dyDescent="0.25">
      <c r="A6" s="50">
        <v>43830</v>
      </c>
      <c r="B6" s="16">
        <v>371020</v>
      </c>
      <c r="C6" s="16">
        <v>262903</v>
      </c>
      <c r="D6" s="17">
        <v>0.5</v>
      </c>
      <c r="E6" s="30">
        <v>8752.6200000000008</v>
      </c>
      <c r="F6" s="30">
        <v>1649.89</v>
      </c>
      <c r="G6" s="18">
        <v>15141.97</v>
      </c>
      <c r="H6" s="16">
        <v>14528</v>
      </c>
      <c r="I6" s="16">
        <v>83575</v>
      </c>
      <c r="J6" s="16">
        <v>37225210</v>
      </c>
      <c r="K6" s="19"/>
      <c r="L6" s="34"/>
    </row>
    <row r="7" spans="1:15" ht="12.75" customHeight="1" x14ac:dyDescent="0.25">
      <c r="A7" s="49">
        <v>43466</v>
      </c>
      <c r="B7" s="38">
        <v>375325</v>
      </c>
      <c r="C7" s="39">
        <v>269487</v>
      </c>
      <c r="D7" s="40">
        <v>0.43</v>
      </c>
      <c r="E7" s="41">
        <v>8777.69</v>
      </c>
      <c r="F7" s="41">
        <v>1656.4</v>
      </c>
      <c r="G7" s="41">
        <v>15184.92</v>
      </c>
      <c r="H7" s="42">
        <v>14528</v>
      </c>
      <c r="I7" s="42">
        <v>83709</v>
      </c>
      <c r="J7" s="42">
        <v>37241070</v>
      </c>
      <c r="K7" s="43"/>
      <c r="L7" s="44"/>
    </row>
    <row r="8" spans="1:15" ht="12.75" customHeight="1" x14ac:dyDescent="0.25">
      <c r="A8" s="49">
        <v>43467</v>
      </c>
      <c r="B8" s="28"/>
      <c r="C8" s="20"/>
      <c r="D8" s="17"/>
      <c r="E8" s="24"/>
      <c r="F8" s="24"/>
      <c r="G8" s="24"/>
      <c r="H8" s="20"/>
      <c r="I8" s="16"/>
      <c r="J8" s="16"/>
      <c r="K8" s="19"/>
      <c r="L8" s="34"/>
    </row>
    <row r="9" spans="1:15" ht="12.75" customHeight="1" x14ac:dyDescent="0.25">
      <c r="A9" s="49">
        <v>43468</v>
      </c>
      <c r="B9" s="16"/>
      <c r="C9" s="16"/>
      <c r="D9" s="17"/>
      <c r="E9" s="24"/>
      <c r="F9" s="24"/>
      <c r="G9" s="24"/>
      <c r="H9" s="20"/>
      <c r="I9" s="16"/>
      <c r="J9" s="16"/>
      <c r="K9" s="19"/>
      <c r="L9" s="34"/>
    </row>
    <row r="10" spans="1:15" ht="12.75" customHeight="1" x14ac:dyDescent="0.25">
      <c r="A10" s="49">
        <v>43469</v>
      </c>
      <c r="B10" s="16"/>
      <c r="C10" s="16"/>
      <c r="D10" s="17"/>
      <c r="E10" s="24"/>
      <c r="F10" s="24"/>
      <c r="G10" s="24"/>
      <c r="H10" s="20"/>
      <c r="I10" s="16"/>
      <c r="J10" s="16"/>
      <c r="K10" s="19"/>
      <c r="L10" s="34"/>
    </row>
    <row r="11" spans="1:15" ht="12.75" customHeight="1" x14ac:dyDescent="0.25">
      <c r="A11" s="49">
        <v>43470</v>
      </c>
      <c r="B11" s="16"/>
      <c r="C11" s="16"/>
      <c r="D11" s="17"/>
      <c r="E11" s="24"/>
      <c r="F11" s="24"/>
      <c r="G11" s="24"/>
      <c r="H11" s="16"/>
      <c r="I11" s="16"/>
      <c r="J11" s="16"/>
      <c r="K11" s="19"/>
      <c r="L11" s="34"/>
    </row>
    <row r="12" spans="1:15" ht="12.75" customHeight="1" x14ac:dyDescent="0.25">
      <c r="A12" s="49">
        <v>43471</v>
      </c>
      <c r="B12" s="16"/>
      <c r="C12" s="16"/>
      <c r="D12" s="17"/>
      <c r="E12" s="24"/>
      <c r="F12" s="24"/>
      <c r="G12" s="24"/>
      <c r="H12" s="16"/>
      <c r="I12" s="18"/>
      <c r="J12" s="18"/>
      <c r="K12" s="19"/>
      <c r="L12" s="34"/>
    </row>
    <row r="13" spans="1:15" ht="12.75" customHeight="1" x14ac:dyDescent="0.25">
      <c r="A13" s="49">
        <v>43472</v>
      </c>
      <c r="B13" s="16"/>
      <c r="C13" s="16"/>
      <c r="D13" s="17"/>
      <c r="E13" s="24"/>
      <c r="F13" s="24"/>
      <c r="G13" s="18"/>
      <c r="H13" s="16"/>
      <c r="I13" s="16"/>
      <c r="J13" s="16"/>
      <c r="K13" s="28"/>
      <c r="L13" s="34"/>
      <c r="O13" s="27"/>
    </row>
    <row r="14" spans="1:15" ht="12.75" customHeight="1" x14ac:dyDescent="0.25">
      <c r="A14" s="49">
        <v>43473</v>
      </c>
      <c r="B14" s="20"/>
      <c r="C14" s="16"/>
      <c r="D14" s="17"/>
      <c r="E14" s="24"/>
      <c r="F14" s="24"/>
      <c r="G14" s="18"/>
      <c r="H14" s="16"/>
      <c r="I14" s="16"/>
      <c r="J14" s="16"/>
      <c r="K14" s="19"/>
      <c r="L14" s="34"/>
      <c r="O14" s="27"/>
    </row>
    <row r="15" spans="1:15" ht="12.75" customHeight="1" x14ac:dyDescent="0.25">
      <c r="A15" s="49">
        <v>43474</v>
      </c>
      <c r="B15" s="51"/>
      <c r="C15" s="16"/>
      <c r="D15" s="17"/>
      <c r="E15" s="24"/>
      <c r="F15" s="24"/>
      <c r="G15" s="18"/>
      <c r="H15" s="16"/>
      <c r="I15" s="16"/>
      <c r="J15" s="16"/>
      <c r="K15" s="19"/>
      <c r="L15" s="34"/>
    </row>
    <row r="16" spans="1:15" ht="12.75" customHeight="1" x14ac:dyDescent="0.25">
      <c r="A16" s="49">
        <v>43475</v>
      </c>
      <c r="B16" s="18"/>
      <c r="C16" s="18"/>
      <c r="D16" s="29"/>
      <c r="E16" s="24"/>
      <c r="F16" s="24"/>
      <c r="G16" s="18"/>
      <c r="H16" s="16"/>
      <c r="I16" s="18"/>
      <c r="J16" s="18"/>
      <c r="K16" s="19"/>
      <c r="L16" s="34"/>
    </row>
    <row r="17" spans="1:16" ht="12.75" customHeight="1" x14ac:dyDescent="0.25">
      <c r="A17" s="49">
        <v>43476</v>
      </c>
      <c r="B17" s="16"/>
      <c r="C17" s="16"/>
      <c r="D17" s="17"/>
      <c r="E17" s="24"/>
      <c r="F17" s="24"/>
      <c r="G17" s="18"/>
      <c r="H17" s="16"/>
      <c r="I17" s="16"/>
      <c r="J17" s="16"/>
      <c r="K17" s="19"/>
      <c r="L17" s="34"/>
      <c r="P17" s="27"/>
    </row>
    <row r="18" spans="1:16" ht="12.75" customHeight="1" x14ac:dyDescent="0.25">
      <c r="A18" s="49">
        <v>43477</v>
      </c>
      <c r="B18" s="16"/>
      <c r="C18" s="16"/>
      <c r="D18" s="17"/>
      <c r="E18" s="24"/>
      <c r="F18" s="24"/>
      <c r="G18" s="18"/>
      <c r="H18" s="16"/>
      <c r="I18" s="16"/>
      <c r="J18" s="16"/>
      <c r="K18" s="19"/>
      <c r="L18" s="34"/>
      <c r="P18" s="27"/>
    </row>
    <row r="19" spans="1:16" ht="12.75" customHeight="1" x14ac:dyDescent="0.25">
      <c r="A19" s="49">
        <v>43478</v>
      </c>
      <c r="B19" s="16"/>
      <c r="C19" s="16"/>
      <c r="D19" s="17"/>
      <c r="E19" s="24"/>
      <c r="F19" s="24"/>
      <c r="G19" s="18"/>
      <c r="H19" s="16"/>
      <c r="I19" s="16"/>
      <c r="J19" s="16"/>
      <c r="K19" s="19"/>
      <c r="L19" s="34"/>
    </row>
    <row r="20" spans="1:16" ht="12.75" customHeight="1" x14ac:dyDescent="0.25">
      <c r="A20" s="49">
        <v>43479</v>
      </c>
      <c r="B20" s="16"/>
      <c r="C20" s="16"/>
      <c r="D20" s="17"/>
      <c r="E20" s="24"/>
      <c r="F20" s="24"/>
      <c r="G20" s="18"/>
      <c r="H20" s="16"/>
      <c r="I20" s="16"/>
      <c r="J20" s="16"/>
      <c r="K20" s="19"/>
      <c r="L20" s="34"/>
    </row>
    <row r="21" spans="1:16" ht="12.75" customHeight="1" x14ac:dyDescent="0.25">
      <c r="A21" s="49">
        <v>43480</v>
      </c>
      <c r="B21" s="16"/>
      <c r="C21" s="16"/>
      <c r="D21" s="17"/>
      <c r="E21" s="24"/>
      <c r="F21" s="24"/>
      <c r="G21" s="18"/>
      <c r="H21" s="16"/>
      <c r="I21" s="18"/>
      <c r="J21" s="16"/>
      <c r="K21" s="28"/>
      <c r="L21" s="34"/>
    </row>
    <row r="22" spans="1:16" ht="12.75" customHeight="1" x14ac:dyDescent="0.25">
      <c r="A22" s="49">
        <v>43481</v>
      </c>
      <c r="B22" s="22"/>
      <c r="C22" s="22"/>
      <c r="D22" s="17"/>
      <c r="E22" s="30"/>
      <c r="F22" s="30"/>
      <c r="G22" s="18"/>
      <c r="H22" s="16"/>
      <c r="I22" s="16"/>
      <c r="J22" s="16"/>
      <c r="K22" s="28"/>
      <c r="L22" s="34"/>
    </row>
    <row r="23" spans="1:16" ht="12.75" customHeight="1" x14ac:dyDescent="0.25">
      <c r="A23" s="49">
        <v>43482</v>
      </c>
      <c r="B23" s="22"/>
      <c r="C23" s="22"/>
      <c r="D23" s="17"/>
      <c r="E23" s="30"/>
      <c r="F23" s="30"/>
      <c r="G23" s="18"/>
      <c r="H23" s="16"/>
      <c r="I23" s="16"/>
      <c r="J23" s="16"/>
      <c r="K23" s="19"/>
      <c r="L23" s="35"/>
    </row>
    <row r="24" spans="1:16" ht="12.75" customHeight="1" x14ac:dyDescent="0.25">
      <c r="A24" s="49">
        <v>43483</v>
      </c>
      <c r="B24" s="18"/>
      <c r="C24" s="18"/>
      <c r="D24" s="29"/>
      <c r="E24" s="30"/>
      <c r="F24" s="30"/>
      <c r="G24" s="18"/>
      <c r="H24" s="16"/>
      <c r="I24" s="16"/>
      <c r="J24" s="16"/>
      <c r="K24" s="28"/>
      <c r="L24" s="35"/>
    </row>
    <row r="25" spans="1:16" ht="12.75" customHeight="1" x14ac:dyDescent="0.25">
      <c r="A25" s="49">
        <v>43484</v>
      </c>
      <c r="B25" s="18"/>
      <c r="C25" s="18"/>
      <c r="D25" s="29"/>
      <c r="E25" s="30"/>
      <c r="F25" s="30"/>
      <c r="G25" s="18"/>
      <c r="H25" s="16"/>
      <c r="I25" s="16"/>
      <c r="J25" s="16"/>
      <c r="K25" s="28"/>
      <c r="L25" s="35"/>
    </row>
    <row r="26" spans="1:16" ht="12.75" customHeight="1" x14ac:dyDescent="0.25">
      <c r="A26" s="49">
        <v>43485</v>
      </c>
      <c r="B26" s="16"/>
      <c r="C26" s="16"/>
      <c r="D26" s="17"/>
      <c r="E26" s="30"/>
      <c r="F26" s="30"/>
      <c r="G26" s="18"/>
      <c r="H26" s="16"/>
      <c r="I26" s="16"/>
      <c r="J26" s="16"/>
      <c r="K26" s="19"/>
      <c r="L26" s="34"/>
    </row>
    <row r="27" spans="1:16" ht="12.75" customHeight="1" x14ac:dyDescent="0.25">
      <c r="A27" s="49">
        <v>43486</v>
      </c>
      <c r="B27" s="16"/>
      <c r="C27" s="16"/>
      <c r="D27" s="17"/>
      <c r="E27" s="30"/>
      <c r="F27" s="30"/>
      <c r="G27" s="18"/>
      <c r="H27" s="16"/>
      <c r="I27" s="16"/>
      <c r="J27" s="16"/>
      <c r="K27" s="19"/>
      <c r="L27" s="34"/>
    </row>
    <row r="28" spans="1:16" ht="12.75" customHeight="1" x14ac:dyDescent="0.25">
      <c r="A28" s="49">
        <v>43487</v>
      </c>
      <c r="B28" s="16"/>
      <c r="C28" s="16"/>
      <c r="D28" s="17"/>
      <c r="E28" s="30"/>
      <c r="F28" s="30"/>
      <c r="G28" s="18"/>
      <c r="H28" s="16"/>
      <c r="I28" s="16"/>
      <c r="J28" s="16"/>
      <c r="K28" s="19"/>
      <c r="L28" s="34"/>
      <c r="P28" s="6"/>
    </row>
    <row r="29" spans="1:16" ht="12.75" customHeight="1" x14ac:dyDescent="0.25">
      <c r="A29" s="49">
        <v>43488</v>
      </c>
      <c r="B29" s="16"/>
      <c r="C29" s="16"/>
      <c r="D29" s="17"/>
      <c r="E29" s="30"/>
      <c r="F29" s="30"/>
      <c r="G29" s="18"/>
      <c r="H29" s="16"/>
      <c r="I29" s="16"/>
      <c r="J29" s="16"/>
      <c r="K29" s="19"/>
      <c r="L29" s="34"/>
      <c r="P29" s="6"/>
    </row>
    <row r="30" spans="1:16" ht="12.75" customHeight="1" x14ac:dyDescent="0.25">
      <c r="A30" s="49">
        <v>43489</v>
      </c>
      <c r="B30" s="16"/>
      <c r="C30" s="16"/>
      <c r="D30" s="17"/>
      <c r="E30" s="30"/>
      <c r="F30" s="30"/>
      <c r="G30" s="18"/>
      <c r="H30" s="16"/>
      <c r="I30" s="16"/>
      <c r="J30" s="16"/>
      <c r="K30" s="19"/>
      <c r="L30" s="36"/>
      <c r="P30" s="6"/>
    </row>
    <row r="31" spans="1:16" ht="12.75" customHeight="1" x14ac:dyDescent="0.25">
      <c r="A31" s="49">
        <v>43490</v>
      </c>
      <c r="B31" s="16"/>
      <c r="C31" s="16"/>
      <c r="D31" s="17"/>
      <c r="E31" s="30"/>
      <c r="F31" s="30"/>
      <c r="G31" s="18"/>
      <c r="H31" s="16"/>
      <c r="I31" s="16"/>
      <c r="J31" s="16"/>
      <c r="K31" s="19"/>
      <c r="L31" s="36"/>
      <c r="P31" s="6"/>
    </row>
    <row r="32" spans="1:16" ht="12.75" customHeight="1" x14ac:dyDescent="0.25">
      <c r="A32" s="49">
        <v>43491</v>
      </c>
      <c r="B32" s="16"/>
      <c r="C32" s="16"/>
      <c r="D32" s="17"/>
      <c r="E32" s="30"/>
      <c r="F32" s="30"/>
      <c r="G32" s="18"/>
      <c r="H32" s="16"/>
      <c r="I32" s="16"/>
      <c r="J32" s="16"/>
      <c r="K32" s="19"/>
      <c r="L32" s="34"/>
      <c r="P32" s="6"/>
    </row>
    <row r="33" spans="1:12" ht="12.75" customHeight="1" x14ac:dyDescent="0.25">
      <c r="A33" s="49">
        <v>43492</v>
      </c>
      <c r="B33" s="18"/>
      <c r="C33" s="21"/>
      <c r="D33" s="29"/>
      <c r="E33" s="30"/>
      <c r="F33" s="30"/>
      <c r="G33" s="18"/>
      <c r="H33" s="16"/>
      <c r="I33" s="18"/>
      <c r="J33" s="18"/>
      <c r="K33" s="19"/>
      <c r="L33" s="34"/>
    </row>
    <row r="34" spans="1:12" ht="12.75" customHeight="1" x14ac:dyDescent="0.25">
      <c r="A34" s="49">
        <v>43493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49">
        <v>43494</v>
      </c>
      <c r="B35" s="16"/>
      <c r="C35" s="21"/>
      <c r="D35" s="17"/>
      <c r="E35" s="30"/>
      <c r="F35" s="30"/>
      <c r="G35" s="18"/>
      <c r="H35" s="18"/>
      <c r="I35" s="16"/>
      <c r="J35" s="16"/>
      <c r="K35" s="19"/>
      <c r="L35" s="34"/>
    </row>
    <row r="36" spans="1:12" ht="12.75" customHeight="1" x14ac:dyDescent="0.25">
      <c r="A36" s="49">
        <v>43495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49">
        <v>43496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52" t="s">
        <v>35</v>
      </c>
      <c r="B38" s="37">
        <f t="shared" ref="B38:H38" si="0">B37-B6</f>
        <v>-371020</v>
      </c>
      <c r="C38" s="37">
        <f t="shared" si="0"/>
        <v>-262903</v>
      </c>
      <c r="D38" s="37">
        <f t="shared" si="0"/>
        <v>-0.5</v>
      </c>
      <c r="E38" s="37">
        <f t="shared" si="0"/>
        <v>-8752.6200000000008</v>
      </c>
      <c r="F38" s="37">
        <f t="shared" si="0"/>
        <v>-1649.89</v>
      </c>
      <c r="G38" s="37">
        <f t="shared" si="0"/>
        <v>-15141.97</v>
      </c>
      <c r="H38" s="37">
        <f t="shared" si="0"/>
        <v>-14528</v>
      </c>
      <c r="I38" s="37">
        <f t="shared" ref="I38" si="1">I37-I6</f>
        <v>-83575</v>
      </c>
      <c r="J38" s="37">
        <f>J37-J6</f>
        <v>-37225210</v>
      </c>
      <c r="K38" s="37">
        <f>SUM(K6:K37)</f>
        <v>0</v>
      </c>
      <c r="L38" s="25"/>
    </row>
    <row r="39" spans="1:12" x14ac:dyDescent="0.25">
      <c r="A39" s="25"/>
      <c r="B39" s="25"/>
      <c r="C39" s="37"/>
      <c r="D39" s="25"/>
      <c r="E39" s="27"/>
      <c r="F39" s="27"/>
      <c r="G39" s="27"/>
      <c r="H39" s="23">
        <f>H38*219.969</f>
        <v>-3195709.6319999998</v>
      </c>
      <c r="I39" s="37">
        <f>I38*219.969</f>
        <v>-18383909.175000001</v>
      </c>
      <c r="J39" s="27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01 - 2020</vt:lpstr>
      <vt:lpstr>'01 - 2020'!Print_Area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dcterms:created xsi:type="dcterms:W3CDTF">2017-04-26T09:20:12Z</dcterms:created>
  <dcterms:modified xsi:type="dcterms:W3CDTF">2020-01-01T12:04:07Z</dcterms:modified>
</cp:coreProperties>
</file>