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HEP\2020\"/>
    </mc:Choice>
  </mc:AlternateContent>
  <xr:revisionPtr revIDLastSave="0" documentId="13_ncr:1_{9DA1CEC7-CDA8-4390-A24E-B6E546476684}" xr6:coauthVersionLast="36" xr6:coauthVersionMax="45" xr10:uidLastSave="{00000000-0000-0000-0000-000000000000}"/>
  <bookViews>
    <workbookView xWindow="0" yWindow="0" windowWidth="21600" windowHeight="9525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9"/>
</workbook>
</file>

<file path=xl/calcChain.xml><?xml version="1.0" encoding="utf-8"?>
<calcChain xmlns="http://schemas.openxmlformats.org/spreadsheetml/2006/main">
  <c r="R10" i="2" l="1"/>
  <c r="R11" i="2"/>
  <c r="R12" i="2"/>
  <c r="R13" i="2"/>
  <c r="R14" i="2"/>
  <c r="R15" i="2"/>
  <c r="R16" i="2"/>
  <c r="R17" i="2"/>
  <c r="R18" i="2"/>
  <c r="R19" i="2"/>
  <c r="B31" i="3" l="1"/>
  <c r="B32" i="3" s="1"/>
  <c r="B31" i="1"/>
  <c r="B32" i="1" s="1"/>
  <c r="F3" i="1"/>
  <c r="F4" i="1"/>
  <c r="F5" i="1"/>
  <c r="F6" i="1"/>
  <c r="F7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  <c r="H7" i="2" l="1"/>
  <c r="H8" i="2"/>
  <c r="H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Y10" i="3"/>
  <c r="Y11" i="3"/>
  <c r="Y12" i="3"/>
  <c r="Y21" i="3"/>
  <c r="Y30" i="3"/>
  <c r="Y31" i="3"/>
  <c r="I31" i="1"/>
  <c r="Y32" i="3"/>
  <c r="Y2" i="3"/>
  <c r="L32" i="1"/>
  <c r="G3" i="3"/>
  <c r="G4" i="3"/>
  <c r="G5" i="3"/>
  <c r="G6" i="3"/>
  <c r="G7" i="3"/>
  <c r="E7" i="1" s="1"/>
  <c r="G8" i="3"/>
  <c r="G9" i="3"/>
  <c r="G10" i="3"/>
  <c r="G11" i="3"/>
  <c r="G12" i="3"/>
  <c r="G13" i="3"/>
  <c r="G14" i="3"/>
  <c r="G15" i="3"/>
  <c r="G16" i="3"/>
  <c r="G17" i="3"/>
  <c r="G18" i="3"/>
  <c r="G19" i="3"/>
  <c r="E19" i="1" s="1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F10" i="3"/>
  <c r="F11" i="3"/>
  <c r="F11" i="1" s="1"/>
  <c r="F12" i="3"/>
  <c r="F13" i="3"/>
  <c r="F14" i="3"/>
  <c r="F15" i="3"/>
  <c r="F16" i="3"/>
  <c r="E16" i="1" s="1"/>
  <c r="F17" i="3"/>
  <c r="E17" i="1" s="1"/>
  <c r="F18" i="3"/>
  <c r="F19" i="3"/>
  <c r="F20" i="3"/>
  <c r="F21" i="3"/>
  <c r="F22" i="3"/>
  <c r="F23" i="3"/>
  <c r="F24" i="3"/>
  <c r="F25" i="3"/>
  <c r="E25" i="1" s="1"/>
  <c r="F26" i="3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22" i="1"/>
  <c r="E15" i="1" l="1"/>
  <c r="F14" i="1"/>
  <c r="E13" i="1"/>
  <c r="E12" i="1"/>
  <c r="F10" i="1"/>
  <c r="E9" i="1"/>
  <c r="F8" i="1"/>
  <c r="E14" i="1"/>
  <c r="F15" i="1"/>
  <c r="F13" i="1"/>
  <c r="F12" i="1"/>
  <c r="E11" i="1"/>
  <c r="E10" i="1"/>
  <c r="F9" i="1"/>
  <c r="I15" i="1"/>
  <c r="E26" i="1"/>
  <c r="I32" i="1"/>
  <c r="E8" i="1"/>
  <c r="E5" i="1"/>
  <c r="E6" i="1"/>
  <c r="E4" i="1"/>
  <c r="E3" i="1"/>
  <c r="E2" i="1"/>
  <c r="I7" i="1"/>
  <c r="E18" i="1"/>
  <c r="I24" i="1"/>
  <c r="I5" i="1"/>
  <c r="E23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E20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<sst xmlns="http://schemas.openxmlformats.org/spreadsheetml/2006/main" count="190" uniqueCount="58">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</sst>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10" workbookViewId="0">
      <selection activeCell="J32" sqref="J32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3</v>
      </c>
      <c r="D2" s="10">
        <v>2020</v>
      </c>
      <c r="E2" s="19">
        <f>Submetering!E2+Submetering!F2+Submetering!G2</f>
        <v>16631</v>
      </c>
      <c r="F2" s="7">
        <f>((Submetering!F2+Submetering!E2)*0.1088+Submetering!G2*0.0302)/(Submetering!E2+Submetering!F2+Submetering!G2)</f>
        <v>8.9956983945643679E-2</v>
      </c>
      <c r="G2" s="19">
        <f>Submetering!AC2</f>
        <v>2437</v>
      </c>
      <c r="H2" s="15">
        <v>0.25512900304306657</v>
      </c>
      <c r="I2" s="19">
        <f>Submetering!Y2+Submetering!Z2</f>
        <v>1264</v>
      </c>
      <c r="J2" s="15">
        <v>2.3196172978505634</v>
      </c>
      <c r="K2" s="19">
        <f>Submetering!AE2</f>
        <v>113</v>
      </c>
      <c r="L2" s="19">
        <f>Submetering!AF2</f>
        <v>149</v>
      </c>
    </row>
    <row r="3" spans="1:24" x14ac:dyDescent="0.25">
      <c r="A3" s="16" t="s">
        <v>52</v>
      </c>
      <c r="B3" s="10">
        <f>B2+1</f>
        <v>2</v>
      </c>
      <c r="C3" s="10">
        <v>3</v>
      </c>
      <c r="D3" s="10">
        <v>2020</v>
      </c>
      <c r="E3" s="19">
        <f>Submetering!E3+Submetering!F3+Submetering!G3</f>
        <v>16375</v>
      </c>
      <c r="F3" s="7">
        <f>((Submetering!F3+Submetering!E3)*0.1088+Submetering!G3*0.0302)/(Submetering!E3+Submetering!F3+Submetering!G3)</f>
        <v>9.0531200000000006E-2</v>
      </c>
      <c r="G3" s="19">
        <f>Submetering!AC3</f>
        <v>2193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127</v>
      </c>
      <c r="L3" s="19">
        <f>Submetering!AF3</f>
        <v>155</v>
      </c>
    </row>
    <row r="4" spans="1:24" x14ac:dyDescent="0.25">
      <c r="A4" s="16" t="s">
        <v>52</v>
      </c>
      <c r="B4" s="10">
        <f t="shared" ref="B4:B32" si="0">B3+1</f>
        <v>3</v>
      </c>
      <c r="C4" s="10">
        <v>3</v>
      </c>
      <c r="D4" s="10">
        <v>2020</v>
      </c>
      <c r="E4" s="19">
        <f>Submetering!E4+Submetering!F4+Submetering!G4</f>
        <v>17238</v>
      </c>
      <c r="F4" s="7">
        <f>((Submetering!F4+Submetering!E4)*0.1088+Submetering!G4*0.0302)/(Submetering!E4+Submetering!F4+Submetering!G4)</f>
        <v>9.066153846153846E-2</v>
      </c>
      <c r="G4" s="19">
        <f>Submetering!AC4</f>
        <v>2432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122</v>
      </c>
      <c r="L4" s="19">
        <f>Submetering!AF4</f>
        <v>152</v>
      </c>
    </row>
    <row r="5" spans="1:24" x14ac:dyDescent="0.25">
      <c r="A5" s="16" t="s">
        <v>52</v>
      </c>
      <c r="B5" s="10">
        <f t="shared" si="0"/>
        <v>4</v>
      </c>
      <c r="C5" s="10">
        <v>3</v>
      </c>
      <c r="D5" s="10">
        <v>2020</v>
      </c>
      <c r="E5" s="19">
        <f>Submetering!E5+Submetering!F5+Submetering!G5</f>
        <v>17491</v>
      </c>
      <c r="F5" s="7">
        <f>((Submetering!F5+Submetering!E5)*0.1088+Submetering!G5*0.0302)/(Submetering!E5+Submetering!F5+Submetering!G5)</f>
        <v>9.1054222171402438E-2</v>
      </c>
      <c r="G5" s="19">
        <f>Submetering!AC5</f>
        <v>2414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90</v>
      </c>
      <c r="L5" s="19">
        <f>Submetering!AF5</f>
        <v>121</v>
      </c>
    </row>
    <row r="6" spans="1:24" x14ac:dyDescent="0.25">
      <c r="A6" s="16" t="s">
        <v>52</v>
      </c>
      <c r="B6" s="10">
        <f t="shared" si="0"/>
        <v>5</v>
      </c>
      <c r="C6" s="10">
        <v>3</v>
      </c>
      <c r="D6" s="10">
        <v>2020</v>
      </c>
      <c r="E6" s="19">
        <f>Submetering!E6+Submetering!F6+Submetering!G6</f>
        <v>17121</v>
      </c>
      <c r="F6" s="7">
        <f>((Submetering!F6+Submetering!E6)*0.1088+Submetering!G6*0.0302)/(Submetering!E6+Submetering!F6+Submetering!G6)</f>
        <v>9.0739582968284563E-2</v>
      </c>
      <c r="G6" s="19">
        <f>Submetering!AC6</f>
        <v>2383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70</v>
      </c>
      <c r="L6" s="19">
        <f>Submetering!AF6</f>
        <v>97</v>
      </c>
    </row>
    <row r="7" spans="1:24" x14ac:dyDescent="0.25">
      <c r="A7" s="16" t="s">
        <v>52</v>
      </c>
      <c r="B7" s="10">
        <f t="shared" si="0"/>
        <v>6</v>
      </c>
      <c r="C7" s="10">
        <v>3</v>
      </c>
      <c r="D7" s="10">
        <v>2020</v>
      </c>
      <c r="E7" s="19">
        <f>Submetering!E7+Submetering!F7+Submetering!G7</f>
        <v>16626</v>
      </c>
      <c r="F7" s="7">
        <f>((Submetering!F7+Submetering!E7)*0.1088+Submetering!G7*0.0302)/(Submetering!E7+Submetering!F7+Submetering!G7)</f>
        <v>8.998440996030313E-2</v>
      </c>
      <c r="G7" s="19">
        <f>Submetering!AC7</f>
        <v>2504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71</v>
      </c>
      <c r="L7" s="19">
        <f>Submetering!AF7</f>
        <v>104</v>
      </c>
    </row>
    <row r="8" spans="1:24" x14ac:dyDescent="0.25">
      <c r="A8" s="16" t="s">
        <v>52</v>
      </c>
      <c r="B8" s="10">
        <f t="shared" si="0"/>
        <v>7</v>
      </c>
      <c r="C8" s="10">
        <v>3</v>
      </c>
      <c r="D8" s="10">
        <v>2020</v>
      </c>
      <c r="E8" s="19">
        <f>Submetering!E8+Submetering!F8+Submetering!G8</f>
        <v>16635</v>
      </c>
      <c r="F8" s="7">
        <f>((Submetering!F8+Submetering!E8)*0.1088+Submetering!G8*0.0302)/(Submetering!E8+Submetering!F8+Submetering!G8)</f>
        <v>9.0136339044183944E-2</v>
      </c>
      <c r="G8" s="19">
        <f>Submetering!AC8</f>
        <v>2500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79</v>
      </c>
      <c r="L8" s="19">
        <f>Submetering!AF8</f>
        <v>120</v>
      </c>
    </row>
    <row r="9" spans="1:24" x14ac:dyDescent="0.25">
      <c r="A9" s="16" t="s">
        <v>52</v>
      </c>
      <c r="B9" s="10">
        <f t="shared" si="0"/>
        <v>8</v>
      </c>
      <c r="C9" s="10">
        <v>3</v>
      </c>
      <c r="D9" s="10">
        <v>2020</v>
      </c>
      <c r="E9" s="19">
        <f>Submetering!E9+Submetering!F9+Submetering!G9</f>
        <v>16239</v>
      </c>
      <c r="F9" s="7">
        <f>((Submetering!F9+Submetering!E9)*0.1088+Submetering!G9*0.0302)/(Submetering!E9+Submetering!F9+Submetering!G9)</f>
        <v>8.9531165712174399E-2</v>
      </c>
      <c r="G9" s="19">
        <f>Submetering!AC9</f>
        <v>2346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56</v>
      </c>
      <c r="L9" s="19">
        <f>Submetering!AF9</f>
        <v>87</v>
      </c>
    </row>
    <row r="10" spans="1:24" x14ac:dyDescent="0.25">
      <c r="A10" s="16" t="s">
        <v>52</v>
      </c>
      <c r="B10" s="10">
        <f t="shared" si="0"/>
        <v>9</v>
      </c>
      <c r="C10" s="10">
        <v>3</v>
      </c>
      <c r="D10" s="10">
        <v>2020</v>
      </c>
      <c r="E10" s="19">
        <f>Submetering!E10+Submetering!F10+Submetering!G10</f>
        <v>16401</v>
      </c>
      <c r="F10" s="7">
        <f>((Submetering!F10+Submetering!E10)*0.1088+Submetering!G10*0.0302)/(Submetering!E10+Submetering!F10+Submetering!G10)</f>
        <v>9.0282202304737519E-2</v>
      </c>
      <c r="G10" s="19">
        <f>Submetering!AC10</f>
        <v>1861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69</v>
      </c>
      <c r="L10" s="19">
        <f>Submetering!AF10</f>
        <v>105</v>
      </c>
    </row>
    <row r="11" spans="1:24" x14ac:dyDescent="0.25">
      <c r="A11" s="16" t="s">
        <v>52</v>
      </c>
      <c r="B11" s="10">
        <f t="shared" si="0"/>
        <v>10</v>
      </c>
      <c r="C11" s="10">
        <v>3</v>
      </c>
      <c r="D11" s="10">
        <v>2020</v>
      </c>
      <c r="E11" s="19">
        <f>Submetering!E11+Submetering!F11+Submetering!G11</f>
        <v>16992</v>
      </c>
      <c r="F11" s="7">
        <f>((Submetering!F11+Submetering!E11)*0.1088+Submetering!G11*0.0302)/(Submetering!E11+Submetering!F11+Submetering!G11)</f>
        <v>9.046832627118645E-2</v>
      </c>
      <c r="G11" s="19">
        <f>Submetering!AC11</f>
        <v>2193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59</v>
      </c>
      <c r="L11" s="19">
        <f>Submetering!AF11</f>
        <v>91</v>
      </c>
    </row>
    <row r="12" spans="1:24" x14ac:dyDescent="0.25">
      <c r="A12" s="16" t="s">
        <v>52</v>
      </c>
      <c r="B12" s="10">
        <f t="shared" si="0"/>
        <v>11</v>
      </c>
      <c r="C12" s="10">
        <v>3</v>
      </c>
      <c r="D12" s="10">
        <v>2020</v>
      </c>
      <c r="E12" s="19">
        <f>Submetering!E12+Submetering!F12+Submetering!G12</f>
        <v>17254</v>
      </c>
      <c r="F12" s="7">
        <f>((Submetering!F12+Submetering!E12)*0.1088+Submetering!G12*0.0302)/(Submetering!E12+Submetering!F12+Submetering!G12)</f>
        <v>9.1038240408021331E-2</v>
      </c>
      <c r="G12" s="19">
        <f>Submetering!AC12</f>
        <v>2052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37</v>
      </c>
      <c r="L12" s="19">
        <f>Submetering!AF12</f>
        <v>58</v>
      </c>
    </row>
    <row r="13" spans="1:24" x14ac:dyDescent="0.25">
      <c r="A13" s="16" t="s">
        <v>52</v>
      </c>
      <c r="B13" s="10">
        <f t="shared" si="0"/>
        <v>12</v>
      </c>
      <c r="C13" s="10">
        <v>3</v>
      </c>
      <c r="D13" s="10">
        <v>2020</v>
      </c>
      <c r="E13" s="19">
        <f>Submetering!E13+Submetering!F13+Submetering!G13</f>
        <v>16481</v>
      </c>
      <c r="F13" s="7">
        <f>((Submetering!F13+Submetering!E13)*0.1088+Submetering!G13*0.0302)/(Submetering!E13+Submetering!F13+Submetering!G13)</f>
        <v>9.0119325283659971E-2</v>
      </c>
      <c r="G13" s="19">
        <f>Submetering!AC13</f>
        <v>2068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44</v>
      </c>
      <c r="L13" s="19">
        <f>Submetering!AF13</f>
        <v>71</v>
      </c>
    </row>
    <row r="14" spans="1:24" x14ac:dyDescent="0.25">
      <c r="A14" s="16" t="s">
        <v>52</v>
      </c>
      <c r="B14" s="10">
        <f t="shared" si="0"/>
        <v>13</v>
      </c>
      <c r="C14" s="10">
        <v>3</v>
      </c>
      <c r="D14" s="10">
        <v>2020</v>
      </c>
      <c r="E14" s="19">
        <f>Submetering!E14+Submetering!F14+Submetering!G14</f>
        <v>15864</v>
      </c>
      <c r="F14" s="7">
        <f>((Submetering!F14+Submetering!E14)*0.1088+Submetering!G14*0.0302)/(Submetering!E14+Submetering!F14+Submetering!G14)</f>
        <v>8.9422503782148263E-2</v>
      </c>
      <c r="G14" s="19">
        <f>Submetering!AC14</f>
        <v>2175</v>
      </c>
      <c r="H14" s="15">
        <v>0.25512900304306657</v>
      </c>
      <c r="I14" s="19">
        <f>Submetering!Y14+Submetering!Z14</f>
        <v>913</v>
      </c>
      <c r="J14" s="15">
        <v>2.3196172978505634</v>
      </c>
      <c r="K14" s="19">
        <f>Submetering!AE14</f>
        <v>40</v>
      </c>
      <c r="L14" s="19">
        <f>Submetering!AF14</f>
        <v>61</v>
      </c>
    </row>
    <row r="15" spans="1:24" x14ac:dyDescent="0.25">
      <c r="A15" s="16" t="s">
        <v>52</v>
      </c>
      <c r="B15" s="10">
        <f t="shared" si="0"/>
        <v>14</v>
      </c>
      <c r="C15" s="10">
        <v>3</v>
      </c>
      <c r="D15" s="10">
        <v>2020</v>
      </c>
      <c r="E15" s="19">
        <f>Submetering!E15+Submetering!F15+Submetering!G15</f>
        <v>0</v>
      </c>
      <c r="F15" s="7" t="e">
        <f>((Submetering!F15+Submetering!E15)*0.1088+Submetering!G15*0.0302)/(Submetering!E15+Submetering!F15+Submetering!G15)</f>
        <v>#DIV/0!</v>
      </c>
      <c r="G15" s="19" t="str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 x14ac:dyDescent="0.25">
      <c r="A16" s="16" t="s">
        <v>52</v>
      </c>
      <c r="B16" s="10">
        <f t="shared" si="0"/>
        <v>15</v>
      </c>
      <c r="C16" s="10">
        <v>3</v>
      </c>
      <c r="D16" s="10">
        <v>2020</v>
      </c>
      <c r="E16" s="19">
        <f>Submetering!E16+Submetering!F16+Submetering!G16</f>
        <v>0</v>
      </c>
      <c r="F16" s="7" t="e">
        <f>((Submetering!F16+Submetering!E16)*0.1088+Submetering!G16*0.0302)/(Submetering!E16+Submetering!F16+Submetering!G16)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 x14ac:dyDescent="0.25">
      <c r="A17" s="16" t="s">
        <v>52</v>
      </c>
      <c r="B17" s="10">
        <f t="shared" si="0"/>
        <v>16</v>
      </c>
      <c r="C17" s="10">
        <v>3</v>
      </c>
      <c r="D17" s="10">
        <v>2020</v>
      </c>
      <c r="E17" s="19">
        <f>Submetering!E17+Submetering!F17+Submetering!G17</f>
        <v>0</v>
      </c>
      <c r="F17" s="7" t="e">
        <f>((Submetering!F17+Submetering!E17)*0.1088+Submetering!G17*0.0302)/(Submetering!E17+Submetering!F17+Submetering!G17)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 x14ac:dyDescent="0.25">
      <c r="A18" s="16" t="s">
        <v>52</v>
      </c>
      <c r="B18" s="10">
        <f t="shared" si="0"/>
        <v>17</v>
      </c>
      <c r="C18" s="10">
        <v>3</v>
      </c>
      <c r="D18" s="10">
        <v>2020</v>
      </c>
      <c r="E18" s="19">
        <f>Submetering!E18+Submetering!F18+Submetering!G18</f>
        <v>0</v>
      </c>
      <c r="F18" s="7" t="e">
        <f>((Submetering!F18+Submetering!E18)*0.1088+Submetering!G18*0.0302)/(Submetering!E18+Submetering!F18+Submetering!G18)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 x14ac:dyDescent="0.25">
      <c r="A19" s="16" t="s">
        <v>52</v>
      </c>
      <c r="B19" s="10">
        <f t="shared" si="0"/>
        <v>18</v>
      </c>
      <c r="C19" s="10">
        <v>3</v>
      </c>
      <c r="D19" s="10">
        <v>2020</v>
      </c>
      <c r="E19" s="19">
        <f>Submetering!E19+Submetering!F19+Submetering!G19</f>
        <v>0</v>
      </c>
      <c r="F19" s="7" t="e">
        <f>((Submetering!F19+Submetering!E19)*0.1088+Submetering!G19*0.0302)/(Submetering!E19+Submetering!F19+Submetering!G19)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 x14ac:dyDescent="0.25">
      <c r="A20" s="16" t="s">
        <v>52</v>
      </c>
      <c r="B20" s="10">
        <f t="shared" si="0"/>
        <v>19</v>
      </c>
      <c r="C20" s="10">
        <v>3</v>
      </c>
      <c r="D20" s="10">
        <v>2020</v>
      </c>
      <c r="E20" s="19">
        <f>Submetering!E20+Submetering!F20+Submetering!G20</f>
        <v>0</v>
      </c>
      <c r="F20" s="7" t="e">
        <f>((Submetering!F20+Submetering!E20)*0.1088+Submetering!G20*0.0302)/(Submetering!E20+Submetering!F20+Submetering!G20)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 x14ac:dyDescent="0.25">
      <c r="A21" s="16" t="s">
        <v>52</v>
      </c>
      <c r="B21" s="10">
        <f t="shared" si="0"/>
        <v>20</v>
      </c>
      <c r="C21" s="10">
        <v>3</v>
      </c>
      <c r="D21" s="10">
        <v>2020</v>
      </c>
      <c r="E21" s="19">
        <f>Submetering!E21+Submetering!F21+Submetering!G21</f>
        <v>0</v>
      </c>
      <c r="F21" s="7" t="e">
        <f>((Submetering!F21+Submetering!E21)*0.1088+Submetering!G21*0.0302)/(Submetering!E21+Submetering!F21+Submetering!G21)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 x14ac:dyDescent="0.25">
      <c r="A22" s="16" t="s">
        <v>52</v>
      </c>
      <c r="B22" s="10">
        <f t="shared" si="0"/>
        <v>21</v>
      </c>
      <c r="C22" s="10">
        <v>3</v>
      </c>
      <c r="D22" s="10">
        <v>2020</v>
      </c>
      <c r="E22" s="19">
        <f>Submetering!E22+Submetering!F22+Submetering!G22</f>
        <v>0</v>
      </c>
      <c r="F22" s="7" t="e">
        <f>((Submetering!F22+Submetering!E22)*0.1088+Submetering!G22*0.0302)/(Submetering!E22+Submetering!F22+Submetering!G22)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52</v>
      </c>
      <c r="B23" s="10">
        <f t="shared" si="0"/>
        <v>22</v>
      </c>
      <c r="C23" s="10">
        <v>3</v>
      </c>
      <c r="D23" s="10">
        <v>2020</v>
      </c>
      <c r="E23" s="19">
        <f>Submetering!E23+Submetering!F23+Submetering!G23</f>
        <v>0</v>
      </c>
      <c r="F23" s="7" t="e">
        <f>((Submetering!F23+Submetering!E23)*0.1088+Submetering!G23*0.0302)/(Submetering!E23+Submetering!F23+Submetering!G23)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52</v>
      </c>
      <c r="B24" s="10">
        <f t="shared" si="0"/>
        <v>23</v>
      </c>
      <c r="C24" s="10">
        <v>3</v>
      </c>
      <c r="D24" s="10">
        <v>2020</v>
      </c>
      <c r="E24" s="19">
        <f>Submetering!E24+Submetering!F24+Submetering!G24</f>
        <v>0</v>
      </c>
      <c r="F24" s="7" t="e">
        <f>((Submetering!F24+Submetering!E24)*0.1088+Submetering!G24*0.0302)/(Submetering!E24+Submetering!F24+Submetering!G24)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52</v>
      </c>
      <c r="B25" s="10">
        <f t="shared" si="0"/>
        <v>24</v>
      </c>
      <c r="C25" s="10">
        <v>3</v>
      </c>
      <c r="D25" s="10">
        <v>2020</v>
      </c>
      <c r="E25" s="19">
        <f>Submetering!E25+Submetering!F25+Submetering!G25</f>
        <v>0</v>
      </c>
      <c r="F25" s="7" t="e">
        <f>((Submetering!F25+Submetering!E25)*0.1088+Submetering!G25*0.0302)/(Submetering!E25+Submetering!F25+Submetering!G25)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52</v>
      </c>
      <c r="B26" s="10">
        <f>B25+1</f>
        <v>25</v>
      </c>
      <c r="C26" s="10">
        <v>3</v>
      </c>
      <c r="D26" s="10">
        <v>2020</v>
      </c>
      <c r="E26" s="19">
        <f>Submetering!E26+Submetering!F26+Submetering!G26</f>
        <v>0</v>
      </c>
      <c r="F26" s="7" t="e">
        <f>((Submetering!F26+Submetering!E26)*0.1088+Submetering!G26*0.0302)/(Submetering!E26+Submetering!F26+Submetering!G26)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52</v>
      </c>
      <c r="B27" s="10">
        <f t="shared" si="0"/>
        <v>26</v>
      </c>
      <c r="C27" s="10">
        <v>3</v>
      </c>
      <c r="D27" s="10">
        <v>2020</v>
      </c>
      <c r="E27" s="19">
        <f>Submetering!E27+Submetering!F27+Submetering!G27</f>
        <v>0</v>
      </c>
      <c r="F27" s="7" t="e">
        <f>((Submetering!F27+Submetering!E27)*0.1088+Submetering!G27*0.0302)/(Submetering!E27+Submetering!F27+Submetering!G27)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3</v>
      </c>
      <c r="D28" s="10">
        <v>2020</v>
      </c>
      <c r="E28" s="19">
        <f>Submetering!E28+Submetering!F28+Submetering!G28</f>
        <v>0</v>
      </c>
      <c r="F28" s="7" t="e">
        <f>((Submetering!F28+Submetering!E28)*0.1088+Submetering!G28*0.0302)/(Submetering!E28+Submetering!F28+Submetering!G28)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3</v>
      </c>
      <c r="D29" s="10">
        <v>2020</v>
      </c>
      <c r="E29" s="19">
        <f>Submetering!E29+Submetering!F29+Submetering!G29</f>
        <v>0</v>
      </c>
      <c r="F29" s="7" t="e">
        <f>((Submetering!F29+Submetering!E29)*0.1088+Submetering!G29*0.0302)/(Submetering!E29+Submetering!F29+Submetering!G29)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3</v>
      </c>
      <c r="D30" s="10">
        <v>2020</v>
      </c>
      <c r="E30" s="19">
        <f>Submetering!E30+Submetering!F30+Submetering!G30</f>
        <v>0</v>
      </c>
      <c r="F30" s="7" t="e">
        <f>((Submetering!F30+Submetering!E30)*0.1088+Submetering!G30*0.0302)/(Submetering!E30+Submetering!F30+Submetering!G30)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B31" s="10">
        <f t="shared" si="0"/>
        <v>30</v>
      </c>
      <c r="C31" s="10">
        <v>3</v>
      </c>
      <c r="D31" s="10">
        <v>2020</v>
      </c>
      <c r="E31" s="19">
        <f>Submetering!E31+Submetering!F31+Submetering!G31</f>
        <v>0</v>
      </c>
      <c r="F31" s="7" t="e">
        <f>((Submetering!F31+Submetering!E31)*0.1088+Submetering!G31*0.0302)/(Submetering!E31+Submetering!F31+Submetering!G31)</f>
        <v>#DIV/0!</v>
      </c>
      <c r="G31" s="19">
        <f>Submetering!AC31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B32" s="10">
        <f t="shared" si="0"/>
        <v>31</v>
      </c>
      <c r="C32" s="10">
        <v>3</v>
      </c>
      <c r="D32" s="10">
        <v>2020</v>
      </c>
      <c r="E32" s="19">
        <f>Submetering!E32+Submetering!F32+Submetering!G32</f>
        <v>0</v>
      </c>
      <c r="F32" s="7" t="e">
        <f>((Submetering!F32+Submetering!E32)*0.1088+Submetering!G32*0.0302)/(Submetering!E32+Submetering!F32+Submetering!G32)</f>
        <v>#DIV/0!</v>
      </c>
      <c r="G32" s="19">
        <f>Submetering!AC32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C35" sqref="C35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3</v>
      </c>
      <c r="D2" s="7">
        <v>2020</v>
      </c>
      <c r="E2" s="19">
        <f>IF(('FSLPL Daily '!C4-'FSLPL Daily '!C3&lt;0), "0",'FSLPL Daily '!C4-'FSLPL Daily '!C3)</f>
        <v>6271</v>
      </c>
      <c r="F2" s="19">
        <f>IF(('FSLPL Daily '!E4-'FSLPL Daily '!E3&lt;0), "0",'FSLPL Daily '!E4-'FSLPL Daily '!E3)</f>
        <v>6373</v>
      </c>
      <c r="G2" s="19">
        <f>IF(('FSLPL Daily '!G4-'FSLPL Daily '!G3&lt;0), "0",'FSLPL Daily '!G4-'FSLPL Daily '!G3)</f>
        <v>3987</v>
      </c>
      <c r="H2" s="19">
        <f>IF(('FSLPL Daily '!I4-'FSLPL Daily '!I3&lt;0), "0",'FSLPL Daily '!I4-'FSLPL Daily '!I3)</f>
        <v>485</v>
      </c>
      <c r="I2" s="19">
        <f>IF(('FSLPL Daily '!K4-'FSLPL Daily '!K3&lt;0), "0",'FSLPL Daily '!K4-'FSLPL Daily '!K3)</f>
        <v>788</v>
      </c>
      <c r="J2" s="19">
        <f>IF(('FSLPL Daily '!M4-'FSLPL Daily '!M3&lt;0), "0",'FSLPL Daily '!M4-'FSLPL Daily '!M3)</f>
        <v>1182</v>
      </c>
      <c r="K2" s="19">
        <f>IF(('FSLPL Daily '!O4-'FSLPL Daily '!O3&lt;0), "0",'FSLPL Daily '!O4-'FSLPL Daily '!O3)</f>
        <v>559</v>
      </c>
      <c r="L2" s="19">
        <f>IF(('FSLPL Daily '!Q4-'FSLPL Daily '!Q3&lt;0), "0",'FSLPL Daily '!Q4-'FSLPL Daily '!Q3)</f>
        <v>323</v>
      </c>
      <c r="M2" s="19">
        <f>IF(('FSLPL Daily '!S4-'FSLPL Daily '!S3&lt;0), "0",'FSLPL Daily '!S4-'FSLPL Daily '!S3)</f>
        <v>74</v>
      </c>
      <c r="N2" s="19">
        <f>IF(('FSLPL Daily '!U4-'FSLPL Daily '!U3&lt;0), "0",'FSLPL Daily '!U4-'FSLPL Daily '!U3)</f>
        <v>869</v>
      </c>
      <c r="O2" s="19">
        <f>IF(('FSLPL Daily '!W4-'FSLPL Daily '!W3&lt;0), "0",'FSLPL Daily '!W4-'FSLPL Daily '!W3)</f>
        <v>100</v>
      </c>
      <c r="P2" s="19">
        <f>IF(('FSLPL Daily '!Y4-'FSLPL Daily '!Y3&lt;0), "0",'FSLPL Daily '!Y4-'FSLPL Daily '!Y3)</f>
        <v>4</v>
      </c>
      <c r="Q2" s="19">
        <f>IF(('FSLPL Daily '!AA4-'FSLPL Daily '!AA3&lt;0), "0",'FSLPL Daily '!AA4-'FSLPL Daily '!AA3)</f>
        <v>756</v>
      </c>
      <c r="R2" s="19">
        <f>IF(('FSLPL Daily '!AC4-'FSLPL Daily '!AC3&lt;0), "0",'FSLPL Daily '!AC4-'FSLPL Daily '!AC3)</f>
        <v>1378</v>
      </c>
      <c r="S2" s="19">
        <f>IF(('FSLPL Daily '!AE4-'FSLPL Daily '!AE3&lt;0), "0",'FSLPL Daily '!AE4-'FSLPL Daily '!AE3)</f>
        <v>1931</v>
      </c>
      <c r="T2" s="19">
        <f>IF(('FSLPL Daily '!AG4-'FSLPL Daily '!AG3&lt;0), "0",'FSLPL Daily '!AG4-'FSLPL Daily '!AG3)</f>
        <v>231</v>
      </c>
      <c r="U2" s="19">
        <f>IF(('FSLPL Daily '!AI4-'FSLPL Daily '!AI3&lt;0), "0",'FSLPL Daily '!AI4-'FSLPL Daily '!AI3)</f>
        <v>68</v>
      </c>
      <c r="V2" s="19">
        <f>IF(('FSLPL Daily '!AK4-'FSLPL Daily '!AK3&lt;0), "0",'FSLPL Daily '!AK4-'FSLPL Daily '!AK3)</f>
        <v>332</v>
      </c>
      <c r="W2" s="19">
        <f>IF(('FSLPL Daily '!AM4-'FSLPL Daily '!AM3&lt;0), "0",'FSLPL Daily '!AM4-'FSLPL Daily '!AM3)</f>
        <v>585</v>
      </c>
      <c r="X2" s="19">
        <f>IF(('FSLPL Daily '!AO4-'FSLPL Daily '!AO3&lt;0), "0",'FSLPL Daily '!AO4-'FSLPL Daily '!AO3)</f>
        <v>662</v>
      </c>
      <c r="Y2" s="19">
        <f>'FSLPL Daily '!AS4</f>
        <v>359</v>
      </c>
      <c r="Z2" s="19">
        <f>'FSLPL Daily '!AU4</f>
        <v>905</v>
      </c>
      <c r="AA2" s="19">
        <f>IF(('FSLPL Daily '!AV4-'FSLPL Daily '!AV3&lt;0), "0",'FSLPL Daily '!AV4-'FSLPL Daily '!AV3)</f>
        <v>20</v>
      </c>
      <c r="AB2" s="19">
        <f>IF(('FSLPL Daily '!AX4-'FSLPL Daily '!AX3&lt;0), "0",'FSLPL Daily '!AX4-'FSLPL Daily '!AX3)</f>
        <v>3</v>
      </c>
      <c r="AC2" s="19">
        <f>IF(('FSLPL Daily '!AZ4-'FSLPL Daily '!AZ3&lt;0), "0",'FSLPL Daily '!AZ4-'FSLPL Daily '!AZ3)</f>
        <v>2437</v>
      </c>
      <c r="AD2" s="19">
        <f>IF(('FSLPL Daily '!BB4-'FSLPL Daily '!BB3&lt;0), "0",'FSLPL Daily '!BB4-'FSLPL Daily '!BB3)</f>
        <v>1160</v>
      </c>
      <c r="AE2" s="19">
        <f>'FSLPL Daily '!BD4</f>
        <v>113</v>
      </c>
      <c r="AF2" s="19">
        <f>'FSLPL Daily '!BE4</f>
        <v>149</v>
      </c>
    </row>
    <row r="3" spans="1:32" x14ac:dyDescent="0.25">
      <c r="A3" s="16" t="s">
        <v>52</v>
      </c>
      <c r="B3" s="7">
        <f>B2+1</f>
        <v>2</v>
      </c>
      <c r="C3" s="7">
        <v>3</v>
      </c>
      <c r="D3" s="7">
        <v>2020</v>
      </c>
      <c r="E3" s="19">
        <f>IF(('FSLPL Daily '!C5-'FSLPL Daily '!C4&lt;0), "0",'FSLPL Daily '!C5-'FSLPL Daily '!C4)</f>
        <v>6479</v>
      </c>
      <c r="F3" s="19">
        <f>IF(('FSLPL Daily '!E5-'FSLPL Daily '!E4&lt;0), "0",'FSLPL Daily '!E5-'FSLPL Daily '!E4)</f>
        <v>6090</v>
      </c>
      <c r="G3" s="19">
        <f>IF(('FSLPL Daily '!G5-'FSLPL Daily '!G4&lt;0), "0",'FSLPL Daily '!G5-'FSLPL Daily '!G4)</f>
        <v>3806</v>
      </c>
      <c r="H3" s="19">
        <f>IF(('FSLPL Daily '!I5-'FSLPL Daily '!I4&lt;0), "0",'FSLPL Daily '!I5-'FSLPL Daily '!I4)</f>
        <v>506</v>
      </c>
      <c r="I3" s="19">
        <f>IF(('FSLPL Daily '!K5-'FSLPL Daily '!K4&lt;0), "0",'FSLPL Daily '!K5-'FSLPL Daily '!K4)</f>
        <v>783</v>
      </c>
      <c r="J3" s="19">
        <f>IF(('FSLPL Daily '!M5-'FSLPL Daily '!M4&lt;0), "0",'FSLPL Daily '!M5-'FSLPL Daily '!M4)</f>
        <v>1319</v>
      </c>
      <c r="K3" s="19">
        <f>IF(('FSLPL Daily '!O5-'FSLPL Daily '!O4&lt;0), "0",'FSLPL Daily '!O5-'FSLPL Daily '!O4)</f>
        <v>594</v>
      </c>
      <c r="L3" s="19">
        <f>IF(('FSLPL Daily '!Q5-'FSLPL Daily '!Q4&lt;0), "0",'FSLPL Daily '!Q5-'FSLPL Daily '!Q4)</f>
        <v>294</v>
      </c>
      <c r="M3" s="19">
        <f>IF(('FSLPL Daily '!S5-'FSLPL Daily '!S4&lt;0), "0",'FSLPL Daily '!S5-'FSLPL Daily '!S4)</f>
        <v>39</v>
      </c>
      <c r="N3" s="19">
        <f>IF(('FSLPL Daily '!U5-'FSLPL Daily '!U4&lt;0), "0",'FSLPL Daily '!U5-'FSLPL Daily '!U4)</f>
        <v>879</v>
      </c>
      <c r="O3" s="19">
        <f>IF(('FSLPL Daily '!W5-'FSLPL Daily '!W4&lt;0), "0",'FSLPL Daily '!W5-'FSLPL Daily '!W4)</f>
        <v>12</v>
      </c>
      <c r="P3" s="19">
        <f>IF(('FSLPL Daily '!Y5-'FSLPL Daily '!Y4&lt;0), "0",'FSLPL Daily '!Y5-'FSLPL Daily '!Y4)</f>
        <v>133</v>
      </c>
      <c r="Q3" s="19">
        <f>IF(('FSLPL Daily '!AA5-'FSLPL Daily '!AA4&lt;0), "0",'FSLPL Daily '!AA5-'FSLPL Daily '!AA4)</f>
        <v>1094</v>
      </c>
      <c r="R3" s="19">
        <f>IF(('FSLPL Daily '!AC5-'FSLPL Daily '!AC4&lt;0), "0",'FSLPL Daily '!AC5-'FSLPL Daily '!AC4)</f>
        <v>1377</v>
      </c>
      <c r="S3" s="19">
        <f>IF(('FSLPL Daily '!AE5-'FSLPL Daily '!AE4&lt;0), "0",'FSLPL Daily '!AE5-'FSLPL Daily '!AE4)</f>
        <v>1432</v>
      </c>
      <c r="T3" s="19">
        <f>IF(('FSLPL Daily '!AG5-'FSLPL Daily '!AG4&lt;0), "0",'FSLPL Daily '!AG5-'FSLPL Daily '!AG4)</f>
        <v>223</v>
      </c>
      <c r="U3" s="19">
        <f>IF(('FSLPL Daily '!AI5-'FSLPL Daily '!AI4&lt;0), "0",'FSLPL Daily '!AI5-'FSLPL Daily '!AI4)</f>
        <v>19</v>
      </c>
      <c r="V3" s="19">
        <f>IF(('FSLPL Daily '!AK5-'FSLPL Daily '!AK4&lt;0), "0",'FSLPL Daily '!AK5-'FSLPL Daily '!AK4)</f>
        <v>339</v>
      </c>
      <c r="W3" s="19">
        <f>IF(('FSLPL Daily '!AM5-'FSLPL Daily '!AM4&lt;0), "0",'FSLPL Daily '!AM5-'FSLPL Daily '!AM4)</f>
        <v>585</v>
      </c>
      <c r="X3" s="19">
        <f>IF(('FSLPL Daily '!AO5-'FSLPL Daily '!AO4&lt;0), "0",'FSLPL Daily '!AO5-'FSLPL Daily '!AO4)</f>
        <v>583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17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2193</v>
      </c>
      <c r="AD3" s="19">
        <f>IF(('FSLPL Daily '!BB5-'FSLPL Daily '!BB4&lt;0), "0",'FSLPL Daily '!BB5-'FSLPL Daily '!BB4)</f>
        <v>1103</v>
      </c>
      <c r="AE3" s="19">
        <f>'FSLPL Daily '!BD5</f>
        <v>127</v>
      </c>
      <c r="AF3" s="19">
        <f>'FSLPL Daily '!BE5</f>
        <v>155</v>
      </c>
    </row>
    <row r="4" spans="1:32" x14ac:dyDescent="0.25">
      <c r="A4" s="16" t="s">
        <v>52</v>
      </c>
      <c r="B4" s="7">
        <f t="shared" ref="B4:B32" si="0">B3+1</f>
        <v>3</v>
      </c>
      <c r="C4" s="7">
        <v>3</v>
      </c>
      <c r="D4" s="7">
        <v>2020</v>
      </c>
      <c r="E4" s="19">
        <f>IF(('FSLPL Daily '!C6-'FSLPL Daily '!C5&lt;0), "0",'FSLPL Daily '!C6-'FSLPL Daily '!C5)</f>
        <v>8137</v>
      </c>
      <c r="F4" s="19">
        <f>IF(('FSLPL Daily '!E6-'FSLPL Daily '!E5&lt;0), "0",'FSLPL Daily '!E6-'FSLPL Daily '!E5)</f>
        <v>5123</v>
      </c>
      <c r="G4" s="19">
        <f>IF(('FSLPL Daily '!G6-'FSLPL Daily '!G5&lt;0), "0",'FSLPL Daily '!G6-'FSLPL Daily '!G5)</f>
        <v>3978</v>
      </c>
      <c r="H4" s="19">
        <f>IF(('FSLPL Daily '!I6-'FSLPL Daily '!I5&lt;0), "0",'FSLPL Daily '!I6-'FSLPL Daily '!I5)</f>
        <v>483</v>
      </c>
      <c r="I4" s="19">
        <f>IF(('FSLPL Daily '!K6-'FSLPL Daily '!K5&lt;0), "0",'FSLPL Daily '!K6-'FSLPL Daily '!K5)</f>
        <v>832</v>
      </c>
      <c r="J4" s="19">
        <f>IF(('FSLPL Daily '!M6-'FSLPL Daily '!M5&lt;0), "0",'FSLPL Daily '!M6-'FSLPL Daily '!M5)</f>
        <v>1427</v>
      </c>
      <c r="K4" s="19">
        <f>IF(('FSLPL Daily '!O6-'FSLPL Daily '!O5&lt;0), "0",'FSLPL Daily '!O6-'FSLPL Daily '!O5)</f>
        <v>613</v>
      </c>
      <c r="L4" s="19">
        <f>IF(('FSLPL Daily '!Q6-'FSLPL Daily '!Q5&lt;0), "0",'FSLPL Daily '!Q6-'FSLPL Daily '!Q5)</f>
        <v>314</v>
      </c>
      <c r="M4" s="19">
        <f>IF(('FSLPL Daily '!S6-'FSLPL Daily '!S5&lt;0), "0",'FSLPL Daily '!S6-'FSLPL Daily '!S5)</f>
        <v>59</v>
      </c>
      <c r="N4" s="19">
        <f>IF(('FSLPL Daily '!U6-'FSLPL Daily '!U5&lt;0), "0",'FSLPL Daily '!U6-'FSLPL Daily '!U5)</f>
        <v>1266</v>
      </c>
      <c r="O4" s="19">
        <f>IF(('FSLPL Daily '!W6-'FSLPL Daily '!W5&lt;0), "0",'FSLPL Daily '!W6-'FSLPL Daily '!W5)</f>
        <v>295</v>
      </c>
      <c r="P4" s="19">
        <f>IF(('FSLPL Daily '!Y6-'FSLPL Daily '!Y5&lt;0), "0",'FSLPL Daily '!Y6-'FSLPL Daily '!Y5)</f>
        <v>845</v>
      </c>
      <c r="Q4" s="19">
        <f>IF(('FSLPL Daily '!AA6-'FSLPL Daily '!AA5&lt;0), "0",'FSLPL Daily '!AA6-'FSLPL Daily '!AA5)</f>
        <v>87</v>
      </c>
      <c r="R4" s="19">
        <f>IF(('FSLPL Daily '!AC6-'FSLPL Daily '!AC5&lt;0), "0",'FSLPL Daily '!AC6-'FSLPL Daily '!AC5)</f>
        <v>1420</v>
      </c>
      <c r="S4" s="19">
        <f>IF(('FSLPL Daily '!AE6-'FSLPL Daily '!AE5&lt;0), "0",'FSLPL Daily '!AE6-'FSLPL Daily '!AE5)</f>
        <v>1760</v>
      </c>
      <c r="T4" s="19">
        <f>IF(('FSLPL Daily '!AG6-'FSLPL Daily '!AG5&lt;0), "0",'FSLPL Daily '!AG6-'FSLPL Daily '!AG5)</f>
        <v>228</v>
      </c>
      <c r="U4" s="19">
        <f>IF(('FSLPL Daily '!AI6-'FSLPL Daily '!AI5&lt;0), "0",'FSLPL Daily '!AI6-'FSLPL Daily '!AI5)</f>
        <v>20</v>
      </c>
      <c r="V4" s="19">
        <f>IF(('FSLPL Daily '!AK6-'FSLPL Daily '!AK5&lt;0), "0",'FSLPL Daily '!AK6-'FSLPL Daily '!AK5)</f>
        <v>351</v>
      </c>
      <c r="W4" s="19">
        <f>IF(('FSLPL Daily '!AM6-'FSLPL Daily '!AM5&lt;0), "0",'FSLPL Daily '!AM6-'FSLPL Daily '!AM5)</f>
        <v>578</v>
      </c>
      <c r="X4" s="19">
        <f>IF(('FSLPL Daily '!AO6-'FSLPL Daily '!AO5&lt;0), "0",'FSLPL Daily '!AO6-'FSLPL Daily '!AO5)</f>
        <v>630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22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2432</v>
      </c>
      <c r="AD4" s="19">
        <f>IF(('FSLPL Daily '!BB6-'FSLPL Daily '!BB5&lt;0), "0",'FSLPL Daily '!BB6-'FSLPL Daily '!BB5)</f>
        <v>1148</v>
      </c>
      <c r="AE4" s="19">
        <f>'FSLPL Daily '!BD6</f>
        <v>122</v>
      </c>
      <c r="AF4" s="19">
        <f>'FSLPL Daily '!BE6</f>
        <v>152</v>
      </c>
    </row>
    <row r="5" spans="1:32" x14ac:dyDescent="0.25">
      <c r="A5" s="16" t="s">
        <v>52</v>
      </c>
      <c r="B5" s="7">
        <f t="shared" si="0"/>
        <v>4</v>
      </c>
      <c r="C5" s="7">
        <v>3</v>
      </c>
      <c r="D5" s="7">
        <v>2020</v>
      </c>
      <c r="E5" s="19">
        <f>IF(('FSLPL Daily '!C7-'FSLPL Daily '!C6&lt;0), "0",'FSLPL Daily '!C7-'FSLPL Daily '!C6)</f>
        <v>8223</v>
      </c>
      <c r="F5" s="19">
        <f>IF(('FSLPL Daily '!E7-'FSLPL Daily '!E6&lt;0), "0",'FSLPL Daily '!E7-'FSLPL Daily '!E6)</f>
        <v>5319</v>
      </c>
      <c r="G5" s="19">
        <f>IF(('FSLPL Daily '!G7-'FSLPL Daily '!G6&lt;0), "0",'FSLPL Daily '!G7-'FSLPL Daily '!G6)</f>
        <v>3949</v>
      </c>
      <c r="H5" s="19">
        <f>IF(('FSLPL Daily '!I7-'FSLPL Daily '!I6&lt;0), "0",'FSLPL Daily '!I7-'FSLPL Daily '!I6)</f>
        <v>500</v>
      </c>
      <c r="I5" s="19">
        <f>IF(('FSLPL Daily '!K7-'FSLPL Daily '!K6&lt;0), "0",'FSLPL Daily '!K7-'FSLPL Daily '!K6)</f>
        <v>848</v>
      </c>
      <c r="J5" s="19">
        <f>IF(('FSLPL Daily '!M7-'FSLPL Daily '!M6&lt;0), "0",'FSLPL Daily '!M7-'FSLPL Daily '!M6)</f>
        <v>1399</v>
      </c>
      <c r="K5" s="19">
        <f>IF(('FSLPL Daily '!O7-'FSLPL Daily '!O6&lt;0), "0",'FSLPL Daily '!O7-'FSLPL Daily '!O6)</f>
        <v>620</v>
      </c>
      <c r="L5" s="19">
        <f>IF(('FSLPL Daily '!Q7-'FSLPL Daily '!Q6&lt;0), "0",'FSLPL Daily '!Q7-'FSLPL Daily '!Q6)</f>
        <v>355</v>
      </c>
      <c r="M5" s="19">
        <f>IF(('FSLPL Daily '!S7-'FSLPL Daily '!S6&lt;0), "0",'FSLPL Daily '!S7-'FSLPL Daily '!S6)</f>
        <v>85</v>
      </c>
      <c r="N5" s="19">
        <f>IF(('FSLPL Daily '!U7-'FSLPL Daily '!U6&lt;0), "0",'FSLPL Daily '!U7-'FSLPL Daily '!U6)</f>
        <v>1129</v>
      </c>
      <c r="O5" s="19">
        <f>IF(('FSLPL Daily '!W7-'FSLPL Daily '!W6&lt;0), "0",'FSLPL Daily '!W7-'FSLPL Daily '!W6)</f>
        <v>256</v>
      </c>
      <c r="P5" s="19">
        <f>IF(('FSLPL Daily '!Y7-'FSLPL Daily '!Y6&lt;0), "0",'FSLPL Daily '!Y7-'FSLPL Daily '!Y6)</f>
        <v>1039</v>
      </c>
      <c r="Q5" s="19">
        <f>IF(('FSLPL Daily '!AA7-'FSLPL Daily '!AA6&lt;0), "0",'FSLPL Daily '!AA7-'FSLPL Daily '!AA6)</f>
        <v>2</v>
      </c>
      <c r="R5" s="19">
        <f>IF(('FSLPL Daily '!AC7-'FSLPL Daily '!AC6&lt;0), "0",'FSLPL Daily '!AC7-'FSLPL Daily '!AC6)</f>
        <v>1391</v>
      </c>
      <c r="S5" s="19">
        <f>IF(('FSLPL Daily '!AE7-'FSLPL Daily '!AE6&lt;0), "0",'FSLPL Daily '!AE7-'FSLPL Daily '!AE6)</f>
        <v>1992</v>
      </c>
      <c r="T5" s="19">
        <f>IF(('FSLPL Daily '!AG7-'FSLPL Daily '!AG6&lt;0), "0",'FSLPL Daily '!AG7-'FSLPL Daily '!AG6)</f>
        <v>229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361</v>
      </c>
      <c r="W5" s="19">
        <f>IF(('FSLPL Daily '!AM7-'FSLPL Daily '!AM6&lt;0), "0",'FSLPL Daily '!AM7-'FSLPL Daily '!AM6)</f>
        <v>612</v>
      </c>
      <c r="X5" s="19">
        <f>IF(('FSLPL Daily '!AO7-'FSLPL Daily '!AO6&lt;0), "0",'FSLPL Daily '!AO7-'FSLPL Daily '!AO6)</f>
        <v>644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20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2414</v>
      </c>
      <c r="AD5" s="19">
        <f>IF(('FSLPL Daily '!BB7-'FSLPL Daily '!BB6&lt;0), "0",'FSLPL Daily '!BB7-'FSLPL Daily '!BB6)</f>
        <v>1130</v>
      </c>
      <c r="AE5" s="19">
        <f>'FSLPL Daily '!BD7</f>
        <v>90</v>
      </c>
      <c r="AF5" s="19">
        <f>'FSLPL Daily '!BE7</f>
        <v>121</v>
      </c>
    </row>
    <row r="6" spans="1:32" x14ac:dyDescent="0.25">
      <c r="A6" s="16" t="s">
        <v>52</v>
      </c>
      <c r="B6" s="7">
        <f t="shared" si="0"/>
        <v>5</v>
      </c>
      <c r="C6" s="7">
        <v>3</v>
      </c>
      <c r="D6" s="7">
        <v>2020</v>
      </c>
      <c r="E6" s="19">
        <f>IF(('FSLPL Daily '!C8-'FSLPL Daily '!C7&lt;0), "0",'FSLPL Daily '!C8-'FSLPL Daily '!C7)</f>
        <v>7947</v>
      </c>
      <c r="F6" s="19">
        <f>IF(('FSLPL Daily '!E8-'FSLPL Daily '!E7&lt;0), "0",'FSLPL Daily '!E8-'FSLPL Daily '!E7)</f>
        <v>5240</v>
      </c>
      <c r="G6" s="19">
        <f>IF(('FSLPL Daily '!G8-'FSLPL Daily '!G7&lt;0), "0",'FSLPL Daily '!G8-'FSLPL Daily '!G7)</f>
        <v>3934</v>
      </c>
      <c r="H6" s="19">
        <f>IF(('FSLPL Daily '!I8-'FSLPL Daily '!I7&lt;0), "0",'FSLPL Daily '!I8-'FSLPL Daily '!I7)</f>
        <v>500</v>
      </c>
      <c r="I6" s="19">
        <f>IF(('FSLPL Daily '!K8-'FSLPL Daily '!K7&lt;0), "0",'FSLPL Daily '!K8-'FSLPL Daily '!K7)</f>
        <v>819</v>
      </c>
      <c r="J6" s="19">
        <f>IF(('FSLPL Daily '!M8-'FSLPL Daily '!M7&lt;0), "0",'FSLPL Daily '!M8-'FSLPL Daily '!M7)</f>
        <v>1278</v>
      </c>
      <c r="K6" s="19">
        <f>IF(('FSLPL Daily '!O8-'FSLPL Daily '!O7&lt;0), "0",'FSLPL Daily '!O8-'FSLPL Daily '!O7)</f>
        <v>633</v>
      </c>
      <c r="L6" s="19">
        <f>IF(('FSLPL Daily '!Q8-'FSLPL Daily '!Q7&lt;0), "0",'FSLPL Daily '!Q8-'FSLPL Daily '!Q7)</f>
        <v>323</v>
      </c>
      <c r="M6" s="19">
        <f>IF(('FSLPL Daily '!S8-'FSLPL Daily '!S7&lt;0), "0",'FSLPL Daily '!S8-'FSLPL Daily '!S7)</f>
        <v>85</v>
      </c>
      <c r="N6" s="19">
        <f>IF(('FSLPL Daily '!U8-'FSLPL Daily '!U7&lt;0), "0",'FSLPL Daily '!U8-'FSLPL Daily '!U7)</f>
        <v>1079</v>
      </c>
      <c r="O6" s="19">
        <f>IF(('FSLPL Daily '!W8-'FSLPL Daily '!W7&lt;0), "0",'FSLPL Daily '!W8-'FSLPL Daily '!W7)</f>
        <v>244</v>
      </c>
      <c r="P6" s="19">
        <f>IF(('FSLPL Daily '!Y8-'FSLPL Daily '!Y7&lt;0), "0",'FSLPL Daily '!Y8-'FSLPL Daily '!Y7)</f>
        <v>1051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1395</v>
      </c>
      <c r="S6" s="19">
        <f>IF(('FSLPL Daily '!AE8-'FSLPL Daily '!AE7&lt;0), "0",'FSLPL Daily '!AE8-'FSLPL Daily '!AE7)</f>
        <v>1983</v>
      </c>
      <c r="T6" s="19">
        <f>IF(('FSLPL Daily '!AG8-'FSLPL Daily '!AG7&lt;0), "0",'FSLPL Daily '!AG8-'FSLPL Daily '!AG7)</f>
        <v>226</v>
      </c>
      <c r="U6" s="19">
        <f>IF(('FSLPL Daily '!AI8-'FSLPL Daily '!AI7&lt;0), "0",'FSLPL Daily '!AI8-'FSLPL Daily '!AI7)</f>
        <v>20</v>
      </c>
      <c r="V6" s="19">
        <f>IF(('FSLPL Daily '!AK8-'FSLPL Daily '!AK7&lt;0), "0",'FSLPL Daily '!AK8-'FSLPL Daily '!AK7)</f>
        <v>329</v>
      </c>
      <c r="W6" s="19">
        <f>IF(('FSLPL Daily '!AM8-'FSLPL Daily '!AM7&lt;0), "0",'FSLPL Daily '!AM8-'FSLPL Daily '!AM7)</f>
        <v>607</v>
      </c>
      <c r="X6" s="19">
        <f>IF(('FSLPL Daily '!AO8-'FSLPL Daily '!AO7&lt;0), "0",'FSLPL Daily '!AO8-'FSLPL Daily '!AO7)</f>
        <v>587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18</v>
      </c>
      <c r="AB6" s="19">
        <f>IF(('FSLPL Daily '!AX8-'FSLPL Daily '!AX7&lt;0), "0",'FSLPL Daily '!AX8-'FSLPL Daily '!AX7)</f>
        <v>3</v>
      </c>
      <c r="AC6" s="19">
        <f>IF(('FSLPL Daily '!AZ8-'FSLPL Daily '!AZ7&lt;0), "0",'FSLPL Daily '!AZ8-'FSLPL Daily '!AZ7)</f>
        <v>2383</v>
      </c>
      <c r="AD6" s="19">
        <f>IF(('FSLPL Daily '!BB8-'FSLPL Daily '!BB7&lt;0), "0",'FSLPL Daily '!BB8-'FSLPL Daily '!BB7)</f>
        <v>1124</v>
      </c>
      <c r="AE6" s="19">
        <f>'FSLPL Daily '!BD8</f>
        <v>70</v>
      </c>
      <c r="AF6" s="19">
        <f>'FSLPL Daily '!BE8</f>
        <v>97</v>
      </c>
    </row>
    <row r="7" spans="1:32" x14ac:dyDescent="0.25">
      <c r="A7" s="16" t="s">
        <v>52</v>
      </c>
      <c r="B7" s="7">
        <f t="shared" si="0"/>
        <v>6</v>
      </c>
      <c r="C7" s="7">
        <v>3</v>
      </c>
      <c r="D7" s="7">
        <v>2020</v>
      </c>
      <c r="E7" s="19">
        <f>IF(('FSLPL Daily '!C9-'FSLPL Daily '!C8&lt;0), "0",'FSLPL Daily '!C9-'FSLPL Daily '!C8)</f>
        <v>7428</v>
      </c>
      <c r="F7" s="19">
        <f>IF(('FSLPL Daily '!E9-'FSLPL Daily '!E8&lt;0), "0",'FSLPL Daily '!E9-'FSLPL Daily '!E8)</f>
        <v>5218</v>
      </c>
      <c r="G7" s="19">
        <f>IF(('FSLPL Daily '!G9-'FSLPL Daily '!G8&lt;0), "0",'FSLPL Daily '!G9-'FSLPL Daily '!G8)</f>
        <v>3980</v>
      </c>
      <c r="H7" s="19">
        <f>IF(('FSLPL Daily '!I9-'FSLPL Daily '!I8&lt;0), "0",'FSLPL Daily '!I9-'FSLPL Daily '!I8)</f>
        <v>494</v>
      </c>
      <c r="I7" s="19">
        <f>IF(('FSLPL Daily '!K9-'FSLPL Daily '!K8&lt;0), "0",'FSLPL Daily '!K9-'FSLPL Daily '!K8)</f>
        <v>811</v>
      </c>
      <c r="J7" s="19">
        <f>IF(('FSLPL Daily '!M9-'FSLPL Daily '!M8&lt;0), "0",'FSLPL Daily '!M9-'FSLPL Daily '!M8)</f>
        <v>1239</v>
      </c>
      <c r="K7" s="19">
        <f>IF(('FSLPL Daily '!O9-'FSLPL Daily '!O8&lt;0), "0",'FSLPL Daily '!O9-'FSLPL Daily '!O8)</f>
        <v>538</v>
      </c>
      <c r="L7" s="19">
        <f>IF(('FSLPL Daily '!Q9-'FSLPL Daily '!Q8&lt;0), "0",'FSLPL Daily '!Q9-'FSLPL Daily '!Q8)</f>
        <v>318</v>
      </c>
      <c r="M7" s="19">
        <f>IF(('FSLPL Daily '!S9-'FSLPL Daily '!S8&lt;0), "0",'FSLPL Daily '!S9-'FSLPL Daily '!S8)</f>
        <v>85</v>
      </c>
      <c r="N7" s="19">
        <f>IF(('FSLPL Daily '!U9-'FSLPL Daily '!U8&lt;0), "0",'FSLPL Daily '!U9-'FSLPL Daily '!U8)</f>
        <v>979</v>
      </c>
      <c r="O7" s="19">
        <f>IF(('FSLPL Daily '!W9-'FSLPL Daily '!W8&lt;0), "0",'FSLPL Daily '!W9-'FSLPL Daily '!W8)</f>
        <v>123</v>
      </c>
      <c r="P7" s="19">
        <f>IF(('FSLPL Daily '!Y9-'FSLPL Daily '!Y8&lt;0), "0",'FSLPL Daily '!Y9-'FSLPL Daily '!Y8)</f>
        <v>973</v>
      </c>
      <c r="Q7" s="19">
        <f>IF(('FSLPL Daily '!AA9-'FSLPL Daily '!AA8&lt;0), "0",'FSLPL Daily '!AA9-'FSLPL Daily '!AA8)</f>
        <v>3</v>
      </c>
      <c r="R7" s="19">
        <f>IF(('FSLPL Daily '!AC9-'FSLPL Daily '!AC8&lt;0), "0",'FSLPL Daily '!AC9-'FSLPL Daily '!AC8)</f>
        <v>1420</v>
      </c>
      <c r="S7" s="19">
        <f>IF(('FSLPL Daily '!AE9-'FSLPL Daily '!AE8&lt;0), "0",'FSLPL Daily '!AE9-'FSLPL Daily '!AE8)</f>
        <v>1983</v>
      </c>
      <c r="T7" s="19">
        <f>IF(('FSLPL Daily '!AG9-'FSLPL Daily '!AG8&lt;0), "0",'FSLPL Daily '!AG9-'FSLPL Daily '!AG8)</f>
        <v>224</v>
      </c>
      <c r="U7" s="19">
        <f>IF(('FSLPL Daily '!AI9-'FSLPL Daily '!AI8&lt;0), "0",'FSLPL Daily '!AI9-'FSLPL Daily '!AI8)</f>
        <v>20</v>
      </c>
      <c r="V7" s="19">
        <f>IF(('FSLPL Daily '!AK9-'FSLPL Daily '!AK8&lt;0), "0",'FSLPL Daily '!AK9-'FSLPL Daily '!AK8)</f>
        <v>316</v>
      </c>
      <c r="W7" s="19">
        <f>IF(('FSLPL Daily '!AM9-'FSLPL Daily '!AM8&lt;0), "0",'FSLPL Daily '!AM9-'FSLPL Daily '!AM8)</f>
        <v>608</v>
      </c>
      <c r="X7" s="19">
        <f>IF(('FSLPL Daily '!AO9-'FSLPL Daily '!AO8&lt;0), "0",'FSLPL Daily '!AO9-'FSLPL Daily '!AO8)</f>
        <v>618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17</v>
      </c>
      <c r="AB7" s="19">
        <f>IF(('FSLPL Daily '!AX9-'FSLPL Daily '!AX8&lt;0), "0",'FSLPL Daily '!AX9-'FSLPL Daily '!AX8)</f>
        <v>2</v>
      </c>
      <c r="AC7" s="19">
        <f>IF(('FSLPL Daily '!AZ9-'FSLPL Daily '!AZ8&lt;0), "0",'FSLPL Daily '!AZ9-'FSLPL Daily '!AZ8)</f>
        <v>2504</v>
      </c>
      <c r="AD7" s="19">
        <f>IF(('FSLPL Daily '!BB9-'FSLPL Daily '!BB8&lt;0), "0",'FSLPL Daily '!BB9-'FSLPL Daily '!BB8)</f>
        <v>1143</v>
      </c>
      <c r="AE7" s="19">
        <f>'FSLPL Daily '!BD9</f>
        <v>71</v>
      </c>
      <c r="AF7" s="19">
        <f>'FSLPL Daily '!BE9</f>
        <v>104</v>
      </c>
    </row>
    <row r="8" spans="1:32" x14ac:dyDescent="0.25">
      <c r="A8" s="16" t="s">
        <v>52</v>
      </c>
      <c r="B8" s="7">
        <f t="shared" si="0"/>
        <v>7</v>
      </c>
      <c r="C8" s="7">
        <v>3</v>
      </c>
      <c r="D8" s="7">
        <v>2020</v>
      </c>
      <c r="E8" s="19">
        <f>IF(('FSLPL Daily '!C10-'FSLPL Daily '!C9&lt;0), "0",'FSLPL Daily '!C10-'FSLPL Daily '!C9)</f>
        <v>7531</v>
      </c>
      <c r="F8" s="19">
        <f>IF(('FSLPL Daily '!E10-'FSLPL Daily '!E9&lt;0), "0",'FSLPL Daily '!E10-'FSLPL Daily '!E9)</f>
        <v>5154</v>
      </c>
      <c r="G8" s="19">
        <f>IF(('FSLPL Daily '!G10-'FSLPL Daily '!G9&lt;0), "0",'FSLPL Daily '!G10-'FSLPL Daily '!G9)</f>
        <v>3950</v>
      </c>
      <c r="H8" s="19">
        <f>IF(('FSLPL Daily '!I10-'FSLPL Daily '!I9&lt;0), "0",'FSLPL Daily '!I10-'FSLPL Daily '!I9)</f>
        <v>499</v>
      </c>
      <c r="I8" s="19">
        <f>IF(('FSLPL Daily '!K10-'FSLPL Daily '!K9&lt;0), "0",'FSLPL Daily '!K10-'FSLPL Daily '!K9)</f>
        <v>822</v>
      </c>
      <c r="J8" s="19">
        <f>IF(('FSLPL Daily '!M10-'FSLPL Daily '!M9&lt;0), "0",'FSLPL Daily '!M10-'FSLPL Daily '!M9)</f>
        <v>1153</v>
      </c>
      <c r="K8" s="19">
        <f>IF(('FSLPL Daily '!O10-'FSLPL Daily '!O9&lt;0), "0",'FSLPL Daily '!O10-'FSLPL Daily '!O9)</f>
        <v>559</v>
      </c>
      <c r="L8" s="19">
        <f>IF(('FSLPL Daily '!Q10-'FSLPL Daily '!Q9&lt;0), "0",'FSLPL Daily '!Q10-'FSLPL Daily '!Q9)</f>
        <v>328</v>
      </c>
      <c r="M8" s="19">
        <f>IF(('FSLPL Daily '!S10-'FSLPL Daily '!S9&lt;0), "0",'FSLPL Daily '!S10-'FSLPL Daily '!S9)</f>
        <v>86</v>
      </c>
      <c r="N8" s="19">
        <f>IF(('FSLPL Daily '!U10-'FSLPL Daily '!U9&lt;0), "0",'FSLPL Daily '!U10-'FSLPL Daily '!U9)</f>
        <v>1015</v>
      </c>
      <c r="O8" s="19">
        <f>IF(('FSLPL Daily '!W10-'FSLPL Daily '!W9&lt;0), "0",'FSLPL Daily '!W10-'FSLPL Daily '!W9)</f>
        <v>132</v>
      </c>
      <c r="P8" s="19">
        <f>IF(('FSLPL Daily '!Y10-'FSLPL Daily '!Y9&lt;0), "0",'FSLPL Daily '!Y10-'FSLPL Daily '!Y9)</f>
        <v>1111</v>
      </c>
      <c r="Q8" s="19">
        <f>IF(('FSLPL Daily '!AA10-'FSLPL Daily '!AA9&lt;0), "0",'FSLPL Daily '!AA10-'FSLPL Daily '!AA9)</f>
        <v>2</v>
      </c>
      <c r="R8" s="19">
        <f>IF(('FSLPL Daily '!AC10-'FSLPL Daily '!AC9&lt;0), "0",'FSLPL Daily '!AC10-'FSLPL Daily '!AC9)</f>
        <v>1452</v>
      </c>
      <c r="S8" s="19">
        <f>IF(('FSLPL Daily '!AE10-'FSLPL Daily '!AE9&lt;0), "0",'FSLPL Daily '!AE10-'FSLPL Daily '!AE9)</f>
        <v>2055</v>
      </c>
      <c r="T8" s="19">
        <f>IF(('FSLPL Daily '!AG10-'FSLPL Daily '!AG9&lt;0), "0",'FSLPL Daily '!AG10-'FSLPL Daily '!AG9)</f>
        <v>234</v>
      </c>
      <c r="U8" s="19">
        <f>IF(('FSLPL Daily '!AI10-'FSLPL Daily '!AI9&lt;0), "0",'FSLPL Daily '!AI10-'FSLPL Daily '!AI9)</f>
        <v>21</v>
      </c>
      <c r="V8" s="19">
        <f>IF(('FSLPL Daily '!AK10-'FSLPL Daily '!AK9&lt;0), "0",'FSLPL Daily '!AK10-'FSLPL Daily '!AK9)</f>
        <v>327</v>
      </c>
      <c r="W8" s="19">
        <f>IF(('FSLPL Daily '!AM10-'FSLPL Daily '!AM9&lt;0), "0",'FSLPL Daily '!AM10-'FSLPL Daily '!AM9)</f>
        <v>613</v>
      </c>
      <c r="X8" s="19">
        <f>IF(('FSLPL Daily '!AO10-'FSLPL Daily '!AO9&lt;0), "0",'FSLPL Daily '!AO10-'FSLPL Daily '!AO9)</f>
        <v>589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20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2500</v>
      </c>
      <c r="AD8" s="19">
        <f>IF(('FSLPL Daily '!BB10-'FSLPL Daily '!BB9&lt;0), "0",'FSLPL Daily '!BB10-'FSLPL Daily '!BB9)</f>
        <v>1110</v>
      </c>
      <c r="AE8" s="19">
        <f>'FSLPL Daily '!BD10</f>
        <v>79</v>
      </c>
      <c r="AF8" s="19">
        <f>'FSLPL Daily '!BE10</f>
        <v>120</v>
      </c>
    </row>
    <row r="9" spans="1:32" x14ac:dyDescent="0.25">
      <c r="A9" s="16" t="s">
        <v>52</v>
      </c>
      <c r="B9" s="7">
        <f t="shared" si="0"/>
        <v>8</v>
      </c>
      <c r="C9" s="7">
        <v>3</v>
      </c>
      <c r="D9" s="7">
        <v>2020</v>
      </c>
      <c r="E9" s="19">
        <f>IF(('FSLPL Daily '!C11-'FSLPL Daily '!C10&lt;0), "0",'FSLPL Daily '!C11-'FSLPL Daily '!C10)</f>
        <v>7406</v>
      </c>
      <c r="F9" s="19">
        <f>IF(('FSLPL Daily '!E11-'FSLPL Daily '!E10&lt;0), "0",'FSLPL Daily '!E11-'FSLPL Daily '!E10)</f>
        <v>4852</v>
      </c>
      <c r="G9" s="19">
        <f>IF(('FSLPL Daily '!G11-'FSLPL Daily '!G10&lt;0), "0",'FSLPL Daily '!G11-'FSLPL Daily '!G10)</f>
        <v>3981</v>
      </c>
      <c r="H9" s="19">
        <f>IF(('FSLPL Daily '!I11-'FSLPL Daily '!I10&lt;0), "0",'FSLPL Daily '!I11-'FSLPL Daily '!I10)</f>
        <v>502</v>
      </c>
      <c r="I9" s="19">
        <f>IF(('FSLPL Daily '!K11-'FSLPL Daily '!K10&lt;0), "0",'FSLPL Daily '!K11-'FSLPL Daily '!K10)</f>
        <v>774</v>
      </c>
      <c r="J9" s="19">
        <f>IF(('FSLPL Daily '!M11-'FSLPL Daily '!M10&lt;0), "0",'FSLPL Daily '!M11-'FSLPL Daily '!M10)</f>
        <v>1675</v>
      </c>
      <c r="K9" s="19">
        <f>IF(('FSLPL Daily '!O11-'FSLPL Daily '!O10&lt;0), "0",'FSLPL Daily '!O11-'FSLPL Daily '!O10)</f>
        <v>519</v>
      </c>
      <c r="L9" s="19">
        <f>IF(('FSLPL Daily '!Q11-'FSLPL Daily '!Q10&lt;0), "0",'FSLPL Daily '!Q11-'FSLPL Daily '!Q10)</f>
        <v>302</v>
      </c>
      <c r="M9" s="19">
        <f>IF(('FSLPL Daily '!S11-'FSLPL Daily '!S10&lt;0), "0",'FSLPL Daily '!S11-'FSLPL Daily '!S10)</f>
        <v>84</v>
      </c>
      <c r="N9" s="19">
        <f>IF(('FSLPL Daily '!U11-'FSLPL Daily '!U10&lt;0), "0",'FSLPL Daily '!U11-'FSLPL Daily '!U10)</f>
        <v>968</v>
      </c>
      <c r="O9" s="19">
        <f>IF(('FSLPL Daily '!W11-'FSLPL Daily '!W10&lt;0), "0",'FSLPL Daily '!W11-'FSLPL Daily '!W10)</f>
        <v>225</v>
      </c>
      <c r="P9" s="19">
        <f>IF(('FSLPL Daily '!Y11-'FSLPL Daily '!Y10&lt;0), "0",'FSLPL Daily '!Y11-'FSLPL Daily '!Y10)</f>
        <v>1134</v>
      </c>
      <c r="Q9" s="19">
        <f>IF(('FSLPL Daily '!AA11-'FSLPL Daily '!AA10&lt;0), "0",'FSLPL Daily '!AA11-'FSLPL Daily '!AA10)</f>
        <v>2</v>
      </c>
      <c r="R9" s="19">
        <f>IF(('FSLPL Daily '!AC11-'FSLPL Daily '!AC10&lt;0), "0",'FSLPL Daily '!AC11-'FSLPL Daily '!AC10)</f>
        <v>1388</v>
      </c>
      <c r="S9" s="19">
        <f>IF(('FSLPL Daily '!AE11-'FSLPL Daily '!AE10&lt;0), "0",'FSLPL Daily '!AE11-'FSLPL Daily '!AE10)</f>
        <v>1959</v>
      </c>
      <c r="T9" s="19">
        <f>IF(('FSLPL Daily '!AG11-'FSLPL Daily '!AG10&lt;0), "0",'FSLPL Daily '!AG11-'FSLPL Daily '!AG10)</f>
        <v>220</v>
      </c>
      <c r="U9" s="19">
        <f>IF(('FSLPL Daily '!AI11-'FSLPL Daily '!AI10&lt;0), "0",'FSLPL Daily '!AI11-'FSLPL Daily '!AI10)</f>
        <v>20</v>
      </c>
      <c r="V9" s="19">
        <f>IF(('FSLPL Daily '!AK11-'FSLPL Daily '!AK10&lt;0), "0",'FSLPL Daily '!AK11-'FSLPL Daily '!AK10)</f>
        <v>307</v>
      </c>
      <c r="W9" s="19">
        <f>IF(('FSLPL Daily '!AM11-'FSLPL Daily '!AM10&lt;0), "0",'FSLPL Daily '!AM11-'FSLPL Daily '!AM10)</f>
        <v>580</v>
      </c>
      <c r="X9" s="19">
        <f>IF(('FSLPL Daily '!AO11-'FSLPL Daily '!AO10&lt;0), "0",'FSLPL Daily '!AO11-'FSLPL Daily '!AO10)</f>
        <v>558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11</v>
      </c>
      <c r="AB9" s="19">
        <f>IF(('FSLPL Daily '!AX11-'FSLPL Daily '!AX10&lt;0), "0",'FSLPL Daily '!AX11-'FSLPL Daily '!AX10)</f>
        <v>3</v>
      </c>
      <c r="AC9" s="19">
        <f>IF(('FSLPL Daily '!AZ11-'FSLPL Daily '!AZ10&lt;0), "0",'FSLPL Daily '!AZ11-'FSLPL Daily '!AZ10)</f>
        <v>2346</v>
      </c>
      <c r="AD9" s="19">
        <f>IF(('FSLPL Daily '!BB11-'FSLPL Daily '!BB10&lt;0), "0",'FSLPL Daily '!BB11-'FSLPL Daily '!BB10)</f>
        <v>1000</v>
      </c>
      <c r="AE9" s="19">
        <f>'FSLPL Daily '!BD11</f>
        <v>56</v>
      </c>
      <c r="AF9" s="19">
        <f>'FSLPL Daily '!BE11</f>
        <v>87</v>
      </c>
    </row>
    <row r="10" spans="1:32" x14ac:dyDescent="0.25">
      <c r="A10" s="16" t="s">
        <v>52</v>
      </c>
      <c r="B10" s="7">
        <f t="shared" si="0"/>
        <v>9</v>
      </c>
      <c r="C10" s="7">
        <v>3</v>
      </c>
      <c r="D10" s="7">
        <v>2020</v>
      </c>
      <c r="E10" s="19">
        <f>IF(('FSLPL Daily '!C12-'FSLPL Daily '!C11&lt;0), "0",'FSLPL Daily '!C12-'FSLPL Daily '!C11)</f>
        <v>7801</v>
      </c>
      <c r="F10" s="19">
        <f>IF(('FSLPL Daily '!E12-'FSLPL Daily '!E11&lt;0), "0",'FSLPL Daily '!E12-'FSLPL Daily '!E11)</f>
        <v>4736</v>
      </c>
      <c r="G10" s="19">
        <f>IF(('FSLPL Daily '!G12-'FSLPL Daily '!G11&lt;0), "0",'FSLPL Daily '!G12-'FSLPL Daily '!G11)</f>
        <v>3864</v>
      </c>
      <c r="H10" s="19">
        <f>IF(('FSLPL Daily '!I12-'FSLPL Daily '!I11&lt;0), "0",'FSLPL Daily '!I12-'FSLPL Daily '!I11)</f>
        <v>508</v>
      </c>
      <c r="I10" s="19">
        <f>IF(('FSLPL Daily '!K12-'FSLPL Daily '!K11&lt;0), "0",'FSLPL Daily '!K12-'FSLPL Daily '!K11)</f>
        <v>800</v>
      </c>
      <c r="J10" s="19">
        <f>IF(('FSLPL Daily '!M12-'FSLPL Daily '!M11&lt;0), "0",'FSLPL Daily '!M12-'FSLPL Daily '!M11)</f>
        <v>694</v>
      </c>
      <c r="K10" s="19">
        <f>IF(('FSLPL Daily '!O12-'FSLPL Daily '!O11&lt;0), "0",'FSLPL Daily '!O12-'FSLPL Daily '!O11)</f>
        <v>560</v>
      </c>
      <c r="L10" s="19">
        <f>IF(('FSLPL Daily '!Q12-'FSLPL Daily '!Q11&lt;0), "0",'FSLPL Daily '!Q12-'FSLPL Daily '!Q11)</f>
        <v>308</v>
      </c>
      <c r="M10" s="19">
        <f>IF(('FSLPL Daily '!S12-'FSLPL Daily '!S11&lt;0), "0",'FSLPL Daily '!S12-'FSLPL Daily '!S11)</f>
        <v>84</v>
      </c>
      <c r="N10" s="19">
        <f>IF(('FSLPL Daily '!U12-'FSLPL Daily '!U11&lt;0), "0",'FSLPL Daily '!U12-'FSLPL Daily '!U11)</f>
        <v>1001</v>
      </c>
      <c r="O10" s="19">
        <f>IF(('FSLPL Daily '!W12-'FSLPL Daily '!W11&lt;0), "0",'FSLPL Daily '!W12-'FSLPL Daily '!W11)</f>
        <v>263</v>
      </c>
      <c r="P10" s="19">
        <f>IF(('FSLPL Daily '!Y12-'FSLPL Daily '!Y11&lt;0), "0",'FSLPL Daily '!Y12-'FSLPL Daily '!Y11)</f>
        <v>1192</v>
      </c>
      <c r="Q10" s="19">
        <f>IF(('FSLPL Daily '!AA12-'FSLPL Daily '!AA11&lt;0), "0",'FSLPL Daily '!AA12-'FSLPL Daily '!AA11)</f>
        <v>2</v>
      </c>
      <c r="R10" s="19">
        <f>IF(('FSLPL Daily '!AC12-'FSLPL Daily '!AC11&lt;0), "0",'FSLPL Daily '!AC12-'FSLPL Daily '!AC11)</f>
        <v>1403</v>
      </c>
      <c r="S10" s="19">
        <f>IF(('FSLPL Daily '!AE12-'FSLPL Daily '!AE11&lt;0), "0",'FSLPL Daily '!AE12-'FSLPL Daily '!AE11)</f>
        <v>1973</v>
      </c>
      <c r="T10" s="19">
        <f>IF(('FSLPL Daily '!AG12-'FSLPL Daily '!AG11&lt;0), "0",'FSLPL Daily '!AG12-'FSLPL Daily '!AG11)</f>
        <v>221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319</v>
      </c>
      <c r="W10" s="19">
        <f>IF(('FSLPL Daily '!AM12-'FSLPL Daily '!AM11&lt;0), "0",'FSLPL Daily '!AM12-'FSLPL Daily '!AM11)</f>
        <v>586</v>
      </c>
      <c r="X10" s="19">
        <f>IF(('FSLPL Daily '!AO12-'FSLPL Daily '!AO11&lt;0), "0",'FSLPL Daily '!AO12-'FSLPL Daily '!AO11)</f>
        <v>580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14</v>
      </c>
      <c r="AB10" s="19">
        <f>IF(('FSLPL Daily '!AX12-'FSLPL Daily '!AX11&lt;0), "0",'FSLPL Daily '!AX12-'FSLPL Daily '!AX11)</f>
        <v>1</v>
      </c>
      <c r="AC10" s="19">
        <f>IF(('FSLPL Daily '!AZ12-'FSLPL Daily '!AZ11&lt;0), "0",'FSLPL Daily '!AZ12-'FSLPL Daily '!AZ11)</f>
        <v>1861</v>
      </c>
      <c r="AD10" s="19">
        <f>IF(('FSLPL Daily '!BB12-'FSLPL Daily '!BB11&lt;0), "0",'FSLPL Daily '!BB12-'FSLPL Daily '!BB11)</f>
        <v>1242</v>
      </c>
      <c r="AE10" s="19">
        <f>'FSLPL Daily '!BD12</f>
        <v>69</v>
      </c>
      <c r="AF10" s="19">
        <f>'FSLPL Daily '!BE12</f>
        <v>105</v>
      </c>
    </row>
    <row r="11" spans="1:32" x14ac:dyDescent="0.25">
      <c r="A11" s="16" t="s">
        <v>52</v>
      </c>
      <c r="B11" s="7">
        <f t="shared" si="0"/>
        <v>10</v>
      </c>
      <c r="C11" s="7">
        <v>3</v>
      </c>
      <c r="D11" s="7">
        <v>2020</v>
      </c>
      <c r="E11" s="19">
        <f>IF(('FSLPL Daily '!C13-'FSLPL Daily '!C12&lt;0), "0",'FSLPL Daily '!C13-'FSLPL Daily '!C12)</f>
        <v>7980</v>
      </c>
      <c r="F11" s="19">
        <f>IF(('FSLPL Daily '!E13-'FSLPL Daily '!E12&lt;0), "0",'FSLPL Daily '!E13-'FSLPL Daily '!E12)</f>
        <v>5049</v>
      </c>
      <c r="G11" s="19">
        <f>IF(('FSLPL Daily '!G13-'FSLPL Daily '!G12&lt;0), "0",'FSLPL Daily '!G13-'FSLPL Daily '!G12)</f>
        <v>3963</v>
      </c>
      <c r="H11" s="19">
        <f>IF(('FSLPL Daily '!I13-'FSLPL Daily '!I12&lt;0), "0",'FSLPL Daily '!I13-'FSLPL Daily '!I12)</f>
        <v>490</v>
      </c>
      <c r="I11" s="19">
        <f>IF(('FSLPL Daily '!K13-'FSLPL Daily '!K12&lt;0), "0",'FSLPL Daily '!K13-'FSLPL Daily '!K12)</f>
        <v>830</v>
      </c>
      <c r="J11" s="19">
        <f>IF(('FSLPL Daily '!M13-'FSLPL Daily '!M12&lt;0), "0",'FSLPL Daily '!M13-'FSLPL Daily '!M12)</f>
        <v>1139</v>
      </c>
      <c r="K11" s="19">
        <f>IF(('FSLPL Daily '!O13-'FSLPL Daily '!O12&lt;0), "0",'FSLPL Daily '!O13-'FSLPL Daily '!O12)</f>
        <v>532</v>
      </c>
      <c r="L11" s="19">
        <f>IF(('FSLPL Daily '!Q13-'FSLPL Daily '!Q12&lt;0), "0",'FSLPL Daily '!Q13-'FSLPL Daily '!Q12)</f>
        <v>316</v>
      </c>
      <c r="M11" s="19">
        <f>IF(('FSLPL Daily '!S13-'FSLPL Daily '!S12&lt;0), "0",'FSLPL Daily '!S13-'FSLPL Daily '!S12)</f>
        <v>87</v>
      </c>
      <c r="N11" s="19">
        <f>IF(('FSLPL Daily '!U13-'FSLPL Daily '!U12&lt;0), "0",'FSLPL Daily '!U13-'FSLPL Daily '!U12)</f>
        <v>1316</v>
      </c>
      <c r="O11" s="19">
        <f>IF(('FSLPL Daily '!W13-'FSLPL Daily '!W12&lt;0), "0",'FSLPL Daily '!W13-'FSLPL Daily '!W12)</f>
        <v>300</v>
      </c>
      <c r="P11" s="19">
        <f>IF(('FSLPL Daily '!Y13-'FSLPL Daily '!Y12&lt;0), "0",'FSLPL Daily '!Y13-'FSLPL Daily '!Y12)</f>
        <v>1193</v>
      </c>
      <c r="Q11" s="19">
        <f>IF(('FSLPL Daily '!AA13-'FSLPL Daily '!AA12&lt;0), "0",'FSLPL Daily '!AA13-'FSLPL Daily '!AA12)</f>
        <v>3</v>
      </c>
      <c r="R11" s="19">
        <f>IF(('FSLPL Daily '!AC13-'FSLPL Daily '!AC12&lt;0), "0",'FSLPL Daily '!AC13-'FSLPL Daily '!AC12)</f>
        <v>1417</v>
      </c>
      <c r="S11" s="19">
        <f>IF(('FSLPL Daily '!AE13-'FSLPL Daily '!AE12&lt;0), "0",'FSLPL Daily '!AE13-'FSLPL Daily '!AE12)</f>
        <v>1989</v>
      </c>
      <c r="T11" s="19">
        <f>IF(('FSLPL Daily '!AG13-'FSLPL Daily '!AG12&lt;0), "0",'FSLPL Daily '!AG13-'FSLPL Daily '!AG12)</f>
        <v>263</v>
      </c>
      <c r="U11" s="19">
        <f>IF(('FSLPL Daily '!AI13-'FSLPL Daily '!AI12&lt;0), "0",'FSLPL Daily '!AI13-'FSLPL Daily '!AI12)</f>
        <v>21</v>
      </c>
      <c r="V11" s="19">
        <f>IF(('FSLPL Daily '!AK13-'FSLPL Daily '!AK12&lt;0), "0",'FSLPL Daily '!AK13-'FSLPL Daily '!AK12)</f>
        <v>318</v>
      </c>
      <c r="W11" s="19">
        <f>IF(('FSLPL Daily '!AM13-'FSLPL Daily '!AM12&lt;0), "0",'FSLPL Daily '!AM13-'FSLPL Daily '!AM12)</f>
        <v>595</v>
      </c>
      <c r="X11" s="19">
        <f>IF(('FSLPL Daily '!AO13-'FSLPL Daily '!AO12&lt;0), "0",'FSLPL Daily '!AO13-'FSLPL Daily '!AO12)</f>
        <v>566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19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2193</v>
      </c>
      <c r="AD11" s="19">
        <f>IF(('FSLPL Daily '!BB13-'FSLPL Daily '!BB12&lt;0), "0",'FSLPL Daily '!BB13-'FSLPL Daily '!BB12)</f>
        <v>1129</v>
      </c>
      <c r="AE11" s="19">
        <f>'FSLPL Daily '!BD13</f>
        <v>59</v>
      </c>
      <c r="AF11" s="19">
        <f>'FSLPL Daily '!BE13</f>
        <v>91</v>
      </c>
    </row>
    <row r="12" spans="1:32" x14ac:dyDescent="0.25">
      <c r="A12" s="16" t="s">
        <v>52</v>
      </c>
      <c r="B12" s="7">
        <f t="shared" si="0"/>
        <v>11</v>
      </c>
      <c r="C12" s="7">
        <v>3</v>
      </c>
      <c r="D12" s="7">
        <v>2020</v>
      </c>
      <c r="E12" s="19">
        <f>IF(('FSLPL Daily '!C14-'FSLPL Daily '!C13&lt;0), "0",'FSLPL Daily '!C14-'FSLPL Daily '!C13)</f>
        <v>8280</v>
      </c>
      <c r="F12" s="19">
        <f>IF(('FSLPL Daily '!E14-'FSLPL Daily '!E13&lt;0), "0",'FSLPL Daily '!E14-'FSLPL Daily '!E13)</f>
        <v>5075</v>
      </c>
      <c r="G12" s="19">
        <f>IF(('FSLPL Daily '!G14-'FSLPL Daily '!G13&lt;0), "0",'FSLPL Daily '!G14-'FSLPL Daily '!G13)</f>
        <v>3899</v>
      </c>
      <c r="H12" s="19">
        <f>IF(('FSLPL Daily '!I14-'FSLPL Daily '!I13&lt;0), "0",'FSLPL Daily '!I14-'FSLPL Daily '!I13)</f>
        <v>459</v>
      </c>
      <c r="I12" s="19">
        <f>IF(('FSLPL Daily '!K14-'FSLPL Daily '!K13&lt;0), "0",'FSLPL Daily '!K14-'FSLPL Daily '!K13)</f>
        <v>801</v>
      </c>
      <c r="J12" s="19">
        <f>IF(('FSLPL Daily '!M14-'FSLPL Daily '!M13&lt;0), "0",'FSLPL Daily '!M14-'FSLPL Daily '!M13)</f>
        <v>1314</v>
      </c>
      <c r="K12" s="19">
        <f>IF(('FSLPL Daily '!O14-'FSLPL Daily '!O13&lt;0), "0",'FSLPL Daily '!O14-'FSLPL Daily '!O13)</f>
        <v>609</v>
      </c>
      <c r="L12" s="19">
        <f>IF(('FSLPL Daily '!Q14-'FSLPL Daily '!Q13&lt;0), "0",'FSLPL Daily '!Q14-'FSLPL Daily '!Q13)</f>
        <v>339</v>
      </c>
      <c r="M12" s="19">
        <f>IF(('FSLPL Daily '!S14-'FSLPL Daily '!S13&lt;0), "0",'FSLPL Daily '!S14-'FSLPL Daily '!S13)</f>
        <v>82</v>
      </c>
      <c r="N12" s="19">
        <f>IF(('FSLPL Daily '!U14-'FSLPL Daily '!U13&lt;0), "0",'FSLPL Daily '!U14-'FSLPL Daily '!U13)</f>
        <v>1142</v>
      </c>
      <c r="O12" s="19">
        <f>IF(('FSLPL Daily '!W14-'FSLPL Daily '!W13&lt;0), "0",'FSLPL Daily '!W14-'FSLPL Daily '!W13)</f>
        <v>334</v>
      </c>
      <c r="P12" s="19">
        <f>IF(('FSLPL Daily '!Y14-'FSLPL Daily '!Y13&lt;0), "0",'FSLPL Daily '!Y14-'FSLPL Daily '!Y13)</f>
        <v>1347</v>
      </c>
      <c r="Q12" s="19">
        <f>IF(('FSLPL Daily '!AA14-'FSLPL Daily '!AA13&lt;0), "0",'FSLPL Daily '!AA14-'FSLPL Daily '!AA13)</f>
        <v>2</v>
      </c>
      <c r="R12" s="19">
        <f>IF(('FSLPL Daily '!AC14-'FSLPL Daily '!AC13&lt;0), "0",'FSLPL Daily '!AC14-'FSLPL Daily '!AC13)</f>
        <v>1388</v>
      </c>
      <c r="S12" s="19">
        <f>IF(('FSLPL Daily '!AE14-'FSLPL Daily '!AE13&lt;0), "0",'FSLPL Daily '!AE14-'FSLPL Daily '!AE13)</f>
        <v>1951</v>
      </c>
      <c r="T12" s="19">
        <f>IF(('FSLPL Daily '!AG14-'FSLPL Daily '!AG13&lt;0), "0",'FSLPL Daily '!AG14-'FSLPL Daily '!AG13)</f>
        <v>262</v>
      </c>
      <c r="U12" s="19">
        <f>IF(('FSLPL Daily '!AI14-'FSLPL Daily '!AI13&lt;0), "0",'FSLPL Daily '!AI14-'FSLPL Daily '!AI13)</f>
        <v>20</v>
      </c>
      <c r="V12" s="19">
        <f>IF(('FSLPL Daily '!AK14-'FSLPL Daily '!AK13&lt;0), "0",'FSLPL Daily '!AK14-'FSLPL Daily '!AK13)</f>
        <v>328</v>
      </c>
      <c r="W12" s="19">
        <f>IF(('FSLPL Daily '!AM14-'FSLPL Daily '!AM13&lt;0), "0",'FSLPL Daily '!AM14-'FSLPL Daily '!AM13)</f>
        <v>581</v>
      </c>
      <c r="X12" s="19">
        <f>IF(('FSLPL Daily '!AO14-'FSLPL Daily '!AO13&lt;0), "0",'FSLPL Daily '!AO14-'FSLPL Daily '!AO13)</f>
        <v>530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15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2052</v>
      </c>
      <c r="AD12" s="19">
        <f>IF(('FSLPL Daily '!BB14-'FSLPL Daily '!BB13&lt;0), "0",'FSLPL Daily '!BB14-'FSLPL Daily '!BB13)</f>
        <v>1122</v>
      </c>
      <c r="AE12" s="19">
        <f>'FSLPL Daily '!BD14</f>
        <v>37</v>
      </c>
      <c r="AF12" s="19">
        <f>'FSLPL Daily '!BE14</f>
        <v>58</v>
      </c>
    </row>
    <row r="13" spans="1:32" x14ac:dyDescent="0.25">
      <c r="A13" s="16" t="s">
        <v>52</v>
      </c>
      <c r="B13" s="7">
        <f t="shared" si="0"/>
        <v>12</v>
      </c>
      <c r="C13" s="7">
        <v>3</v>
      </c>
      <c r="D13" s="7">
        <v>2020</v>
      </c>
      <c r="E13" s="19">
        <f>IF(('FSLPL Daily '!C15-'FSLPL Daily '!C14&lt;0), "0",'FSLPL Daily '!C15-'FSLPL Daily '!C14)</f>
        <v>7694</v>
      </c>
      <c r="F13" s="19">
        <f>IF(('FSLPL Daily '!E15-'FSLPL Daily '!E14&lt;0), "0",'FSLPL Daily '!E15-'FSLPL Daily '!E14)</f>
        <v>4870</v>
      </c>
      <c r="G13" s="19">
        <f>IF(('FSLPL Daily '!G15-'FSLPL Daily '!G14&lt;0), "0",'FSLPL Daily '!G15-'FSLPL Daily '!G14)</f>
        <v>3917</v>
      </c>
      <c r="H13" s="19">
        <f>IF(('FSLPL Daily '!I15-'FSLPL Daily '!I14&lt;0), "0",'FSLPL Daily '!I15-'FSLPL Daily '!I14)</f>
        <v>464</v>
      </c>
      <c r="I13" s="19">
        <f>IF(('FSLPL Daily '!K15-'FSLPL Daily '!K14&lt;0), "0",'FSLPL Daily '!K15-'FSLPL Daily '!K14)</f>
        <v>804</v>
      </c>
      <c r="J13" s="19">
        <f>IF(('FSLPL Daily '!M15-'FSLPL Daily '!M14&lt;0), "0",'FSLPL Daily '!M15-'FSLPL Daily '!M14)</f>
        <v>1131</v>
      </c>
      <c r="K13" s="19">
        <f>IF(('FSLPL Daily '!O15-'FSLPL Daily '!O14&lt;0), "0",'FSLPL Daily '!O15-'FSLPL Daily '!O14)</f>
        <v>552</v>
      </c>
      <c r="L13" s="19">
        <f>IF(('FSLPL Daily '!Q15-'FSLPL Daily '!Q14&lt;0), "0",'FSLPL Daily '!Q15-'FSLPL Daily '!Q14)</f>
        <v>308</v>
      </c>
      <c r="M13" s="19">
        <f>IF(('FSLPL Daily '!S15-'FSLPL Daily '!S14&lt;0), "0",'FSLPL Daily '!S15-'FSLPL Daily '!S14)</f>
        <v>84</v>
      </c>
      <c r="N13" s="19">
        <f>IF(('FSLPL Daily '!U15-'FSLPL Daily '!U14&lt;0), "0",'FSLPL Daily '!U15-'FSLPL Daily '!U14)</f>
        <v>1147</v>
      </c>
      <c r="O13" s="19">
        <f>IF(('FSLPL Daily '!W15-'FSLPL Daily '!W14&lt;0), "0",'FSLPL Daily '!W15-'FSLPL Daily '!W14)</f>
        <v>180</v>
      </c>
      <c r="P13" s="19">
        <f>IF(('FSLPL Daily '!Y15-'FSLPL Daily '!Y14&lt;0), "0",'FSLPL Daily '!Y15-'FSLPL Daily '!Y14)</f>
        <v>1219</v>
      </c>
      <c r="Q13" s="19">
        <f>IF(('FSLPL Daily '!AA15-'FSLPL Daily '!AA14&lt;0), "0",'FSLPL Daily '!AA15-'FSLPL Daily '!AA14)</f>
        <v>2</v>
      </c>
      <c r="R13" s="19">
        <f>IF(('FSLPL Daily '!AC15-'FSLPL Daily '!AC14&lt;0), "0",'FSLPL Daily '!AC15-'FSLPL Daily '!AC14)</f>
        <v>1406</v>
      </c>
      <c r="S13" s="19">
        <f>IF(('FSLPL Daily '!AE15-'FSLPL Daily '!AE14&lt;0), "0",'FSLPL Daily '!AE15-'FSLPL Daily '!AE14)</f>
        <v>1979</v>
      </c>
      <c r="T13" s="19">
        <f>IF(('FSLPL Daily '!AG15-'FSLPL Daily '!AG14&lt;0), "0",'FSLPL Daily '!AG15-'FSLPL Daily '!AG14)</f>
        <v>228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307</v>
      </c>
      <c r="W13" s="19">
        <f>IF(('FSLPL Daily '!AM15-'FSLPL Daily '!AM14&lt;0), "0",'FSLPL Daily '!AM15-'FSLPL Daily '!AM14)</f>
        <v>594</v>
      </c>
      <c r="X13" s="19">
        <f>IF(('FSLPL Daily '!AO15-'FSLPL Daily '!AO14&lt;0), "0",'FSLPL Daily '!AO15-'FSLPL Daily '!AO14)</f>
        <v>527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13</v>
      </c>
      <c r="AB13" s="19">
        <f>IF(('FSLPL Daily '!AX15-'FSLPL Daily '!AX14&lt;0), "0",'FSLPL Daily '!AX15-'FSLPL Daily '!AX14)</f>
        <v>2</v>
      </c>
      <c r="AC13" s="19">
        <f>IF(('FSLPL Daily '!AZ15-'FSLPL Daily '!AZ14&lt;0), "0",'FSLPL Daily '!AZ15-'FSLPL Daily '!AZ14)</f>
        <v>2068</v>
      </c>
      <c r="AD13" s="19">
        <f>IF(('FSLPL Daily '!BB15-'FSLPL Daily '!BB14&lt;0), "0",'FSLPL Daily '!BB15-'FSLPL Daily '!BB14)</f>
        <v>1126</v>
      </c>
      <c r="AE13" s="19">
        <f>'FSLPL Daily '!BD15</f>
        <v>44</v>
      </c>
      <c r="AF13" s="19">
        <f>'FSLPL Daily '!BE15</f>
        <v>71</v>
      </c>
    </row>
    <row r="14" spans="1:32" x14ac:dyDescent="0.25">
      <c r="A14" s="16" t="s">
        <v>52</v>
      </c>
      <c r="B14" s="7">
        <f t="shared" si="0"/>
        <v>13</v>
      </c>
      <c r="C14" s="7">
        <v>3</v>
      </c>
      <c r="D14" s="7">
        <v>2020</v>
      </c>
      <c r="E14" s="19">
        <f>IF(('FSLPL Daily '!C16-'FSLPL Daily '!C15&lt;0), "0",'FSLPL Daily '!C16-'FSLPL Daily '!C15)</f>
        <v>7143</v>
      </c>
      <c r="F14" s="19">
        <f>IF(('FSLPL Daily '!E16-'FSLPL Daily '!E15&lt;0), "0",'FSLPL Daily '!E16-'FSLPL Daily '!E15)</f>
        <v>4810</v>
      </c>
      <c r="G14" s="19">
        <f>IF(('FSLPL Daily '!G16-'FSLPL Daily '!G15&lt;0), "0",'FSLPL Daily '!G16-'FSLPL Daily '!G15)</f>
        <v>3911</v>
      </c>
      <c r="H14" s="19">
        <f>IF(('FSLPL Daily '!I16-'FSLPL Daily '!I15&lt;0), "0",'FSLPL Daily '!I16-'FSLPL Daily '!I15)</f>
        <v>473</v>
      </c>
      <c r="I14" s="19">
        <f>IF(('FSLPL Daily '!K16-'FSLPL Daily '!K15&lt;0), "0",'FSLPL Daily '!K16-'FSLPL Daily '!K15)</f>
        <v>812</v>
      </c>
      <c r="J14" s="19">
        <f>IF(('FSLPL Daily '!M16-'FSLPL Daily '!M15&lt;0), "0",'FSLPL Daily '!M16-'FSLPL Daily '!M15)</f>
        <v>1048</v>
      </c>
      <c r="K14" s="19">
        <f>IF(('FSLPL Daily '!O16-'FSLPL Daily '!O15&lt;0), "0",'FSLPL Daily '!O16-'FSLPL Daily '!O15)</f>
        <v>567</v>
      </c>
      <c r="L14" s="19">
        <f>IF(('FSLPL Daily '!Q16-'FSLPL Daily '!Q15&lt;0), "0",'FSLPL Daily '!Q16-'FSLPL Daily '!Q15)</f>
        <v>312</v>
      </c>
      <c r="M14" s="19">
        <f>IF(('FSLPL Daily '!S16-'FSLPL Daily '!S15&lt;0), "0",'FSLPL Daily '!S16-'FSLPL Daily '!S15)</f>
        <v>80</v>
      </c>
      <c r="N14" s="19">
        <f>IF(('FSLPL Daily '!U16-'FSLPL Daily '!U15&lt;0), "0",'FSLPL Daily '!U16-'FSLPL Daily '!U15)</f>
        <v>969</v>
      </c>
      <c r="O14" s="19">
        <f>IF(('FSLPL Daily '!W16-'FSLPL Daily '!W15&lt;0), "0",'FSLPL Daily '!W16-'FSLPL Daily '!W15)</f>
        <v>80</v>
      </c>
      <c r="P14" s="19">
        <f>IF(('FSLPL Daily '!Y16-'FSLPL Daily '!Y15&lt;0), "0",'FSLPL Daily '!Y16-'FSLPL Daily '!Y15)</f>
        <v>994</v>
      </c>
      <c r="Q14" s="19">
        <f>IF(('FSLPL Daily '!AA16-'FSLPL Daily '!AA15&lt;0), "0",'FSLPL Daily '!AA16-'FSLPL Daily '!AA15)</f>
        <v>3</v>
      </c>
      <c r="R14" s="19">
        <f>IF(('FSLPL Daily '!AC16-'FSLPL Daily '!AC15&lt;0), "0",'FSLPL Daily '!AC16-'FSLPL Daily '!AC15)</f>
        <v>1450</v>
      </c>
      <c r="S14" s="19">
        <f>IF(('FSLPL Daily '!AE16-'FSLPL Daily '!AE15&lt;0), "0",'FSLPL Daily '!AE16-'FSLPL Daily '!AE15)</f>
        <v>1909</v>
      </c>
      <c r="T14" s="19">
        <f>IF(('FSLPL Daily '!AG16-'FSLPL Daily '!AG15&lt;0), "0",'FSLPL Daily '!AG16-'FSLPL Daily '!AG15)</f>
        <v>237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313</v>
      </c>
      <c r="W14" s="19">
        <f>IF(('FSLPL Daily '!AM16-'FSLPL Daily '!AM15&lt;0), "0",'FSLPL Daily '!AM16-'FSLPL Daily '!AM15)</f>
        <v>597</v>
      </c>
      <c r="X14" s="19">
        <f>IF(('FSLPL Daily '!AO16-'FSLPL Daily '!AO15&lt;0), "0",'FSLPL Daily '!AO16-'FSLPL Daily '!AO15)</f>
        <v>479</v>
      </c>
      <c r="Y14" s="19">
        <f>'FSLPL Daily '!AS16</f>
        <v>246</v>
      </c>
      <c r="Z14" s="19">
        <f>'FSLPL Daily '!AU16</f>
        <v>667</v>
      </c>
      <c r="AA14" s="19">
        <f>IF(('FSLPL Daily '!AV16-'FSLPL Daily '!AV15&lt;0), "0",'FSLPL Daily '!AV16-'FSLPL Daily '!AV15)</f>
        <v>11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2175</v>
      </c>
      <c r="AD14" s="19">
        <f>IF(('FSLPL Daily '!BB16-'FSLPL Daily '!BB15&lt;0), "0",'FSLPL Daily '!BB16-'FSLPL Daily '!BB15)</f>
        <v>1115</v>
      </c>
      <c r="AE14" s="19">
        <f>'FSLPL Daily '!BD16</f>
        <v>40</v>
      </c>
      <c r="AF14" s="19">
        <f>'FSLPL Daily '!BE16</f>
        <v>61</v>
      </c>
    </row>
    <row r="15" spans="1:32" x14ac:dyDescent="0.25">
      <c r="A15" s="16" t="s">
        <v>52</v>
      </c>
      <c r="B15" s="7">
        <f t="shared" si="0"/>
        <v>14</v>
      </c>
      <c r="C15" s="7">
        <v>3</v>
      </c>
      <c r="D15" s="7">
        <v>2020</v>
      </c>
      <c r="E15" s="19" t="str">
        <f>IF(('FSLPL Daily '!C17-'FSLPL Daily '!C16&lt;0), "0",'FSLPL Daily '!C17-'FSLPL Daily '!C16)</f>
        <v>0</v>
      </c>
      <c r="F15" s="19" t="str">
        <f>IF(('FSLPL Daily '!E17-'FSLPL Daily '!E16&lt;0), "0",'FSLPL Daily '!E17-'FSLPL Daily '!E16)</f>
        <v>0</v>
      </c>
      <c r="G15" s="19" t="str">
        <f>IF(('FSLPL Daily '!G17-'FSLPL Daily '!G16&lt;0), "0",'FSLPL Daily '!G17-'FSLPL Daily '!G16)</f>
        <v>0</v>
      </c>
      <c r="H15" s="19" t="str">
        <f>IF(('FSLPL Daily '!I17-'FSLPL Daily '!I16&lt;0), "0",'FSLPL Daily '!I17-'FSLPL Daily '!I16)</f>
        <v>0</v>
      </c>
      <c r="I15" s="19" t="str">
        <f>IF(('FSLPL Daily '!K17-'FSLPL Daily '!K16&lt;0), "0",'FSLPL Daily '!K17-'FSLPL Daily '!K16)</f>
        <v>0</v>
      </c>
      <c r="J15" s="19" t="str">
        <f>IF(('FSLPL Daily '!M17-'FSLPL Daily '!M16&lt;0), "0",'FSLPL Daily '!M17-'FSLPL Daily '!M16)</f>
        <v>0</v>
      </c>
      <c r="K15" s="19" t="str">
        <f>IF(('FSLPL Daily '!O17-'FSLPL Daily '!O16&lt;0), "0",'FSLPL Daily '!O17-'FSLPL Daily '!O16)</f>
        <v>0</v>
      </c>
      <c r="L15" s="19" t="str">
        <f>IF(('FSLPL Daily '!Q17-'FSLPL Daily '!Q16&lt;0), "0",'FSLPL Daily '!Q17-'FSLPL Daily '!Q16)</f>
        <v>0</v>
      </c>
      <c r="M15" s="19" t="str">
        <f>IF(('FSLPL Daily '!S17-'FSLPL Daily '!S16&lt;0), "0",'FSLPL Daily '!S17-'FSLPL Daily '!S16)</f>
        <v>0</v>
      </c>
      <c r="N15" s="19" t="str">
        <f>IF(('FSLPL Daily '!U17-'FSLPL Daily '!U16&lt;0), "0",'FSLPL Daily '!U17-'FSLPL Daily '!U16)</f>
        <v>0</v>
      </c>
      <c r="O15" s="19" t="str">
        <f>IF(('FSLPL Daily '!W17-'FSLPL Daily '!W16&lt;0), "0",'FSLPL Daily '!W17-'FSLPL Daily '!W16)</f>
        <v>0</v>
      </c>
      <c r="P15" s="19" t="str">
        <f>IF(('FSLPL Daily '!Y17-'FSLPL Daily '!Y16&lt;0), "0",'FSLPL Daily '!Y17-'FSLPL Daily '!Y16)</f>
        <v>0</v>
      </c>
      <c r="Q15" s="19" t="str">
        <f>IF(('FSLPL Daily '!AA17-'FSLPL Daily '!AA16&lt;0), "0",'FSLPL Daily '!AA17-'FSLPL Daily '!AA16)</f>
        <v>0</v>
      </c>
      <c r="R15" s="19" t="str">
        <f>IF(('FSLPL Daily '!AC17-'FSLPL Daily '!AC16&lt;0), "0",'FSLPL Daily '!AC17-'FSLPL Daily '!AC16)</f>
        <v>0</v>
      </c>
      <c r="S15" s="19" t="str">
        <f>IF(('FSLPL Daily '!AE17-'FSLPL Daily '!AE16&lt;0), "0",'FSLPL Daily '!AE17-'FSLPL Daily '!AE16)</f>
        <v>0</v>
      </c>
      <c r="T15" s="19" t="str">
        <f>IF(('FSLPL Daily '!AG17-'FSLPL Daily '!AG16&lt;0), "0",'FSLPL Daily '!AG17-'FSLPL Daily '!AG16)</f>
        <v>0</v>
      </c>
      <c r="U15" s="19" t="str">
        <f>IF(('FSLPL Daily '!AI17-'FSLPL Daily '!AI16&lt;0), "0",'FSLPL Daily '!AI17-'FSLPL Daily '!AI16)</f>
        <v>0</v>
      </c>
      <c r="V15" s="19" t="str">
        <f>IF(('FSLPL Daily '!AK17-'FSLPL Daily '!AK16&lt;0), "0",'FSLPL Daily '!AK17-'FSLPL Daily '!AK16)</f>
        <v>0</v>
      </c>
      <c r="W15" s="19" t="str">
        <f>IF(('FSLPL Daily '!AM17-'FSLPL Daily '!AM16&lt;0), "0",'FSLPL Daily '!AM17-'FSLPL Daily '!AM16)</f>
        <v>0</v>
      </c>
      <c r="X15" s="19" t="str">
        <f>IF(('FSLPL Daily '!AO17-'FSLPL Daily '!AO16&lt;0), "0",'FSLPL Daily '!AO17-'FSLPL Daily '!AO16)</f>
        <v>0</v>
      </c>
      <c r="Y15" s="19">
        <f>'FSLPL Daily '!AS17</f>
        <v>0</v>
      </c>
      <c r="Z15" s="19">
        <f>'FSLPL Daily '!AU17</f>
        <v>0</v>
      </c>
      <c r="AA15" s="19" t="str">
        <f>IF(('FSLPL Daily '!AV17-'FSLPL Daily '!AV16&lt;0), "0",'FSLPL Daily '!AV17-'FSLPL Daily '!AV16)</f>
        <v>0</v>
      </c>
      <c r="AB15" s="19" t="str">
        <f>IF(('FSLPL Daily '!AX17-'FSLPL Daily '!AX16&lt;0), "0",'FSLPL Daily '!AX17-'FSLPL Daily '!AX16)</f>
        <v>0</v>
      </c>
      <c r="AC15" s="19" t="str">
        <f>IF(('FSLPL Daily '!AZ17-'FSLPL Daily '!AZ16&lt;0), "0",'FSLPL Daily '!AZ17-'FSLPL Daily '!AZ16)</f>
        <v>0</v>
      </c>
      <c r="AD15" s="19" t="str">
        <f>IF(('FSLPL Daily '!BB17-'FSLPL Daily '!BB16&lt;0), "0",'FSLPL Daily '!BB17-'FSLPL Daily '!BB16)</f>
        <v>0</v>
      </c>
      <c r="AE15" s="19">
        <f>'FSLPL Daily '!BD17</f>
        <v>0</v>
      </c>
      <c r="AF15" s="19">
        <f>'FSLPL Daily '!BE17</f>
        <v>0</v>
      </c>
    </row>
    <row r="16" spans="1:32" x14ac:dyDescent="0.25">
      <c r="A16" s="16" t="s">
        <v>52</v>
      </c>
      <c r="B16" s="7">
        <f t="shared" si="0"/>
        <v>15</v>
      </c>
      <c r="C16" s="7">
        <v>3</v>
      </c>
      <c r="D16" s="7">
        <v>2020</v>
      </c>
      <c r="E16" s="19">
        <f>IF(('FSLPL Daily '!C18-'FSLPL Daily '!C17&lt;0), "0",'FSLPL Daily '!C18-'FSLPL Daily '!C17)</f>
        <v>0</v>
      </c>
      <c r="F16" s="19">
        <f>IF(('FSLPL Daily '!E18-'FSLPL Daily '!E17&lt;0), "0",'FSLPL Daily '!E18-'FSLPL Daily '!E17)</f>
        <v>0</v>
      </c>
      <c r="G16" s="19">
        <f>IF(('FSLPL Daily '!G18-'FSLPL Daily '!G17&lt;0), "0",'FSLPL Daily '!G18-'FSLPL Daily '!G17)</f>
        <v>0</v>
      </c>
      <c r="H16" s="19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0</v>
      </c>
      <c r="J16" s="19">
        <f>IF(('FSLPL Daily '!M18-'FSLPL Daily '!M17&lt;0), "0",'FSLPL Daily '!M18-'FSLPL Daily '!M17)</f>
        <v>0</v>
      </c>
      <c r="K16" s="19">
        <f>IF(('FSLPL Daily '!O18-'FSLPL Daily '!O17&lt;0), "0",'FSLPL Daily '!O18-'FSLPL Daily '!O17)</f>
        <v>0</v>
      </c>
      <c r="L16" s="19">
        <f>IF(('FSLPL Daily '!Q18-'FSLPL Daily '!Q17&lt;0), "0",'FSLPL Daily '!Q18-'FSLPL Daily '!Q17)</f>
        <v>0</v>
      </c>
      <c r="M16" s="19">
        <f>IF(('FSLPL Daily '!S18-'FSLPL Daily '!S17&lt;0), "0",'FSLPL Daily '!S18-'FSLPL Daily '!S17)</f>
        <v>0</v>
      </c>
      <c r="N16" s="19">
        <f>IF(('FSLPL Daily '!U18-'FSLPL Daily '!U17&lt;0), "0",'FSLPL Daily '!U18-'FSLPL Daily '!U17)</f>
        <v>0</v>
      </c>
      <c r="O16" s="19">
        <f>IF(('FSLPL Daily '!W18-'FSLPL Daily '!W17&lt;0), "0",'FSLPL Daily '!W18-'FSLPL Daily '!W17)</f>
        <v>0</v>
      </c>
      <c r="P16" s="19">
        <f>IF(('FSLPL Daily '!Y18-'FSLPL Daily '!Y17&lt;0), "0",'FSLPL Daily '!Y18-'FSLPL Daily '!Y17)</f>
        <v>0</v>
      </c>
      <c r="Q16" s="19">
        <f>IF(('FSLPL Daily '!AA18-'FSLPL Daily '!AA17&lt;0), "0",'FSLPL Daily '!AA18-'FSLPL Daily '!AA17)</f>
        <v>0</v>
      </c>
      <c r="R16" s="19">
        <f>IF(('FSLPL Daily '!AC18-'FSLPL Daily '!AC17&lt;0), "0",'FSLPL Daily '!AC18-'FSLPL Daily '!AC17)</f>
        <v>0</v>
      </c>
      <c r="S16" s="19">
        <f>IF(('FSLPL Daily '!AE18-'FSLPL Daily '!AE17&lt;0), "0",'FSLPL Daily '!AE18-'FSLPL Daily '!AE17)</f>
        <v>0</v>
      </c>
      <c r="T16" s="19">
        <f>IF(('FSLPL Daily '!AG18-'FSLPL Daily '!AG17&lt;0), "0",'FSLPL Daily '!AG18-'FSLPL Daily '!AG17)</f>
        <v>0</v>
      </c>
      <c r="U16" s="19">
        <f>IF(('FSLPL Daily '!AI18-'FSLPL Daily '!AI17&lt;0), "0",'FSLPL Daily '!AI18-'FSLPL Daily '!AI17)</f>
        <v>0</v>
      </c>
      <c r="V16" s="19">
        <f>IF(('FSLPL Daily '!AK18-'FSLPL Daily '!AK17&lt;0), "0",'FSLPL Daily '!AK18-'FSLPL Daily '!AK17)</f>
        <v>0</v>
      </c>
      <c r="W16" s="19">
        <f>IF(('FSLPL Daily '!AM18-'FSLPL Daily '!AM17&lt;0), "0",'FSLPL Daily '!AM18-'FSLPL Daily '!AM17)</f>
        <v>0</v>
      </c>
      <c r="X16" s="19">
        <f>IF(('FSLPL Daily '!AO18-'FSLPL Daily '!AO17&lt;0), "0",'FSLPL Daily '!AO18-'FSLPL Daily '!AO17)</f>
        <v>0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0</v>
      </c>
      <c r="AB16" s="19">
        <f>IF(('FSLPL Daily '!AX18-'FSLPL Daily '!AX17&lt;0), "0",'FSLPL Daily '!AX18-'FSLPL Daily '!AX17)</f>
        <v>0</v>
      </c>
      <c r="AC16" s="19">
        <f>IF(('FSLPL Daily '!AZ18-'FSLPL Daily '!AZ17&lt;0), "0",'FSLPL Daily '!AZ18-'FSLPL Daily '!AZ17)</f>
        <v>0</v>
      </c>
      <c r="AD16" s="19">
        <f>IF(('FSLPL Daily '!BB18-'FSLPL Daily '!BB17&lt;0), "0",'FSLPL Daily '!BB18-'FSLPL Daily '!BB17)</f>
        <v>0</v>
      </c>
      <c r="AE16" s="19">
        <f>'FSLPL Daily '!BD18</f>
        <v>0</v>
      </c>
      <c r="AF16" s="19">
        <f>'FSLPL Daily '!BE18</f>
        <v>0</v>
      </c>
    </row>
    <row r="17" spans="1:32" x14ac:dyDescent="0.25">
      <c r="A17" s="16" t="s">
        <v>52</v>
      </c>
      <c r="B17" s="7">
        <f t="shared" si="0"/>
        <v>16</v>
      </c>
      <c r="C17" s="7">
        <v>3</v>
      </c>
      <c r="D17" s="7">
        <v>2020</v>
      </c>
      <c r="E17" s="19">
        <f>IF(('FSLPL Daily '!C19-'FSLPL Daily '!C18&lt;0), "0",'FSLPL Daily '!C19-'FSLPL Daily '!C18)</f>
        <v>0</v>
      </c>
      <c r="F17" s="19">
        <f>IF(('FSLPL Daily '!E19-'FSLPL Daily '!E18&lt;0), "0",'FSLPL Daily '!E19-'FSLPL Daily '!E18)</f>
        <v>0</v>
      </c>
      <c r="G17" s="19">
        <f>IF(('FSLPL Daily '!G19-'FSLPL Daily '!G18&lt;0), "0",'FSLPL Daily '!G19-'FSLPL Daily '!G18)</f>
        <v>0</v>
      </c>
      <c r="H17" s="19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0</v>
      </c>
      <c r="J17" s="19">
        <f>IF(('FSLPL Daily '!M19-'FSLPL Daily '!M18&lt;0), "0",'FSLPL Daily '!M19-'FSLPL Daily '!M18)</f>
        <v>0</v>
      </c>
      <c r="K17" s="19">
        <f>IF(('FSLPL Daily '!O19-'FSLPL Daily '!O18&lt;0), "0",'FSLPL Daily '!O19-'FSLPL Daily '!O18)</f>
        <v>0</v>
      </c>
      <c r="L17" s="19">
        <f>IF(('FSLPL Daily '!Q19-'FSLPL Daily '!Q18&lt;0), "0",'FSLPL Daily '!Q19-'FSLPL Daily '!Q18)</f>
        <v>0</v>
      </c>
      <c r="M17" s="19">
        <f>IF(('FSLPL Daily '!S19-'FSLPL Daily '!S18&lt;0), "0",'FSLPL Daily '!S19-'FSLPL Daily '!S18)</f>
        <v>0</v>
      </c>
      <c r="N17" s="19">
        <f>IF(('FSLPL Daily '!U19-'FSLPL Daily '!U18&lt;0), "0",'FSLPL Daily '!U19-'FSLPL Daily '!U18)</f>
        <v>0</v>
      </c>
      <c r="O17" s="19">
        <f>IF(('FSLPL Daily '!W19-'FSLPL Daily '!W18&lt;0), "0",'FSLPL Daily '!W19-'FSLPL Daily '!W18)</f>
        <v>0</v>
      </c>
      <c r="P17" s="19">
        <f>IF(('FSLPL Daily '!Y19-'FSLPL Daily '!Y18&lt;0), "0",'FSLPL Daily '!Y19-'FSLPL Daily '!Y18)</f>
        <v>0</v>
      </c>
      <c r="Q17" s="19">
        <f>IF(('FSLPL Daily '!AA19-'FSLPL Daily '!AA18&lt;0), "0",'FSLPL Daily '!AA19-'FSLPL Daily '!AA18)</f>
        <v>0</v>
      </c>
      <c r="R17" s="19">
        <f>IF(('FSLPL Daily '!AC19-'FSLPL Daily '!AC18&lt;0), "0",'FSLPL Daily '!AC19-'FSLPL Daily '!AC18)</f>
        <v>0</v>
      </c>
      <c r="S17" s="19">
        <f>IF(('FSLPL Daily '!AE19-'FSLPL Daily '!AE18&lt;0), "0",'FSLPL Daily '!AE19-'FSLPL Daily '!AE18)</f>
        <v>0</v>
      </c>
      <c r="T17" s="19">
        <f>IF(('FSLPL Daily '!AG19-'FSLPL Daily '!AG18&lt;0), "0",'FSLPL Daily '!AG19-'FSLPL Daily '!AG18)</f>
        <v>0</v>
      </c>
      <c r="U17" s="19">
        <f>IF(('FSLPL Daily '!AI19-'FSLPL Daily '!AI18&lt;0), "0",'FSLPL Daily '!AI19-'FSLPL Daily '!AI18)</f>
        <v>0</v>
      </c>
      <c r="V17" s="19">
        <f>IF(('FSLPL Daily '!AK19-'FSLPL Daily '!AK18&lt;0), "0",'FSLPL Daily '!AK19-'FSLPL Daily '!AK18)</f>
        <v>0</v>
      </c>
      <c r="W17" s="19">
        <f>IF(('FSLPL Daily '!AM19-'FSLPL Daily '!AM18&lt;0), "0",'FSLPL Daily '!AM19-'FSLPL Daily '!AM18)</f>
        <v>0</v>
      </c>
      <c r="X17" s="19">
        <f>IF(('FSLPL Daily '!AO19-'FSLPL Daily '!AO18&lt;0), "0",'FSLPL Daily '!AO19-'FSLPL Daily '!AO18)</f>
        <v>0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0</v>
      </c>
      <c r="AB17" s="19">
        <f>IF(('FSLPL Daily '!AX19-'FSLPL Daily '!AX18&lt;0), "0",'FSLPL Daily '!AX19-'FSLPL Daily '!AX18)</f>
        <v>0</v>
      </c>
      <c r="AC17" s="19">
        <f>IF(('FSLPL Daily '!AZ19-'FSLPL Daily '!AZ18&lt;0), "0",'FSLPL Daily '!AZ19-'FSLPL Daily '!AZ18)</f>
        <v>0</v>
      </c>
      <c r="AD17" s="19">
        <f>IF(('FSLPL Daily '!BB19-'FSLPL Daily '!BB18&lt;0), "0",'FSLPL Daily '!BB19-'FSLPL Daily '!BB18)</f>
        <v>0</v>
      </c>
      <c r="AE17" s="19">
        <f>'FSLPL Daily '!BD19</f>
        <v>0</v>
      </c>
      <c r="AF17" s="19">
        <f>'FSLPL Daily '!BE19</f>
        <v>0</v>
      </c>
    </row>
    <row r="18" spans="1:32" x14ac:dyDescent="0.25">
      <c r="A18" s="16" t="s">
        <v>52</v>
      </c>
      <c r="B18" s="7">
        <f t="shared" si="0"/>
        <v>17</v>
      </c>
      <c r="C18" s="7">
        <v>3</v>
      </c>
      <c r="D18" s="7">
        <v>2020</v>
      </c>
      <c r="E18" s="19">
        <f>IF(('FSLPL Daily '!C20-'FSLPL Daily '!C19&lt;0), "0",'FSLPL Daily '!C20-'FSLPL Daily '!C19)</f>
        <v>0</v>
      </c>
      <c r="F18" s="19">
        <f>IF(('FSLPL Daily '!E20-'FSLPL Daily '!E19&lt;0), "0",'FSLPL Daily '!E20-'FSLPL Daily '!E19)</f>
        <v>0</v>
      </c>
      <c r="G18" s="19">
        <f>IF(('FSLPL Daily '!G20-'FSLPL Daily '!G19&lt;0), "0",'FSLPL Daily '!G20-'FSLPL Daily '!G19)</f>
        <v>0</v>
      </c>
      <c r="H18" s="19">
        <f>IF(('FSLPL Daily '!I20-'FSLPL Daily '!I19&lt;0), "0",'FSLPL Daily '!I20-'FSLPL Daily '!I19)</f>
        <v>0</v>
      </c>
      <c r="I18" s="19">
        <f>IF(('FSLPL Daily '!K20-'FSLPL Daily '!K19&lt;0), "0",'FSLPL Daily '!K20-'FSLPL Daily '!K19)</f>
        <v>0</v>
      </c>
      <c r="J18" s="19">
        <f>IF(('FSLPL Daily '!M20-'FSLPL Daily '!M19&lt;0), "0",'FSLPL Daily '!M20-'FSLPL Daily '!M19)</f>
        <v>0</v>
      </c>
      <c r="K18" s="19">
        <f>IF(('FSLPL Daily '!O20-'FSLPL Daily '!O19&lt;0), "0",'FSLPL Daily '!O20-'FSLPL Daily '!O19)</f>
        <v>0</v>
      </c>
      <c r="L18" s="19">
        <f>IF(('FSLPL Daily '!Q20-'FSLPL Daily '!Q19&lt;0), "0",'FSLPL Daily '!Q20-'FSLPL Daily '!Q19)</f>
        <v>0</v>
      </c>
      <c r="M18" s="19">
        <f>IF(('FSLPL Daily '!S20-'FSLPL Daily '!S19&lt;0), "0",'FSLPL Daily '!S20-'FSLPL Daily '!S19)</f>
        <v>0</v>
      </c>
      <c r="N18" s="19">
        <f>IF(('FSLPL Daily '!U20-'FSLPL Daily '!U19&lt;0), "0",'FSLPL Daily '!U20-'FSLPL Daily '!U19)</f>
        <v>0</v>
      </c>
      <c r="O18" s="19">
        <f>IF(('FSLPL Daily '!W20-'FSLPL Daily '!W19&lt;0), "0",'FSLPL Daily '!W20-'FSLPL Daily '!W19)</f>
        <v>0</v>
      </c>
      <c r="P18" s="19">
        <f>IF(('FSLPL Daily '!Y20-'FSLPL Daily '!Y19&lt;0), "0",'FSLPL Daily '!Y20-'FSLPL Daily '!Y19)</f>
        <v>0</v>
      </c>
      <c r="Q18" s="19">
        <f>IF(('FSLPL Daily '!AA20-'FSLPL Daily '!AA19&lt;0), "0",'FSLPL Daily '!AA20-'FSLPL Daily '!AA19)</f>
        <v>0</v>
      </c>
      <c r="R18" s="19">
        <f>IF(('FSLPL Daily '!AC20-'FSLPL Daily '!AC19&lt;0), "0",'FSLPL Daily '!AC20-'FSLPL Daily '!AC19)</f>
        <v>0</v>
      </c>
      <c r="S18" s="19">
        <f>IF(('FSLPL Daily '!AE20-'FSLPL Daily '!AE19&lt;0), "0",'FSLPL Daily '!AE20-'FSLPL Daily '!AE19)</f>
        <v>0</v>
      </c>
      <c r="T18" s="19">
        <f>IF(('FSLPL Daily '!AG20-'FSLPL Daily '!AG19&lt;0), "0",'FSLPL Daily '!AG20-'FSLPL Daily '!AG19)</f>
        <v>0</v>
      </c>
      <c r="U18" s="19">
        <f>IF(('FSLPL Daily '!AI20-'FSLPL Daily '!AI19&lt;0), "0",'FSLPL Daily '!AI20-'FSLPL Daily '!AI19)</f>
        <v>0</v>
      </c>
      <c r="V18" s="19">
        <f>IF(('FSLPL Daily '!AK20-'FSLPL Daily '!AK19&lt;0), "0",'FSLPL Daily '!AK20-'FSLPL Daily '!AK19)</f>
        <v>0</v>
      </c>
      <c r="W18" s="19">
        <f>IF(('FSLPL Daily '!AM20-'FSLPL Daily '!AM19&lt;0), "0",'FSLPL Daily '!AM20-'FSLPL Daily '!AM19)</f>
        <v>0</v>
      </c>
      <c r="X18" s="19">
        <f>IF(('FSLPL Daily '!AO20-'FSLPL Daily '!AO19&lt;0), "0",'FSLPL Daily '!AO20-'FSLPL Daily '!AO19)</f>
        <v>0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0</v>
      </c>
      <c r="AB18" s="19">
        <f>IF(('FSLPL Daily '!AX20-'FSLPL Daily '!AX19&lt;0), "0",'FSLPL Daily '!AX20-'FSLPL Daily '!AX19)</f>
        <v>0</v>
      </c>
      <c r="AC18" s="19">
        <f>IF(('FSLPL Daily '!AZ20-'FSLPL Daily '!AZ19&lt;0), "0",'FSLPL Daily '!AZ20-'FSLPL Daily '!AZ19)</f>
        <v>0</v>
      </c>
      <c r="AD18" s="19">
        <f>IF(('FSLPL Daily '!BB20-'FSLPL Daily '!BB19&lt;0), "0",'FSLPL Daily '!BB20-'FSLPL Daily '!BB19)</f>
        <v>0</v>
      </c>
      <c r="AE18" s="19">
        <f>'FSLPL Daily '!BD20</f>
        <v>0</v>
      </c>
      <c r="AF18" s="19">
        <f>'FSLPL Daily '!BE20</f>
        <v>0</v>
      </c>
    </row>
    <row r="19" spans="1:32" x14ac:dyDescent="0.25">
      <c r="A19" s="16" t="s">
        <v>52</v>
      </c>
      <c r="B19" s="7">
        <f t="shared" si="0"/>
        <v>18</v>
      </c>
      <c r="C19" s="7">
        <v>3</v>
      </c>
      <c r="D19" s="7">
        <v>2020</v>
      </c>
      <c r="E19" s="19">
        <f>IF(('FSLPL Daily '!C21-'FSLPL Daily '!C20&lt;0), "0",'FSLPL Daily '!C21-'FSLPL Daily '!C20)</f>
        <v>0</v>
      </c>
      <c r="F19" s="19">
        <f>IF(('FSLPL Daily '!E21-'FSLPL Daily '!E20&lt;0), "0",'FSLPL Daily '!E21-'FSLPL Daily '!E20)</f>
        <v>0</v>
      </c>
      <c r="G19" s="19">
        <f>IF(('FSLPL Daily '!G21-'FSLPL Daily '!G20&lt;0), "0",'FSLPL Daily '!G21-'FSLPL Daily '!G20)</f>
        <v>0</v>
      </c>
      <c r="H19" s="19">
        <f>IF(('FSLPL Daily '!I21-'FSLPL Daily '!I20&lt;0), "0",'FSLPL Daily '!I21-'FSLPL Daily '!I20)</f>
        <v>0</v>
      </c>
      <c r="I19" s="19">
        <f>IF(('FSLPL Daily '!K21-'FSLPL Daily '!K20&lt;0), "0",'FSLPL Daily '!K21-'FSLPL Daily '!K20)</f>
        <v>0</v>
      </c>
      <c r="J19" s="19">
        <f>IF(('FSLPL Daily '!M21-'FSLPL Daily '!M20&lt;0), "0",'FSLPL Daily '!M21-'FSLPL Daily '!M20)</f>
        <v>0</v>
      </c>
      <c r="K19" s="19">
        <f>IF(('FSLPL Daily '!O21-'FSLPL Daily '!O20&lt;0), "0",'FSLPL Daily '!O21-'FSLPL Daily '!O20)</f>
        <v>0</v>
      </c>
      <c r="L19" s="19">
        <f>IF(('FSLPL Daily '!Q21-'FSLPL Daily '!Q20&lt;0), "0",'FSLPL Daily '!Q21-'FSLPL Daily '!Q20)</f>
        <v>0</v>
      </c>
      <c r="M19" s="19">
        <f>IF(('FSLPL Daily '!S21-'FSLPL Daily '!S20&lt;0), "0",'FSLPL Daily '!S21-'FSLPL Daily '!S20)</f>
        <v>0</v>
      </c>
      <c r="N19" s="19">
        <f>IF(('FSLPL Daily '!U21-'FSLPL Daily '!U20&lt;0), "0",'FSLPL Daily '!U21-'FSLPL Daily '!U20)</f>
        <v>0</v>
      </c>
      <c r="O19" s="19">
        <f>IF(('FSLPL Daily '!W21-'FSLPL Daily '!W20&lt;0), "0",'FSLPL Daily '!W21-'FSLPL Daily '!W20)</f>
        <v>0</v>
      </c>
      <c r="P19" s="19">
        <f>IF(('FSLPL Daily '!Y21-'FSLPL Daily '!Y20&lt;0), "0",'FSLPL Daily '!Y21-'FSLPL Daily '!Y20)</f>
        <v>0</v>
      </c>
      <c r="Q19" s="19">
        <f>IF(('FSLPL Daily '!AA21-'FSLPL Daily '!AA20&lt;0), "0",'FSLPL Daily '!AA21-'FSLPL Daily '!AA20)</f>
        <v>0</v>
      </c>
      <c r="R19" s="19">
        <f>IF(('FSLPL Daily '!AC21-'FSLPL Daily '!AC20&lt;0), "0",'FSLPL Daily '!AC21-'FSLPL Daily '!AC20)</f>
        <v>0</v>
      </c>
      <c r="S19" s="19">
        <f>IF(('FSLPL Daily '!AE21-'FSLPL Daily '!AE20&lt;0), "0",'FSLPL Daily '!AE21-'FSLPL Daily '!AE20)</f>
        <v>0</v>
      </c>
      <c r="T19" s="19">
        <f>IF(('FSLPL Daily '!AG21-'FSLPL Daily '!AG20&lt;0), "0",'FSLPL Daily '!AG21-'FSLPL Daily '!AG20)</f>
        <v>0</v>
      </c>
      <c r="U19" s="19">
        <f>IF(('FSLPL Daily '!AI21-'FSLPL Daily '!AI20&lt;0), "0",'FSLPL Daily '!AI21-'FSLPL Daily '!AI20)</f>
        <v>0</v>
      </c>
      <c r="V19" s="19">
        <f>IF(('FSLPL Daily '!AK21-'FSLPL Daily '!AK20&lt;0), "0",'FSLPL Daily '!AK21-'FSLPL Daily '!AK20)</f>
        <v>0</v>
      </c>
      <c r="W19" s="19">
        <f>IF(('FSLPL Daily '!AM21-'FSLPL Daily '!AM20&lt;0), "0",'FSLPL Daily '!AM21-'FSLPL Daily '!AM20)</f>
        <v>0</v>
      </c>
      <c r="X19" s="19">
        <f>IF(('FSLPL Daily '!AO21-'FSLPL Daily '!AO20&lt;0), "0",'FSLPL Daily '!AO21-'FSLPL Daily '!AO20)</f>
        <v>0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0</v>
      </c>
      <c r="AB19" s="19">
        <f>IF(('FSLPL Daily '!AX21-'FSLPL Daily '!AX20&lt;0), "0",'FSLPL Daily '!AX21-'FSLPL Daily '!AX20)</f>
        <v>0</v>
      </c>
      <c r="AC19" s="19">
        <f>IF(('FSLPL Daily '!AZ21-'FSLPL Daily '!AZ20&lt;0), "0",'FSLPL Daily '!AZ21-'FSLPL Daily '!AZ20)</f>
        <v>0</v>
      </c>
      <c r="AD19" s="19">
        <f>IF(('FSLPL Daily '!BB21-'FSLPL Daily '!BB20&lt;0), "0",'FSLPL Daily '!BB21-'FSLPL Daily '!BB20)</f>
        <v>0</v>
      </c>
      <c r="AE19" s="19">
        <f>'FSLPL Daily '!BD21</f>
        <v>0</v>
      </c>
      <c r="AF19" s="19">
        <f>'FSLPL Daily '!BE21</f>
        <v>0</v>
      </c>
    </row>
    <row r="20" spans="1:32" x14ac:dyDescent="0.25">
      <c r="A20" s="16" t="s">
        <v>52</v>
      </c>
      <c r="B20" s="7">
        <f t="shared" si="0"/>
        <v>19</v>
      </c>
      <c r="C20" s="7">
        <v>3</v>
      </c>
      <c r="D20" s="7">
        <v>2020</v>
      </c>
      <c r="E20" s="19">
        <f>IF(('FSLPL Daily '!C22-'FSLPL Daily '!C21&lt;0), "0",'FSLPL Daily '!C22-'FSLPL Daily '!C21)</f>
        <v>0</v>
      </c>
      <c r="F20" s="19">
        <f>IF(('FSLPL Daily '!E22-'FSLPL Daily '!E21&lt;0), "0",'FSLPL Daily '!E22-'FSLPL Daily '!E21)</f>
        <v>0</v>
      </c>
      <c r="G20" s="19">
        <f>IF(('FSLPL Daily '!G22-'FSLPL Daily '!G21&lt;0), "0",'FSLPL Daily '!G22-'FSLPL Daily '!G21)</f>
        <v>0</v>
      </c>
      <c r="H20" s="19">
        <f>IF(('FSLPL Daily '!I22-'FSLPL Daily '!I21&lt;0), "0",'FSLPL Daily '!I22-'FSLPL Daily '!I21)</f>
        <v>0</v>
      </c>
      <c r="I20" s="19">
        <f>IF(('FSLPL Daily '!K22-'FSLPL Daily '!K21&lt;0), "0",'FSLPL Daily '!K22-'FSLPL Daily '!K21)</f>
        <v>0</v>
      </c>
      <c r="J20" s="19">
        <f>IF(('FSLPL Daily '!M22-'FSLPL Daily '!M21&lt;0), "0",'FSLPL Daily '!M22-'FSLPL Daily '!M21)</f>
        <v>0</v>
      </c>
      <c r="K20" s="19">
        <f>IF(('FSLPL Daily '!O22-'FSLPL Daily '!O21&lt;0), "0",'FSLPL Daily '!O22-'FSLPL Daily '!O21)</f>
        <v>0</v>
      </c>
      <c r="L20" s="19">
        <f>IF(('FSLPL Daily '!Q22-'FSLPL Daily '!Q21&lt;0), "0",'FSLPL Daily '!Q22-'FSLPL Daily '!Q21)</f>
        <v>0</v>
      </c>
      <c r="M20" s="19">
        <f>IF(('FSLPL Daily '!S22-'FSLPL Daily '!S21&lt;0), "0",'FSLPL Daily '!S22-'FSLPL Daily '!S21)</f>
        <v>0</v>
      </c>
      <c r="N20" s="19">
        <f>IF(('FSLPL Daily '!U22-'FSLPL Daily '!U21&lt;0), "0",'FSLPL Daily '!U22-'FSLPL Daily '!U21)</f>
        <v>0</v>
      </c>
      <c r="O20" s="19">
        <f>IF(('FSLPL Daily '!W22-'FSLPL Daily '!W21&lt;0), "0",'FSLPL Daily '!W22-'FSLPL Daily '!W21)</f>
        <v>0</v>
      </c>
      <c r="P20" s="19">
        <f>IF(('FSLPL Daily '!Y22-'FSLPL Daily '!Y21&lt;0), "0",'FSLPL Daily '!Y22-'FSLPL Daily '!Y21)</f>
        <v>0</v>
      </c>
      <c r="Q20" s="19">
        <f>IF(('FSLPL Daily '!AA22-'FSLPL Daily '!AA21&lt;0), "0",'FSLPL Daily '!AA22-'FSLPL Daily '!AA21)</f>
        <v>0</v>
      </c>
      <c r="R20" s="19">
        <f>IF(('FSLPL Daily '!AC22-'FSLPL Daily '!AC21&lt;0), "0",'FSLPL Daily '!AC22-'FSLPL Daily '!AC21)</f>
        <v>0</v>
      </c>
      <c r="S20" s="19">
        <f>IF(('FSLPL Daily '!AE22-'FSLPL Daily '!AE21&lt;0), "0",'FSLPL Daily '!AE22-'FSLPL Daily '!AE21)</f>
        <v>0</v>
      </c>
      <c r="T20" s="19">
        <f>IF(('FSLPL Daily '!AG22-'FSLPL Daily '!AG21&lt;0), "0",'FSLPL Daily '!AG22-'FSLPL Daily '!AG21)</f>
        <v>0</v>
      </c>
      <c r="U20" s="19">
        <f>IF(('FSLPL Daily '!AI22-'FSLPL Daily '!AI21&lt;0), "0",'FSLPL Daily '!AI22-'FSLPL Daily '!AI21)</f>
        <v>0</v>
      </c>
      <c r="V20" s="19">
        <f>IF(('FSLPL Daily '!AK22-'FSLPL Daily '!AK21&lt;0), "0",'FSLPL Daily '!AK22-'FSLPL Daily '!AK21)</f>
        <v>0</v>
      </c>
      <c r="W20" s="19">
        <f>IF(('FSLPL Daily '!AM22-'FSLPL Daily '!AM21&lt;0), "0",'FSLPL Daily '!AM22-'FSLPL Daily '!AM21)</f>
        <v>0</v>
      </c>
      <c r="X20" s="19">
        <f>IF(('FSLPL Daily '!AO22-'FSLPL Daily '!AO21&lt;0), "0",'FSLPL Daily '!AO22-'FSLPL Daily '!AO21)</f>
        <v>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0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0</v>
      </c>
      <c r="AD20" s="19">
        <f>IF(('FSLPL Daily '!BB22-'FSLPL Daily '!BB21&lt;0), "0",'FSLPL Daily '!BB22-'FSLPL Daily '!BB21)</f>
        <v>0</v>
      </c>
      <c r="AE20" s="19">
        <f>'FSLPL Daily '!BD22</f>
        <v>0</v>
      </c>
      <c r="AF20" s="19">
        <f>'FSLPL Daily '!BE22</f>
        <v>0</v>
      </c>
    </row>
    <row r="21" spans="1:32" x14ac:dyDescent="0.25">
      <c r="A21" s="16" t="s">
        <v>52</v>
      </c>
      <c r="B21" s="7">
        <f t="shared" si="0"/>
        <v>20</v>
      </c>
      <c r="C21" s="7">
        <v>3</v>
      </c>
      <c r="D21" s="7">
        <v>2020</v>
      </c>
      <c r="E21" s="19">
        <f>IF(('FSLPL Daily '!C23-'FSLPL Daily '!C22&lt;0), "0",'FSLPL Daily '!C23-'FSLPL Daily '!C22)</f>
        <v>0</v>
      </c>
      <c r="F21" s="19">
        <f>IF(('FSLPL Daily '!E23-'FSLPL Daily '!E22&lt;0), "0",'FSLPL Daily '!E23-'FSLPL Daily '!E22)</f>
        <v>0</v>
      </c>
      <c r="G21" s="19">
        <f>IF(('FSLPL Daily '!G23-'FSLPL Daily '!G22&lt;0), "0",'FSLPL Daily '!G23-'FSLPL Daily '!G22)</f>
        <v>0</v>
      </c>
      <c r="H21" s="19">
        <f>IF(('FSLPL Daily '!I23-'FSLPL Daily '!I22&lt;0), "0",'FSLPL Daily '!I23-'FSLPL Daily '!I22)</f>
        <v>0</v>
      </c>
      <c r="I21" s="19">
        <f>IF(('FSLPL Daily '!K23-'FSLPL Daily '!K22&lt;0), "0",'FSLPL Daily '!K23-'FSLPL Daily '!K22)</f>
        <v>0</v>
      </c>
      <c r="J21" s="19">
        <f>IF(('FSLPL Daily '!M23-'FSLPL Daily '!M22&lt;0), "0",'FSLPL Daily '!M23-'FSLPL Daily '!M22)</f>
        <v>0</v>
      </c>
      <c r="K21" s="19">
        <f>IF(('FSLPL Daily '!O23-'FSLPL Daily '!O22&lt;0), "0",'FSLPL Daily '!O23-'FSLPL Daily '!O22)</f>
        <v>0</v>
      </c>
      <c r="L21" s="19">
        <f>IF(('FSLPL Daily '!Q23-'FSLPL Daily '!Q22&lt;0), "0",'FSLPL Daily '!Q23-'FSLPL Daily '!Q22)</f>
        <v>0</v>
      </c>
      <c r="M21" s="19">
        <f>IF(('FSLPL Daily '!S23-'FSLPL Daily '!S22&lt;0), "0",'FSLPL Daily '!S23-'FSLPL Daily '!S22)</f>
        <v>0</v>
      </c>
      <c r="N21" s="19">
        <f>IF(('FSLPL Daily '!U23-'FSLPL Daily '!U22&lt;0), "0",'FSLPL Daily '!U23-'FSLPL Daily '!U22)</f>
        <v>0</v>
      </c>
      <c r="O21" s="19">
        <f>IF(('FSLPL Daily '!W23-'FSLPL Daily '!W22&lt;0), "0",'FSLPL Daily '!W23-'FSLPL Daily '!W22)</f>
        <v>0</v>
      </c>
      <c r="P21" s="19">
        <f>IF(('FSLPL Daily '!Y23-'FSLPL Daily '!Y22&lt;0), "0",'FSLPL Daily '!Y23-'FSLPL Daily '!Y22)</f>
        <v>0</v>
      </c>
      <c r="Q21" s="19">
        <f>IF(('FSLPL Daily '!AA23-'FSLPL Daily '!AA22&lt;0), "0",'FSLPL Daily '!AA23-'FSLPL Daily '!AA22)</f>
        <v>0</v>
      </c>
      <c r="R21" s="19">
        <f>IF(('FSLPL Daily '!AC23-'FSLPL Daily '!AC22&lt;0), "0",'FSLPL Daily '!AC23-'FSLPL Daily '!AC22)</f>
        <v>0</v>
      </c>
      <c r="S21" s="19">
        <f>IF(('FSLPL Daily '!AE23-'FSLPL Daily '!AE22&lt;0), "0",'FSLPL Daily '!AE23-'FSLPL Daily '!AE22)</f>
        <v>0</v>
      </c>
      <c r="T21" s="19">
        <f>IF(('FSLPL Daily '!AG23-'FSLPL Daily '!AG22&lt;0), "0",'FSLPL Daily '!AG23-'FSLPL Daily '!AG22)</f>
        <v>0</v>
      </c>
      <c r="U21" s="19">
        <f>IF(('FSLPL Daily '!AI23-'FSLPL Daily '!AI22&lt;0), "0",'FSLPL Daily '!AI23-'FSLPL Daily '!AI22)</f>
        <v>0</v>
      </c>
      <c r="V21" s="19">
        <f>IF(('FSLPL Daily '!AK23-'FSLPL Daily '!AK22&lt;0), "0",'FSLPL Daily '!AK23-'FSLPL Daily '!AK22)</f>
        <v>0</v>
      </c>
      <c r="W21" s="19">
        <f>IF(('FSLPL Daily '!AM23-'FSLPL Daily '!AM22&lt;0), "0",'FSLPL Daily '!AM23-'FSLPL Daily '!AM22)</f>
        <v>0</v>
      </c>
      <c r="X21" s="19">
        <f>IF(('FSLPL Daily '!AO23-'FSLPL Daily '!AO22&lt;0), "0",'FSLPL Daily '!AO23-'FSLPL Daily '!AO22)</f>
        <v>0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0</v>
      </c>
      <c r="AB21" s="19">
        <f>IF(('FSLPL Daily '!AX23-'FSLPL Daily '!AX22&lt;0), "0",'FSLPL Daily '!AX23-'FSLPL Daily '!AX22)</f>
        <v>0</v>
      </c>
      <c r="AC21" s="19">
        <f>IF(('FSLPL Daily '!AZ23-'FSLPL Daily '!AZ22&lt;0), "0",'FSLPL Daily '!AZ23-'FSLPL Daily '!AZ22)</f>
        <v>0</v>
      </c>
      <c r="AD21" s="19">
        <f>IF(('FSLPL Daily '!BB23-'FSLPL Daily '!BB22&lt;0), "0",'FSLPL Daily '!BB23-'FSLPL Daily '!BB22)</f>
        <v>0</v>
      </c>
      <c r="AE21" s="19">
        <f>'FSLPL Daily '!BD23</f>
        <v>0</v>
      </c>
      <c r="AF21" s="19">
        <f>'FSLPL Daily '!BE23</f>
        <v>0</v>
      </c>
    </row>
    <row r="22" spans="1:32" x14ac:dyDescent="0.25">
      <c r="A22" s="16" t="s">
        <v>52</v>
      </c>
      <c r="B22" s="7">
        <f t="shared" si="0"/>
        <v>21</v>
      </c>
      <c r="C22" s="7">
        <v>3</v>
      </c>
      <c r="D22" s="7">
        <v>2020</v>
      </c>
      <c r="E22" s="19">
        <f>IF(('FSLPL Daily '!C24-'FSLPL Daily '!C23&lt;0), "0",'FSLPL Daily '!C24-'FSLPL Daily '!C23)</f>
        <v>0</v>
      </c>
      <c r="F22" s="19">
        <f>IF(('FSLPL Daily '!E24-'FSLPL Daily '!E23&lt;0), "0",'FSLPL Daily '!E24-'FSLPL Daily '!E23)</f>
        <v>0</v>
      </c>
      <c r="G22" s="19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0</v>
      </c>
      <c r="I22" s="19">
        <f>IF(('FSLPL Daily '!K24-'FSLPL Daily '!K23&lt;0), "0",'FSLPL Daily '!K24-'FSLPL Daily '!K23)</f>
        <v>0</v>
      </c>
      <c r="J22" s="19">
        <f>IF(('FSLPL Daily '!M24-'FSLPL Daily '!M23&lt;0), "0",'FSLPL Daily '!M24-'FSLPL Daily '!M23)</f>
        <v>0</v>
      </c>
      <c r="K22" s="19">
        <f>IF(('FSLPL Daily '!O24-'FSLPL Daily '!O23&lt;0), "0",'FSLPL Daily '!O24-'FSLPL Daily '!O23)</f>
        <v>0</v>
      </c>
      <c r="L22" s="19">
        <f>IF(('FSLPL Daily '!Q24-'FSLPL Daily '!Q23&lt;0), "0",'FSLPL Daily '!Q24-'FSLPL Daily '!Q23)</f>
        <v>0</v>
      </c>
      <c r="M22" s="19">
        <f>IF(('FSLPL Daily '!S24-'FSLPL Daily '!S23&lt;0), "0",'FSLPL Daily '!S24-'FSLPL Daily '!S23)</f>
        <v>0</v>
      </c>
      <c r="N22" s="19">
        <f>IF(('FSLPL Daily '!U24-'FSLPL Daily '!U23&lt;0), "0",'FSLPL Daily '!U24-'FSLPL Daily '!U23)</f>
        <v>0</v>
      </c>
      <c r="O22" s="19">
        <f>IF(('FSLPL Daily '!W24-'FSLPL Daily '!W23&lt;0), "0",'FSLPL Daily '!W24-'FSLPL Daily '!W23)</f>
        <v>0</v>
      </c>
      <c r="P22" s="19">
        <f>IF(('FSLPL Daily '!Y24-'FSLPL Daily '!Y23&lt;0), "0",'FSLPL Daily '!Y24-'FSLPL Daily '!Y23)</f>
        <v>0</v>
      </c>
      <c r="Q22" s="19">
        <f>IF(('FSLPL Daily '!AA24-'FSLPL Daily '!AA23&lt;0), "0",'FSLPL Daily '!AA24-'FSLPL Daily '!AA23)</f>
        <v>0</v>
      </c>
      <c r="R22" s="19">
        <f>IF(('FSLPL Daily '!AC24-'FSLPL Daily '!AC23&lt;0), "0",'FSLPL Daily '!AC24-'FSLPL Daily '!AC23)</f>
        <v>0</v>
      </c>
      <c r="S22" s="19">
        <f>IF(('FSLPL Daily '!AE24-'FSLPL Daily '!AE23&lt;0), "0",'FSLPL Daily '!AE24-'FSLPL Daily '!AE23)</f>
        <v>0</v>
      </c>
      <c r="T22" s="19">
        <f>IF(('FSLPL Daily '!AG24-'FSLPL Daily '!AG23&lt;0), "0",'FSLPL Daily '!AG24-'FSLPL Daily '!AG23)</f>
        <v>0</v>
      </c>
      <c r="U22" s="19">
        <f>IF(('FSLPL Daily '!AI24-'FSLPL Daily '!AI23&lt;0), "0",'FSLPL Daily '!AI24-'FSLPL Daily '!AI23)</f>
        <v>0</v>
      </c>
      <c r="V22" s="19">
        <f>IF(('FSLPL Daily '!AK24-'FSLPL Daily '!AK23&lt;0), "0",'FSLPL Daily '!AK24-'FSLPL Daily '!AK23)</f>
        <v>0</v>
      </c>
      <c r="W22" s="19">
        <f>IF(('FSLPL Daily '!AM24-'FSLPL Daily '!AM23&lt;0), "0",'FSLPL Daily '!AM24-'FSLPL Daily '!AM23)</f>
        <v>0</v>
      </c>
      <c r="X22" s="19">
        <f>IF(('FSLPL Daily '!AO24-'FSLPL Daily '!AO23&lt;0), "0",'FSLPL Daily '!AO24-'FSLPL Daily '!AO23)</f>
        <v>0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0</v>
      </c>
      <c r="AB22" s="19">
        <f>IF(('FSLPL Daily '!AX24-'FSLPL Daily '!AX23&lt;0), "0",'FSLPL Daily '!AX24-'FSLPL Daily '!AX23)</f>
        <v>0</v>
      </c>
      <c r="AC22" s="19">
        <f>IF(('FSLPL Daily '!AZ24-'FSLPL Daily '!AZ23&lt;0), "0",'FSLPL Daily '!AZ24-'FSLPL Daily '!AZ23)</f>
        <v>0</v>
      </c>
      <c r="AD22" s="19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52</v>
      </c>
      <c r="B23" s="7">
        <f t="shared" si="0"/>
        <v>22</v>
      </c>
      <c r="C23" s="7">
        <v>3</v>
      </c>
      <c r="D23" s="7">
        <v>2020</v>
      </c>
      <c r="E23" s="19">
        <f>IF(('FSLPL Daily '!C25-'FSLPL Daily '!C24&lt;0), "0",'FSLPL Daily '!C25-'FSLPL Daily '!C24)</f>
        <v>0</v>
      </c>
      <c r="F23" s="19">
        <f>IF(('FSLPL Daily '!E25-'FSLPL Daily '!E24&lt;0), "0",'FSLPL Daily '!E25-'FSLPL Daily '!E24)</f>
        <v>0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0</v>
      </c>
      <c r="I23" s="19">
        <f>IF(('FSLPL Daily '!K25-'FSLPL Daily '!K24&lt;0), "0",'FSLPL Daily '!K25-'FSLPL Daily '!K24)</f>
        <v>0</v>
      </c>
      <c r="J23" s="19">
        <f>IF(('FSLPL Daily '!M25-'FSLPL Daily '!M24&lt;0), "0",'FSLPL Daily '!M25-'FSLPL Daily '!M24)</f>
        <v>0</v>
      </c>
      <c r="K23" s="19">
        <f>IF(('FSLPL Daily '!O25-'FSLPL Daily '!O24&lt;0), "0",'FSLPL Daily '!O25-'FSLPL Daily '!O24)</f>
        <v>0</v>
      </c>
      <c r="L23" s="19">
        <f>IF(('FSLPL Daily '!Q25-'FSLPL Daily '!Q24&lt;0), "0",'FSLPL Daily '!Q25-'FSLPL Daily '!Q24)</f>
        <v>0</v>
      </c>
      <c r="M23" s="19">
        <f>IF(('FSLPL Daily '!S25-'FSLPL Daily '!S24&lt;0), "0",'FSLPL Daily '!S25-'FSLPL Daily '!S24)</f>
        <v>0</v>
      </c>
      <c r="N23" s="19">
        <f>IF(('FSLPL Daily '!U25-'FSLPL Daily '!U24&lt;0), "0",'FSLPL Daily '!U25-'FSLPL Daily '!U24)</f>
        <v>0</v>
      </c>
      <c r="O23" s="19">
        <f>IF(('FSLPL Daily '!W25-'FSLPL Daily '!W24&lt;0), "0",'FSLPL Daily '!W25-'FSLPL Daily '!W24)</f>
        <v>0</v>
      </c>
      <c r="P23" s="19">
        <f>IF(('FSLPL Daily '!Y25-'FSLPL Daily '!Y24&lt;0), "0",'FSLPL Daily '!Y25-'FSLPL Daily '!Y24)</f>
        <v>0</v>
      </c>
      <c r="Q23" s="19">
        <f>IF(('FSLPL Daily '!AA25-'FSLPL Daily '!AA24&lt;0), "0",'FSLPL Daily '!AA25-'FSLPL Daily '!AA24)</f>
        <v>0</v>
      </c>
      <c r="R23" s="19">
        <f>IF(('FSLPL Daily '!AC25-'FSLPL Daily '!AC24&lt;0), "0",'FSLPL Daily '!AC25-'FSLPL Daily '!AC24)</f>
        <v>0</v>
      </c>
      <c r="S23" s="19">
        <f>IF(('FSLPL Daily '!AE25-'FSLPL Daily '!AE24&lt;0), "0",'FSLPL Daily '!AE25-'FSLPL Daily '!AE24)</f>
        <v>0</v>
      </c>
      <c r="T23" s="19">
        <f>IF(('FSLPL Daily '!AG25-'FSLPL Daily '!AG24&lt;0), "0",'FSLPL Daily '!AG25-'FSLPL Daily '!AG24)</f>
        <v>0</v>
      </c>
      <c r="U23" s="19">
        <f>IF(('FSLPL Daily '!AI25-'FSLPL Daily '!AI24&lt;0), "0",'FSLPL Daily '!AI25-'FSLPL Daily '!AI24)</f>
        <v>0</v>
      </c>
      <c r="V23" s="19">
        <f>IF(('FSLPL Daily '!AK25-'FSLPL Daily '!AK24&lt;0), "0",'FSLPL Daily '!AK25-'FSLPL Daily '!AK24)</f>
        <v>0</v>
      </c>
      <c r="W23" s="19">
        <f>IF(('FSLPL Daily '!AM25-'FSLPL Daily '!AM24&lt;0), "0",'FSLPL Daily '!AM25-'FSLPL Daily '!AM24)</f>
        <v>0</v>
      </c>
      <c r="X23" s="19">
        <f>IF(('FSLPL Daily '!AO25-'FSLPL Daily '!AO24&lt;0), "0",'FSLPL Daily '!AO25-'FSLPL Daily '!AO24)</f>
        <v>0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0</v>
      </c>
      <c r="AB23" s="19">
        <f>IF(('FSLPL Daily '!AX25-'FSLPL Daily '!AX24&lt;0), "0",'FSLPL Daily '!AX25-'FSLPL Daily '!AX24)</f>
        <v>0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52</v>
      </c>
      <c r="B24" s="7">
        <f t="shared" si="0"/>
        <v>23</v>
      </c>
      <c r="C24" s="7">
        <v>3</v>
      </c>
      <c r="D24" s="7">
        <v>2020</v>
      </c>
      <c r="E24" s="19">
        <f>IF(('FSLPL Daily '!C26-'FSLPL Daily '!C25&lt;0), "0",'FSLPL Daily '!C26-'FSLPL Daily '!C25)</f>
        <v>0</v>
      </c>
      <c r="F24" s="19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>
        <f>IF(('FSLPL Daily '!I26-'FSLPL Daily '!I25&lt;0), "0",'FSLPL Daily '!I26-'FSLPL Daily '!I25)</f>
        <v>0</v>
      </c>
      <c r="I24" s="19">
        <f>IF(('FSLPL Daily '!K26-'FSLPL Daily '!K25&lt;0), "0",'FSLPL Daily '!K26-'FSLPL Daily '!K25)</f>
        <v>0</v>
      </c>
      <c r="J24" s="19">
        <f>IF(('FSLPL Daily '!M26-'FSLPL Daily '!M25&lt;0), "0",'FSLPL Daily '!M26-'FSLPL Daily '!M25)</f>
        <v>0</v>
      </c>
      <c r="K24" s="19">
        <f>IF(('FSLPL Daily '!O26-'FSLPL Daily '!O25&lt;0), "0",'FSLPL Daily '!O26-'FSLPL Daily '!O25)</f>
        <v>0</v>
      </c>
      <c r="L24" s="19">
        <f>IF(('FSLPL Daily '!Q26-'FSLPL Daily '!Q25&lt;0), "0",'FSLPL Daily '!Q26-'FSLPL Daily '!Q25)</f>
        <v>0</v>
      </c>
      <c r="M24" s="19">
        <f>IF(('FSLPL Daily '!S26-'FSLPL Daily '!S25&lt;0), "0",'FSLPL Daily '!S26-'FSLPL Daily '!S25)</f>
        <v>0</v>
      </c>
      <c r="N24" s="19">
        <f>IF(('FSLPL Daily '!U26-'FSLPL Daily '!U25&lt;0), "0",'FSLPL Daily '!U26-'FSLPL Daily '!U25)</f>
        <v>0</v>
      </c>
      <c r="O24" s="19">
        <f>IF(('FSLPL Daily '!W26-'FSLPL Daily '!W25&lt;0), "0",'FSLPL Daily '!W26-'FSLPL Daily '!W25)</f>
        <v>0</v>
      </c>
      <c r="P24" s="19">
        <f>IF(('FSLPL Daily '!Y26-'FSLPL Daily '!Y25&lt;0), "0",'FSLPL Daily '!Y26-'FSLPL Daily '!Y25)</f>
        <v>0</v>
      </c>
      <c r="Q24" s="19">
        <f>IF(('FSLPL Daily '!AA26-'FSLPL Daily '!AA25&lt;0), "0",'FSLPL Daily '!AA26-'FSLPL Daily '!AA25)</f>
        <v>0</v>
      </c>
      <c r="R24" s="19">
        <f>IF(('FSLPL Daily '!AC26-'FSLPL Daily '!AC25&lt;0), "0",'FSLPL Daily '!AC26-'FSLPL Daily '!AC25)</f>
        <v>0</v>
      </c>
      <c r="S24" s="19">
        <f>IF(('FSLPL Daily '!AE26-'FSLPL Daily '!AE25&lt;0), "0",'FSLPL Daily '!AE26-'FSLPL Daily '!AE25)</f>
        <v>0</v>
      </c>
      <c r="T24" s="19">
        <f>IF(('FSLPL Daily '!AG26-'FSLPL Daily '!AG25&lt;0), "0",'FSLPL Daily '!AG26-'FSLPL Daily '!AG25)</f>
        <v>0</v>
      </c>
      <c r="U24" s="19">
        <f>IF(('FSLPL Daily '!AI26-'FSLPL Daily '!AI25&lt;0), "0",'FSLPL Daily '!AI26-'FSLPL Daily '!AI25)</f>
        <v>0</v>
      </c>
      <c r="V24" s="19">
        <f>IF(('FSLPL Daily '!AK26-'FSLPL Daily '!AK25&lt;0), "0",'FSLPL Daily '!AK26-'FSLPL Daily '!AK25)</f>
        <v>0</v>
      </c>
      <c r="W24" s="19">
        <f>IF(('FSLPL Daily '!AM26-'FSLPL Daily '!AM25&lt;0), "0",'FSLPL Daily '!AM26-'FSLPL Daily '!AM25)</f>
        <v>0</v>
      </c>
      <c r="X24" s="19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0</v>
      </c>
      <c r="AB24" s="19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52</v>
      </c>
      <c r="B25" s="7">
        <f t="shared" si="0"/>
        <v>24</v>
      </c>
      <c r="C25" s="7">
        <v>3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52</v>
      </c>
      <c r="B26" s="7">
        <f>B25+1</f>
        <v>25</v>
      </c>
      <c r="C26" s="7">
        <v>3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52</v>
      </c>
      <c r="B27" s="7">
        <f t="shared" si="0"/>
        <v>26</v>
      </c>
      <c r="C27" s="7">
        <v>3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3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3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3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B31" s="7">
        <f t="shared" si="0"/>
        <v>30</v>
      </c>
      <c r="C31" s="7">
        <v>3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B32" s="7">
        <f t="shared" si="0"/>
        <v>31</v>
      </c>
      <c r="C32" s="7">
        <v>3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E34"/>
  <sheetViews>
    <sheetView tabSelected="1" topLeftCell="AN1" zoomScale="86" zoomScaleNormal="86" workbookViewId="0">
      <pane ySplit="1" topLeftCell="A14" activePane="bottomLeft" state="frozen"/>
      <selection pane="bottomLeft" activeCell="AS17" sqref="AS17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1.285156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57" ht="35.25" customHeight="1" thickBot="1" x14ac:dyDescent="0.3">
      <c r="A1" s="18" t="s">
        <v>15</v>
      </c>
      <c r="B1" s="45"/>
      <c r="C1" s="36" t="s">
        <v>47</v>
      </c>
      <c r="D1" s="37"/>
      <c r="E1" s="39" t="s">
        <v>22</v>
      </c>
      <c r="F1" s="39"/>
      <c r="G1" s="39" t="s">
        <v>23</v>
      </c>
      <c r="H1" s="39"/>
      <c r="I1" s="39" t="s">
        <v>24</v>
      </c>
      <c r="J1" s="39"/>
      <c r="K1" s="39" t="s">
        <v>25</v>
      </c>
      <c r="L1" s="39"/>
      <c r="M1" s="39" t="s">
        <v>56</v>
      </c>
      <c r="N1" s="39"/>
      <c r="O1" s="39" t="s">
        <v>31</v>
      </c>
      <c r="P1" s="39"/>
      <c r="Q1" s="39" t="s">
        <v>27</v>
      </c>
      <c r="R1" s="39"/>
      <c r="S1" s="39" t="s">
        <v>28</v>
      </c>
      <c r="T1" s="39"/>
      <c r="U1" s="39" t="s">
        <v>57</v>
      </c>
      <c r="V1" s="39"/>
      <c r="W1" s="39" t="s">
        <v>30</v>
      </c>
      <c r="X1" s="39"/>
      <c r="Y1" s="39" t="s">
        <v>32</v>
      </c>
      <c r="Z1" s="39"/>
      <c r="AA1" s="39" t="s">
        <v>33</v>
      </c>
      <c r="AB1" s="39"/>
      <c r="AC1" s="39" t="s">
        <v>34</v>
      </c>
      <c r="AD1" s="39"/>
      <c r="AE1" s="39" t="s">
        <v>35</v>
      </c>
      <c r="AF1" s="39"/>
      <c r="AG1" s="39" t="s">
        <v>36</v>
      </c>
      <c r="AH1" s="39"/>
      <c r="AI1" s="39" t="s">
        <v>37</v>
      </c>
      <c r="AJ1" s="39"/>
      <c r="AK1" s="39" t="s">
        <v>38</v>
      </c>
      <c r="AL1" s="39"/>
      <c r="AM1" s="39" t="s">
        <v>39</v>
      </c>
      <c r="AN1" s="39"/>
      <c r="AO1" s="39" t="s">
        <v>40</v>
      </c>
      <c r="AP1" s="39"/>
      <c r="AQ1" s="47"/>
      <c r="AR1" s="43" t="s">
        <v>53</v>
      </c>
      <c r="AS1" s="44"/>
      <c r="AT1" s="42" t="s">
        <v>54</v>
      </c>
      <c r="AU1" s="42"/>
      <c r="AV1" s="42" t="s">
        <v>43</v>
      </c>
      <c r="AW1" s="42"/>
      <c r="AX1" s="42" t="s">
        <v>44</v>
      </c>
      <c r="AY1" s="42"/>
      <c r="AZ1" s="40" t="s">
        <v>45</v>
      </c>
      <c r="BA1" s="41"/>
      <c r="BB1" s="40" t="s">
        <v>46</v>
      </c>
      <c r="BC1" s="41"/>
      <c r="BD1" s="11"/>
      <c r="BE1" s="11"/>
    </row>
    <row r="2" spans="1:57" ht="44.25" customHeight="1" x14ac:dyDescent="0.25">
      <c r="A2" s="1" t="s">
        <v>0</v>
      </c>
      <c r="B2" s="45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7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57" ht="35.25" customHeight="1" x14ac:dyDescent="0.25">
      <c r="A3" s="8">
        <v>43890</v>
      </c>
      <c r="B3" s="45"/>
      <c r="C3" s="17">
        <v>25518682</v>
      </c>
      <c r="D3" s="38">
        <f>IF((C4-C3&lt;0), "0",C4-C3)</f>
        <v>6271</v>
      </c>
      <c r="E3" s="17">
        <v>26238936</v>
      </c>
      <c r="F3" s="38">
        <f>IF((E4-E3&lt;0), "",E4-E3)</f>
        <v>6373</v>
      </c>
      <c r="G3" s="17">
        <v>11148968</v>
      </c>
      <c r="H3" s="38">
        <f>IF((G4-G3&lt;0), "",G4-G3)</f>
        <v>3987</v>
      </c>
      <c r="I3" s="17">
        <v>1565376</v>
      </c>
      <c r="J3" s="38">
        <f>IF((I4-I3&lt;0), "",I4-I3)</f>
        <v>485</v>
      </c>
      <c r="K3" s="17">
        <v>3154732</v>
      </c>
      <c r="L3" s="38">
        <f>IF((K4-K3&lt;0), "",K4-K3)</f>
        <v>788</v>
      </c>
      <c r="M3" s="17">
        <v>4587286</v>
      </c>
      <c r="N3" s="38">
        <f>IF((M4-M3&lt;0), "",M4-M3)</f>
        <v>1182</v>
      </c>
      <c r="O3" s="17">
        <v>2197583</v>
      </c>
      <c r="P3" s="38">
        <f>IF((O4-O3&lt;0), "",O4-O3)</f>
        <v>559</v>
      </c>
      <c r="Q3" s="17">
        <v>1230989</v>
      </c>
      <c r="R3" s="38">
        <f>IF((Q4-Q3&lt;0), "",Q4-Q3)</f>
        <v>323</v>
      </c>
      <c r="S3" s="7">
        <v>395980</v>
      </c>
      <c r="T3" s="38">
        <f>IF((S4-S3&lt;0), "",S4-S3)</f>
        <v>74</v>
      </c>
      <c r="U3" s="7">
        <v>4127691</v>
      </c>
      <c r="V3" s="38">
        <f>IF((U4-U3&lt;0), "",U4-U3)</f>
        <v>869</v>
      </c>
      <c r="W3" s="7">
        <v>949000</v>
      </c>
      <c r="X3" s="38">
        <f>IF((W4-W3&lt;0), "",W4-W3)</f>
        <v>100</v>
      </c>
      <c r="Y3" s="7">
        <v>3774908</v>
      </c>
      <c r="Z3" s="38">
        <f>IF((Y4-Y3&lt;0), "",Y4-Y3)</f>
        <v>4</v>
      </c>
      <c r="AA3" s="7">
        <v>1969658</v>
      </c>
      <c r="AB3" s="38">
        <f>IF((AA4-AA3&lt;0), "",AA4-AA3)</f>
        <v>756</v>
      </c>
      <c r="AC3" s="7">
        <v>5082568</v>
      </c>
      <c r="AD3" s="38">
        <f>IF((AC4-AC3&lt;0), "",AC4-AC3)</f>
        <v>1378</v>
      </c>
      <c r="AE3" s="7">
        <v>7235312</v>
      </c>
      <c r="AF3" s="38">
        <f>IF((AE4-AE3&lt;0), "",AE4-AE3)</f>
        <v>1931</v>
      </c>
      <c r="AG3" s="7">
        <v>1275841</v>
      </c>
      <c r="AH3" s="38">
        <f>IF((AG4-AG3&lt;0), "",AG4-AG3)</f>
        <v>231</v>
      </c>
      <c r="AI3" s="17">
        <v>251800</v>
      </c>
      <c r="AJ3" s="38">
        <f>IF((AI4-AI3&lt;0), "",AI4-AI3)</f>
        <v>68</v>
      </c>
      <c r="AK3" s="17">
        <v>936083</v>
      </c>
      <c r="AL3" s="38">
        <f>IF((AK4-AK3&lt;0), "",AK4-AK3)</f>
        <v>332</v>
      </c>
      <c r="AM3" s="17">
        <v>1735512</v>
      </c>
      <c r="AN3" s="38">
        <f>IF((AM4-AM3&lt;0), "",AM4-AM3)</f>
        <v>585</v>
      </c>
      <c r="AO3" s="17">
        <v>1857936</v>
      </c>
      <c r="AP3" s="38">
        <f>IF((AO4-AO3&lt;0), "",AO4-AO3)</f>
        <v>662</v>
      </c>
      <c r="AQ3" s="47"/>
      <c r="AR3" s="17"/>
      <c r="AS3" s="28" t="s">
        <v>55</v>
      </c>
      <c r="AT3" s="17"/>
      <c r="AU3" s="28" t="s">
        <v>55</v>
      </c>
      <c r="AV3" s="17">
        <v>87113</v>
      </c>
      <c r="AW3" s="38">
        <f>IF((AV4-AV3&lt;0), "",AV4-AV3)</f>
        <v>20</v>
      </c>
      <c r="AX3" s="17">
        <v>40</v>
      </c>
      <c r="AY3" s="38">
        <f>IF((AX4-AX3&lt;0), "",AX4-AX3)</f>
        <v>3</v>
      </c>
      <c r="AZ3" s="17">
        <v>6819507</v>
      </c>
      <c r="BA3" s="38">
        <f>IF((AZ4-AZ3&lt;0), "",AZ4-AZ3)</f>
        <v>2437</v>
      </c>
      <c r="BB3" s="17">
        <v>1193121</v>
      </c>
      <c r="BC3" s="38">
        <f>IF((BB4-BB3&lt;0), "",BB4-BB3)</f>
        <v>1160</v>
      </c>
      <c r="BD3" s="22">
        <v>111</v>
      </c>
      <c r="BE3" s="22">
        <v>167</v>
      </c>
    </row>
    <row r="4" spans="1:57" ht="33" customHeight="1" x14ac:dyDescent="0.25">
      <c r="A4" s="8">
        <v>43891</v>
      </c>
      <c r="B4" s="45"/>
      <c r="C4" s="17">
        <v>25524953</v>
      </c>
      <c r="D4" s="38"/>
      <c r="E4" s="17">
        <v>26245309</v>
      </c>
      <c r="F4" s="38"/>
      <c r="G4" s="17">
        <v>11152955</v>
      </c>
      <c r="H4" s="38"/>
      <c r="I4" s="17">
        <v>1565861</v>
      </c>
      <c r="J4" s="38"/>
      <c r="K4" s="17">
        <v>3155520</v>
      </c>
      <c r="L4" s="38"/>
      <c r="M4" s="17">
        <v>4588468</v>
      </c>
      <c r="N4" s="38"/>
      <c r="O4" s="17">
        <v>2198142</v>
      </c>
      <c r="P4" s="38"/>
      <c r="Q4" s="17">
        <v>1231312</v>
      </c>
      <c r="R4" s="38"/>
      <c r="S4" s="17">
        <v>396054</v>
      </c>
      <c r="T4" s="38"/>
      <c r="U4" s="17">
        <v>4128560</v>
      </c>
      <c r="V4" s="38"/>
      <c r="W4" s="17">
        <v>949100</v>
      </c>
      <c r="X4" s="38"/>
      <c r="Y4" s="17">
        <v>3774912</v>
      </c>
      <c r="Z4" s="38"/>
      <c r="AA4" s="17">
        <v>1970414</v>
      </c>
      <c r="AB4" s="38"/>
      <c r="AC4" s="17">
        <v>5083946</v>
      </c>
      <c r="AD4" s="38"/>
      <c r="AE4" s="7">
        <v>7237243</v>
      </c>
      <c r="AF4" s="38"/>
      <c r="AG4" s="7">
        <v>1276072</v>
      </c>
      <c r="AH4" s="38"/>
      <c r="AI4" s="17">
        <v>251868</v>
      </c>
      <c r="AJ4" s="38"/>
      <c r="AK4" s="17">
        <v>936415</v>
      </c>
      <c r="AL4" s="38"/>
      <c r="AM4" s="17">
        <v>1736097</v>
      </c>
      <c r="AN4" s="38"/>
      <c r="AO4" s="17">
        <v>1858598</v>
      </c>
      <c r="AP4" s="38"/>
      <c r="AQ4" s="47"/>
      <c r="AR4" s="17">
        <v>0</v>
      </c>
      <c r="AS4" s="28">
        <v>359</v>
      </c>
      <c r="AT4" s="17"/>
      <c r="AU4" s="28">
        <v>905</v>
      </c>
      <c r="AV4" s="17">
        <v>87133</v>
      </c>
      <c r="AW4" s="38"/>
      <c r="AX4" s="17">
        <v>43</v>
      </c>
      <c r="AY4" s="38"/>
      <c r="AZ4" s="17">
        <v>6821944</v>
      </c>
      <c r="BA4" s="38"/>
      <c r="BB4" s="17">
        <v>1194281</v>
      </c>
      <c r="BC4" s="38"/>
      <c r="BD4" s="22">
        <v>113</v>
      </c>
      <c r="BE4" s="22">
        <v>149</v>
      </c>
    </row>
    <row r="5" spans="1:57" ht="45" customHeight="1" x14ac:dyDescent="0.3">
      <c r="A5" s="8">
        <v>43892</v>
      </c>
      <c r="B5" s="45"/>
      <c r="C5" s="17">
        <v>25531432</v>
      </c>
      <c r="D5" s="9">
        <f>IF((C5-C4&lt;0), "0",C5-C4)</f>
        <v>6479</v>
      </c>
      <c r="E5" s="17">
        <v>26251399</v>
      </c>
      <c r="F5" s="9">
        <f>IF((E5-E4&lt;0), "0",E5-E4)</f>
        <v>6090</v>
      </c>
      <c r="G5" s="17">
        <v>11156761</v>
      </c>
      <c r="H5" s="9">
        <f>IF((G5-G4&lt;0), "0",G5-G4)</f>
        <v>3806</v>
      </c>
      <c r="I5" s="17">
        <v>1566367</v>
      </c>
      <c r="J5" s="9">
        <f>IF((I5-I4&lt;0), "0",I5-I4)</f>
        <v>506</v>
      </c>
      <c r="K5" s="17">
        <v>3156303</v>
      </c>
      <c r="L5" s="9">
        <f>IF((K5-K4&lt;0), "0",K5-K4)</f>
        <v>783</v>
      </c>
      <c r="M5" s="17">
        <v>4589787</v>
      </c>
      <c r="N5" s="9">
        <f>IF((M5-M4&lt;0), "0",M5-M4)</f>
        <v>1319</v>
      </c>
      <c r="O5" s="17">
        <v>2198736</v>
      </c>
      <c r="P5" s="9">
        <f>IF((O5-O4&lt;0), "0",O5-O4)</f>
        <v>594</v>
      </c>
      <c r="Q5" s="17">
        <v>1231606</v>
      </c>
      <c r="R5" s="9">
        <f>IF((Q5-Q4&lt;0), "0",Q5-Q4)</f>
        <v>294</v>
      </c>
      <c r="S5" s="17">
        <v>396093</v>
      </c>
      <c r="T5" s="9">
        <f>IF((S5-S4&lt;0), "0",S5-S4)</f>
        <v>39</v>
      </c>
      <c r="U5" s="17">
        <v>4129439</v>
      </c>
      <c r="V5" s="9">
        <f t="shared" ref="V5:AP15" si="0">IF((U5-U4&lt;0), "",U5-U4)</f>
        <v>879</v>
      </c>
      <c r="W5" s="17">
        <v>949112</v>
      </c>
      <c r="X5" s="9">
        <f t="shared" si="0"/>
        <v>12</v>
      </c>
      <c r="Y5" s="17">
        <v>3775045</v>
      </c>
      <c r="Z5" s="9">
        <f t="shared" si="0"/>
        <v>133</v>
      </c>
      <c r="AA5" s="17">
        <v>1971508</v>
      </c>
      <c r="AB5" s="9">
        <f t="shared" si="0"/>
        <v>1094</v>
      </c>
      <c r="AC5" s="17">
        <v>5085323</v>
      </c>
      <c r="AD5" s="9">
        <f t="shared" si="0"/>
        <v>1377</v>
      </c>
      <c r="AE5" s="7">
        <v>7238675</v>
      </c>
      <c r="AF5" s="9">
        <f t="shared" si="0"/>
        <v>1432</v>
      </c>
      <c r="AG5" s="7">
        <v>1276295</v>
      </c>
      <c r="AH5" s="9">
        <f t="shared" si="0"/>
        <v>223</v>
      </c>
      <c r="AI5" s="17">
        <v>251887</v>
      </c>
      <c r="AJ5" s="9">
        <f t="shared" si="0"/>
        <v>19</v>
      </c>
      <c r="AK5" s="17">
        <v>936754</v>
      </c>
      <c r="AL5" s="9">
        <f t="shared" si="0"/>
        <v>339</v>
      </c>
      <c r="AM5" s="17">
        <v>1736682</v>
      </c>
      <c r="AN5" s="9">
        <f t="shared" si="0"/>
        <v>585</v>
      </c>
      <c r="AO5" s="17">
        <v>1859181</v>
      </c>
      <c r="AP5" s="9">
        <f t="shared" si="0"/>
        <v>583</v>
      </c>
      <c r="AQ5" s="48"/>
      <c r="AR5" s="17">
        <v>0</v>
      </c>
      <c r="AS5" s="9">
        <v>0</v>
      </c>
      <c r="AT5" s="17">
        <v>0</v>
      </c>
      <c r="AU5" s="9">
        <v>0</v>
      </c>
      <c r="AV5" s="17">
        <v>87150</v>
      </c>
      <c r="AW5" s="9">
        <f t="shared" ref="AW5:AW34" si="1">IF((AV5-AV4&lt;0), "",AV5-AV4)</f>
        <v>17</v>
      </c>
      <c r="AX5" s="17">
        <v>45</v>
      </c>
      <c r="AY5" s="9">
        <f t="shared" ref="AY5:AY34" si="2">IF((AX5-AX4&lt;0), "",AX5-AX4)</f>
        <v>2</v>
      </c>
      <c r="AZ5" s="17">
        <v>6824137</v>
      </c>
      <c r="BA5" s="9">
        <f t="shared" ref="BA5:BA34" si="3">IF((AZ5-AZ4&lt;0), "",AZ5-AZ4)</f>
        <v>2193</v>
      </c>
      <c r="BB5" s="17">
        <v>1195384</v>
      </c>
      <c r="BC5" s="9">
        <f t="shared" ref="BC5:BC34" si="4">IF((BB5-BB4&lt;0), "",BB5-BB4)</f>
        <v>1103</v>
      </c>
      <c r="BD5" s="20">
        <v>127</v>
      </c>
      <c r="BE5" s="20">
        <v>155</v>
      </c>
    </row>
    <row r="6" spans="1:57" ht="42.75" customHeight="1" x14ac:dyDescent="0.3">
      <c r="A6" s="8">
        <v>43893</v>
      </c>
      <c r="B6" s="45"/>
      <c r="C6" s="17">
        <v>25539569</v>
      </c>
      <c r="D6" s="9">
        <f t="shared" ref="D6:D34" si="5">IF((C6-C5&lt;0), "0",C6-C5)</f>
        <v>8137</v>
      </c>
      <c r="E6" s="17">
        <v>26256522</v>
      </c>
      <c r="F6" s="9">
        <f t="shared" ref="F6:F34" si="6">IF((E6-E5&lt;0), "0",E6-E5)</f>
        <v>5123</v>
      </c>
      <c r="G6" s="17">
        <v>11160739</v>
      </c>
      <c r="H6" s="9">
        <f t="shared" ref="H6:H34" si="7">IF((G6-G5&lt;0), "0",G6-G5)</f>
        <v>3978</v>
      </c>
      <c r="I6" s="17">
        <v>1566850</v>
      </c>
      <c r="J6" s="9">
        <f t="shared" ref="J6:L34" si="8">IF((I6-I5&lt;0), "0",I6-I5)</f>
        <v>483</v>
      </c>
      <c r="K6" s="17">
        <v>3157135</v>
      </c>
      <c r="L6" s="9">
        <f t="shared" si="8"/>
        <v>832</v>
      </c>
      <c r="M6" s="17">
        <v>4591214</v>
      </c>
      <c r="N6" s="9">
        <f t="shared" ref="N6" si="9">IF((M6-M5&lt;0), "0",M6-M5)</f>
        <v>1427</v>
      </c>
      <c r="O6" s="17">
        <v>2199349</v>
      </c>
      <c r="P6" s="9">
        <f t="shared" ref="P6" si="10">IF((O6-O5&lt;0), "0",O6-O5)</f>
        <v>613</v>
      </c>
      <c r="Q6" s="17">
        <v>1231920</v>
      </c>
      <c r="R6" s="9">
        <f t="shared" ref="R6" si="11">IF((Q6-Q5&lt;0), "0",Q6-Q5)</f>
        <v>314</v>
      </c>
      <c r="S6" s="17">
        <v>396152</v>
      </c>
      <c r="T6" s="9">
        <f t="shared" ref="T6" si="12">IF((S6-S5&lt;0), "0",S6-S5)</f>
        <v>59</v>
      </c>
      <c r="U6" s="17">
        <v>4130705</v>
      </c>
      <c r="V6" s="9">
        <f t="shared" si="0"/>
        <v>1266</v>
      </c>
      <c r="W6" s="17">
        <v>949407</v>
      </c>
      <c r="X6" s="9">
        <f t="shared" si="0"/>
        <v>295</v>
      </c>
      <c r="Y6" s="17">
        <v>3775890</v>
      </c>
      <c r="Z6" s="9">
        <f t="shared" si="0"/>
        <v>845</v>
      </c>
      <c r="AA6" s="17">
        <v>1971595</v>
      </c>
      <c r="AB6" s="9">
        <f t="shared" si="0"/>
        <v>87</v>
      </c>
      <c r="AC6" s="17">
        <v>5086743</v>
      </c>
      <c r="AD6" s="9">
        <f t="shared" si="0"/>
        <v>1420</v>
      </c>
      <c r="AE6" s="7">
        <v>7240435</v>
      </c>
      <c r="AF6" s="9">
        <f t="shared" si="0"/>
        <v>1760</v>
      </c>
      <c r="AG6" s="7">
        <v>1276523</v>
      </c>
      <c r="AH6" s="9">
        <f t="shared" si="0"/>
        <v>228</v>
      </c>
      <c r="AI6" s="17">
        <v>251907</v>
      </c>
      <c r="AJ6" s="9">
        <f t="shared" si="0"/>
        <v>20</v>
      </c>
      <c r="AK6" s="17">
        <v>937105</v>
      </c>
      <c r="AL6" s="9">
        <f t="shared" si="0"/>
        <v>351</v>
      </c>
      <c r="AM6" s="17">
        <v>1737260</v>
      </c>
      <c r="AN6" s="9">
        <f t="shared" si="0"/>
        <v>578</v>
      </c>
      <c r="AO6" s="17">
        <v>1859811</v>
      </c>
      <c r="AP6" s="9">
        <f t="shared" si="0"/>
        <v>630</v>
      </c>
      <c r="AQ6" s="47"/>
      <c r="AR6" s="17">
        <v>0</v>
      </c>
      <c r="AS6" s="9">
        <v>0</v>
      </c>
      <c r="AT6" s="17">
        <v>0</v>
      </c>
      <c r="AU6" s="9">
        <v>0</v>
      </c>
      <c r="AV6" s="17">
        <v>87172</v>
      </c>
      <c r="AW6" s="9">
        <f t="shared" si="1"/>
        <v>22</v>
      </c>
      <c r="AX6" s="17">
        <v>48</v>
      </c>
      <c r="AY6" s="9">
        <f t="shared" si="2"/>
        <v>3</v>
      </c>
      <c r="AZ6" s="17">
        <v>6826569</v>
      </c>
      <c r="BA6" s="9">
        <f t="shared" si="3"/>
        <v>2432</v>
      </c>
      <c r="BB6" s="17">
        <v>1196532</v>
      </c>
      <c r="BC6" s="9">
        <f t="shared" si="4"/>
        <v>1148</v>
      </c>
      <c r="BD6" s="20">
        <v>122</v>
      </c>
      <c r="BE6" s="20">
        <v>152</v>
      </c>
    </row>
    <row r="7" spans="1:57" ht="45" customHeight="1" x14ac:dyDescent="0.3">
      <c r="A7" s="8">
        <v>43894</v>
      </c>
      <c r="B7" s="45"/>
      <c r="C7" s="17">
        <v>25547792</v>
      </c>
      <c r="D7" s="9">
        <f t="shared" si="5"/>
        <v>8223</v>
      </c>
      <c r="E7" s="17">
        <v>26261841</v>
      </c>
      <c r="F7" s="9">
        <f t="shared" si="6"/>
        <v>5319</v>
      </c>
      <c r="G7" s="17">
        <v>11164688</v>
      </c>
      <c r="H7" s="9">
        <f t="shared" si="7"/>
        <v>3949</v>
      </c>
      <c r="I7" s="17">
        <v>1567350</v>
      </c>
      <c r="J7" s="9">
        <f t="shared" si="8"/>
        <v>500</v>
      </c>
      <c r="K7" s="17">
        <v>3157983</v>
      </c>
      <c r="L7" s="9">
        <f t="shared" si="8"/>
        <v>848</v>
      </c>
      <c r="M7" s="17">
        <v>4592613</v>
      </c>
      <c r="N7" s="9">
        <f t="shared" ref="N7" si="13">IF((M7-M6&lt;0), "0",M7-M6)</f>
        <v>1399</v>
      </c>
      <c r="O7" s="17">
        <v>2199969</v>
      </c>
      <c r="P7" s="9">
        <f t="shared" ref="P7" si="14">IF((O7-O6&lt;0), "0",O7-O6)</f>
        <v>620</v>
      </c>
      <c r="Q7" s="17">
        <v>1232275</v>
      </c>
      <c r="R7" s="9">
        <f t="shared" ref="R7" si="15">IF((Q7-Q6&lt;0), "0",Q7-Q6)</f>
        <v>355</v>
      </c>
      <c r="S7" s="17">
        <v>396237</v>
      </c>
      <c r="T7" s="9">
        <f t="shared" ref="T7" si="16">IF((S7-S6&lt;0), "0",S7-S6)</f>
        <v>85</v>
      </c>
      <c r="U7" s="17">
        <v>4131834</v>
      </c>
      <c r="V7" s="9">
        <f t="shared" si="0"/>
        <v>1129</v>
      </c>
      <c r="W7" s="17">
        <v>949663</v>
      </c>
      <c r="X7" s="9">
        <f t="shared" si="0"/>
        <v>256</v>
      </c>
      <c r="Y7" s="17">
        <v>3776929</v>
      </c>
      <c r="Z7" s="9">
        <f t="shared" si="0"/>
        <v>1039</v>
      </c>
      <c r="AA7" s="17">
        <v>1971597</v>
      </c>
      <c r="AB7" s="9">
        <f t="shared" si="0"/>
        <v>2</v>
      </c>
      <c r="AC7" s="17">
        <v>5088134</v>
      </c>
      <c r="AD7" s="9">
        <f t="shared" si="0"/>
        <v>1391</v>
      </c>
      <c r="AE7" s="7">
        <v>7242427</v>
      </c>
      <c r="AF7" s="9">
        <f t="shared" si="0"/>
        <v>1992</v>
      </c>
      <c r="AG7" s="7">
        <v>1276752</v>
      </c>
      <c r="AH7" s="9">
        <f t="shared" si="0"/>
        <v>229</v>
      </c>
      <c r="AI7" s="17">
        <v>251927</v>
      </c>
      <c r="AJ7" s="9">
        <f t="shared" si="0"/>
        <v>20</v>
      </c>
      <c r="AK7" s="17">
        <v>937466</v>
      </c>
      <c r="AL7" s="9">
        <f t="shared" si="0"/>
        <v>361</v>
      </c>
      <c r="AM7" s="17">
        <v>1737872</v>
      </c>
      <c r="AN7" s="9">
        <f t="shared" si="0"/>
        <v>612</v>
      </c>
      <c r="AO7" s="17">
        <v>1860455</v>
      </c>
      <c r="AP7" s="9">
        <f t="shared" si="0"/>
        <v>644</v>
      </c>
      <c r="AQ7" s="47"/>
      <c r="AR7" s="17">
        <v>0</v>
      </c>
      <c r="AS7" s="9">
        <v>0</v>
      </c>
      <c r="AT7" s="17">
        <v>0</v>
      </c>
      <c r="AU7" s="9">
        <v>0</v>
      </c>
      <c r="AV7" s="17">
        <v>87192</v>
      </c>
      <c r="AW7" s="9">
        <f t="shared" si="1"/>
        <v>20</v>
      </c>
      <c r="AX7" s="17">
        <v>50</v>
      </c>
      <c r="AY7" s="9">
        <f t="shared" si="2"/>
        <v>2</v>
      </c>
      <c r="AZ7" s="17">
        <v>6828983</v>
      </c>
      <c r="BA7" s="9">
        <f t="shared" si="3"/>
        <v>2414</v>
      </c>
      <c r="BB7" s="17">
        <v>1197662</v>
      </c>
      <c r="BC7" s="9">
        <f t="shared" si="4"/>
        <v>1130</v>
      </c>
      <c r="BD7" s="20">
        <v>90</v>
      </c>
      <c r="BE7" s="20">
        <v>121</v>
      </c>
    </row>
    <row r="8" spans="1:57" ht="45" customHeight="1" x14ac:dyDescent="0.3">
      <c r="A8" s="8">
        <v>43895</v>
      </c>
      <c r="B8" s="45"/>
      <c r="C8" s="17">
        <v>25555739</v>
      </c>
      <c r="D8" s="9">
        <f t="shared" si="5"/>
        <v>7947</v>
      </c>
      <c r="E8" s="17">
        <v>26267081</v>
      </c>
      <c r="F8" s="9">
        <f t="shared" si="6"/>
        <v>5240</v>
      </c>
      <c r="G8" s="17">
        <v>11168622</v>
      </c>
      <c r="H8" s="9">
        <f t="shared" si="7"/>
        <v>3934</v>
      </c>
      <c r="I8" s="17">
        <v>1567850</v>
      </c>
      <c r="J8" s="9">
        <f t="shared" si="8"/>
        <v>500</v>
      </c>
      <c r="K8" s="17">
        <v>3158802</v>
      </c>
      <c r="L8" s="9">
        <f t="shared" si="8"/>
        <v>819</v>
      </c>
      <c r="M8" s="17">
        <v>4593891</v>
      </c>
      <c r="N8" s="9">
        <f t="shared" ref="N8" si="17">IF((M8-M7&lt;0), "0",M8-M7)</f>
        <v>1278</v>
      </c>
      <c r="O8" s="17">
        <v>2200602</v>
      </c>
      <c r="P8" s="9">
        <f t="shared" ref="P8" si="18">IF((O8-O7&lt;0), "0",O8-O7)</f>
        <v>633</v>
      </c>
      <c r="Q8" s="17">
        <v>1232598</v>
      </c>
      <c r="R8" s="9">
        <f t="shared" ref="R8" si="19">IF((Q8-Q7&lt;0), "0",Q8-Q7)</f>
        <v>323</v>
      </c>
      <c r="S8" s="17">
        <v>396322</v>
      </c>
      <c r="T8" s="9">
        <f t="shared" ref="T8" si="20">IF((S8-S7&lt;0), "0",S8-S7)</f>
        <v>85</v>
      </c>
      <c r="U8" s="17">
        <v>4132913</v>
      </c>
      <c r="V8" s="9">
        <f t="shared" si="0"/>
        <v>1079</v>
      </c>
      <c r="W8" s="17">
        <v>949907</v>
      </c>
      <c r="X8" s="9">
        <f t="shared" si="0"/>
        <v>244</v>
      </c>
      <c r="Y8" s="17">
        <v>3777980</v>
      </c>
      <c r="Z8" s="9">
        <f t="shared" si="0"/>
        <v>1051</v>
      </c>
      <c r="AA8" s="17">
        <v>1971599</v>
      </c>
      <c r="AB8" s="9">
        <f t="shared" si="0"/>
        <v>2</v>
      </c>
      <c r="AC8" s="17">
        <v>5089529</v>
      </c>
      <c r="AD8" s="9">
        <f t="shared" si="0"/>
        <v>1395</v>
      </c>
      <c r="AE8" s="7">
        <v>7244410</v>
      </c>
      <c r="AF8" s="9">
        <f t="shared" si="0"/>
        <v>1983</v>
      </c>
      <c r="AG8" s="7">
        <v>1276978</v>
      </c>
      <c r="AH8" s="9">
        <f t="shared" si="0"/>
        <v>226</v>
      </c>
      <c r="AI8" s="17">
        <v>251947</v>
      </c>
      <c r="AJ8" s="9">
        <f t="shared" si="0"/>
        <v>20</v>
      </c>
      <c r="AK8" s="17">
        <v>937795</v>
      </c>
      <c r="AL8" s="9">
        <f t="shared" si="0"/>
        <v>329</v>
      </c>
      <c r="AM8" s="17">
        <v>1738479</v>
      </c>
      <c r="AN8" s="9">
        <f t="shared" si="0"/>
        <v>607</v>
      </c>
      <c r="AO8" s="17">
        <v>1861042</v>
      </c>
      <c r="AP8" s="9">
        <f t="shared" si="0"/>
        <v>587</v>
      </c>
      <c r="AQ8" s="47"/>
      <c r="AR8" s="17">
        <v>0</v>
      </c>
      <c r="AS8" s="9">
        <v>0</v>
      </c>
      <c r="AT8" s="17">
        <v>0</v>
      </c>
      <c r="AU8" s="9">
        <v>0</v>
      </c>
      <c r="AV8" s="17">
        <v>87210</v>
      </c>
      <c r="AW8" s="9">
        <f t="shared" si="1"/>
        <v>18</v>
      </c>
      <c r="AX8" s="17">
        <v>53</v>
      </c>
      <c r="AY8" s="9">
        <f t="shared" si="2"/>
        <v>3</v>
      </c>
      <c r="AZ8" s="17">
        <v>6831366</v>
      </c>
      <c r="BA8" s="9">
        <f t="shared" si="3"/>
        <v>2383</v>
      </c>
      <c r="BB8" s="17">
        <v>1198786</v>
      </c>
      <c r="BC8" s="9">
        <f t="shared" si="4"/>
        <v>1124</v>
      </c>
      <c r="BD8" s="20">
        <v>70</v>
      </c>
      <c r="BE8" s="20">
        <v>97</v>
      </c>
    </row>
    <row r="9" spans="1:57" ht="45" customHeight="1" x14ac:dyDescent="0.3">
      <c r="A9" s="8">
        <v>43896</v>
      </c>
      <c r="B9" s="45"/>
      <c r="C9" s="17">
        <v>25563167</v>
      </c>
      <c r="D9" s="9">
        <f t="shared" si="5"/>
        <v>7428</v>
      </c>
      <c r="E9" s="17">
        <v>26272299</v>
      </c>
      <c r="F9" s="9">
        <f t="shared" si="6"/>
        <v>5218</v>
      </c>
      <c r="G9" s="17">
        <v>11172602</v>
      </c>
      <c r="H9" s="9">
        <f t="shared" si="7"/>
        <v>3980</v>
      </c>
      <c r="I9" s="17">
        <v>1568344</v>
      </c>
      <c r="J9" s="9">
        <f t="shared" si="8"/>
        <v>494</v>
      </c>
      <c r="K9" s="17">
        <v>3159613</v>
      </c>
      <c r="L9" s="9">
        <f t="shared" si="8"/>
        <v>811</v>
      </c>
      <c r="M9" s="17">
        <v>4595130</v>
      </c>
      <c r="N9" s="9">
        <f t="shared" ref="N9" si="21">IF((M9-M8&lt;0), "0",M9-M8)</f>
        <v>1239</v>
      </c>
      <c r="O9" s="17">
        <v>2201140</v>
      </c>
      <c r="P9" s="9">
        <f t="shared" ref="P9" si="22">IF((O9-O8&lt;0), "0",O9-O8)</f>
        <v>538</v>
      </c>
      <c r="Q9" s="17">
        <v>1232916</v>
      </c>
      <c r="R9" s="9">
        <f t="shared" ref="R9:R19" si="23">IF((Q9-Q8&lt;0), "0",Q9-Q8)</f>
        <v>318</v>
      </c>
      <c r="S9" s="17">
        <v>396407</v>
      </c>
      <c r="T9" s="9">
        <f t="shared" ref="T9" si="24">IF((S9-S8&lt;0), "0",S9-S8)</f>
        <v>85</v>
      </c>
      <c r="U9" s="17">
        <v>4133892</v>
      </c>
      <c r="V9" s="9">
        <f t="shared" si="0"/>
        <v>979</v>
      </c>
      <c r="W9" s="17">
        <v>950030</v>
      </c>
      <c r="X9" s="9">
        <f t="shared" si="0"/>
        <v>123</v>
      </c>
      <c r="Y9" s="17">
        <v>3778953</v>
      </c>
      <c r="Z9" s="9">
        <f t="shared" si="0"/>
        <v>973</v>
      </c>
      <c r="AA9" s="17">
        <v>1971602</v>
      </c>
      <c r="AB9" s="9">
        <f t="shared" si="0"/>
        <v>3</v>
      </c>
      <c r="AC9" s="17">
        <v>5090949</v>
      </c>
      <c r="AD9" s="9">
        <f t="shared" si="0"/>
        <v>1420</v>
      </c>
      <c r="AE9" s="7">
        <v>7246393</v>
      </c>
      <c r="AF9" s="9">
        <f t="shared" si="0"/>
        <v>1983</v>
      </c>
      <c r="AG9" s="7">
        <v>1277202</v>
      </c>
      <c r="AH9" s="9">
        <f t="shared" si="0"/>
        <v>224</v>
      </c>
      <c r="AI9" s="17">
        <v>251967</v>
      </c>
      <c r="AJ9" s="9">
        <f t="shared" si="0"/>
        <v>20</v>
      </c>
      <c r="AK9" s="17">
        <v>938111</v>
      </c>
      <c r="AL9" s="9">
        <f t="shared" si="0"/>
        <v>316</v>
      </c>
      <c r="AM9" s="17">
        <v>1739087</v>
      </c>
      <c r="AN9" s="9">
        <f t="shared" si="0"/>
        <v>608</v>
      </c>
      <c r="AO9" s="17">
        <v>1861660</v>
      </c>
      <c r="AP9" s="9">
        <f t="shared" si="0"/>
        <v>618</v>
      </c>
      <c r="AQ9" s="47"/>
      <c r="AR9" s="17">
        <v>0</v>
      </c>
      <c r="AS9" s="9">
        <v>0</v>
      </c>
      <c r="AT9" s="17">
        <v>0</v>
      </c>
      <c r="AU9" s="9">
        <v>0</v>
      </c>
      <c r="AV9" s="17">
        <v>87227</v>
      </c>
      <c r="AW9" s="9">
        <f t="shared" si="1"/>
        <v>17</v>
      </c>
      <c r="AX9" s="17">
        <v>55</v>
      </c>
      <c r="AY9" s="9">
        <f t="shared" si="2"/>
        <v>2</v>
      </c>
      <c r="AZ9" s="17">
        <v>6833870</v>
      </c>
      <c r="BA9" s="9">
        <f t="shared" si="3"/>
        <v>2504</v>
      </c>
      <c r="BB9" s="17">
        <v>1199929</v>
      </c>
      <c r="BC9" s="9">
        <f t="shared" si="4"/>
        <v>1143</v>
      </c>
      <c r="BD9" s="20">
        <v>71</v>
      </c>
      <c r="BE9" s="20">
        <v>104</v>
      </c>
    </row>
    <row r="10" spans="1:57" ht="45" customHeight="1" x14ac:dyDescent="0.3">
      <c r="A10" s="8">
        <v>43897</v>
      </c>
      <c r="B10" s="45"/>
      <c r="C10" s="17">
        <v>25570698</v>
      </c>
      <c r="D10" s="9">
        <f t="shared" si="5"/>
        <v>7531</v>
      </c>
      <c r="E10" s="17">
        <v>26277453</v>
      </c>
      <c r="F10" s="9">
        <f t="shared" si="6"/>
        <v>5154</v>
      </c>
      <c r="G10" s="17">
        <v>11176552</v>
      </c>
      <c r="H10" s="9">
        <f t="shared" si="7"/>
        <v>3950</v>
      </c>
      <c r="I10" s="17">
        <v>1568843</v>
      </c>
      <c r="J10" s="9">
        <f t="shared" si="8"/>
        <v>499</v>
      </c>
      <c r="K10" s="17">
        <v>3160435</v>
      </c>
      <c r="L10" s="9">
        <f t="shared" si="8"/>
        <v>822</v>
      </c>
      <c r="M10" s="17">
        <v>4596283</v>
      </c>
      <c r="N10" s="9">
        <f t="shared" ref="N10" si="25">IF((M10-M9&lt;0), "0",M10-M9)</f>
        <v>1153</v>
      </c>
      <c r="O10" s="17">
        <v>2201699</v>
      </c>
      <c r="P10" s="9">
        <f t="shared" ref="P10" si="26">IF((O10-O9&lt;0), "0",O10-O9)</f>
        <v>559</v>
      </c>
      <c r="Q10" s="17">
        <v>1233244</v>
      </c>
      <c r="R10" s="9">
        <f t="shared" si="23"/>
        <v>328</v>
      </c>
      <c r="S10" s="17">
        <v>396493</v>
      </c>
      <c r="T10" s="9">
        <f t="shared" ref="T10" si="27">IF((S10-S9&lt;0), "0",S10-S9)</f>
        <v>86</v>
      </c>
      <c r="U10" s="17">
        <v>4134907</v>
      </c>
      <c r="V10" s="9">
        <f t="shared" si="0"/>
        <v>1015</v>
      </c>
      <c r="W10" s="17">
        <v>950162</v>
      </c>
      <c r="X10" s="9">
        <f t="shared" si="0"/>
        <v>132</v>
      </c>
      <c r="Y10" s="17">
        <v>3780064</v>
      </c>
      <c r="Z10" s="9">
        <f t="shared" si="0"/>
        <v>1111</v>
      </c>
      <c r="AA10" s="17">
        <v>1971604</v>
      </c>
      <c r="AB10" s="9">
        <f t="shared" si="0"/>
        <v>2</v>
      </c>
      <c r="AC10" s="17">
        <v>5092401</v>
      </c>
      <c r="AD10" s="9">
        <f t="shared" si="0"/>
        <v>1452</v>
      </c>
      <c r="AE10" s="7">
        <v>7248448</v>
      </c>
      <c r="AF10" s="9">
        <f t="shared" si="0"/>
        <v>2055</v>
      </c>
      <c r="AG10" s="7">
        <v>1277436</v>
      </c>
      <c r="AH10" s="9">
        <f t="shared" si="0"/>
        <v>234</v>
      </c>
      <c r="AI10" s="17">
        <v>251988</v>
      </c>
      <c r="AJ10" s="9">
        <f t="shared" si="0"/>
        <v>21</v>
      </c>
      <c r="AK10" s="17">
        <v>938438</v>
      </c>
      <c r="AL10" s="9">
        <f t="shared" si="0"/>
        <v>327</v>
      </c>
      <c r="AM10" s="17">
        <v>1739700</v>
      </c>
      <c r="AN10" s="9">
        <f t="shared" si="0"/>
        <v>613</v>
      </c>
      <c r="AO10" s="17">
        <v>1862249</v>
      </c>
      <c r="AP10" s="9">
        <f t="shared" si="0"/>
        <v>589</v>
      </c>
      <c r="AQ10" s="47"/>
      <c r="AR10" s="17">
        <v>0</v>
      </c>
      <c r="AS10" s="9">
        <v>0</v>
      </c>
      <c r="AT10" s="17">
        <v>0</v>
      </c>
      <c r="AU10" s="9">
        <v>0</v>
      </c>
      <c r="AV10" s="17">
        <v>87247</v>
      </c>
      <c r="AW10" s="9">
        <f t="shared" si="1"/>
        <v>20</v>
      </c>
      <c r="AX10" s="17">
        <v>57</v>
      </c>
      <c r="AY10" s="9">
        <f t="shared" si="2"/>
        <v>2</v>
      </c>
      <c r="AZ10" s="17">
        <v>6836370</v>
      </c>
      <c r="BA10" s="9">
        <f t="shared" si="3"/>
        <v>2500</v>
      </c>
      <c r="BB10" s="17">
        <v>1201039</v>
      </c>
      <c r="BC10" s="9">
        <f t="shared" si="4"/>
        <v>1110</v>
      </c>
      <c r="BD10" s="20">
        <v>79</v>
      </c>
      <c r="BE10" s="20">
        <v>120</v>
      </c>
    </row>
    <row r="11" spans="1:57" ht="45" customHeight="1" x14ac:dyDescent="0.3">
      <c r="A11" s="8">
        <v>43898</v>
      </c>
      <c r="B11" s="45"/>
      <c r="C11" s="17">
        <v>25578104</v>
      </c>
      <c r="D11" s="9">
        <f t="shared" si="5"/>
        <v>7406</v>
      </c>
      <c r="E11" s="17">
        <v>26282305</v>
      </c>
      <c r="F11" s="9">
        <f t="shared" si="6"/>
        <v>4852</v>
      </c>
      <c r="G11" s="17">
        <v>11180533</v>
      </c>
      <c r="H11" s="9">
        <f t="shared" si="7"/>
        <v>3981</v>
      </c>
      <c r="I11" s="17">
        <v>1569345</v>
      </c>
      <c r="J11" s="9">
        <f t="shared" si="8"/>
        <v>502</v>
      </c>
      <c r="K11" s="17">
        <v>3161209</v>
      </c>
      <c r="L11" s="9">
        <f t="shared" si="8"/>
        <v>774</v>
      </c>
      <c r="M11" s="17">
        <v>4597958</v>
      </c>
      <c r="N11" s="9">
        <f t="shared" ref="N11" si="28">IF((M11-M10&lt;0), "0",M11-M10)</f>
        <v>1675</v>
      </c>
      <c r="O11" s="17">
        <v>2202218</v>
      </c>
      <c r="P11" s="9">
        <f t="shared" ref="P11" si="29">IF((O11-O10&lt;0), "0",O11-O10)</f>
        <v>519</v>
      </c>
      <c r="Q11" s="17">
        <v>1233546</v>
      </c>
      <c r="R11" s="9">
        <f t="shared" si="23"/>
        <v>302</v>
      </c>
      <c r="S11" s="17">
        <v>396577</v>
      </c>
      <c r="T11" s="9">
        <f t="shared" ref="T11" si="30">IF((S11-S10&lt;0), "0",S11-S10)</f>
        <v>84</v>
      </c>
      <c r="U11" s="17">
        <v>4135875</v>
      </c>
      <c r="V11" s="9">
        <f t="shared" si="0"/>
        <v>968</v>
      </c>
      <c r="W11" s="17">
        <v>950387</v>
      </c>
      <c r="X11" s="9">
        <f t="shared" si="0"/>
        <v>225</v>
      </c>
      <c r="Y11" s="17">
        <v>3781198</v>
      </c>
      <c r="Z11" s="9">
        <f t="shared" si="0"/>
        <v>1134</v>
      </c>
      <c r="AA11" s="17">
        <v>1971606</v>
      </c>
      <c r="AB11" s="9">
        <f t="shared" si="0"/>
        <v>2</v>
      </c>
      <c r="AC11" s="17">
        <v>5093789</v>
      </c>
      <c r="AD11" s="9">
        <f t="shared" si="0"/>
        <v>1388</v>
      </c>
      <c r="AE11" s="7">
        <v>7250407</v>
      </c>
      <c r="AF11" s="9">
        <f t="shared" si="0"/>
        <v>1959</v>
      </c>
      <c r="AG11" s="7">
        <v>1277656</v>
      </c>
      <c r="AH11" s="9">
        <f t="shared" si="0"/>
        <v>220</v>
      </c>
      <c r="AI11" s="17">
        <v>252008</v>
      </c>
      <c r="AJ11" s="9">
        <f t="shared" si="0"/>
        <v>20</v>
      </c>
      <c r="AK11" s="17">
        <v>938745</v>
      </c>
      <c r="AL11" s="9">
        <f t="shared" si="0"/>
        <v>307</v>
      </c>
      <c r="AM11" s="17">
        <v>1740280</v>
      </c>
      <c r="AN11" s="9">
        <f t="shared" si="0"/>
        <v>580</v>
      </c>
      <c r="AO11" s="17">
        <v>1862807</v>
      </c>
      <c r="AP11" s="9">
        <f t="shared" si="0"/>
        <v>558</v>
      </c>
      <c r="AQ11" s="47"/>
      <c r="AR11" s="17">
        <v>0</v>
      </c>
      <c r="AS11" s="9">
        <v>0</v>
      </c>
      <c r="AT11" s="17">
        <v>0</v>
      </c>
      <c r="AU11" s="9">
        <v>0</v>
      </c>
      <c r="AV11" s="17">
        <v>87258</v>
      </c>
      <c r="AW11" s="9">
        <f t="shared" si="1"/>
        <v>11</v>
      </c>
      <c r="AX11" s="17">
        <v>60</v>
      </c>
      <c r="AY11" s="9">
        <f t="shared" si="2"/>
        <v>3</v>
      </c>
      <c r="AZ11" s="17">
        <v>6838716</v>
      </c>
      <c r="BA11" s="9">
        <f t="shared" si="3"/>
        <v>2346</v>
      </c>
      <c r="BB11" s="17">
        <v>1202039</v>
      </c>
      <c r="BC11" s="9">
        <f t="shared" si="4"/>
        <v>1000</v>
      </c>
      <c r="BD11" s="20">
        <v>56</v>
      </c>
      <c r="BE11" s="20">
        <v>87</v>
      </c>
    </row>
    <row r="12" spans="1:57" ht="45" customHeight="1" x14ac:dyDescent="0.3">
      <c r="A12" s="8">
        <v>43899</v>
      </c>
      <c r="B12" s="45"/>
      <c r="C12" s="17">
        <v>25585905</v>
      </c>
      <c r="D12" s="9">
        <f t="shared" si="5"/>
        <v>7801</v>
      </c>
      <c r="E12" s="17">
        <v>26287041</v>
      </c>
      <c r="F12" s="9">
        <f t="shared" si="6"/>
        <v>4736</v>
      </c>
      <c r="G12" s="17">
        <v>11184397</v>
      </c>
      <c r="H12" s="9">
        <f t="shared" si="7"/>
        <v>3864</v>
      </c>
      <c r="I12" s="17">
        <v>1569853</v>
      </c>
      <c r="J12" s="9">
        <f t="shared" si="8"/>
        <v>508</v>
      </c>
      <c r="K12" s="17">
        <v>3162009</v>
      </c>
      <c r="L12" s="9">
        <f t="shared" si="8"/>
        <v>800</v>
      </c>
      <c r="M12" s="17">
        <v>4598652</v>
      </c>
      <c r="N12" s="9">
        <f t="shared" ref="N12" si="31">IF((M12-M11&lt;0), "0",M12-M11)</f>
        <v>694</v>
      </c>
      <c r="O12" s="17">
        <v>2202778</v>
      </c>
      <c r="P12" s="9">
        <f t="shared" ref="P12" si="32">IF((O12-O11&lt;0), "0",O12-O11)</f>
        <v>560</v>
      </c>
      <c r="Q12" s="17">
        <v>1233854</v>
      </c>
      <c r="R12" s="9">
        <f t="shared" si="23"/>
        <v>308</v>
      </c>
      <c r="S12" s="17">
        <v>396661</v>
      </c>
      <c r="T12" s="9">
        <f t="shared" ref="T12" si="33">IF((S12-S11&lt;0), "0",S12-S11)</f>
        <v>84</v>
      </c>
      <c r="U12" s="17">
        <v>4136876</v>
      </c>
      <c r="V12" s="9">
        <f t="shared" si="0"/>
        <v>1001</v>
      </c>
      <c r="W12" s="17">
        <v>950650</v>
      </c>
      <c r="X12" s="9">
        <f t="shared" si="0"/>
        <v>263</v>
      </c>
      <c r="Y12" s="17">
        <v>3782390</v>
      </c>
      <c r="Z12" s="9">
        <f t="shared" si="0"/>
        <v>1192</v>
      </c>
      <c r="AA12" s="17">
        <v>1971608</v>
      </c>
      <c r="AB12" s="9">
        <f t="shared" si="0"/>
        <v>2</v>
      </c>
      <c r="AC12" s="17">
        <v>5095192</v>
      </c>
      <c r="AD12" s="9">
        <f t="shared" si="0"/>
        <v>1403</v>
      </c>
      <c r="AE12" s="7">
        <v>7252380</v>
      </c>
      <c r="AF12" s="9">
        <f t="shared" si="0"/>
        <v>1973</v>
      </c>
      <c r="AG12" s="7">
        <v>1277877</v>
      </c>
      <c r="AH12" s="9">
        <f t="shared" si="0"/>
        <v>221</v>
      </c>
      <c r="AI12" s="17">
        <v>252028</v>
      </c>
      <c r="AJ12" s="9">
        <f t="shared" si="0"/>
        <v>20</v>
      </c>
      <c r="AK12" s="17">
        <v>939064</v>
      </c>
      <c r="AL12" s="9">
        <f t="shared" si="0"/>
        <v>319</v>
      </c>
      <c r="AM12" s="17">
        <v>1740866</v>
      </c>
      <c r="AN12" s="9">
        <f t="shared" si="0"/>
        <v>586</v>
      </c>
      <c r="AO12" s="17">
        <v>1863387</v>
      </c>
      <c r="AP12" s="9">
        <f t="shared" si="0"/>
        <v>580</v>
      </c>
      <c r="AQ12" s="47"/>
      <c r="AR12" s="17">
        <v>0</v>
      </c>
      <c r="AS12" s="9"/>
      <c r="AT12" s="17"/>
      <c r="AU12" s="9"/>
      <c r="AV12" s="17">
        <v>87272</v>
      </c>
      <c r="AW12" s="9">
        <f t="shared" si="1"/>
        <v>14</v>
      </c>
      <c r="AX12" s="17">
        <v>61</v>
      </c>
      <c r="AY12" s="9">
        <f t="shared" si="2"/>
        <v>1</v>
      </c>
      <c r="AZ12" s="17">
        <v>6840577</v>
      </c>
      <c r="BA12" s="9">
        <f t="shared" si="3"/>
        <v>1861</v>
      </c>
      <c r="BB12" s="17">
        <v>1203281</v>
      </c>
      <c r="BC12" s="9">
        <f t="shared" si="4"/>
        <v>1242</v>
      </c>
      <c r="BD12" s="20">
        <v>69</v>
      </c>
      <c r="BE12" s="20">
        <v>105</v>
      </c>
    </row>
    <row r="13" spans="1:57" ht="45" customHeight="1" x14ac:dyDescent="0.3">
      <c r="A13" s="8">
        <v>43900</v>
      </c>
      <c r="B13" s="45"/>
      <c r="C13" s="17">
        <v>25593885</v>
      </c>
      <c r="D13" s="9">
        <f t="shared" si="5"/>
        <v>7980</v>
      </c>
      <c r="E13" s="17">
        <v>26292090</v>
      </c>
      <c r="F13" s="9">
        <f t="shared" si="6"/>
        <v>5049</v>
      </c>
      <c r="G13" s="17">
        <v>11188360</v>
      </c>
      <c r="H13" s="9">
        <f t="shared" si="7"/>
        <v>3963</v>
      </c>
      <c r="I13" s="17">
        <v>1570343</v>
      </c>
      <c r="J13" s="9">
        <f t="shared" si="8"/>
        <v>490</v>
      </c>
      <c r="K13" s="17">
        <v>3162839</v>
      </c>
      <c r="L13" s="9">
        <f t="shared" si="8"/>
        <v>830</v>
      </c>
      <c r="M13" s="17">
        <v>4599791</v>
      </c>
      <c r="N13" s="9">
        <f t="shared" ref="N13" si="34">IF((M13-M12&lt;0), "0",M13-M12)</f>
        <v>1139</v>
      </c>
      <c r="O13" s="17">
        <v>2203310</v>
      </c>
      <c r="P13" s="9">
        <f t="shared" ref="P13" si="35">IF((O13-O12&lt;0), "0",O13-O12)</f>
        <v>532</v>
      </c>
      <c r="Q13" s="17">
        <v>1234170</v>
      </c>
      <c r="R13" s="9">
        <f t="shared" si="23"/>
        <v>316</v>
      </c>
      <c r="S13" s="17">
        <v>396748</v>
      </c>
      <c r="T13" s="9">
        <f t="shared" ref="T13" si="36">IF((S13-S12&lt;0), "0",S13-S12)</f>
        <v>87</v>
      </c>
      <c r="U13" s="17">
        <v>4138192</v>
      </c>
      <c r="V13" s="9">
        <f t="shared" si="0"/>
        <v>1316</v>
      </c>
      <c r="W13" s="17">
        <v>950950</v>
      </c>
      <c r="X13" s="9">
        <f t="shared" si="0"/>
        <v>300</v>
      </c>
      <c r="Y13" s="17">
        <v>3783583</v>
      </c>
      <c r="Z13" s="9">
        <f t="shared" si="0"/>
        <v>1193</v>
      </c>
      <c r="AA13" s="17">
        <v>1971611</v>
      </c>
      <c r="AB13" s="9">
        <f t="shared" si="0"/>
        <v>3</v>
      </c>
      <c r="AC13" s="17">
        <v>5096609</v>
      </c>
      <c r="AD13" s="9">
        <f t="shared" si="0"/>
        <v>1417</v>
      </c>
      <c r="AE13" s="7">
        <v>7254369</v>
      </c>
      <c r="AF13" s="9">
        <f t="shared" si="0"/>
        <v>1989</v>
      </c>
      <c r="AG13" s="7">
        <v>1278140</v>
      </c>
      <c r="AH13" s="9">
        <f t="shared" si="0"/>
        <v>263</v>
      </c>
      <c r="AI13" s="17">
        <v>252049</v>
      </c>
      <c r="AJ13" s="9">
        <f t="shared" si="0"/>
        <v>21</v>
      </c>
      <c r="AK13" s="17">
        <v>939382</v>
      </c>
      <c r="AL13" s="9">
        <f t="shared" si="0"/>
        <v>318</v>
      </c>
      <c r="AM13" s="17">
        <v>1741461</v>
      </c>
      <c r="AN13" s="9">
        <f t="shared" si="0"/>
        <v>595</v>
      </c>
      <c r="AO13" s="17">
        <v>1863953</v>
      </c>
      <c r="AP13" s="9">
        <f t="shared" si="0"/>
        <v>566</v>
      </c>
      <c r="AQ13" s="47"/>
      <c r="AR13" s="17">
        <v>0</v>
      </c>
      <c r="AS13" s="9"/>
      <c r="AT13" s="17">
        <v>0</v>
      </c>
      <c r="AU13" s="9"/>
      <c r="AV13" s="17">
        <v>87291</v>
      </c>
      <c r="AW13" s="9">
        <f t="shared" si="1"/>
        <v>19</v>
      </c>
      <c r="AX13" s="17">
        <v>63</v>
      </c>
      <c r="AY13" s="9">
        <f t="shared" si="2"/>
        <v>2</v>
      </c>
      <c r="AZ13" s="17">
        <v>6842770</v>
      </c>
      <c r="BA13" s="9">
        <f t="shared" si="3"/>
        <v>2193</v>
      </c>
      <c r="BB13" s="17">
        <v>1204410</v>
      </c>
      <c r="BC13" s="9">
        <f t="shared" si="4"/>
        <v>1129</v>
      </c>
      <c r="BD13" s="20">
        <v>59</v>
      </c>
      <c r="BE13" s="20">
        <v>91</v>
      </c>
    </row>
    <row r="14" spans="1:57" ht="45" customHeight="1" x14ac:dyDescent="0.3">
      <c r="A14" s="8">
        <v>43901</v>
      </c>
      <c r="B14" s="45"/>
      <c r="C14" s="17">
        <v>25602165</v>
      </c>
      <c r="D14" s="9">
        <f t="shared" si="5"/>
        <v>8280</v>
      </c>
      <c r="E14" s="17">
        <v>26297165</v>
      </c>
      <c r="F14" s="9">
        <f t="shared" si="6"/>
        <v>5075</v>
      </c>
      <c r="G14" s="17">
        <v>11192259</v>
      </c>
      <c r="H14" s="9">
        <f t="shared" si="7"/>
        <v>3899</v>
      </c>
      <c r="I14" s="17">
        <v>1570802</v>
      </c>
      <c r="J14" s="9">
        <f t="shared" si="8"/>
        <v>459</v>
      </c>
      <c r="K14" s="17">
        <v>3163640</v>
      </c>
      <c r="L14" s="9">
        <f t="shared" si="8"/>
        <v>801</v>
      </c>
      <c r="M14" s="17">
        <v>4601105</v>
      </c>
      <c r="N14" s="9">
        <f t="shared" ref="N14" si="37">IF((M14-M13&lt;0), "0",M14-M13)</f>
        <v>1314</v>
      </c>
      <c r="O14" s="17">
        <v>2203919</v>
      </c>
      <c r="P14" s="9">
        <f t="shared" ref="P14" si="38">IF((O14-O13&lt;0), "0",O14-O13)</f>
        <v>609</v>
      </c>
      <c r="Q14" s="17">
        <v>1234509</v>
      </c>
      <c r="R14" s="9">
        <f t="shared" si="23"/>
        <v>339</v>
      </c>
      <c r="S14" s="17">
        <v>396830</v>
      </c>
      <c r="T14" s="9">
        <f t="shared" ref="T14" si="39">IF((S14-S13&lt;0), "0",S14-S13)</f>
        <v>82</v>
      </c>
      <c r="U14" s="17">
        <v>4139334</v>
      </c>
      <c r="V14" s="9">
        <f t="shared" si="0"/>
        <v>1142</v>
      </c>
      <c r="W14" s="17">
        <v>951284</v>
      </c>
      <c r="X14" s="9">
        <f t="shared" si="0"/>
        <v>334</v>
      </c>
      <c r="Y14" s="17">
        <v>3784930</v>
      </c>
      <c r="Z14" s="9">
        <f t="shared" si="0"/>
        <v>1347</v>
      </c>
      <c r="AA14" s="17">
        <v>1971613</v>
      </c>
      <c r="AB14" s="9">
        <f t="shared" si="0"/>
        <v>2</v>
      </c>
      <c r="AC14" s="17">
        <v>5097997</v>
      </c>
      <c r="AD14" s="9">
        <f t="shared" si="0"/>
        <v>1388</v>
      </c>
      <c r="AE14" s="7">
        <v>7256320</v>
      </c>
      <c r="AF14" s="9">
        <f t="shared" si="0"/>
        <v>1951</v>
      </c>
      <c r="AG14" s="7">
        <v>1278402</v>
      </c>
      <c r="AH14" s="9">
        <f t="shared" si="0"/>
        <v>262</v>
      </c>
      <c r="AI14" s="17">
        <v>252069</v>
      </c>
      <c r="AJ14" s="9">
        <f t="shared" si="0"/>
        <v>20</v>
      </c>
      <c r="AK14" s="17">
        <v>939710</v>
      </c>
      <c r="AL14" s="9">
        <f t="shared" si="0"/>
        <v>328</v>
      </c>
      <c r="AM14" s="17">
        <v>1742042</v>
      </c>
      <c r="AN14" s="9">
        <f t="shared" si="0"/>
        <v>581</v>
      </c>
      <c r="AO14" s="17">
        <v>1864483</v>
      </c>
      <c r="AP14" s="9">
        <f t="shared" si="0"/>
        <v>530</v>
      </c>
      <c r="AQ14" s="47"/>
      <c r="AR14" s="17">
        <v>0</v>
      </c>
      <c r="AS14" s="9"/>
      <c r="AT14" s="17">
        <v>0</v>
      </c>
      <c r="AU14" s="9"/>
      <c r="AV14" s="17">
        <v>87306</v>
      </c>
      <c r="AW14" s="9">
        <f t="shared" si="1"/>
        <v>15</v>
      </c>
      <c r="AX14" s="17">
        <v>65</v>
      </c>
      <c r="AY14" s="9">
        <f t="shared" si="2"/>
        <v>2</v>
      </c>
      <c r="AZ14" s="17">
        <v>6844822</v>
      </c>
      <c r="BA14" s="9">
        <f t="shared" si="3"/>
        <v>2052</v>
      </c>
      <c r="BB14" s="17">
        <v>1205532</v>
      </c>
      <c r="BC14" s="9">
        <f t="shared" si="4"/>
        <v>1122</v>
      </c>
      <c r="BD14" s="20">
        <v>37</v>
      </c>
      <c r="BE14" s="20">
        <v>58</v>
      </c>
    </row>
    <row r="15" spans="1:57" ht="45" customHeight="1" x14ac:dyDescent="0.3">
      <c r="A15" s="8">
        <v>43902</v>
      </c>
      <c r="B15" s="45"/>
      <c r="C15" s="17">
        <v>25609859</v>
      </c>
      <c r="D15" s="9">
        <f t="shared" si="5"/>
        <v>7694</v>
      </c>
      <c r="E15" s="17">
        <v>26302035</v>
      </c>
      <c r="F15" s="9">
        <f t="shared" si="6"/>
        <v>4870</v>
      </c>
      <c r="G15" s="17">
        <v>11196176</v>
      </c>
      <c r="H15" s="9">
        <f t="shared" si="7"/>
        <v>3917</v>
      </c>
      <c r="I15" s="17">
        <v>1571266</v>
      </c>
      <c r="J15" s="9">
        <f t="shared" si="8"/>
        <v>464</v>
      </c>
      <c r="K15" s="17">
        <v>3164444</v>
      </c>
      <c r="L15" s="9">
        <f t="shared" si="8"/>
        <v>804</v>
      </c>
      <c r="M15" s="17">
        <v>4602236</v>
      </c>
      <c r="N15" s="9">
        <f t="shared" ref="N15" si="40">IF((M15-M14&lt;0), "0",M15-M14)</f>
        <v>1131</v>
      </c>
      <c r="O15" s="17">
        <v>2204471</v>
      </c>
      <c r="P15" s="9">
        <f t="shared" ref="P15" si="41">IF((O15-O14&lt;0), "0",O15-O14)</f>
        <v>552</v>
      </c>
      <c r="Q15" s="17">
        <v>1234817</v>
      </c>
      <c r="R15" s="9">
        <f t="shared" si="23"/>
        <v>308</v>
      </c>
      <c r="S15" s="17">
        <v>396914</v>
      </c>
      <c r="T15" s="9">
        <f t="shared" ref="T15" si="42">IF((S15-S14&lt;0), "0",S15-S14)</f>
        <v>84</v>
      </c>
      <c r="U15" s="17">
        <v>4140481</v>
      </c>
      <c r="V15" s="9">
        <f t="shared" si="0"/>
        <v>1147</v>
      </c>
      <c r="W15" s="17">
        <v>951464</v>
      </c>
      <c r="X15" s="9">
        <f t="shared" si="0"/>
        <v>180</v>
      </c>
      <c r="Y15" s="17">
        <v>3786149</v>
      </c>
      <c r="Z15" s="9">
        <f t="shared" si="0"/>
        <v>1219</v>
      </c>
      <c r="AA15" s="17">
        <v>1971615</v>
      </c>
      <c r="AB15" s="9">
        <f t="shared" si="0"/>
        <v>2</v>
      </c>
      <c r="AC15" s="17">
        <v>5099403</v>
      </c>
      <c r="AD15" s="9">
        <f t="shared" si="0"/>
        <v>1406</v>
      </c>
      <c r="AE15" s="7">
        <v>7258299</v>
      </c>
      <c r="AF15" s="9">
        <f t="shared" si="0"/>
        <v>1979</v>
      </c>
      <c r="AG15" s="7">
        <v>1278630</v>
      </c>
      <c r="AH15" s="9">
        <f t="shared" si="0"/>
        <v>228</v>
      </c>
      <c r="AI15" s="17">
        <v>252089</v>
      </c>
      <c r="AJ15" s="9">
        <f t="shared" si="0"/>
        <v>20</v>
      </c>
      <c r="AK15" s="17">
        <v>940017</v>
      </c>
      <c r="AL15" s="9">
        <f t="shared" si="0"/>
        <v>307</v>
      </c>
      <c r="AM15" s="17">
        <v>1742636</v>
      </c>
      <c r="AN15" s="9">
        <f t="shared" si="0"/>
        <v>594</v>
      </c>
      <c r="AO15" s="17">
        <v>1865010</v>
      </c>
      <c r="AP15" s="9">
        <f t="shared" si="0"/>
        <v>527</v>
      </c>
      <c r="AQ15" s="47"/>
      <c r="AR15" s="17">
        <v>0</v>
      </c>
      <c r="AS15" s="9">
        <v>0</v>
      </c>
      <c r="AT15" s="17">
        <v>0</v>
      </c>
      <c r="AU15" s="9">
        <v>0</v>
      </c>
      <c r="AV15" s="17">
        <v>87319</v>
      </c>
      <c r="AW15" s="9">
        <f t="shared" si="1"/>
        <v>13</v>
      </c>
      <c r="AX15" s="17">
        <v>67</v>
      </c>
      <c r="AY15" s="9">
        <f t="shared" si="2"/>
        <v>2</v>
      </c>
      <c r="AZ15" s="17">
        <v>6846890</v>
      </c>
      <c r="BA15" s="9">
        <f t="shared" si="3"/>
        <v>2068</v>
      </c>
      <c r="BB15" s="17">
        <v>1206658</v>
      </c>
      <c r="BC15" s="9">
        <f t="shared" si="4"/>
        <v>1126</v>
      </c>
      <c r="BD15" s="20">
        <v>44</v>
      </c>
      <c r="BE15" s="20">
        <v>71</v>
      </c>
    </row>
    <row r="16" spans="1:57" ht="45" customHeight="1" x14ac:dyDescent="0.3">
      <c r="A16" s="8">
        <v>43903</v>
      </c>
      <c r="B16" s="45"/>
      <c r="C16" s="17">
        <v>25617002</v>
      </c>
      <c r="D16" s="9">
        <f t="shared" si="5"/>
        <v>7143</v>
      </c>
      <c r="E16" s="17">
        <v>26306845</v>
      </c>
      <c r="F16" s="9">
        <f t="shared" si="6"/>
        <v>4810</v>
      </c>
      <c r="G16" s="17">
        <v>11200087</v>
      </c>
      <c r="H16" s="9">
        <f t="shared" si="7"/>
        <v>3911</v>
      </c>
      <c r="I16" s="17">
        <v>1571739</v>
      </c>
      <c r="J16" s="9">
        <f t="shared" si="8"/>
        <v>473</v>
      </c>
      <c r="K16" s="17">
        <v>3165256</v>
      </c>
      <c r="L16" s="9">
        <f t="shared" si="8"/>
        <v>812</v>
      </c>
      <c r="M16" s="17">
        <v>4603284</v>
      </c>
      <c r="N16" s="9">
        <f t="shared" ref="N16" si="43">IF((M16-M15&lt;0), "0",M16-M15)</f>
        <v>1048</v>
      </c>
      <c r="O16" s="17">
        <v>2205038</v>
      </c>
      <c r="P16" s="9">
        <f t="shared" ref="P16" si="44">IF((O16-O15&lt;0), "0",O16-O15)</f>
        <v>567</v>
      </c>
      <c r="Q16" s="17">
        <v>1235129</v>
      </c>
      <c r="R16" s="9">
        <f t="shared" si="23"/>
        <v>312</v>
      </c>
      <c r="S16" s="17">
        <v>396994</v>
      </c>
      <c r="T16" s="9">
        <f t="shared" ref="T16" si="45">IF((S16-S15&lt;0), "0",S16-S15)</f>
        <v>80</v>
      </c>
      <c r="U16" s="17">
        <v>4141450</v>
      </c>
      <c r="V16" s="9">
        <f t="shared" ref="V16:AP34" si="46">IF((U16-U15&lt;0), "",U16-U15)</f>
        <v>969</v>
      </c>
      <c r="W16" s="17">
        <v>951544</v>
      </c>
      <c r="X16" s="9">
        <f t="shared" si="46"/>
        <v>80</v>
      </c>
      <c r="Y16" s="17">
        <v>3787143</v>
      </c>
      <c r="Z16" s="9">
        <f t="shared" si="46"/>
        <v>994</v>
      </c>
      <c r="AA16" s="17">
        <v>1971618</v>
      </c>
      <c r="AB16" s="9">
        <f t="shared" si="46"/>
        <v>3</v>
      </c>
      <c r="AC16" s="17">
        <v>5100853</v>
      </c>
      <c r="AD16" s="9">
        <f t="shared" si="46"/>
        <v>1450</v>
      </c>
      <c r="AE16" s="7">
        <v>7260208</v>
      </c>
      <c r="AF16" s="9">
        <f t="shared" si="46"/>
        <v>1909</v>
      </c>
      <c r="AG16" s="7">
        <v>1278867</v>
      </c>
      <c r="AH16" s="9">
        <f t="shared" si="46"/>
        <v>237</v>
      </c>
      <c r="AI16" s="17">
        <v>252109</v>
      </c>
      <c r="AJ16" s="9">
        <f t="shared" si="46"/>
        <v>20</v>
      </c>
      <c r="AK16" s="17">
        <v>940330</v>
      </c>
      <c r="AL16" s="9">
        <f t="shared" si="46"/>
        <v>313</v>
      </c>
      <c r="AM16" s="17">
        <v>1743233</v>
      </c>
      <c r="AN16" s="9">
        <f t="shared" si="46"/>
        <v>597</v>
      </c>
      <c r="AO16" s="17">
        <v>1865489</v>
      </c>
      <c r="AP16" s="9">
        <f t="shared" si="46"/>
        <v>479</v>
      </c>
      <c r="AQ16" s="47"/>
      <c r="AR16" s="17">
        <v>0</v>
      </c>
      <c r="AS16" s="9">
        <v>246</v>
      </c>
      <c r="AT16" s="17">
        <v>0</v>
      </c>
      <c r="AU16" s="9">
        <v>667</v>
      </c>
      <c r="AV16" s="17">
        <v>87330</v>
      </c>
      <c r="AW16" s="9">
        <f t="shared" si="1"/>
        <v>11</v>
      </c>
      <c r="AX16" s="17">
        <v>68</v>
      </c>
      <c r="AY16" s="9">
        <f t="shared" si="2"/>
        <v>1</v>
      </c>
      <c r="AZ16" s="17">
        <v>6849065</v>
      </c>
      <c r="BA16" s="9">
        <f t="shared" si="3"/>
        <v>2175</v>
      </c>
      <c r="BB16" s="17">
        <v>1207773</v>
      </c>
      <c r="BC16" s="9">
        <f t="shared" si="4"/>
        <v>1115</v>
      </c>
      <c r="BD16" s="20">
        <v>40</v>
      </c>
      <c r="BE16" s="20">
        <v>61</v>
      </c>
    </row>
    <row r="17" spans="1:57" ht="45" customHeight="1" x14ac:dyDescent="0.3">
      <c r="A17" s="8">
        <v>43904</v>
      </c>
      <c r="B17" s="45"/>
      <c r="C17" s="17"/>
      <c r="D17" s="9" t="str">
        <f t="shared" si="5"/>
        <v>0</v>
      </c>
      <c r="E17" s="17"/>
      <c r="F17" s="9" t="str">
        <f t="shared" si="6"/>
        <v>0</v>
      </c>
      <c r="G17" s="17"/>
      <c r="H17" s="9" t="str">
        <f t="shared" si="7"/>
        <v>0</v>
      </c>
      <c r="I17" s="17"/>
      <c r="J17" s="9" t="str">
        <f t="shared" si="8"/>
        <v>0</v>
      </c>
      <c r="K17" s="17"/>
      <c r="L17" s="9" t="str">
        <f t="shared" si="8"/>
        <v>0</v>
      </c>
      <c r="M17" s="17"/>
      <c r="N17" s="9" t="str">
        <f t="shared" ref="N17" si="47">IF((M17-M16&lt;0), "0",M17-M16)</f>
        <v>0</v>
      </c>
      <c r="O17" s="17"/>
      <c r="P17" s="9" t="str">
        <f t="shared" ref="P17" si="48">IF((O17-O16&lt;0), "0",O17-O16)</f>
        <v>0</v>
      </c>
      <c r="Q17" s="17"/>
      <c r="R17" s="9" t="str">
        <f t="shared" si="23"/>
        <v>0</v>
      </c>
      <c r="S17" s="17"/>
      <c r="T17" s="9" t="str">
        <f t="shared" ref="T17" si="49">IF((S17-S16&lt;0), "0",S17-S16)</f>
        <v>0</v>
      </c>
      <c r="U17" s="17"/>
      <c r="V17" s="9" t="str">
        <f t="shared" si="46"/>
        <v/>
      </c>
      <c r="W17" s="17"/>
      <c r="X17" s="9" t="str">
        <f t="shared" si="46"/>
        <v/>
      </c>
      <c r="Y17" s="17"/>
      <c r="Z17" s="9" t="str">
        <f t="shared" si="46"/>
        <v/>
      </c>
      <c r="AA17" s="17"/>
      <c r="AB17" s="9" t="str">
        <f t="shared" si="46"/>
        <v/>
      </c>
      <c r="AC17" s="17"/>
      <c r="AD17" s="9" t="str">
        <f t="shared" si="46"/>
        <v/>
      </c>
      <c r="AE17" s="7"/>
      <c r="AF17" s="9" t="str">
        <f t="shared" si="46"/>
        <v/>
      </c>
      <c r="AG17" s="7"/>
      <c r="AH17" s="9" t="str">
        <f t="shared" si="46"/>
        <v/>
      </c>
      <c r="AI17" s="17"/>
      <c r="AJ17" s="9" t="str">
        <f t="shared" si="46"/>
        <v/>
      </c>
      <c r="AK17" s="17"/>
      <c r="AL17" s="9" t="str">
        <f t="shared" si="46"/>
        <v/>
      </c>
      <c r="AM17" s="17"/>
      <c r="AN17" s="9" t="str">
        <f t="shared" si="46"/>
        <v/>
      </c>
      <c r="AO17" s="17"/>
      <c r="AP17" s="9" t="str">
        <f t="shared" si="46"/>
        <v/>
      </c>
      <c r="AQ17" s="47"/>
      <c r="AR17" s="17">
        <v>0</v>
      </c>
      <c r="AS17" s="9">
        <v>0</v>
      </c>
      <c r="AT17" s="17">
        <v>0</v>
      </c>
      <c r="AU17" s="9">
        <v>0</v>
      </c>
      <c r="AV17" s="17"/>
      <c r="AW17" s="9" t="str">
        <f t="shared" si="1"/>
        <v/>
      </c>
      <c r="AX17" s="17"/>
      <c r="AY17" s="9" t="str">
        <f t="shared" si="2"/>
        <v/>
      </c>
      <c r="AZ17" s="17"/>
      <c r="BA17" s="9" t="str">
        <f t="shared" si="3"/>
        <v/>
      </c>
      <c r="BB17" s="17"/>
      <c r="BC17" s="9" t="str">
        <f t="shared" si="4"/>
        <v/>
      </c>
      <c r="BD17" s="20"/>
      <c r="BE17" s="20"/>
    </row>
    <row r="18" spans="1:57" ht="45" customHeight="1" x14ac:dyDescent="0.3">
      <c r="A18" s="8">
        <v>43905</v>
      </c>
      <c r="B18" s="45"/>
      <c r="C18" s="17"/>
      <c r="D18" s="9">
        <f t="shared" si="5"/>
        <v>0</v>
      </c>
      <c r="E18" s="17"/>
      <c r="F18" s="9">
        <f t="shared" si="6"/>
        <v>0</v>
      </c>
      <c r="G18" s="17"/>
      <c r="H18" s="9">
        <f t="shared" si="7"/>
        <v>0</v>
      </c>
      <c r="I18" s="17"/>
      <c r="J18" s="9">
        <f t="shared" si="8"/>
        <v>0</v>
      </c>
      <c r="K18" s="17"/>
      <c r="L18" s="9">
        <f t="shared" si="8"/>
        <v>0</v>
      </c>
      <c r="M18" s="17"/>
      <c r="N18" s="9">
        <f t="shared" ref="N18" si="50">IF((M18-M17&lt;0), "0",M18-M17)</f>
        <v>0</v>
      </c>
      <c r="O18" s="17"/>
      <c r="P18" s="9">
        <f t="shared" ref="P18" si="51">IF((O18-O17&lt;0), "0",O18-O17)</f>
        <v>0</v>
      </c>
      <c r="Q18" s="17"/>
      <c r="R18" s="9">
        <f t="shared" si="23"/>
        <v>0</v>
      </c>
      <c r="S18" s="17"/>
      <c r="T18" s="9">
        <f t="shared" ref="T18" si="52">IF((S18-S17&lt;0), "0",S18-S17)</f>
        <v>0</v>
      </c>
      <c r="U18" s="17"/>
      <c r="V18" s="9">
        <f t="shared" si="46"/>
        <v>0</v>
      </c>
      <c r="W18" s="17"/>
      <c r="X18" s="9">
        <f t="shared" si="46"/>
        <v>0</v>
      </c>
      <c r="Y18" s="17"/>
      <c r="Z18" s="9">
        <f t="shared" si="46"/>
        <v>0</v>
      </c>
      <c r="AA18" s="17"/>
      <c r="AB18" s="9">
        <f t="shared" si="46"/>
        <v>0</v>
      </c>
      <c r="AC18" s="17"/>
      <c r="AD18" s="9">
        <f t="shared" si="46"/>
        <v>0</v>
      </c>
      <c r="AE18" s="7"/>
      <c r="AF18" s="9">
        <f t="shared" si="46"/>
        <v>0</v>
      </c>
      <c r="AG18" s="7"/>
      <c r="AH18" s="9">
        <f t="shared" si="46"/>
        <v>0</v>
      </c>
      <c r="AI18" s="17"/>
      <c r="AJ18" s="9">
        <f t="shared" si="46"/>
        <v>0</v>
      </c>
      <c r="AK18" s="17"/>
      <c r="AL18" s="9">
        <f t="shared" si="46"/>
        <v>0</v>
      </c>
      <c r="AM18" s="17"/>
      <c r="AN18" s="9">
        <f t="shared" si="46"/>
        <v>0</v>
      </c>
      <c r="AO18" s="17"/>
      <c r="AP18" s="9">
        <f t="shared" si="46"/>
        <v>0</v>
      </c>
      <c r="AQ18" s="47"/>
      <c r="AR18" s="17">
        <v>0</v>
      </c>
      <c r="AS18" s="9">
        <v>0</v>
      </c>
      <c r="AT18" s="17">
        <v>0</v>
      </c>
      <c r="AU18" s="9">
        <v>0</v>
      </c>
      <c r="AV18" s="17"/>
      <c r="AW18" s="9">
        <f t="shared" si="1"/>
        <v>0</v>
      </c>
      <c r="AX18" s="17"/>
      <c r="AY18" s="9">
        <f t="shared" si="2"/>
        <v>0</v>
      </c>
      <c r="AZ18" s="17"/>
      <c r="BA18" s="9">
        <f t="shared" si="3"/>
        <v>0</v>
      </c>
      <c r="BB18" s="17"/>
      <c r="BC18" s="9">
        <f t="shared" si="4"/>
        <v>0</v>
      </c>
      <c r="BD18" s="20"/>
      <c r="BE18" s="20"/>
    </row>
    <row r="19" spans="1:57" ht="45" customHeight="1" x14ac:dyDescent="0.3">
      <c r="A19" s="8">
        <v>43906</v>
      </c>
      <c r="B19" s="45"/>
      <c r="C19" s="17"/>
      <c r="D19" s="9">
        <f t="shared" si="5"/>
        <v>0</v>
      </c>
      <c r="E19" s="17"/>
      <c r="F19" s="9">
        <f t="shared" si="6"/>
        <v>0</v>
      </c>
      <c r="G19" s="17"/>
      <c r="H19" s="9">
        <f t="shared" si="7"/>
        <v>0</v>
      </c>
      <c r="I19" s="17"/>
      <c r="J19" s="9">
        <f t="shared" si="8"/>
        <v>0</v>
      </c>
      <c r="K19" s="17"/>
      <c r="L19" s="9">
        <f t="shared" si="8"/>
        <v>0</v>
      </c>
      <c r="M19" s="17"/>
      <c r="N19" s="9">
        <f t="shared" ref="N19" si="53">IF((M19-M18&lt;0), "0",M19-M18)</f>
        <v>0</v>
      </c>
      <c r="O19" s="17"/>
      <c r="P19" s="9">
        <f t="shared" ref="P19" si="54">IF((O19-O18&lt;0), "0",O19-O18)</f>
        <v>0</v>
      </c>
      <c r="Q19" s="17"/>
      <c r="R19" s="9">
        <f t="shared" si="23"/>
        <v>0</v>
      </c>
      <c r="S19" s="17"/>
      <c r="T19" s="9">
        <f t="shared" ref="T19" si="55">IF((S19-S18&lt;0), "0",S19-S18)</f>
        <v>0</v>
      </c>
      <c r="U19" s="17"/>
      <c r="V19" s="9">
        <f t="shared" si="46"/>
        <v>0</v>
      </c>
      <c r="W19" s="17"/>
      <c r="X19" s="9">
        <f t="shared" si="46"/>
        <v>0</v>
      </c>
      <c r="Y19" s="17"/>
      <c r="Z19" s="9">
        <f t="shared" si="46"/>
        <v>0</v>
      </c>
      <c r="AA19" s="17"/>
      <c r="AB19" s="9">
        <f t="shared" si="46"/>
        <v>0</v>
      </c>
      <c r="AC19" s="17"/>
      <c r="AD19" s="9">
        <f t="shared" si="46"/>
        <v>0</v>
      </c>
      <c r="AE19" s="7"/>
      <c r="AF19" s="9">
        <f t="shared" si="46"/>
        <v>0</v>
      </c>
      <c r="AG19" s="7"/>
      <c r="AH19" s="9">
        <f t="shared" si="46"/>
        <v>0</v>
      </c>
      <c r="AI19" s="17"/>
      <c r="AJ19" s="9">
        <f t="shared" si="46"/>
        <v>0</v>
      </c>
      <c r="AK19" s="17"/>
      <c r="AL19" s="9">
        <f t="shared" si="46"/>
        <v>0</v>
      </c>
      <c r="AM19" s="17"/>
      <c r="AN19" s="9">
        <f t="shared" si="46"/>
        <v>0</v>
      </c>
      <c r="AO19" s="17"/>
      <c r="AP19" s="9">
        <f t="shared" si="46"/>
        <v>0</v>
      </c>
      <c r="AQ19" s="47"/>
      <c r="AR19" s="17">
        <v>0</v>
      </c>
      <c r="AS19" s="9">
        <v>0</v>
      </c>
      <c r="AT19" s="17">
        <v>0</v>
      </c>
      <c r="AU19" s="9">
        <v>0</v>
      </c>
      <c r="AV19" s="17"/>
      <c r="AW19" s="9">
        <f t="shared" si="1"/>
        <v>0</v>
      </c>
      <c r="AX19" s="17"/>
      <c r="AY19" s="9">
        <f t="shared" si="2"/>
        <v>0</v>
      </c>
      <c r="AZ19" s="17"/>
      <c r="BA19" s="9">
        <f t="shared" si="3"/>
        <v>0</v>
      </c>
      <c r="BB19" s="17"/>
      <c r="BC19" s="9">
        <f t="shared" si="4"/>
        <v>0</v>
      </c>
      <c r="BD19" s="20"/>
      <c r="BE19" s="20"/>
    </row>
    <row r="20" spans="1:57" ht="45" customHeight="1" x14ac:dyDescent="0.3">
      <c r="A20" s="8">
        <v>43907</v>
      </c>
      <c r="B20" s="45"/>
      <c r="C20" s="17"/>
      <c r="D20" s="9">
        <f t="shared" si="5"/>
        <v>0</v>
      </c>
      <c r="E20" s="17"/>
      <c r="F20" s="9">
        <f t="shared" si="6"/>
        <v>0</v>
      </c>
      <c r="G20" s="17"/>
      <c r="H20" s="9">
        <f t="shared" si="7"/>
        <v>0</v>
      </c>
      <c r="I20" s="17"/>
      <c r="J20" s="9">
        <f t="shared" si="8"/>
        <v>0</v>
      </c>
      <c r="K20" s="17"/>
      <c r="L20" s="9">
        <f t="shared" si="8"/>
        <v>0</v>
      </c>
      <c r="M20" s="17"/>
      <c r="N20" s="9">
        <f t="shared" ref="N20" si="56">IF((M20-M19&lt;0), "0",M20-M19)</f>
        <v>0</v>
      </c>
      <c r="O20" s="17"/>
      <c r="P20" s="9">
        <f t="shared" ref="P20" si="57">IF((O20-O19&lt;0), "0",O20-O19)</f>
        <v>0</v>
      </c>
      <c r="Q20" s="17"/>
      <c r="R20" s="9">
        <f t="shared" ref="R20" si="58">IF((Q20-Q19&lt;0), "0",Q20-Q19)</f>
        <v>0</v>
      </c>
      <c r="S20" s="17"/>
      <c r="T20" s="9">
        <f t="shared" ref="T20" si="59">IF((S20-S19&lt;0), "0",S20-S19)</f>
        <v>0</v>
      </c>
      <c r="U20" s="17"/>
      <c r="V20" s="9">
        <f t="shared" si="46"/>
        <v>0</v>
      </c>
      <c r="W20" s="17"/>
      <c r="X20" s="9">
        <f t="shared" si="46"/>
        <v>0</v>
      </c>
      <c r="Y20" s="17"/>
      <c r="Z20" s="9">
        <f t="shared" si="46"/>
        <v>0</v>
      </c>
      <c r="AA20" s="17"/>
      <c r="AB20" s="9">
        <f t="shared" si="46"/>
        <v>0</v>
      </c>
      <c r="AC20" s="17"/>
      <c r="AD20" s="9">
        <f t="shared" si="46"/>
        <v>0</v>
      </c>
      <c r="AE20" s="7"/>
      <c r="AF20" s="9">
        <f t="shared" si="46"/>
        <v>0</v>
      </c>
      <c r="AG20" s="7"/>
      <c r="AH20" s="9">
        <f t="shared" si="46"/>
        <v>0</v>
      </c>
      <c r="AI20" s="17"/>
      <c r="AJ20" s="9">
        <f t="shared" si="46"/>
        <v>0</v>
      </c>
      <c r="AK20" s="17"/>
      <c r="AL20" s="9">
        <f t="shared" si="46"/>
        <v>0</v>
      </c>
      <c r="AM20" s="17"/>
      <c r="AN20" s="9">
        <f t="shared" si="46"/>
        <v>0</v>
      </c>
      <c r="AO20" s="17"/>
      <c r="AP20" s="9">
        <f t="shared" si="46"/>
        <v>0</v>
      </c>
      <c r="AQ20" s="47"/>
      <c r="AR20" s="17">
        <v>0</v>
      </c>
      <c r="AS20" s="9">
        <v>0</v>
      </c>
      <c r="AT20" s="17">
        <v>0</v>
      </c>
      <c r="AU20" s="9">
        <v>0</v>
      </c>
      <c r="AV20" s="17"/>
      <c r="AW20" s="9">
        <f t="shared" si="1"/>
        <v>0</v>
      </c>
      <c r="AX20" s="17"/>
      <c r="AY20" s="9">
        <f t="shared" si="2"/>
        <v>0</v>
      </c>
      <c r="AZ20" s="17"/>
      <c r="BA20" s="9">
        <f t="shared" si="3"/>
        <v>0</v>
      </c>
      <c r="BB20" s="17"/>
      <c r="BC20" s="9">
        <f t="shared" si="4"/>
        <v>0</v>
      </c>
      <c r="BD20" s="20"/>
      <c r="BE20" s="20"/>
    </row>
    <row r="21" spans="1:57" ht="45" customHeight="1" x14ac:dyDescent="0.3">
      <c r="A21" s="8">
        <v>43908</v>
      </c>
      <c r="B21" s="45"/>
      <c r="C21" s="17"/>
      <c r="D21" s="9">
        <f t="shared" si="5"/>
        <v>0</v>
      </c>
      <c r="E21" s="17"/>
      <c r="F21" s="9">
        <f t="shared" si="6"/>
        <v>0</v>
      </c>
      <c r="G21" s="17"/>
      <c r="H21" s="9">
        <f t="shared" si="7"/>
        <v>0</v>
      </c>
      <c r="I21" s="17"/>
      <c r="J21" s="9">
        <f t="shared" si="8"/>
        <v>0</v>
      </c>
      <c r="K21" s="17"/>
      <c r="L21" s="9">
        <f t="shared" si="8"/>
        <v>0</v>
      </c>
      <c r="M21" s="17"/>
      <c r="N21" s="9">
        <f t="shared" ref="N21" si="60">IF((M21-M20&lt;0), "0",M21-M20)</f>
        <v>0</v>
      </c>
      <c r="O21" s="17"/>
      <c r="P21" s="9">
        <f t="shared" ref="P21" si="61">IF((O21-O20&lt;0), "0",O21-O20)</f>
        <v>0</v>
      </c>
      <c r="Q21" s="17"/>
      <c r="R21" s="9">
        <f t="shared" ref="R21" si="62">IF((Q21-Q20&lt;0), "0",Q21-Q20)</f>
        <v>0</v>
      </c>
      <c r="S21" s="17"/>
      <c r="T21" s="9">
        <f t="shared" ref="T21" si="63">IF((S21-S20&lt;0), "0",S21-S20)</f>
        <v>0</v>
      </c>
      <c r="U21" s="17"/>
      <c r="V21" s="9">
        <f t="shared" si="46"/>
        <v>0</v>
      </c>
      <c r="W21" s="17"/>
      <c r="X21" s="9">
        <f t="shared" si="46"/>
        <v>0</v>
      </c>
      <c r="Y21" s="17"/>
      <c r="Z21" s="9">
        <f t="shared" si="46"/>
        <v>0</v>
      </c>
      <c r="AA21" s="17"/>
      <c r="AB21" s="9">
        <f t="shared" si="46"/>
        <v>0</v>
      </c>
      <c r="AC21" s="17"/>
      <c r="AD21" s="9">
        <f t="shared" si="46"/>
        <v>0</v>
      </c>
      <c r="AE21" s="7"/>
      <c r="AF21" s="9">
        <f t="shared" si="46"/>
        <v>0</v>
      </c>
      <c r="AG21" s="7"/>
      <c r="AH21" s="9">
        <f t="shared" si="46"/>
        <v>0</v>
      </c>
      <c r="AI21" s="17"/>
      <c r="AJ21" s="9">
        <f t="shared" si="46"/>
        <v>0</v>
      </c>
      <c r="AK21" s="17"/>
      <c r="AL21" s="9">
        <f t="shared" si="46"/>
        <v>0</v>
      </c>
      <c r="AM21" s="17"/>
      <c r="AN21" s="9">
        <f t="shared" si="46"/>
        <v>0</v>
      </c>
      <c r="AO21" s="17"/>
      <c r="AP21" s="9">
        <f t="shared" si="46"/>
        <v>0</v>
      </c>
      <c r="AQ21" s="47"/>
      <c r="AR21" s="17">
        <v>0</v>
      </c>
      <c r="AS21" s="9">
        <v>0</v>
      </c>
      <c r="AT21" s="17">
        <v>0</v>
      </c>
      <c r="AU21" s="9">
        <v>0</v>
      </c>
      <c r="AV21" s="17"/>
      <c r="AW21" s="9">
        <f t="shared" si="1"/>
        <v>0</v>
      </c>
      <c r="AX21" s="17"/>
      <c r="AY21" s="9">
        <f t="shared" si="2"/>
        <v>0</v>
      </c>
      <c r="AZ21" s="17"/>
      <c r="BA21" s="9">
        <f t="shared" si="3"/>
        <v>0</v>
      </c>
      <c r="BB21" s="17"/>
      <c r="BC21" s="9">
        <f t="shared" si="4"/>
        <v>0</v>
      </c>
      <c r="BD21" s="20"/>
      <c r="BE21" s="20"/>
    </row>
    <row r="22" spans="1:57" ht="45" customHeight="1" x14ac:dyDescent="0.3">
      <c r="A22" s="8">
        <v>43909</v>
      </c>
      <c r="B22" s="45"/>
      <c r="C22" s="17"/>
      <c r="D22" s="9">
        <f t="shared" si="5"/>
        <v>0</v>
      </c>
      <c r="E22" s="17"/>
      <c r="F22" s="9">
        <f t="shared" si="6"/>
        <v>0</v>
      </c>
      <c r="G22" s="17"/>
      <c r="H22" s="9">
        <f t="shared" si="7"/>
        <v>0</v>
      </c>
      <c r="I22" s="17"/>
      <c r="J22" s="9">
        <f t="shared" si="8"/>
        <v>0</v>
      </c>
      <c r="K22" s="17"/>
      <c r="L22" s="9">
        <f t="shared" si="8"/>
        <v>0</v>
      </c>
      <c r="M22" s="17"/>
      <c r="N22" s="9">
        <f t="shared" ref="N22" si="64">IF((M22-M21&lt;0), "0",M22-M21)</f>
        <v>0</v>
      </c>
      <c r="O22" s="17"/>
      <c r="P22" s="9">
        <f t="shared" ref="P22" si="65">IF((O22-O21&lt;0), "0",O22-O21)</f>
        <v>0</v>
      </c>
      <c r="Q22" s="17"/>
      <c r="R22" s="9">
        <f t="shared" ref="R22" si="66">IF((Q22-Q21&lt;0), "0",Q22-Q21)</f>
        <v>0</v>
      </c>
      <c r="S22" s="17"/>
      <c r="T22" s="9">
        <f t="shared" ref="T22" si="67">IF((S22-S21&lt;0), "0",S22-S21)</f>
        <v>0</v>
      </c>
      <c r="U22" s="17"/>
      <c r="V22" s="9">
        <f t="shared" si="46"/>
        <v>0</v>
      </c>
      <c r="W22" s="17"/>
      <c r="X22" s="9">
        <f t="shared" si="46"/>
        <v>0</v>
      </c>
      <c r="Y22" s="17"/>
      <c r="Z22" s="9">
        <f t="shared" si="46"/>
        <v>0</v>
      </c>
      <c r="AA22" s="17"/>
      <c r="AB22" s="9">
        <f t="shared" si="46"/>
        <v>0</v>
      </c>
      <c r="AC22" s="17"/>
      <c r="AD22" s="9">
        <f t="shared" si="46"/>
        <v>0</v>
      </c>
      <c r="AE22" s="7"/>
      <c r="AF22" s="9">
        <f t="shared" si="46"/>
        <v>0</v>
      </c>
      <c r="AG22" s="7"/>
      <c r="AH22" s="9">
        <f t="shared" si="46"/>
        <v>0</v>
      </c>
      <c r="AI22" s="17"/>
      <c r="AJ22" s="9">
        <f t="shared" si="46"/>
        <v>0</v>
      </c>
      <c r="AK22" s="17"/>
      <c r="AL22" s="9">
        <f t="shared" si="46"/>
        <v>0</v>
      </c>
      <c r="AM22" s="17"/>
      <c r="AN22" s="9">
        <f t="shared" si="46"/>
        <v>0</v>
      </c>
      <c r="AO22" s="17"/>
      <c r="AP22" s="9">
        <f t="shared" si="46"/>
        <v>0</v>
      </c>
      <c r="AQ22" s="47"/>
      <c r="AR22" s="17">
        <v>0</v>
      </c>
      <c r="AS22" s="9">
        <v>0</v>
      </c>
      <c r="AT22" s="17">
        <v>0</v>
      </c>
      <c r="AU22" s="9">
        <v>0</v>
      </c>
      <c r="AV22" s="17"/>
      <c r="AW22" s="9">
        <f t="shared" si="1"/>
        <v>0</v>
      </c>
      <c r="AX22" s="17"/>
      <c r="AY22" s="9">
        <f t="shared" si="2"/>
        <v>0</v>
      </c>
      <c r="AZ22" s="17"/>
      <c r="BA22" s="9">
        <f t="shared" si="3"/>
        <v>0</v>
      </c>
      <c r="BB22" s="17"/>
      <c r="BC22" s="9">
        <f t="shared" si="4"/>
        <v>0</v>
      </c>
      <c r="BD22" s="20"/>
      <c r="BE22" s="20"/>
    </row>
    <row r="23" spans="1:57" ht="45" customHeight="1" x14ac:dyDescent="0.3">
      <c r="A23" s="8">
        <v>43910</v>
      </c>
      <c r="B23" s="45"/>
      <c r="C23" s="17"/>
      <c r="D23" s="9">
        <f t="shared" si="5"/>
        <v>0</v>
      </c>
      <c r="E23" s="17"/>
      <c r="F23" s="9">
        <f t="shared" si="6"/>
        <v>0</v>
      </c>
      <c r="G23" s="17"/>
      <c r="H23" s="9">
        <f t="shared" si="7"/>
        <v>0</v>
      </c>
      <c r="I23" s="17"/>
      <c r="J23" s="9">
        <f t="shared" si="8"/>
        <v>0</v>
      </c>
      <c r="K23" s="17"/>
      <c r="L23" s="9">
        <f t="shared" si="8"/>
        <v>0</v>
      </c>
      <c r="M23" s="17"/>
      <c r="N23" s="9">
        <f t="shared" ref="N23" si="68">IF((M23-M22&lt;0), "0",M23-M22)</f>
        <v>0</v>
      </c>
      <c r="O23" s="17"/>
      <c r="P23" s="9">
        <f t="shared" ref="P23" si="69">IF((O23-O22&lt;0), "0",O23-O22)</f>
        <v>0</v>
      </c>
      <c r="Q23" s="17"/>
      <c r="R23" s="9">
        <f t="shared" ref="R23" si="70">IF((Q23-Q22&lt;0), "0",Q23-Q22)</f>
        <v>0</v>
      </c>
      <c r="S23" s="17"/>
      <c r="T23" s="9">
        <f t="shared" ref="T23" si="71">IF((S23-S22&lt;0), "0",S23-S22)</f>
        <v>0</v>
      </c>
      <c r="U23" s="17"/>
      <c r="V23" s="9">
        <f t="shared" si="46"/>
        <v>0</v>
      </c>
      <c r="W23" s="17"/>
      <c r="X23" s="9">
        <f t="shared" si="46"/>
        <v>0</v>
      </c>
      <c r="Y23" s="17"/>
      <c r="Z23" s="9">
        <f t="shared" si="46"/>
        <v>0</v>
      </c>
      <c r="AA23" s="17"/>
      <c r="AB23" s="9">
        <f t="shared" si="46"/>
        <v>0</v>
      </c>
      <c r="AC23" s="17"/>
      <c r="AD23" s="9">
        <f t="shared" si="46"/>
        <v>0</v>
      </c>
      <c r="AE23" s="7"/>
      <c r="AF23" s="9">
        <f t="shared" si="46"/>
        <v>0</v>
      </c>
      <c r="AG23" s="7"/>
      <c r="AH23" s="9">
        <f t="shared" si="46"/>
        <v>0</v>
      </c>
      <c r="AI23" s="17"/>
      <c r="AJ23" s="9">
        <f t="shared" si="46"/>
        <v>0</v>
      </c>
      <c r="AK23" s="17"/>
      <c r="AL23" s="9">
        <f t="shared" si="46"/>
        <v>0</v>
      </c>
      <c r="AM23" s="17"/>
      <c r="AN23" s="9">
        <f t="shared" si="46"/>
        <v>0</v>
      </c>
      <c r="AO23" s="17"/>
      <c r="AP23" s="9">
        <f t="shared" si="46"/>
        <v>0</v>
      </c>
      <c r="AQ23" s="47"/>
      <c r="AR23" s="17">
        <v>0</v>
      </c>
      <c r="AS23" s="9"/>
      <c r="AT23" s="17"/>
      <c r="AU23" s="9"/>
      <c r="AV23" s="17"/>
      <c r="AW23" s="9">
        <f t="shared" si="1"/>
        <v>0</v>
      </c>
      <c r="AX23" s="17"/>
      <c r="AY23" s="9">
        <f t="shared" si="2"/>
        <v>0</v>
      </c>
      <c r="AZ23" s="17"/>
      <c r="BA23" s="9">
        <f t="shared" si="3"/>
        <v>0</v>
      </c>
      <c r="BB23" s="17"/>
      <c r="BC23" s="9">
        <f t="shared" si="4"/>
        <v>0</v>
      </c>
      <c r="BD23" s="20"/>
      <c r="BE23" s="20"/>
    </row>
    <row r="24" spans="1:57" ht="45" customHeight="1" x14ac:dyDescent="0.3">
      <c r="A24" s="8">
        <v>43911</v>
      </c>
      <c r="B24" s="45"/>
      <c r="C24" s="17"/>
      <c r="D24" s="9">
        <f t="shared" si="5"/>
        <v>0</v>
      </c>
      <c r="E24" s="17"/>
      <c r="F24" s="9">
        <f t="shared" si="6"/>
        <v>0</v>
      </c>
      <c r="G24" s="17"/>
      <c r="H24" s="9">
        <f t="shared" si="7"/>
        <v>0</v>
      </c>
      <c r="I24" s="17"/>
      <c r="J24" s="9">
        <f t="shared" si="8"/>
        <v>0</v>
      </c>
      <c r="K24" s="17"/>
      <c r="L24" s="9">
        <f t="shared" si="8"/>
        <v>0</v>
      </c>
      <c r="M24" s="17"/>
      <c r="N24" s="9">
        <f t="shared" ref="N24" si="72">IF((M24-M23&lt;0), "0",M24-M23)</f>
        <v>0</v>
      </c>
      <c r="O24" s="17"/>
      <c r="P24" s="9">
        <f t="shared" ref="P24" si="73">IF((O24-O23&lt;0), "0",O24-O23)</f>
        <v>0</v>
      </c>
      <c r="Q24" s="17"/>
      <c r="R24" s="9">
        <f t="shared" ref="R24" si="74">IF((Q24-Q23&lt;0), "0",Q24-Q23)</f>
        <v>0</v>
      </c>
      <c r="S24" s="17"/>
      <c r="T24" s="9">
        <f t="shared" ref="T24" si="75">IF((S24-S23&lt;0), "0",S24-S23)</f>
        <v>0</v>
      </c>
      <c r="U24" s="17"/>
      <c r="V24" s="9">
        <f t="shared" si="46"/>
        <v>0</v>
      </c>
      <c r="W24" s="17"/>
      <c r="X24" s="9">
        <f t="shared" si="46"/>
        <v>0</v>
      </c>
      <c r="Y24" s="17"/>
      <c r="Z24" s="9">
        <f t="shared" si="46"/>
        <v>0</v>
      </c>
      <c r="AA24" s="17"/>
      <c r="AB24" s="9">
        <f t="shared" si="46"/>
        <v>0</v>
      </c>
      <c r="AC24" s="17"/>
      <c r="AD24" s="9">
        <f t="shared" si="46"/>
        <v>0</v>
      </c>
      <c r="AE24" s="7"/>
      <c r="AF24" s="9">
        <f t="shared" si="46"/>
        <v>0</v>
      </c>
      <c r="AG24" s="7"/>
      <c r="AH24" s="9">
        <f t="shared" si="46"/>
        <v>0</v>
      </c>
      <c r="AI24" s="17"/>
      <c r="AJ24" s="9">
        <f t="shared" si="46"/>
        <v>0</v>
      </c>
      <c r="AK24" s="17"/>
      <c r="AL24" s="9">
        <f t="shared" si="46"/>
        <v>0</v>
      </c>
      <c r="AM24" s="17"/>
      <c r="AN24" s="9">
        <f t="shared" si="46"/>
        <v>0</v>
      </c>
      <c r="AO24" s="17"/>
      <c r="AP24" s="9">
        <f t="shared" si="46"/>
        <v>0</v>
      </c>
      <c r="AQ24" s="47"/>
      <c r="AR24" s="17">
        <v>0</v>
      </c>
      <c r="AS24" s="9">
        <v>0</v>
      </c>
      <c r="AT24" s="17">
        <v>0</v>
      </c>
      <c r="AU24" s="9">
        <v>0</v>
      </c>
      <c r="AV24" s="17"/>
      <c r="AW24" s="9">
        <f t="shared" si="1"/>
        <v>0</v>
      </c>
      <c r="AX24" s="17"/>
      <c r="AY24" s="9">
        <f t="shared" si="2"/>
        <v>0</v>
      </c>
      <c r="AZ24" s="17"/>
      <c r="BA24" s="9">
        <f t="shared" si="3"/>
        <v>0</v>
      </c>
      <c r="BB24" s="17"/>
      <c r="BC24" s="9">
        <f t="shared" si="4"/>
        <v>0</v>
      </c>
      <c r="BD24" s="20"/>
      <c r="BE24" s="20"/>
    </row>
    <row r="25" spans="1:57" ht="45" customHeight="1" x14ac:dyDescent="0.3">
      <c r="A25" s="8">
        <v>43912</v>
      </c>
      <c r="B25" s="45"/>
      <c r="C25" s="17"/>
      <c r="D25" s="9">
        <f t="shared" si="5"/>
        <v>0</v>
      </c>
      <c r="E25" s="17"/>
      <c r="F25" s="9">
        <f t="shared" si="6"/>
        <v>0</v>
      </c>
      <c r="G25" s="17"/>
      <c r="H25" s="9">
        <f t="shared" si="7"/>
        <v>0</v>
      </c>
      <c r="I25" s="17"/>
      <c r="J25" s="9">
        <f t="shared" si="8"/>
        <v>0</v>
      </c>
      <c r="K25" s="17"/>
      <c r="L25" s="9">
        <f t="shared" si="8"/>
        <v>0</v>
      </c>
      <c r="M25" s="17"/>
      <c r="N25" s="9">
        <f t="shared" ref="N25" si="76">IF((M25-M24&lt;0), "0",M25-M24)</f>
        <v>0</v>
      </c>
      <c r="O25" s="17"/>
      <c r="P25" s="9">
        <f t="shared" ref="P25" si="77">IF((O25-O24&lt;0), "0",O25-O24)</f>
        <v>0</v>
      </c>
      <c r="Q25" s="17"/>
      <c r="R25" s="9">
        <f t="shared" ref="R25" si="78">IF((Q25-Q24&lt;0), "0",Q25-Q24)</f>
        <v>0</v>
      </c>
      <c r="S25" s="17"/>
      <c r="T25" s="9">
        <f t="shared" ref="T25" si="79">IF((S25-S24&lt;0), "0",S25-S24)</f>
        <v>0</v>
      </c>
      <c r="U25" s="17"/>
      <c r="V25" s="9">
        <f t="shared" si="46"/>
        <v>0</v>
      </c>
      <c r="W25" s="17"/>
      <c r="X25" s="9">
        <f t="shared" si="46"/>
        <v>0</v>
      </c>
      <c r="Y25" s="17"/>
      <c r="Z25" s="9">
        <f t="shared" si="46"/>
        <v>0</v>
      </c>
      <c r="AA25" s="17"/>
      <c r="AB25" s="9">
        <f t="shared" si="46"/>
        <v>0</v>
      </c>
      <c r="AC25" s="17"/>
      <c r="AD25" s="9">
        <f t="shared" si="46"/>
        <v>0</v>
      </c>
      <c r="AE25" s="7"/>
      <c r="AF25" s="9">
        <f t="shared" si="46"/>
        <v>0</v>
      </c>
      <c r="AG25" s="7"/>
      <c r="AH25" s="9">
        <f t="shared" si="46"/>
        <v>0</v>
      </c>
      <c r="AI25" s="17"/>
      <c r="AJ25" s="9">
        <f t="shared" si="46"/>
        <v>0</v>
      </c>
      <c r="AK25" s="17"/>
      <c r="AL25" s="9">
        <f t="shared" si="46"/>
        <v>0</v>
      </c>
      <c r="AM25" s="17"/>
      <c r="AN25" s="9">
        <f t="shared" si="46"/>
        <v>0</v>
      </c>
      <c r="AO25" s="17"/>
      <c r="AP25" s="9">
        <f t="shared" si="46"/>
        <v>0</v>
      </c>
      <c r="AQ25" s="47"/>
      <c r="AR25" s="17">
        <v>0</v>
      </c>
      <c r="AS25" s="9">
        <v>0</v>
      </c>
      <c r="AT25" s="17">
        <v>0</v>
      </c>
      <c r="AU25" s="9">
        <v>0</v>
      </c>
      <c r="AV25" s="17"/>
      <c r="AW25" s="9">
        <f t="shared" si="1"/>
        <v>0</v>
      </c>
      <c r="AX25" s="17"/>
      <c r="AY25" s="9">
        <f t="shared" si="2"/>
        <v>0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3">
      <c r="A26" s="8">
        <v>43913</v>
      </c>
      <c r="B26" s="45"/>
      <c r="C26" s="17"/>
      <c r="D26" s="9">
        <f t="shared" si="5"/>
        <v>0</v>
      </c>
      <c r="E26" s="17"/>
      <c r="F26" s="9">
        <f t="shared" si="6"/>
        <v>0</v>
      </c>
      <c r="G26" s="17"/>
      <c r="H26" s="9">
        <f t="shared" si="7"/>
        <v>0</v>
      </c>
      <c r="I26" s="17"/>
      <c r="J26" s="9">
        <f t="shared" si="8"/>
        <v>0</v>
      </c>
      <c r="K26" s="17"/>
      <c r="L26" s="9">
        <f t="shared" si="8"/>
        <v>0</v>
      </c>
      <c r="M26" s="17"/>
      <c r="N26" s="9">
        <f t="shared" ref="N26" si="80">IF((M26-M25&lt;0), "0",M26-M25)</f>
        <v>0</v>
      </c>
      <c r="O26" s="17"/>
      <c r="P26" s="9">
        <f t="shared" ref="P26" si="81">IF((O26-O25&lt;0), "0",O26-O25)</f>
        <v>0</v>
      </c>
      <c r="Q26" s="17"/>
      <c r="R26" s="9">
        <f t="shared" ref="R26" si="82">IF((Q26-Q25&lt;0), "0",Q26-Q25)</f>
        <v>0</v>
      </c>
      <c r="S26" s="17"/>
      <c r="T26" s="9">
        <f t="shared" ref="T26" si="83">IF((S26-S25&lt;0), "0",S26-S25)</f>
        <v>0</v>
      </c>
      <c r="U26" s="17"/>
      <c r="V26" s="9">
        <f t="shared" si="46"/>
        <v>0</v>
      </c>
      <c r="W26" s="17"/>
      <c r="X26" s="9">
        <f t="shared" si="46"/>
        <v>0</v>
      </c>
      <c r="Y26" s="17"/>
      <c r="Z26" s="9">
        <f t="shared" si="46"/>
        <v>0</v>
      </c>
      <c r="AA26" s="17"/>
      <c r="AB26" s="9">
        <f t="shared" si="46"/>
        <v>0</v>
      </c>
      <c r="AC26" s="17"/>
      <c r="AD26" s="9">
        <f t="shared" si="46"/>
        <v>0</v>
      </c>
      <c r="AE26" s="7"/>
      <c r="AF26" s="9">
        <f t="shared" si="46"/>
        <v>0</v>
      </c>
      <c r="AG26" s="7"/>
      <c r="AH26" s="9">
        <f t="shared" si="46"/>
        <v>0</v>
      </c>
      <c r="AI26" s="17"/>
      <c r="AJ26" s="9">
        <f t="shared" si="46"/>
        <v>0</v>
      </c>
      <c r="AK26" s="17"/>
      <c r="AL26" s="9">
        <f t="shared" si="46"/>
        <v>0</v>
      </c>
      <c r="AM26" s="17"/>
      <c r="AN26" s="9">
        <f t="shared" si="46"/>
        <v>0</v>
      </c>
      <c r="AO26" s="17"/>
      <c r="AP26" s="9">
        <f t="shared" si="46"/>
        <v>0</v>
      </c>
      <c r="AQ26" s="47"/>
      <c r="AR26" s="17">
        <v>0</v>
      </c>
      <c r="AS26" s="9">
        <v>0</v>
      </c>
      <c r="AT26" s="17">
        <v>0</v>
      </c>
      <c r="AU26" s="9">
        <v>0</v>
      </c>
      <c r="AV26" s="17"/>
      <c r="AW26" s="9">
        <f t="shared" si="1"/>
        <v>0</v>
      </c>
      <c r="AX26" s="17"/>
      <c r="AY26" s="9">
        <f t="shared" si="2"/>
        <v>0</v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3">
      <c r="A27" s="8">
        <v>43914</v>
      </c>
      <c r="B27" s="45"/>
      <c r="C27" s="17"/>
      <c r="D27" s="9">
        <f t="shared" si="5"/>
        <v>0</v>
      </c>
      <c r="E27" s="17"/>
      <c r="F27" s="9">
        <f t="shared" si="6"/>
        <v>0</v>
      </c>
      <c r="G27" s="17"/>
      <c r="H27" s="9">
        <f t="shared" si="7"/>
        <v>0</v>
      </c>
      <c r="I27" s="17"/>
      <c r="J27" s="9">
        <f t="shared" si="8"/>
        <v>0</v>
      </c>
      <c r="K27" s="17"/>
      <c r="L27" s="9">
        <f t="shared" si="8"/>
        <v>0</v>
      </c>
      <c r="M27" s="17"/>
      <c r="N27" s="9">
        <f t="shared" ref="N27" si="84">IF((M27-M26&lt;0), "0",M27-M26)</f>
        <v>0</v>
      </c>
      <c r="O27" s="17"/>
      <c r="P27" s="9">
        <f t="shared" ref="P27" si="85">IF((O27-O26&lt;0), "0",O27-O26)</f>
        <v>0</v>
      </c>
      <c r="Q27" s="17"/>
      <c r="R27" s="9">
        <f t="shared" ref="R27" si="86">IF((Q27-Q26&lt;0), "0",Q27-Q26)</f>
        <v>0</v>
      </c>
      <c r="S27" s="17"/>
      <c r="T27" s="9">
        <f t="shared" ref="T27" si="87">IF((S27-S26&lt;0), "0",S27-S26)</f>
        <v>0</v>
      </c>
      <c r="U27" s="17"/>
      <c r="V27" s="9">
        <f t="shared" si="46"/>
        <v>0</v>
      </c>
      <c r="W27" s="17"/>
      <c r="X27" s="9">
        <f t="shared" si="46"/>
        <v>0</v>
      </c>
      <c r="Y27" s="17"/>
      <c r="Z27" s="9">
        <f t="shared" si="46"/>
        <v>0</v>
      </c>
      <c r="AA27" s="17"/>
      <c r="AB27" s="9">
        <f t="shared" si="46"/>
        <v>0</v>
      </c>
      <c r="AC27" s="17"/>
      <c r="AD27" s="9">
        <f t="shared" si="46"/>
        <v>0</v>
      </c>
      <c r="AE27" s="7"/>
      <c r="AF27" s="9">
        <f t="shared" si="46"/>
        <v>0</v>
      </c>
      <c r="AG27" s="7"/>
      <c r="AH27" s="9">
        <f t="shared" si="46"/>
        <v>0</v>
      </c>
      <c r="AI27" s="17"/>
      <c r="AJ27" s="9">
        <f t="shared" si="46"/>
        <v>0</v>
      </c>
      <c r="AK27" s="17"/>
      <c r="AL27" s="9">
        <f t="shared" si="46"/>
        <v>0</v>
      </c>
      <c r="AM27" s="17"/>
      <c r="AN27" s="9">
        <f t="shared" si="46"/>
        <v>0</v>
      </c>
      <c r="AO27" s="17"/>
      <c r="AP27" s="9">
        <f t="shared" si="46"/>
        <v>0</v>
      </c>
      <c r="AQ27" s="47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43915</v>
      </c>
      <c r="B28" s="45"/>
      <c r="C28" s="17"/>
      <c r="D28" s="9">
        <f t="shared" si="5"/>
        <v>0</v>
      </c>
      <c r="E28" s="17"/>
      <c r="F28" s="9">
        <f t="shared" si="6"/>
        <v>0</v>
      </c>
      <c r="G28" s="17"/>
      <c r="H28" s="9">
        <f t="shared" si="7"/>
        <v>0</v>
      </c>
      <c r="I28" s="17"/>
      <c r="J28" s="9">
        <f t="shared" si="8"/>
        <v>0</v>
      </c>
      <c r="K28" s="17"/>
      <c r="L28" s="9">
        <f t="shared" si="8"/>
        <v>0</v>
      </c>
      <c r="M28" s="17"/>
      <c r="N28" s="9">
        <f t="shared" ref="N28" si="88">IF((M28-M27&lt;0), "0",M28-M27)</f>
        <v>0</v>
      </c>
      <c r="O28" s="17"/>
      <c r="P28" s="9">
        <f t="shared" ref="P28" si="89">IF((O28-O27&lt;0), "0",O28-O27)</f>
        <v>0</v>
      </c>
      <c r="Q28" s="17"/>
      <c r="R28" s="9">
        <f t="shared" ref="R28" si="90">IF((Q28-Q27&lt;0), "0",Q28-Q27)</f>
        <v>0</v>
      </c>
      <c r="S28" s="17"/>
      <c r="T28" s="9">
        <f t="shared" ref="T28" si="91">IF((S28-S27&lt;0), "0",S28-S27)</f>
        <v>0</v>
      </c>
      <c r="U28" s="17"/>
      <c r="V28" s="9">
        <f t="shared" si="46"/>
        <v>0</v>
      </c>
      <c r="W28" s="17"/>
      <c r="X28" s="9">
        <f t="shared" si="46"/>
        <v>0</v>
      </c>
      <c r="Y28" s="17"/>
      <c r="Z28" s="9">
        <f t="shared" si="46"/>
        <v>0</v>
      </c>
      <c r="AA28" s="17"/>
      <c r="AB28" s="9">
        <f t="shared" si="46"/>
        <v>0</v>
      </c>
      <c r="AC28" s="17"/>
      <c r="AD28" s="9">
        <f t="shared" si="46"/>
        <v>0</v>
      </c>
      <c r="AE28" s="7"/>
      <c r="AF28" s="9">
        <f t="shared" si="46"/>
        <v>0</v>
      </c>
      <c r="AG28" s="7"/>
      <c r="AH28" s="9">
        <f t="shared" si="46"/>
        <v>0</v>
      </c>
      <c r="AI28" s="17"/>
      <c r="AJ28" s="9">
        <f t="shared" si="46"/>
        <v>0</v>
      </c>
      <c r="AK28" s="17"/>
      <c r="AL28" s="9">
        <f t="shared" si="46"/>
        <v>0</v>
      </c>
      <c r="AM28" s="17"/>
      <c r="AN28" s="9">
        <f t="shared" si="46"/>
        <v>0</v>
      </c>
      <c r="AO28" s="17"/>
      <c r="AP28" s="9">
        <f t="shared" si="46"/>
        <v>0</v>
      </c>
      <c r="AQ28" s="47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43916</v>
      </c>
      <c r="B29" s="45"/>
      <c r="C29" s="17"/>
      <c r="D29" s="9">
        <f t="shared" si="5"/>
        <v>0</v>
      </c>
      <c r="E29" s="17"/>
      <c r="F29" s="9">
        <f t="shared" si="6"/>
        <v>0</v>
      </c>
      <c r="G29" s="17"/>
      <c r="H29" s="9">
        <f t="shared" si="7"/>
        <v>0</v>
      </c>
      <c r="I29" s="17"/>
      <c r="J29" s="9">
        <f t="shared" si="8"/>
        <v>0</v>
      </c>
      <c r="K29" s="17"/>
      <c r="L29" s="9">
        <f t="shared" si="8"/>
        <v>0</v>
      </c>
      <c r="M29" s="17"/>
      <c r="N29" s="9">
        <f t="shared" ref="N29" si="92">IF((M29-M28&lt;0), "0",M29-M28)</f>
        <v>0</v>
      </c>
      <c r="O29" s="17"/>
      <c r="P29" s="9">
        <f t="shared" ref="P29" si="93">IF((O29-O28&lt;0), "0",O29-O28)</f>
        <v>0</v>
      </c>
      <c r="Q29" s="17"/>
      <c r="R29" s="9">
        <f t="shared" ref="R29" si="94">IF((Q29-Q28&lt;0), "0",Q29-Q28)</f>
        <v>0</v>
      </c>
      <c r="S29" s="17"/>
      <c r="T29" s="9">
        <f t="shared" ref="T29" si="95">IF((S29-S28&lt;0), "0",S29-S28)</f>
        <v>0</v>
      </c>
      <c r="U29" s="17"/>
      <c r="V29" s="9">
        <f t="shared" si="46"/>
        <v>0</v>
      </c>
      <c r="W29" s="17"/>
      <c r="X29" s="9">
        <f t="shared" si="46"/>
        <v>0</v>
      </c>
      <c r="Y29" s="17"/>
      <c r="Z29" s="9">
        <f t="shared" si="46"/>
        <v>0</v>
      </c>
      <c r="AA29" s="17"/>
      <c r="AB29" s="9">
        <f t="shared" si="46"/>
        <v>0</v>
      </c>
      <c r="AC29" s="17"/>
      <c r="AD29" s="9">
        <f t="shared" si="46"/>
        <v>0</v>
      </c>
      <c r="AE29" s="7"/>
      <c r="AF29" s="9">
        <f t="shared" si="46"/>
        <v>0</v>
      </c>
      <c r="AG29" s="7"/>
      <c r="AH29" s="9">
        <f t="shared" si="46"/>
        <v>0</v>
      </c>
      <c r="AI29" s="17"/>
      <c r="AJ29" s="9">
        <f t="shared" si="46"/>
        <v>0</v>
      </c>
      <c r="AK29" s="17"/>
      <c r="AL29" s="9">
        <f t="shared" si="46"/>
        <v>0</v>
      </c>
      <c r="AM29" s="17"/>
      <c r="AN29" s="9">
        <f t="shared" si="46"/>
        <v>0</v>
      </c>
      <c r="AO29" s="17"/>
      <c r="AP29" s="9">
        <f t="shared" si="46"/>
        <v>0</v>
      </c>
      <c r="AQ29" s="48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43917</v>
      </c>
      <c r="B30" s="45"/>
      <c r="C30" s="17"/>
      <c r="D30" s="9">
        <f t="shared" si="5"/>
        <v>0</v>
      </c>
      <c r="E30" s="17"/>
      <c r="F30" s="9">
        <f t="shared" si="6"/>
        <v>0</v>
      </c>
      <c r="G30" s="17"/>
      <c r="H30" s="9">
        <f t="shared" si="7"/>
        <v>0</v>
      </c>
      <c r="I30" s="17"/>
      <c r="J30" s="9">
        <f t="shared" si="8"/>
        <v>0</v>
      </c>
      <c r="K30" s="17"/>
      <c r="L30" s="9">
        <f t="shared" si="8"/>
        <v>0</v>
      </c>
      <c r="M30" s="17"/>
      <c r="N30" s="9">
        <f t="shared" ref="N30" si="96">IF((M30-M29&lt;0), "0",M30-M29)</f>
        <v>0</v>
      </c>
      <c r="O30" s="17"/>
      <c r="P30" s="9">
        <f t="shared" ref="P30" si="97">IF((O30-O29&lt;0), "0",O30-O29)</f>
        <v>0</v>
      </c>
      <c r="Q30" s="17"/>
      <c r="R30" s="9">
        <f t="shared" ref="R30" si="98">IF((Q30-Q29&lt;0), "0",Q30-Q29)</f>
        <v>0</v>
      </c>
      <c r="S30" s="17"/>
      <c r="T30" s="9">
        <f t="shared" ref="T30" si="99">IF((S30-S29&lt;0), "0",S30-S29)</f>
        <v>0</v>
      </c>
      <c r="U30" s="17"/>
      <c r="V30" s="9">
        <f t="shared" si="46"/>
        <v>0</v>
      </c>
      <c r="W30" s="17"/>
      <c r="X30" s="9">
        <f t="shared" si="46"/>
        <v>0</v>
      </c>
      <c r="Y30" s="17"/>
      <c r="Z30" s="9">
        <f t="shared" si="46"/>
        <v>0</v>
      </c>
      <c r="AA30" s="17"/>
      <c r="AB30" s="9">
        <f t="shared" si="46"/>
        <v>0</v>
      </c>
      <c r="AC30" s="17"/>
      <c r="AD30" s="9">
        <f t="shared" si="46"/>
        <v>0</v>
      </c>
      <c r="AE30" s="7"/>
      <c r="AF30" s="9">
        <f t="shared" si="46"/>
        <v>0</v>
      </c>
      <c r="AG30" s="7"/>
      <c r="AH30" s="9">
        <f t="shared" si="46"/>
        <v>0</v>
      </c>
      <c r="AI30" s="17"/>
      <c r="AJ30" s="9">
        <f t="shared" si="46"/>
        <v>0</v>
      </c>
      <c r="AK30" s="17"/>
      <c r="AL30" s="9">
        <f t="shared" si="46"/>
        <v>0</v>
      </c>
      <c r="AM30" s="17"/>
      <c r="AN30" s="9">
        <f t="shared" si="46"/>
        <v>0</v>
      </c>
      <c r="AO30" s="17"/>
      <c r="AP30" s="9">
        <f t="shared" si="46"/>
        <v>0</v>
      </c>
      <c r="AQ30" s="48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43918</v>
      </c>
      <c r="B31" s="46"/>
      <c r="C31" s="29"/>
      <c r="D31" s="9">
        <f t="shared" si="5"/>
        <v>0</v>
      </c>
      <c r="E31" s="29"/>
      <c r="F31" s="9">
        <f t="shared" si="6"/>
        <v>0</v>
      </c>
      <c r="G31" s="29"/>
      <c r="H31" s="9">
        <f t="shared" si="7"/>
        <v>0</v>
      </c>
      <c r="I31" s="29"/>
      <c r="J31" s="9">
        <f t="shared" si="8"/>
        <v>0</v>
      </c>
      <c r="K31" s="29"/>
      <c r="L31" s="9">
        <f t="shared" si="8"/>
        <v>0</v>
      </c>
      <c r="M31" s="29"/>
      <c r="N31" s="9">
        <f t="shared" ref="N31" si="100">IF((M31-M30&lt;0), "0",M31-M30)</f>
        <v>0</v>
      </c>
      <c r="O31" s="29"/>
      <c r="P31" s="9">
        <f t="shared" ref="P31" si="101">IF((O31-O30&lt;0), "0",O31-O30)</f>
        <v>0</v>
      </c>
      <c r="Q31" s="29"/>
      <c r="R31" s="9">
        <f t="shared" ref="R31" si="102">IF((Q31-Q30&lt;0), "0",Q31-Q30)</f>
        <v>0</v>
      </c>
      <c r="S31" s="29"/>
      <c r="T31" s="9">
        <f t="shared" ref="T31" si="103">IF((S31-S30&lt;0), "0",S31-S30)</f>
        <v>0</v>
      </c>
      <c r="U31" s="29"/>
      <c r="V31" s="30">
        <f t="shared" si="46"/>
        <v>0</v>
      </c>
      <c r="W31" s="29"/>
      <c r="X31" s="30">
        <f t="shared" si="46"/>
        <v>0</v>
      </c>
      <c r="Y31" s="29"/>
      <c r="Z31" s="30">
        <f t="shared" si="46"/>
        <v>0</v>
      </c>
      <c r="AA31" s="29"/>
      <c r="AB31" s="30">
        <f t="shared" si="46"/>
        <v>0</v>
      </c>
      <c r="AC31" s="29"/>
      <c r="AD31" s="30">
        <f t="shared" si="46"/>
        <v>0</v>
      </c>
      <c r="AE31" s="7"/>
      <c r="AF31" s="30">
        <f t="shared" si="46"/>
        <v>0</v>
      </c>
      <c r="AG31" s="7"/>
      <c r="AH31" s="30">
        <f t="shared" si="46"/>
        <v>0</v>
      </c>
      <c r="AI31" s="29"/>
      <c r="AJ31" s="30">
        <f t="shared" si="46"/>
        <v>0</v>
      </c>
      <c r="AK31" s="29"/>
      <c r="AL31" s="30">
        <f t="shared" si="46"/>
        <v>0</v>
      </c>
      <c r="AM31" s="29"/>
      <c r="AN31" s="30">
        <f t="shared" si="46"/>
        <v>0</v>
      </c>
      <c r="AO31" s="29"/>
      <c r="AP31" s="9">
        <f t="shared" si="46"/>
        <v>0</v>
      </c>
      <c r="AQ31" s="48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43919</v>
      </c>
      <c r="B32" s="32"/>
      <c r="C32" s="17"/>
      <c r="D32" s="9">
        <f t="shared" si="5"/>
        <v>0</v>
      </c>
      <c r="E32" s="32"/>
      <c r="F32" s="9">
        <f t="shared" si="6"/>
        <v>0</v>
      </c>
      <c r="G32" s="17"/>
      <c r="H32" s="9">
        <f t="shared" si="7"/>
        <v>0</v>
      </c>
      <c r="I32" s="17"/>
      <c r="J32" s="9">
        <f t="shared" si="8"/>
        <v>0</v>
      </c>
      <c r="K32" s="32"/>
      <c r="L32" s="9">
        <f t="shared" si="8"/>
        <v>0</v>
      </c>
      <c r="M32" s="32"/>
      <c r="N32" s="9">
        <f t="shared" ref="N32" si="104">IF((M32-M31&lt;0), "0",M32-M31)</f>
        <v>0</v>
      </c>
      <c r="O32" s="33"/>
      <c r="P32" s="9">
        <f t="shared" ref="P32" si="105">IF((O32-O31&lt;0), "0",O32-O31)</f>
        <v>0</v>
      </c>
      <c r="Q32" s="17"/>
      <c r="R32" s="9">
        <f t="shared" ref="R32" si="106">IF((Q32-Q31&lt;0), "0",Q32-Q31)</f>
        <v>0</v>
      </c>
      <c r="S32" s="17"/>
      <c r="T32" s="9">
        <f t="shared" ref="T32" si="107">IF((S32-S31&lt;0), "0",S32-S31)</f>
        <v>0</v>
      </c>
      <c r="U32" s="17"/>
      <c r="V32" s="30">
        <f t="shared" si="46"/>
        <v>0</v>
      </c>
      <c r="W32" s="17"/>
      <c r="X32" s="30">
        <f t="shared" si="46"/>
        <v>0</v>
      </c>
      <c r="Y32" s="32"/>
      <c r="Z32" s="30">
        <f t="shared" si="46"/>
        <v>0</v>
      </c>
      <c r="AA32" s="32"/>
      <c r="AB32" s="30">
        <f t="shared" si="46"/>
        <v>0</v>
      </c>
      <c r="AC32" s="32"/>
      <c r="AD32" s="30">
        <f t="shared" si="46"/>
        <v>0</v>
      </c>
      <c r="AE32" s="17"/>
      <c r="AF32" s="30">
        <f t="shared" si="46"/>
        <v>0</v>
      </c>
      <c r="AG32" s="17"/>
      <c r="AH32" s="30">
        <f t="shared" si="46"/>
        <v>0</v>
      </c>
      <c r="AI32" s="17"/>
      <c r="AJ32" s="30">
        <f t="shared" si="46"/>
        <v>0</v>
      </c>
      <c r="AK32" s="17"/>
      <c r="AL32" s="30">
        <f t="shared" si="46"/>
        <v>0</v>
      </c>
      <c r="AM32" s="17"/>
      <c r="AN32" s="30">
        <f t="shared" si="46"/>
        <v>0</v>
      </c>
      <c r="AO32" s="17"/>
      <c r="AP32" s="9">
        <f t="shared" si="46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>
        <v>43920</v>
      </c>
      <c r="B33" s="32"/>
      <c r="C33" s="34"/>
      <c r="D33" s="9">
        <f t="shared" si="5"/>
        <v>0</v>
      </c>
      <c r="E33" s="32"/>
      <c r="F33" s="9">
        <f t="shared" si="6"/>
        <v>0</v>
      </c>
      <c r="G33" s="17"/>
      <c r="H33" s="9">
        <f t="shared" si="7"/>
        <v>0</v>
      </c>
      <c r="I33" s="35"/>
      <c r="J33" s="9">
        <f t="shared" si="8"/>
        <v>0</v>
      </c>
      <c r="K33" s="35"/>
      <c r="L33" s="9">
        <f t="shared" si="8"/>
        <v>0</v>
      </c>
      <c r="M33" s="32"/>
      <c r="N33" s="9">
        <f t="shared" ref="N33" si="108">IF((M33-M32&lt;0), "0",M33-M32)</f>
        <v>0</v>
      </c>
      <c r="O33" s="33"/>
      <c r="P33" s="9">
        <f t="shared" ref="P33" si="109">IF((O33-O32&lt;0), "0",O33-O32)</f>
        <v>0</v>
      </c>
      <c r="Q33" s="32"/>
      <c r="R33" s="9">
        <f t="shared" ref="R33" si="110">IF((Q33-Q32&lt;0), "0",Q33-Q32)</f>
        <v>0</v>
      </c>
      <c r="S33" s="32"/>
      <c r="T33" s="9">
        <f t="shared" ref="T33" si="111">IF((S33-S32&lt;0), "0",S33-S32)</f>
        <v>0</v>
      </c>
      <c r="U33" s="32"/>
      <c r="V33" s="30">
        <f t="shared" si="46"/>
        <v>0</v>
      </c>
      <c r="W33" s="32"/>
      <c r="X33" s="30">
        <f t="shared" si="46"/>
        <v>0</v>
      </c>
      <c r="Y33" s="32"/>
      <c r="Z33" s="30">
        <f t="shared" si="46"/>
        <v>0</v>
      </c>
      <c r="AA33" s="32"/>
      <c r="AB33" s="30">
        <f t="shared" si="46"/>
        <v>0</v>
      </c>
      <c r="AC33" s="32"/>
      <c r="AD33" s="30">
        <f t="shared" si="46"/>
        <v>0</v>
      </c>
      <c r="AE33" s="32"/>
      <c r="AF33" s="30">
        <f t="shared" si="46"/>
        <v>0</v>
      </c>
      <c r="AG33" s="32"/>
      <c r="AH33" s="30">
        <f t="shared" si="46"/>
        <v>0</v>
      </c>
      <c r="AI33" s="17"/>
      <c r="AJ33" s="30">
        <f t="shared" si="46"/>
        <v>0</v>
      </c>
      <c r="AK33" s="32"/>
      <c r="AL33" s="30">
        <f t="shared" si="46"/>
        <v>0</v>
      </c>
      <c r="AM33" s="17"/>
      <c r="AN33" s="30">
        <f t="shared" si="46"/>
        <v>0</v>
      </c>
      <c r="AO33" s="17"/>
      <c r="AP33" s="30">
        <f t="shared" si="46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>
        <v>43921</v>
      </c>
      <c r="B34" s="32"/>
      <c r="C34" s="17"/>
      <c r="D34" s="9">
        <f t="shared" si="5"/>
        <v>0</v>
      </c>
      <c r="E34" s="32"/>
      <c r="F34" s="9">
        <f t="shared" si="6"/>
        <v>0</v>
      </c>
      <c r="G34" s="17"/>
      <c r="H34" s="9">
        <f t="shared" si="7"/>
        <v>0</v>
      </c>
      <c r="I34" s="32"/>
      <c r="J34" s="9">
        <f t="shared" si="8"/>
        <v>0</v>
      </c>
      <c r="K34" s="32"/>
      <c r="L34" s="9">
        <f t="shared" si="8"/>
        <v>0</v>
      </c>
      <c r="M34" s="32"/>
      <c r="N34" s="9">
        <f t="shared" ref="N34" si="112">IF((M34-M33&lt;0), "0",M34-M33)</f>
        <v>0</v>
      </c>
      <c r="O34" s="33"/>
      <c r="P34" s="9">
        <f t="shared" ref="P34" si="113">IF((O34-O33&lt;0), "0",O34-O33)</f>
        <v>0</v>
      </c>
      <c r="Q34" s="32"/>
      <c r="R34" s="9">
        <f t="shared" ref="R34" si="114">IF((Q34-Q33&lt;0), "0",Q34-Q33)</f>
        <v>0</v>
      </c>
      <c r="S34" s="32"/>
      <c r="T34" s="9">
        <f t="shared" ref="T34" si="115">IF((S34-S33&lt;0), "0",S34-S33)</f>
        <v>0</v>
      </c>
      <c r="U34" s="32"/>
      <c r="V34" s="30">
        <f t="shared" si="46"/>
        <v>0</v>
      </c>
      <c r="W34" s="32"/>
      <c r="X34" s="30">
        <f t="shared" si="46"/>
        <v>0</v>
      </c>
      <c r="Y34" s="32"/>
      <c r="Z34" s="30">
        <f t="shared" si="46"/>
        <v>0</v>
      </c>
      <c r="AA34" s="32"/>
      <c r="AB34" s="30">
        <f t="shared" si="46"/>
        <v>0</v>
      </c>
      <c r="AC34" s="32"/>
      <c r="AD34" s="30">
        <f t="shared" si="46"/>
        <v>0</v>
      </c>
      <c r="AE34" s="32"/>
      <c r="AF34" s="30">
        <f t="shared" si="46"/>
        <v>0</v>
      </c>
      <c r="AG34" s="32"/>
      <c r="AH34" s="30">
        <f t="shared" si="46"/>
        <v>0</v>
      </c>
      <c r="AI34" s="17"/>
      <c r="AJ34" s="30">
        <f t="shared" si="46"/>
        <v>0</v>
      </c>
      <c r="AK34" s="32"/>
      <c r="AL34" s="30">
        <f t="shared" si="46"/>
        <v>0</v>
      </c>
      <c r="AM34" s="17"/>
      <c r="AN34" s="30">
        <f t="shared" si="46"/>
        <v>0</v>
      </c>
      <c r="AO34" s="17"/>
      <c r="AP34" s="30">
        <f t="shared" si="46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Vaida Jasiulyte</cp:lastModifiedBy>
  <dcterms:created xsi:type="dcterms:W3CDTF">2017-05-03T09:23:30Z</dcterms:created>
  <dcterms:modified xsi:type="dcterms:W3CDTF">2020-03-13T15:59:47Z</dcterms:modified>
</cp:coreProperties>
</file>