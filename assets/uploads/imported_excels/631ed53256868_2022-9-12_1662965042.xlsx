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yn.abaygar\Four Seasons Hotels Limited\DOH_Engineering Shared Drives_O365 - General\Engineering\Engineering Share\CENTRAL PLANT JOHN\HEP\HEP 2022\"/>
    </mc:Choice>
  </mc:AlternateContent>
  <bookViews>
    <workbookView xWindow="-60" yWindow="-60" windowWidth="15480" windowHeight="11640" tabRatio="607" firstSheet="2" activeTab="3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Anish Thottackattu P. Achary - Personal View" guid="{3F0D6565-C55E-43AC-AC5D-87C4E1D85423}" mergeInterval="0" personalView="1" maximized="1" xWindow="-8" yWindow="-8" windowWidth="1936" windowHeight="1056" tabRatio="607" activeSheetId="4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X - Personal View" guid="{91089E3D-1703-4FEE-B13A-4F0669A06DB8}" mergeInterval="0" personalView="1" maximized="1" xWindow="-4" yWindow="-4" windowWidth="1032" windowHeight="776" tabRatio="607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3" l="1"/>
  <c r="O26" i="3"/>
  <c r="N26" i="3"/>
  <c r="M26" i="3"/>
  <c r="L26" i="3"/>
  <c r="K26" i="3"/>
  <c r="J26" i="3"/>
  <c r="I26" i="3"/>
  <c r="G26" i="3"/>
  <c r="F26" i="3"/>
  <c r="E26" i="3"/>
  <c r="D26" i="3"/>
  <c r="C26" i="3"/>
  <c r="L26" i="4"/>
  <c r="K26" i="4"/>
  <c r="J26" i="4"/>
  <c r="I26" i="4"/>
  <c r="H26" i="4"/>
  <c r="G26" i="4"/>
  <c r="E26" i="4"/>
  <c r="D26" i="4"/>
  <c r="C26" i="4"/>
  <c r="D26" i="5"/>
  <c r="C26" i="5"/>
  <c r="E26" i="5" s="1"/>
  <c r="D24" i="5"/>
  <c r="C24" i="5"/>
  <c r="E24" i="5" s="1"/>
  <c r="D22" i="5"/>
  <c r="C22" i="5"/>
  <c r="E22" i="5" s="1"/>
  <c r="L24" i="4"/>
  <c r="K24" i="4"/>
  <c r="J24" i="4"/>
  <c r="I24" i="4"/>
  <c r="H24" i="4"/>
  <c r="G24" i="4"/>
  <c r="E24" i="4"/>
  <c r="D24" i="4"/>
  <c r="C24" i="4"/>
  <c r="L22" i="4"/>
  <c r="K22" i="4"/>
  <c r="J22" i="4"/>
  <c r="I22" i="4"/>
  <c r="H22" i="4"/>
  <c r="G22" i="4"/>
  <c r="E22" i="4"/>
  <c r="D22" i="4"/>
  <c r="C22" i="4"/>
  <c r="P24" i="3"/>
  <c r="O24" i="3"/>
  <c r="N24" i="3"/>
  <c r="M24" i="3"/>
  <c r="L24" i="3"/>
  <c r="K24" i="3"/>
  <c r="J24" i="3"/>
  <c r="I24" i="3"/>
  <c r="G24" i="3"/>
  <c r="F24" i="3"/>
  <c r="E24" i="3"/>
  <c r="D24" i="3"/>
  <c r="C24" i="3"/>
  <c r="P22" i="3"/>
  <c r="O22" i="3"/>
  <c r="N22" i="3"/>
  <c r="M22" i="3"/>
  <c r="L22" i="3"/>
  <c r="K22" i="3"/>
  <c r="J22" i="3"/>
  <c r="I22" i="3"/>
  <c r="G22" i="3"/>
  <c r="F22" i="3"/>
  <c r="E22" i="3"/>
  <c r="D22" i="3"/>
  <c r="C22" i="3"/>
  <c r="D20" i="5"/>
  <c r="C20" i="5"/>
  <c r="E20" i="5" s="1"/>
  <c r="D18" i="5"/>
  <c r="C18" i="5"/>
  <c r="E18" i="5" s="1"/>
  <c r="N18" i="3"/>
  <c r="N16" i="3"/>
  <c r="L20" i="4"/>
  <c r="K20" i="4"/>
  <c r="J20" i="4"/>
  <c r="I20" i="4"/>
  <c r="H20" i="4"/>
  <c r="G20" i="4"/>
  <c r="E20" i="4"/>
  <c r="D20" i="4"/>
  <c r="C20" i="4"/>
  <c r="L18" i="4"/>
  <c r="K18" i="4"/>
  <c r="J18" i="4"/>
  <c r="I18" i="4"/>
  <c r="H18" i="4"/>
  <c r="G18" i="4"/>
  <c r="E18" i="4"/>
  <c r="D18" i="4"/>
  <c r="C18" i="4"/>
  <c r="P20" i="3"/>
  <c r="O20" i="3"/>
  <c r="N20" i="3"/>
  <c r="M20" i="3"/>
  <c r="L20" i="3"/>
  <c r="K20" i="3"/>
  <c r="J20" i="3"/>
  <c r="I20" i="3"/>
  <c r="G20" i="3"/>
  <c r="F20" i="3"/>
  <c r="E20" i="3"/>
  <c r="D20" i="3"/>
  <c r="C20" i="3"/>
  <c r="P18" i="3"/>
  <c r="O18" i="3"/>
  <c r="M18" i="3"/>
  <c r="L18" i="3"/>
  <c r="K18" i="3"/>
  <c r="J18" i="3"/>
  <c r="I18" i="3"/>
  <c r="G18" i="3"/>
  <c r="F18" i="3"/>
  <c r="E18" i="3"/>
  <c r="D18" i="3"/>
  <c r="C18" i="3"/>
  <c r="D16" i="5"/>
  <c r="C16" i="5"/>
  <c r="E16" i="5" s="1"/>
  <c r="D14" i="5"/>
  <c r="C14" i="5"/>
  <c r="E14" i="5" s="1"/>
  <c r="L16" i="4"/>
  <c r="K16" i="4"/>
  <c r="J16" i="4"/>
  <c r="I16" i="4"/>
  <c r="H16" i="4"/>
  <c r="G16" i="4"/>
  <c r="E16" i="4"/>
  <c r="D16" i="4"/>
  <c r="C16" i="4"/>
  <c r="L14" i="4"/>
  <c r="K14" i="4"/>
  <c r="J14" i="4"/>
  <c r="I14" i="4"/>
  <c r="H14" i="4"/>
  <c r="G14" i="4"/>
  <c r="E14" i="4"/>
  <c r="D14" i="4"/>
  <c r="C14" i="4"/>
  <c r="P16" i="3"/>
  <c r="O16" i="3"/>
  <c r="M16" i="3"/>
  <c r="L16" i="3"/>
  <c r="K16" i="3"/>
  <c r="J16" i="3"/>
  <c r="I16" i="3"/>
  <c r="G16" i="3"/>
  <c r="F16" i="3"/>
  <c r="E16" i="3"/>
  <c r="D16" i="3"/>
  <c r="C16" i="3"/>
  <c r="P14" i="3"/>
  <c r="O14" i="3"/>
  <c r="N14" i="3"/>
  <c r="M14" i="3"/>
  <c r="L14" i="3"/>
  <c r="K14" i="3"/>
  <c r="J14" i="3"/>
  <c r="I14" i="3"/>
  <c r="G14" i="3"/>
  <c r="F14" i="3"/>
  <c r="E14" i="3"/>
  <c r="D14" i="3"/>
  <c r="C14" i="3"/>
  <c r="L8" i="3"/>
  <c r="P12" i="3"/>
  <c r="O12" i="3"/>
  <c r="N12" i="3"/>
  <c r="M12" i="3"/>
  <c r="L12" i="3"/>
  <c r="K12" i="3"/>
  <c r="J12" i="3"/>
  <c r="I12" i="3"/>
  <c r="G12" i="3"/>
  <c r="F12" i="3"/>
  <c r="E12" i="3"/>
  <c r="D12" i="3"/>
  <c r="C12" i="3"/>
  <c r="L12" i="4"/>
  <c r="K12" i="4"/>
  <c r="J12" i="4"/>
  <c r="I12" i="4"/>
  <c r="H12" i="4"/>
  <c r="G12" i="4"/>
  <c r="E12" i="4"/>
  <c r="D12" i="4"/>
  <c r="C12" i="4"/>
  <c r="D12" i="5"/>
  <c r="C12" i="5"/>
  <c r="E12" i="5" s="1"/>
  <c r="D10" i="5"/>
  <c r="C10" i="5"/>
  <c r="E10" i="5" s="1"/>
  <c r="H10" i="4"/>
  <c r="I10" i="4"/>
  <c r="J10" i="4"/>
  <c r="K10" i="4"/>
  <c r="L10" i="4"/>
  <c r="G10" i="4"/>
  <c r="M10" i="4"/>
  <c r="D10" i="4"/>
  <c r="E10" i="4"/>
  <c r="C10" i="4"/>
  <c r="F10" i="4" s="1"/>
  <c r="J10" i="3"/>
  <c r="K10" i="3"/>
  <c r="L10" i="3"/>
  <c r="M10" i="3"/>
  <c r="N10" i="3"/>
  <c r="O10" i="3"/>
  <c r="P10" i="3"/>
  <c r="I10" i="3"/>
  <c r="Q10" i="3"/>
  <c r="D10" i="3"/>
  <c r="E10" i="3"/>
  <c r="F10" i="3"/>
  <c r="G10" i="3"/>
  <c r="C10" i="3"/>
  <c r="H10" i="3" s="1"/>
  <c r="D8" i="5"/>
  <c r="P8" i="3"/>
  <c r="O8" i="3"/>
  <c r="N8" i="3"/>
  <c r="M8" i="3"/>
  <c r="K8" i="3"/>
  <c r="J8" i="3"/>
  <c r="I8" i="3"/>
  <c r="C8" i="5"/>
  <c r="E8" i="5" s="1"/>
  <c r="L8" i="4"/>
  <c r="K8" i="4"/>
  <c r="J8" i="4"/>
  <c r="I8" i="4"/>
  <c r="H8" i="4"/>
  <c r="G8" i="4"/>
  <c r="E8" i="4"/>
  <c r="D8" i="4"/>
  <c r="C8" i="4"/>
  <c r="G8" i="3"/>
  <c r="F8" i="3"/>
  <c r="E8" i="3"/>
  <c r="D8" i="3"/>
  <c r="C8" i="3"/>
  <c r="H26" i="3" l="1"/>
  <c r="Q26" i="3"/>
  <c r="R26" i="3" s="1"/>
  <c r="F26" i="4"/>
  <c r="M26" i="4"/>
  <c r="N26" i="4" s="1"/>
  <c r="F22" i="4"/>
  <c r="M22" i="4"/>
  <c r="N22" i="4" s="1"/>
  <c r="F24" i="4"/>
  <c r="M24" i="4"/>
  <c r="N24" i="4" s="1"/>
  <c r="H22" i="3"/>
  <c r="Q22" i="3"/>
  <c r="R22" i="3" s="1"/>
  <c r="H24" i="3"/>
  <c r="Q24" i="3"/>
  <c r="R24" i="3" s="1"/>
  <c r="F18" i="4"/>
  <c r="M18" i="4"/>
  <c r="N18" i="4" s="1"/>
  <c r="F20" i="4"/>
  <c r="M20" i="4"/>
  <c r="N20" i="4" s="1"/>
  <c r="H18" i="3"/>
  <c r="Q18" i="3"/>
  <c r="R18" i="3" s="1"/>
  <c r="H20" i="3"/>
  <c r="Q20" i="3"/>
  <c r="R20" i="3" s="1"/>
  <c r="F14" i="4"/>
  <c r="M14" i="4"/>
  <c r="N14" i="4" s="1"/>
  <c r="F16" i="4"/>
  <c r="M16" i="4"/>
  <c r="N16" i="4" s="1"/>
  <c r="H14" i="3"/>
  <c r="Q14" i="3"/>
  <c r="R14" i="3" s="1"/>
  <c r="H16" i="3"/>
  <c r="Q16" i="3"/>
  <c r="R16" i="3" s="1"/>
  <c r="H12" i="3"/>
  <c r="Q12" i="3"/>
  <c r="R12" i="3" s="1"/>
  <c r="F12" i="4"/>
  <c r="M12" i="4"/>
  <c r="N12" i="4" s="1"/>
  <c r="N10" i="4"/>
  <c r="R10" i="3"/>
  <c r="H8" i="3"/>
  <c r="F8" i="4"/>
  <c r="Q8" i="3"/>
  <c r="R8" i="3" s="1"/>
  <c r="M8" i="4"/>
  <c r="N8" i="4" s="1"/>
  <c r="S38" i="4"/>
  <c r="R38" i="4"/>
  <c r="Q38" i="4"/>
  <c r="E17" i="1" l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7" i="1" a="1"/>
  <c r="G17" i="1" s="1"/>
  <c r="G18" i="1" a="1"/>
  <c r="G18" i="1" s="1"/>
  <c r="E19" i="1" a="1"/>
  <c r="E19" i="1" s="1"/>
  <c r="E18" i="1" a="1"/>
  <c r="E18" i="1" s="1"/>
  <c r="G19" i="1" a="1"/>
  <c r="G19" i="1" s="1"/>
  <c r="G20" i="1" a="1"/>
  <c r="G20" i="1" s="1"/>
  <c r="E20" i="1" a="1"/>
  <c r="E20" i="1" s="1"/>
  <c r="E21" i="1" a="1"/>
  <c r="E21" i="1" s="1"/>
  <c r="G21" i="1" a="1"/>
  <c r="G21" i="1" s="1"/>
  <c r="E11" i="1" l="1" a="1"/>
  <c r="E11" i="1" s="1"/>
  <c r="G11" i="1" a="1"/>
  <c r="G11" i="1" s="1"/>
  <c r="G9" i="1" l="1" a="1"/>
  <c r="G9" i="1" s="1"/>
  <c r="E9" i="1" a="1"/>
  <c r="E9" i="1" s="1"/>
  <c r="E10" i="1" a="1"/>
  <c r="E10" i="1" s="1"/>
  <c r="G10" i="1" a="1"/>
  <c r="G10" i="1" s="1"/>
  <c r="E8" i="1" l="1" a="1"/>
  <c r="E8" i="1" s="1"/>
  <c r="G8" i="1" a="1"/>
  <c r="G8" i="1" s="1"/>
  <c r="E7" i="1" l="1" a="1"/>
  <c r="E7" i="1" s="1"/>
  <c r="G7" i="1" a="1"/>
  <c r="G7" i="1" s="1"/>
  <c r="E6" i="1" l="1" a="1"/>
  <c r="E6" i="1" s="1"/>
  <c r="G6" i="1" a="1"/>
  <c r="G6" i="1" s="1"/>
  <c r="E5" i="1" l="1" a="1"/>
  <c r="E5" i="1" s="1"/>
  <c r="G5" i="1" a="1"/>
  <c r="G5" i="1" s="1"/>
  <c r="E4" i="1" l="1" a="1"/>
  <c r="E4" i="1" s="1"/>
  <c r="G4" i="1" l="1" a="1"/>
  <c r="G4" i="1" s="1"/>
  <c r="G30" i="1" l="1" a="1"/>
  <c r="G30" i="1" s="1"/>
  <c r="G31" i="1" a="1"/>
  <c r="G31" i="1" s="1"/>
  <c r="E30" i="1" a="1"/>
  <c r="E30" i="1" s="1"/>
  <c r="E31" i="1" a="1"/>
  <c r="E31" i="1" s="1"/>
  <c r="E26" i="1" l="1" a="1"/>
  <c r="E26" i="1" s="1"/>
  <c r="E29" i="1" a="1"/>
  <c r="E29" i="1" s="1"/>
  <c r="E28" i="1" a="1"/>
  <c r="E28" i="1" s="1"/>
  <c r="E27" i="1" a="1"/>
  <c r="E27" i="1" s="1"/>
  <c r="E25" i="1" a="1"/>
  <c r="E25" i="1" s="1"/>
  <c r="G26" i="1" a="1"/>
  <c r="G26" i="1" s="1"/>
  <c r="G29" i="1" a="1"/>
  <c r="G29" i="1" s="1"/>
  <c r="G28" i="1" a="1"/>
  <c r="G28" i="1" s="1"/>
  <c r="G27" i="1" a="1"/>
  <c r="G27" i="1" s="1"/>
  <c r="G25" i="1" a="1"/>
  <c r="G25" i="1" s="1"/>
  <c r="G2" i="1" l="1" a="1"/>
  <c r="G2" i="1" s="1"/>
  <c r="G3" i="1" a="1"/>
  <c r="G3" i="1" s="1"/>
  <c r="G22" i="1" a="1"/>
  <c r="G22" i="1" s="1"/>
  <c r="G23" i="1" a="1"/>
  <c r="G23" i="1" s="1"/>
  <c r="G24" i="1" a="1"/>
  <c r="G24" i="1" s="1"/>
  <c r="E3" i="1" a="1"/>
  <c r="E3" i="1" s="1"/>
  <c r="E22" i="1" a="1"/>
  <c r="E22" i="1" s="1"/>
  <c r="E23" i="1" a="1"/>
  <c r="E23" i="1" s="1"/>
  <c r="E24" i="1" a="1"/>
  <c r="E24" i="1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I2" i="1" s="1"/>
  <c r="AB2" i="2"/>
  <c r="J2" i="1" s="1"/>
  <c r="AC2" i="2"/>
  <c r="K2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I3" i="1" s="1"/>
  <c r="AB3" i="2"/>
  <c r="J3" i="1" s="1"/>
  <c r="AC3" i="2"/>
  <c r="K3" i="1" s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I4" i="1" s="1"/>
  <c r="AB4" i="2"/>
  <c r="J4" i="1" s="1"/>
  <c r="AC4" i="2"/>
  <c r="K4" i="1" s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I5" i="1" s="1"/>
  <c r="AB5" i="2"/>
  <c r="J5" i="1" s="1"/>
  <c r="AC5" i="2"/>
  <c r="K5" i="1" s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I6" i="1" s="1"/>
  <c r="AB6" i="2"/>
  <c r="J6" i="1" s="1"/>
  <c r="AC6" i="2"/>
  <c r="K6" i="1" s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I7" i="1" s="1"/>
  <c r="AB7" i="2"/>
  <c r="J7" i="1" s="1"/>
  <c r="AC7" i="2"/>
  <c r="K7" i="1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I8" i="1" s="1"/>
  <c r="AB8" i="2"/>
  <c r="J8" i="1" s="1"/>
  <c r="AC8" i="2"/>
  <c r="K8" i="1" s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I9" i="1" s="1"/>
  <c r="AB9" i="2"/>
  <c r="J9" i="1" s="1"/>
  <c r="AC9" i="2"/>
  <c r="K9" i="1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I10" i="1" s="1"/>
  <c r="AB10" i="2"/>
  <c r="J10" i="1" s="1"/>
  <c r="AC10" i="2"/>
  <c r="K10" i="1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I11" i="1" s="1"/>
  <c r="AB11" i="2"/>
  <c r="J11" i="1" s="1"/>
  <c r="AC11" i="2"/>
  <c r="K11" i="1" s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I12" i="1" s="1"/>
  <c r="AB12" i="2"/>
  <c r="J12" i="1" s="1"/>
  <c r="AC12" i="2"/>
  <c r="K12" i="1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I13" i="1" s="1"/>
  <c r="AB13" i="2"/>
  <c r="J13" i="1" s="1"/>
  <c r="AC13" i="2"/>
  <c r="K13" i="1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I14" i="1" s="1"/>
  <c r="AB14" i="2"/>
  <c r="J14" i="1" s="1"/>
  <c r="AC14" i="2"/>
  <c r="K14" i="1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I15" i="1" s="1"/>
  <c r="AB15" i="2"/>
  <c r="J15" i="1" s="1"/>
  <c r="AC15" i="2"/>
  <c r="K15" i="1" s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I16" i="1" s="1"/>
  <c r="AB16" i="2"/>
  <c r="J16" i="1" s="1"/>
  <c r="AC16" i="2"/>
  <c r="K16" i="1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I17" i="1" s="1"/>
  <c r="AB17" i="2"/>
  <c r="J17" i="1" s="1"/>
  <c r="AC17" i="2"/>
  <c r="K17" i="1" s="1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I18" i="1" s="1"/>
  <c r="AB18" i="2"/>
  <c r="J18" i="1" s="1"/>
  <c r="AC18" i="2"/>
  <c r="K18" i="1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I19" i="1" s="1"/>
  <c r="AB19" i="2"/>
  <c r="J19" i="1" s="1"/>
  <c r="AC19" i="2"/>
  <c r="K19" i="1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I20" i="1" s="1"/>
  <c r="AB20" i="2"/>
  <c r="J20" i="1" s="1"/>
  <c r="AC20" i="2"/>
  <c r="K20" i="1" s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I21" i="1" s="1"/>
  <c r="AB21" i="2"/>
  <c r="J21" i="1" s="1"/>
  <c r="AC21" i="2"/>
  <c r="K21" i="1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J22" i="1" s="1"/>
  <c r="AC22" i="2"/>
  <c r="K22" i="1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I23" i="1" s="1"/>
  <c r="AB23" i="2"/>
  <c r="J23" i="1" s="1"/>
  <c r="AC23" i="2"/>
  <c r="K23" i="1" s="1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I24" i="1" s="1"/>
  <c r="AB24" i="2"/>
  <c r="J24" i="1" s="1"/>
  <c r="AC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I25" i="1" s="1"/>
  <c r="AB25" i="2"/>
  <c r="AC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J26" i="1" s="1"/>
  <c r="AC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I27" i="1" s="1"/>
  <c r="AB27" i="2"/>
  <c r="AC27" i="2"/>
  <c r="K27" i="1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J28" i="1" s="1"/>
  <c r="AC28" i="2"/>
  <c r="K28" i="1" s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I29" i="1" s="1"/>
  <c r="AB29" i="2"/>
  <c r="AC29" i="2"/>
  <c r="K29" i="1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I30" i="1" s="1"/>
  <c r="AB30" i="2"/>
  <c r="J30" i="1" s="1"/>
  <c r="AC30" i="2"/>
  <c r="K30" i="1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I31" i="1" s="1"/>
  <c r="AB31" i="2"/>
  <c r="J31" i="1" s="1"/>
  <c r="AC31" i="2"/>
  <c r="K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22" i="1"/>
  <c r="K24" i="1"/>
  <c r="J25" i="1"/>
  <c r="K25" i="1"/>
  <c r="I26" i="1"/>
  <c r="K26" i="1"/>
  <c r="J27" i="1"/>
  <c r="I28" i="1"/>
  <c r="J29" i="1"/>
  <c r="E2" i="1" l="1" a="1"/>
  <c r="E2" i="1" s="1"/>
</calcChain>
</file>

<file path=xl/comments1.xml><?xml version="1.0" encoding="utf-8"?>
<comments xmlns="http://schemas.openxmlformats.org/spreadsheetml/2006/main">
  <authors>
    <author>Praveen Prasannan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comments2.xml><?xml version="1.0" encoding="utf-8"?>
<comments xmlns="http://schemas.openxmlformats.org/spreadsheetml/2006/main">
  <authors>
    <author>Praveen Prasannan</author>
  </authors>
  <commentList>
    <comment ref="D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<sst xmlns="http://schemas.openxmlformats.org/spreadsheetml/2006/main" count="243" uniqueCount="72">
  <si>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</si>
  <si>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</si>
  <si>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</si>
  <si>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</si>
  <si>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</si>
  <si>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</si>
  <si>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</si>
  <si>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</si>
  <si>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</si>
  <si>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</si>
  <si>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</si>
  <si>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</si>
  <si>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</si>
  <si>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</si>
  <si>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</si>
  <si>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</si>
  <si>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</si>
  <si>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</si>
  <si>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</si>
  <si>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</si>
  <si>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</si>
  <si>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</si>
  <si>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</si>
  <si>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</si>
  <si>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</si>
  <si>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</si>
  <si>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</si>
  <si>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</si>
  <si>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</si>
  <si>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</si>
  <si>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</si>
  <si>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</si>
  <si>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</si>
  <si>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</si>
  <si>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</si>
  <si>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</si>
  <si>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SEPTEMBER- 2022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</si>
  <si>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</si>
  <si>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</si>
  <si>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</si>
  <si>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</si>
  <si>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</si>
  <si>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</si>
  <si>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</si>
  <si>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</si>
  <si>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</si>
  <si>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</si>
  <si>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</si>
  <si>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</si>
  <si>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Month:SEPTEMBER- 2022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</si>
  <si>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</si>
  <si>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</si>
  <si>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</si>
  <si>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</si>
  <si>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</si>
  <si>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</si>
  <si>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</si>
  <si>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</si>
  <si>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</si>
  <si>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</si>
  <si>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</si>
  <si>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</si>
  <si>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CP Parking</t>
  </si>
  <si>
    <t>SPA- A</t>
  </si>
  <si>
    <t>CCW  Hotel B</t>
  </si>
  <si>
    <t>Daily LPG Meter Readings</t>
  </si>
  <si>
    <t>Month:  SEPTEMBER- 2022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</si>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</sst>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10" fillId="10" borderId="10" xfId="0" applyFont="1" applyFill="1" applyBorder="1"/>
    <xf numFmtId="0" fontId="8" fillId="11" borderId="10" xfId="0" applyFont="1" applyFill="1" applyBorder="1"/>
    <xf numFmtId="0" fontId="10" fillId="12" borderId="10" xfId="0" applyFont="1" applyFill="1" applyBorder="1"/>
    <xf numFmtId="0" fontId="8" fillId="0" borderId="0" xfId="0" applyFont="1"/>
    <xf numFmtId="0" fontId="8" fillId="0" borderId="23" xfId="0" applyFont="1" applyBorder="1"/>
    <xf numFmtId="0" fontId="8" fillId="11" borderId="23" xfId="0" applyFont="1" applyFill="1" applyBorder="1"/>
    <xf numFmtId="0" fontId="8" fillId="11" borderId="7" xfId="0" applyFont="1" applyFill="1" applyBorder="1"/>
    <xf numFmtId="0" fontId="8" fillId="11" borderId="1" xfId="0" applyFont="1" applyFill="1" applyBorder="1"/>
    <xf numFmtId="0" fontId="8" fillId="13" borderId="9" xfId="0" applyFont="1" applyFill="1" applyBorder="1"/>
    <xf numFmtId="0" fontId="8" fillId="13" borderId="24" xfId="0" applyFont="1" applyFill="1" applyBorder="1"/>
    <xf numFmtId="0" fontId="10" fillId="12" borderId="24" xfId="0" applyFont="1" applyFill="1" applyBorder="1"/>
    <xf numFmtId="0" fontId="8" fillId="13" borderId="10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0" fontId="10" fillId="10" borderId="24" xfId="0" applyFont="1" applyFill="1" applyBorder="1"/>
    <xf numFmtId="0" fontId="8" fillId="0" borderId="9" xfId="0" applyFont="1" applyBorder="1"/>
    <xf numFmtId="0" fontId="8" fillId="0" borderId="24" xfId="0" applyFont="1" applyBorder="1"/>
    <xf numFmtId="0" fontId="8" fillId="11" borderId="24" xfId="0" applyFont="1" applyFill="1" applyBorder="1"/>
    <xf numFmtId="0" fontId="8" fillId="0" borderId="25" xfId="0" applyFont="1" applyBorder="1"/>
    <xf numFmtId="0" fontId="8" fillId="11" borderId="25" xfId="0" applyFont="1" applyFill="1" applyBorder="1"/>
    <xf numFmtId="0" fontId="8" fillId="11" borderId="26" xfId="0" applyFont="1" applyFill="1" applyBorder="1"/>
    <xf numFmtId="0" fontId="8" fillId="0" borderId="26" xfId="0" applyFont="1" applyBorder="1"/>
    <xf numFmtId="0" fontId="12" fillId="0" borderId="0" xfId="0" applyFont="1"/>
    <xf numFmtId="0" fontId="5" fillId="3" borderId="1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28" xfId="0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14" fillId="12" borderId="2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4</xdr:col>
      <xdr:colOff>171450</xdr:colOff>
      <xdr:row>3</xdr:row>
      <xdr:rowOff>123656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="" xmlns:a16="http://schemas.microsoft.com/office/drawing/2014/main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209550" y="47625"/>
          <a:ext cx="2028825" cy="742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365172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="" xmlns:a16="http://schemas.microsoft.com/office/drawing/2014/main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20097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352425</xdr:colOff>
      <xdr:row>3</xdr:row>
      <xdr:rowOff>19050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="" xmlns:a16="http://schemas.microsoft.com/office/drawing/2014/main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096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85" zoomScaleNormal="85" workbookViewId="0">
      <selection activeCell="G17" sqref="G17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3" customWidth="1"/>
    <col min="6" max="6" width="12.5703125" customWidth="1"/>
    <col min="7" max="7" width="11.5703125" customWidth="1"/>
    <col min="8" max="8" width="11.5703125" style="24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7" customFormat="1" ht="60" x14ac:dyDescent="0.25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3" t="s">
        <v>5</v>
      </c>
      <c r="G1" s="43" t="s">
        <v>6</v>
      </c>
      <c r="H1" s="44" t="s">
        <v>7</v>
      </c>
      <c r="I1" s="43" t="s">
        <v>8</v>
      </c>
      <c r="J1" s="43" t="s">
        <v>9</v>
      </c>
      <c r="K1" s="43" t="s">
        <v>10</v>
      </c>
    </row>
    <row r="2" spans="1:11" x14ac:dyDescent="0.25">
      <c r="A2" t="s">
        <v>11</v>
      </c>
      <c r="B2">
        <v>1</v>
      </c>
      <c r="C2" s="35">
        <v>9</v>
      </c>
      <c r="D2">
        <v>2022</v>
      </c>
      <c r="E2" s="25" cm="1">
        <f t="array" ref="E2">0.75*INDEX('13 - Electrical Readings'!$H$8:$H$998,1+(2*(ROWS(A$1:A1)-1)))+INDEX('13 - Electrical Readings'!$Q$8:$Q$998,1+(2*(ROWS(A$1:A1)-1)))</f>
        <v>86915.25</v>
      </c>
      <c r="F2">
        <v>4.1000000000000002E-2</v>
      </c>
      <c r="G2" s="26" cm="1">
        <f t="array" ref="G2">0.75*INDEX('9 - Water Readings'!$F$8:$F$998,1+(2*(ROWS(A$1:A1)-1)))+INDEX('9 - Water Readings'!$M$8:$M$998,1+(2*(ROWS(A$1:A1)-1)))</f>
        <v>390</v>
      </c>
      <c r="H2" s="24">
        <v>1.5571912601017661</v>
      </c>
      <c r="I2" s="24">
        <f>'Submetering '!AA2</f>
        <v>99</v>
      </c>
      <c r="J2">
        <f>'Submetering '!AB2</f>
        <v>394</v>
      </c>
      <c r="K2">
        <f>'Submetering '!AC2</f>
        <v>15.1</v>
      </c>
    </row>
    <row r="3" spans="1:11" x14ac:dyDescent="0.25">
      <c r="A3" t="s">
        <v>11</v>
      </c>
      <c r="B3">
        <f>B2+1</f>
        <v>2</v>
      </c>
      <c r="C3" s="35">
        <v>9</v>
      </c>
      <c r="D3">
        <v>2022</v>
      </c>
      <c r="E3" s="25" cm="1">
        <f t="array" ref="E3">0.75*INDEX('13 - Electrical Readings'!$H$8:$H$998,1+(2*(ROWS(A$1:A2)-1)))+INDEX('13 - Electrical Readings'!$Q$8:$Q$998,1+(2*(ROWS(A$1:A2)-1)))</f>
        <v>83951.75</v>
      </c>
      <c r="F3">
        <v>4.1000000000000002E-2</v>
      </c>
      <c r="G3" s="26" cm="1">
        <f t="array" ref="G3">0.75*INDEX('9 - Water Readings'!$F$8:$F$998,1+(2*(ROWS(A$1:A2)-1)))+INDEX('9 - Water Readings'!$M$8:$M$998,1+(2*(ROWS(A$1:A2)-1)))</f>
        <v>381</v>
      </c>
      <c r="H3" s="24">
        <v>1.5571912601017661</v>
      </c>
      <c r="I3" s="24">
        <f>'Submetering '!AA3</f>
        <v>114</v>
      </c>
      <c r="J3">
        <f>'Submetering '!AB3</f>
        <v>454</v>
      </c>
      <c r="K3">
        <f>'Submetering '!AC3</f>
        <v>15</v>
      </c>
    </row>
    <row r="4" spans="1:11" x14ac:dyDescent="0.25">
      <c r="A4" t="s">
        <v>11</v>
      </c>
      <c r="B4">
        <f t="shared" ref="B4:B30" si="0">B3+1</f>
        <v>3</v>
      </c>
      <c r="C4" s="35">
        <v>9</v>
      </c>
      <c r="D4">
        <v>2022</v>
      </c>
      <c r="E4" s="25" cm="1">
        <f t="array" ref="E4">0.75*INDEX('13 - Electrical Readings'!$H$8:$H$998,1+(2*(ROWS(A$1:A3)-1)))+INDEX('13 - Electrical Readings'!$Q$8:$Q$998,1+(2*(ROWS(A$1:A3)-1)))</f>
        <v>83720.75</v>
      </c>
      <c r="F4">
        <v>4.1000000000000002E-2</v>
      </c>
      <c r="G4" s="26" cm="1">
        <f t="array" ref="G4">0.75*INDEX('9 - Water Readings'!$F$8:$F$998,1+(2*(ROWS(A$1:A3)-1)))+INDEX('9 - Water Readings'!$M$8:$M$998,1+(2*(ROWS(A$1:A3)-1)))</f>
        <v>376</v>
      </c>
      <c r="H4" s="24">
        <v>1.5571912601017661</v>
      </c>
      <c r="I4" s="24">
        <f>'Submetering '!AA4</f>
        <v>59</v>
      </c>
      <c r="J4">
        <f>'Submetering '!AB4</f>
        <v>192</v>
      </c>
      <c r="K4">
        <f>'Submetering '!AC4</f>
        <v>14.3</v>
      </c>
    </row>
    <row r="5" spans="1:11" x14ac:dyDescent="0.25">
      <c r="A5" t="s">
        <v>11</v>
      </c>
      <c r="B5">
        <f t="shared" si="0"/>
        <v>4</v>
      </c>
      <c r="C5" s="35">
        <v>9</v>
      </c>
      <c r="D5">
        <v>2022</v>
      </c>
      <c r="E5" s="25" cm="1">
        <f t="array" ref="E5">0.75*INDEX('13 - Electrical Readings'!$H$8:$H$998,1+(2*(ROWS(A$1:A4)-1)))+INDEX('13 - Electrical Readings'!$Q$8:$Q$998,1+(2*(ROWS(A$1:A4)-1)))</f>
        <v>84745.5</v>
      </c>
      <c r="F5">
        <v>4.1000000000000002E-2</v>
      </c>
      <c r="G5" s="26" cm="1">
        <f t="array" ref="G5">0.75*INDEX('9 - Water Readings'!$F$8:$F$998,1+(2*(ROWS(A$1:A4)-1)))+INDEX('9 - Water Readings'!$M$8:$M$998,1+(2*(ROWS(A$1:A4)-1)))</f>
        <v>347</v>
      </c>
      <c r="H5" s="24">
        <v>1.5571912601017661</v>
      </c>
      <c r="I5" s="24">
        <f>'Submetering '!AA5</f>
        <v>83</v>
      </c>
      <c r="J5">
        <f>'Submetering '!AB5</f>
        <v>228</v>
      </c>
      <c r="K5">
        <f>'Submetering '!AC5</f>
        <v>14.7</v>
      </c>
    </row>
    <row r="6" spans="1:11" x14ac:dyDescent="0.25">
      <c r="A6" t="s">
        <v>11</v>
      </c>
      <c r="B6">
        <f t="shared" si="0"/>
        <v>5</v>
      </c>
      <c r="C6" s="35">
        <v>9</v>
      </c>
      <c r="D6">
        <v>2022</v>
      </c>
      <c r="E6" s="25" cm="1">
        <f t="array" ref="E6">0.75*INDEX('13 - Electrical Readings'!$H$8:$H$998,1+(2*(ROWS(A$1:A5)-1)))+INDEX('13 - Electrical Readings'!$Q$8:$Q$998,1+(2*(ROWS(A$1:A5)-1)))</f>
        <v>80595.5</v>
      </c>
      <c r="F6">
        <v>4.1000000000000002E-2</v>
      </c>
      <c r="G6" s="26" cm="1">
        <f t="array" ref="G6">0.75*INDEX('9 - Water Readings'!$F$8:$F$998,1+(2*(ROWS(A$1:A5)-1)))+INDEX('9 - Water Readings'!$M$8:$M$998,1+(2*(ROWS(A$1:A5)-1)))</f>
        <v>371</v>
      </c>
      <c r="H6" s="24">
        <v>1.5571912601017661</v>
      </c>
      <c r="I6" s="24">
        <f>'Submetering '!AA6</f>
        <v>118</v>
      </c>
      <c r="J6">
        <f>'Submetering '!AB6</f>
        <v>292</v>
      </c>
      <c r="K6">
        <f>'Submetering '!AC6</f>
        <v>15.5</v>
      </c>
    </row>
    <row r="7" spans="1:11" x14ac:dyDescent="0.25">
      <c r="A7" t="s">
        <v>11</v>
      </c>
      <c r="B7">
        <f t="shared" si="0"/>
        <v>6</v>
      </c>
      <c r="C7" s="35">
        <v>9</v>
      </c>
      <c r="D7">
        <v>2022</v>
      </c>
      <c r="E7" s="25" cm="1">
        <f t="array" ref="E7">0.75*INDEX('13 - Electrical Readings'!$H$8:$H$998,1+(2*(ROWS(A$1:A6)-1)))+INDEX('13 - Electrical Readings'!$Q$8:$Q$998,1+(2*(ROWS(A$1:A6)-1)))</f>
        <v>83657.75</v>
      </c>
      <c r="F7">
        <v>4.1000000000000002E-2</v>
      </c>
      <c r="G7" s="26" cm="1">
        <f t="array" ref="G7">0.75*INDEX('9 - Water Readings'!$F$8:$F$998,1+(2*(ROWS(A$1:A6)-1)))+INDEX('9 - Water Readings'!$M$8:$M$998,1+(2*(ROWS(A$1:A6)-1)))</f>
        <v>364</v>
      </c>
      <c r="H7" s="24">
        <v>1.5571912601017661</v>
      </c>
      <c r="I7" s="24">
        <f>'Submetering '!AA7</f>
        <v>142</v>
      </c>
      <c r="J7">
        <f>'Submetering '!AB7</f>
        <v>346</v>
      </c>
      <c r="K7">
        <f>'Submetering '!AC7</f>
        <v>15.2</v>
      </c>
    </row>
    <row r="8" spans="1:11" x14ac:dyDescent="0.25">
      <c r="A8" t="s">
        <v>11</v>
      </c>
      <c r="B8">
        <f t="shared" si="0"/>
        <v>7</v>
      </c>
      <c r="C8" s="35">
        <v>9</v>
      </c>
      <c r="D8">
        <v>2022</v>
      </c>
      <c r="E8" s="25" cm="1">
        <f t="array" ref="E8">0.75*INDEX('13 - Electrical Readings'!$H$8:$H$998,1+(2*(ROWS(A$1:A7)-1)))+INDEX('13 - Electrical Readings'!$Q$8:$Q$998,1+(2*(ROWS(A$1:A7)-1)))</f>
        <v>84518.5</v>
      </c>
      <c r="F8">
        <v>4.1000000000000002E-2</v>
      </c>
      <c r="G8" s="26" cm="1">
        <f t="array" ref="G8">0.75*INDEX('9 - Water Readings'!$F$8:$F$998,1+(2*(ROWS(A$1:A7)-1)))+INDEX('9 - Water Readings'!$M$8:$M$998,1+(2*(ROWS(A$1:A7)-1)))</f>
        <v>385</v>
      </c>
      <c r="H8" s="24">
        <v>1.5571912601017661</v>
      </c>
      <c r="I8" s="24">
        <f>'Submetering '!AA8</f>
        <v>148</v>
      </c>
      <c r="J8">
        <f>'Submetering '!AB8</f>
        <v>368</v>
      </c>
      <c r="K8">
        <f>'Submetering '!AC8</f>
        <v>14.9</v>
      </c>
    </row>
    <row r="9" spans="1:11" x14ac:dyDescent="0.25">
      <c r="A9" t="s">
        <v>11</v>
      </c>
      <c r="B9">
        <f t="shared" si="0"/>
        <v>8</v>
      </c>
      <c r="C9" s="35">
        <v>9</v>
      </c>
      <c r="D9">
        <v>2022</v>
      </c>
      <c r="E9" s="25" cm="1">
        <f t="array" ref="E9">0.75*INDEX('13 - Electrical Readings'!$H$8:$H$998,1+(2*(ROWS(A$1:A8)-1)))+INDEX('13 - Electrical Readings'!$Q$8:$Q$998,1+(2*(ROWS(A$1:A8)-1)))</f>
        <v>85850.75</v>
      </c>
      <c r="F9">
        <v>4.1000000000000002E-2</v>
      </c>
      <c r="G9" s="26" cm="1">
        <f t="array" ref="G9">0.75*INDEX('9 - Water Readings'!$F$8:$F$998,1+(2*(ROWS(A$1:A8)-1)))+INDEX('9 - Water Readings'!$M$8:$M$998,1+(2*(ROWS(A$1:A8)-1)))</f>
        <v>381.25</v>
      </c>
      <c r="H9" s="24">
        <v>1.5571912601017661</v>
      </c>
      <c r="I9" s="24">
        <f>'Submetering '!AA9</f>
        <v>214</v>
      </c>
      <c r="J9">
        <f>'Submetering '!AB9</f>
        <v>648</v>
      </c>
      <c r="K9">
        <f>'Submetering '!AC9</f>
        <v>14.4</v>
      </c>
    </row>
    <row r="10" spans="1:11" x14ac:dyDescent="0.25">
      <c r="A10" t="s">
        <v>11</v>
      </c>
      <c r="B10">
        <f t="shared" si="0"/>
        <v>9</v>
      </c>
      <c r="C10" s="35">
        <v>9</v>
      </c>
      <c r="D10">
        <v>2022</v>
      </c>
      <c r="E10" s="25" cm="1">
        <f t="array" ref="E10">0.75*INDEX('13 - Electrical Readings'!$H$8:$H$998,1+(2*(ROWS(A$1:A9)-1)))+INDEX('13 - Electrical Readings'!$Q$8:$Q$998,1+(2*(ROWS(A$1:A9)-1)))</f>
        <v>85837.5</v>
      </c>
      <c r="F10">
        <v>4.1000000000000002E-2</v>
      </c>
      <c r="G10" s="26" cm="1">
        <f t="array" ref="G10">0.75*INDEX('9 - Water Readings'!$F$8:$F$998,1+(2*(ROWS(A$1:A9)-1)))+INDEX('9 - Water Readings'!$M$8:$M$998,1+(2*(ROWS(A$1:A9)-1)))</f>
        <v>416</v>
      </c>
      <c r="H10" s="24">
        <v>1.5571912601017661</v>
      </c>
      <c r="I10" s="24">
        <f>'Submetering '!AA10</f>
        <v>206</v>
      </c>
      <c r="J10">
        <f>'Submetering '!AB10</f>
        <v>668</v>
      </c>
      <c r="K10">
        <f>'Submetering '!AC10</f>
        <v>14.1</v>
      </c>
    </row>
    <row r="11" spans="1:11" x14ac:dyDescent="0.25">
      <c r="A11" t="s">
        <v>11</v>
      </c>
      <c r="B11">
        <f t="shared" si="0"/>
        <v>10</v>
      </c>
      <c r="C11" s="35">
        <v>9</v>
      </c>
      <c r="D11">
        <v>2022</v>
      </c>
      <c r="E11" s="25" cm="1">
        <f t="array" ref="E11">0.75*INDEX('13 - Electrical Readings'!$H$8:$H$998,1+(2*(ROWS(A$1:A10)-1)))+INDEX('13 - Electrical Readings'!$Q$8:$Q$998,1+(2*(ROWS(A$1:A10)-1)))</f>
        <v>83477.5</v>
      </c>
      <c r="F11">
        <v>4.1000000000000002E-2</v>
      </c>
      <c r="G11" s="26" cm="1">
        <f t="array" ref="G11">0.75*INDEX('9 - Water Readings'!$F$8:$F$998,1+(2*(ROWS(A$1:A10)-1)))+INDEX('9 - Water Readings'!$M$8:$M$998,1+(2*(ROWS(A$1:A10)-1)))</f>
        <v>402</v>
      </c>
      <c r="H11" s="24">
        <v>1.5571912601017661</v>
      </c>
      <c r="I11" s="24">
        <f>'Submetering '!AA11</f>
        <v>132</v>
      </c>
      <c r="J11">
        <f>'Submetering '!AB11</f>
        <v>362</v>
      </c>
      <c r="K11">
        <f>'Submetering '!AC11</f>
        <v>13.9</v>
      </c>
    </row>
    <row r="12" spans="1:11" x14ac:dyDescent="0.25">
      <c r="A12" t="s">
        <v>11</v>
      </c>
      <c r="B12">
        <f t="shared" si="0"/>
        <v>11</v>
      </c>
      <c r="C12" s="35">
        <v>9</v>
      </c>
      <c r="D12">
        <v>2022</v>
      </c>
      <c r="E12" s="25" cm="1">
        <f t="array" ref="E12">0.75*INDEX('13 - Electrical Readings'!$H$8:$H$998,1+(2*(ROWS(A$1:A11)-1)))+INDEX('13 - Electrical Readings'!$Q$8:$Q$998,1+(2*(ROWS(A$1:A11)-1)))</f>
        <v>0</v>
      </c>
      <c r="F12">
        <v>4.1000000000000002E-2</v>
      </c>
      <c r="G12" s="26" cm="1">
        <f t="array" ref="G12">0.75*INDEX('9 - Water Readings'!$F$8:$F$998,1+(2*(ROWS(A$1:A11)-1)))+INDEX('9 - Water Readings'!$M$8:$M$998,1+(2*(ROWS(A$1:A11)-1)))</f>
        <v>0</v>
      </c>
      <c r="H12" s="24">
        <v>1.5571912601017661</v>
      </c>
      <c r="I12" s="24">
        <f>'Submetering '!AA12</f>
        <v>122</v>
      </c>
      <c r="J12">
        <f>'Submetering '!AB12</f>
        <v>308</v>
      </c>
      <c r="K12">
        <f>'Submetering '!AC12</f>
        <v>14.4</v>
      </c>
    </row>
    <row r="13" spans="1:11" x14ac:dyDescent="0.25">
      <c r="A13" t="s">
        <v>11</v>
      </c>
      <c r="B13">
        <f t="shared" si="0"/>
        <v>12</v>
      </c>
      <c r="C13" s="35">
        <v>9</v>
      </c>
      <c r="D13">
        <v>2022</v>
      </c>
      <c r="E13" s="25" cm="1">
        <f t="array" ref="E13">0.75*INDEX('13 - Electrical Readings'!$H$8:$H$998,1+(2*(ROWS(A$1:A12)-1)))+INDEX('13 - Electrical Readings'!$Q$8:$Q$998,1+(2*(ROWS(A$1:A12)-1)))</f>
        <v>0</v>
      </c>
      <c r="F13">
        <v>4.1000000000000002E-2</v>
      </c>
      <c r="G13" s="26" cm="1">
        <f t="array" ref="G13">0.75*INDEX('9 - Water Readings'!$F$8:$F$998,1+(2*(ROWS(A$1:A12)-1)))+INDEX('9 - Water Readings'!$M$8:$M$998,1+(2*(ROWS(A$1:A12)-1)))</f>
        <v>0</v>
      </c>
      <c r="H13" s="24">
        <v>1.5571912601017661</v>
      </c>
      <c r="I13" s="24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 s="35">
        <v>9</v>
      </c>
      <c r="D14">
        <v>2022</v>
      </c>
      <c r="E14" s="25" cm="1">
        <f t="array" ref="E14">0.75*INDEX('13 - Electrical Readings'!$H$8:$H$998,1+(2*(ROWS(A$1:A13)-1)))+INDEX('13 - Electrical Readings'!$Q$8:$Q$998,1+(2*(ROWS(A$1:A13)-1)))</f>
        <v>0</v>
      </c>
      <c r="F14">
        <v>4.1000000000000002E-2</v>
      </c>
      <c r="G14" s="26" cm="1">
        <f t="array" ref="G14">0.75*INDEX('9 - Water Readings'!$F$8:$F$998,1+(2*(ROWS(A$1:A13)-1)))+INDEX('9 - Water Readings'!$M$8:$M$998,1+(2*(ROWS(A$1:A13)-1)))</f>
        <v>0</v>
      </c>
      <c r="H14" s="24">
        <v>1.5571912601017661</v>
      </c>
      <c r="I14" s="24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25">
      <c r="A15" t="s">
        <v>11</v>
      </c>
      <c r="B15">
        <f t="shared" si="0"/>
        <v>14</v>
      </c>
      <c r="C15" s="35">
        <v>9</v>
      </c>
      <c r="D15">
        <v>2022</v>
      </c>
      <c r="E15" s="25" cm="1">
        <f t="array" ref="E15">0.75*INDEX('13 - Electrical Readings'!$H$8:$H$998,1+(2*(ROWS(A$1:A14)-1)))+INDEX('13 - Electrical Readings'!$Q$8:$Q$998,1+(2*(ROWS(A$1:A14)-1)))</f>
        <v>0</v>
      </c>
      <c r="F15">
        <v>4.1000000000000002E-2</v>
      </c>
      <c r="G15" s="26" cm="1">
        <f t="array" ref="G15">0.75*INDEX('9 - Water Readings'!$F$8:$F$998,1+(2*(ROWS(A$1:A14)-1)))+INDEX('9 - Water Readings'!$M$8:$M$998,1+(2*(ROWS(A$1:A14)-1)))</f>
        <v>0</v>
      </c>
      <c r="H15" s="24">
        <v>1.5571912601017661</v>
      </c>
      <c r="I15" s="24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25">
      <c r="A16" t="s">
        <v>11</v>
      </c>
      <c r="B16">
        <f t="shared" si="0"/>
        <v>15</v>
      </c>
      <c r="C16" s="35">
        <v>9</v>
      </c>
      <c r="D16">
        <v>2022</v>
      </c>
      <c r="E16" s="25" cm="1">
        <f t="array" ref="E16">0.75*INDEX('13 - Electrical Readings'!$H$8:$H$998,1+(2*(ROWS(A$1:A15)-1)))+INDEX('13 - Electrical Readings'!$Q$8:$Q$998,1+(2*(ROWS(A$1:A15)-1)))</f>
        <v>0</v>
      </c>
      <c r="F16">
        <v>4.1000000000000002E-2</v>
      </c>
      <c r="G16" s="26" cm="1">
        <f t="array" ref="G16">0.75*INDEX('9 - Water Readings'!$F$8:$F$998,1+(2*(ROWS(A$1:A15)-1)))+INDEX('9 - Water Readings'!$M$8:$M$998,1+(2*(ROWS(A$1:A15)-1)))</f>
        <v>0</v>
      </c>
      <c r="H16" s="24">
        <v>1.5571912601017661</v>
      </c>
      <c r="I16" s="24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25">
      <c r="A17" t="s">
        <v>11</v>
      </c>
      <c r="B17">
        <f t="shared" si="0"/>
        <v>16</v>
      </c>
      <c r="C17" s="35">
        <v>9</v>
      </c>
      <c r="D17">
        <v>2022</v>
      </c>
      <c r="E17" s="25" cm="1">
        <f t="array" ref="E17">0.75*INDEX('13 - Electrical Readings'!$H$8:$H$998,1+(2*(ROWS(A$1:A16)-1)))+INDEX('13 - Electrical Readings'!$Q$8:$Q$998,1+(2*(ROWS(A$1:A16)-1)))</f>
        <v>0</v>
      </c>
      <c r="F17">
        <v>4.1000000000000002E-2</v>
      </c>
      <c r="G17" s="26" cm="1">
        <f t="array" ref="G17">0.75*INDEX('9 - Water Readings'!$F$8:$F$998,1+(2*(ROWS(A$1:A16)-1)))+INDEX('9 - Water Readings'!$M$8:$M$998,1+(2*(ROWS(A$1:A16)-1)))</f>
        <v>0</v>
      </c>
      <c r="H17" s="24">
        <v>1.5571912601017661</v>
      </c>
      <c r="I17" s="24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25">
      <c r="A18" t="s">
        <v>11</v>
      </c>
      <c r="B18">
        <f t="shared" si="0"/>
        <v>17</v>
      </c>
      <c r="C18" s="35">
        <v>9</v>
      </c>
      <c r="D18">
        <v>2022</v>
      </c>
      <c r="E18" s="25" cm="1">
        <f t="array" ref="E18">0.75*INDEX('13 - Electrical Readings'!$H$8:$H$998,1+(2*(ROWS(A$1:A17)-1)))+INDEX('13 - Electrical Readings'!$Q$8:$Q$998,1+(2*(ROWS(A$1:A17)-1)))</f>
        <v>0</v>
      </c>
      <c r="F18">
        <v>4.1000000000000002E-2</v>
      </c>
      <c r="G18" s="26" cm="1">
        <f t="array" ref="G18">0.75*INDEX('9 - Water Readings'!$F$8:$F$998,1+(2*(ROWS(A$1:A17)-1)))+INDEX('9 - Water Readings'!$M$8:$M$998,1+(2*(ROWS(A$1:A17)-1)))</f>
        <v>0</v>
      </c>
      <c r="H18" s="24">
        <v>1.5571912601017661</v>
      </c>
      <c r="I18" s="24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25">
      <c r="A19" t="s">
        <v>11</v>
      </c>
      <c r="B19">
        <f t="shared" si="0"/>
        <v>18</v>
      </c>
      <c r="C19" s="35">
        <v>9</v>
      </c>
      <c r="D19">
        <v>2022</v>
      </c>
      <c r="E19" s="25" cm="1">
        <f t="array" ref="E19">0.75*INDEX('13 - Electrical Readings'!$H$8:$H$998,1+(2*(ROWS(A$1:A18)-1)))+INDEX('13 - Electrical Readings'!$Q$8:$Q$998,1+(2*(ROWS(A$1:A18)-1)))</f>
        <v>0</v>
      </c>
      <c r="F19">
        <v>4.1000000000000002E-2</v>
      </c>
      <c r="G19" s="26" cm="1">
        <f t="array" ref="G19">0.75*INDEX('9 - Water Readings'!$F$8:$F$998,1+(2*(ROWS(A$1:A18)-1)))+INDEX('9 - Water Readings'!$M$8:$M$998,1+(2*(ROWS(A$1:A18)-1)))</f>
        <v>0</v>
      </c>
      <c r="H19" s="24">
        <v>1.5571912601017661</v>
      </c>
      <c r="I19" s="24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 s="35">
        <v>9</v>
      </c>
      <c r="D20">
        <v>2022</v>
      </c>
      <c r="E20" s="25" cm="1">
        <f t="array" ref="E20">0.75*INDEX('13 - Electrical Readings'!$H$8:$H$998,1+(2*(ROWS(A$1:A19)-1)))+INDEX('13 - Electrical Readings'!$Q$8:$Q$998,1+(2*(ROWS(A$1:A19)-1)))</f>
        <v>0</v>
      </c>
      <c r="F20">
        <v>4.1000000000000002E-2</v>
      </c>
      <c r="G20" s="26" cm="1">
        <f t="array" ref="G20">0.75*INDEX('9 - Water Readings'!$F$8:$F$998,1+(2*(ROWS(A$1:A19)-1)))+INDEX('9 - Water Readings'!$M$8:$M$998,1+(2*(ROWS(A$1:A19)-1)))</f>
        <v>0</v>
      </c>
      <c r="H20" s="24">
        <v>1.5571912601017661</v>
      </c>
      <c r="I20" s="24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 s="35">
        <v>9</v>
      </c>
      <c r="D21">
        <v>2022</v>
      </c>
      <c r="E21" s="25" cm="1">
        <f t="array" ref="E21">0.75*INDEX('13 - Electrical Readings'!$H$8:$H$998,1+(2*(ROWS(A$1:A20)-1)))+INDEX('13 - Electrical Readings'!$Q$8:$Q$998,1+(2*(ROWS(A$1:A20)-1)))</f>
        <v>0</v>
      </c>
      <c r="F21">
        <v>4.1000000000000002E-2</v>
      </c>
      <c r="G21" s="26" cm="1">
        <f t="array" ref="G21">0.75*INDEX('9 - Water Readings'!$F$8:$F$998,1+(2*(ROWS(A$1:A20)-1)))+INDEX('9 - Water Readings'!$M$8:$M$998,1+(2*(ROWS(A$1:A20)-1)))</f>
        <v>0</v>
      </c>
      <c r="H21" s="24">
        <v>1.5571912601017661</v>
      </c>
      <c r="I21" s="24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25">
      <c r="A22" t="s">
        <v>11</v>
      </c>
      <c r="B22">
        <f t="shared" si="0"/>
        <v>21</v>
      </c>
      <c r="C22" s="35">
        <v>9</v>
      </c>
      <c r="D22">
        <v>2022</v>
      </c>
      <c r="E22" s="25" cm="1">
        <f t="array" ref="E22">0.75*INDEX('13 - Electrical Readings'!$H$8:$H$998,1+(2*(ROWS(A$1:A21)-1)))+INDEX('13 - Electrical Readings'!$Q$8:$Q$998,1+(2*(ROWS(A$1:A21)-1)))</f>
        <v>0</v>
      </c>
      <c r="F22">
        <v>4.1000000000000002E-2</v>
      </c>
      <c r="G22" s="26" cm="1">
        <f t="array" ref="G22">0.75*INDEX('9 - Water Readings'!$F$8:$F$998,1+(2*(ROWS(A$1:A21)-1)))+INDEX('9 - Water Readings'!$M$8:$M$998,1+(2*(ROWS(A$1:A21)-1)))</f>
        <v>0</v>
      </c>
      <c r="H22" s="24">
        <v>1.5571912601017661</v>
      </c>
      <c r="I22" s="24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 s="35">
        <v>9</v>
      </c>
      <c r="D23">
        <v>2022</v>
      </c>
      <c r="E23" s="25" cm="1">
        <f t="array" ref="E23">0.75*INDEX('13 - Electrical Readings'!$H$8:$H$998,1+(2*(ROWS(A$1:A22)-1)))+INDEX('13 - Electrical Readings'!$Q$8:$Q$998,1+(2*(ROWS(A$1:A22)-1)))</f>
        <v>0</v>
      </c>
      <c r="F23">
        <v>4.1000000000000002E-2</v>
      </c>
      <c r="G23" s="26" cm="1">
        <f t="array" ref="G23">0.75*INDEX('9 - Water Readings'!$F$8:$F$998,1+(2*(ROWS(A$1:A22)-1)))+INDEX('9 - Water Readings'!$M$8:$M$998,1+(2*(ROWS(A$1:A22)-1)))</f>
        <v>0</v>
      </c>
      <c r="H23" s="24">
        <v>1.5571912601017661</v>
      </c>
      <c r="I23" s="24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 s="35">
        <v>9</v>
      </c>
      <c r="D24">
        <v>2022</v>
      </c>
      <c r="E24" s="25" cm="1">
        <f t="array" ref="E24">0.75*INDEX('13 - Electrical Readings'!$H$8:$H$998,1+(2*(ROWS(A$1:A23)-1)))+INDEX('13 - Electrical Readings'!$Q$8:$Q$998,1+(2*(ROWS(A$1:A23)-1)))</f>
        <v>0</v>
      </c>
      <c r="F24">
        <v>4.1000000000000002E-2</v>
      </c>
      <c r="G24" s="26" cm="1">
        <f t="array" ref="G24">0.75*INDEX('9 - Water Readings'!$F$8:$F$998,1+(2*(ROWS(A$1:A23)-1)))+INDEX('9 - Water Readings'!$M$8:$M$998,1+(2*(ROWS(A$1:A23)-1)))</f>
        <v>0</v>
      </c>
      <c r="H24" s="24">
        <v>1.5571912601017661</v>
      </c>
      <c r="I24" s="24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 s="35">
        <v>9</v>
      </c>
      <c r="D25">
        <v>2022</v>
      </c>
      <c r="E25" s="25" cm="1">
        <f t="array" ref="E25">0.75*INDEX('13 - Electrical Readings'!$H$8:$H$998,1+(2*(ROWS(A$1:A24)-1)))+INDEX('13 - Electrical Readings'!$Q$8:$Q$998,1+(2*(ROWS(A$1:A24)-1)))</f>
        <v>0</v>
      </c>
      <c r="F25">
        <v>4.1000000000000002E-2</v>
      </c>
      <c r="G25" s="26" cm="1">
        <f t="array" ref="G25">0.75*INDEX('9 - Water Readings'!$F$8:$F$998,1+(2*(ROWS(A$1:A24)-1)))+INDEX('9 - Water Readings'!$M$8:$M$998,1+(2*(ROWS(A$1:A24)-1)))</f>
        <v>0</v>
      </c>
      <c r="H25" s="24">
        <v>1.5571912601017661</v>
      </c>
      <c r="I25" s="24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 s="35">
        <v>9</v>
      </c>
      <c r="D26">
        <v>2022</v>
      </c>
      <c r="E26" s="25" cm="1">
        <f t="array" ref="E26">0.75*INDEX('13 - Electrical Readings'!$H$8:$H$998,1+(2*(ROWS(A$1:A25)-1)))+INDEX('13 - Electrical Readings'!$Q$8:$Q$998,1+(2*(ROWS(A$1:A25)-1)))</f>
        <v>0</v>
      </c>
      <c r="F26">
        <v>4.1000000000000002E-2</v>
      </c>
      <c r="G26" s="26" cm="1">
        <f t="array" ref="G26">0.75*INDEX('9 - Water Readings'!$F$8:$F$998,1+(2*(ROWS(A$1:A25)-1)))+INDEX('9 - Water Readings'!$M$8:$M$998,1+(2*(ROWS(A$1:A25)-1)))</f>
        <v>0</v>
      </c>
      <c r="H26" s="24">
        <v>1.5571912601017661</v>
      </c>
      <c r="I26" s="24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 s="35">
        <v>9</v>
      </c>
      <c r="D27">
        <v>2022</v>
      </c>
      <c r="E27" s="25" cm="1">
        <f t="array" ref="E27">0.75*INDEX('13 - Electrical Readings'!$H$8:$H$998,1+(2*(ROWS(A$1:A26)-1)))+INDEX('13 - Electrical Readings'!$Q$8:$Q$998,1+(2*(ROWS(A$1:A26)-1)))</f>
        <v>0</v>
      </c>
      <c r="F27">
        <v>4.1000000000000002E-2</v>
      </c>
      <c r="G27" s="26" cm="1">
        <f t="array" ref="G27">0.75*INDEX('9 - Water Readings'!$F$8:$F$998,1+(2*(ROWS(A$1:A26)-1)))+INDEX('9 - Water Readings'!$M$8:$M$998,1+(2*(ROWS(A$1:A26)-1)))</f>
        <v>0</v>
      </c>
      <c r="H27" s="24">
        <v>1.5571912601017661</v>
      </c>
      <c r="I27" s="24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 s="35">
        <v>9</v>
      </c>
      <c r="D28">
        <v>2022</v>
      </c>
      <c r="E28" s="25" cm="1">
        <f t="array" ref="E28">0.75*INDEX('13 - Electrical Readings'!$H$8:$H$998,1+(2*(ROWS(A$1:A27)-1)))+INDEX('13 - Electrical Readings'!$Q$8:$Q$998,1+(2*(ROWS(A$1:A27)-1)))</f>
        <v>0</v>
      </c>
      <c r="F28">
        <v>4.1000000000000002E-2</v>
      </c>
      <c r="G28" s="26" cm="1">
        <f t="array" ref="G28">0.75*INDEX('9 - Water Readings'!$F$8:$F$998,1+(2*(ROWS(A$1:A27)-1)))+INDEX('9 - Water Readings'!$M$8:$M$998,1+(2*(ROWS(A$1:A27)-1)))</f>
        <v>0</v>
      </c>
      <c r="H28" s="24">
        <v>1.5571912601017661</v>
      </c>
      <c r="I28" s="24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 s="35">
        <v>9</v>
      </c>
      <c r="D29">
        <v>2022</v>
      </c>
      <c r="E29" s="25" cm="1">
        <f t="array" ref="E29">0.75*INDEX('13 - Electrical Readings'!$H$8:$H$998,1+(2*(ROWS(A$1:A28)-1)))+INDEX('13 - Electrical Readings'!$Q$8:$Q$998,1+(2*(ROWS(A$1:A28)-1)))</f>
        <v>0</v>
      </c>
      <c r="F29">
        <v>4.1000000000000002E-2</v>
      </c>
      <c r="G29" s="26" cm="1">
        <f t="array" ref="G29">0.75*INDEX('9 - Water Readings'!$F$8:$F$998,1+(2*(ROWS(A$1:A28)-1)))+INDEX('9 - Water Readings'!$M$8:$M$998,1+(2*(ROWS(A$1:A28)-1)))</f>
        <v>0</v>
      </c>
      <c r="H29" s="24">
        <v>1.5571912601017661</v>
      </c>
      <c r="I29" s="24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 s="35">
        <v>9</v>
      </c>
      <c r="D30">
        <v>2022</v>
      </c>
      <c r="E30" s="25" cm="1">
        <f t="array" ref="E30">0.75*INDEX('13 - Electrical Readings'!$H$8:$H$998,1+(2*(ROWS(A$1:A29)-1)))+INDEX('13 - Electrical Readings'!$Q$8:$Q$998,1+(2*(ROWS(A$1:A29)-1)))</f>
        <v>0</v>
      </c>
      <c r="F30">
        <v>4.1000000000000002E-2</v>
      </c>
      <c r="G30" s="26" cm="1">
        <f t="array" ref="G30">0.75*INDEX('9 - Water Readings'!$F$8:$F$998,1+(2*(ROWS(A$1:A29)-1)))+INDEX('9 - Water Readings'!$M$8:$M$998,1+(2*(ROWS(A$1:A29)-1)))</f>
        <v>0</v>
      </c>
      <c r="H30" s="24">
        <v>1.5571912601017699</v>
      </c>
      <c r="I30" s="24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 s="35">
        <v>9</v>
      </c>
      <c r="D31">
        <v>2022</v>
      </c>
      <c r="E31" s="25" cm="1">
        <f t="array" ref="E31">0.75*INDEX('13 - Electrical Readings'!$H$8:$H$998,1+(2*(ROWS(A$1:A30)-1)))+INDEX('13 - Electrical Readings'!$Q$8:$Q$998,1+(2*(ROWS(A$1:A30)-1)))</f>
        <v>0</v>
      </c>
      <c r="F31">
        <v>4.1000000000000002E-2</v>
      </c>
      <c r="G31" s="26" cm="1">
        <f t="array" ref="G31">0.75*INDEX('9 - Water Readings'!$F$8:$F$998,1+(2*(ROWS(A$1:A30)-1)))+INDEX('9 - Water Readings'!$M$8:$M$998,1+(2*(ROWS(A$1:A30)-1)))</f>
        <v>0</v>
      </c>
      <c r="H31" s="24">
        <v>1.5571912601017699</v>
      </c>
      <c r="I31" s="24">
        <f>'Submetering '!AA31</f>
        <v>0</v>
      </c>
      <c r="J31">
        <f>'Submetering '!AB31</f>
        <v>0</v>
      </c>
      <c r="K31">
        <f>'Submetering '!AC31</f>
        <v>0</v>
      </c>
    </row>
  </sheetData>
  <customSheetViews>
    <customSheetView guid="{3F0D6565-C55E-43AC-AC5D-87C4E1D85423}" scale="85">
      <selection activeCell="U15" sqref="U15"/>
      <pageMargins left="0" right="0" top="0" bottom="0" header="0" footer="0"/>
      <pageSetup orientation="portrait" r:id="rId1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4"/>
    </customSheetView>
    <customSheetView guid="{91089E3D-1703-4FEE-B13A-4F0669A06DB8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zoomScale="70" zoomScaleNormal="70" workbookViewId="0">
      <selection activeCell="A32" sqref="A32"/>
    </sheetView>
  </sheetViews>
  <sheetFormatPr defaultColWidth="11.5703125" defaultRowHeight="15" x14ac:dyDescent="0.25"/>
  <cols>
    <col min="1" max="3" width="11.5703125" style="35" customWidth="1"/>
    <col min="4" max="4" width="13.42578125" style="32" customWidth="1"/>
    <col min="5" max="6" width="12.5703125" style="33" customWidth="1"/>
    <col min="7" max="14" width="12.5703125" style="32" customWidth="1"/>
    <col min="15" max="26" width="11.5703125" style="33" customWidth="1"/>
    <col min="27" max="16384" width="11.5703125" style="32"/>
  </cols>
  <sheetData>
    <row r="1" spans="1:29" s="31" customFormat="1" ht="45.75" thickTop="1" x14ac:dyDescent="0.25">
      <c r="A1" s="38" t="s">
        <v>0</v>
      </c>
      <c r="B1" s="38" t="s">
        <v>1</v>
      </c>
      <c r="C1" s="38" t="s">
        <v>2</v>
      </c>
      <c r="D1" s="39" t="s">
        <v>3</v>
      </c>
      <c r="E1" s="40" t="s">
        <v>12</v>
      </c>
      <c r="F1" s="40" t="s">
        <v>13</v>
      </c>
      <c r="G1" s="40" t="s">
        <v>14</v>
      </c>
      <c r="H1" s="40" t="s">
        <v>15</v>
      </c>
      <c r="I1" s="40" t="s">
        <v>16</v>
      </c>
      <c r="J1" s="40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9" t="s">
        <v>22</v>
      </c>
      <c r="P1" s="29" t="s">
        <v>23</v>
      </c>
      <c r="Q1" s="29" t="s">
        <v>24</v>
      </c>
      <c r="R1" s="29" t="s">
        <v>25</v>
      </c>
      <c r="S1" s="29" t="s">
        <v>26</v>
      </c>
      <c r="T1" s="29" t="s">
        <v>27</v>
      </c>
      <c r="U1" s="29" t="s">
        <v>28</v>
      </c>
      <c r="V1" s="29" t="s">
        <v>29</v>
      </c>
      <c r="W1" s="29" t="s">
        <v>30</v>
      </c>
      <c r="X1" s="29" t="s">
        <v>31</v>
      </c>
      <c r="Y1" s="29" t="s">
        <v>32</v>
      </c>
      <c r="Z1" s="29" t="s">
        <v>33</v>
      </c>
      <c r="AA1" s="30" t="s">
        <v>8</v>
      </c>
      <c r="AB1" s="30" t="s">
        <v>9</v>
      </c>
      <c r="AC1" s="30" t="s">
        <v>10</v>
      </c>
    </row>
    <row r="2" spans="1:29" x14ac:dyDescent="0.25">
      <c r="A2" s="35" t="s">
        <v>11</v>
      </c>
      <c r="B2" s="35">
        <v>1</v>
      </c>
      <c r="C2" s="35">
        <v>9</v>
      </c>
      <c r="D2" s="32">
        <v>2022</v>
      </c>
      <c r="E2" s="33">
        <f>INDEX('13 - Electrical Readings'!$C$8:$C$962,1+(2*(ROWS(A$1:A1)-1)))</f>
        <v>18380</v>
      </c>
      <c r="F2" s="33">
        <f>INDEX('13 - Electrical Readings'!$D$6:$D$962,1+(2*(ROWS(A$1:A2)-1)))</f>
        <v>8600</v>
      </c>
      <c r="G2" s="32">
        <f>INDEX('13 - Electrical Readings'!$E$6:$E$962,1+(2*(ROWS(A$1:A2)-1)))</f>
        <v>18322</v>
      </c>
      <c r="H2" s="32">
        <f>INDEX('13 - Electrical Readings'!$F$6:$F$962,1+(2*(ROWS(A$1:A2)-1)))</f>
        <v>9468</v>
      </c>
      <c r="I2" s="33">
        <f>INDEX('13 - Electrical Readings'!$G$6:$G$962,1+(2*(ROWS(A$1:A2)-1)))</f>
        <v>17</v>
      </c>
      <c r="J2" s="32">
        <f>INDEX('13 - Electrical Readings'!$I$6:$I$962,1+(2*(ROWS(A$1:A2)-1)))</f>
        <v>2506</v>
      </c>
      <c r="K2" s="32">
        <f>INDEX('13 - Electrical Readings'!$J$6:$J$962,1+(2*(ROWS(B$1:B2)-1)))</f>
        <v>9153</v>
      </c>
      <c r="L2" s="32">
        <f>INDEX('13 - Electrical Readings'!$K$6:$K$962,1+(2*(ROWS(C$1:C2)-1)))</f>
        <v>3321</v>
      </c>
      <c r="M2" s="32">
        <f>INDEX('13 - Electrical Readings'!$L$6:$L$962,1+(2*(ROWS(D$1:D2)-1)))</f>
        <v>4438</v>
      </c>
      <c r="N2" s="32">
        <f>INDEX('13 - Electrical Readings'!$M$6:$M$962,1+(2*(ROWS(E$1:E2)-1)))</f>
        <v>10695</v>
      </c>
      <c r="O2" s="33">
        <f>INDEX('13 - Electrical Readings'!$N$6:$N$962,1+(2*(ROWS(E$1:E2)-1)))</f>
        <v>8792</v>
      </c>
      <c r="P2" s="33">
        <f>INDEX('13 - Electrical Readings'!$O$6:$O$962,1+(2*(ROWS(E$1:E2)-1)))</f>
        <v>4020</v>
      </c>
      <c r="Q2" s="33">
        <f>INDEX('13 - Electrical Readings'!$P$6:$P$962,1+(2*(ROWS(E$1:E2)-1)))</f>
        <v>2900</v>
      </c>
      <c r="R2" s="33">
        <f>INDEX('9 - Water Readings'!$C$8:$C$966,1+(2*(ROWS(A$1:A1)-1)))</f>
        <v>0</v>
      </c>
      <c r="S2" s="33">
        <f>INDEX('9 - Water Readings'!$D$8:$D$965,1+(2*(ROWS(A$1:A1)-1)))</f>
        <v>0</v>
      </c>
      <c r="T2" s="33">
        <f>INDEX('9 - Water Readings'!$E$8:$E$966,1+(2*(ROWS(A$1:A1)-1)))</f>
        <v>0</v>
      </c>
      <c r="U2" s="33">
        <f>INDEX('9 - Water Readings'!$G$8:$G$965,1+(2*(ROWS(A$1:A1)-1)))</f>
        <v>113</v>
      </c>
      <c r="V2" s="33">
        <f>INDEX('9 - Water Readings'!$H$8:$H$966,1+(2*(ROWS(A$1:A1)-1)))</f>
        <v>44</v>
      </c>
      <c r="W2" s="33">
        <f>INDEX('9 - Water Readings'!$I$8:$I$966,1+(2*(ROWS(A$1:A1)-1)))</f>
        <v>0</v>
      </c>
      <c r="X2" s="33">
        <f>INDEX('9 - Water Readings'!$J$8:$J$966,1+(2*(ROWS(A$1:A1)-1)))</f>
        <v>186</v>
      </c>
      <c r="Y2" s="33">
        <f>INDEX('9 - Water Readings'!$K$8:$K$966,1+(2*(ROWS(A$1:A1)-1)))</f>
        <v>0</v>
      </c>
      <c r="Z2" s="33">
        <f>INDEX('9 - Water Readings'!$L$8:$L$966,1+(2*(ROWS(A$1:A1)-1)))</f>
        <v>47</v>
      </c>
      <c r="AA2" s="34">
        <f>'9 - Water Readings'!Q7</f>
        <v>99</v>
      </c>
      <c r="AB2" s="32">
        <f>'9 - Water Readings'!R7</f>
        <v>394</v>
      </c>
      <c r="AC2">
        <f>'9 - Water Readings'!S7</f>
        <v>15.1</v>
      </c>
    </row>
    <row r="3" spans="1:29" x14ac:dyDescent="0.25">
      <c r="A3" s="35" t="s">
        <v>11</v>
      </c>
      <c r="B3" s="35">
        <f>B2+1</f>
        <v>2</v>
      </c>
      <c r="C3" s="35">
        <v>9</v>
      </c>
      <c r="D3" s="32">
        <v>2022</v>
      </c>
      <c r="E3" s="33">
        <f>INDEX('13 - Electrical Readings'!$C$8:$C$962,1+(2*(ROWS(A$1:A2)-1)))</f>
        <v>18785</v>
      </c>
      <c r="F3" s="33">
        <f>INDEX('13 - Electrical Readings'!$D$6:$D$962,1+(2*(ROWS(A$1:A3)-1)))</f>
        <v>13114</v>
      </c>
      <c r="G3" s="32">
        <f>INDEX('13 - Electrical Readings'!$E$6:$E$962,1+(2*(ROWS(A$1:A3)-1)))</f>
        <v>13803</v>
      </c>
      <c r="H3" s="32">
        <f>INDEX('13 - Electrical Readings'!$F$6:$F$962,1+(2*(ROWS(A$1:A3)-1)))</f>
        <v>5083</v>
      </c>
      <c r="I3" s="33">
        <f>INDEX('13 - Electrical Readings'!$G$6:$G$962,1+(2*(ROWS(A$1:A3)-1)))</f>
        <v>16</v>
      </c>
      <c r="J3" s="32">
        <f>INDEX('13 - Electrical Readings'!$I$6:$I$962,1+(2*(ROWS(A$1:A3)-1)))</f>
        <v>2482</v>
      </c>
      <c r="K3" s="32">
        <f>INDEX('13 - Electrical Readings'!$J$6:$J$962,1+(2*(ROWS(B$1:B3)-1)))</f>
        <v>9277</v>
      </c>
      <c r="L3" s="32">
        <f>INDEX('13 - Electrical Readings'!$K$6:$K$962,1+(2*(ROWS(C$1:C3)-1)))</f>
        <v>3445</v>
      </c>
      <c r="M3" s="32">
        <f>INDEX('13 - Electrical Readings'!$L$6:$L$962,1+(2*(ROWS(D$1:D3)-1)))</f>
        <v>4522</v>
      </c>
      <c r="N3" s="32">
        <f>INDEX('13 - Electrical Readings'!$M$6:$M$962,1+(2*(ROWS(E$1:E3)-1)))</f>
        <v>10442</v>
      </c>
      <c r="O3" s="33">
        <f>INDEX('13 - Electrical Readings'!$N$6:$N$962,1+(2*(ROWS(E$1:E3)-1)))</f>
        <v>8557</v>
      </c>
      <c r="P3" s="33">
        <f>INDEX('13 - Electrical Readings'!$O$6:$O$962,1+(2*(ROWS(E$1:E3)-1)))</f>
        <v>3916</v>
      </c>
      <c r="Q3" s="33">
        <f>INDEX('13 - Electrical Readings'!$P$6:$P$962,1+(2*(ROWS(E$1:E3)-1)))</f>
        <v>3210</v>
      </c>
      <c r="R3" s="33">
        <f>INDEX('9 - Water Readings'!$C$8:$C$966,1+(2*(ROWS(A$1:A2)-1)))</f>
        <v>0</v>
      </c>
      <c r="S3" s="33">
        <f>INDEX('9 - Water Readings'!$D$8:$D$965,1+(2*(ROWS(A$1:A2)-1)))</f>
        <v>0</v>
      </c>
      <c r="T3" s="33">
        <f>INDEX('9 - Water Readings'!$E$8:$E$966,1+(2*(ROWS(A$1:A2)-1)))</f>
        <v>0</v>
      </c>
      <c r="U3" s="33">
        <f>INDEX('9 - Water Readings'!$G$8:$G$965,1+(2*(ROWS(A$1:A2)-1)))</f>
        <v>109</v>
      </c>
      <c r="V3" s="33">
        <f>INDEX('9 - Water Readings'!$H$8:$H$966,1+(2*(ROWS(A$1:A2)-1)))</f>
        <v>13</v>
      </c>
      <c r="W3" s="33">
        <f>INDEX('9 - Water Readings'!$I$8:$I$966,1+(2*(ROWS(A$1:A2)-1)))</f>
        <v>0</v>
      </c>
      <c r="X3" s="33">
        <f>INDEX('9 - Water Readings'!$J$8:$J$966,1+(2*(ROWS(A$1:A2)-1)))</f>
        <v>221</v>
      </c>
      <c r="Y3" s="33">
        <f>INDEX('9 - Water Readings'!$K$8:$K$966,1+(2*(ROWS(A$1:A2)-1)))</f>
        <v>0</v>
      </c>
      <c r="Z3" s="33">
        <f>INDEX('9 - Water Readings'!$L$8:$L$966,1+(2*(ROWS(A$1:A2)-1)))</f>
        <v>38</v>
      </c>
      <c r="AA3" s="34">
        <f>'9 - Water Readings'!Q8</f>
        <v>114</v>
      </c>
      <c r="AB3" s="32">
        <f>'9 - Water Readings'!R8</f>
        <v>454</v>
      </c>
      <c r="AC3">
        <f>'9 - Water Readings'!S8</f>
        <v>15</v>
      </c>
    </row>
    <row r="4" spans="1:29" x14ac:dyDescent="0.25">
      <c r="A4" s="35" t="s">
        <v>11</v>
      </c>
      <c r="B4" s="35">
        <f t="shared" ref="B4:B30" si="0">B3+1</f>
        <v>3</v>
      </c>
      <c r="C4" s="35">
        <v>9</v>
      </c>
      <c r="D4" s="32">
        <v>2022</v>
      </c>
      <c r="E4" s="33">
        <f>INDEX('13 - Electrical Readings'!$C$8:$C$962,1+(2*(ROWS(A$1:A3)-1)))</f>
        <v>11212</v>
      </c>
      <c r="F4" s="33">
        <f>INDEX('13 - Electrical Readings'!$D$6:$D$962,1+(2*(ROWS(A$1:A4)-1)))</f>
        <v>13846</v>
      </c>
      <c r="G4" s="32">
        <f>INDEX('13 - Electrical Readings'!$E$6:$E$962,1+(2*(ROWS(A$1:A4)-1)))</f>
        <v>11473</v>
      </c>
      <c r="H4" s="32">
        <f>INDEX('13 - Electrical Readings'!$F$6:$F$962,1+(2*(ROWS(A$1:A4)-1)))</f>
        <v>14230</v>
      </c>
      <c r="I4" s="33">
        <f>INDEX('13 - Electrical Readings'!$G$6:$G$962,1+(2*(ROWS(A$1:A4)-1)))</f>
        <v>16</v>
      </c>
      <c r="J4" s="32">
        <f>INDEX('13 - Electrical Readings'!$I$6:$I$962,1+(2*(ROWS(A$1:A4)-1)))</f>
        <v>2586</v>
      </c>
      <c r="K4" s="32">
        <f>INDEX('13 - Electrical Readings'!$J$6:$J$962,1+(2*(ROWS(B$1:B4)-1)))</f>
        <v>9248</v>
      </c>
      <c r="L4" s="32">
        <f>INDEX('13 - Electrical Readings'!$K$6:$K$962,1+(2*(ROWS(C$1:C4)-1)))</f>
        <v>3117</v>
      </c>
      <c r="M4" s="32">
        <f>INDEX('13 - Electrical Readings'!$L$6:$L$962,1+(2*(ROWS(D$1:D4)-1)))</f>
        <v>4494</v>
      </c>
      <c r="N4" s="32">
        <f>INDEX('13 - Electrical Readings'!$M$6:$M$962,1+(2*(ROWS(E$1:E4)-1)))</f>
        <v>10485</v>
      </c>
      <c r="O4" s="33">
        <f>INDEX('13 - Electrical Readings'!$N$6:$N$962,1+(2*(ROWS(E$1:E4)-1)))</f>
        <v>8793</v>
      </c>
      <c r="P4" s="33">
        <f>INDEX('13 - Electrical Readings'!$O$6:$O$962,1+(2*(ROWS(E$1:E4)-1)))</f>
        <v>3995</v>
      </c>
      <c r="Q4" s="33">
        <f>INDEX('13 - Electrical Readings'!$P$6:$P$962,1+(2*(ROWS(E$1:E4)-1)))</f>
        <v>2920</v>
      </c>
      <c r="R4" s="33">
        <f>INDEX('9 - Water Readings'!$C$8:$C$966,1+(2*(ROWS(A$1:A3)-1)))</f>
        <v>0</v>
      </c>
      <c r="S4" s="33">
        <f>INDEX('9 - Water Readings'!$D$8:$D$965,1+(2*(ROWS(A$1:A3)-1)))</f>
        <v>0</v>
      </c>
      <c r="T4" s="33">
        <f>INDEX('9 - Water Readings'!$E$8:$E$966,1+(2*(ROWS(A$1:A3)-1)))</f>
        <v>0</v>
      </c>
      <c r="U4" s="33">
        <f>INDEX('9 - Water Readings'!$G$8:$G$965,1+(2*(ROWS(A$1:A3)-1)))</f>
        <v>117</v>
      </c>
      <c r="V4" s="33">
        <f>INDEX('9 - Water Readings'!$H$8:$H$966,1+(2*(ROWS(A$1:A3)-1)))</f>
        <v>14</v>
      </c>
      <c r="W4" s="33">
        <f>INDEX('9 - Water Readings'!$I$8:$I$966,1+(2*(ROWS(A$1:A3)-1)))</f>
        <v>0</v>
      </c>
      <c r="X4" s="33">
        <f>INDEX('9 - Water Readings'!$J$8:$J$966,1+(2*(ROWS(A$1:A3)-1)))</f>
        <v>200</v>
      </c>
      <c r="Y4" s="33">
        <f>INDEX('9 - Water Readings'!$K$8:$K$966,1+(2*(ROWS(A$1:A3)-1)))</f>
        <v>0</v>
      </c>
      <c r="Z4" s="33">
        <f>INDEX('9 - Water Readings'!$L$8:$L$966,1+(2*(ROWS(A$1:A3)-1)))</f>
        <v>45</v>
      </c>
      <c r="AA4" s="34">
        <f>'9 - Water Readings'!Q9</f>
        <v>59</v>
      </c>
      <c r="AB4" s="32">
        <f>'9 - Water Readings'!R9</f>
        <v>192</v>
      </c>
      <c r="AC4">
        <f>'9 - Water Readings'!S9</f>
        <v>14.3</v>
      </c>
    </row>
    <row r="5" spans="1:29" x14ac:dyDescent="0.25">
      <c r="A5" s="35" t="s">
        <v>11</v>
      </c>
      <c r="B5" s="35">
        <f t="shared" si="0"/>
        <v>4</v>
      </c>
      <c r="C5" s="35">
        <v>9</v>
      </c>
      <c r="D5" s="32">
        <v>2022</v>
      </c>
      <c r="E5" s="33">
        <f>INDEX('13 - Electrical Readings'!$C$8:$C$962,1+(2*(ROWS(A$1:A4)-1)))</f>
        <v>7478</v>
      </c>
      <c r="F5" s="33">
        <f>INDEX('13 - Electrical Readings'!$D$6:$D$962,1+(2*(ROWS(A$1:A5)-1)))</f>
        <v>13446</v>
      </c>
      <c r="G5" s="32">
        <f>INDEX('13 - Electrical Readings'!$E$6:$E$962,1+(2*(ROWS(A$1:A5)-1)))</f>
        <v>14634</v>
      </c>
      <c r="H5" s="32">
        <f>INDEX('13 - Electrical Readings'!$F$6:$F$962,1+(2*(ROWS(A$1:A5)-1)))</f>
        <v>17288</v>
      </c>
      <c r="I5" s="33">
        <f>INDEX('13 - Electrical Readings'!$G$6:$G$962,1+(2*(ROWS(A$1:A5)-1)))</f>
        <v>16</v>
      </c>
      <c r="J5" s="32">
        <f>INDEX('13 - Electrical Readings'!$I$6:$I$962,1+(2*(ROWS(A$1:A5)-1)))</f>
        <v>2635</v>
      </c>
      <c r="K5" s="32">
        <f>INDEX('13 - Electrical Readings'!$J$6:$J$962,1+(2*(ROWS(B$1:B5)-1)))</f>
        <v>9143</v>
      </c>
      <c r="L5" s="32">
        <f>INDEX('13 - Electrical Readings'!$K$6:$K$962,1+(2*(ROWS(C$1:C5)-1)))</f>
        <v>3090</v>
      </c>
      <c r="M5" s="32">
        <f>INDEX('13 - Electrical Readings'!$L$6:$L$962,1+(2*(ROWS(D$1:D5)-1)))</f>
        <v>4384</v>
      </c>
      <c r="N5" s="32">
        <f>INDEX('13 - Electrical Readings'!$M$6:$M$962,1+(2*(ROWS(E$1:E5)-1)))</f>
        <v>10662</v>
      </c>
      <c r="O5" s="33">
        <f>INDEX('13 - Electrical Readings'!$N$6:$N$962,1+(2*(ROWS(E$1:E5)-1)))</f>
        <v>8580</v>
      </c>
      <c r="P5" s="33">
        <f>INDEX('13 - Electrical Readings'!$O$6:$O$962,1+(2*(ROWS(E$1:E5)-1)))</f>
        <v>4195</v>
      </c>
      <c r="Q5" s="33">
        <f>INDEX('13 - Electrical Readings'!$P$6:$P$962,1+(2*(ROWS(E$1:E5)-1)))</f>
        <v>2410</v>
      </c>
      <c r="R5" s="33">
        <f>INDEX('9 - Water Readings'!$C$8:$C$966,1+(2*(ROWS(A$1:A4)-1)))</f>
        <v>0</v>
      </c>
      <c r="S5" s="33">
        <f>INDEX('9 - Water Readings'!$D$8:$D$965,1+(2*(ROWS(A$1:A4)-1)))</f>
        <v>0</v>
      </c>
      <c r="T5" s="33">
        <f>INDEX('9 - Water Readings'!$E$8:$E$966,1+(2*(ROWS(A$1:A4)-1)))</f>
        <v>0</v>
      </c>
      <c r="U5" s="33">
        <f>INDEX('9 - Water Readings'!$G$8:$G$965,1+(2*(ROWS(A$1:A4)-1)))</f>
        <v>116</v>
      </c>
      <c r="V5" s="33">
        <f>INDEX('9 - Water Readings'!$H$8:$H$966,1+(2*(ROWS(A$1:A4)-1)))</f>
        <v>13</v>
      </c>
      <c r="W5" s="33">
        <f>INDEX('9 - Water Readings'!$I$8:$I$966,1+(2*(ROWS(A$1:A4)-1)))</f>
        <v>0</v>
      </c>
      <c r="X5" s="33">
        <f>INDEX('9 - Water Readings'!$J$8:$J$966,1+(2*(ROWS(A$1:A4)-1)))</f>
        <v>180</v>
      </c>
      <c r="Y5" s="33">
        <f>INDEX('9 - Water Readings'!$K$8:$K$966,1+(2*(ROWS(A$1:A4)-1)))</f>
        <v>0</v>
      </c>
      <c r="Z5" s="33">
        <f>INDEX('9 - Water Readings'!$L$8:$L$966,1+(2*(ROWS(A$1:A4)-1)))</f>
        <v>38</v>
      </c>
      <c r="AA5" s="34">
        <f>'9 - Water Readings'!Q10</f>
        <v>83</v>
      </c>
      <c r="AB5" s="32">
        <f>'9 - Water Readings'!R10</f>
        <v>228</v>
      </c>
      <c r="AC5">
        <f>'9 - Water Readings'!S10</f>
        <v>14.7</v>
      </c>
    </row>
    <row r="6" spans="1:29" x14ac:dyDescent="0.25">
      <c r="A6" s="35" t="s">
        <v>11</v>
      </c>
      <c r="B6" s="35">
        <f t="shared" si="0"/>
        <v>5</v>
      </c>
      <c r="C6" s="35">
        <v>9</v>
      </c>
      <c r="D6" s="32">
        <v>2022</v>
      </c>
      <c r="E6" s="33">
        <f>INDEX('13 - Electrical Readings'!$C$8:$C$962,1+(2*(ROWS(A$1:A5)-1)))</f>
        <v>3</v>
      </c>
      <c r="F6" s="33">
        <f>INDEX('13 - Electrical Readings'!$D$6:$D$962,1+(2*(ROWS(A$1:A6)-1)))</f>
        <v>13611</v>
      </c>
      <c r="G6" s="32">
        <f>INDEX('13 - Electrical Readings'!$E$6:$E$962,1+(2*(ROWS(A$1:A6)-1)))</f>
        <v>18931</v>
      </c>
      <c r="H6" s="32">
        <f>INDEX('13 - Electrical Readings'!$F$6:$F$962,1+(2*(ROWS(A$1:A6)-1)))</f>
        <v>14853</v>
      </c>
      <c r="I6" s="33">
        <f>INDEX('13 - Electrical Readings'!$G$6:$G$962,1+(2*(ROWS(A$1:A6)-1)))</f>
        <v>12</v>
      </c>
      <c r="J6" s="32">
        <f>INDEX('13 - Electrical Readings'!$I$6:$I$962,1+(2*(ROWS(A$1:A6)-1)))</f>
        <v>2684</v>
      </c>
      <c r="K6" s="32">
        <f>INDEX('13 - Electrical Readings'!$J$6:$J$962,1+(2*(ROWS(B$1:B6)-1)))</f>
        <v>8924</v>
      </c>
      <c r="L6" s="32">
        <f>INDEX('13 - Electrical Readings'!$K$6:$K$962,1+(2*(ROWS(C$1:C6)-1)))</f>
        <v>3183</v>
      </c>
      <c r="M6" s="32">
        <f>INDEX('13 - Electrical Readings'!$L$6:$L$962,1+(2*(ROWS(D$1:D6)-1)))</f>
        <v>4380</v>
      </c>
      <c r="N6" s="32">
        <f>INDEX('13 - Electrical Readings'!$M$6:$M$962,1+(2*(ROWS(E$1:E6)-1)))</f>
        <v>10327</v>
      </c>
      <c r="O6" s="33">
        <f>INDEX('13 - Electrical Readings'!$N$6:$N$962,1+(2*(ROWS(E$1:E6)-1)))</f>
        <v>8743</v>
      </c>
      <c r="P6" s="33">
        <f>INDEX('13 - Electrical Readings'!$O$6:$O$962,1+(2*(ROWS(E$1:E6)-1)))</f>
        <v>4127</v>
      </c>
      <c r="Q6" s="33">
        <f>INDEX('13 - Electrical Readings'!$P$6:$P$962,1+(2*(ROWS(E$1:E6)-1)))</f>
        <v>2670</v>
      </c>
      <c r="R6" s="33">
        <f>INDEX('9 - Water Readings'!$C$8:$C$966,1+(2*(ROWS(A$1:A5)-1)))</f>
        <v>0</v>
      </c>
      <c r="S6" s="33">
        <f>INDEX('9 - Water Readings'!$D$8:$D$965,1+(2*(ROWS(A$1:A5)-1)))</f>
        <v>0</v>
      </c>
      <c r="T6" s="33">
        <f>INDEX('9 - Water Readings'!$E$8:$E$966,1+(2*(ROWS(A$1:A5)-1)))</f>
        <v>0</v>
      </c>
      <c r="U6" s="33">
        <f>INDEX('9 - Water Readings'!$G$8:$G$965,1+(2*(ROWS(A$1:A5)-1)))</f>
        <v>117</v>
      </c>
      <c r="V6" s="33">
        <f>INDEX('9 - Water Readings'!$H$8:$H$966,1+(2*(ROWS(A$1:A5)-1)))</f>
        <v>28</v>
      </c>
      <c r="W6" s="33">
        <f>INDEX('9 - Water Readings'!$I$8:$I$966,1+(2*(ROWS(A$1:A5)-1)))</f>
        <v>0</v>
      </c>
      <c r="X6" s="33">
        <f>INDEX('9 - Water Readings'!$J$8:$J$966,1+(2*(ROWS(A$1:A5)-1)))</f>
        <v>192</v>
      </c>
      <c r="Y6" s="33">
        <f>INDEX('9 - Water Readings'!$K$8:$K$966,1+(2*(ROWS(A$1:A5)-1)))</f>
        <v>0</v>
      </c>
      <c r="Z6" s="33">
        <f>INDEX('9 - Water Readings'!$L$8:$L$966,1+(2*(ROWS(A$1:A5)-1)))</f>
        <v>34</v>
      </c>
      <c r="AA6" s="34">
        <f>'9 - Water Readings'!Q11</f>
        <v>118</v>
      </c>
      <c r="AB6" s="32">
        <f>'9 - Water Readings'!R11</f>
        <v>292</v>
      </c>
      <c r="AC6">
        <f>'9 - Water Readings'!S11</f>
        <v>15.5</v>
      </c>
    </row>
    <row r="7" spans="1:29" x14ac:dyDescent="0.25">
      <c r="A7" s="35" t="s">
        <v>11</v>
      </c>
      <c r="B7" s="35">
        <f t="shared" si="0"/>
        <v>6</v>
      </c>
      <c r="C7" s="35">
        <v>9</v>
      </c>
      <c r="D7" s="32">
        <v>2022</v>
      </c>
      <c r="E7" s="33">
        <f>INDEX('13 - Electrical Readings'!$C$8:$C$962,1+(2*(ROWS(A$1:A6)-1)))</f>
        <v>4</v>
      </c>
      <c r="F7" s="33">
        <f>INDEX('13 - Electrical Readings'!$D$6:$D$962,1+(2*(ROWS(A$1:A7)-1)))</f>
        <v>14494</v>
      </c>
      <c r="G7" s="32">
        <f>INDEX('13 - Electrical Readings'!$E$6:$E$962,1+(2*(ROWS(A$1:A7)-1)))</f>
        <v>19793</v>
      </c>
      <c r="H7" s="32">
        <f>INDEX('13 - Electrical Readings'!$F$6:$F$962,1+(2*(ROWS(A$1:A7)-1)))</f>
        <v>15814</v>
      </c>
      <c r="I7" s="33">
        <f>INDEX('13 - Electrical Readings'!$G$6:$G$962,1+(2*(ROWS(A$1:A7)-1)))</f>
        <v>16</v>
      </c>
      <c r="J7" s="32">
        <f>INDEX('13 - Electrical Readings'!$I$6:$I$962,1+(2*(ROWS(A$1:A7)-1)))</f>
        <v>2759</v>
      </c>
      <c r="K7" s="32">
        <f>INDEX('13 - Electrical Readings'!$J$6:$J$962,1+(2*(ROWS(B$1:B7)-1)))</f>
        <v>9409</v>
      </c>
      <c r="L7" s="32">
        <f>INDEX('13 - Electrical Readings'!$K$6:$K$962,1+(2*(ROWS(C$1:C7)-1)))</f>
        <v>3403</v>
      </c>
      <c r="M7" s="32">
        <f>INDEX('13 - Electrical Readings'!$L$6:$L$962,1+(2*(ROWS(D$1:D7)-1)))</f>
        <v>4548</v>
      </c>
      <c r="N7" s="32">
        <f>INDEX('13 - Electrical Readings'!$M$6:$M$962,1+(2*(ROWS(E$1:E7)-1)))</f>
        <v>10240</v>
      </c>
      <c r="O7" s="33">
        <f>INDEX('13 - Electrical Readings'!$N$6:$N$962,1+(2*(ROWS(E$1:E7)-1)))</f>
        <v>9047</v>
      </c>
      <c r="P7" s="33">
        <f>INDEX('13 - Electrical Readings'!$O$6:$O$962,1+(2*(ROWS(E$1:E7)-1)))</f>
        <v>3671</v>
      </c>
      <c r="Q7" s="33">
        <f>INDEX('13 - Electrical Readings'!$P$6:$P$962,1+(2*(ROWS(E$1:E7)-1)))</f>
        <v>2990</v>
      </c>
      <c r="R7" s="33">
        <f>INDEX('9 - Water Readings'!$C$8:$C$966,1+(2*(ROWS(A$1:A6)-1)))</f>
        <v>0</v>
      </c>
      <c r="S7" s="33">
        <f>INDEX('9 - Water Readings'!$D$8:$D$965,1+(2*(ROWS(A$1:A6)-1)))</f>
        <v>0</v>
      </c>
      <c r="T7" s="33">
        <f>INDEX('9 - Water Readings'!$E$8:$E$966,1+(2*(ROWS(A$1:A6)-1)))</f>
        <v>0</v>
      </c>
      <c r="U7" s="33">
        <f>INDEX('9 - Water Readings'!$G$8:$G$965,1+(2*(ROWS(A$1:A6)-1)))</f>
        <v>116</v>
      </c>
      <c r="V7" s="33">
        <f>INDEX('9 - Water Readings'!$H$8:$H$966,1+(2*(ROWS(A$1:A6)-1)))</f>
        <v>15</v>
      </c>
      <c r="W7" s="33">
        <f>INDEX('9 - Water Readings'!$I$8:$I$966,1+(2*(ROWS(A$1:A6)-1)))</f>
        <v>0</v>
      </c>
      <c r="X7" s="33">
        <f>INDEX('9 - Water Readings'!$J$8:$J$966,1+(2*(ROWS(A$1:A6)-1)))</f>
        <v>195</v>
      </c>
      <c r="Y7" s="33">
        <f>INDEX('9 - Water Readings'!$K$8:$K$966,1+(2*(ROWS(A$1:A6)-1)))</f>
        <v>0</v>
      </c>
      <c r="Z7" s="33">
        <f>INDEX('9 - Water Readings'!$L$8:$L$966,1+(2*(ROWS(A$1:A6)-1)))</f>
        <v>38</v>
      </c>
      <c r="AA7" s="34">
        <f>'9 - Water Readings'!Q12</f>
        <v>142</v>
      </c>
      <c r="AB7" s="32">
        <f>'9 - Water Readings'!R12</f>
        <v>346</v>
      </c>
      <c r="AC7">
        <f>'9 - Water Readings'!S12</f>
        <v>15.2</v>
      </c>
    </row>
    <row r="8" spans="1:29" x14ac:dyDescent="0.25">
      <c r="A8" s="35" t="s">
        <v>11</v>
      </c>
      <c r="B8" s="35">
        <f t="shared" si="0"/>
        <v>7</v>
      </c>
      <c r="C8" s="35">
        <v>9</v>
      </c>
      <c r="D8" s="32">
        <v>2022</v>
      </c>
      <c r="E8" s="33">
        <f>INDEX('13 - Electrical Readings'!$C$8:$C$962,1+(2*(ROWS(A$1:A7)-1)))</f>
        <v>10</v>
      </c>
      <c r="F8" s="33">
        <f>INDEX('13 - Electrical Readings'!$D$6:$D$962,1+(2*(ROWS(A$1:A8)-1)))</f>
        <v>13891</v>
      </c>
      <c r="G8" s="32">
        <f>INDEX('13 - Electrical Readings'!$E$6:$E$962,1+(2*(ROWS(A$1:A8)-1)))</f>
        <v>19596</v>
      </c>
      <c r="H8" s="32">
        <f>INDEX('13 - Electrical Readings'!$F$6:$F$962,1+(2*(ROWS(A$1:A8)-1)))</f>
        <v>18107</v>
      </c>
      <c r="I8" s="33">
        <f>INDEX('13 - Electrical Readings'!$G$6:$G$962,1+(2*(ROWS(A$1:A8)-1)))</f>
        <v>14</v>
      </c>
      <c r="J8" s="32">
        <f>INDEX('13 - Electrical Readings'!$I$6:$I$962,1+(2*(ROWS(A$1:A8)-1)))</f>
        <v>2635</v>
      </c>
      <c r="K8" s="32">
        <f>INDEX('13 - Electrical Readings'!$J$6:$J$962,1+(2*(ROWS(B$1:B8)-1)))</f>
        <v>9220</v>
      </c>
      <c r="L8" s="32">
        <f>INDEX('13 - Electrical Readings'!$K$6:$K$962,1+(2*(ROWS(C$1:C8)-1)))</f>
        <v>3358</v>
      </c>
      <c r="M8" s="32">
        <f>INDEX('13 - Electrical Readings'!$L$6:$L$962,1+(2*(ROWS(D$1:D8)-1)))</f>
        <v>4411</v>
      </c>
      <c r="N8" s="32">
        <f>INDEX('13 - Electrical Readings'!$M$6:$M$962,1+(2*(ROWS(E$1:E8)-1)))</f>
        <v>10454</v>
      </c>
      <c r="O8" s="33">
        <f>INDEX('13 - Electrical Readings'!$N$6:$N$962,1+(2*(ROWS(E$1:E8)-1)))</f>
        <v>8898</v>
      </c>
      <c r="P8" s="33">
        <f>INDEX('13 - Electrical Readings'!$O$6:$O$962,1+(2*(ROWS(E$1:E8)-1)))</f>
        <v>3959</v>
      </c>
      <c r="Q8" s="33">
        <f>INDEX('13 - Electrical Readings'!$P$6:$P$962,1+(2*(ROWS(E$1:E8)-1)))</f>
        <v>2870</v>
      </c>
      <c r="R8" s="33">
        <f>INDEX('9 - Water Readings'!$C$8:$C$966,1+(2*(ROWS(A$1:A7)-1)))</f>
        <v>0</v>
      </c>
      <c r="S8" s="33">
        <f>INDEX('9 - Water Readings'!$D$8:$D$965,1+(2*(ROWS(A$1:A7)-1)))</f>
        <v>0</v>
      </c>
      <c r="T8" s="33">
        <f>INDEX('9 - Water Readings'!$E$8:$E$966,1+(2*(ROWS(A$1:A7)-1)))</f>
        <v>0</v>
      </c>
      <c r="U8" s="33">
        <f>INDEX('9 - Water Readings'!$G$8:$G$965,1+(2*(ROWS(A$1:A7)-1)))</f>
        <v>113</v>
      </c>
      <c r="V8" s="33">
        <f>INDEX('9 - Water Readings'!$H$8:$H$966,1+(2*(ROWS(A$1:A7)-1)))</f>
        <v>21</v>
      </c>
      <c r="W8" s="33">
        <f>INDEX('9 - Water Readings'!$I$8:$I$966,1+(2*(ROWS(A$1:A7)-1)))</f>
        <v>0</v>
      </c>
      <c r="X8" s="33">
        <f>INDEX('9 - Water Readings'!$J$8:$J$966,1+(2*(ROWS(A$1:A7)-1)))</f>
        <v>207</v>
      </c>
      <c r="Y8" s="33">
        <f>INDEX('9 - Water Readings'!$K$8:$K$966,1+(2*(ROWS(A$1:A7)-1)))</f>
        <v>0</v>
      </c>
      <c r="Z8" s="33">
        <f>INDEX('9 - Water Readings'!$L$8:$L$966,1+(2*(ROWS(A$1:A7)-1)))</f>
        <v>44</v>
      </c>
      <c r="AA8" s="34">
        <f>'9 - Water Readings'!Q13</f>
        <v>148</v>
      </c>
      <c r="AB8" s="32">
        <f>'9 - Water Readings'!R13</f>
        <v>368</v>
      </c>
      <c r="AC8">
        <f>'9 - Water Readings'!S13</f>
        <v>14.9</v>
      </c>
    </row>
    <row r="9" spans="1:29" x14ac:dyDescent="0.25">
      <c r="A9" s="35" t="s">
        <v>11</v>
      </c>
      <c r="B9" s="35">
        <f t="shared" si="0"/>
        <v>8</v>
      </c>
      <c r="C9" s="35">
        <v>9</v>
      </c>
      <c r="D9" s="32">
        <v>2022</v>
      </c>
      <c r="E9" s="33">
        <f>INDEX('13 - Electrical Readings'!$C$8:$C$962,1+(2*(ROWS(A$1:A8)-1)))</f>
        <v>5</v>
      </c>
      <c r="F9" s="33">
        <f>INDEX('13 - Electrical Readings'!$D$6:$D$962,1+(2*(ROWS(A$1:A9)-1)))</f>
        <v>13956</v>
      </c>
      <c r="G9" s="32">
        <f>INDEX('13 - Electrical Readings'!$E$6:$E$962,1+(2*(ROWS(A$1:A9)-1)))</f>
        <v>19713</v>
      </c>
      <c r="H9" s="32">
        <f>INDEX('13 - Electrical Readings'!$F$6:$F$962,1+(2*(ROWS(A$1:A9)-1)))</f>
        <v>18154</v>
      </c>
      <c r="I9" s="33">
        <f>INDEX('13 - Electrical Readings'!$G$6:$G$962,1+(2*(ROWS(A$1:A9)-1)))</f>
        <v>13</v>
      </c>
      <c r="J9" s="32">
        <f>INDEX('13 - Electrical Readings'!$I$6:$I$962,1+(2*(ROWS(A$1:A9)-1)))</f>
        <v>2568</v>
      </c>
      <c r="K9" s="32">
        <f>INDEX('13 - Electrical Readings'!$J$6:$J$962,1+(2*(ROWS(B$1:B9)-1)))</f>
        <v>9349</v>
      </c>
      <c r="L9" s="32">
        <f>INDEX('13 - Electrical Readings'!$K$6:$K$962,1+(2*(ROWS(C$1:C9)-1)))</f>
        <v>3456</v>
      </c>
      <c r="M9" s="32">
        <f>INDEX('13 - Electrical Readings'!$L$6:$L$962,1+(2*(ROWS(D$1:D9)-1)))</f>
        <v>4501</v>
      </c>
      <c r="N9" s="32">
        <f>INDEX('13 - Electrical Readings'!$M$6:$M$962,1+(2*(ROWS(E$1:E9)-1)))</f>
        <v>10645</v>
      </c>
      <c r="O9" s="33">
        <f>INDEX('13 - Electrical Readings'!$N$6:$N$962,1+(2*(ROWS(E$1:E9)-1)))</f>
        <v>8867</v>
      </c>
      <c r="P9" s="33">
        <f>INDEX('13 - Electrical Readings'!$O$6:$O$962,1+(2*(ROWS(E$1:E9)-1)))</f>
        <v>4624</v>
      </c>
      <c r="Q9" s="33">
        <f>INDEX('13 - Electrical Readings'!$P$6:$P$962,1+(2*(ROWS(E$1:E9)-1)))</f>
        <v>2960</v>
      </c>
      <c r="R9" s="33">
        <f>INDEX('9 - Water Readings'!$C$8:$C$966,1+(2*(ROWS(A$1:A8)-1)))</f>
        <v>3</v>
      </c>
      <c r="S9" s="33">
        <f>INDEX('9 - Water Readings'!$D$8:$D$965,1+(2*(ROWS(A$1:A8)-1)))</f>
        <v>0</v>
      </c>
      <c r="T9" s="33">
        <f>INDEX('9 - Water Readings'!$E$8:$E$966,1+(2*(ROWS(A$1:A8)-1)))</f>
        <v>0</v>
      </c>
      <c r="U9" s="33">
        <f>INDEX('9 - Water Readings'!$G$8:$G$965,1+(2*(ROWS(A$1:A8)-1)))</f>
        <v>118</v>
      </c>
      <c r="V9" s="33">
        <f>INDEX('9 - Water Readings'!$H$8:$H$966,1+(2*(ROWS(A$1:A8)-1)))</f>
        <v>10</v>
      </c>
      <c r="W9" s="33">
        <f>INDEX('9 - Water Readings'!$I$8:$I$966,1+(2*(ROWS(A$1:A8)-1)))</f>
        <v>0</v>
      </c>
      <c r="X9" s="33">
        <f>INDEX('9 - Water Readings'!$J$8:$J$966,1+(2*(ROWS(A$1:A8)-1)))</f>
        <v>206</v>
      </c>
      <c r="Y9" s="33">
        <f>INDEX('9 - Water Readings'!$K$8:$K$966,1+(2*(ROWS(A$1:A8)-1)))</f>
        <v>0</v>
      </c>
      <c r="Z9" s="33">
        <f>INDEX('9 - Water Readings'!$L$8:$L$966,1+(2*(ROWS(A$1:A8)-1)))</f>
        <v>45</v>
      </c>
      <c r="AA9" s="34">
        <f>'9 - Water Readings'!Q14</f>
        <v>214</v>
      </c>
      <c r="AB9" s="32">
        <f>'9 - Water Readings'!R14</f>
        <v>648</v>
      </c>
      <c r="AC9">
        <f>'9 - Water Readings'!S14</f>
        <v>14.4</v>
      </c>
    </row>
    <row r="10" spans="1:29" x14ac:dyDescent="0.25">
      <c r="A10" s="35" t="s">
        <v>11</v>
      </c>
      <c r="B10" s="35">
        <f t="shared" si="0"/>
        <v>9</v>
      </c>
      <c r="C10" s="35">
        <v>9</v>
      </c>
      <c r="D10" s="32">
        <v>2022</v>
      </c>
      <c r="E10" s="33">
        <f>INDEX('13 - Electrical Readings'!$C$8:$C$962,1+(2*(ROWS(A$1:A9)-1)))</f>
        <v>5</v>
      </c>
      <c r="F10" s="33">
        <f>INDEX('13 - Electrical Readings'!$D$6:$D$962,1+(2*(ROWS(A$1:A10)-1)))</f>
        <v>13717</v>
      </c>
      <c r="G10" s="32">
        <f>INDEX('13 - Electrical Readings'!$E$6:$E$962,1+(2*(ROWS(A$1:A10)-1)))</f>
        <v>19521</v>
      </c>
      <c r="H10" s="32">
        <f>INDEX('13 - Electrical Readings'!$F$6:$F$962,1+(2*(ROWS(A$1:A10)-1)))</f>
        <v>18003</v>
      </c>
      <c r="I10" s="33">
        <f>INDEX('13 - Electrical Readings'!$G$6:$G$962,1+(2*(ROWS(A$1:A10)-1)))</f>
        <v>16</v>
      </c>
      <c r="J10" s="32">
        <f>INDEX('13 - Electrical Readings'!$I$6:$I$962,1+(2*(ROWS(A$1:A10)-1)))</f>
        <v>2578</v>
      </c>
      <c r="K10" s="32">
        <f>INDEX('13 - Electrical Readings'!$J$6:$J$962,1+(2*(ROWS(B$1:B10)-1)))</f>
        <v>9501</v>
      </c>
      <c r="L10" s="32">
        <f>INDEX('13 - Electrical Readings'!$K$6:$K$962,1+(2*(ROWS(C$1:C10)-1)))</f>
        <v>3750</v>
      </c>
      <c r="M10" s="32">
        <f>INDEX('13 - Electrical Readings'!$L$6:$L$962,1+(2*(ROWS(D$1:D10)-1)))</f>
        <v>4532</v>
      </c>
      <c r="N10" s="32">
        <f>INDEX('13 - Electrical Readings'!$M$6:$M$962,1+(2*(ROWS(E$1:E10)-1)))</f>
        <v>10604</v>
      </c>
      <c r="O10" s="33">
        <f>INDEX('13 - Electrical Readings'!$N$6:$N$962,1+(2*(ROWS(E$1:E10)-1)))</f>
        <v>8933</v>
      </c>
      <c r="P10" s="33">
        <f>INDEX('13 - Electrical Readings'!$O$6:$O$962,1+(2*(ROWS(E$1:E10)-1)))</f>
        <v>4383</v>
      </c>
      <c r="Q10" s="33">
        <f>INDEX('13 - Electrical Readings'!$P$6:$P$962,1+(2*(ROWS(E$1:E10)-1)))</f>
        <v>3110</v>
      </c>
      <c r="R10" s="33">
        <f>INDEX('9 - Water Readings'!$C$8:$C$966,1+(2*(ROWS(A$1:A9)-1)))</f>
        <v>0</v>
      </c>
      <c r="S10" s="33">
        <f>INDEX('9 - Water Readings'!$D$8:$D$965,1+(2*(ROWS(A$1:A9)-1)))</f>
        <v>0</v>
      </c>
      <c r="T10" s="33">
        <f>INDEX('9 - Water Readings'!$E$8:$E$966,1+(2*(ROWS(A$1:A9)-1)))</f>
        <v>0</v>
      </c>
      <c r="U10" s="33">
        <f>INDEX('9 - Water Readings'!$G$8:$G$965,1+(2*(ROWS(A$1:A9)-1)))</f>
        <v>112</v>
      </c>
      <c r="V10" s="33">
        <f>INDEX('9 - Water Readings'!$H$8:$H$966,1+(2*(ROWS(A$1:A9)-1)))</f>
        <v>20</v>
      </c>
      <c r="W10" s="33">
        <f>INDEX('9 - Water Readings'!$I$8:$I$966,1+(2*(ROWS(A$1:A9)-1)))</f>
        <v>0</v>
      </c>
      <c r="X10" s="33">
        <f>INDEX('9 - Water Readings'!$J$8:$J$966,1+(2*(ROWS(A$1:A9)-1)))</f>
        <v>236</v>
      </c>
      <c r="Y10" s="33">
        <f>INDEX('9 - Water Readings'!$K$8:$K$966,1+(2*(ROWS(A$1:A9)-1)))</f>
        <v>0</v>
      </c>
      <c r="Z10" s="33">
        <f>INDEX('9 - Water Readings'!$L$8:$L$966,1+(2*(ROWS(A$1:A9)-1)))</f>
        <v>48</v>
      </c>
      <c r="AA10" s="34">
        <f>'9 - Water Readings'!Q15</f>
        <v>206</v>
      </c>
      <c r="AB10" s="32">
        <f>'9 - Water Readings'!R15</f>
        <v>668</v>
      </c>
      <c r="AC10">
        <f>'9 - Water Readings'!S15</f>
        <v>14.1</v>
      </c>
    </row>
    <row r="11" spans="1:29" x14ac:dyDescent="0.25">
      <c r="A11" s="35" t="s">
        <v>11</v>
      </c>
      <c r="B11" s="35">
        <f t="shared" si="0"/>
        <v>10</v>
      </c>
      <c r="C11" s="35">
        <v>9</v>
      </c>
      <c r="D11" s="32">
        <v>2022</v>
      </c>
      <c r="E11" s="33">
        <f>INDEX('13 - Electrical Readings'!$C$8:$C$962,1+(2*(ROWS(A$1:A10)-1)))</f>
        <v>6</v>
      </c>
      <c r="F11" s="33">
        <f>INDEX('13 - Electrical Readings'!$D$6:$D$962,1+(2*(ROWS(A$1:A11)-1)))</f>
        <v>13511</v>
      </c>
      <c r="G11" s="32">
        <f>INDEX('13 - Electrical Readings'!$E$6:$E$962,1+(2*(ROWS(A$1:A11)-1)))</f>
        <v>19220</v>
      </c>
      <c r="H11" s="32">
        <f>INDEX('13 - Electrical Readings'!$F$6:$F$962,1+(2*(ROWS(A$1:A11)-1)))</f>
        <v>17684</v>
      </c>
      <c r="I11" s="33">
        <f>INDEX('13 - Electrical Readings'!$G$6:$G$962,1+(2*(ROWS(A$1:A11)-1)))</f>
        <v>13</v>
      </c>
      <c r="J11" s="32">
        <f>INDEX('13 - Electrical Readings'!$I$6:$I$962,1+(2*(ROWS(A$1:A11)-1)))</f>
        <v>2494</v>
      </c>
      <c r="K11" s="32">
        <f>INDEX('13 - Electrical Readings'!$J$6:$J$962,1+(2*(ROWS(B$1:B11)-1)))</f>
        <v>9281</v>
      </c>
      <c r="L11" s="32">
        <f>INDEX('13 - Electrical Readings'!$K$6:$K$962,1+(2*(ROWS(C$1:C11)-1)))</f>
        <v>3375</v>
      </c>
      <c r="M11" s="32">
        <f>INDEX('13 - Electrical Readings'!$L$6:$L$962,1+(2*(ROWS(D$1:D11)-1)))</f>
        <v>4409</v>
      </c>
      <c r="N11" s="32">
        <f>INDEX('13 - Electrical Readings'!$M$6:$M$962,1+(2*(ROWS(E$1:E11)-1)))</f>
        <v>10470</v>
      </c>
      <c r="O11" s="33">
        <f>INDEX('13 - Electrical Readings'!$N$6:$N$962,1+(2*(ROWS(E$1:E11)-1)))</f>
        <v>8769</v>
      </c>
      <c r="P11" s="33">
        <f>INDEX('13 - Electrical Readings'!$O$6:$O$962,1+(2*(ROWS(E$1:E11)-1)))</f>
        <v>4204</v>
      </c>
      <c r="Q11" s="33">
        <f>INDEX('13 - Electrical Readings'!$P$6:$P$962,1+(2*(ROWS(E$1:E11)-1)))</f>
        <v>2650</v>
      </c>
      <c r="R11" s="33">
        <f>INDEX('9 - Water Readings'!$C$8:$C$966,1+(2*(ROWS(A$1:A10)-1)))</f>
        <v>0</v>
      </c>
      <c r="S11" s="33">
        <f>INDEX('9 - Water Readings'!$D$8:$D$965,1+(2*(ROWS(A$1:A10)-1)))</f>
        <v>0</v>
      </c>
      <c r="T11" s="33">
        <f>INDEX('9 - Water Readings'!$E$8:$E$966,1+(2*(ROWS(A$1:A10)-1)))</f>
        <v>0</v>
      </c>
      <c r="U11" s="33">
        <f>INDEX('9 - Water Readings'!$G$8:$G$965,1+(2*(ROWS(A$1:A10)-1)))</f>
        <v>112</v>
      </c>
      <c r="V11" s="33">
        <f>INDEX('9 - Water Readings'!$H$8:$H$966,1+(2*(ROWS(A$1:A10)-1)))</f>
        <v>21</v>
      </c>
      <c r="W11" s="33">
        <f>INDEX('9 - Water Readings'!$I$8:$I$966,1+(2*(ROWS(A$1:A10)-1)))</f>
        <v>0</v>
      </c>
      <c r="X11" s="33">
        <f>INDEX('9 - Water Readings'!$J$8:$J$966,1+(2*(ROWS(A$1:A10)-1)))</f>
        <v>229</v>
      </c>
      <c r="Y11" s="33">
        <f>INDEX('9 - Water Readings'!$K$8:$K$966,1+(2*(ROWS(A$1:A10)-1)))</f>
        <v>0</v>
      </c>
      <c r="Z11" s="33">
        <f>INDEX('9 - Water Readings'!$L$8:$L$966,1+(2*(ROWS(A$1:A10)-1)))</f>
        <v>40</v>
      </c>
      <c r="AA11" s="34">
        <f>'9 - Water Readings'!Q16</f>
        <v>132</v>
      </c>
      <c r="AB11" s="32">
        <f>'9 - Water Readings'!R16</f>
        <v>362</v>
      </c>
      <c r="AC11">
        <f>'9 - Water Readings'!S16</f>
        <v>13.9</v>
      </c>
    </row>
    <row r="12" spans="1:29" x14ac:dyDescent="0.25">
      <c r="A12" s="35" t="s">
        <v>11</v>
      </c>
      <c r="B12" s="35">
        <f t="shared" si="0"/>
        <v>11</v>
      </c>
      <c r="C12" s="35">
        <v>9</v>
      </c>
      <c r="D12" s="32">
        <v>2022</v>
      </c>
      <c r="E12" s="33">
        <f>INDEX('13 - Electrical Readings'!$C$8:$C$962,1+(2*(ROWS(A$1:A11)-1)))</f>
        <v>0</v>
      </c>
      <c r="F12" s="33">
        <f>INDEX('13 - Electrical Readings'!$D$6:$D$962,1+(2*(ROWS(A$1:A12)-1)))</f>
        <v>0</v>
      </c>
      <c r="G12" s="32">
        <f>INDEX('13 - Electrical Readings'!$E$6:$E$962,1+(2*(ROWS(A$1:A12)-1)))</f>
        <v>0</v>
      </c>
      <c r="H12" s="32">
        <f>INDEX('13 - Electrical Readings'!$F$6:$F$962,1+(2*(ROWS(A$1:A12)-1)))</f>
        <v>0</v>
      </c>
      <c r="I12" s="33">
        <f>INDEX('13 - Electrical Readings'!$G$6:$G$962,1+(2*(ROWS(A$1:A12)-1)))</f>
        <v>0</v>
      </c>
      <c r="J12" s="32">
        <f>INDEX('13 - Electrical Readings'!$I$6:$I$962,1+(2*(ROWS(A$1:A12)-1)))</f>
        <v>0</v>
      </c>
      <c r="K12" s="32">
        <f>INDEX('13 - Electrical Readings'!$J$6:$J$962,1+(2*(ROWS(B$1:B12)-1)))</f>
        <v>0</v>
      </c>
      <c r="L12" s="32">
        <f>INDEX('13 - Electrical Readings'!$K$6:$K$962,1+(2*(ROWS(C$1:C12)-1)))</f>
        <v>0</v>
      </c>
      <c r="M12" s="32">
        <f>INDEX('13 - Electrical Readings'!$L$6:$L$962,1+(2*(ROWS(D$1:D12)-1)))</f>
        <v>0</v>
      </c>
      <c r="N12" s="32">
        <f>INDEX('13 - Electrical Readings'!$M$6:$M$962,1+(2*(ROWS(E$1:E12)-1)))</f>
        <v>0</v>
      </c>
      <c r="O12" s="33">
        <f>INDEX('13 - Electrical Readings'!$N$6:$N$962,1+(2*(ROWS(E$1:E12)-1)))</f>
        <v>0</v>
      </c>
      <c r="P12" s="33">
        <f>INDEX('13 - Electrical Readings'!$O$6:$O$962,1+(2*(ROWS(E$1:E12)-1)))</f>
        <v>0</v>
      </c>
      <c r="Q12" s="33">
        <f>INDEX('13 - Electrical Readings'!$P$6:$P$962,1+(2*(ROWS(E$1:E12)-1)))</f>
        <v>0</v>
      </c>
      <c r="R12" s="33">
        <f>INDEX('9 - Water Readings'!$C$8:$C$966,1+(2*(ROWS(A$1:A11)-1)))</f>
        <v>0</v>
      </c>
      <c r="S12" s="33">
        <f>INDEX('9 - Water Readings'!$D$8:$D$965,1+(2*(ROWS(A$1:A11)-1)))</f>
        <v>0</v>
      </c>
      <c r="T12" s="33">
        <f>INDEX('9 - Water Readings'!$E$8:$E$966,1+(2*(ROWS(A$1:A11)-1)))</f>
        <v>0</v>
      </c>
      <c r="U12" s="33">
        <f>INDEX('9 - Water Readings'!$G$8:$G$965,1+(2*(ROWS(A$1:A11)-1)))</f>
        <v>0</v>
      </c>
      <c r="V12" s="33">
        <f>INDEX('9 - Water Readings'!$H$8:$H$966,1+(2*(ROWS(A$1:A11)-1)))</f>
        <v>0</v>
      </c>
      <c r="W12" s="33">
        <f>INDEX('9 - Water Readings'!$I$8:$I$966,1+(2*(ROWS(A$1:A11)-1)))</f>
        <v>0</v>
      </c>
      <c r="X12" s="33">
        <f>INDEX('9 - Water Readings'!$J$8:$J$966,1+(2*(ROWS(A$1:A11)-1)))</f>
        <v>0</v>
      </c>
      <c r="Y12" s="33">
        <f>INDEX('9 - Water Readings'!$K$8:$K$966,1+(2*(ROWS(A$1:A11)-1)))</f>
        <v>0</v>
      </c>
      <c r="Z12" s="33">
        <f>INDEX('9 - Water Readings'!$L$8:$L$966,1+(2*(ROWS(A$1:A11)-1)))</f>
        <v>0</v>
      </c>
      <c r="AA12" s="34">
        <f>'9 - Water Readings'!Q17</f>
        <v>122</v>
      </c>
      <c r="AB12" s="32">
        <f>'9 - Water Readings'!R17</f>
        <v>308</v>
      </c>
      <c r="AC12">
        <f>'9 - Water Readings'!S17</f>
        <v>14.4</v>
      </c>
    </row>
    <row r="13" spans="1:29" x14ac:dyDescent="0.25">
      <c r="A13" s="35" t="s">
        <v>11</v>
      </c>
      <c r="B13" s="35">
        <f t="shared" si="0"/>
        <v>12</v>
      </c>
      <c r="C13" s="35">
        <v>9</v>
      </c>
      <c r="D13" s="32">
        <v>2022</v>
      </c>
      <c r="E13" s="33">
        <f>INDEX('13 - Electrical Readings'!$C$8:$C$962,1+(2*(ROWS(A$1:A12)-1)))</f>
        <v>0</v>
      </c>
      <c r="F13" s="33">
        <f>INDEX('13 - Electrical Readings'!$D$6:$D$962,1+(2*(ROWS(A$1:A13)-1)))</f>
        <v>0</v>
      </c>
      <c r="G13" s="32">
        <f>INDEX('13 - Electrical Readings'!$E$6:$E$962,1+(2*(ROWS(A$1:A13)-1)))</f>
        <v>0</v>
      </c>
      <c r="H13" s="32">
        <f>INDEX('13 - Electrical Readings'!$F$6:$F$962,1+(2*(ROWS(A$1:A13)-1)))</f>
        <v>0</v>
      </c>
      <c r="I13" s="33">
        <f>INDEX('13 - Electrical Readings'!$G$6:$G$962,1+(2*(ROWS(A$1:A13)-1)))</f>
        <v>0</v>
      </c>
      <c r="J13" s="32">
        <f>INDEX('13 - Electrical Readings'!$I$6:$I$962,1+(2*(ROWS(A$1:A13)-1)))</f>
        <v>0</v>
      </c>
      <c r="K13" s="32">
        <f>INDEX('13 - Electrical Readings'!$J$6:$J$962,1+(2*(ROWS(B$1:B13)-1)))</f>
        <v>0</v>
      </c>
      <c r="L13" s="32">
        <f>INDEX('13 - Electrical Readings'!$K$6:$K$962,1+(2*(ROWS(C$1:C13)-1)))</f>
        <v>0</v>
      </c>
      <c r="M13" s="32">
        <f>INDEX('13 - Electrical Readings'!$L$6:$L$962,1+(2*(ROWS(D$1:D13)-1)))</f>
        <v>0</v>
      </c>
      <c r="N13" s="32">
        <f>INDEX('13 - Electrical Readings'!$M$6:$M$962,1+(2*(ROWS(E$1:E13)-1)))</f>
        <v>0</v>
      </c>
      <c r="O13" s="33">
        <f>INDEX('13 - Electrical Readings'!$N$6:$N$962,1+(2*(ROWS(E$1:E13)-1)))</f>
        <v>0</v>
      </c>
      <c r="P13" s="33">
        <f>INDEX('13 - Electrical Readings'!$O$6:$O$962,1+(2*(ROWS(E$1:E13)-1)))</f>
        <v>0</v>
      </c>
      <c r="Q13" s="33">
        <f>INDEX('13 - Electrical Readings'!$P$6:$P$962,1+(2*(ROWS(E$1:E13)-1)))</f>
        <v>0</v>
      </c>
      <c r="R13" s="33">
        <f>INDEX('9 - Water Readings'!$C$8:$C$966,1+(2*(ROWS(A$1:A12)-1)))</f>
        <v>0</v>
      </c>
      <c r="S13" s="33">
        <f>INDEX('9 - Water Readings'!$D$8:$D$965,1+(2*(ROWS(A$1:A12)-1)))</f>
        <v>0</v>
      </c>
      <c r="T13" s="33">
        <f>INDEX('9 - Water Readings'!$E$8:$E$966,1+(2*(ROWS(A$1:A12)-1)))</f>
        <v>0</v>
      </c>
      <c r="U13" s="33">
        <f>INDEX('9 - Water Readings'!$G$8:$G$965,1+(2*(ROWS(A$1:A12)-1)))</f>
        <v>0</v>
      </c>
      <c r="V13" s="33">
        <f>INDEX('9 - Water Readings'!$H$8:$H$966,1+(2*(ROWS(A$1:A12)-1)))</f>
        <v>0</v>
      </c>
      <c r="W13" s="33">
        <f>INDEX('9 - Water Readings'!$I$8:$I$966,1+(2*(ROWS(A$1:A12)-1)))</f>
        <v>0</v>
      </c>
      <c r="X13" s="33">
        <f>INDEX('9 - Water Readings'!$J$8:$J$966,1+(2*(ROWS(A$1:A12)-1)))</f>
        <v>0</v>
      </c>
      <c r="Y13" s="33">
        <f>INDEX('9 - Water Readings'!$K$8:$K$966,1+(2*(ROWS(A$1:A12)-1)))</f>
        <v>0</v>
      </c>
      <c r="Z13" s="33">
        <f>INDEX('9 - Water Readings'!$L$8:$L$966,1+(2*(ROWS(A$1:A12)-1)))</f>
        <v>0</v>
      </c>
      <c r="AA13" s="34">
        <f>'9 - Water Readings'!Q18</f>
        <v>0</v>
      </c>
      <c r="AB13" s="32">
        <f>'9 - Water Readings'!R18</f>
        <v>0</v>
      </c>
      <c r="AC13">
        <f>'9 - Water Readings'!S18</f>
        <v>0</v>
      </c>
    </row>
    <row r="14" spans="1:29" x14ac:dyDescent="0.25">
      <c r="A14" s="35" t="s">
        <v>11</v>
      </c>
      <c r="B14" s="35">
        <f t="shared" si="0"/>
        <v>13</v>
      </c>
      <c r="C14" s="35">
        <v>9</v>
      </c>
      <c r="D14" s="32">
        <v>2022</v>
      </c>
      <c r="E14" s="33">
        <f>INDEX('13 - Electrical Readings'!$C$8:$C$962,1+(2*(ROWS(A$1:A13)-1)))</f>
        <v>0</v>
      </c>
      <c r="F14" s="33">
        <f>INDEX('13 - Electrical Readings'!$D$6:$D$962,1+(2*(ROWS(A$1:A14)-1)))</f>
        <v>0</v>
      </c>
      <c r="G14" s="32">
        <f>INDEX('13 - Electrical Readings'!$E$6:$E$962,1+(2*(ROWS(A$1:A14)-1)))</f>
        <v>0</v>
      </c>
      <c r="H14" s="32">
        <f>INDEX('13 - Electrical Readings'!$F$6:$F$962,1+(2*(ROWS(A$1:A14)-1)))</f>
        <v>0</v>
      </c>
      <c r="I14" s="33">
        <f>INDEX('13 - Electrical Readings'!$G$6:$G$962,1+(2*(ROWS(A$1:A14)-1)))</f>
        <v>0</v>
      </c>
      <c r="J14" s="32">
        <f>INDEX('13 - Electrical Readings'!$I$6:$I$962,1+(2*(ROWS(A$1:A14)-1)))</f>
        <v>0</v>
      </c>
      <c r="K14" s="32">
        <f>INDEX('13 - Electrical Readings'!$J$6:$J$962,1+(2*(ROWS(B$1:B14)-1)))</f>
        <v>0</v>
      </c>
      <c r="L14" s="32">
        <f>INDEX('13 - Electrical Readings'!$K$6:$K$962,1+(2*(ROWS(C$1:C14)-1)))</f>
        <v>0</v>
      </c>
      <c r="M14" s="32">
        <f>INDEX('13 - Electrical Readings'!$L$6:$L$962,1+(2*(ROWS(D$1:D14)-1)))</f>
        <v>0</v>
      </c>
      <c r="N14" s="32">
        <f>INDEX('13 - Electrical Readings'!$M$6:$M$962,1+(2*(ROWS(E$1:E14)-1)))</f>
        <v>0</v>
      </c>
      <c r="O14" s="33">
        <f>INDEX('13 - Electrical Readings'!$N$6:$N$962,1+(2*(ROWS(E$1:E14)-1)))</f>
        <v>0</v>
      </c>
      <c r="P14" s="33">
        <f>INDEX('13 - Electrical Readings'!$O$6:$O$962,1+(2*(ROWS(E$1:E14)-1)))</f>
        <v>0</v>
      </c>
      <c r="Q14" s="33">
        <f>INDEX('13 - Electrical Readings'!$P$6:$P$962,1+(2*(ROWS(E$1:E14)-1)))</f>
        <v>0</v>
      </c>
      <c r="R14" s="33">
        <f>INDEX('9 - Water Readings'!$C$8:$C$966,1+(2*(ROWS(A$1:A13)-1)))</f>
        <v>0</v>
      </c>
      <c r="S14" s="33">
        <f>INDEX('9 - Water Readings'!$D$8:$D$965,1+(2*(ROWS(A$1:A13)-1)))</f>
        <v>0</v>
      </c>
      <c r="T14" s="33">
        <f>INDEX('9 - Water Readings'!$E$8:$E$966,1+(2*(ROWS(A$1:A13)-1)))</f>
        <v>0</v>
      </c>
      <c r="U14" s="33">
        <f>INDEX('9 - Water Readings'!$G$8:$G$965,1+(2*(ROWS(A$1:A13)-1)))</f>
        <v>0</v>
      </c>
      <c r="V14" s="33">
        <f>INDEX('9 - Water Readings'!$H$8:$H$966,1+(2*(ROWS(A$1:A13)-1)))</f>
        <v>0</v>
      </c>
      <c r="W14" s="33">
        <f>INDEX('9 - Water Readings'!$I$8:$I$966,1+(2*(ROWS(A$1:A13)-1)))</f>
        <v>0</v>
      </c>
      <c r="X14" s="33">
        <f>INDEX('9 - Water Readings'!$J$8:$J$966,1+(2*(ROWS(A$1:A13)-1)))</f>
        <v>0</v>
      </c>
      <c r="Y14" s="33">
        <f>INDEX('9 - Water Readings'!$K$8:$K$966,1+(2*(ROWS(A$1:A13)-1)))</f>
        <v>0</v>
      </c>
      <c r="Z14" s="33">
        <f>INDEX('9 - Water Readings'!$L$8:$L$966,1+(2*(ROWS(A$1:A13)-1)))</f>
        <v>0</v>
      </c>
      <c r="AA14" s="34">
        <f>'9 - Water Readings'!Q19</f>
        <v>0</v>
      </c>
      <c r="AB14" s="32">
        <f>'9 - Water Readings'!R19</f>
        <v>0</v>
      </c>
      <c r="AC14">
        <f>'9 - Water Readings'!S19</f>
        <v>0</v>
      </c>
    </row>
    <row r="15" spans="1:29" x14ac:dyDescent="0.25">
      <c r="A15" s="35" t="s">
        <v>11</v>
      </c>
      <c r="B15" s="35">
        <f t="shared" si="0"/>
        <v>14</v>
      </c>
      <c r="C15" s="35">
        <v>9</v>
      </c>
      <c r="D15" s="32">
        <v>2022</v>
      </c>
      <c r="E15" s="33">
        <f>INDEX('13 - Electrical Readings'!$C$8:$C$962,1+(2*(ROWS(A$1:A14)-1)))</f>
        <v>0</v>
      </c>
      <c r="F15" s="33">
        <f>INDEX('13 - Electrical Readings'!$D$6:$D$962,1+(2*(ROWS(A$1:A15)-1)))</f>
        <v>0</v>
      </c>
      <c r="G15" s="32">
        <f>INDEX('13 - Electrical Readings'!$E$6:$E$962,1+(2*(ROWS(A$1:A15)-1)))</f>
        <v>0</v>
      </c>
      <c r="H15" s="32">
        <f>INDEX('13 - Electrical Readings'!$F$6:$F$962,1+(2*(ROWS(A$1:A15)-1)))</f>
        <v>0</v>
      </c>
      <c r="I15" s="33">
        <f>INDEX('13 - Electrical Readings'!$G$6:$G$962,1+(2*(ROWS(A$1:A15)-1)))</f>
        <v>0</v>
      </c>
      <c r="J15" s="32">
        <f>INDEX('13 - Electrical Readings'!$I$6:$I$962,1+(2*(ROWS(A$1:A15)-1)))</f>
        <v>0</v>
      </c>
      <c r="K15" s="32">
        <f>INDEX('13 - Electrical Readings'!$J$6:$J$962,1+(2*(ROWS(B$1:B15)-1)))</f>
        <v>0</v>
      </c>
      <c r="L15" s="32">
        <f>INDEX('13 - Electrical Readings'!$K$6:$K$962,1+(2*(ROWS(C$1:C15)-1)))</f>
        <v>0</v>
      </c>
      <c r="M15" s="32">
        <f>INDEX('13 - Electrical Readings'!$L$6:$L$962,1+(2*(ROWS(D$1:D15)-1)))</f>
        <v>0</v>
      </c>
      <c r="N15" s="32">
        <f>INDEX('13 - Electrical Readings'!$M$6:$M$962,1+(2*(ROWS(E$1:E15)-1)))</f>
        <v>0</v>
      </c>
      <c r="O15" s="33">
        <f>INDEX('13 - Electrical Readings'!$N$6:$N$962,1+(2*(ROWS(E$1:E15)-1)))</f>
        <v>0</v>
      </c>
      <c r="P15" s="33">
        <f>INDEX('13 - Electrical Readings'!$O$6:$O$962,1+(2*(ROWS(E$1:E15)-1)))</f>
        <v>0</v>
      </c>
      <c r="Q15" s="33">
        <f>INDEX('13 - Electrical Readings'!$P$6:$P$962,1+(2*(ROWS(E$1:E15)-1)))</f>
        <v>0</v>
      </c>
      <c r="R15" s="33">
        <f>INDEX('9 - Water Readings'!$C$8:$C$966,1+(2*(ROWS(A$1:A14)-1)))</f>
        <v>0</v>
      </c>
      <c r="S15" s="33">
        <f>INDEX('9 - Water Readings'!$D$8:$D$965,1+(2*(ROWS(A$1:A14)-1)))</f>
        <v>0</v>
      </c>
      <c r="T15" s="33">
        <f>INDEX('9 - Water Readings'!$E$8:$E$966,1+(2*(ROWS(A$1:A14)-1)))</f>
        <v>0</v>
      </c>
      <c r="U15" s="33">
        <f>INDEX('9 - Water Readings'!$G$8:$G$965,1+(2*(ROWS(A$1:A14)-1)))</f>
        <v>0</v>
      </c>
      <c r="V15" s="33">
        <f>INDEX('9 - Water Readings'!$H$8:$H$966,1+(2*(ROWS(A$1:A14)-1)))</f>
        <v>0</v>
      </c>
      <c r="W15" s="33">
        <f>INDEX('9 - Water Readings'!$I$8:$I$966,1+(2*(ROWS(A$1:A14)-1)))</f>
        <v>0</v>
      </c>
      <c r="X15" s="33">
        <f>INDEX('9 - Water Readings'!$J$8:$J$966,1+(2*(ROWS(A$1:A14)-1)))</f>
        <v>0</v>
      </c>
      <c r="Y15" s="33">
        <f>INDEX('9 - Water Readings'!$K$8:$K$966,1+(2*(ROWS(A$1:A14)-1)))</f>
        <v>0</v>
      </c>
      <c r="Z15" s="33">
        <f>INDEX('9 - Water Readings'!$L$8:$L$966,1+(2*(ROWS(A$1:A14)-1)))</f>
        <v>0</v>
      </c>
      <c r="AA15" s="34">
        <f>'9 - Water Readings'!Q20</f>
        <v>0</v>
      </c>
      <c r="AB15" s="32">
        <f>'9 - Water Readings'!R20</f>
        <v>0</v>
      </c>
      <c r="AC15">
        <f>'9 - Water Readings'!S20</f>
        <v>0</v>
      </c>
    </row>
    <row r="16" spans="1:29" x14ac:dyDescent="0.25">
      <c r="A16" s="35" t="s">
        <v>11</v>
      </c>
      <c r="B16" s="35">
        <f t="shared" si="0"/>
        <v>15</v>
      </c>
      <c r="C16" s="35">
        <v>9</v>
      </c>
      <c r="D16" s="32">
        <v>2022</v>
      </c>
      <c r="E16" s="33">
        <f>INDEX('13 - Electrical Readings'!$C$8:$C$962,1+(2*(ROWS(A$1:A15)-1)))</f>
        <v>0</v>
      </c>
      <c r="F16" s="33">
        <f>INDEX('13 - Electrical Readings'!$D$6:$D$962,1+(2*(ROWS(A$1:A16)-1)))</f>
        <v>0</v>
      </c>
      <c r="G16" s="32">
        <f>INDEX('13 - Electrical Readings'!$E$6:$E$962,1+(2*(ROWS(A$1:A16)-1)))</f>
        <v>0</v>
      </c>
      <c r="H16" s="32">
        <f>INDEX('13 - Electrical Readings'!$F$6:$F$962,1+(2*(ROWS(A$1:A16)-1)))</f>
        <v>0</v>
      </c>
      <c r="I16" s="33">
        <f>INDEX('13 - Electrical Readings'!$G$6:$G$962,1+(2*(ROWS(A$1:A16)-1)))</f>
        <v>0</v>
      </c>
      <c r="J16" s="32">
        <f>INDEX('13 - Electrical Readings'!$I$6:$I$962,1+(2*(ROWS(A$1:A16)-1)))</f>
        <v>0</v>
      </c>
      <c r="K16" s="32">
        <f>INDEX('13 - Electrical Readings'!$J$6:$J$962,1+(2*(ROWS(B$1:B16)-1)))</f>
        <v>0</v>
      </c>
      <c r="L16" s="32">
        <f>INDEX('13 - Electrical Readings'!$K$6:$K$962,1+(2*(ROWS(C$1:C16)-1)))</f>
        <v>0</v>
      </c>
      <c r="M16" s="32">
        <f>INDEX('13 - Electrical Readings'!$L$6:$L$962,1+(2*(ROWS(D$1:D16)-1)))</f>
        <v>0</v>
      </c>
      <c r="N16" s="32">
        <f>INDEX('13 - Electrical Readings'!$M$6:$M$962,1+(2*(ROWS(E$1:E16)-1)))</f>
        <v>0</v>
      </c>
      <c r="O16" s="33">
        <f>INDEX('13 - Electrical Readings'!$N$6:$N$962,1+(2*(ROWS(E$1:E16)-1)))</f>
        <v>0</v>
      </c>
      <c r="P16" s="33">
        <f>INDEX('13 - Electrical Readings'!$O$6:$O$962,1+(2*(ROWS(E$1:E16)-1)))</f>
        <v>0</v>
      </c>
      <c r="Q16" s="33">
        <f>INDEX('13 - Electrical Readings'!$P$6:$P$962,1+(2*(ROWS(E$1:E16)-1)))</f>
        <v>0</v>
      </c>
      <c r="R16" s="33">
        <f>INDEX('9 - Water Readings'!$C$8:$C$966,1+(2*(ROWS(A$1:A15)-1)))</f>
        <v>0</v>
      </c>
      <c r="S16" s="33">
        <f>INDEX('9 - Water Readings'!$D$8:$D$965,1+(2*(ROWS(A$1:A15)-1)))</f>
        <v>0</v>
      </c>
      <c r="T16" s="33">
        <f>INDEX('9 - Water Readings'!$E$8:$E$966,1+(2*(ROWS(A$1:A15)-1)))</f>
        <v>0</v>
      </c>
      <c r="U16" s="33">
        <f>INDEX('9 - Water Readings'!$G$8:$G$965,1+(2*(ROWS(A$1:A15)-1)))</f>
        <v>0</v>
      </c>
      <c r="V16" s="33">
        <f>INDEX('9 - Water Readings'!$H$8:$H$966,1+(2*(ROWS(A$1:A15)-1)))</f>
        <v>0</v>
      </c>
      <c r="W16" s="33">
        <f>INDEX('9 - Water Readings'!$I$8:$I$966,1+(2*(ROWS(A$1:A15)-1)))</f>
        <v>0</v>
      </c>
      <c r="X16" s="33">
        <f>INDEX('9 - Water Readings'!$J$8:$J$966,1+(2*(ROWS(A$1:A15)-1)))</f>
        <v>0</v>
      </c>
      <c r="Y16" s="33">
        <f>INDEX('9 - Water Readings'!$K$8:$K$966,1+(2*(ROWS(A$1:A15)-1)))</f>
        <v>0</v>
      </c>
      <c r="Z16" s="33">
        <f>INDEX('9 - Water Readings'!$L$8:$L$966,1+(2*(ROWS(A$1:A15)-1)))</f>
        <v>0</v>
      </c>
      <c r="AA16" s="34">
        <f>'9 - Water Readings'!Q21</f>
        <v>0</v>
      </c>
      <c r="AB16" s="32">
        <f>'9 - Water Readings'!R21</f>
        <v>0</v>
      </c>
      <c r="AC16">
        <f>'9 - Water Readings'!S21</f>
        <v>0</v>
      </c>
    </row>
    <row r="17" spans="1:29" x14ac:dyDescent="0.25">
      <c r="A17" s="35" t="s">
        <v>11</v>
      </c>
      <c r="B17" s="35">
        <f t="shared" si="0"/>
        <v>16</v>
      </c>
      <c r="C17" s="35">
        <v>9</v>
      </c>
      <c r="D17" s="32">
        <v>2022</v>
      </c>
      <c r="E17" s="33">
        <f>INDEX('13 - Electrical Readings'!$C$8:$C$962,1+(2*(ROWS(A$1:A16)-1)))</f>
        <v>0</v>
      </c>
      <c r="F17" s="33">
        <f>INDEX('13 - Electrical Readings'!$D$6:$D$962,1+(2*(ROWS(A$1:A17)-1)))</f>
        <v>0</v>
      </c>
      <c r="G17" s="32">
        <f>INDEX('13 - Electrical Readings'!$E$6:$E$962,1+(2*(ROWS(A$1:A17)-1)))</f>
        <v>0</v>
      </c>
      <c r="H17" s="32">
        <f>INDEX('13 - Electrical Readings'!$F$6:$F$962,1+(2*(ROWS(A$1:A17)-1)))</f>
        <v>0</v>
      </c>
      <c r="I17" s="33">
        <f>INDEX('13 - Electrical Readings'!$G$6:$G$962,1+(2*(ROWS(A$1:A17)-1)))</f>
        <v>0</v>
      </c>
      <c r="J17" s="32">
        <f>INDEX('13 - Electrical Readings'!$I$6:$I$962,1+(2*(ROWS(A$1:A17)-1)))</f>
        <v>0</v>
      </c>
      <c r="K17" s="32">
        <f>INDEX('13 - Electrical Readings'!$J$6:$J$962,1+(2*(ROWS(B$1:B17)-1)))</f>
        <v>0</v>
      </c>
      <c r="L17" s="32">
        <f>INDEX('13 - Electrical Readings'!$K$6:$K$962,1+(2*(ROWS(C$1:C17)-1)))</f>
        <v>0</v>
      </c>
      <c r="M17" s="32">
        <f>INDEX('13 - Electrical Readings'!$L$6:$L$962,1+(2*(ROWS(D$1:D17)-1)))</f>
        <v>0</v>
      </c>
      <c r="N17" s="32">
        <f>INDEX('13 - Electrical Readings'!$M$6:$M$962,1+(2*(ROWS(E$1:E17)-1)))</f>
        <v>0</v>
      </c>
      <c r="O17" s="33">
        <f>INDEX('13 - Electrical Readings'!$N$6:$N$962,1+(2*(ROWS(E$1:E17)-1)))</f>
        <v>0</v>
      </c>
      <c r="P17" s="33">
        <f>INDEX('13 - Electrical Readings'!$O$6:$O$962,1+(2*(ROWS(E$1:E17)-1)))</f>
        <v>0</v>
      </c>
      <c r="Q17" s="33">
        <f>INDEX('13 - Electrical Readings'!$P$6:$P$962,1+(2*(ROWS(E$1:E17)-1)))</f>
        <v>0</v>
      </c>
      <c r="R17" s="33">
        <f>INDEX('9 - Water Readings'!$C$8:$C$966,1+(2*(ROWS(A$1:A16)-1)))</f>
        <v>0</v>
      </c>
      <c r="S17" s="33">
        <f>INDEX('9 - Water Readings'!$D$8:$D$965,1+(2*(ROWS(A$1:A16)-1)))</f>
        <v>0</v>
      </c>
      <c r="T17" s="33">
        <f>INDEX('9 - Water Readings'!$E$8:$E$966,1+(2*(ROWS(A$1:A16)-1)))</f>
        <v>0</v>
      </c>
      <c r="U17" s="33">
        <f>INDEX('9 - Water Readings'!$G$8:$G$965,1+(2*(ROWS(A$1:A16)-1)))</f>
        <v>0</v>
      </c>
      <c r="V17" s="33">
        <f>INDEX('9 - Water Readings'!$H$8:$H$966,1+(2*(ROWS(A$1:A16)-1)))</f>
        <v>0</v>
      </c>
      <c r="W17" s="33">
        <f>INDEX('9 - Water Readings'!$I$8:$I$966,1+(2*(ROWS(A$1:A16)-1)))</f>
        <v>0</v>
      </c>
      <c r="X17" s="33">
        <f>INDEX('9 - Water Readings'!$J$8:$J$966,1+(2*(ROWS(A$1:A16)-1)))</f>
        <v>0</v>
      </c>
      <c r="Y17" s="33">
        <f>INDEX('9 - Water Readings'!$K$8:$K$966,1+(2*(ROWS(A$1:A16)-1)))</f>
        <v>0</v>
      </c>
      <c r="Z17" s="33">
        <f>INDEX('9 - Water Readings'!$L$8:$L$966,1+(2*(ROWS(A$1:A16)-1)))</f>
        <v>0</v>
      </c>
      <c r="AA17" s="34">
        <f>'9 - Water Readings'!Q22</f>
        <v>0</v>
      </c>
      <c r="AB17" s="32">
        <f>'9 - Water Readings'!R22</f>
        <v>0</v>
      </c>
      <c r="AC17">
        <f>'9 - Water Readings'!S22</f>
        <v>0</v>
      </c>
    </row>
    <row r="18" spans="1:29" x14ac:dyDescent="0.25">
      <c r="A18" s="35" t="s">
        <v>11</v>
      </c>
      <c r="B18" s="35">
        <f t="shared" si="0"/>
        <v>17</v>
      </c>
      <c r="C18" s="35">
        <v>9</v>
      </c>
      <c r="D18" s="32">
        <v>2022</v>
      </c>
      <c r="E18" s="33">
        <f>INDEX('13 - Electrical Readings'!$C$8:$C$962,1+(2*(ROWS(A$1:A17)-1)))</f>
        <v>0</v>
      </c>
      <c r="F18" s="33">
        <f>INDEX('13 - Electrical Readings'!$D$6:$D$962,1+(2*(ROWS(A$1:A18)-1)))</f>
        <v>0</v>
      </c>
      <c r="G18" s="32">
        <f>INDEX('13 - Electrical Readings'!$E$6:$E$962,1+(2*(ROWS(A$1:A18)-1)))</f>
        <v>0</v>
      </c>
      <c r="H18" s="32">
        <f>INDEX('13 - Electrical Readings'!$F$6:$F$962,1+(2*(ROWS(A$1:A18)-1)))</f>
        <v>0</v>
      </c>
      <c r="I18" s="33">
        <f>INDEX('13 - Electrical Readings'!$G$6:$G$962,1+(2*(ROWS(A$1:A18)-1)))</f>
        <v>0</v>
      </c>
      <c r="J18" s="32">
        <f>INDEX('13 - Electrical Readings'!$I$6:$I$962,1+(2*(ROWS(A$1:A18)-1)))</f>
        <v>0</v>
      </c>
      <c r="K18" s="32">
        <f>INDEX('13 - Electrical Readings'!$J$6:$J$962,1+(2*(ROWS(B$1:B18)-1)))</f>
        <v>0</v>
      </c>
      <c r="L18" s="32">
        <f>INDEX('13 - Electrical Readings'!$K$6:$K$962,1+(2*(ROWS(C$1:C18)-1)))</f>
        <v>0</v>
      </c>
      <c r="M18" s="32">
        <f>INDEX('13 - Electrical Readings'!$L$6:$L$962,1+(2*(ROWS(D$1:D18)-1)))</f>
        <v>0</v>
      </c>
      <c r="N18" s="32">
        <f>INDEX('13 - Electrical Readings'!$M$6:$M$962,1+(2*(ROWS(E$1:E18)-1)))</f>
        <v>0</v>
      </c>
      <c r="O18" s="33">
        <f>INDEX('13 - Electrical Readings'!$N$6:$N$962,1+(2*(ROWS(E$1:E18)-1)))</f>
        <v>0</v>
      </c>
      <c r="P18" s="33">
        <f>INDEX('13 - Electrical Readings'!$O$6:$O$962,1+(2*(ROWS(E$1:E18)-1)))</f>
        <v>0</v>
      </c>
      <c r="Q18" s="33">
        <f>INDEX('13 - Electrical Readings'!$P$6:$P$962,1+(2*(ROWS(E$1:E18)-1)))</f>
        <v>0</v>
      </c>
      <c r="R18" s="33">
        <f>INDEX('9 - Water Readings'!$C$8:$C$966,1+(2*(ROWS(A$1:A17)-1)))</f>
        <v>0</v>
      </c>
      <c r="S18" s="33">
        <f>INDEX('9 - Water Readings'!$D$8:$D$965,1+(2*(ROWS(A$1:A17)-1)))</f>
        <v>0</v>
      </c>
      <c r="T18" s="33">
        <f>INDEX('9 - Water Readings'!$E$8:$E$966,1+(2*(ROWS(A$1:A17)-1)))</f>
        <v>0</v>
      </c>
      <c r="U18" s="33">
        <f>INDEX('9 - Water Readings'!$G$8:$G$965,1+(2*(ROWS(A$1:A17)-1)))</f>
        <v>0</v>
      </c>
      <c r="V18" s="33">
        <f>INDEX('9 - Water Readings'!$H$8:$H$966,1+(2*(ROWS(A$1:A17)-1)))</f>
        <v>0</v>
      </c>
      <c r="W18" s="33">
        <f>INDEX('9 - Water Readings'!$I$8:$I$966,1+(2*(ROWS(A$1:A17)-1)))</f>
        <v>0</v>
      </c>
      <c r="X18" s="33">
        <f>INDEX('9 - Water Readings'!$J$8:$J$966,1+(2*(ROWS(A$1:A17)-1)))</f>
        <v>0</v>
      </c>
      <c r="Y18" s="33">
        <f>INDEX('9 - Water Readings'!$K$8:$K$966,1+(2*(ROWS(A$1:A17)-1)))</f>
        <v>0</v>
      </c>
      <c r="Z18" s="33">
        <f>INDEX('9 - Water Readings'!$L$8:$L$966,1+(2*(ROWS(A$1:A17)-1)))</f>
        <v>0</v>
      </c>
      <c r="AA18" s="34">
        <f>'9 - Water Readings'!Q23</f>
        <v>0</v>
      </c>
      <c r="AB18" s="32">
        <f>'9 - Water Readings'!R23</f>
        <v>0</v>
      </c>
      <c r="AC18">
        <f>'9 - Water Readings'!S23</f>
        <v>0</v>
      </c>
    </row>
    <row r="19" spans="1:29" x14ac:dyDescent="0.25">
      <c r="A19" s="35" t="s">
        <v>11</v>
      </c>
      <c r="B19" s="35">
        <f t="shared" si="0"/>
        <v>18</v>
      </c>
      <c r="C19" s="35">
        <v>9</v>
      </c>
      <c r="D19" s="32">
        <v>2022</v>
      </c>
      <c r="E19" s="33">
        <f>INDEX('13 - Electrical Readings'!$C$8:$C$962,1+(2*(ROWS(A$1:A18)-1)))</f>
        <v>0</v>
      </c>
      <c r="F19" s="33">
        <f>INDEX('13 - Electrical Readings'!$D$6:$D$962,1+(2*(ROWS(A$1:A19)-1)))</f>
        <v>0</v>
      </c>
      <c r="G19" s="32">
        <f>INDEX('13 - Electrical Readings'!$E$6:$E$962,1+(2*(ROWS(A$1:A19)-1)))</f>
        <v>0</v>
      </c>
      <c r="H19" s="32">
        <f>INDEX('13 - Electrical Readings'!$F$6:$F$962,1+(2*(ROWS(A$1:A19)-1)))</f>
        <v>0</v>
      </c>
      <c r="I19" s="33">
        <f>INDEX('13 - Electrical Readings'!$G$6:$G$962,1+(2*(ROWS(A$1:A19)-1)))</f>
        <v>0</v>
      </c>
      <c r="J19" s="32">
        <f>INDEX('13 - Electrical Readings'!$I$6:$I$962,1+(2*(ROWS(A$1:A19)-1)))</f>
        <v>0</v>
      </c>
      <c r="K19" s="32">
        <f>INDEX('13 - Electrical Readings'!$J$6:$J$962,1+(2*(ROWS(B$1:B19)-1)))</f>
        <v>0</v>
      </c>
      <c r="L19" s="32">
        <f>INDEX('13 - Electrical Readings'!$K$6:$K$962,1+(2*(ROWS(C$1:C19)-1)))</f>
        <v>0</v>
      </c>
      <c r="M19" s="32">
        <f>INDEX('13 - Electrical Readings'!$L$6:$L$962,1+(2*(ROWS(D$1:D19)-1)))</f>
        <v>0</v>
      </c>
      <c r="N19" s="32">
        <f>INDEX('13 - Electrical Readings'!$M$6:$M$962,1+(2*(ROWS(E$1:E19)-1)))</f>
        <v>0</v>
      </c>
      <c r="O19" s="33">
        <f>INDEX('13 - Electrical Readings'!$N$6:$N$962,1+(2*(ROWS(E$1:E19)-1)))</f>
        <v>0</v>
      </c>
      <c r="P19" s="33">
        <f>INDEX('13 - Electrical Readings'!$O$6:$O$962,1+(2*(ROWS(E$1:E19)-1)))</f>
        <v>0</v>
      </c>
      <c r="Q19" s="33">
        <f>INDEX('13 - Electrical Readings'!$P$6:$P$962,1+(2*(ROWS(E$1:E19)-1)))</f>
        <v>0</v>
      </c>
      <c r="R19" s="33">
        <f>INDEX('9 - Water Readings'!$C$8:$C$966,1+(2*(ROWS(A$1:A18)-1)))</f>
        <v>0</v>
      </c>
      <c r="S19" s="33">
        <f>INDEX('9 - Water Readings'!$D$8:$D$965,1+(2*(ROWS(A$1:A18)-1)))</f>
        <v>0</v>
      </c>
      <c r="T19" s="33">
        <f>INDEX('9 - Water Readings'!$E$8:$E$966,1+(2*(ROWS(A$1:A18)-1)))</f>
        <v>0</v>
      </c>
      <c r="U19" s="33">
        <f>INDEX('9 - Water Readings'!$G$8:$G$965,1+(2*(ROWS(A$1:A18)-1)))</f>
        <v>0</v>
      </c>
      <c r="V19" s="33">
        <f>INDEX('9 - Water Readings'!$H$8:$H$966,1+(2*(ROWS(A$1:A18)-1)))</f>
        <v>0</v>
      </c>
      <c r="W19" s="33">
        <f>INDEX('9 - Water Readings'!$I$8:$I$966,1+(2*(ROWS(A$1:A18)-1)))</f>
        <v>0</v>
      </c>
      <c r="X19" s="33">
        <f>INDEX('9 - Water Readings'!$J$8:$J$966,1+(2*(ROWS(A$1:A18)-1)))</f>
        <v>0</v>
      </c>
      <c r="Y19" s="33">
        <f>INDEX('9 - Water Readings'!$K$8:$K$966,1+(2*(ROWS(A$1:A18)-1)))</f>
        <v>0</v>
      </c>
      <c r="Z19" s="33">
        <f>INDEX('9 - Water Readings'!$L$8:$L$966,1+(2*(ROWS(A$1:A18)-1)))</f>
        <v>0</v>
      </c>
      <c r="AA19" s="34">
        <f>'9 - Water Readings'!Q24</f>
        <v>0</v>
      </c>
      <c r="AB19" s="32">
        <f>'9 - Water Readings'!R24</f>
        <v>0</v>
      </c>
      <c r="AC19">
        <f>'9 - Water Readings'!S24</f>
        <v>0</v>
      </c>
    </row>
    <row r="20" spans="1:29" x14ac:dyDescent="0.25">
      <c r="A20" s="35" t="s">
        <v>11</v>
      </c>
      <c r="B20" s="35">
        <f t="shared" si="0"/>
        <v>19</v>
      </c>
      <c r="C20" s="35">
        <v>9</v>
      </c>
      <c r="D20" s="32">
        <v>2022</v>
      </c>
      <c r="E20" s="33">
        <f>INDEX('13 - Electrical Readings'!$C$8:$C$962,1+(2*(ROWS(A$1:A19)-1)))</f>
        <v>0</v>
      </c>
      <c r="F20" s="33">
        <f>INDEX('13 - Electrical Readings'!$D$6:$D$962,1+(2*(ROWS(A$1:A20)-1)))</f>
        <v>0</v>
      </c>
      <c r="G20" s="32">
        <f>INDEX('13 - Electrical Readings'!$E$6:$E$962,1+(2*(ROWS(A$1:A20)-1)))</f>
        <v>0</v>
      </c>
      <c r="H20" s="32">
        <f>INDEX('13 - Electrical Readings'!$F$6:$F$962,1+(2*(ROWS(A$1:A20)-1)))</f>
        <v>0</v>
      </c>
      <c r="I20" s="33">
        <f>INDEX('13 - Electrical Readings'!$G$6:$G$962,1+(2*(ROWS(A$1:A20)-1)))</f>
        <v>0</v>
      </c>
      <c r="J20" s="32">
        <f>INDEX('13 - Electrical Readings'!$I$6:$I$962,1+(2*(ROWS(A$1:A20)-1)))</f>
        <v>0</v>
      </c>
      <c r="K20" s="32">
        <f>INDEX('13 - Electrical Readings'!$J$6:$J$962,1+(2*(ROWS(B$1:B20)-1)))</f>
        <v>0</v>
      </c>
      <c r="L20" s="32">
        <f>INDEX('13 - Electrical Readings'!$K$6:$K$962,1+(2*(ROWS(C$1:C20)-1)))</f>
        <v>0</v>
      </c>
      <c r="M20" s="32">
        <f>INDEX('13 - Electrical Readings'!$L$6:$L$962,1+(2*(ROWS(D$1:D20)-1)))</f>
        <v>0</v>
      </c>
      <c r="N20" s="32">
        <f>INDEX('13 - Electrical Readings'!$M$6:$M$962,1+(2*(ROWS(E$1:E20)-1)))</f>
        <v>0</v>
      </c>
      <c r="O20" s="33">
        <f>INDEX('13 - Electrical Readings'!$N$6:$N$962,1+(2*(ROWS(E$1:E20)-1)))</f>
        <v>0</v>
      </c>
      <c r="P20" s="33">
        <f>INDEX('13 - Electrical Readings'!$O$6:$O$962,1+(2*(ROWS(E$1:E20)-1)))</f>
        <v>0</v>
      </c>
      <c r="Q20" s="33">
        <f>INDEX('13 - Electrical Readings'!$P$6:$P$962,1+(2*(ROWS(E$1:E20)-1)))</f>
        <v>0</v>
      </c>
      <c r="R20" s="33">
        <f>INDEX('9 - Water Readings'!$C$8:$C$966,1+(2*(ROWS(A$1:A19)-1)))</f>
        <v>0</v>
      </c>
      <c r="S20" s="33">
        <f>INDEX('9 - Water Readings'!$D$8:$D$965,1+(2*(ROWS(A$1:A19)-1)))</f>
        <v>0</v>
      </c>
      <c r="T20" s="33">
        <f>INDEX('9 - Water Readings'!$E$8:$E$966,1+(2*(ROWS(A$1:A19)-1)))</f>
        <v>0</v>
      </c>
      <c r="U20" s="33">
        <f>INDEX('9 - Water Readings'!$G$8:$G$965,1+(2*(ROWS(A$1:A19)-1)))</f>
        <v>0</v>
      </c>
      <c r="V20" s="33">
        <f>INDEX('9 - Water Readings'!$H$8:$H$966,1+(2*(ROWS(A$1:A19)-1)))</f>
        <v>0</v>
      </c>
      <c r="W20" s="33">
        <f>INDEX('9 - Water Readings'!$I$8:$I$966,1+(2*(ROWS(A$1:A19)-1)))</f>
        <v>0</v>
      </c>
      <c r="X20" s="33">
        <f>INDEX('9 - Water Readings'!$J$8:$J$966,1+(2*(ROWS(A$1:A19)-1)))</f>
        <v>0</v>
      </c>
      <c r="Y20" s="33">
        <f>INDEX('9 - Water Readings'!$K$8:$K$966,1+(2*(ROWS(A$1:A19)-1)))</f>
        <v>0</v>
      </c>
      <c r="Z20" s="33">
        <f>INDEX('9 - Water Readings'!$L$8:$L$966,1+(2*(ROWS(A$1:A19)-1)))</f>
        <v>0</v>
      </c>
      <c r="AA20" s="34">
        <f>'9 - Water Readings'!Q25</f>
        <v>0</v>
      </c>
      <c r="AB20" s="32">
        <f>'9 - Water Readings'!R25</f>
        <v>0</v>
      </c>
      <c r="AC20">
        <f>'9 - Water Readings'!S25</f>
        <v>0</v>
      </c>
    </row>
    <row r="21" spans="1:29" x14ac:dyDescent="0.25">
      <c r="A21" s="35" t="s">
        <v>11</v>
      </c>
      <c r="B21" s="35">
        <f t="shared" si="0"/>
        <v>20</v>
      </c>
      <c r="C21" s="35">
        <v>9</v>
      </c>
      <c r="D21" s="32">
        <v>2022</v>
      </c>
      <c r="E21" s="33">
        <f>INDEX('13 - Electrical Readings'!$C$8:$C$962,1+(2*(ROWS(A$1:A20)-1)))</f>
        <v>0</v>
      </c>
      <c r="F21" s="33">
        <f>INDEX('13 - Electrical Readings'!$D$6:$D$962,1+(2*(ROWS(A$1:A21)-1)))</f>
        <v>0</v>
      </c>
      <c r="G21" s="32">
        <f>INDEX('13 - Electrical Readings'!$E$6:$E$962,1+(2*(ROWS(A$1:A21)-1)))</f>
        <v>0</v>
      </c>
      <c r="H21" s="32">
        <f>INDEX('13 - Electrical Readings'!$F$6:$F$962,1+(2*(ROWS(A$1:A21)-1)))</f>
        <v>0</v>
      </c>
      <c r="I21" s="33">
        <f>INDEX('13 - Electrical Readings'!$G$6:$G$962,1+(2*(ROWS(A$1:A21)-1)))</f>
        <v>0</v>
      </c>
      <c r="J21" s="32">
        <f>INDEX('13 - Electrical Readings'!$I$6:$I$962,1+(2*(ROWS(A$1:A21)-1)))</f>
        <v>0</v>
      </c>
      <c r="K21" s="32">
        <f>INDEX('13 - Electrical Readings'!$J$6:$J$962,1+(2*(ROWS(B$1:B21)-1)))</f>
        <v>0</v>
      </c>
      <c r="L21" s="32">
        <f>INDEX('13 - Electrical Readings'!$K$6:$K$962,1+(2*(ROWS(C$1:C21)-1)))</f>
        <v>0</v>
      </c>
      <c r="M21" s="32">
        <f>INDEX('13 - Electrical Readings'!$L$6:$L$962,1+(2*(ROWS(D$1:D21)-1)))</f>
        <v>0</v>
      </c>
      <c r="N21" s="32">
        <f>INDEX('13 - Electrical Readings'!$M$6:$M$962,1+(2*(ROWS(E$1:E21)-1)))</f>
        <v>0</v>
      </c>
      <c r="O21" s="33">
        <f>INDEX('13 - Electrical Readings'!$N$6:$N$962,1+(2*(ROWS(E$1:E21)-1)))</f>
        <v>0</v>
      </c>
      <c r="P21" s="33">
        <f>INDEX('13 - Electrical Readings'!$O$6:$O$962,1+(2*(ROWS(E$1:E21)-1)))</f>
        <v>0</v>
      </c>
      <c r="Q21" s="33">
        <f>INDEX('13 - Electrical Readings'!$P$6:$P$962,1+(2*(ROWS(E$1:E21)-1)))</f>
        <v>0</v>
      </c>
      <c r="R21" s="33">
        <f>INDEX('9 - Water Readings'!$C$8:$C$966,1+(2*(ROWS(A$1:A20)-1)))</f>
        <v>0</v>
      </c>
      <c r="S21" s="33">
        <f>INDEX('9 - Water Readings'!$D$8:$D$965,1+(2*(ROWS(A$1:A20)-1)))</f>
        <v>0</v>
      </c>
      <c r="T21" s="33">
        <f>INDEX('9 - Water Readings'!$E$8:$E$966,1+(2*(ROWS(A$1:A20)-1)))</f>
        <v>0</v>
      </c>
      <c r="U21" s="33">
        <f>INDEX('9 - Water Readings'!$G$8:$G$965,1+(2*(ROWS(A$1:A20)-1)))</f>
        <v>0</v>
      </c>
      <c r="V21" s="33">
        <f>INDEX('9 - Water Readings'!$H$8:$H$966,1+(2*(ROWS(A$1:A20)-1)))</f>
        <v>0</v>
      </c>
      <c r="W21" s="33">
        <f>INDEX('9 - Water Readings'!$I$8:$I$966,1+(2*(ROWS(A$1:A20)-1)))</f>
        <v>0</v>
      </c>
      <c r="X21" s="33">
        <f>INDEX('9 - Water Readings'!$J$8:$J$966,1+(2*(ROWS(A$1:A20)-1)))</f>
        <v>0</v>
      </c>
      <c r="Y21" s="33">
        <f>INDEX('9 - Water Readings'!$K$8:$K$966,1+(2*(ROWS(A$1:A20)-1)))</f>
        <v>0</v>
      </c>
      <c r="Z21" s="33">
        <f>INDEX('9 - Water Readings'!$L$8:$L$966,1+(2*(ROWS(A$1:A20)-1)))</f>
        <v>0</v>
      </c>
      <c r="AA21" s="34">
        <f>'9 - Water Readings'!Q26</f>
        <v>0</v>
      </c>
      <c r="AB21" s="32">
        <f>'9 - Water Readings'!R26</f>
        <v>0</v>
      </c>
      <c r="AC21">
        <f>'9 - Water Readings'!S26</f>
        <v>0</v>
      </c>
    </row>
    <row r="22" spans="1:29" x14ac:dyDescent="0.25">
      <c r="A22" s="35" t="s">
        <v>11</v>
      </c>
      <c r="B22" s="35">
        <f t="shared" si="0"/>
        <v>21</v>
      </c>
      <c r="C22" s="35">
        <v>9</v>
      </c>
      <c r="D22" s="32">
        <v>2022</v>
      </c>
      <c r="E22" s="33">
        <f>INDEX('13 - Electrical Readings'!$C$8:$C$962,1+(2*(ROWS(A$1:A21)-1)))</f>
        <v>0</v>
      </c>
      <c r="F22" s="33">
        <f>INDEX('13 - Electrical Readings'!$D$6:$D$962,1+(2*(ROWS(A$1:A22)-1)))</f>
        <v>0</v>
      </c>
      <c r="G22" s="32">
        <f>INDEX('13 - Electrical Readings'!$E$6:$E$962,1+(2*(ROWS(A$1:A22)-1)))</f>
        <v>0</v>
      </c>
      <c r="H22" s="32">
        <f>INDEX('13 - Electrical Readings'!$F$6:$F$962,1+(2*(ROWS(A$1:A22)-1)))</f>
        <v>0</v>
      </c>
      <c r="I22" s="33">
        <f>INDEX('13 - Electrical Readings'!$G$6:$G$962,1+(2*(ROWS(A$1:A22)-1)))</f>
        <v>0</v>
      </c>
      <c r="J22" s="32">
        <f>INDEX('13 - Electrical Readings'!$I$6:$I$962,1+(2*(ROWS(A$1:A22)-1)))</f>
        <v>0</v>
      </c>
      <c r="K22" s="32">
        <f>INDEX('13 - Electrical Readings'!$J$6:$J$962,1+(2*(ROWS(B$1:B22)-1)))</f>
        <v>0</v>
      </c>
      <c r="L22" s="32">
        <f>INDEX('13 - Electrical Readings'!$K$6:$K$962,1+(2*(ROWS(C$1:C22)-1)))</f>
        <v>0</v>
      </c>
      <c r="M22" s="32">
        <f>INDEX('13 - Electrical Readings'!$L$6:$L$962,1+(2*(ROWS(D$1:D22)-1)))</f>
        <v>0</v>
      </c>
      <c r="N22" s="32">
        <f>INDEX('13 - Electrical Readings'!$M$6:$M$962,1+(2*(ROWS(E$1:E22)-1)))</f>
        <v>0</v>
      </c>
      <c r="O22" s="33">
        <f>INDEX('13 - Electrical Readings'!$N$6:$N$962,1+(2*(ROWS(E$1:E22)-1)))</f>
        <v>0</v>
      </c>
      <c r="P22" s="33">
        <f>INDEX('13 - Electrical Readings'!$O$6:$O$962,1+(2*(ROWS(E$1:E22)-1)))</f>
        <v>0</v>
      </c>
      <c r="Q22" s="33">
        <f>INDEX('13 - Electrical Readings'!$P$6:$P$962,1+(2*(ROWS(E$1:E22)-1)))</f>
        <v>0</v>
      </c>
      <c r="R22" s="33">
        <f>INDEX('9 - Water Readings'!$C$8:$C$966,1+(2*(ROWS(A$1:A21)-1)))</f>
        <v>0</v>
      </c>
      <c r="S22" s="33">
        <f>INDEX('9 - Water Readings'!$D$8:$D$965,1+(2*(ROWS(A$1:A21)-1)))</f>
        <v>0</v>
      </c>
      <c r="T22" s="33">
        <f>INDEX('9 - Water Readings'!$E$8:$E$966,1+(2*(ROWS(A$1:A21)-1)))</f>
        <v>0</v>
      </c>
      <c r="U22" s="33">
        <f>INDEX('9 - Water Readings'!$G$8:$G$965,1+(2*(ROWS(A$1:A21)-1)))</f>
        <v>0</v>
      </c>
      <c r="V22" s="33">
        <f>INDEX('9 - Water Readings'!$H$8:$H$966,1+(2*(ROWS(A$1:A21)-1)))</f>
        <v>0</v>
      </c>
      <c r="W22" s="33">
        <f>INDEX('9 - Water Readings'!$I$8:$I$966,1+(2*(ROWS(A$1:A21)-1)))</f>
        <v>0</v>
      </c>
      <c r="X22" s="33">
        <f>INDEX('9 - Water Readings'!$J$8:$J$966,1+(2*(ROWS(A$1:A21)-1)))</f>
        <v>0</v>
      </c>
      <c r="Y22" s="33">
        <f>INDEX('9 - Water Readings'!$K$8:$K$966,1+(2*(ROWS(A$1:A21)-1)))</f>
        <v>0</v>
      </c>
      <c r="Z22" s="33">
        <f>INDEX('9 - Water Readings'!$L$8:$L$966,1+(2*(ROWS(A$1:A21)-1)))</f>
        <v>0</v>
      </c>
      <c r="AA22" s="34">
        <f>'9 - Water Readings'!Q27</f>
        <v>0</v>
      </c>
      <c r="AB22" s="32">
        <f>'9 - Water Readings'!R27</f>
        <v>0</v>
      </c>
      <c r="AC22">
        <f>'9 - Water Readings'!S27</f>
        <v>0</v>
      </c>
    </row>
    <row r="23" spans="1:29" x14ac:dyDescent="0.25">
      <c r="A23" s="35" t="s">
        <v>11</v>
      </c>
      <c r="B23" s="35">
        <f t="shared" si="0"/>
        <v>22</v>
      </c>
      <c r="C23" s="35">
        <v>9</v>
      </c>
      <c r="D23" s="32">
        <v>2022</v>
      </c>
      <c r="E23" s="33">
        <f>INDEX('13 - Electrical Readings'!$C$8:$C$962,1+(2*(ROWS(A$1:A22)-1)))</f>
        <v>0</v>
      </c>
      <c r="F23" s="33">
        <f>INDEX('13 - Electrical Readings'!$D$6:$D$962,1+(2*(ROWS(A$1:A23)-1)))</f>
        <v>0</v>
      </c>
      <c r="G23" s="32">
        <f>INDEX('13 - Electrical Readings'!$E$6:$E$962,1+(2*(ROWS(A$1:A23)-1)))</f>
        <v>0</v>
      </c>
      <c r="H23" s="32">
        <f>INDEX('13 - Electrical Readings'!$F$6:$F$962,1+(2*(ROWS(A$1:A23)-1)))</f>
        <v>0</v>
      </c>
      <c r="I23" s="33">
        <f>INDEX('13 - Electrical Readings'!$G$6:$G$962,1+(2*(ROWS(A$1:A23)-1)))</f>
        <v>0</v>
      </c>
      <c r="J23" s="32">
        <f>INDEX('13 - Electrical Readings'!$I$6:$I$962,1+(2*(ROWS(A$1:A23)-1)))</f>
        <v>0</v>
      </c>
      <c r="K23" s="32">
        <f>INDEX('13 - Electrical Readings'!$J$6:$J$962,1+(2*(ROWS(B$1:B23)-1)))</f>
        <v>0</v>
      </c>
      <c r="L23" s="32">
        <f>INDEX('13 - Electrical Readings'!$K$6:$K$962,1+(2*(ROWS(C$1:C23)-1)))</f>
        <v>0</v>
      </c>
      <c r="M23" s="32">
        <f>INDEX('13 - Electrical Readings'!$L$6:$L$962,1+(2*(ROWS(D$1:D23)-1)))</f>
        <v>0</v>
      </c>
      <c r="N23" s="32">
        <f>INDEX('13 - Electrical Readings'!$M$6:$M$962,1+(2*(ROWS(E$1:E23)-1)))</f>
        <v>0</v>
      </c>
      <c r="O23" s="33">
        <f>INDEX('13 - Electrical Readings'!$N$6:$N$962,1+(2*(ROWS(E$1:E23)-1)))</f>
        <v>0</v>
      </c>
      <c r="P23" s="33">
        <f>INDEX('13 - Electrical Readings'!$O$6:$O$962,1+(2*(ROWS(E$1:E23)-1)))</f>
        <v>0</v>
      </c>
      <c r="Q23" s="33">
        <f>INDEX('13 - Electrical Readings'!$P$6:$P$962,1+(2*(ROWS(E$1:E23)-1)))</f>
        <v>0</v>
      </c>
      <c r="R23" s="33">
        <f>INDEX('9 - Water Readings'!$C$8:$C$966,1+(2*(ROWS(A$1:A22)-1)))</f>
        <v>0</v>
      </c>
      <c r="S23" s="33">
        <f>INDEX('9 - Water Readings'!$D$8:$D$965,1+(2*(ROWS(A$1:A22)-1)))</f>
        <v>0</v>
      </c>
      <c r="T23" s="33">
        <f>INDEX('9 - Water Readings'!$E$8:$E$966,1+(2*(ROWS(A$1:A22)-1)))</f>
        <v>0</v>
      </c>
      <c r="U23" s="33">
        <f>INDEX('9 - Water Readings'!$G$8:$G$965,1+(2*(ROWS(A$1:A22)-1)))</f>
        <v>0</v>
      </c>
      <c r="V23" s="33">
        <f>INDEX('9 - Water Readings'!$H$8:$H$966,1+(2*(ROWS(A$1:A22)-1)))</f>
        <v>0</v>
      </c>
      <c r="W23" s="33">
        <f>INDEX('9 - Water Readings'!$I$8:$I$966,1+(2*(ROWS(A$1:A22)-1)))</f>
        <v>0</v>
      </c>
      <c r="X23" s="33">
        <f>INDEX('9 - Water Readings'!$J$8:$J$966,1+(2*(ROWS(A$1:A22)-1)))</f>
        <v>0</v>
      </c>
      <c r="Y23" s="33">
        <f>INDEX('9 - Water Readings'!$K$8:$K$966,1+(2*(ROWS(A$1:A22)-1)))</f>
        <v>0</v>
      </c>
      <c r="Z23" s="33">
        <f>INDEX('9 - Water Readings'!$L$8:$L$966,1+(2*(ROWS(A$1:A22)-1)))</f>
        <v>0</v>
      </c>
      <c r="AA23" s="34">
        <f>'9 - Water Readings'!Q28</f>
        <v>0</v>
      </c>
      <c r="AB23" s="32">
        <f>'9 - Water Readings'!R28</f>
        <v>0</v>
      </c>
      <c r="AC23">
        <f>'9 - Water Readings'!S28</f>
        <v>0</v>
      </c>
    </row>
    <row r="24" spans="1:29" x14ac:dyDescent="0.25">
      <c r="A24" s="35" t="s">
        <v>11</v>
      </c>
      <c r="B24" s="35">
        <f t="shared" si="0"/>
        <v>23</v>
      </c>
      <c r="C24" s="35">
        <v>9</v>
      </c>
      <c r="D24" s="32">
        <v>2022</v>
      </c>
      <c r="E24" s="33">
        <f>INDEX('13 - Electrical Readings'!$C$8:$C$962,1+(2*(ROWS(A$1:A23)-1)))</f>
        <v>0</v>
      </c>
      <c r="F24" s="33">
        <f>INDEX('13 - Electrical Readings'!$D$6:$D$962,1+(2*(ROWS(A$1:A24)-1)))</f>
        <v>0</v>
      </c>
      <c r="G24" s="32">
        <f>INDEX('13 - Electrical Readings'!$E$6:$E$962,1+(2*(ROWS(A$1:A24)-1)))</f>
        <v>0</v>
      </c>
      <c r="H24" s="32">
        <f>INDEX('13 - Electrical Readings'!$F$6:$F$962,1+(2*(ROWS(A$1:A24)-1)))</f>
        <v>0</v>
      </c>
      <c r="I24" s="33">
        <f>INDEX('13 - Electrical Readings'!$G$6:$G$962,1+(2*(ROWS(A$1:A24)-1)))</f>
        <v>0</v>
      </c>
      <c r="J24" s="32">
        <f>INDEX('13 - Electrical Readings'!$I$6:$I$962,1+(2*(ROWS(A$1:A24)-1)))</f>
        <v>0</v>
      </c>
      <c r="K24" s="32">
        <f>INDEX('13 - Electrical Readings'!$J$6:$J$962,1+(2*(ROWS(B$1:B24)-1)))</f>
        <v>0</v>
      </c>
      <c r="L24" s="32">
        <f>INDEX('13 - Electrical Readings'!$K$6:$K$962,1+(2*(ROWS(C$1:C24)-1)))</f>
        <v>0</v>
      </c>
      <c r="M24" s="32">
        <f>INDEX('13 - Electrical Readings'!$L$6:$L$962,1+(2*(ROWS(D$1:D24)-1)))</f>
        <v>0</v>
      </c>
      <c r="N24" s="32">
        <f>INDEX('13 - Electrical Readings'!$M$6:$M$962,1+(2*(ROWS(E$1:E24)-1)))</f>
        <v>0</v>
      </c>
      <c r="O24" s="33">
        <f>INDEX('13 - Electrical Readings'!$N$6:$N$962,1+(2*(ROWS(E$1:E24)-1)))</f>
        <v>0</v>
      </c>
      <c r="P24" s="33">
        <f>INDEX('13 - Electrical Readings'!$O$6:$O$962,1+(2*(ROWS(E$1:E24)-1)))</f>
        <v>0</v>
      </c>
      <c r="Q24" s="33">
        <f>INDEX('13 - Electrical Readings'!$P$6:$P$962,1+(2*(ROWS(E$1:E24)-1)))</f>
        <v>0</v>
      </c>
      <c r="R24" s="33">
        <f>INDEX('9 - Water Readings'!$C$8:$C$966,1+(2*(ROWS(A$1:A23)-1)))</f>
        <v>0</v>
      </c>
      <c r="S24" s="33">
        <f>INDEX('9 - Water Readings'!$D$8:$D$965,1+(2*(ROWS(A$1:A23)-1)))</f>
        <v>0</v>
      </c>
      <c r="T24" s="33">
        <f>INDEX('9 - Water Readings'!$E$8:$E$966,1+(2*(ROWS(A$1:A23)-1)))</f>
        <v>0</v>
      </c>
      <c r="U24" s="33">
        <f>INDEX('9 - Water Readings'!$G$8:$G$965,1+(2*(ROWS(A$1:A23)-1)))</f>
        <v>0</v>
      </c>
      <c r="V24" s="33">
        <f>INDEX('9 - Water Readings'!$H$8:$H$966,1+(2*(ROWS(A$1:A23)-1)))</f>
        <v>0</v>
      </c>
      <c r="W24" s="33">
        <f>INDEX('9 - Water Readings'!$I$8:$I$966,1+(2*(ROWS(A$1:A23)-1)))</f>
        <v>0</v>
      </c>
      <c r="X24" s="33">
        <f>INDEX('9 - Water Readings'!$J$8:$J$966,1+(2*(ROWS(A$1:A23)-1)))</f>
        <v>0</v>
      </c>
      <c r="Y24" s="33">
        <f>INDEX('9 - Water Readings'!$K$8:$K$966,1+(2*(ROWS(A$1:A23)-1)))</f>
        <v>0</v>
      </c>
      <c r="Z24" s="33">
        <f>INDEX('9 - Water Readings'!$L$8:$L$966,1+(2*(ROWS(A$1:A23)-1)))</f>
        <v>0</v>
      </c>
      <c r="AA24" s="34">
        <f>'9 - Water Readings'!Q29</f>
        <v>0</v>
      </c>
      <c r="AB24" s="32">
        <f>'9 - Water Readings'!R29</f>
        <v>0</v>
      </c>
      <c r="AC24">
        <f>'9 - Water Readings'!S29</f>
        <v>0</v>
      </c>
    </row>
    <row r="25" spans="1:29" x14ac:dyDescent="0.25">
      <c r="A25" s="35" t="s">
        <v>11</v>
      </c>
      <c r="B25" s="35">
        <f t="shared" si="0"/>
        <v>24</v>
      </c>
      <c r="C25" s="35">
        <v>9</v>
      </c>
      <c r="D25" s="32">
        <v>2022</v>
      </c>
      <c r="E25" s="33">
        <f>INDEX('13 - Electrical Readings'!$C$8:$C$962,1+(2*(ROWS(A$1:A24)-1)))</f>
        <v>0</v>
      </c>
      <c r="F25" s="33">
        <f>INDEX('13 - Electrical Readings'!$D$6:$D$962,1+(2*(ROWS(A$1:A25)-1)))</f>
        <v>0</v>
      </c>
      <c r="G25" s="32">
        <f>INDEX('13 - Electrical Readings'!$E$6:$E$962,1+(2*(ROWS(A$1:A25)-1)))</f>
        <v>0</v>
      </c>
      <c r="H25" s="32">
        <f>INDEX('13 - Electrical Readings'!$F$6:$F$962,1+(2*(ROWS(A$1:A25)-1)))</f>
        <v>0</v>
      </c>
      <c r="I25" s="33">
        <f>INDEX('13 - Electrical Readings'!$G$6:$G$962,1+(2*(ROWS(A$1:A25)-1)))</f>
        <v>0</v>
      </c>
      <c r="J25" s="32">
        <f>INDEX('13 - Electrical Readings'!$I$6:$I$962,1+(2*(ROWS(A$1:A25)-1)))</f>
        <v>0</v>
      </c>
      <c r="K25" s="32">
        <f>INDEX('13 - Electrical Readings'!$J$6:$J$962,1+(2*(ROWS(B$1:B25)-1)))</f>
        <v>0</v>
      </c>
      <c r="L25" s="32">
        <f>INDEX('13 - Electrical Readings'!$K$6:$K$962,1+(2*(ROWS(C$1:C25)-1)))</f>
        <v>0</v>
      </c>
      <c r="M25" s="32">
        <f>INDEX('13 - Electrical Readings'!$L$6:$L$962,1+(2*(ROWS(D$1:D25)-1)))</f>
        <v>0</v>
      </c>
      <c r="N25" s="32">
        <f>INDEX('13 - Electrical Readings'!$M$6:$M$962,1+(2*(ROWS(E$1:E25)-1)))</f>
        <v>0</v>
      </c>
      <c r="O25" s="33">
        <f>INDEX('13 - Electrical Readings'!$N$6:$N$962,1+(2*(ROWS(E$1:E25)-1)))</f>
        <v>0</v>
      </c>
      <c r="P25" s="33">
        <f>INDEX('13 - Electrical Readings'!$O$6:$O$962,1+(2*(ROWS(E$1:E25)-1)))</f>
        <v>0</v>
      </c>
      <c r="Q25" s="33">
        <f>INDEX('13 - Electrical Readings'!$P$6:$P$962,1+(2*(ROWS(E$1:E25)-1)))</f>
        <v>0</v>
      </c>
      <c r="R25" s="33">
        <f>INDEX('9 - Water Readings'!$C$8:$C$966,1+(2*(ROWS(A$1:A24)-1)))</f>
        <v>0</v>
      </c>
      <c r="S25" s="33">
        <f>INDEX('9 - Water Readings'!$D$8:$D$965,1+(2*(ROWS(A$1:A24)-1)))</f>
        <v>0</v>
      </c>
      <c r="T25" s="33">
        <f>INDEX('9 - Water Readings'!$E$8:$E$966,1+(2*(ROWS(A$1:A24)-1)))</f>
        <v>0</v>
      </c>
      <c r="U25" s="33">
        <f>INDEX('9 - Water Readings'!$G$8:$G$965,1+(2*(ROWS(A$1:A24)-1)))</f>
        <v>0</v>
      </c>
      <c r="V25" s="33">
        <f>INDEX('9 - Water Readings'!$H$8:$H$966,1+(2*(ROWS(A$1:A24)-1)))</f>
        <v>0</v>
      </c>
      <c r="W25" s="33">
        <f>INDEX('9 - Water Readings'!$I$8:$I$966,1+(2*(ROWS(A$1:A24)-1)))</f>
        <v>0</v>
      </c>
      <c r="X25" s="33">
        <f>INDEX('9 - Water Readings'!$J$8:$J$966,1+(2*(ROWS(A$1:A24)-1)))</f>
        <v>0</v>
      </c>
      <c r="Y25" s="33">
        <f>INDEX('9 - Water Readings'!$K$8:$K$966,1+(2*(ROWS(A$1:A24)-1)))</f>
        <v>0</v>
      </c>
      <c r="Z25" s="33">
        <f>INDEX('9 - Water Readings'!$L$8:$L$966,1+(2*(ROWS(A$1:A24)-1)))</f>
        <v>0</v>
      </c>
      <c r="AA25" s="34">
        <f>'9 - Water Readings'!Q30</f>
        <v>0</v>
      </c>
      <c r="AB25" s="32">
        <f>'9 - Water Readings'!R30</f>
        <v>0</v>
      </c>
      <c r="AC25">
        <f>'9 - Water Readings'!S30</f>
        <v>0</v>
      </c>
    </row>
    <row r="26" spans="1:29" x14ac:dyDescent="0.25">
      <c r="A26" s="35" t="s">
        <v>11</v>
      </c>
      <c r="B26" s="35">
        <f>B25+1</f>
        <v>25</v>
      </c>
      <c r="C26" s="35">
        <v>9</v>
      </c>
      <c r="D26" s="32">
        <v>2022</v>
      </c>
      <c r="E26" s="33">
        <f>INDEX('13 - Electrical Readings'!$C$8:$C$962,1+(2*(ROWS(A$1:A25)-1)))</f>
        <v>0</v>
      </c>
      <c r="F26" s="33">
        <f>INDEX('13 - Electrical Readings'!$D$6:$D$962,1+(2*(ROWS(A$1:A26)-1)))</f>
        <v>0</v>
      </c>
      <c r="G26" s="32">
        <f>INDEX('13 - Electrical Readings'!$E$6:$E$962,1+(2*(ROWS(A$1:A26)-1)))</f>
        <v>0</v>
      </c>
      <c r="H26" s="32">
        <f>INDEX('13 - Electrical Readings'!$F$6:$F$962,1+(2*(ROWS(A$1:A26)-1)))</f>
        <v>0</v>
      </c>
      <c r="I26" s="33">
        <f>INDEX('13 - Electrical Readings'!$G$6:$G$962,1+(2*(ROWS(A$1:A26)-1)))</f>
        <v>0</v>
      </c>
      <c r="J26" s="32">
        <f>INDEX('13 - Electrical Readings'!$I$6:$I$962,1+(2*(ROWS(A$1:A26)-1)))</f>
        <v>0</v>
      </c>
      <c r="K26" s="32">
        <f>INDEX('13 - Electrical Readings'!$J$6:$J$962,1+(2*(ROWS(B$1:B26)-1)))</f>
        <v>0</v>
      </c>
      <c r="L26" s="32">
        <f>INDEX('13 - Electrical Readings'!$K$6:$K$962,1+(2*(ROWS(C$1:C26)-1)))</f>
        <v>0</v>
      </c>
      <c r="M26" s="32">
        <f>INDEX('13 - Electrical Readings'!$L$6:$L$962,1+(2*(ROWS(D$1:D26)-1)))</f>
        <v>0</v>
      </c>
      <c r="N26" s="32">
        <f>INDEX('13 - Electrical Readings'!$M$6:$M$962,1+(2*(ROWS(E$1:E26)-1)))</f>
        <v>0</v>
      </c>
      <c r="O26" s="33">
        <f>INDEX('13 - Electrical Readings'!$N$6:$N$962,1+(2*(ROWS(E$1:E26)-1)))</f>
        <v>0</v>
      </c>
      <c r="P26" s="33">
        <f>INDEX('13 - Electrical Readings'!$O$6:$O$962,1+(2*(ROWS(E$1:E26)-1)))</f>
        <v>0</v>
      </c>
      <c r="Q26" s="33">
        <f>INDEX('13 - Electrical Readings'!$P$6:$P$962,1+(2*(ROWS(E$1:E26)-1)))</f>
        <v>0</v>
      </c>
      <c r="R26" s="33">
        <f>INDEX('9 - Water Readings'!$C$8:$C$966,1+(2*(ROWS(A$1:A25)-1)))</f>
        <v>0</v>
      </c>
      <c r="S26" s="33">
        <f>INDEX('9 - Water Readings'!$D$8:$D$965,1+(2*(ROWS(A$1:A25)-1)))</f>
        <v>0</v>
      </c>
      <c r="T26" s="33">
        <f>INDEX('9 - Water Readings'!$E$8:$E$966,1+(2*(ROWS(A$1:A25)-1)))</f>
        <v>0</v>
      </c>
      <c r="U26" s="33">
        <f>INDEX('9 - Water Readings'!$G$8:$G$965,1+(2*(ROWS(A$1:A25)-1)))</f>
        <v>0</v>
      </c>
      <c r="V26" s="33">
        <f>INDEX('9 - Water Readings'!$H$8:$H$966,1+(2*(ROWS(A$1:A25)-1)))</f>
        <v>0</v>
      </c>
      <c r="W26" s="33">
        <f>INDEX('9 - Water Readings'!$I$8:$I$966,1+(2*(ROWS(A$1:A25)-1)))</f>
        <v>0</v>
      </c>
      <c r="X26" s="33">
        <f>INDEX('9 - Water Readings'!$J$8:$J$966,1+(2*(ROWS(A$1:A25)-1)))</f>
        <v>0</v>
      </c>
      <c r="Y26" s="33">
        <f>INDEX('9 - Water Readings'!$K$8:$K$966,1+(2*(ROWS(A$1:A25)-1)))</f>
        <v>0</v>
      </c>
      <c r="Z26" s="33">
        <f>INDEX('9 - Water Readings'!$L$8:$L$966,1+(2*(ROWS(A$1:A25)-1)))</f>
        <v>0</v>
      </c>
      <c r="AA26" s="34">
        <f>'9 - Water Readings'!Q31</f>
        <v>0</v>
      </c>
      <c r="AB26" s="32">
        <f>'9 - Water Readings'!R31</f>
        <v>0</v>
      </c>
      <c r="AC26">
        <f>'9 - Water Readings'!S31</f>
        <v>0</v>
      </c>
    </row>
    <row r="27" spans="1:29" x14ac:dyDescent="0.25">
      <c r="A27" s="35" t="s">
        <v>11</v>
      </c>
      <c r="B27" s="35">
        <f t="shared" si="0"/>
        <v>26</v>
      </c>
      <c r="C27" s="35">
        <v>9</v>
      </c>
      <c r="D27" s="32">
        <v>2022</v>
      </c>
      <c r="E27" s="33">
        <f>INDEX('13 - Electrical Readings'!$C$8:$C$962,1+(2*(ROWS(A$1:A26)-1)))</f>
        <v>0</v>
      </c>
      <c r="F27" s="33">
        <f>INDEX('13 - Electrical Readings'!$D$6:$D$962,1+(2*(ROWS(A$1:A27)-1)))</f>
        <v>0</v>
      </c>
      <c r="G27" s="32">
        <f>INDEX('13 - Electrical Readings'!$E$6:$E$962,1+(2*(ROWS(A$1:A27)-1)))</f>
        <v>0</v>
      </c>
      <c r="H27" s="32">
        <f>INDEX('13 - Electrical Readings'!$F$6:$F$962,1+(2*(ROWS(A$1:A27)-1)))</f>
        <v>0</v>
      </c>
      <c r="I27" s="33">
        <f>INDEX('13 - Electrical Readings'!$G$6:$G$962,1+(2*(ROWS(A$1:A27)-1)))</f>
        <v>0</v>
      </c>
      <c r="J27" s="32">
        <f>INDEX('13 - Electrical Readings'!$I$6:$I$962,1+(2*(ROWS(A$1:A27)-1)))</f>
        <v>0</v>
      </c>
      <c r="K27" s="32">
        <f>INDEX('13 - Electrical Readings'!$J$6:$J$962,1+(2*(ROWS(B$1:B27)-1)))</f>
        <v>0</v>
      </c>
      <c r="L27" s="32">
        <f>INDEX('13 - Electrical Readings'!$K$6:$K$962,1+(2*(ROWS(C$1:C27)-1)))</f>
        <v>0</v>
      </c>
      <c r="M27" s="32">
        <f>INDEX('13 - Electrical Readings'!$L$6:$L$962,1+(2*(ROWS(D$1:D27)-1)))</f>
        <v>0</v>
      </c>
      <c r="N27" s="32">
        <f>INDEX('13 - Electrical Readings'!$M$6:$M$962,1+(2*(ROWS(E$1:E27)-1)))</f>
        <v>0</v>
      </c>
      <c r="O27" s="33">
        <f>INDEX('13 - Electrical Readings'!$N$6:$N$962,1+(2*(ROWS(E$1:E27)-1)))</f>
        <v>0</v>
      </c>
      <c r="P27" s="33">
        <f>INDEX('13 - Electrical Readings'!$O$6:$O$962,1+(2*(ROWS(E$1:E27)-1)))</f>
        <v>0</v>
      </c>
      <c r="Q27" s="33">
        <f>INDEX('13 - Electrical Readings'!$P$6:$P$962,1+(2*(ROWS(E$1:E27)-1)))</f>
        <v>0</v>
      </c>
      <c r="R27" s="33">
        <f>INDEX('9 - Water Readings'!$C$8:$C$966,1+(2*(ROWS(A$1:A26)-1)))</f>
        <v>0</v>
      </c>
      <c r="S27" s="33">
        <f>INDEX('9 - Water Readings'!$D$8:$D$965,1+(2*(ROWS(A$1:A26)-1)))</f>
        <v>0</v>
      </c>
      <c r="T27" s="33">
        <f>INDEX('9 - Water Readings'!$E$8:$E$966,1+(2*(ROWS(A$1:A26)-1)))</f>
        <v>0</v>
      </c>
      <c r="U27" s="33">
        <f>INDEX('9 - Water Readings'!$G$8:$G$965,1+(2*(ROWS(A$1:A26)-1)))</f>
        <v>0</v>
      </c>
      <c r="V27" s="33">
        <f>INDEX('9 - Water Readings'!$H$8:$H$966,1+(2*(ROWS(A$1:A26)-1)))</f>
        <v>0</v>
      </c>
      <c r="W27" s="33">
        <f>INDEX('9 - Water Readings'!$I$8:$I$966,1+(2*(ROWS(A$1:A26)-1)))</f>
        <v>0</v>
      </c>
      <c r="X27" s="33">
        <f>INDEX('9 - Water Readings'!$J$8:$J$966,1+(2*(ROWS(A$1:A26)-1)))</f>
        <v>0</v>
      </c>
      <c r="Y27" s="33">
        <f>INDEX('9 - Water Readings'!$K$8:$K$966,1+(2*(ROWS(A$1:A26)-1)))</f>
        <v>0</v>
      </c>
      <c r="Z27" s="33">
        <f>INDEX('9 - Water Readings'!$L$8:$L$966,1+(2*(ROWS(A$1:A26)-1)))</f>
        <v>0</v>
      </c>
      <c r="AA27" s="34">
        <f>'9 - Water Readings'!Q32</f>
        <v>0</v>
      </c>
      <c r="AB27" s="32">
        <f>'9 - Water Readings'!R32</f>
        <v>0</v>
      </c>
      <c r="AC27">
        <f>'9 - Water Readings'!S32</f>
        <v>0</v>
      </c>
    </row>
    <row r="28" spans="1:29" x14ac:dyDescent="0.25">
      <c r="A28" s="35" t="s">
        <v>11</v>
      </c>
      <c r="B28" s="35">
        <f t="shared" si="0"/>
        <v>27</v>
      </c>
      <c r="C28" s="35">
        <v>9</v>
      </c>
      <c r="D28" s="32">
        <v>2022</v>
      </c>
      <c r="E28" s="33">
        <f>INDEX('13 - Electrical Readings'!$C$8:$C$962,1+(2*(ROWS(A$1:A27)-1)))</f>
        <v>0</v>
      </c>
      <c r="F28" s="33">
        <f>INDEX('13 - Electrical Readings'!$D$6:$D$962,1+(2*(ROWS(A$1:A28)-1)))</f>
        <v>0</v>
      </c>
      <c r="G28" s="32">
        <f>INDEX('13 - Electrical Readings'!$E$6:$E$962,1+(2*(ROWS(A$1:A28)-1)))</f>
        <v>0</v>
      </c>
      <c r="H28" s="32">
        <f>INDEX('13 - Electrical Readings'!$F$6:$F$962,1+(2*(ROWS(A$1:A28)-1)))</f>
        <v>0</v>
      </c>
      <c r="I28" s="33">
        <f>INDEX('13 - Electrical Readings'!$G$6:$G$962,1+(2*(ROWS(A$1:A28)-1)))</f>
        <v>0</v>
      </c>
      <c r="J28" s="32">
        <f>INDEX('13 - Electrical Readings'!$I$6:$I$962,1+(2*(ROWS(A$1:A28)-1)))</f>
        <v>0</v>
      </c>
      <c r="K28" s="32">
        <f>INDEX('13 - Electrical Readings'!$J$6:$J$962,1+(2*(ROWS(B$1:B28)-1)))</f>
        <v>0</v>
      </c>
      <c r="L28" s="32">
        <f>INDEX('13 - Electrical Readings'!$K$6:$K$962,1+(2*(ROWS(C$1:C28)-1)))</f>
        <v>0</v>
      </c>
      <c r="M28" s="32">
        <f>INDEX('13 - Electrical Readings'!$L$6:$L$962,1+(2*(ROWS(D$1:D28)-1)))</f>
        <v>0</v>
      </c>
      <c r="N28" s="32">
        <f>INDEX('13 - Electrical Readings'!$M$6:$M$962,1+(2*(ROWS(E$1:E28)-1)))</f>
        <v>0</v>
      </c>
      <c r="O28" s="33">
        <f>INDEX('13 - Electrical Readings'!$N$6:$N$962,1+(2*(ROWS(E$1:E28)-1)))</f>
        <v>0</v>
      </c>
      <c r="P28" s="33">
        <f>INDEX('13 - Electrical Readings'!$O$6:$O$962,1+(2*(ROWS(E$1:E28)-1)))</f>
        <v>0</v>
      </c>
      <c r="Q28" s="33">
        <f>INDEX('13 - Electrical Readings'!$P$6:$P$962,1+(2*(ROWS(E$1:E28)-1)))</f>
        <v>0</v>
      </c>
      <c r="R28" s="33">
        <f>INDEX('9 - Water Readings'!$C$8:$C$966,1+(2*(ROWS(A$1:A27)-1)))</f>
        <v>0</v>
      </c>
      <c r="S28" s="33">
        <f>INDEX('9 - Water Readings'!$D$8:$D$965,1+(2*(ROWS(A$1:A27)-1)))</f>
        <v>0</v>
      </c>
      <c r="T28" s="33">
        <f>INDEX('9 - Water Readings'!$E$8:$E$966,1+(2*(ROWS(A$1:A27)-1)))</f>
        <v>0</v>
      </c>
      <c r="U28" s="33">
        <f>INDEX('9 - Water Readings'!$G$8:$G$965,1+(2*(ROWS(A$1:A27)-1)))</f>
        <v>0</v>
      </c>
      <c r="V28" s="33">
        <f>INDEX('9 - Water Readings'!$H$8:$H$966,1+(2*(ROWS(A$1:A27)-1)))</f>
        <v>0</v>
      </c>
      <c r="W28" s="33">
        <f>INDEX('9 - Water Readings'!$I$8:$I$966,1+(2*(ROWS(A$1:A27)-1)))</f>
        <v>0</v>
      </c>
      <c r="X28" s="33">
        <f>INDEX('9 - Water Readings'!$J$8:$J$966,1+(2*(ROWS(A$1:A27)-1)))</f>
        <v>0</v>
      </c>
      <c r="Y28" s="33">
        <f>INDEX('9 - Water Readings'!$K$8:$K$966,1+(2*(ROWS(A$1:A27)-1)))</f>
        <v>0</v>
      </c>
      <c r="Z28" s="33">
        <f>INDEX('9 - Water Readings'!$L$8:$L$966,1+(2*(ROWS(A$1:A27)-1)))</f>
        <v>0</v>
      </c>
      <c r="AA28" s="34">
        <f>'9 - Water Readings'!Q33</f>
        <v>0</v>
      </c>
      <c r="AB28" s="32">
        <f>'9 - Water Readings'!R33</f>
        <v>0</v>
      </c>
      <c r="AC28">
        <f>'9 - Water Readings'!S33</f>
        <v>0</v>
      </c>
    </row>
    <row r="29" spans="1:29" x14ac:dyDescent="0.25">
      <c r="A29" s="35" t="s">
        <v>11</v>
      </c>
      <c r="B29" s="35">
        <f t="shared" si="0"/>
        <v>28</v>
      </c>
      <c r="C29" s="35">
        <v>9</v>
      </c>
      <c r="D29" s="32">
        <v>2022</v>
      </c>
      <c r="E29" s="33">
        <f>INDEX('13 - Electrical Readings'!$C$8:$C$962,1+(2*(ROWS(A$1:A28)-1)))</f>
        <v>0</v>
      </c>
      <c r="F29" s="33">
        <f>INDEX('13 - Electrical Readings'!$D$6:$D$962,1+(2*(ROWS(A$1:A29)-1)))</f>
        <v>0</v>
      </c>
      <c r="G29" s="32">
        <f>INDEX('13 - Electrical Readings'!$E$6:$E$962,1+(2*(ROWS(A$1:A29)-1)))</f>
        <v>0</v>
      </c>
      <c r="H29" s="32">
        <f>INDEX('13 - Electrical Readings'!$F$6:$F$962,1+(2*(ROWS(A$1:A29)-1)))</f>
        <v>0</v>
      </c>
      <c r="I29" s="33">
        <f>INDEX('13 - Electrical Readings'!$G$6:$G$962,1+(2*(ROWS(A$1:A29)-1)))</f>
        <v>0</v>
      </c>
      <c r="J29" s="32">
        <f>INDEX('13 - Electrical Readings'!$I$6:$I$962,1+(2*(ROWS(A$1:A29)-1)))</f>
        <v>0</v>
      </c>
      <c r="K29" s="32">
        <f>INDEX('13 - Electrical Readings'!$J$6:$J$962,1+(2*(ROWS(B$1:B29)-1)))</f>
        <v>0</v>
      </c>
      <c r="L29" s="32">
        <f>INDEX('13 - Electrical Readings'!$K$6:$K$962,1+(2*(ROWS(C$1:C29)-1)))</f>
        <v>0</v>
      </c>
      <c r="M29" s="32">
        <f>INDEX('13 - Electrical Readings'!$L$6:$L$962,1+(2*(ROWS(D$1:D29)-1)))</f>
        <v>0</v>
      </c>
      <c r="N29" s="32">
        <f>INDEX('13 - Electrical Readings'!$M$6:$M$962,1+(2*(ROWS(E$1:E29)-1)))</f>
        <v>0</v>
      </c>
      <c r="O29" s="33">
        <f>INDEX('13 - Electrical Readings'!$N$6:$N$962,1+(2*(ROWS(E$1:E29)-1)))</f>
        <v>0</v>
      </c>
      <c r="P29" s="33">
        <f>INDEX('13 - Electrical Readings'!$O$6:$O$962,1+(2*(ROWS(E$1:E29)-1)))</f>
        <v>0</v>
      </c>
      <c r="Q29" s="33">
        <f>INDEX('13 - Electrical Readings'!$P$6:$P$962,1+(2*(ROWS(E$1:E29)-1)))</f>
        <v>0</v>
      </c>
      <c r="R29" s="33">
        <f>INDEX('9 - Water Readings'!$C$8:$C$966,1+(2*(ROWS(A$1:A28)-1)))</f>
        <v>0</v>
      </c>
      <c r="S29" s="33">
        <f>INDEX('9 - Water Readings'!$D$8:$D$965,1+(2*(ROWS(A$1:A28)-1)))</f>
        <v>0</v>
      </c>
      <c r="T29" s="33">
        <f>INDEX('9 - Water Readings'!$E$8:$E$966,1+(2*(ROWS(A$1:A28)-1)))</f>
        <v>0</v>
      </c>
      <c r="U29" s="33">
        <f>INDEX('9 - Water Readings'!$G$8:$G$965,1+(2*(ROWS(A$1:A28)-1)))</f>
        <v>0</v>
      </c>
      <c r="V29" s="33">
        <f>INDEX('9 - Water Readings'!$H$8:$H$966,1+(2*(ROWS(A$1:A28)-1)))</f>
        <v>0</v>
      </c>
      <c r="W29" s="33">
        <f>INDEX('9 - Water Readings'!$I$8:$I$966,1+(2*(ROWS(A$1:A28)-1)))</f>
        <v>0</v>
      </c>
      <c r="X29" s="33">
        <f>INDEX('9 - Water Readings'!$J$8:$J$966,1+(2*(ROWS(A$1:A28)-1)))</f>
        <v>0</v>
      </c>
      <c r="Y29" s="33">
        <f>INDEX('9 - Water Readings'!$K$8:$K$966,1+(2*(ROWS(A$1:A28)-1)))</f>
        <v>0</v>
      </c>
      <c r="Z29" s="33">
        <f>INDEX('9 - Water Readings'!$L$8:$L$966,1+(2*(ROWS(A$1:A28)-1)))</f>
        <v>0</v>
      </c>
      <c r="AA29" s="34">
        <f>'9 - Water Readings'!Q34</f>
        <v>0</v>
      </c>
      <c r="AB29" s="32">
        <f>'9 - Water Readings'!R34</f>
        <v>0</v>
      </c>
      <c r="AC29">
        <f>'9 - Water Readings'!S34</f>
        <v>0</v>
      </c>
    </row>
    <row r="30" spans="1:29" x14ac:dyDescent="0.25">
      <c r="A30" s="35" t="s">
        <v>11</v>
      </c>
      <c r="B30" s="35">
        <f t="shared" si="0"/>
        <v>29</v>
      </c>
      <c r="C30" s="35">
        <v>9</v>
      </c>
      <c r="D30" s="32">
        <v>2022</v>
      </c>
      <c r="E30" s="33">
        <f>INDEX('13 - Electrical Readings'!$C$8:$C$962,1+(2*(ROWS(A$1:A29)-1)))</f>
        <v>0</v>
      </c>
      <c r="F30" s="33">
        <f>INDEX('13 - Electrical Readings'!$D$6:$D$962,1+(2*(ROWS(A$1:A30)-1)))</f>
        <v>0</v>
      </c>
      <c r="G30" s="32">
        <f>INDEX('13 - Electrical Readings'!$E$6:$E$962,1+(2*(ROWS(A$1:A30)-1)))</f>
        <v>0</v>
      </c>
      <c r="H30" s="32">
        <f>INDEX('13 - Electrical Readings'!$F$6:$F$962,1+(2*(ROWS(A$1:A30)-1)))</f>
        <v>0</v>
      </c>
      <c r="I30" s="33">
        <f>INDEX('13 - Electrical Readings'!$G$6:$G$962,1+(2*(ROWS(A$1:A30)-1)))</f>
        <v>0</v>
      </c>
      <c r="J30" s="32">
        <f>INDEX('13 - Electrical Readings'!$I$6:$I$962,1+(2*(ROWS(A$1:A30)-1)))</f>
        <v>0</v>
      </c>
      <c r="K30" s="32">
        <f>INDEX('13 - Electrical Readings'!$J$6:$J$962,1+(2*(ROWS(B$1:B30)-1)))</f>
        <v>0</v>
      </c>
      <c r="L30" s="32">
        <f>INDEX('13 - Electrical Readings'!$K$6:$K$962,1+(2*(ROWS(C$1:C30)-1)))</f>
        <v>0</v>
      </c>
      <c r="M30" s="32">
        <f>INDEX('13 - Electrical Readings'!$L$6:$L$962,1+(2*(ROWS(D$1:D30)-1)))</f>
        <v>0</v>
      </c>
      <c r="N30" s="32">
        <f>INDEX('13 - Electrical Readings'!$M$6:$M$962,1+(2*(ROWS(E$1:E30)-1)))</f>
        <v>0</v>
      </c>
      <c r="O30" s="33">
        <f>INDEX('13 - Electrical Readings'!$N$6:$N$962,1+(2*(ROWS(E$1:E30)-1)))</f>
        <v>0</v>
      </c>
      <c r="P30" s="33">
        <f>INDEX('13 - Electrical Readings'!$O$6:$O$962,1+(2*(ROWS(E$1:E30)-1)))</f>
        <v>0</v>
      </c>
      <c r="Q30" s="33">
        <f>INDEX('13 - Electrical Readings'!$P$6:$P$962,1+(2*(ROWS(E$1:E30)-1)))</f>
        <v>0</v>
      </c>
      <c r="R30" s="33">
        <f>INDEX('9 - Water Readings'!$C$8:$C$966,1+(2*(ROWS(A$1:A29)-1)))</f>
        <v>0</v>
      </c>
      <c r="S30" s="33">
        <f>INDEX('9 - Water Readings'!$D$8:$D$965,1+(2*(ROWS(A$1:A29)-1)))</f>
        <v>0</v>
      </c>
      <c r="T30" s="33">
        <f>INDEX('9 - Water Readings'!$E$8:$E$966,1+(2*(ROWS(A$1:A29)-1)))</f>
        <v>0</v>
      </c>
      <c r="U30" s="33">
        <f>INDEX('9 - Water Readings'!$G$8:$G$965,1+(2*(ROWS(A$1:A29)-1)))</f>
        <v>0</v>
      </c>
      <c r="V30" s="33">
        <f>INDEX('9 - Water Readings'!$H$8:$H$966,1+(2*(ROWS(A$1:A29)-1)))</f>
        <v>0</v>
      </c>
      <c r="W30" s="33">
        <f>INDEX('9 - Water Readings'!$I$8:$I$966,1+(2*(ROWS(A$1:A29)-1)))</f>
        <v>0</v>
      </c>
      <c r="X30" s="33">
        <f>INDEX('9 - Water Readings'!$J$8:$J$966,1+(2*(ROWS(A$1:A29)-1)))</f>
        <v>0</v>
      </c>
      <c r="Y30" s="33">
        <f>INDEX('9 - Water Readings'!$K$8:$K$966,1+(2*(ROWS(A$1:A29)-1)))</f>
        <v>0</v>
      </c>
      <c r="Z30" s="33">
        <f>INDEX('9 - Water Readings'!$L$8:$L$966,1+(2*(ROWS(A$1:A29)-1)))</f>
        <v>0</v>
      </c>
      <c r="AA30" s="34">
        <f>'9 - Water Readings'!Q35</f>
        <v>0</v>
      </c>
      <c r="AB30" s="32">
        <f>'9 - Water Readings'!R35</f>
        <v>0</v>
      </c>
      <c r="AC30">
        <f>'9 - Water Readings'!S35</f>
        <v>0</v>
      </c>
    </row>
    <row r="31" spans="1:29" x14ac:dyDescent="0.25">
      <c r="A31" s="35" t="s">
        <v>11</v>
      </c>
      <c r="B31" s="35">
        <f>B30+1</f>
        <v>30</v>
      </c>
      <c r="C31" s="35">
        <v>9</v>
      </c>
      <c r="D31" s="32">
        <v>2022</v>
      </c>
      <c r="E31" s="33">
        <f>INDEX('13 - Electrical Readings'!$C$8:$C$962,1+(2*(ROWS(A$1:A30)-1)))</f>
        <v>0</v>
      </c>
      <c r="F31" s="33">
        <f>INDEX('13 - Electrical Readings'!$D$6:$D$962,1+(2*(ROWS(A$1:A31)-1)))</f>
        <v>0</v>
      </c>
      <c r="G31" s="32">
        <f>INDEX('13 - Electrical Readings'!$E$6:$E$962,1+(2*(ROWS(A$1:A31)-1)))</f>
        <v>0</v>
      </c>
      <c r="H31" s="32">
        <f>INDEX('13 - Electrical Readings'!$F$6:$F$962,1+(2*(ROWS(A$1:A31)-1)))</f>
        <v>0</v>
      </c>
      <c r="I31" s="33">
        <f>INDEX('13 - Electrical Readings'!$G$6:$G$962,1+(2*(ROWS(A$1:A31)-1)))</f>
        <v>0</v>
      </c>
      <c r="J31" s="32">
        <f>INDEX('13 - Electrical Readings'!$I$6:$I$962,1+(2*(ROWS(A$1:A31)-1)))</f>
        <v>0</v>
      </c>
      <c r="K31" s="32">
        <f>INDEX('13 - Electrical Readings'!$J$6:$J$962,1+(2*(ROWS(B$1:B31)-1)))</f>
        <v>0</v>
      </c>
      <c r="L31" s="32">
        <f>INDEX('13 - Electrical Readings'!$K$6:$K$962,1+(2*(ROWS(C$1:C31)-1)))</f>
        <v>0</v>
      </c>
      <c r="M31" s="32">
        <f>INDEX('13 - Electrical Readings'!$L$6:$L$962,1+(2*(ROWS(D$1:D31)-1)))</f>
        <v>0</v>
      </c>
      <c r="N31" s="32">
        <f>INDEX('13 - Electrical Readings'!$M$6:$M$962,1+(2*(ROWS(E$1:E31)-1)))</f>
        <v>0</v>
      </c>
      <c r="O31" s="33">
        <f>INDEX('13 - Electrical Readings'!$N$6:$N$962,1+(2*(ROWS(E$1:E31)-1)))</f>
        <v>0</v>
      </c>
      <c r="P31" s="33">
        <f>INDEX('13 - Electrical Readings'!$O$6:$O$962,1+(2*(ROWS(E$1:E31)-1)))</f>
        <v>0</v>
      </c>
      <c r="Q31" s="33">
        <f>INDEX('13 - Electrical Readings'!$P$6:$P$962,1+(2*(ROWS(E$1:E31)-1)))</f>
        <v>0</v>
      </c>
      <c r="R31" s="33">
        <f>INDEX('9 - Water Readings'!$C$8:$C$966,1+(2*(ROWS(A$1:A30)-1)))</f>
        <v>0</v>
      </c>
      <c r="S31" s="33">
        <f>INDEX('9 - Water Readings'!$D$8:$D$965,1+(2*(ROWS(A$1:A30)-1)))</f>
        <v>0</v>
      </c>
      <c r="T31" s="33">
        <f>INDEX('9 - Water Readings'!$E$8:$E$966,1+(2*(ROWS(A$1:A30)-1)))</f>
        <v>0</v>
      </c>
      <c r="U31" s="33">
        <f>INDEX('9 - Water Readings'!$G$8:$G$965,1+(2*(ROWS(A$1:A30)-1)))</f>
        <v>0</v>
      </c>
      <c r="V31" s="33">
        <f>INDEX('9 - Water Readings'!$H$8:$H$966,1+(2*(ROWS(A$1:A30)-1)))</f>
        <v>0</v>
      </c>
      <c r="W31" s="33">
        <f>INDEX('9 - Water Readings'!$I$8:$I$966,1+(2*(ROWS(A$1:A30)-1)))</f>
        <v>0</v>
      </c>
      <c r="X31" s="33">
        <f>INDEX('9 - Water Readings'!$J$8:$J$966,1+(2*(ROWS(A$1:A30)-1)))</f>
        <v>0</v>
      </c>
      <c r="Y31" s="33">
        <f>INDEX('9 - Water Readings'!$K$8:$K$966,1+(2*(ROWS(A$1:A30)-1)))</f>
        <v>0</v>
      </c>
      <c r="Z31" s="33">
        <f>INDEX('9 - Water Readings'!$L$8:$L$966,1+(2*(ROWS(A$1:A30)-1)))</f>
        <v>0</v>
      </c>
      <c r="AA31" s="34">
        <f>'9 - Water Readings'!Q36</f>
        <v>0</v>
      </c>
      <c r="AB31" s="32">
        <f>'9 - Water Readings'!R36</f>
        <v>0</v>
      </c>
      <c r="AC31">
        <f>'9 - Water Readings'!S36</f>
        <v>0</v>
      </c>
    </row>
    <row r="32" spans="1:29" x14ac:dyDescent="0.25">
      <c r="I32" s="33"/>
      <c r="AA32" s="34"/>
      <c r="AC32"/>
    </row>
    <row r="33" spans="9:29" x14ac:dyDescent="0.25">
      <c r="I33" s="33"/>
      <c r="AA33" s="34"/>
      <c r="AC33"/>
    </row>
  </sheetData>
  <customSheetViews>
    <customSheetView guid="{3F0D6565-C55E-43AC-AC5D-87C4E1D85423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91089E3D-1703-4FEE-B13A-4F0669A06DB8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1"/>
  <sheetViews>
    <sheetView zoomScaleNormal="100" zoomScaleSheetLayoutView="100" workbookViewId="0">
      <pane ySplit="6" topLeftCell="A7" activePane="bottomLeft" state="frozen"/>
      <selection pane="bottomLeft" activeCell="U29" sqref="U29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9" width="9.140625" style="1"/>
    <col min="20" max="20" width="9.85546875" style="1" bestFit="1" customWidth="1"/>
    <col min="21" max="16384" width="9.140625" style="1"/>
  </cols>
  <sheetData>
    <row r="1" spans="2:18" ht="12" customHeight="1" x14ac:dyDescent="0.25"/>
    <row r="2" spans="2:18" ht="19.5" customHeight="1" x14ac:dyDescent="0.25">
      <c r="F2" s="97" t="s">
        <v>34</v>
      </c>
      <c r="G2" s="97"/>
      <c r="H2" s="97"/>
      <c r="I2" s="97"/>
      <c r="J2" s="97"/>
      <c r="K2" s="97"/>
      <c r="L2" s="97"/>
      <c r="M2" s="97"/>
    </row>
    <row r="3" spans="2:18" ht="21" customHeight="1" x14ac:dyDescent="0.3">
      <c r="F3" s="98" t="s">
        <v>35</v>
      </c>
      <c r="G3" s="98"/>
      <c r="H3" s="98"/>
      <c r="I3" s="98"/>
      <c r="J3" s="98"/>
      <c r="K3" s="98"/>
      <c r="L3" s="98"/>
      <c r="M3" s="98"/>
      <c r="N3" s="94" t="s">
        <v>36</v>
      </c>
      <c r="O3" s="94"/>
      <c r="P3" s="94"/>
    </row>
    <row r="4" spans="2:18" ht="15" customHeight="1" thickBot="1" x14ac:dyDescent="0.3">
      <c r="N4" s="94"/>
      <c r="O4" s="94"/>
      <c r="P4" s="94"/>
    </row>
    <row r="5" spans="2:18" ht="30.75" thickTop="1" x14ac:dyDescent="0.25">
      <c r="B5" s="95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1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9" t="s">
        <v>45</v>
      </c>
      <c r="R5" s="92" t="s">
        <v>46</v>
      </c>
    </row>
    <row r="6" spans="2:18" x14ac:dyDescent="0.25">
      <c r="B6" s="96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2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0"/>
      <c r="R6" s="93"/>
    </row>
    <row r="7" spans="2:18" ht="17.25" customHeight="1" x14ac:dyDescent="0.25">
      <c r="B7" s="22">
        <v>1</v>
      </c>
      <c r="C7" s="7">
        <v>21829683</v>
      </c>
      <c r="D7" s="7">
        <v>15456889</v>
      </c>
      <c r="E7" s="7">
        <v>28068400</v>
      </c>
      <c r="F7" s="7">
        <v>28021670</v>
      </c>
      <c r="G7" s="7">
        <v>17224562</v>
      </c>
      <c r="H7" s="8"/>
      <c r="I7" s="46">
        <v>6241703</v>
      </c>
      <c r="J7" s="46">
        <v>27342341</v>
      </c>
      <c r="K7" s="46">
        <v>9078001</v>
      </c>
      <c r="L7" s="46">
        <v>13526898</v>
      </c>
      <c r="M7" s="46">
        <v>20396236</v>
      </c>
      <c r="N7" s="46">
        <v>26060775</v>
      </c>
      <c r="O7" s="46">
        <v>8449276</v>
      </c>
      <c r="P7" s="46">
        <v>7609670</v>
      </c>
      <c r="Q7" s="9"/>
      <c r="R7" s="10"/>
    </row>
    <row r="8" spans="2:18" ht="17.25" customHeight="1" x14ac:dyDescent="0.25">
      <c r="B8" s="11" t="s">
        <v>47</v>
      </c>
      <c r="C8" s="50">
        <f>C7-21811303</f>
        <v>18380</v>
      </c>
      <c r="D8" s="50">
        <f>D7-15448289</f>
        <v>8600</v>
      </c>
      <c r="E8" s="50">
        <f>E7-28050078</f>
        <v>18322</v>
      </c>
      <c r="F8" s="50">
        <f>F7-28012202</f>
        <v>9468</v>
      </c>
      <c r="G8" s="50">
        <f>G7-17224545</f>
        <v>17</v>
      </c>
      <c r="H8" s="82">
        <f>G8+F8+E8+D8+C8</f>
        <v>54787</v>
      </c>
      <c r="I8" s="50">
        <f>I7-6239197</f>
        <v>2506</v>
      </c>
      <c r="J8" s="50">
        <f>J7-27333188</f>
        <v>9153</v>
      </c>
      <c r="K8" s="50">
        <f>K7-9074680</f>
        <v>3321</v>
      </c>
      <c r="L8" s="50">
        <f>L7-13522460</f>
        <v>4438</v>
      </c>
      <c r="M8" s="50">
        <f>M7-20385541</f>
        <v>10695</v>
      </c>
      <c r="N8" s="50">
        <f>N7-26051983</f>
        <v>8792</v>
      </c>
      <c r="O8" s="50">
        <f>O7-8445256</f>
        <v>4020</v>
      </c>
      <c r="P8" s="50">
        <f>P7-7606770</f>
        <v>2900</v>
      </c>
      <c r="Q8" s="83">
        <f>P8+O8+N8+M8+L8+K8+J8+I8</f>
        <v>45825</v>
      </c>
      <c r="R8" s="14">
        <f>Q8+H8</f>
        <v>100612</v>
      </c>
    </row>
    <row r="9" spans="2:18" ht="17.25" customHeight="1" x14ac:dyDescent="0.25">
      <c r="B9" s="22">
        <v>2</v>
      </c>
      <c r="C9" s="7">
        <v>21848468</v>
      </c>
      <c r="D9" s="7">
        <v>15470003</v>
      </c>
      <c r="E9" s="7">
        <v>28082203</v>
      </c>
      <c r="F9" s="7">
        <v>28026753</v>
      </c>
      <c r="G9" s="7">
        <v>17224578</v>
      </c>
      <c r="H9" s="8"/>
      <c r="I9" s="46">
        <v>6244185</v>
      </c>
      <c r="J9" s="46">
        <v>27351618</v>
      </c>
      <c r="K9" s="46">
        <v>9081446</v>
      </c>
      <c r="L9" s="46">
        <v>13531420</v>
      </c>
      <c r="M9" s="46">
        <v>20406678</v>
      </c>
      <c r="N9" s="46">
        <v>26069332</v>
      </c>
      <c r="O9" s="46">
        <v>8453192</v>
      </c>
      <c r="P9" s="46">
        <v>7612880</v>
      </c>
      <c r="Q9" s="9"/>
      <c r="R9" s="15"/>
    </row>
    <row r="10" spans="2:18" ht="17.25" customHeight="1" x14ac:dyDescent="0.25">
      <c r="B10" s="11" t="s">
        <v>47</v>
      </c>
      <c r="C10" s="50">
        <f>C9-C7</f>
        <v>18785</v>
      </c>
      <c r="D10" s="50">
        <f t="shared" ref="D10:G26" si="0">D9-D7</f>
        <v>13114</v>
      </c>
      <c r="E10" s="50">
        <f t="shared" si="0"/>
        <v>13803</v>
      </c>
      <c r="F10" s="50">
        <f t="shared" si="0"/>
        <v>5083</v>
      </c>
      <c r="G10" s="50">
        <f t="shared" si="0"/>
        <v>16</v>
      </c>
      <c r="H10" s="82">
        <f>G10+F10+E10+D10+C10</f>
        <v>50801</v>
      </c>
      <c r="I10" s="12">
        <f>I9-I7</f>
        <v>2482</v>
      </c>
      <c r="J10" s="12">
        <f t="shared" ref="J10:P26" si="1">J9-J7</f>
        <v>9277</v>
      </c>
      <c r="K10" s="12">
        <f t="shared" si="1"/>
        <v>3445</v>
      </c>
      <c r="L10" s="12">
        <f t="shared" si="1"/>
        <v>4522</v>
      </c>
      <c r="M10" s="12">
        <f t="shared" si="1"/>
        <v>10442</v>
      </c>
      <c r="N10" s="12">
        <f t="shared" si="1"/>
        <v>8557</v>
      </c>
      <c r="O10" s="12">
        <f t="shared" si="1"/>
        <v>3916</v>
      </c>
      <c r="P10" s="12">
        <f t="shared" si="1"/>
        <v>3210</v>
      </c>
      <c r="Q10" s="83">
        <f>P10+O10+N10+M10+L10+K10+J10+I10</f>
        <v>45851</v>
      </c>
      <c r="R10" s="14">
        <f>Q10+H10</f>
        <v>96652</v>
      </c>
    </row>
    <row r="11" spans="2:18" ht="17.25" customHeight="1" x14ac:dyDescent="0.25">
      <c r="B11" s="22">
        <v>3</v>
      </c>
      <c r="C11" s="7">
        <v>21859680</v>
      </c>
      <c r="D11" s="7">
        <v>15483849</v>
      </c>
      <c r="E11" s="7">
        <v>28093676</v>
      </c>
      <c r="F11" s="7">
        <v>28040983</v>
      </c>
      <c r="G11" s="7">
        <v>17224594</v>
      </c>
      <c r="H11" s="8"/>
      <c r="I11" s="46">
        <v>6246771</v>
      </c>
      <c r="J11" s="46">
        <v>27360866</v>
      </c>
      <c r="K11" s="46">
        <v>9084563</v>
      </c>
      <c r="L11" s="46">
        <v>13535914</v>
      </c>
      <c r="M11" s="46">
        <v>20417163</v>
      </c>
      <c r="N11" s="46">
        <v>26078125</v>
      </c>
      <c r="O11" s="46">
        <v>8457187</v>
      </c>
      <c r="P11" s="46">
        <v>7615800</v>
      </c>
      <c r="Q11" s="9"/>
      <c r="R11" s="10"/>
    </row>
    <row r="12" spans="2:18" ht="17.25" customHeight="1" x14ac:dyDescent="0.25">
      <c r="B12" s="11" t="s">
        <v>47</v>
      </c>
      <c r="C12" s="50">
        <f>C11-C9</f>
        <v>11212</v>
      </c>
      <c r="D12" s="50">
        <f t="shared" si="0"/>
        <v>13846</v>
      </c>
      <c r="E12" s="50">
        <f t="shared" si="0"/>
        <v>11473</v>
      </c>
      <c r="F12" s="50">
        <f t="shared" si="0"/>
        <v>14230</v>
      </c>
      <c r="G12" s="50">
        <f t="shared" si="0"/>
        <v>16</v>
      </c>
      <c r="H12" s="82">
        <f>G12+F12+E12+D12+C12</f>
        <v>50777</v>
      </c>
      <c r="I12" s="12">
        <f>I11-I9</f>
        <v>2586</v>
      </c>
      <c r="J12" s="12">
        <f t="shared" si="1"/>
        <v>9248</v>
      </c>
      <c r="K12" s="12">
        <f t="shared" si="1"/>
        <v>3117</v>
      </c>
      <c r="L12" s="12">
        <f t="shared" si="1"/>
        <v>4494</v>
      </c>
      <c r="M12" s="12">
        <f t="shared" si="1"/>
        <v>10485</v>
      </c>
      <c r="N12" s="12">
        <f t="shared" si="1"/>
        <v>8793</v>
      </c>
      <c r="O12" s="12">
        <f t="shared" si="1"/>
        <v>3995</v>
      </c>
      <c r="P12" s="12">
        <f t="shared" si="1"/>
        <v>2920</v>
      </c>
      <c r="Q12" s="83">
        <f>P12+O12+N12+M12+L12+K12+J12+I12</f>
        <v>45638</v>
      </c>
      <c r="R12" s="14">
        <f>Q12+H12</f>
        <v>96415</v>
      </c>
    </row>
    <row r="13" spans="2:18" ht="17.25" customHeight="1" x14ac:dyDescent="0.25">
      <c r="B13" s="22">
        <v>4</v>
      </c>
      <c r="C13" s="7">
        <v>21867158</v>
      </c>
      <c r="D13" s="7">
        <v>15497295</v>
      </c>
      <c r="E13" s="7">
        <v>28108310</v>
      </c>
      <c r="F13" s="7">
        <v>28058271</v>
      </c>
      <c r="G13" s="7">
        <v>17224610</v>
      </c>
      <c r="H13" s="8"/>
      <c r="I13" s="56">
        <v>6249406</v>
      </c>
      <c r="J13" s="59">
        <v>27370009</v>
      </c>
      <c r="K13" s="57">
        <v>9087653</v>
      </c>
      <c r="L13" s="57">
        <v>13540298</v>
      </c>
      <c r="M13" s="57">
        <v>20427825</v>
      </c>
      <c r="N13" s="57">
        <v>26086705</v>
      </c>
      <c r="O13" s="57">
        <v>8461382</v>
      </c>
      <c r="P13" s="57">
        <v>7618210</v>
      </c>
      <c r="Q13" s="9"/>
      <c r="R13" s="15"/>
    </row>
    <row r="14" spans="2:18" ht="17.25" customHeight="1" x14ac:dyDescent="0.25">
      <c r="B14" s="11" t="s">
        <v>47</v>
      </c>
      <c r="C14" s="50">
        <f>C13-C11</f>
        <v>7478</v>
      </c>
      <c r="D14" s="50">
        <f t="shared" si="0"/>
        <v>13446</v>
      </c>
      <c r="E14" s="50">
        <f t="shared" si="0"/>
        <v>14634</v>
      </c>
      <c r="F14" s="50">
        <f t="shared" si="0"/>
        <v>17288</v>
      </c>
      <c r="G14" s="50">
        <f t="shared" si="0"/>
        <v>16</v>
      </c>
      <c r="H14" s="82">
        <f>G14+F14+E14+D14+C14</f>
        <v>52862</v>
      </c>
      <c r="I14" s="12">
        <f>I13-I11</f>
        <v>2635</v>
      </c>
      <c r="J14" s="12">
        <f t="shared" si="1"/>
        <v>9143</v>
      </c>
      <c r="K14" s="12">
        <f t="shared" si="1"/>
        <v>3090</v>
      </c>
      <c r="L14" s="12">
        <f t="shared" si="1"/>
        <v>4384</v>
      </c>
      <c r="M14" s="12">
        <f t="shared" si="1"/>
        <v>10662</v>
      </c>
      <c r="N14" s="12">
        <f t="shared" si="1"/>
        <v>8580</v>
      </c>
      <c r="O14" s="12">
        <f t="shared" si="1"/>
        <v>4195</v>
      </c>
      <c r="P14" s="12">
        <f t="shared" si="1"/>
        <v>2410</v>
      </c>
      <c r="Q14" s="83">
        <f>P14+O14+N14+M14+L14+K14+J14+I14</f>
        <v>45099</v>
      </c>
      <c r="R14" s="14">
        <f>Q14+H14</f>
        <v>97961</v>
      </c>
    </row>
    <row r="15" spans="2:18" ht="17.25" customHeight="1" x14ac:dyDescent="0.25">
      <c r="B15" s="22">
        <v>5</v>
      </c>
      <c r="C15" s="56">
        <v>21867161</v>
      </c>
      <c r="D15" s="61">
        <v>15510906</v>
      </c>
      <c r="E15" s="56">
        <v>28127241</v>
      </c>
      <c r="F15" s="57">
        <v>28073124</v>
      </c>
      <c r="G15" s="57">
        <v>17224622</v>
      </c>
      <c r="H15" s="58"/>
      <c r="I15" s="57">
        <v>6252090</v>
      </c>
      <c r="J15" s="57">
        <v>27378933</v>
      </c>
      <c r="K15" s="57">
        <v>9090836</v>
      </c>
      <c r="L15" s="57">
        <v>13544678</v>
      </c>
      <c r="M15" s="59">
        <v>20438152</v>
      </c>
      <c r="N15" s="57">
        <v>26095448</v>
      </c>
      <c r="O15" s="57">
        <v>8465509</v>
      </c>
      <c r="P15" s="57">
        <v>7620880</v>
      </c>
      <c r="Q15" s="9"/>
      <c r="R15" s="10"/>
    </row>
    <row r="16" spans="2:18" ht="17.25" customHeight="1" x14ac:dyDescent="0.25">
      <c r="B16" s="11" t="s">
        <v>47</v>
      </c>
      <c r="C16" s="50">
        <f>C15-C13</f>
        <v>3</v>
      </c>
      <c r="D16" s="50">
        <f t="shared" si="0"/>
        <v>13611</v>
      </c>
      <c r="E16" s="50">
        <f t="shared" si="0"/>
        <v>18931</v>
      </c>
      <c r="F16" s="50">
        <f t="shared" si="0"/>
        <v>14853</v>
      </c>
      <c r="G16" s="50">
        <f t="shared" si="0"/>
        <v>12</v>
      </c>
      <c r="H16" s="82">
        <f>G16+F16+E16+D16+C16</f>
        <v>47410</v>
      </c>
      <c r="I16" s="12">
        <f>I15-I13</f>
        <v>2684</v>
      </c>
      <c r="J16" s="12">
        <f t="shared" si="1"/>
        <v>8924</v>
      </c>
      <c r="K16" s="12">
        <f t="shared" si="1"/>
        <v>3183</v>
      </c>
      <c r="L16" s="12">
        <f t="shared" si="1"/>
        <v>4380</v>
      </c>
      <c r="M16" s="12">
        <f t="shared" si="1"/>
        <v>10327</v>
      </c>
      <c r="N16" s="12">
        <f t="shared" si="1"/>
        <v>8743</v>
      </c>
      <c r="O16" s="12">
        <f t="shared" si="1"/>
        <v>4127</v>
      </c>
      <c r="P16" s="12">
        <f t="shared" si="1"/>
        <v>2670</v>
      </c>
      <c r="Q16" s="83">
        <f>P16+O16+N16+M16+L16+K16+J16+I16</f>
        <v>45038</v>
      </c>
      <c r="R16" s="14">
        <f>Q16+H16</f>
        <v>92448</v>
      </c>
    </row>
    <row r="17" spans="2:18" ht="17.25" customHeight="1" x14ac:dyDescent="0.25">
      <c r="B17" s="22">
        <v>6</v>
      </c>
      <c r="C17" s="7">
        <v>21867165</v>
      </c>
      <c r="D17" s="47">
        <v>15525400</v>
      </c>
      <c r="E17" s="7">
        <v>28147034</v>
      </c>
      <c r="F17" s="7">
        <v>28088938</v>
      </c>
      <c r="G17" s="7">
        <v>17224638</v>
      </c>
      <c r="H17" s="8"/>
      <c r="I17" s="46">
        <v>6254849</v>
      </c>
      <c r="J17" s="46">
        <v>27388342</v>
      </c>
      <c r="K17" s="46">
        <v>9094239</v>
      </c>
      <c r="L17" s="46">
        <v>13549226</v>
      </c>
      <c r="M17" s="46">
        <v>20448392</v>
      </c>
      <c r="N17" s="46">
        <v>26104495</v>
      </c>
      <c r="O17" s="46">
        <v>8469180</v>
      </c>
      <c r="P17" s="70">
        <v>7623870</v>
      </c>
      <c r="Q17" s="9"/>
      <c r="R17" s="10"/>
    </row>
    <row r="18" spans="2:18" ht="17.25" customHeight="1" x14ac:dyDescent="0.25">
      <c r="B18" s="11" t="s">
        <v>47</v>
      </c>
      <c r="C18" s="50">
        <f>C17-C15</f>
        <v>4</v>
      </c>
      <c r="D18" s="50">
        <f t="shared" si="0"/>
        <v>14494</v>
      </c>
      <c r="E18" s="50">
        <f t="shared" si="0"/>
        <v>19793</v>
      </c>
      <c r="F18" s="50">
        <f t="shared" si="0"/>
        <v>15814</v>
      </c>
      <c r="G18" s="50">
        <f t="shared" si="0"/>
        <v>16</v>
      </c>
      <c r="H18" s="82">
        <f>G18+F18+E18+D18+C18</f>
        <v>50121</v>
      </c>
      <c r="I18" s="12">
        <f>I17-I15</f>
        <v>2759</v>
      </c>
      <c r="J18" s="12">
        <f t="shared" si="1"/>
        <v>9409</v>
      </c>
      <c r="K18" s="12">
        <f t="shared" si="1"/>
        <v>3403</v>
      </c>
      <c r="L18" s="12">
        <f t="shared" si="1"/>
        <v>4548</v>
      </c>
      <c r="M18" s="12">
        <f t="shared" si="1"/>
        <v>10240</v>
      </c>
      <c r="N18" s="12">
        <f t="shared" si="1"/>
        <v>9047</v>
      </c>
      <c r="O18" s="12">
        <f t="shared" si="1"/>
        <v>3671</v>
      </c>
      <c r="P18" s="12">
        <f t="shared" si="1"/>
        <v>2990</v>
      </c>
      <c r="Q18" s="83">
        <f>P18+O18+N18+M18+L18+K18+J18+I18</f>
        <v>46067</v>
      </c>
      <c r="R18" s="14">
        <f>Q18+H18</f>
        <v>96188</v>
      </c>
    </row>
    <row r="19" spans="2:18" ht="17.25" customHeight="1" x14ac:dyDescent="0.25">
      <c r="B19" s="85">
        <v>7</v>
      </c>
      <c r="C19" s="84">
        <v>21867175</v>
      </c>
      <c r="D19" s="47">
        <v>15539291</v>
      </c>
      <c r="E19" s="7">
        <v>28166630</v>
      </c>
      <c r="F19" s="7">
        <v>28107045</v>
      </c>
      <c r="G19" s="7">
        <v>17224652</v>
      </c>
      <c r="H19" s="8"/>
      <c r="I19" s="46">
        <v>6257484</v>
      </c>
      <c r="J19" s="46">
        <v>27397562</v>
      </c>
      <c r="K19" s="46">
        <v>9097597</v>
      </c>
      <c r="L19" s="46">
        <v>13553637</v>
      </c>
      <c r="M19" s="46">
        <v>20458846</v>
      </c>
      <c r="N19" s="46">
        <v>26113393</v>
      </c>
      <c r="O19" s="46">
        <v>8473139</v>
      </c>
      <c r="P19" s="46">
        <v>7626740</v>
      </c>
      <c r="Q19" s="9"/>
      <c r="R19" s="10"/>
    </row>
    <row r="20" spans="2:18" ht="17.25" customHeight="1" x14ac:dyDescent="0.25">
      <c r="B20" s="11" t="s">
        <v>47</v>
      </c>
      <c r="C20" s="50">
        <f>C19-C17</f>
        <v>10</v>
      </c>
      <c r="D20" s="50">
        <f t="shared" si="0"/>
        <v>13891</v>
      </c>
      <c r="E20" s="50">
        <f t="shared" si="0"/>
        <v>19596</v>
      </c>
      <c r="F20" s="50">
        <f t="shared" si="0"/>
        <v>18107</v>
      </c>
      <c r="G20" s="50">
        <f t="shared" si="0"/>
        <v>14</v>
      </c>
      <c r="H20" s="82">
        <f>G20+F20+E20+D20+C20</f>
        <v>51618</v>
      </c>
      <c r="I20" s="12">
        <f>I19-I17</f>
        <v>2635</v>
      </c>
      <c r="J20" s="12">
        <f t="shared" si="1"/>
        <v>9220</v>
      </c>
      <c r="K20" s="12">
        <f t="shared" si="1"/>
        <v>3358</v>
      </c>
      <c r="L20" s="12">
        <f t="shared" si="1"/>
        <v>4411</v>
      </c>
      <c r="M20" s="12">
        <f t="shared" si="1"/>
        <v>10454</v>
      </c>
      <c r="N20" s="12">
        <f t="shared" si="1"/>
        <v>8898</v>
      </c>
      <c r="O20" s="12">
        <f t="shared" si="1"/>
        <v>3959</v>
      </c>
      <c r="P20" s="12">
        <f t="shared" si="1"/>
        <v>2870</v>
      </c>
      <c r="Q20" s="83">
        <f>P20+O20+N20+M20+L20+K20+J20+I20</f>
        <v>45805</v>
      </c>
      <c r="R20" s="14">
        <f>Q20+H20</f>
        <v>97423</v>
      </c>
    </row>
    <row r="21" spans="2:18" ht="17.25" customHeight="1" x14ac:dyDescent="0.25">
      <c r="B21" s="22">
        <v>8</v>
      </c>
      <c r="C21" s="7">
        <v>21867180</v>
      </c>
      <c r="D21" s="7">
        <v>15553247</v>
      </c>
      <c r="E21" s="7">
        <v>28186343</v>
      </c>
      <c r="F21" s="7">
        <v>28125199</v>
      </c>
      <c r="G21" s="7">
        <v>17224665</v>
      </c>
      <c r="H21" s="8"/>
      <c r="I21" s="56">
        <v>6260052</v>
      </c>
      <c r="J21" s="56">
        <v>27406911</v>
      </c>
      <c r="K21" s="57">
        <v>9101053</v>
      </c>
      <c r="L21" s="57">
        <v>13558138</v>
      </c>
      <c r="M21" s="57">
        <v>20469491</v>
      </c>
      <c r="N21" s="56">
        <v>26122260</v>
      </c>
      <c r="O21" s="56">
        <v>8477763</v>
      </c>
      <c r="P21" s="57">
        <v>7629700</v>
      </c>
      <c r="Q21" s="9"/>
      <c r="R21" s="10"/>
    </row>
    <row r="22" spans="2:18" ht="17.25" customHeight="1" x14ac:dyDescent="0.25">
      <c r="B22" s="11" t="s">
        <v>47</v>
      </c>
      <c r="C22" s="50">
        <f>C21-C19</f>
        <v>5</v>
      </c>
      <c r="D22" s="50">
        <f t="shared" si="0"/>
        <v>13956</v>
      </c>
      <c r="E22" s="50">
        <f t="shared" si="0"/>
        <v>19713</v>
      </c>
      <c r="F22" s="50">
        <f t="shared" si="0"/>
        <v>18154</v>
      </c>
      <c r="G22" s="50">
        <f t="shared" si="0"/>
        <v>13</v>
      </c>
      <c r="H22" s="82">
        <f>G22+F22+E22+D22+C22</f>
        <v>51841</v>
      </c>
      <c r="I22" s="12">
        <f>I21-I19</f>
        <v>2568</v>
      </c>
      <c r="J22" s="12">
        <f t="shared" si="1"/>
        <v>9349</v>
      </c>
      <c r="K22" s="12">
        <f t="shared" si="1"/>
        <v>3456</v>
      </c>
      <c r="L22" s="12">
        <f t="shared" si="1"/>
        <v>4501</v>
      </c>
      <c r="M22" s="12">
        <f t="shared" si="1"/>
        <v>10645</v>
      </c>
      <c r="N22" s="12">
        <f t="shared" si="1"/>
        <v>8867</v>
      </c>
      <c r="O22" s="12">
        <f t="shared" si="1"/>
        <v>4624</v>
      </c>
      <c r="P22" s="12">
        <f t="shared" si="1"/>
        <v>2960</v>
      </c>
      <c r="Q22" s="83">
        <f>P22+O22+N22+M22+L22+K22+J22+I22</f>
        <v>46970</v>
      </c>
      <c r="R22" s="14">
        <f>Q22+H22</f>
        <v>98811</v>
      </c>
    </row>
    <row r="23" spans="2:18" ht="17.25" customHeight="1" x14ac:dyDescent="0.25">
      <c r="B23" s="22">
        <v>9</v>
      </c>
      <c r="C23" s="7">
        <v>21867185</v>
      </c>
      <c r="D23" s="7">
        <v>15566964</v>
      </c>
      <c r="E23" s="7">
        <v>28205864</v>
      </c>
      <c r="F23" s="7">
        <v>28143202</v>
      </c>
      <c r="G23" s="7">
        <v>17224681</v>
      </c>
      <c r="H23" s="8"/>
      <c r="I23" s="46">
        <v>6262630</v>
      </c>
      <c r="J23" s="46">
        <v>27416412</v>
      </c>
      <c r="K23" s="46">
        <v>9104803</v>
      </c>
      <c r="L23" s="46">
        <v>13562670</v>
      </c>
      <c r="M23" s="46">
        <v>20480095</v>
      </c>
      <c r="N23" s="46">
        <v>26131193</v>
      </c>
      <c r="O23" s="46">
        <v>8482146</v>
      </c>
      <c r="P23" s="46">
        <v>7632810</v>
      </c>
      <c r="Q23" s="9"/>
      <c r="R23" s="10"/>
    </row>
    <row r="24" spans="2:18" ht="17.25" customHeight="1" x14ac:dyDescent="0.25">
      <c r="B24" s="11" t="s">
        <v>47</v>
      </c>
      <c r="C24" s="50">
        <f>C23-C21</f>
        <v>5</v>
      </c>
      <c r="D24" s="50">
        <f t="shared" si="0"/>
        <v>13717</v>
      </c>
      <c r="E24" s="50">
        <f t="shared" si="0"/>
        <v>19521</v>
      </c>
      <c r="F24" s="50">
        <f t="shared" si="0"/>
        <v>18003</v>
      </c>
      <c r="G24" s="50">
        <f t="shared" si="0"/>
        <v>16</v>
      </c>
      <c r="H24" s="82">
        <f>G24+F24+E24+D24+C24</f>
        <v>51262</v>
      </c>
      <c r="I24" s="12">
        <f>I23-I21</f>
        <v>2578</v>
      </c>
      <c r="J24" s="12">
        <f t="shared" si="1"/>
        <v>9501</v>
      </c>
      <c r="K24" s="12">
        <f t="shared" si="1"/>
        <v>3750</v>
      </c>
      <c r="L24" s="12">
        <f t="shared" si="1"/>
        <v>4532</v>
      </c>
      <c r="M24" s="12">
        <f t="shared" si="1"/>
        <v>10604</v>
      </c>
      <c r="N24" s="12">
        <f t="shared" si="1"/>
        <v>8933</v>
      </c>
      <c r="O24" s="12">
        <f t="shared" si="1"/>
        <v>4383</v>
      </c>
      <c r="P24" s="12">
        <f t="shared" si="1"/>
        <v>3110</v>
      </c>
      <c r="Q24" s="83">
        <f>P24+O24+N24+M24+L24+K24+J24+I24</f>
        <v>47391</v>
      </c>
      <c r="R24" s="14">
        <f>Q24+H24</f>
        <v>98653</v>
      </c>
    </row>
    <row r="25" spans="2:18" ht="17.25" customHeight="1" x14ac:dyDescent="0.25">
      <c r="B25" s="22">
        <v>10</v>
      </c>
      <c r="C25" s="7">
        <v>21867191</v>
      </c>
      <c r="D25" s="7">
        <v>15580475</v>
      </c>
      <c r="E25" s="7">
        <v>28225084</v>
      </c>
      <c r="F25" s="7">
        <v>28160886</v>
      </c>
      <c r="G25" s="7">
        <v>17224694</v>
      </c>
      <c r="H25" s="8"/>
      <c r="I25" s="56">
        <v>6265124</v>
      </c>
      <c r="J25" s="56">
        <v>27425693</v>
      </c>
      <c r="K25" s="57">
        <v>9108178</v>
      </c>
      <c r="L25" s="57">
        <v>13567079</v>
      </c>
      <c r="M25" s="56">
        <v>20490565</v>
      </c>
      <c r="N25" s="56">
        <v>26139962</v>
      </c>
      <c r="O25" s="56">
        <v>8486350</v>
      </c>
      <c r="P25" s="57">
        <v>7635460</v>
      </c>
      <c r="Q25" s="9"/>
      <c r="R25" s="10"/>
    </row>
    <row r="26" spans="2:18" ht="17.25" customHeight="1" x14ac:dyDescent="0.25">
      <c r="B26" s="11" t="s">
        <v>47</v>
      </c>
      <c r="C26" s="50">
        <f>C25-C23</f>
        <v>6</v>
      </c>
      <c r="D26" s="50">
        <f t="shared" si="0"/>
        <v>13511</v>
      </c>
      <c r="E26" s="50">
        <f t="shared" si="0"/>
        <v>19220</v>
      </c>
      <c r="F26" s="50">
        <f t="shared" si="0"/>
        <v>17684</v>
      </c>
      <c r="G26" s="50">
        <f t="shared" si="0"/>
        <v>13</v>
      </c>
      <c r="H26" s="82">
        <f>G26+F26+E26+D26+C26</f>
        <v>50434</v>
      </c>
      <c r="I26" s="12">
        <f>I25-I23</f>
        <v>2494</v>
      </c>
      <c r="J26" s="12">
        <f t="shared" si="1"/>
        <v>9281</v>
      </c>
      <c r="K26" s="12">
        <f t="shared" si="1"/>
        <v>3375</v>
      </c>
      <c r="L26" s="12">
        <f t="shared" si="1"/>
        <v>4409</v>
      </c>
      <c r="M26" s="12">
        <f t="shared" si="1"/>
        <v>10470</v>
      </c>
      <c r="N26" s="12">
        <f t="shared" si="1"/>
        <v>8769</v>
      </c>
      <c r="O26" s="12">
        <f t="shared" si="1"/>
        <v>4204</v>
      </c>
      <c r="P26" s="12">
        <f t="shared" si="1"/>
        <v>2650</v>
      </c>
      <c r="Q26" s="83">
        <f>P26+O26+N26+M26+L26+K26+J26+I26</f>
        <v>45652</v>
      </c>
      <c r="R26" s="14">
        <f>Q26+H26</f>
        <v>96086</v>
      </c>
    </row>
    <row r="27" spans="2:18" ht="17.25" customHeight="1" x14ac:dyDescent="0.25">
      <c r="B27" s="22">
        <v>11</v>
      </c>
      <c r="C27" s="56"/>
      <c r="D27" s="57"/>
      <c r="E27" s="57"/>
      <c r="F27" s="57"/>
      <c r="G27" s="57"/>
      <c r="H27" s="58"/>
      <c r="I27" s="57"/>
      <c r="J27" s="57"/>
      <c r="K27" s="57"/>
      <c r="L27" s="57"/>
      <c r="M27" s="59"/>
      <c r="N27" s="57"/>
      <c r="O27" s="57"/>
      <c r="P27" s="57"/>
      <c r="Q27" s="9"/>
      <c r="R27" s="10"/>
    </row>
    <row r="28" spans="2:18" ht="17.25" customHeight="1" x14ac:dyDescent="0.25">
      <c r="B28" s="11" t="s">
        <v>47</v>
      </c>
      <c r="C28" s="50"/>
      <c r="D28" s="50"/>
      <c r="E28" s="50"/>
      <c r="F28" s="50"/>
      <c r="G28" s="50"/>
      <c r="H28" s="8"/>
      <c r="I28" s="12"/>
      <c r="J28" s="12"/>
      <c r="K28" s="12"/>
      <c r="L28" s="12"/>
      <c r="M28" s="12"/>
      <c r="N28" s="12"/>
      <c r="O28" s="12"/>
      <c r="P28" s="12"/>
      <c r="Q28" s="13"/>
      <c r="R28" s="14"/>
    </row>
    <row r="29" spans="2:18" ht="17.25" customHeight="1" x14ac:dyDescent="0.25">
      <c r="B29" s="22">
        <v>12</v>
      </c>
      <c r="C29" s="56"/>
      <c r="D29" s="57"/>
      <c r="E29" s="57"/>
      <c r="F29" s="57"/>
      <c r="G29" s="57"/>
      <c r="H29" s="58"/>
      <c r="I29" s="57"/>
      <c r="J29" s="57"/>
      <c r="K29" s="57"/>
      <c r="L29" s="57"/>
      <c r="M29" s="57"/>
      <c r="N29" s="57"/>
      <c r="O29" s="57"/>
      <c r="P29" s="57"/>
      <c r="Q29" s="9"/>
      <c r="R29" s="10"/>
    </row>
    <row r="30" spans="2:18" ht="17.25" customHeight="1" x14ac:dyDescent="0.25">
      <c r="B30" s="11" t="s">
        <v>47</v>
      </c>
      <c r="C30" s="50"/>
      <c r="D30" s="50"/>
      <c r="E30" s="50"/>
      <c r="F30" s="50"/>
      <c r="G30" s="50"/>
      <c r="H30" s="8"/>
      <c r="I30" s="12"/>
      <c r="J30" s="71"/>
      <c r="K30" s="12"/>
      <c r="L30" s="12"/>
      <c r="M30" s="12"/>
      <c r="N30" s="12"/>
      <c r="O30" s="12"/>
      <c r="P30" s="12"/>
      <c r="Q30" s="13"/>
      <c r="R30" s="14"/>
    </row>
    <row r="31" spans="2:18" ht="17.25" customHeight="1" x14ac:dyDescent="0.25">
      <c r="B31" s="22">
        <v>13</v>
      </c>
      <c r="C31" s="56"/>
      <c r="D31" s="57"/>
      <c r="E31" s="57"/>
      <c r="F31" s="57"/>
      <c r="G31" s="57"/>
      <c r="H31" s="58"/>
      <c r="I31" s="57"/>
      <c r="J31" s="57"/>
      <c r="K31" s="57"/>
      <c r="L31" s="57"/>
      <c r="M31" s="57"/>
      <c r="N31" s="57"/>
      <c r="O31" s="57"/>
      <c r="P31" s="57"/>
      <c r="Q31" s="9"/>
      <c r="R31" s="10"/>
    </row>
    <row r="32" spans="2:18" ht="17.25" customHeight="1" x14ac:dyDescent="0.25">
      <c r="B32" s="11" t="s">
        <v>47</v>
      </c>
      <c r="C32" s="50"/>
      <c r="D32" s="50"/>
      <c r="E32" s="50"/>
      <c r="F32" s="50"/>
      <c r="G32" s="50"/>
      <c r="H32" s="8"/>
      <c r="I32" s="12"/>
      <c r="J32" s="71"/>
      <c r="K32" s="12"/>
      <c r="L32" s="12"/>
      <c r="M32" s="12"/>
      <c r="N32" s="12"/>
      <c r="O32" s="12"/>
      <c r="P32" s="12"/>
      <c r="Q32" s="13"/>
      <c r="R32" s="14"/>
    </row>
    <row r="33" spans="2:18" ht="17.25" customHeight="1" x14ac:dyDescent="0.25">
      <c r="B33" s="22">
        <v>14</v>
      </c>
      <c r="C33" s="56"/>
      <c r="D33" s="57"/>
      <c r="E33" s="57"/>
      <c r="F33" s="57"/>
      <c r="G33" s="57"/>
      <c r="H33" s="58"/>
      <c r="I33" s="57"/>
      <c r="J33" s="57"/>
      <c r="K33" s="57"/>
      <c r="L33" s="57"/>
      <c r="M33" s="57"/>
      <c r="N33" s="57"/>
      <c r="O33" s="57"/>
      <c r="P33" s="57"/>
      <c r="Q33" s="9"/>
      <c r="R33" s="10"/>
    </row>
    <row r="34" spans="2:18" ht="17.25" customHeight="1" x14ac:dyDescent="0.25">
      <c r="B34" s="11" t="s">
        <v>47</v>
      </c>
      <c r="C34" s="50"/>
      <c r="D34" s="50"/>
      <c r="E34" s="50"/>
      <c r="F34" s="50"/>
      <c r="G34" s="50"/>
      <c r="H34" s="8"/>
      <c r="I34" s="12"/>
      <c r="J34" s="12"/>
      <c r="K34" s="12"/>
      <c r="L34" s="12"/>
      <c r="M34" s="12"/>
      <c r="N34" s="12"/>
      <c r="O34" s="12"/>
      <c r="P34" s="12"/>
      <c r="Q34" s="13"/>
      <c r="R34" s="14"/>
    </row>
    <row r="35" spans="2:18" ht="17.25" customHeight="1" x14ac:dyDescent="0.25">
      <c r="B35" s="22">
        <v>15</v>
      </c>
      <c r="C35" s="56"/>
      <c r="D35" s="57"/>
      <c r="E35" s="57"/>
      <c r="F35" s="57"/>
      <c r="G35" s="57"/>
      <c r="H35" s="8"/>
      <c r="I35" s="56"/>
      <c r="J35" s="57"/>
      <c r="K35" s="57"/>
      <c r="L35" s="57"/>
      <c r="M35" s="57"/>
      <c r="N35" s="57"/>
      <c r="O35" s="57"/>
      <c r="P35" s="57"/>
      <c r="Q35" s="9"/>
      <c r="R35" s="10"/>
    </row>
    <row r="36" spans="2:18" ht="17.25" customHeight="1" x14ac:dyDescent="0.25">
      <c r="B36" s="11" t="s">
        <v>47</v>
      </c>
      <c r="C36" s="50"/>
      <c r="D36" s="50"/>
      <c r="E36" s="50"/>
      <c r="F36" s="50"/>
      <c r="G36" s="50"/>
      <c r="H36" s="8"/>
      <c r="I36" s="12"/>
      <c r="J36" s="12"/>
      <c r="K36" s="12"/>
      <c r="L36" s="12"/>
      <c r="M36" s="12"/>
      <c r="N36" s="12"/>
      <c r="O36" s="12"/>
      <c r="P36" s="12"/>
      <c r="Q36" s="13"/>
      <c r="R36" s="14"/>
    </row>
    <row r="37" spans="2:18" ht="17.25" customHeight="1" x14ac:dyDescent="0.25">
      <c r="B37" s="22">
        <v>16</v>
      </c>
      <c r="C37" s="56"/>
      <c r="D37" s="57"/>
      <c r="E37" s="57"/>
      <c r="F37" s="57"/>
      <c r="G37" s="57"/>
      <c r="H37" s="8"/>
      <c r="I37" s="56"/>
      <c r="J37" s="57"/>
      <c r="K37" s="57"/>
      <c r="L37" s="57"/>
      <c r="M37" s="57"/>
      <c r="N37" s="57"/>
      <c r="O37" s="57"/>
      <c r="P37" s="57"/>
      <c r="Q37" s="9"/>
      <c r="R37" s="10"/>
    </row>
    <row r="38" spans="2:18" ht="17.25" customHeight="1" x14ac:dyDescent="0.25">
      <c r="B38" s="11" t="s">
        <v>47</v>
      </c>
      <c r="C38" s="50"/>
      <c r="D38" s="50"/>
      <c r="E38" s="50"/>
      <c r="F38" s="50"/>
      <c r="G38" s="50"/>
      <c r="H38" s="8"/>
      <c r="I38" s="12"/>
      <c r="J38" s="12"/>
      <c r="K38" s="12"/>
      <c r="L38" s="12"/>
      <c r="M38" s="12"/>
      <c r="N38" s="12"/>
      <c r="O38" s="12"/>
      <c r="P38" s="12"/>
      <c r="Q38" s="13"/>
      <c r="R38" s="14"/>
    </row>
    <row r="39" spans="2:18" ht="17.25" customHeight="1" x14ac:dyDescent="0.25">
      <c r="B39" s="22">
        <v>17</v>
      </c>
      <c r="C39" s="56"/>
      <c r="D39" s="57"/>
      <c r="E39" s="57"/>
      <c r="F39" s="57"/>
      <c r="G39" s="57"/>
      <c r="H39" s="58"/>
      <c r="I39" s="56"/>
      <c r="J39" s="57"/>
      <c r="K39" s="57"/>
      <c r="L39" s="57"/>
      <c r="M39" s="57"/>
      <c r="N39" s="57"/>
      <c r="O39" s="57"/>
      <c r="P39" s="57"/>
      <c r="Q39" s="9"/>
      <c r="R39" s="10"/>
    </row>
    <row r="40" spans="2:18" ht="17.25" customHeight="1" x14ac:dyDescent="0.25">
      <c r="B40" s="11" t="s">
        <v>47</v>
      </c>
      <c r="C40" s="50"/>
      <c r="D40" s="50"/>
      <c r="E40" s="50"/>
      <c r="F40" s="50"/>
      <c r="G40" s="50"/>
      <c r="H40" s="8"/>
      <c r="I40" s="12"/>
      <c r="J40" s="12"/>
      <c r="K40" s="12"/>
      <c r="L40" s="12"/>
      <c r="M40" s="12"/>
      <c r="N40" s="12"/>
      <c r="O40" s="12"/>
      <c r="P40" s="12"/>
      <c r="Q40" s="13"/>
      <c r="R40" s="14"/>
    </row>
    <row r="41" spans="2:18" ht="17.25" customHeight="1" x14ac:dyDescent="0.25">
      <c r="B41" s="22">
        <v>18</v>
      </c>
      <c r="C41" s="56"/>
      <c r="D41" s="57"/>
      <c r="E41" s="57"/>
      <c r="F41" s="57"/>
      <c r="G41" s="57"/>
      <c r="H41" s="58"/>
      <c r="I41" s="57"/>
      <c r="J41" s="57"/>
      <c r="K41" s="57"/>
      <c r="L41" s="57"/>
      <c r="M41" s="57"/>
      <c r="N41" s="57"/>
      <c r="O41" s="57"/>
      <c r="P41" s="57"/>
      <c r="Q41" s="9"/>
      <c r="R41" s="10"/>
    </row>
    <row r="42" spans="2:18" ht="17.25" customHeight="1" x14ac:dyDescent="0.25">
      <c r="B42" s="11" t="s">
        <v>47</v>
      </c>
      <c r="C42" s="50"/>
      <c r="D42" s="50"/>
      <c r="E42" s="50"/>
      <c r="F42" s="50"/>
      <c r="G42" s="50"/>
      <c r="H42" s="8"/>
      <c r="I42" s="12"/>
      <c r="J42" s="12"/>
      <c r="K42" s="12"/>
      <c r="L42" s="12"/>
      <c r="M42" s="12"/>
      <c r="N42" s="12"/>
      <c r="O42" s="12"/>
      <c r="P42" s="12"/>
      <c r="Q42" s="13"/>
      <c r="R42" s="14"/>
    </row>
    <row r="43" spans="2:18" ht="17.25" customHeight="1" x14ac:dyDescent="0.25">
      <c r="B43" s="22">
        <v>19</v>
      </c>
      <c r="C43" s="56"/>
      <c r="D43" s="57"/>
      <c r="E43" s="57"/>
      <c r="F43" s="57"/>
      <c r="G43" s="57"/>
      <c r="H43" s="58"/>
      <c r="I43" s="57"/>
      <c r="J43" s="57"/>
      <c r="K43" s="57"/>
      <c r="L43" s="57"/>
      <c r="M43" s="57"/>
      <c r="N43" s="57"/>
      <c r="O43" s="57"/>
      <c r="P43" s="57"/>
      <c r="Q43" s="9"/>
      <c r="R43" s="10"/>
    </row>
    <row r="44" spans="2:18" ht="17.25" customHeight="1" x14ac:dyDescent="0.25">
      <c r="B44" s="11" t="s">
        <v>47</v>
      </c>
      <c r="C44" s="50"/>
      <c r="D44" s="50"/>
      <c r="E44" s="50"/>
      <c r="F44" s="50"/>
      <c r="G44" s="50"/>
      <c r="H44" s="8"/>
      <c r="I44" s="12"/>
      <c r="J44" s="12"/>
      <c r="K44" s="12"/>
      <c r="L44" s="12"/>
      <c r="M44" s="12"/>
      <c r="N44" s="12"/>
      <c r="O44" s="12"/>
      <c r="P44" s="12"/>
      <c r="Q44" s="13"/>
      <c r="R44" s="14"/>
    </row>
    <row r="45" spans="2:18" ht="17.25" customHeight="1" x14ac:dyDescent="0.25">
      <c r="B45" s="22">
        <v>20</v>
      </c>
      <c r="C45" s="61"/>
      <c r="D45" s="56"/>
      <c r="E45" s="57"/>
      <c r="F45" s="57"/>
      <c r="G45" s="57"/>
      <c r="H45" s="8"/>
      <c r="I45" s="7"/>
      <c r="J45" s="7"/>
      <c r="K45" s="7"/>
      <c r="L45" s="7"/>
      <c r="M45" s="7"/>
      <c r="N45" s="7"/>
      <c r="O45" s="7"/>
      <c r="P45" s="7"/>
      <c r="Q45" s="9"/>
      <c r="R45" s="10"/>
    </row>
    <row r="46" spans="2:18" ht="17.25" customHeight="1" x14ac:dyDescent="0.25">
      <c r="B46" s="11" t="s">
        <v>47</v>
      </c>
      <c r="C46" s="50"/>
      <c r="D46" s="50"/>
      <c r="E46" s="50"/>
      <c r="F46" s="50"/>
      <c r="G46" s="50"/>
      <c r="H46" s="8"/>
      <c r="I46" s="12"/>
      <c r="J46" s="12"/>
      <c r="K46" s="12"/>
      <c r="L46" s="12"/>
      <c r="M46" s="12"/>
      <c r="N46" s="12"/>
      <c r="O46" s="12"/>
      <c r="P46" s="12"/>
      <c r="Q46" s="13"/>
      <c r="R46" s="14"/>
    </row>
    <row r="47" spans="2:18" ht="17.25" customHeight="1" x14ac:dyDescent="0.25">
      <c r="B47" s="22">
        <v>21</v>
      </c>
      <c r="C47" s="56"/>
      <c r="D47" s="57"/>
      <c r="E47" s="57"/>
      <c r="F47" s="57"/>
      <c r="G47" s="57"/>
      <c r="H47" s="58"/>
      <c r="I47" s="57"/>
      <c r="J47" s="57"/>
      <c r="K47" s="57"/>
      <c r="L47" s="57"/>
      <c r="M47" s="57"/>
      <c r="N47" s="57"/>
      <c r="O47" s="57"/>
      <c r="P47" s="57"/>
      <c r="Q47" s="9"/>
      <c r="R47" s="10"/>
    </row>
    <row r="48" spans="2:18" ht="17.25" customHeight="1" x14ac:dyDescent="0.25">
      <c r="B48" s="11" t="s">
        <v>47</v>
      </c>
      <c r="C48" s="50"/>
      <c r="D48" s="50"/>
      <c r="E48" s="50"/>
      <c r="F48" s="50"/>
      <c r="G48" s="50"/>
      <c r="H48" s="8"/>
      <c r="I48" s="12"/>
      <c r="J48" s="12"/>
      <c r="K48" s="12"/>
      <c r="L48" s="12"/>
      <c r="M48" s="12"/>
      <c r="N48" s="12"/>
      <c r="O48" s="12"/>
      <c r="P48" s="12"/>
      <c r="Q48" s="13"/>
      <c r="R48" s="14"/>
    </row>
    <row r="49" spans="2:18" ht="17.25" customHeight="1" x14ac:dyDescent="0.25">
      <c r="B49" s="22">
        <v>22</v>
      </c>
      <c r="C49" s="74"/>
      <c r="D49" s="75"/>
      <c r="E49" s="75"/>
      <c r="F49" s="75"/>
      <c r="G49" s="75"/>
      <c r="H49" s="73"/>
      <c r="I49" s="75"/>
      <c r="J49" s="75"/>
      <c r="K49" s="75"/>
      <c r="L49" s="75"/>
      <c r="M49" s="75"/>
      <c r="N49" s="75"/>
      <c r="O49" s="75"/>
      <c r="P49" s="75"/>
      <c r="Q49" s="9"/>
      <c r="R49" s="10"/>
    </row>
    <row r="50" spans="2:18" ht="17.25" customHeight="1" x14ac:dyDescent="0.25">
      <c r="B50" s="11" t="s">
        <v>47</v>
      </c>
      <c r="C50" s="50"/>
      <c r="D50" s="50"/>
      <c r="E50" s="50"/>
      <c r="F50" s="50"/>
      <c r="G50" s="50"/>
      <c r="H50" s="8"/>
      <c r="I50" s="12"/>
      <c r="J50" s="12"/>
      <c r="K50" s="12"/>
      <c r="L50" s="12"/>
      <c r="M50" s="12"/>
      <c r="N50" s="12"/>
      <c r="O50" s="12"/>
      <c r="P50" s="12"/>
      <c r="Q50" s="13"/>
      <c r="R50" s="14"/>
    </row>
    <row r="51" spans="2:18" ht="17.25" customHeight="1" x14ac:dyDescent="0.25">
      <c r="B51" s="22">
        <v>23</v>
      </c>
      <c r="C51" s="74"/>
      <c r="D51" s="75"/>
      <c r="E51" s="75"/>
      <c r="F51" s="75"/>
      <c r="G51" s="75"/>
      <c r="H51" s="73"/>
      <c r="I51" s="75"/>
      <c r="J51" s="75"/>
      <c r="K51" s="75"/>
      <c r="L51" s="75"/>
      <c r="M51" s="75"/>
      <c r="N51" s="75"/>
      <c r="O51" s="75"/>
      <c r="P51" s="75"/>
      <c r="Q51" s="9"/>
      <c r="R51" s="10"/>
    </row>
    <row r="52" spans="2:18" ht="17.25" customHeight="1" x14ac:dyDescent="0.25">
      <c r="B52" s="11" t="s">
        <v>47</v>
      </c>
      <c r="C52" s="50"/>
      <c r="D52" s="50"/>
      <c r="E52" s="50"/>
      <c r="F52" s="50"/>
      <c r="G52" s="50"/>
      <c r="H52" s="8"/>
      <c r="I52" s="12"/>
      <c r="J52" s="12"/>
      <c r="K52" s="12"/>
      <c r="L52" s="12"/>
      <c r="M52" s="12"/>
      <c r="N52" s="12"/>
      <c r="O52" s="12"/>
      <c r="P52" s="12"/>
      <c r="Q52" s="13"/>
      <c r="R52" s="14"/>
    </row>
    <row r="53" spans="2:18" ht="17.25" customHeight="1" x14ac:dyDescent="0.25">
      <c r="B53" s="22">
        <v>24</v>
      </c>
      <c r="C53" s="74"/>
      <c r="D53" s="76"/>
      <c r="E53" s="76"/>
      <c r="F53" s="76"/>
      <c r="G53" s="76"/>
      <c r="H53" s="73"/>
      <c r="I53" s="75"/>
      <c r="J53" s="75"/>
      <c r="K53" s="75"/>
      <c r="L53" s="75"/>
      <c r="M53" s="75"/>
      <c r="N53" s="75"/>
      <c r="O53" s="75"/>
      <c r="P53" s="75"/>
      <c r="Q53" s="9"/>
      <c r="R53" s="10"/>
    </row>
    <row r="54" spans="2:18" ht="17.25" customHeight="1" x14ac:dyDescent="0.25">
      <c r="B54" s="11" t="s">
        <v>47</v>
      </c>
      <c r="C54" s="50"/>
      <c r="D54" s="50"/>
      <c r="E54" s="50"/>
      <c r="F54" s="50"/>
      <c r="G54" s="50"/>
      <c r="H54" s="8"/>
      <c r="I54" s="12"/>
      <c r="J54" s="12"/>
      <c r="K54" s="12"/>
      <c r="L54" s="12"/>
      <c r="M54" s="12"/>
      <c r="N54" s="12"/>
      <c r="O54" s="12"/>
      <c r="P54" s="12"/>
      <c r="Q54" s="13"/>
      <c r="R54" s="14"/>
    </row>
    <row r="55" spans="2:18" ht="17.25" customHeight="1" x14ac:dyDescent="0.25">
      <c r="B55" s="22">
        <v>25</v>
      </c>
      <c r="C55" s="74"/>
      <c r="D55" s="75"/>
      <c r="E55" s="61"/>
      <c r="F55" s="74"/>
      <c r="G55" s="75"/>
      <c r="H55" s="73"/>
      <c r="I55" s="75"/>
      <c r="J55" s="75"/>
      <c r="K55" s="75"/>
      <c r="L55" s="75"/>
      <c r="M55" s="75"/>
      <c r="N55" s="75"/>
      <c r="O55" s="75"/>
      <c r="P55" s="75"/>
      <c r="Q55" s="9"/>
      <c r="R55" s="10"/>
    </row>
    <row r="56" spans="2:18" ht="17.25" customHeight="1" x14ac:dyDescent="0.25">
      <c r="B56" s="11" t="s">
        <v>47</v>
      </c>
      <c r="C56" s="50"/>
      <c r="D56" s="50"/>
      <c r="E56" s="50"/>
      <c r="F56" s="50"/>
      <c r="G56" s="50"/>
      <c r="H56" s="8"/>
      <c r="I56" s="12"/>
      <c r="J56" s="12"/>
      <c r="K56" s="12"/>
      <c r="L56" s="12"/>
      <c r="M56" s="12"/>
      <c r="N56" s="12"/>
      <c r="O56" s="12"/>
      <c r="P56" s="12"/>
      <c r="Q56" s="13"/>
      <c r="R56" s="14"/>
    </row>
    <row r="57" spans="2:18" ht="17.25" customHeight="1" x14ac:dyDescent="0.25">
      <c r="B57" s="22">
        <v>26</v>
      </c>
      <c r="C57" s="74"/>
      <c r="D57" s="75"/>
      <c r="E57" s="75"/>
      <c r="F57" s="75"/>
      <c r="G57" s="75"/>
      <c r="H57" s="73"/>
      <c r="I57" s="75"/>
      <c r="J57" s="75"/>
      <c r="K57" s="75"/>
      <c r="L57" s="75"/>
      <c r="M57" s="75"/>
      <c r="N57" s="75"/>
      <c r="O57" s="75"/>
      <c r="P57" s="75"/>
      <c r="Q57" s="9"/>
      <c r="R57" s="10"/>
    </row>
    <row r="58" spans="2:18" ht="17.25" customHeight="1" x14ac:dyDescent="0.25">
      <c r="B58" s="11" t="s">
        <v>47</v>
      </c>
      <c r="C58" s="50"/>
      <c r="D58" s="50"/>
      <c r="E58" s="50"/>
      <c r="F58" s="50"/>
      <c r="G58" s="50"/>
      <c r="H58" s="8"/>
      <c r="I58" s="12"/>
      <c r="J58" s="12"/>
      <c r="K58" s="12"/>
      <c r="L58" s="12"/>
      <c r="M58" s="12"/>
      <c r="N58" s="12"/>
      <c r="O58" s="12"/>
      <c r="P58" s="12"/>
      <c r="Q58" s="13"/>
      <c r="R58" s="14"/>
    </row>
    <row r="59" spans="2:18" ht="17.25" customHeight="1" x14ac:dyDescent="0.25">
      <c r="B59" s="22">
        <v>27</v>
      </c>
      <c r="C59" s="66"/>
      <c r="D59" s="67"/>
      <c r="E59" s="67"/>
      <c r="F59" s="67"/>
      <c r="G59" s="67"/>
      <c r="H59" s="73"/>
      <c r="I59" s="67"/>
      <c r="J59" s="67"/>
      <c r="K59" s="67"/>
      <c r="L59" s="67"/>
      <c r="M59" s="67"/>
      <c r="N59" s="67"/>
      <c r="O59" s="67"/>
      <c r="P59" s="67"/>
      <c r="Q59" s="9"/>
      <c r="R59" s="10"/>
    </row>
    <row r="60" spans="2:18" ht="17.25" customHeight="1" x14ac:dyDescent="0.25">
      <c r="B60" s="11" t="s">
        <v>47</v>
      </c>
      <c r="C60" s="50"/>
      <c r="D60" s="50"/>
      <c r="E60" s="50"/>
      <c r="F60" s="50"/>
      <c r="G60" s="50"/>
      <c r="H60" s="8"/>
      <c r="I60" s="12"/>
      <c r="J60" s="12"/>
      <c r="K60" s="12"/>
      <c r="L60" s="12"/>
      <c r="M60" s="12"/>
      <c r="N60" s="12"/>
      <c r="O60" s="12"/>
      <c r="P60" s="12"/>
      <c r="Q60" s="13"/>
      <c r="R60" s="14"/>
    </row>
    <row r="61" spans="2:18" ht="17.25" customHeight="1" x14ac:dyDescent="0.25">
      <c r="B61" s="22">
        <v>28</v>
      </c>
      <c r="C61" s="74"/>
      <c r="D61" s="75"/>
      <c r="E61" s="75"/>
      <c r="F61" s="75"/>
      <c r="G61" s="75"/>
      <c r="H61" s="73"/>
      <c r="I61" s="75"/>
      <c r="J61" s="75"/>
      <c r="K61" s="75"/>
      <c r="L61" s="76"/>
      <c r="M61" s="75"/>
      <c r="N61" s="75"/>
      <c r="O61" s="75"/>
      <c r="P61" s="75"/>
      <c r="Q61" s="9"/>
      <c r="R61" s="10"/>
    </row>
    <row r="62" spans="2:18" ht="17.25" customHeight="1" x14ac:dyDescent="0.25">
      <c r="B62" s="11" t="s">
        <v>47</v>
      </c>
      <c r="C62" s="50"/>
      <c r="D62" s="50"/>
      <c r="E62" s="50"/>
      <c r="F62" s="50"/>
      <c r="G62" s="50"/>
      <c r="H62" s="8"/>
      <c r="I62" s="12"/>
      <c r="J62" s="12"/>
      <c r="K62" s="12"/>
      <c r="L62" s="12"/>
      <c r="M62" s="12"/>
      <c r="N62" s="12"/>
      <c r="O62" s="12"/>
      <c r="P62" s="12"/>
      <c r="Q62" s="13"/>
      <c r="R62" s="14"/>
    </row>
    <row r="63" spans="2:18" ht="17.25" customHeight="1" x14ac:dyDescent="0.25">
      <c r="B63" s="22">
        <v>29</v>
      </c>
      <c r="C63" s="74"/>
      <c r="D63" s="75"/>
      <c r="E63" s="75"/>
      <c r="F63" s="75"/>
      <c r="G63" s="75"/>
      <c r="H63" s="73"/>
      <c r="I63" s="75"/>
      <c r="J63" s="75"/>
      <c r="K63" s="75"/>
      <c r="L63" s="76"/>
      <c r="M63" s="75"/>
      <c r="N63" s="75"/>
      <c r="O63" s="75"/>
      <c r="P63" s="75"/>
      <c r="Q63" s="9"/>
      <c r="R63" s="10"/>
    </row>
    <row r="64" spans="2:18" ht="17.25" customHeight="1" x14ac:dyDescent="0.25">
      <c r="B64" s="11" t="s">
        <v>47</v>
      </c>
      <c r="C64" s="50"/>
      <c r="D64" s="50"/>
      <c r="E64" s="50"/>
      <c r="F64" s="50"/>
      <c r="G64" s="50"/>
      <c r="H64" s="8"/>
      <c r="I64" s="12"/>
      <c r="J64" s="12"/>
      <c r="K64" s="12"/>
      <c r="L64" s="12"/>
      <c r="M64" s="12"/>
      <c r="N64" s="12"/>
      <c r="O64" s="12"/>
      <c r="P64" s="12"/>
      <c r="Q64" s="13"/>
      <c r="R64" s="14"/>
    </row>
    <row r="65" spans="2:18" ht="17.25" customHeight="1" x14ac:dyDescent="0.25">
      <c r="B65" s="22">
        <v>30</v>
      </c>
      <c r="C65" s="74"/>
      <c r="D65" s="75"/>
      <c r="E65" s="75"/>
      <c r="F65" s="75"/>
      <c r="G65" s="75"/>
      <c r="H65" s="73"/>
      <c r="I65" s="75"/>
      <c r="J65" s="75"/>
      <c r="K65" s="75"/>
      <c r="L65" s="76"/>
      <c r="M65" s="75"/>
      <c r="N65" s="75"/>
      <c r="O65" s="75"/>
      <c r="P65" s="75"/>
      <c r="Q65" s="9"/>
      <c r="R65" s="10"/>
    </row>
    <row r="66" spans="2:18" ht="15.75" customHeight="1" x14ac:dyDescent="0.25">
      <c r="B66" s="11" t="s">
        <v>47</v>
      </c>
      <c r="C66" s="50"/>
      <c r="D66" s="50"/>
      <c r="E66" s="50"/>
      <c r="F66" s="50"/>
      <c r="G66" s="50"/>
      <c r="H66" s="8"/>
      <c r="I66" s="12"/>
      <c r="J66" s="12"/>
      <c r="K66" s="12"/>
      <c r="L66" s="12"/>
      <c r="M66" s="12"/>
      <c r="N66" s="12"/>
      <c r="O66" s="12"/>
      <c r="P66" s="12"/>
      <c r="Q66" s="13"/>
      <c r="R66" s="14"/>
    </row>
    <row r="70" spans="2:18" x14ac:dyDescent="0.25">
      <c r="C70" s="47"/>
      <c r="D70" s="47"/>
      <c r="E70" s="47"/>
      <c r="F70" s="47"/>
      <c r="G70" s="47"/>
    </row>
    <row r="71" spans="2:18" x14ac:dyDescent="0.25">
      <c r="C71" s="53"/>
      <c r="D71" s="53"/>
      <c r="E71" s="53"/>
      <c r="F71" s="53"/>
      <c r="G71" s="53"/>
    </row>
  </sheetData>
  <customSheetViews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1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4"/>
    </customSheetView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6"/>
  <sheetViews>
    <sheetView tabSelected="1" zoomScaleNormal="100" zoomScaleSheetLayoutView="100" workbookViewId="0">
      <pane ySplit="6" topLeftCell="A7" activePane="bottomLeft" state="frozen"/>
      <selection pane="bottomLeft" activeCell="T17" sqref="T17"/>
    </sheetView>
  </sheetViews>
  <sheetFormatPr defaultRowHeight="15" x14ac:dyDescent="0.25"/>
  <cols>
    <col min="1" max="1" width="1" style="1" customWidth="1"/>
    <col min="2" max="2" width="11.42578125" style="1" bestFit="1" customWidth="1"/>
    <col min="3" max="3" width="13.5703125" style="1" customWidth="1"/>
    <col min="4" max="5" width="10.42578125" style="1" customWidth="1"/>
    <col min="6" max="6" width="15.7109375" style="1" customWidth="1"/>
    <col min="7" max="12" width="11.28515625" style="1" customWidth="1"/>
    <col min="13" max="14" width="15.7109375" style="1" customWidth="1"/>
    <col min="15" max="15" width="9.140625" style="1"/>
    <col min="16" max="16" width="12.42578125" style="1" customWidth="1"/>
    <col min="17" max="17" width="12.28515625" style="1" bestFit="1" customWidth="1"/>
    <col min="18" max="18" width="9.7109375" style="1" bestFit="1" customWidth="1"/>
    <col min="19" max="19" width="14.85546875" style="1" bestFit="1" customWidth="1"/>
    <col min="20" max="20" width="15.5703125" style="1" customWidth="1"/>
    <col min="21" max="21" width="27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7" t="s">
        <v>34</v>
      </c>
      <c r="G2" s="97"/>
      <c r="H2" s="97"/>
      <c r="I2" s="97"/>
      <c r="J2" s="97"/>
      <c r="K2" s="20"/>
      <c r="L2" s="20"/>
    </row>
    <row r="3" spans="2:21" ht="21" customHeight="1" x14ac:dyDescent="0.25">
      <c r="F3" s="113" t="s">
        <v>48</v>
      </c>
      <c r="G3" s="113"/>
      <c r="H3" s="113"/>
      <c r="I3" s="113"/>
      <c r="J3" s="113"/>
      <c r="K3" s="21"/>
      <c r="L3" s="21"/>
      <c r="M3" s="94" t="s">
        <v>49</v>
      </c>
      <c r="N3" s="94"/>
    </row>
    <row r="4" spans="2:21" ht="15" customHeight="1" thickBot="1" x14ac:dyDescent="0.3"/>
    <row r="5" spans="2:21" ht="30.75" customHeight="1" thickTop="1" x14ac:dyDescent="0.25">
      <c r="B5" s="103" t="s">
        <v>37</v>
      </c>
      <c r="C5" s="4" t="s">
        <v>50</v>
      </c>
      <c r="D5" s="4" t="s">
        <v>51</v>
      </c>
      <c r="E5" s="4" t="s">
        <v>52</v>
      </c>
      <c r="F5" s="105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14" t="s">
        <v>59</v>
      </c>
      <c r="N5" s="116" t="s">
        <v>60</v>
      </c>
      <c r="O5" s="6"/>
      <c r="P5" s="107" t="s">
        <v>1</v>
      </c>
      <c r="Q5" s="107" t="s">
        <v>8</v>
      </c>
      <c r="R5" s="107" t="s">
        <v>9</v>
      </c>
      <c r="S5" s="107" t="s">
        <v>10</v>
      </c>
      <c r="T5" s="109" t="s">
        <v>61</v>
      </c>
      <c r="U5" s="110"/>
    </row>
    <row r="6" spans="2:21" ht="15.75" customHeight="1" x14ac:dyDescent="0.25">
      <c r="B6" s="104"/>
      <c r="C6" s="3">
        <v>130465</v>
      </c>
      <c r="D6" s="3">
        <v>130460</v>
      </c>
      <c r="E6" s="3">
        <v>130461</v>
      </c>
      <c r="F6" s="106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15"/>
      <c r="N6" s="117"/>
      <c r="O6" s="6"/>
      <c r="P6" s="108"/>
      <c r="Q6" s="108"/>
      <c r="R6" s="108"/>
      <c r="S6" s="108"/>
      <c r="T6" s="111"/>
      <c r="U6" s="112"/>
    </row>
    <row r="7" spans="2:21" ht="17.25" customHeight="1" x14ac:dyDescent="0.25">
      <c r="B7" s="22">
        <v>1</v>
      </c>
      <c r="C7" s="65">
        <v>8284</v>
      </c>
      <c r="D7" s="59">
        <v>503</v>
      </c>
      <c r="E7" s="59">
        <v>46762</v>
      </c>
      <c r="F7" s="60"/>
      <c r="G7" s="63">
        <v>282163</v>
      </c>
      <c r="H7" s="63">
        <v>166212</v>
      </c>
      <c r="I7" s="62">
        <v>178900</v>
      </c>
      <c r="J7" s="63">
        <v>869059</v>
      </c>
      <c r="K7" s="61">
        <v>639998</v>
      </c>
      <c r="L7" s="64">
        <v>1712</v>
      </c>
      <c r="M7" s="19"/>
      <c r="N7" s="16"/>
      <c r="P7" s="54">
        <v>1</v>
      </c>
      <c r="Q7" s="121">
        <v>99</v>
      </c>
      <c r="R7" s="54">
        <v>394</v>
      </c>
      <c r="S7" s="54">
        <v>15.1</v>
      </c>
      <c r="T7" s="90">
        <v>130461</v>
      </c>
      <c r="U7" s="72" t="s">
        <v>62</v>
      </c>
    </row>
    <row r="8" spans="2:21" ht="17.25" customHeight="1" x14ac:dyDescent="0.25">
      <c r="B8" s="11" t="s">
        <v>47</v>
      </c>
      <c r="C8" s="66">
        <f>C7-8284</f>
        <v>0</v>
      </c>
      <c r="D8" s="67">
        <f>D7-503</f>
        <v>0</v>
      </c>
      <c r="E8" s="67">
        <f>E7-46762</f>
        <v>0</v>
      </c>
      <c r="F8" s="86">
        <f>E8+D8+C8</f>
        <v>0</v>
      </c>
      <c r="G8" s="69">
        <f>G7-282050</f>
        <v>113</v>
      </c>
      <c r="H8" s="69">
        <f>H7-166168</f>
        <v>44</v>
      </c>
      <c r="I8" s="69">
        <f>I7-178900</f>
        <v>0</v>
      </c>
      <c r="J8" s="69">
        <f>J7-868873</f>
        <v>186</v>
      </c>
      <c r="K8" s="69">
        <f>K7-639998</f>
        <v>0</v>
      </c>
      <c r="L8" s="69">
        <f>L7-1665</f>
        <v>47</v>
      </c>
      <c r="M8" s="87">
        <f>L8+K8+J8+I8+H8+G8</f>
        <v>390</v>
      </c>
      <c r="N8" s="51">
        <f>M8+F8</f>
        <v>390</v>
      </c>
      <c r="P8" s="54">
        <v>2</v>
      </c>
      <c r="Q8" s="121">
        <v>114</v>
      </c>
      <c r="R8" s="54">
        <v>454</v>
      </c>
      <c r="S8" s="54">
        <v>15</v>
      </c>
      <c r="T8" s="91">
        <v>130457</v>
      </c>
      <c r="U8" s="72" t="s">
        <v>63</v>
      </c>
    </row>
    <row r="9" spans="2:21" ht="17.25" customHeight="1" x14ac:dyDescent="0.25">
      <c r="B9" s="22">
        <v>2</v>
      </c>
      <c r="C9" s="65">
        <v>8284</v>
      </c>
      <c r="D9" s="59">
        <v>503</v>
      </c>
      <c r="E9" s="59">
        <v>46762</v>
      </c>
      <c r="F9" s="60"/>
      <c r="G9" s="57">
        <v>282272</v>
      </c>
      <c r="H9" s="57">
        <v>166225</v>
      </c>
      <c r="I9" s="62">
        <v>178900</v>
      </c>
      <c r="J9" s="63">
        <v>869280</v>
      </c>
      <c r="K9" s="61">
        <v>639998</v>
      </c>
      <c r="L9" s="64">
        <v>1750</v>
      </c>
      <c r="M9" s="19"/>
      <c r="N9" s="17"/>
      <c r="P9" s="54">
        <v>3</v>
      </c>
      <c r="Q9" s="121">
        <v>59</v>
      </c>
      <c r="R9" s="54">
        <v>192</v>
      </c>
      <c r="S9" s="54">
        <v>14.3</v>
      </c>
      <c r="T9" s="91">
        <v>130459</v>
      </c>
      <c r="U9" s="55" t="s">
        <v>64</v>
      </c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26" si="0">D9-D7</f>
        <v>0</v>
      </c>
      <c r="E10" s="12">
        <f t="shared" si="0"/>
        <v>0</v>
      </c>
      <c r="F10" s="86">
        <f>E10+D10+C10</f>
        <v>0</v>
      </c>
      <c r="G10" s="12">
        <f>G9-G7</f>
        <v>109</v>
      </c>
      <c r="H10" s="12">
        <f t="shared" ref="H10:L26" si="1">H9-H7</f>
        <v>13</v>
      </c>
      <c r="I10" s="12">
        <f t="shared" si="1"/>
        <v>0</v>
      </c>
      <c r="J10" s="12">
        <f t="shared" si="1"/>
        <v>221</v>
      </c>
      <c r="K10" s="12">
        <f t="shared" si="1"/>
        <v>0</v>
      </c>
      <c r="L10" s="12">
        <f t="shared" si="1"/>
        <v>38</v>
      </c>
      <c r="M10" s="87">
        <f>L10+K10+J10+I10+H10+G10</f>
        <v>381</v>
      </c>
      <c r="N10" s="51">
        <f>M10+F10</f>
        <v>381</v>
      </c>
      <c r="P10" s="54">
        <v>4</v>
      </c>
      <c r="Q10" s="121">
        <v>83</v>
      </c>
      <c r="R10" s="54">
        <v>228</v>
      </c>
      <c r="S10" s="54">
        <v>14.7</v>
      </c>
    </row>
    <row r="11" spans="2:21" ht="17.25" customHeight="1" x14ac:dyDescent="0.25">
      <c r="B11" s="22">
        <v>3</v>
      </c>
      <c r="C11" s="65">
        <v>8284</v>
      </c>
      <c r="D11" s="59">
        <v>503</v>
      </c>
      <c r="E11" s="59">
        <v>46762</v>
      </c>
      <c r="F11" s="60"/>
      <c r="G11" s="59">
        <v>282389</v>
      </c>
      <c r="H11" s="59">
        <v>166239</v>
      </c>
      <c r="I11" s="62">
        <v>178900</v>
      </c>
      <c r="J11" s="63">
        <v>869480</v>
      </c>
      <c r="K11" s="61">
        <v>639998</v>
      </c>
      <c r="L11" s="64">
        <v>1795</v>
      </c>
      <c r="M11" s="19"/>
      <c r="N11" s="17"/>
      <c r="P11" s="54">
        <v>5</v>
      </c>
      <c r="Q11" s="121">
        <v>118</v>
      </c>
      <c r="R11" s="54">
        <v>292</v>
      </c>
      <c r="S11" s="54">
        <v>15.5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si="0"/>
        <v>0</v>
      </c>
      <c r="E12" s="12">
        <f t="shared" si="0"/>
        <v>0</v>
      </c>
      <c r="F12" s="86">
        <f>E12+D12+C12</f>
        <v>0</v>
      </c>
      <c r="G12" s="12">
        <f>G11-G9</f>
        <v>117</v>
      </c>
      <c r="H12" s="12">
        <f t="shared" si="1"/>
        <v>14</v>
      </c>
      <c r="I12" s="12">
        <f t="shared" si="1"/>
        <v>0</v>
      </c>
      <c r="J12" s="12">
        <f t="shared" si="1"/>
        <v>200</v>
      </c>
      <c r="K12" s="12">
        <f t="shared" si="1"/>
        <v>0</v>
      </c>
      <c r="L12" s="12">
        <f t="shared" si="1"/>
        <v>45</v>
      </c>
      <c r="M12" s="87">
        <f>L12+K12+J12+I12+H12+G12</f>
        <v>376</v>
      </c>
      <c r="N12" s="51">
        <f>M12+F12</f>
        <v>376</v>
      </c>
      <c r="P12" s="54">
        <v>6</v>
      </c>
      <c r="Q12" s="121">
        <v>142</v>
      </c>
      <c r="R12" s="54">
        <v>346</v>
      </c>
      <c r="S12" s="54">
        <v>15.2</v>
      </c>
    </row>
    <row r="13" spans="2:21" ht="17.25" customHeight="1" x14ac:dyDescent="0.25">
      <c r="B13" s="22">
        <v>4</v>
      </c>
      <c r="C13" s="65">
        <v>8284</v>
      </c>
      <c r="D13" s="59">
        <v>503</v>
      </c>
      <c r="E13" s="59">
        <v>46762</v>
      </c>
      <c r="F13" s="18"/>
      <c r="G13" s="56">
        <v>282505</v>
      </c>
      <c r="H13" s="59">
        <v>166252</v>
      </c>
      <c r="I13" s="62">
        <v>178900</v>
      </c>
      <c r="J13" s="63">
        <v>869660</v>
      </c>
      <c r="K13" s="61">
        <v>639998</v>
      </c>
      <c r="L13" s="64">
        <v>1833</v>
      </c>
      <c r="M13" s="19"/>
      <c r="N13" s="17"/>
      <c r="P13" s="54">
        <v>7</v>
      </c>
      <c r="Q13" s="121">
        <v>148</v>
      </c>
      <c r="R13" s="54">
        <v>368</v>
      </c>
      <c r="S13" s="54">
        <v>14.9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86">
        <f>E14+D14+C14</f>
        <v>0</v>
      </c>
      <c r="G14" s="12">
        <f>G13-G11</f>
        <v>116</v>
      </c>
      <c r="H14" s="12">
        <f t="shared" si="1"/>
        <v>13</v>
      </c>
      <c r="I14" s="12">
        <f t="shared" si="1"/>
        <v>0</v>
      </c>
      <c r="J14" s="12">
        <f t="shared" si="1"/>
        <v>180</v>
      </c>
      <c r="K14" s="12">
        <f t="shared" si="1"/>
        <v>0</v>
      </c>
      <c r="L14" s="12">
        <f t="shared" si="1"/>
        <v>38</v>
      </c>
      <c r="M14" s="87">
        <f>L14+K14+J14+I14+H14+G14</f>
        <v>347</v>
      </c>
      <c r="N14" s="51">
        <f>M14+F14</f>
        <v>347</v>
      </c>
      <c r="P14" s="54">
        <v>8</v>
      </c>
      <c r="Q14" s="121">
        <v>214</v>
      </c>
      <c r="R14" s="54">
        <v>648</v>
      </c>
      <c r="S14" s="54">
        <v>14.4</v>
      </c>
    </row>
    <row r="15" spans="2:21" ht="17.25" customHeight="1" x14ac:dyDescent="0.25">
      <c r="B15" s="22">
        <v>5</v>
      </c>
      <c r="C15" s="65">
        <v>8284</v>
      </c>
      <c r="D15" s="59">
        <v>503</v>
      </c>
      <c r="E15" s="59">
        <v>46762</v>
      </c>
      <c r="F15" s="60"/>
      <c r="G15" s="62">
        <v>282622</v>
      </c>
      <c r="H15" s="59">
        <v>166280</v>
      </c>
      <c r="I15" s="62">
        <v>178900</v>
      </c>
      <c r="J15" s="62">
        <v>869852</v>
      </c>
      <c r="K15" s="61">
        <v>639998</v>
      </c>
      <c r="L15" s="64">
        <v>1867</v>
      </c>
      <c r="M15" s="19"/>
      <c r="N15" s="17"/>
      <c r="P15" s="54">
        <v>9</v>
      </c>
      <c r="Q15" s="121">
        <v>206</v>
      </c>
      <c r="R15" s="54">
        <v>668</v>
      </c>
      <c r="S15" s="54">
        <v>14.1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si="0"/>
        <v>0</v>
      </c>
      <c r="E16" s="12">
        <f t="shared" si="0"/>
        <v>0</v>
      </c>
      <c r="F16" s="86">
        <f>E16+D16+C16</f>
        <v>0</v>
      </c>
      <c r="G16" s="12">
        <f>G15-G13</f>
        <v>117</v>
      </c>
      <c r="H16" s="12">
        <f t="shared" si="1"/>
        <v>28</v>
      </c>
      <c r="I16" s="12">
        <f t="shared" si="1"/>
        <v>0</v>
      </c>
      <c r="J16" s="12">
        <f t="shared" si="1"/>
        <v>192</v>
      </c>
      <c r="K16" s="12">
        <f t="shared" si="1"/>
        <v>0</v>
      </c>
      <c r="L16" s="12">
        <f t="shared" si="1"/>
        <v>34</v>
      </c>
      <c r="M16" s="87">
        <f>L16+K16+J16+I16+H16+G16</f>
        <v>371</v>
      </c>
      <c r="N16" s="51">
        <f>M16+F16</f>
        <v>371</v>
      </c>
      <c r="P16" s="54">
        <v>10</v>
      </c>
      <c r="Q16" s="121">
        <v>132</v>
      </c>
      <c r="R16" s="54">
        <v>362</v>
      </c>
      <c r="S16" s="54">
        <v>13.9</v>
      </c>
    </row>
    <row r="17" spans="2:19" ht="17.25" customHeight="1" x14ac:dyDescent="0.25">
      <c r="B17" s="22">
        <v>6</v>
      </c>
      <c r="C17" s="65">
        <v>8284</v>
      </c>
      <c r="D17" s="59">
        <v>503</v>
      </c>
      <c r="E17" s="59">
        <v>46762</v>
      </c>
      <c r="F17" s="18"/>
      <c r="G17" s="46">
        <v>282738</v>
      </c>
      <c r="H17" s="46">
        <v>166295</v>
      </c>
      <c r="I17" s="62">
        <v>178900</v>
      </c>
      <c r="J17" s="46">
        <v>870047</v>
      </c>
      <c r="K17" s="61">
        <v>639998</v>
      </c>
      <c r="L17" s="64">
        <v>1905</v>
      </c>
      <c r="M17" s="19"/>
      <c r="N17" s="17"/>
      <c r="P17" s="54">
        <v>11</v>
      </c>
      <c r="Q17" s="121">
        <v>122</v>
      </c>
      <c r="R17" s="54">
        <v>308</v>
      </c>
      <c r="S17" s="54">
        <v>14.4</v>
      </c>
    </row>
    <row r="18" spans="2:19" ht="17.25" customHeight="1" x14ac:dyDescent="0.25">
      <c r="B18" s="11" t="s">
        <v>47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86">
        <f>E18+D18+C18</f>
        <v>0</v>
      </c>
      <c r="G18" s="12">
        <f>G17-G15</f>
        <v>116</v>
      </c>
      <c r="H18" s="12">
        <f t="shared" si="1"/>
        <v>15</v>
      </c>
      <c r="I18" s="12">
        <f t="shared" si="1"/>
        <v>0</v>
      </c>
      <c r="J18" s="12">
        <f t="shared" si="1"/>
        <v>195</v>
      </c>
      <c r="K18" s="12">
        <f t="shared" si="1"/>
        <v>0</v>
      </c>
      <c r="L18" s="12">
        <f t="shared" si="1"/>
        <v>38</v>
      </c>
      <c r="M18" s="87">
        <f>L18+K18+J18+I18+H18+G18</f>
        <v>364</v>
      </c>
      <c r="N18" s="51">
        <f>M18+F18</f>
        <v>364</v>
      </c>
      <c r="P18" s="54">
        <v>12</v>
      </c>
      <c r="Q18" s="121"/>
      <c r="R18" s="54"/>
      <c r="S18" s="54"/>
    </row>
    <row r="19" spans="2:19" ht="17.25" customHeight="1" x14ac:dyDescent="0.25">
      <c r="B19" s="22">
        <v>7</v>
      </c>
      <c r="C19" s="65">
        <v>8284</v>
      </c>
      <c r="D19" s="59">
        <v>503</v>
      </c>
      <c r="E19" s="59">
        <v>46762</v>
      </c>
      <c r="F19" s="18"/>
      <c r="G19" s="46">
        <v>282851</v>
      </c>
      <c r="H19" s="46">
        <v>166316</v>
      </c>
      <c r="I19" s="62">
        <v>178900</v>
      </c>
      <c r="J19" s="46">
        <v>870254</v>
      </c>
      <c r="K19" s="61">
        <v>639998</v>
      </c>
      <c r="L19" s="64">
        <v>1949</v>
      </c>
      <c r="M19" s="19"/>
      <c r="N19" s="17"/>
      <c r="P19" s="54">
        <v>13</v>
      </c>
      <c r="Q19" s="121"/>
      <c r="R19" s="54"/>
      <c r="S19" s="54"/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0"/>
        <v>0</v>
      </c>
      <c r="E20" s="12">
        <f t="shared" si="0"/>
        <v>0</v>
      </c>
      <c r="F20" s="86">
        <f>E20+D20+C20</f>
        <v>0</v>
      </c>
      <c r="G20" s="12">
        <f>G19-G17</f>
        <v>113</v>
      </c>
      <c r="H20" s="12">
        <f t="shared" si="1"/>
        <v>21</v>
      </c>
      <c r="I20" s="12">
        <f t="shared" si="1"/>
        <v>0</v>
      </c>
      <c r="J20" s="12">
        <f t="shared" si="1"/>
        <v>207</v>
      </c>
      <c r="K20" s="12">
        <f t="shared" si="1"/>
        <v>0</v>
      </c>
      <c r="L20" s="12">
        <f t="shared" si="1"/>
        <v>44</v>
      </c>
      <c r="M20" s="87">
        <f>L20+K20+J20+I20+H20+G20</f>
        <v>385</v>
      </c>
      <c r="N20" s="51">
        <f>M20+F20</f>
        <v>385</v>
      </c>
      <c r="P20" s="54">
        <v>14</v>
      </c>
      <c r="Q20" s="121"/>
      <c r="R20" s="54"/>
      <c r="S20" s="54"/>
    </row>
    <row r="21" spans="2:19" ht="17.25" customHeight="1" x14ac:dyDescent="0.25">
      <c r="B21" s="22">
        <v>8</v>
      </c>
      <c r="C21" s="45">
        <v>8287</v>
      </c>
      <c r="D21" s="45">
        <v>503</v>
      </c>
      <c r="E21" s="59">
        <v>46762</v>
      </c>
      <c r="F21" s="18"/>
      <c r="G21" s="56">
        <v>282969</v>
      </c>
      <c r="H21" s="56">
        <v>166326</v>
      </c>
      <c r="I21" s="62">
        <v>178900</v>
      </c>
      <c r="J21" s="56">
        <v>870460</v>
      </c>
      <c r="K21" s="61">
        <v>639998</v>
      </c>
      <c r="L21" s="64">
        <v>1994</v>
      </c>
      <c r="M21" s="19"/>
      <c r="N21" s="17"/>
      <c r="P21" s="54">
        <v>15</v>
      </c>
      <c r="Q21" s="121"/>
      <c r="R21" s="54"/>
      <c r="S21" s="54"/>
    </row>
    <row r="22" spans="2:19" ht="17.25" customHeight="1" x14ac:dyDescent="0.25">
      <c r="B22" s="11" t="s">
        <v>47</v>
      </c>
      <c r="C22" s="12">
        <f>C21-C19</f>
        <v>3</v>
      </c>
      <c r="D22" s="12">
        <f t="shared" si="0"/>
        <v>0</v>
      </c>
      <c r="E22" s="12">
        <f t="shared" si="0"/>
        <v>0</v>
      </c>
      <c r="F22" s="86">
        <f>E22+D22+C22</f>
        <v>3</v>
      </c>
      <c r="G22" s="12">
        <f>G21-G19</f>
        <v>118</v>
      </c>
      <c r="H22" s="12">
        <f t="shared" si="1"/>
        <v>10</v>
      </c>
      <c r="I22" s="12">
        <f t="shared" si="1"/>
        <v>0</v>
      </c>
      <c r="J22" s="12">
        <f t="shared" si="1"/>
        <v>206</v>
      </c>
      <c r="K22" s="12">
        <f t="shared" si="1"/>
        <v>0</v>
      </c>
      <c r="L22" s="12">
        <f t="shared" si="1"/>
        <v>45</v>
      </c>
      <c r="M22" s="87">
        <f>L22+K22+J22+I22+H22+G22</f>
        <v>379</v>
      </c>
      <c r="N22" s="51">
        <f>M22+F22</f>
        <v>382</v>
      </c>
      <c r="P22" s="54">
        <v>16</v>
      </c>
      <c r="Q22" s="121"/>
      <c r="R22" s="54"/>
      <c r="S22" s="54"/>
    </row>
    <row r="23" spans="2:19" ht="17.25" customHeight="1" x14ac:dyDescent="0.25">
      <c r="B23" s="22">
        <v>9</v>
      </c>
      <c r="C23" s="45">
        <v>8287</v>
      </c>
      <c r="D23" s="45">
        <v>503</v>
      </c>
      <c r="E23" s="59">
        <v>46762</v>
      </c>
      <c r="F23" s="18"/>
      <c r="G23" s="46">
        <v>283081</v>
      </c>
      <c r="H23" s="46">
        <v>166346</v>
      </c>
      <c r="I23" s="62">
        <v>178900</v>
      </c>
      <c r="J23" s="46">
        <v>870696</v>
      </c>
      <c r="K23" s="61">
        <v>639998</v>
      </c>
      <c r="L23" s="64">
        <v>2042</v>
      </c>
      <c r="M23" s="19"/>
      <c r="N23" s="17"/>
      <c r="P23" s="54">
        <v>17</v>
      </c>
      <c r="Q23" s="121"/>
      <c r="R23" s="54"/>
      <c r="S23" s="54"/>
    </row>
    <row r="24" spans="2:19" ht="17.25" customHeight="1" x14ac:dyDescent="0.25">
      <c r="B24" s="11" t="s">
        <v>47</v>
      </c>
      <c r="C24" s="12">
        <f>C23-C21</f>
        <v>0</v>
      </c>
      <c r="D24" s="12">
        <f t="shared" si="0"/>
        <v>0</v>
      </c>
      <c r="E24" s="12">
        <f t="shared" si="0"/>
        <v>0</v>
      </c>
      <c r="F24" s="86">
        <f>E24+D24+C24</f>
        <v>0</v>
      </c>
      <c r="G24" s="12">
        <f>G23-G21</f>
        <v>112</v>
      </c>
      <c r="H24" s="12">
        <f t="shared" si="1"/>
        <v>20</v>
      </c>
      <c r="I24" s="12">
        <f t="shared" si="1"/>
        <v>0</v>
      </c>
      <c r="J24" s="12">
        <f t="shared" si="1"/>
        <v>236</v>
      </c>
      <c r="K24" s="12">
        <f t="shared" si="1"/>
        <v>0</v>
      </c>
      <c r="L24" s="12">
        <f t="shared" si="1"/>
        <v>48</v>
      </c>
      <c r="M24" s="87">
        <f>L24+K24+J24+I24+H24+G24</f>
        <v>416</v>
      </c>
      <c r="N24" s="51">
        <f>M24+F24</f>
        <v>416</v>
      </c>
      <c r="P24" s="54">
        <v>18</v>
      </c>
      <c r="Q24" s="121"/>
      <c r="R24" s="54"/>
      <c r="S24" s="54"/>
    </row>
    <row r="25" spans="2:19" ht="17.25" customHeight="1" x14ac:dyDescent="0.25">
      <c r="B25" s="22">
        <v>10</v>
      </c>
      <c r="C25" s="45">
        <v>8287</v>
      </c>
      <c r="D25" s="45">
        <v>503</v>
      </c>
      <c r="E25" s="59">
        <v>46762</v>
      </c>
      <c r="F25" s="18"/>
      <c r="G25" s="56">
        <v>283193</v>
      </c>
      <c r="H25" s="56">
        <v>166367</v>
      </c>
      <c r="I25" s="62">
        <v>178900</v>
      </c>
      <c r="J25" s="56">
        <v>870925</v>
      </c>
      <c r="K25" s="61">
        <v>639998</v>
      </c>
      <c r="L25" s="64">
        <v>2082</v>
      </c>
      <c r="M25" s="19"/>
      <c r="N25" s="17"/>
      <c r="P25" s="54">
        <v>19</v>
      </c>
      <c r="Q25" s="121"/>
      <c r="R25" s="54"/>
      <c r="S25" s="54"/>
    </row>
    <row r="26" spans="2:19" ht="17.25" customHeight="1" x14ac:dyDescent="0.25">
      <c r="B26" s="11" t="s">
        <v>47</v>
      </c>
      <c r="C26" s="12">
        <f>C25-C23</f>
        <v>0</v>
      </c>
      <c r="D26" s="12">
        <f t="shared" si="0"/>
        <v>0</v>
      </c>
      <c r="E26" s="12">
        <f t="shared" si="0"/>
        <v>0</v>
      </c>
      <c r="F26" s="86">
        <f>E26+D26+C26</f>
        <v>0</v>
      </c>
      <c r="G26" s="12">
        <f>G25-G23</f>
        <v>112</v>
      </c>
      <c r="H26" s="12">
        <f t="shared" si="1"/>
        <v>21</v>
      </c>
      <c r="I26" s="12">
        <f t="shared" si="1"/>
        <v>0</v>
      </c>
      <c r="J26" s="12">
        <f t="shared" si="1"/>
        <v>229</v>
      </c>
      <c r="K26" s="12">
        <f t="shared" si="1"/>
        <v>0</v>
      </c>
      <c r="L26" s="12">
        <f t="shared" si="1"/>
        <v>40</v>
      </c>
      <c r="M26" s="87">
        <f>L26+K26+J26+I26+H26+G26</f>
        <v>402</v>
      </c>
      <c r="N26" s="51">
        <f>M26+F26</f>
        <v>402</v>
      </c>
      <c r="P26" s="54">
        <v>20</v>
      </c>
      <c r="Q26" s="121"/>
      <c r="R26" s="54"/>
      <c r="S26" s="54"/>
    </row>
    <row r="27" spans="2:19" ht="17.25" customHeight="1" x14ac:dyDescent="0.25">
      <c r="B27" s="22">
        <v>11</v>
      </c>
      <c r="C27" s="56"/>
      <c r="D27" s="57"/>
      <c r="E27" s="59"/>
      <c r="F27" s="60"/>
      <c r="G27" s="62"/>
      <c r="H27" s="62"/>
      <c r="I27" s="62"/>
      <c r="J27" s="63"/>
      <c r="K27" s="61"/>
      <c r="L27" s="64"/>
      <c r="M27" s="19"/>
      <c r="N27" s="17"/>
      <c r="P27" s="54">
        <v>21</v>
      </c>
      <c r="Q27" s="121"/>
      <c r="R27" s="54"/>
      <c r="S27" s="54"/>
    </row>
    <row r="28" spans="2:19" ht="17.25" customHeight="1" x14ac:dyDescent="0.25">
      <c r="B28" s="11" t="s">
        <v>47</v>
      </c>
      <c r="C28" s="12"/>
      <c r="D28" s="12"/>
      <c r="E28" s="12"/>
      <c r="F28" s="18"/>
      <c r="G28" s="12"/>
      <c r="H28" s="12"/>
      <c r="I28" s="12"/>
      <c r="J28" s="12"/>
      <c r="K28" s="12"/>
      <c r="L28" s="12"/>
      <c r="M28" s="19"/>
      <c r="N28" s="51"/>
      <c r="P28" s="54">
        <v>22</v>
      </c>
      <c r="Q28" s="121"/>
      <c r="R28" s="54"/>
      <c r="S28" s="54"/>
    </row>
    <row r="29" spans="2:19" ht="17.25" customHeight="1" x14ac:dyDescent="0.25">
      <c r="B29" s="22">
        <v>12</v>
      </c>
      <c r="C29" s="56"/>
      <c r="D29" s="57"/>
      <c r="E29" s="59"/>
      <c r="F29" s="60"/>
      <c r="G29" s="57"/>
      <c r="H29" s="57"/>
      <c r="I29" s="62"/>
      <c r="J29" s="63"/>
      <c r="K29" s="61"/>
      <c r="L29" s="64"/>
      <c r="M29" s="19"/>
      <c r="N29" s="17"/>
      <c r="P29" s="54">
        <v>23</v>
      </c>
      <c r="Q29" s="121"/>
      <c r="R29" s="54"/>
      <c r="S29" s="54"/>
    </row>
    <row r="30" spans="2:19" ht="17.25" customHeight="1" x14ac:dyDescent="0.25">
      <c r="B30" s="11" t="s">
        <v>47</v>
      </c>
      <c r="C30" s="12"/>
      <c r="D30" s="12"/>
      <c r="E30" s="12"/>
      <c r="F30" s="18"/>
      <c r="G30" s="12"/>
      <c r="H30" s="12"/>
      <c r="I30" s="12"/>
      <c r="J30" s="12"/>
      <c r="K30" s="12"/>
      <c r="L30" s="12"/>
      <c r="M30" s="19"/>
      <c r="N30" s="51"/>
      <c r="P30" s="54">
        <v>24</v>
      </c>
      <c r="Q30" s="121"/>
      <c r="R30" s="54"/>
      <c r="S30" s="54"/>
    </row>
    <row r="31" spans="2:19" ht="17.25" customHeight="1" x14ac:dyDescent="0.25">
      <c r="B31" s="22">
        <v>13</v>
      </c>
      <c r="C31" s="56"/>
      <c r="D31" s="57"/>
      <c r="E31" s="59"/>
      <c r="F31" s="60"/>
      <c r="G31" s="62"/>
      <c r="H31" s="62"/>
      <c r="I31" s="62"/>
      <c r="J31" s="63"/>
      <c r="K31" s="61"/>
      <c r="L31" s="64"/>
      <c r="M31" s="19"/>
      <c r="N31" s="17"/>
      <c r="P31" s="54">
        <v>25</v>
      </c>
      <c r="Q31" s="121"/>
      <c r="R31" s="54"/>
      <c r="S31" s="54"/>
    </row>
    <row r="32" spans="2:19" ht="17.25" customHeight="1" x14ac:dyDescent="0.25">
      <c r="B32" s="11" t="s">
        <v>47</v>
      </c>
      <c r="C32" s="12"/>
      <c r="D32" s="12"/>
      <c r="E32" s="12"/>
      <c r="F32" s="18"/>
      <c r="G32" s="12"/>
      <c r="H32" s="12"/>
      <c r="I32" s="12"/>
      <c r="J32" s="12"/>
      <c r="K32" s="12"/>
      <c r="L32" s="12"/>
      <c r="M32" s="19"/>
      <c r="N32" s="51"/>
      <c r="P32" s="54">
        <v>26</v>
      </c>
      <c r="Q32" s="121"/>
      <c r="R32" s="54"/>
      <c r="S32" s="54"/>
    </row>
    <row r="33" spans="2:19" ht="17.25" customHeight="1" x14ac:dyDescent="0.25">
      <c r="B33" s="22">
        <v>14</v>
      </c>
      <c r="C33" s="56"/>
      <c r="D33" s="57"/>
      <c r="E33" s="59"/>
      <c r="F33" s="60"/>
      <c r="G33" s="57"/>
      <c r="H33" s="57"/>
      <c r="I33" s="62"/>
      <c r="J33" s="57"/>
      <c r="K33" s="61"/>
      <c r="L33" s="64"/>
      <c r="M33" s="19"/>
      <c r="N33" s="17"/>
      <c r="P33" s="54">
        <v>27</v>
      </c>
      <c r="Q33" s="121"/>
      <c r="R33" s="54"/>
      <c r="S33" s="54"/>
    </row>
    <row r="34" spans="2:19" ht="17.25" customHeight="1" x14ac:dyDescent="0.25">
      <c r="B34" s="11" t="s">
        <v>47</v>
      </c>
      <c r="C34" s="12"/>
      <c r="D34" s="12"/>
      <c r="E34" s="12"/>
      <c r="F34" s="18"/>
      <c r="G34" s="12"/>
      <c r="H34" s="12"/>
      <c r="I34" s="12"/>
      <c r="J34" s="12"/>
      <c r="K34" s="12"/>
      <c r="L34" s="12"/>
      <c r="M34" s="19"/>
      <c r="N34" s="51"/>
      <c r="P34" s="54">
        <v>28</v>
      </c>
      <c r="Q34" s="121"/>
      <c r="R34" s="54"/>
      <c r="S34" s="54"/>
    </row>
    <row r="35" spans="2:19" ht="17.25" customHeight="1" x14ac:dyDescent="0.25">
      <c r="B35" s="22">
        <v>15</v>
      </c>
      <c r="C35" s="56"/>
      <c r="D35" s="57"/>
      <c r="E35" s="59"/>
      <c r="F35" s="60"/>
      <c r="G35" s="62"/>
      <c r="H35" s="62"/>
      <c r="I35" s="62"/>
      <c r="J35" s="63"/>
      <c r="K35" s="61"/>
      <c r="L35" s="64"/>
      <c r="M35" s="19"/>
      <c r="N35" s="17"/>
      <c r="P35" s="54">
        <v>29</v>
      </c>
      <c r="Q35" s="121"/>
      <c r="R35" s="54"/>
      <c r="S35" s="54"/>
    </row>
    <row r="36" spans="2:19" ht="17.25" customHeight="1" x14ac:dyDescent="0.25">
      <c r="B36" s="11" t="s">
        <v>47</v>
      </c>
      <c r="C36" s="12"/>
      <c r="D36" s="12"/>
      <c r="E36" s="12"/>
      <c r="F36" s="18"/>
      <c r="G36" s="12"/>
      <c r="H36" s="12"/>
      <c r="I36" s="12"/>
      <c r="J36" s="12"/>
      <c r="K36" s="12"/>
      <c r="L36" s="12"/>
      <c r="M36" s="19"/>
      <c r="N36" s="51"/>
      <c r="P36" s="54">
        <v>30</v>
      </c>
      <c r="Q36" s="121"/>
      <c r="R36" s="54"/>
      <c r="S36" s="54"/>
    </row>
    <row r="37" spans="2:19" ht="17.25" customHeight="1" x14ac:dyDescent="0.25">
      <c r="B37" s="22">
        <v>16</v>
      </c>
      <c r="C37" s="56"/>
      <c r="D37" s="57"/>
      <c r="E37" s="59"/>
      <c r="F37" s="60"/>
      <c r="G37" s="57"/>
      <c r="H37" s="57"/>
      <c r="I37" s="62"/>
      <c r="J37" s="63"/>
      <c r="K37" s="61"/>
      <c r="L37" s="64"/>
      <c r="M37" s="19"/>
      <c r="N37" s="17"/>
      <c r="P37" s="54">
        <v>31</v>
      </c>
      <c r="Q37" s="121"/>
      <c r="R37" s="54"/>
      <c r="S37" s="54"/>
    </row>
    <row r="38" spans="2:19" ht="17.25" customHeight="1" x14ac:dyDescent="0.25">
      <c r="B38" s="11" t="s">
        <v>47</v>
      </c>
      <c r="C38" s="12"/>
      <c r="D38" s="12"/>
      <c r="E38" s="12"/>
      <c r="F38" s="18"/>
      <c r="G38" s="12"/>
      <c r="H38" s="12"/>
      <c r="I38" s="12"/>
      <c r="J38" s="12"/>
      <c r="K38" s="12"/>
      <c r="L38" s="12"/>
      <c r="M38" s="19"/>
      <c r="N38" s="51"/>
      <c r="P38" s="35"/>
      <c r="Q38" s="122">
        <f>SUM(Q7:Q37)</f>
        <v>1437</v>
      </c>
      <c r="R38" s="35">
        <f>SUM(R7:R37)</f>
        <v>4260</v>
      </c>
      <c r="S38" s="122">
        <f>SUM(S7:S37)</f>
        <v>161.50000000000003</v>
      </c>
    </row>
    <row r="39" spans="2:19" ht="17.25" customHeight="1" x14ac:dyDescent="0.25">
      <c r="B39" s="22">
        <v>17</v>
      </c>
      <c r="C39" s="56"/>
      <c r="D39" s="57"/>
      <c r="E39" s="59"/>
      <c r="F39" s="60"/>
      <c r="G39" s="62"/>
      <c r="H39" s="62"/>
      <c r="I39" s="62"/>
      <c r="J39" s="63"/>
      <c r="K39" s="61"/>
      <c r="L39" s="64"/>
      <c r="M39" s="19"/>
      <c r="N39" s="17"/>
    </row>
    <row r="40" spans="2:19" ht="17.25" customHeight="1" x14ac:dyDescent="0.25">
      <c r="B40" s="11" t="s">
        <v>47</v>
      </c>
      <c r="C40" s="12"/>
      <c r="D40" s="12"/>
      <c r="E40" s="12"/>
      <c r="F40" s="18"/>
      <c r="G40" s="12"/>
      <c r="H40" s="12"/>
      <c r="I40" s="12"/>
      <c r="J40" s="12"/>
      <c r="K40" s="12"/>
      <c r="L40" s="12"/>
      <c r="M40" s="19"/>
      <c r="N40" s="51"/>
      <c r="P40" s="35"/>
      <c r="Q40" s="122"/>
      <c r="R40" s="35"/>
      <c r="S40" s="35"/>
    </row>
    <row r="41" spans="2:19" ht="17.25" customHeight="1" x14ac:dyDescent="0.25">
      <c r="B41" s="22">
        <v>18</v>
      </c>
      <c r="C41" s="56"/>
      <c r="D41" s="57"/>
      <c r="E41" s="59"/>
      <c r="F41" s="60"/>
      <c r="G41" s="62"/>
      <c r="H41" s="57"/>
      <c r="I41" s="62"/>
      <c r="J41" s="63"/>
      <c r="K41" s="61"/>
      <c r="L41" s="64"/>
      <c r="M41" s="19"/>
      <c r="N41" s="17"/>
    </row>
    <row r="42" spans="2:19" ht="17.25" customHeight="1" x14ac:dyDescent="0.25">
      <c r="B42" s="11" t="s">
        <v>47</v>
      </c>
      <c r="C42" s="12"/>
      <c r="D42" s="12"/>
      <c r="E42" s="12"/>
      <c r="F42" s="18"/>
      <c r="G42" s="12"/>
      <c r="H42" s="12"/>
      <c r="I42" s="12"/>
      <c r="J42" s="12"/>
      <c r="K42" s="12"/>
      <c r="L42" s="12"/>
      <c r="M42" s="19"/>
      <c r="N42" s="51"/>
      <c r="P42" s="35"/>
      <c r="Q42" s="122"/>
      <c r="R42" s="35"/>
      <c r="S42" s="35"/>
    </row>
    <row r="43" spans="2:19" ht="17.25" customHeight="1" x14ac:dyDescent="0.25">
      <c r="B43" s="22">
        <v>19</v>
      </c>
      <c r="C43" s="56"/>
      <c r="D43" s="57"/>
      <c r="E43" s="59"/>
      <c r="F43" s="60"/>
      <c r="G43" s="7"/>
      <c r="H43" s="62"/>
      <c r="I43" s="62"/>
      <c r="J43" s="63"/>
      <c r="K43" s="61"/>
      <c r="L43" s="64"/>
      <c r="M43" s="19"/>
      <c r="N43" s="17"/>
    </row>
    <row r="44" spans="2:19" ht="17.25" customHeight="1" x14ac:dyDescent="0.25">
      <c r="B44" s="11" t="s">
        <v>47</v>
      </c>
      <c r="C44" s="12"/>
      <c r="D44" s="12"/>
      <c r="E44" s="12"/>
      <c r="F44" s="18"/>
      <c r="G44" s="12"/>
      <c r="H44" s="12"/>
      <c r="I44" s="12"/>
      <c r="J44" s="12"/>
      <c r="K44" s="12"/>
      <c r="L44" s="12"/>
      <c r="M44" s="19"/>
      <c r="N44" s="51"/>
      <c r="P44" s="35"/>
      <c r="Q44" s="122"/>
      <c r="R44" s="35"/>
      <c r="S44" s="35"/>
    </row>
    <row r="45" spans="2:19" ht="17.25" customHeight="1" x14ac:dyDescent="0.25">
      <c r="B45" s="22">
        <v>20</v>
      </c>
      <c r="C45" s="56"/>
      <c r="D45" s="57"/>
      <c r="E45" s="59"/>
      <c r="F45" s="18"/>
      <c r="G45" s="7"/>
      <c r="H45" s="7"/>
      <c r="I45" s="62"/>
      <c r="J45" s="48"/>
      <c r="K45" s="61"/>
      <c r="L45" s="64"/>
      <c r="M45" s="19"/>
      <c r="N45" s="17"/>
    </row>
    <row r="46" spans="2:19" ht="17.25" customHeight="1" x14ac:dyDescent="0.25">
      <c r="B46" s="11" t="s">
        <v>47</v>
      </c>
      <c r="C46" s="12"/>
      <c r="D46" s="12"/>
      <c r="E46" s="12"/>
      <c r="F46" s="18"/>
      <c r="G46" s="12"/>
      <c r="H46" s="12"/>
      <c r="I46" s="12"/>
      <c r="J46" s="12"/>
      <c r="K46" s="12"/>
      <c r="L46" s="12"/>
      <c r="M46" s="19"/>
      <c r="N46" s="51"/>
      <c r="P46" s="35"/>
      <c r="Q46" s="122"/>
      <c r="R46" s="35"/>
      <c r="S46" s="35"/>
    </row>
    <row r="47" spans="2:19" ht="17.25" customHeight="1" x14ac:dyDescent="0.25">
      <c r="B47" s="22">
        <v>21</v>
      </c>
      <c r="C47" s="56"/>
      <c r="D47" s="57"/>
      <c r="E47" s="59"/>
      <c r="F47" s="60"/>
      <c r="G47" s="62"/>
      <c r="H47" s="57"/>
      <c r="I47" s="62"/>
      <c r="J47" s="63"/>
      <c r="K47" s="61"/>
      <c r="L47" s="64"/>
      <c r="M47" s="19"/>
      <c r="N47" s="17"/>
    </row>
    <row r="48" spans="2:19" ht="17.25" customHeight="1" x14ac:dyDescent="0.25">
      <c r="B48" s="11" t="s">
        <v>47</v>
      </c>
      <c r="C48" s="12"/>
      <c r="D48" s="12"/>
      <c r="E48" s="12"/>
      <c r="F48" s="18"/>
      <c r="G48" s="12"/>
      <c r="H48" s="12"/>
      <c r="I48" s="12"/>
      <c r="J48" s="12"/>
      <c r="K48" s="12"/>
      <c r="L48" s="12"/>
      <c r="M48" s="19"/>
      <c r="N48" s="51"/>
    </row>
    <row r="49" spans="2:14" ht="17.25" customHeight="1" x14ac:dyDescent="0.25">
      <c r="B49" s="22">
        <v>22</v>
      </c>
      <c r="C49" s="74"/>
      <c r="D49" s="75"/>
      <c r="E49" s="59"/>
      <c r="F49" s="68"/>
      <c r="G49" s="77"/>
      <c r="H49" s="77"/>
      <c r="I49" s="62"/>
      <c r="J49" s="78"/>
      <c r="K49" s="61"/>
      <c r="L49" s="79"/>
      <c r="M49" s="19"/>
      <c r="N49" s="17"/>
    </row>
    <row r="50" spans="2:14" ht="17.25" customHeight="1" x14ac:dyDescent="0.25">
      <c r="B50" s="11" t="s">
        <v>47</v>
      </c>
      <c r="C50" s="12"/>
      <c r="D50" s="12"/>
      <c r="E50" s="12"/>
      <c r="F50" s="18"/>
      <c r="G50" s="12"/>
      <c r="H50" s="12"/>
      <c r="I50" s="12"/>
      <c r="J50" s="12"/>
      <c r="K50" s="12"/>
      <c r="L50" s="12"/>
      <c r="M50" s="19"/>
      <c r="N50" s="51"/>
    </row>
    <row r="51" spans="2:14" ht="17.25" customHeight="1" x14ac:dyDescent="0.25">
      <c r="B51" s="22">
        <v>23</v>
      </c>
      <c r="C51" s="74"/>
      <c r="D51" s="75"/>
      <c r="E51" s="59"/>
      <c r="F51" s="68"/>
      <c r="G51" s="77"/>
      <c r="H51" s="77"/>
      <c r="I51" s="62"/>
      <c r="J51" s="78"/>
      <c r="K51" s="61"/>
      <c r="L51" s="80"/>
      <c r="M51" s="19"/>
      <c r="N51" s="17"/>
    </row>
    <row r="52" spans="2:14" ht="17.25" customHeight="1" x14ac:dyDescent="0.25">
      <c r="B52" s="11" t="s">
        <v>47</v>
      </c>
      <c r="C52" s="12"/>
      <c r="D52" s="12"/>
      <c r="E52" s="12"/>
      <c r="F52" s="18"/>
      <c r="G52" s="12"/>
      <c r="H52" s="12"/>
      <c r="I52" s="12"/>
      <c r="J52" s="12"/>
      <c r="K52" s="12"/>
      <c r="L52" s="12"/>
      <c r="M52" s="19"/>
      <c r="N52" s="51"/>
    </row>
    <row r="53" spans="2:14" ht="17.25" customHeight="1" x14ac:dyDescent="0.25">
      <c r="B53" s="22">
        <v>24</v>
      </c>
      <c r="C53" s="74"/>
      <c r="D53" s="75"/>
      <c r="E53" s="59"/>
      <c r="F53" s="68"/>
      <c r="G53" s="75"/>
      <c r="H53" s="75"/>
      <c r="I53" s="62"/>
      <c r="J53" s="78"/>
      <c r="K53" s="61"/>
      <c r="L53" s="79"/>
      <c r="M53" s="19"/>
      <c r="N53" s="17"/>
    </row>
    <row r="54" spans="2:14" ht="17.25" customHeight="1" x14ac:dyDescent="0.25">
      <c r="B54" s="11" t="s">
        <v>47</v>
      </c>
      <c r="C54" s="12"/>
      <c r="D54" s="12"/>
      <c r="E54" s="12"/>
      <c r="F54" s="18"/>
      <c r="G54" s="12"/>
      <c r="H54" s="12"/>
      <c r="I54" s="12"/>
      <c r="J54" s="12"/>
      <c r="K54" s="12"/>
      <c r="L54" s="12"/>
      <c r="M54" s="19"/>
      <c r="N54" s="51"/>
    </row>
    <row r="55" spans="2:14" ht="17.25" customHeight="1" x14ac:dyDescent="0.25">
      <c r="B55" s="22">
        <v>25</v>
      </c>
      <c r="C55" s="74"/>
      <c r="D55" s="75"/>
      <c r="E55" s="59"/>
      <c r="F55" s="68"/>
      <c r="G55" s="77"/>
      <c r="H55" s="77"/>
      <c r="I55" s="62"/>
      <c r="J55" s="78"/>
      <c r="K55" s="61"/>
      <c r="L55" s="79"/>
      <c r="M55" s="19"/>
      <c r="N55" s="17"/>
    </row>
    <row r="56" spans="2:14" ht="17.25" customHeight="1" x14ac:dyDescent="0.25">
      <c r="B56" s="11" t="s">
        <v>47</v>
      </c>
      <c r="C56" s="12"/>
      <c r="D56" s="12"/>
      <c r="E56" s="12"/>
      <c r="F56" s="18"/>
      <c r="G56" s="12"/>
      <c r="H56" s="12"/>
      <c r="I56" s="12"/>
      <c r="J56" s="12"/>
      <c r="K56" s="12"/>
      <c r="L56" s="12"/>
      <c r="M56" s="19"/>
      <c r="N56" s="51"/>
    </row>
    <row r="57" spans="2:14" ht="17.25" customHeight="1" x14ac:dyDescent="0.25">
      <c r="B57" s="22">
        <v>26</v>
      </c>
      <c r="C57" s="74"/>
      <c r="D57" s="75"/>
      <c r="E57" s="59"/>
      <c r="F57" s="68"/>
      <c r="G57" s="77"/>
      <c r="H57" s="77"/>
      <c r="I57" s="62"/>
      <c r="J57" s="78"/>
      <c r="K57" s="61"/>
      <c r="L57" s="79"/>
      <c r="M57" s="19"/>
      <c r="N57" s="17"/>
    </row>
    <row r="58" spans="2:14" ht="17.25" customHeight="1" x14ac:dyDescent="0.25">
      <c r="B58" s="11" t="s">
        <v>47</v>
      </c>
      <c r="C58" s="12"/>
      <c r="D58" s="12"/>
      <c r="E58" s="12"/>
      <c r="F58" s="18"/>
      <c r="G58" s="12"/>
      <c r="H58" s="12"/>
      <c r="I58" s="12"/>
      <c r="J58" s="12"/>
      <c r="K58" s="12"/>
      <c r="L58" s="12"/>
      <c r="M58" s="19"/>
      <c r="N58" s="51"/>
    </row>
    <row r="59" spans="2:14" ht="17.25" customHeight="1" x14ac:dyDescent="0.25">
      <c r="B59" s="22">
        <v>27</v>
      </c>
      <c r="C59" s="74"/>
      <c r="D59" s="75"/>
      <c r="E59" s="59"/>
      <c r="F59" s="68"/>
      <c r="G59" s="77"/>
      <c r="H59" s="77"/>
      <c r="I59" s="62"/>
      <c r="J59" s="78"/>
      <c r="K59" s="61"/>
      <c r="L59" s="79"/>
      <c r="M59" s="19"/>
      <c r="N59" s="17"/>
    </row>
    <row r="60" spans="2:14" ht="17.25" customHeight="1" x14ac:dyDescent="0.25">
      <c r="B60" s="11" t="s">
        <v>47</v>
      </c>
      <c r="C60" s="12"/>
      <c r="D60" s="12"/>
      <c r="E60" s="12"/>
      <c r="F60" s="18"/>
      <c r="G60" s="12"/>
      <c r="H60" s="12"/>
      <c r="I60" s="12"/>
      <c r="J60" s="12"/>
      <c r="K60" s="12"/>
      <c r="L60" s="12"/>
      <c r="M60" s="19"/>
      <c r="N60" s="51"/>
    </row>
    <row r="61" spans="2:14" ht="17.25" customHeight="1" x14ac:dyDescent="0.25">
      <c r="B61" s="22">
        <v>28</v>
      </c>
      <c r="C61" s="74"/>
      <c r="D61" s="75"/>
      <c r="E61" s="59"/>
      <c r="F61" s="68"/>
      <c r="G61" s="75"/>
      <c r="H61" s="75"/>
      <c r="I61" s="62"/>
      <c r="J61" s="78"/>
      <c r="K61" s="61"/>
      <c r="L61" s="79"/>
      <c r="M61" s="19"/>
      <c r="N61" s="17"/>
    </row>
    <row r="62" spans="2:14" ht="17.25" customHeight="1" x14ac:dyDescent="0.25">
      <c r="B62" s="11" t="s">
        <v>47</v>
      </c>
      <c r="C62" s="12"/>
      <c r="D62" s="12"/>
      <c r="E62" s="12"/>
      <c r="F62" s="18"/>
      <c r="G62" s="12"/>
      <c r="H62" s="12"/>
      <c r="I62" s="12"/>
      <c r="J62" s="12"/>
      <c r="K62" s="12"/>
      <c r="L62" s="12"/>
      <c r="M62" s="19"/>
      <c r="N62" s="51"/>
    </row>
    <row r="63" spans="2:14" ht="17.25" customHeight="1" x14ac:dyDescent="0.25">
      <c r="B63" s="22">
        <v>29</v>
      </c>
      <c r="C63" s="74"/>
      <c r="D63" s="75"/>
      <c r="E63" s="59"/>
      <c r="F63" s="68"/>
      <c r="G63" s="75"/>
      <c r="H63" s="75"/>
      <c r="I63" s="62"/>
      <c r="J63" s="78"/>
      <c r="K63" s="61"/>
      <c r="L63" s="79"/>
      <c r="M63" s="19"/>
      <c r="N63" s="17"/>
    </row>
    <row r="64" spans="2:14" ht="17.25" customHeight="1" x14ac:dyDescent="0.25">
      <c r="B64" s="11" t="s">
        <v>47</v>
      </c>
      <c r="C64" s="12"/>
      <c r="D64" s="12"/>
      <c r="E64" s="12"/>
      <c r="F64" s="18"/>
      <c r="G64" s="12"/>
      <c r="H64" s="12"/>
      <c r="I64" s="12"/>
      <c r="J64" s="12"/>
      <c r="K64" s="12"/>
      <c r="L64" s="12"/>
      <c r="M64" s="19"/>
      <c r="N64" s="51"/>
    </row>
    <row r="65" spans="2:14" ht="17.25" customHeight="1" x14ac:dyDescent="0.25">
      <c r="B65" s="22">
        <v>30</v>
      </c>
      <c r="C65" s="74"/>
      <c r="D65" s="75"/>
      <c r="E65" s="59"/>
      <c r="F65" s="68"/>
      <c r="G65" s="75"/>
      <c r="H65" s="75"/>
      <c r="I65" s="62"/>
      <c r="J65" s="78"/>
      <c r="K65" s="61"/>
      <c r="L65" s="79"/>
      <c r="M65" s="19"/>
      <c r="N65" s="17"/>
    </row>
    <row r="66" spans="2:14" ht="17.25" customHeight="1" x14ac:dyDescent="0.25">
      <c r="B66" s="11" t="s">
        <v>47</v>
      </c>
      <c r="C66" s="12"/>
      <c r="D66" s="12"/>
      <c r="E66" s="12"/>
      <c r="F66" s="18"/>
      <c r="G66" s="12"/>
      <c r="H66" s="12"/>
      <c r="I66" s="12"/>
      <c r="J66" s="12"/>
      <c r="K66" s="12"/>
      <c r="L66" s="12"/>
      <c r="M66" s="19"/>
      <c r="N66" s="51"/>
    </row>
  </sheetData>
  <customSheetViews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T5:U6"/>
    <mergeCell ref="F2:J2"/>
    <mergeCell ref="F3:J3"/>
    <mergeCell ref="M5:M6"/>
    <mergeCell ref="N5:N6"/>
    <mergeCell ref="M3:N3"/>
    <mergeCell ref="B5:B6"/>
    <mergeCell ref="F5:F6"/>
    <mergeCell ref="S5:S6"/>
    <mergeCell ref="R5:R6"/>
    <mergeCell ref="Q5:Q6"/>
    <mergeCell ref="P5:P6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66"/>
  <sheetViews>
    <sheetView zoomScaleNormal="100" workbookViewId="0">
      <pane ySplit="6" topLeftCell="A7" activePane="bottomLeft" state="frozen"/>
      <selection pane="bottomLeft" activeCell="C26" sqref="C26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6" t="s">
        <v>34</v>
      </c>
    </row>
    <row r="3" spans="2:8" ht="21" customHeight="1" x14ac:dyDescent="0.25">
      <c r="D3" s="37" t="s">
        <v>65</v>
      </c>
      <c r="F3" s="89"/>
      <c r="G3" s="89"/>
      <c r="H3" s="89"/>
    </row>
    <row r="4" spans="2:8" ht="15" customHeight="1" x14ac:dyDescent="0.25">
      <c r="D4" s="120" t="s">
        <v>66</v>
      </c>
      <c r="E4" s="120"/>
      <c r="F4" s="89"/>
      <c r="G4" s="89"/>
      <c r="H4" s="89"/>
    </row>
    <row r="5" spans="2:8" ht="30.75" customHeight="1" x14ac:dyDescent="0.25">
      <c r="B5" s="103" t="s">
        <v>37</v>
      </c>
      <c r="C5" s="4" t="s">
        <v>67</v>
      </c>
      <c r="D5" s="4" t="s">
        <v>68</v>
      </c>
      <c r="E5" s="118" t="s">
        <v>69</v>
      </c>
    </row>
    <row r="6" spans="2:8" ht="15.75" customHeight="1" x14ac:dyDescent="0.25">
      <c r="B6" s="104"/>
      <c r="C6" s="3" t="s">
        <v>70</v>
      </c>
      <c r="D6" s="3"/>
      <c r="E6" s="119"/>
    </row>
    <row r="7" spans="2:8" ht="17.25" customHeight="1" x14ac:dyDescent="0.25">
      <c r="B7" s="22">
        <v>1</v>
      </c>
      <c r="C7" s="56">
        <v>283884</v>
      </c>
      <c r="D7" s="81">
        <v>54220</v>
      </c>
      <c r="E7" s="52"/>
      <c r="H7" s="1" t="s">
        <v>71</v>
      </c>
    </row>
    <row r="8" spans="2:8" ht="17.25" customHeight="1" x14ac:dyDescent="0.25">
      <c r="B8" s="11" t="s">
        <v>47</v>
      </c>
      <c r="C8" s="66">
        <f>C7-283689</f>
        <v>195</v>
      </c>
      <c r="D8" s="69">
        <f>D754220</f>
        <v>0</v>
      </c>
      <c r="E8" s="88">
        <f>C8</f>
        <v>195</v>
      </c>
    </row>
    <row r="9" spans="2:8" ht="17.25" customHeight="1" x14ac:dyDescent="0.25">
      <c r="B9" s="22">
        <v>2</v>
      </c>
      <c r="C9" s="56">
        <v>284105</v>
      </c>
      <c r="D9" s="81">
        <v>54220</v>
      </c>
      <c r="E9" s="52"/>
    </row>
    <row r="10" spans="2:8" ht="17.25" customHeight="1" x14ac:dyDescent="0.25">
      <c r="B10" s="11" t="s">
        <v>47</v>
      </c>
      <c r="C10" s="49">
        <f>C9-C7</f>
        <v>221</v>
      </c>
      <c r="D10" s="49">
        <f>D9-D7</f>
        <v>0</v>
      </c>
      <c r="E10" s="88">
        <f>C10</f>
        <v>221</v>
      </c>
      <c r="G10"/>
      <c r="H10" s="53"/>
    </row>
    <row r="11" spans="2:8" ht="17.25" customHeight="1" x14ac:dyDescent="0.25">
      <c r="B11" s="22">
        <v>3</v>
      </c>
      <c r="C11" s="56">
        <v>284320</v>
      </c>
      <c r="D11" s="81">
        <v>54220</v>
      </c>
      <c r="E11" s="52"/>
    </row>
    <row r="12" spans="2:8" ht="17.25" customHeight="1" x14ac:dyDescent="0.25">
      <c r="B12" s="11" t="s">
        <v>47</v>
      </c>
      <c r="C12" s="49">
        <f>C11-C9</f>
        <v>215</v>
      </c>
      <c r="D12" s="49">
        <f>D11-D9</f>
        <v>0</v>
      </c>
      <c r="E12" s="88">
        <f>C12</f>
        <v>215</v>
      </c>
      <c r="G12"/>
      <c r="H12" s="53"/>
    </row>
    <row r="13" spans="2:8" ht="17.25" customHeight="1" x14ac:dyDescent="0.25">
      <c r="B13" s="22">
        <v>4</v>
      </c>
      <c r="C13" s="46">
        <v>284506</v>
      </c>
      <c r="D13" s="81">
        <v>54220</v>
      </c>
      <c r="E13" s="52"/>
    </row>
    <row r="14" spans="2:8" ht="17.25" customHeight="1" x14ac:dyDescent="0.25">
      <c r="B14" s="11" t="s">
        <v>47</v>
      </c>
      <c r="C14" s="49">
        <f>C13-C11</f>
        <v>186</v>
      </c>
      <c r="D14" s="49">
        <f>D13-D11</f>
        <v>0</v>
      </c>
      <c r="E14" s="88">
        <f>C14</f>
        <v>186</v>
      </c>
      <c r="G14"/>
      <c r="H14" s="53"/>
    </row>
    <row r="15" spans="2:8" ht="17.25" customHeight="1" x14ac:dyDescent="0.25">
      <c r="B15" s="22">
        <v>5</v>
      </c>
      <c r="C15" s="46">
        <v>284703</v>
      </c>
      <c r="D15" s="81">
        <v>54220</v>
      </c>
      <c r="E15" s="52"/>
    </row>
    <row r="16" spans="2:8" ht="17.25" customHeight="1" x14ac:dyDescent="0.25">
      <c r="B16" s="11" t="s">
        <v>47</v>
      </c>
      <c r="C16" s="49">
        <f>C15-C13</f>
        <v>197</v>
      </c>
      <c r="D16" s="49">
        <f>D15-D13</f>
        <v>0</v>
      </c>
      <c r="E16" s="88">
        <f>C16</f>
        <v>197</v>
      </c>
      <c r="G16"/>
      <c r="H16" s="53"/>
    </row>
    <row r="17" spans="2:8" ht="17.25" customHeight="1" x14ac:dyDescent="0.25">
      <c r="B17" s="22">
        <v>6</v>
      </c>
      <c r="C17" s="46">
        <v>284903</v>
      </c>
      <c r="D17" s="81">
        <v>54220</v>
      </c>
      <c r="E17" s="52"/>
    </row>
    <row r="18" spans="2:8" ht="17.25" customHeight="1" x14ac:dyDescent="0.25">
      <c r="B18" s="11" t="s">
        <v>47</v>
      </c>
      <c r="C18" s="49">
        <f>C17-C15</f>
        <v>200</v>
      </c>
      <c r="D18" s="49">
        <f>D17-D15</f>
        <v>0</v>
      </c>
      <c r="E18" s="88">
        <f>C18</f>
        <v>200</v>
      </c>
      <c r="G18"/>
      <c r="H18" s="53"/>
    </row>
    <row r="19" spans="2:8" ht="17.25" customHeight="1" x14ac:dyDescent="0.25">
      <c r="B19" s="22">
        <v>7</v>
      </c>
      <c r="C19" s="46">
        <v>285107</v>
      </c>
      <c r="D19" s="81">
        <v>54220</v>
      </c>
      <c r="E19" s="52"/>
    </row>
    <row r="20" spans="2:8" ht="17.25" customHeight="1" x14ac:dyDescent="0.25">
      <c r="B20" s="11" t="s">
        <v>47</v>
      </c>
      <c r="C20" s="49">
        <f>C19-C17</f>
        <v>204</v>
      </c>
      <c r="D20" s="49">
        <f>D19-D17</f>
        <v>0</v>
      </c>
      <c r="E20" s="88">
        <f>C20</f>
        <v>204</v>
      </c>
      <c r="G20"/>
      <c r="H20" s="53"/>
    </row>
    <row r="21" spans="2:8" ht="17.25" customHeight="1" x14ac:dyDescent="0.25">
      <c r="B21" s="22">
        <v>8</v>
      </c>
      <c r="C21" s="46">
        <v>285317</v>
      </c>
      <c r="D21" s="81">
        <v>54220</v>
      </c>
      <c r="E21" s="52"/>
    </row>
    <row r="22" spans="2:8" ht="17.25" customHeight="1" x14ac:dyDescent="0.25">
      <c r="B22" s="11" t="s">
        <v>47</v>
      </c>
      <c r="C22" s="49">
        <f>C21-C19</f>
        <v>210</v>
      </c>
      <c r="D22" s="49">
        <f>D21-D19</f>
        <v>0</v>
      </c>
      <c r="E22" s="88">
        <f>C22</f>
        <v>210</v>
      </c>
      <c r="G22"/>
      <c r="H22" s="53"/>
    </row>
    <row r="23" spans="2:8" ht="17.25" customHeight="1" x14ac:dyDescent="0.25">
      <c r="B23" s="22">
        <v>9</v>
      </c>
      <c r="C23" s="46">
        <v>285548</v>
      </c>
      <c r="D23" s="81">
        <v>54220</v>
      </c>
      <c r="E23" s="52"/>
    </row>
    <row r="24" spans="2:8" ht="17.25" customHeight="1" x14ac:dyDescent="0.25">
      <c r="B24" s="11" t="s">
        <v>47</v>
      </c>
      <c r="C24" s="49">
        <f>C23-C21</f>
        <v>231</v>
      </c>
      <c r="D24" s="49">
        <f>D23-D21</f>
        <v>0</v>
      </c>
      <c r="E24" s="88">
        <f>C24</f>
        <v>231</v>
      </c>
      <c r="G24"/>
      <c r="H24" s="53"/>
    </row>
    <row r="25" spans="2:8" ht="17.25" customHeight="1" x14ac:dyDescent="0.25">
      <c r="B25" s="22">
        <v>10</v>
      </c>
      <c r="C25" s="46">
        <v>285785</v>
      </c>
      <c r="D25" s="81">
        <v>54220</v>
      </c>
      <c r="E25" s="52"/>
    </row>
    <row r="26" spans="2:8" ht="17.25" customHeight="1" x14ac:dyDescent="0.25">
      <c r="B26" s="11" t="s">
        <v>47</v>
      </c>
      <c r="C26" s="49">
        <f>C25-C23</f>
        <v>237</v>
      </c>
      <c r="D26" s="49">
        <f>D25-D23</f>
        <v>0</v>
      </c>
      <c r="E26" s="88">
        <f>C26</f>
        <v>237</v>
      </c>
      <c r="G26"/>
      <c r="H26" s="53"/>
    </row>
    <row r="27" spans="2:8" ht="17.25" customHeight="1" x14ac:dyDescent="0.25">
      <c r="B27" s="22">
        <v>11</v>
      </c>
      <c r="C27" s="56"/>
      <c r="D27" s="61"/>
      <c r="E27" s="52"/>
    </row>
    <row r="28" spans="2:8" ht="17.25" customHeight="1" x14ac:dyDescent="0.25">
      <c r="B28" s="11" t="s">
        <v>47</v>
      </c>
      <c r="C28" s="49"/>
      <c r="D28" s="49"/>
      <c r="E28" s="52"/>
    </row>
    <row r="29" spans="2:8" ht="17.25" customHeight="1" x14ac:dyDescent="0.25">
      <c r="B29" s="22">
        <v>12</v>
      </c>
      <c r="C29" s="46"/>
      <c r="D29" s="61"/>
      <c r="E29" s="52"/>
    </row>
    <row r="30" spans="2:8" ht="17.25" customHeight="1" x14ac:dyDescent="0.25">
      <c r="B30" s="11" t="s">
        <v>47</v>
      </c>
      <c r="C30" s="49"/>
      <c r="D30" s="49"/>
      <c r="E30" s="52"/>
    </row>
    <row r="31" spans="2:8" ht="17.25" customHeight="1" x14ac:dyDescent="0.25">
      <c r="B31" s="22">
        <v>13</v>
      </c>
      <c r="C31" s="46"/>
      <c r="D31" s="61"/>
      <c r="E31" s="52"/>
    </row>
    <row r="32" spans="2:8" ht="17.25" customHeight="1" x14ac:dyDescent="0.25">
      <c r="B32" s="11" t="s">
        <v>47</v>
      </c>
      <c r="C32" s="49"/>
      <c r="D32" s="49"/>
      <c r="E32" s="52"/>
    </row>
    <row r="33" spans="2:5" ht="17.25" customHeight="1" x14ac:dyDescent="0.25">
      <c r="B33" s="22">
        <v>14</v>
      </c>
      <c r="C33" s="46"/>
      <c r="D33" s="61"/>
      <c r="E33" s="52"/>
    </row>
    <row r="34" spans="2:5" ht="17.25" customHeight="1" x14ac:dyDescent="0.25">
      <c r="B34" s="11" t="s">
        <v>47</v>
      </c>
      <c r="C34" s="49"/>
      <c r="D34" s="49"/>
      <c r="E34" s="52"/>
    </row>
    <row r="35" spans="2:5" ht="17.25" customHeight="1" x14ac:dyDescent="0.25">
      <c r="B35" s="22">
        <v>15</v>
      </c>
      <c r="C35" s="56"/>
      <c r="D35" s="61"/>
      <c r="E35" s="52"/>
    </row>
    <row r="36" spans="2:5" ht="17.25" customHeight="1" x14ac:dyDescent="0.25">
      <c r="B36" s="11" t="s">
        <v>47</v>
      </c>
      <c r="C36" s="49"/>
      <c r="D36" s="49"/>
      <c r="E36" s="52"/>
    </row>
    <row r="37" spans="2:5" ht="17.25" customHeight="1" x14ac:dyDescent="0.25">
      <c r="B37" s="22">
        <v>16</v>
      </c>
      <c r="C37" s="56"/>
      <c r="D37" s="61"/>
      <c r="E37" s="52"/>
    </row>
    <row r="38" spans="2:5" ht="17.25" customHeight="1" x14ac:dyDescent="0.25">
      <c r="B38" s="11" t="s">
        <v>47</v>
      </c>
      <c r="C38" s="49"/>
      <c r="D38" s="49"/>
      <c r="E38" s="52"/>
    </row>
    <row r="39" spans="2:5" ht="17.25" customHeight="1" x14ac:dyDescent="0.25">
      <c r="B39" s="22">
        <v>17</v>
      </c>
      <c r="C39" s="56"/>
      <c r="D39" s="61"/>
      <c r="E39" s="52"/>
    </row>
    <row r="40" spans="2:5" ht="17.25" customHeight="1" x14ac:dyDescent="0.25">
      <c r="B40" s="11" t="s">
        <v>47</v>
      </c>
      <c r="C40" s="49"/>
      <c r="D40" s="49"/>
      <c r="E40" s="52"/>
    </row>
    <row r="41" spans="2:5" ht="17.25" customHeight="1" x14ac:dyDescent="0.25">
      <c r="B41" s="22">
        <v>18</v>
      </c>
      <c r="C41" s="56"/>
      <c r="D41" s="61"/>
      <c r="E41" s="52"/>
    </row>
    <row r="42" spans="2:5" ht="17.25" customHeight="1" x14ac:dyDescent="0.25">
      <c r="B42" s="11" t="s">
        <v>47</v>
      </c>
      <c r="C42" s="49"/>
      <c r="D42" s="49"/>
      <c r="E42" s="52"/>
    </row>
    <row r="43" spans="2:5" ht="17.25" customHeight="1" x14ac:dyDescent="0.25">
      <c r="B43" s="22">
        <v>19</v>
      </c>
      <c r="C43" s="56"/>
      <c r="D43" s="61"/>
      <c r="E43" s="52"/>
    </row>
    <row r="44" spans="2:5" ht="17.25" customHeight="1" x14ac:dyDescent="0.25">
      <c r="B44" s="11" t="s">
        <v>47</v>
      </c>
      <c r="C44" s="49"/>
      <c r="D44" s="49"/>
      <c r="E44" s="52"/>
    </row>
    <row r="45" spans="2:5" ht="17.25" customHeight="1" x14ac:dyDescent="0.25">
      <c r="B45" s="22">
        <v>20</v>
      </c>
      <c r="C45" s="56"/>
      <c r="D45" s="61"/>
      <c r="E45" s="52"/>
    </row>
    <row r="46" spans="2:5" ht="17.25" customHeight="1" x14ac:dyDescent="0.25">
      <c r="B46" s="11" t="s">
        <v>47</v>
      </c>
      <c r="C46" s="49"/>
      <c r="D46" s="49"/>
      <c r="E46" s="52"/>
    </row>
    <row r="47" spans="2:5" ht="17.25" customHeight="1" x14ac:dyDescent="0.25">
      <c r="B47" s="22">
        <v>21</v>
      </c>
      <c r="C47" s="56"/>
      <c r="D47" s="61"/>
      <c r="E47" s="52"/>
    </row>
    <row r="48" spans="2:5" ht="17.25" customHeight="1" x14ac:dyDescent="0.25">
      <c r="B48" s="11" t="s">
        <v>47</v>
      </c>
      <c r="C48" s="49"/>
      <c r="D48" s="49"/>
      <c r="E48" s="52"/>
    </row>
    <row r="49" spans="2:5" ht="17.25" customHeight="1" x14ac:dyDescent="0.25">
      <c r="B49" s="22">
        <v>22</v>
      </c>
      <c r="C49" s="74"/>
      <c r="D49" s="61"/>
      <c r="E49" s="52"/>
    </row>
    <row r="50" spans="2:5" ht="17.25" customHeight="1" x14ac:dyDescent="0.25">
      <c r="B50" s="11" t="s">
        <v>47</v>
      </c>
      <c r="C50" s="49"/>
      <c r="D50" s="49"/>
      <c r="E50" s="52"/>
    </row>
    <row r="51" spans="2:5" ht="17.25" customHeight="1" x14ac:dyDescent="0.25">
      <c r="B51" s="22">
        <v>23</v>
      </c>
      <c r="C51" s="74"/>
      <c r="D51" s="61"/>
      <c r="E51" s="52"/>
    </row>
    <row r="52" spans="2:5" ht="17.25" customHeight="1" x14ac:dyDescent="0.25">
      <c r="B52" s="11" t="s">
        <v>47</v>
      </c>
      <c r="C52" s="49"/>
      <c r="D52" s="49"/>
      <c r="E52" s="52"/>
    </row>
    <row r="53" spans="2:5" ht="17.25" customHeight="1" x14ac:dyDescent="0.25">
      <c r="B53" s="22">
        <v>24</v>
      </c>
      <c r="C53" s="74"/>
      <c r="D53" s="61"/>
      <c r="E53" s="52"/>
    </row>
    <row r="54" spans="2:5" ht="17.25" customHeight="1" x14ac:dyDescent="0.25">
      <c r="B54" s="11" t="s">
        <v>47</v>
      </c>
      <c r="C54" s="49"/>
      <c r="D54" s="49"/>
      <c r="E54" s="52"/>
    </row>
    <row r="55" spans="2:5" ht="17.25" customHeight="1" x14ac:dyDescent="0.25">
      <c r="B55" s="22">
        <v>25</v>
      </c>
      <c r="C55" s="74"/>
      <c r="D55" s="61"/>
      <c r="E55" s="52"/>
    </row>
    <row r="56" spans="2:5" ht="17.25" customHeight="1" x14ac:dyDescent="0.25">
      <c r="B56" s="11" t="s">
        <v>47</v>
      </c>
      <c r="C56" s="49"/>
      <c r="D56" s="49"/>
      <c r="E56" s="52"/>
    </row>
    <row r="57" spans="2:5" ht="17.25" customHeight="1" x14ac:dyDescent="0.25">
      <c r="B57" s="22">
        <v>26</v>
      </c>
      <c r="C57" s="74"/>
      <c r="D57" s="61"/>
      <c r="E57" s="52"/>
    </row>
    <row r="58" spans="2:5" ht="17.25" customHeight="1" x14ac:dyDescent="0.25">
      <c r="B58" s="11" t="s">
        <v>47</v>
      </c>
      <c r="C58" s="49"/>
      <c r="D58" s="49"/>
      <c r="E58" s="52"/>
    </row>
    <row r="59" spans="2:5" ht="17.25" customHeight="1" x14ac:dyDescent="0.25">
      <c r="B59" s="22">
        <v>27</v>
      </c>
      <c r="C59" s="74"/>
      <c r="D59" s="61"/>
      <c r="E59" s="52"/>
    </row>
    <row r="60" spans="2:5" ht="17.25" customHeight="1" x14ac:dyDescent="0.25">
      <c r="B60" s="11" t="s">
        <v>47</v>
      </c>
      <c r="C60" s="49"/>
      <c r="D60" s="49"/>
      <c r="E60" s="52"/>
    </row>
    <row r="61" spans="2:5" ht="17.25" customHeight="1" x14ac:dyDescent="0.25">
      <c r="B61" s="22">
        <v>28</v>
      </c>
      <c r="C61" s="74"/>
      <c r="D61" s="61"/>
      <c r="E61" s="52"/>
    </row>
    <row r="62" spans="2:5" ht="17.25" customHeight="1" x14ac:dyDescent="0.25">
      <c r="B62" s="11" t="s">
        <v>47</v>
      </c>
      <c r="C62" s="49"/>
      <c r="D62" s="49"/>
      <c r="E62" s="52"/>
    </row>
    <row r="63" spans="2:5" ht="17.25" customHeight="1" x14ac:dyDescent="0.25">
      <c r="B63" s="22">
        <v>29</v>
      </c>
      <c r="C63" s="74"/>
      <c r="D63" s="61"/>
      <c r="E63" s="52"/>
    </row>
    <row r="64" spans="2:5" ht="17.25" customHeight="1" x14ac:dyDescent="0.25">
      <c r="B64" s="11" t="s">
        <v>47</v>
      </c>
      <c r="C64" s="49"/>
      <c r="D64" s="49"/>
      <c r="E64" s="52"/>
    </row>
    <row r="65" spans="2:5" ht="17.25" customHeight="1" x14ac:dyDescent="0.25">
      <c r="B65" s="22">
        <v>30</v>
      </c>
      <c r="C65" s="74"/>
      <c r="D65" s="61"/>
      <c r="E65" s="52"/>
    </row>
    <row r="66" spans="2:5" ht="17.25" customHeight="1" x14ac:dyDescent="0.25">
      <c r="B66" s="11" t="s">
        <v>47</v>
      </c>
      <c r="C66" s="49"/>
      <c r="D66" s="49"/>
      <c r="E66" s="52"/>
    </row>
  </sheetData>
  <customSheetViews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1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4"/>
    </customSheetView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5"/>
    </customSheetView>
  </customSheetViews>
  <mergeCells count="3">
    <mergeCell ref="B5:B6"/>
    <mergeCell ref="E5:E6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3F0D6565-C55E-43AC-AC5D-87C4E1D85423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91089E3D-1703-4FEE-B13A-4F0669A06DB8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  <SharedWithUsers xmlns="85f80d94-36c6-4cfa-b190-3af03c89e98e">
      <UserInfo>
        <DisplayName>Praveen Prasannan</DisplayName>
        <AccountId>44</AccountId>
        <AccountType/>
      </UserInfo>
      <UserInfo>
        <DisplayName>Carmelyn Abaygar</DisplayName>
        <AccountId>32</AccountId>
        <AccountType/>
      </UserInfo>
      <UserInfo>
        <DisplayName>John George Podimannil</DisplayName>
        <AccountId>38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031C5-CECF-429C-8D08-7B1D153B9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3BF3A3-18DF-4468-91ED-FD95BA27F38E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4a585a97-453b-43f7-adce-c4bafe4f3563"/>
    <ds:schemaRef ds:uri="http://purl.org/dc/terms/"/>
    <ds:schemaRef ds:uri="85f80d94-36c6-4cfa-b190-3af03c89e98e"/>
    <ds:schemaRef ds:uri="http://purl.org/dc/elements/1.1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Carmelyn Abaygar</cp:lastModifiedBy>
  <cp:revision/>
  <dcterms:created xsi:type="dcterms:W3CDTF">2017-05-16T16:59:37Z</dcterms:created>
  <dcterms:modified xsi:type="dcterms:W3CDTF">2022-09-12T06:41:49Z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