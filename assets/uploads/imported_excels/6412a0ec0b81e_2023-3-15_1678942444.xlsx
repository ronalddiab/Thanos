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456" documentId="13_ncr:1_{B2510004-F86F-49CF-9DBB-E7139A5B0F3A}" xr6:coauthVersionLast="47" xr6:coauthVersionMax="47" xr10:uidLastSave="{9770D4F0-4C5B-46D0-B545-E2795F4187E5}"/>
  <bookViews>
    <workbookView xWindow="-120" yWindow="-120" windowWidth="29040" windowHeight="15840" firstSheet="1" activeTab="1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2" l="1"/>
  <c r="R17" i="2"/>
  <c r="Q17" i="2"/>
  <c r="P17" i="2"/>
  <c r="N17" i="2"/>
  <c r="L17" i="2"/>
  <c r="K17" i="2"/>
  <c r="J17" i="2"/>
  <c r="H17" i="2"/>
  <c r="F17" i="2"/>
  <c r="E17" i="2"/>
  <c r="J16" i="2"/>
  <c r="S16" i="2"/>
  <c r="R16" i="2"/>
  <c r="Q16" i="2"/>
  <c r="P16" i="2"/>
  <c r="N16" i="2"/>
  <c r="L16" i="2"/>
  <c r="K16" i="2"/>
  <c r="H16" i="2"/>
  <c r="F16" i="2"/>
  <c r="E16" i="2"/>
  <c r="L16" i="3"/>
  <c r="J16" i="3"/>
  <c r="I16" i="3"/>
  <c r="G16" i="3"/>
  <c r="E16" i="3"/>
  <c r="S15" i="2"/>
  <c r="R15" i="2"/>
  <c r="Q15" i="2"/>
  <c r="P15" i="2"/>
  <c r="N15" i="2"/>
  <c r="L15" i="2"/>
  <c r="K15" i="2"/>
  <c r="J15" i="2"/>
  <c r="H15" i="2"/>
  <c r="F15" i="2"/>
  <c r="E15" i="2"/>
  <c r="S12" i="2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R33" i="2"/>
  <c r="I12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I17" i="3"/>
  <c r="I18" i="3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G18" i="3"/>
  <c r="G17" i="3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K24" i="3"/>
  <c r="F24" i="2"/>
  <c r="E24" i="2"/>
  <c r="F22" i="2"/>
  <c r="E22" i="2"/>
  <c r="K23" i="3"/>
  <c r="K22" i="3"/>
  <c r="K19" i="3"/>
  <c r="F19" i="2"/>
  <c r="E19" i="2"/>
  <c r="E18" i="3"/>
  <c r="E17" i="3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18" i="3" l="1"/>
  <c r="L17" i="3"/>
  <c r="L15" i="3"/>
  <c r="L14" i="3"/>
  <c r="L13" i="3"/>
  <c r="F31" i="2"/>
  <c r="F30" i="2"/>
  <c r="K21" i="3"/>
  <c r="F21" i="2"/>
  <c r="E21" i="2"/>
  <c r="K20" i="3" l="1"/>
  <c r="F20" i="2"/>
  <c r="E20" i="2"/>
  <c r="K8" i="3" l="1"/>
  <c r="F8" i="2"/>
  <c r="E8" i="2"/>
  <c r="K7" i="3" l="1"/>
  <c r="F7" i="2"/>
  <c r="E7" i="2"/>
  <c r="F23" i="2" l="1"/>
  <c r="E23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<sst xmlns="http://schemas.openxmlformats.org/spreadsheetml/2006/main" count="123" uniqueCount="50">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</sst>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43" fontId="4" fillId="0" borderId="10" xfId="0" applyNumberFormat="1" applyFont="1" applyBorder="1" applyAlignment="1">
      <alignment horizontal="center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  <xf numFmtId="43" fontId="6" fillId="0" borderId="3" xfId="2" applyFont="1" applyFill="1" applyBorder="1" applyAlignment="1" applyProtection="1">
      <alignment horizontal="center" vertical="center"/>
      <protection locked="0"/>
    </xf>
    <xf numFmtId="43" fontId="4" fillId="0" borderId="3" xfId="2" applyFont="1" applyFill="1" applyBorder="1" applyAlignment="1" applyProtection="1"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K19" sqref="K1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9554</v>
      </c>
      <c r="F15">
        <v>0.11799999999999999</v>
      </c>
      <c r="G15" s="4">
        <f>'Submetering Daily '!J15+'Submetering Daily '!K15+'Submetering Daily '!L15</f>
        <v>116.23499999999999</v>
      </c>
      <c r="H15">
        <v>0.99</v>
      </c>
      <c r="I15" s="4">
        <f>'Submetering Daily '!N15</f>
        <v>16704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103.40999999999894</v>
      </c>
      <c r="M15" s="1">
        <v>4.393629424766913</v>
      </c>
      <c r="N15" s="10">
        <v>87</v>
      </c>
      <c r="O15">
        <v>118</v>
      </c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9616</v>
      </c>
      <c r="F16">
        <v>0.11799999999999999</v>
      </c>
      <c r="G16" s="4">
        <f>'Submetering Daily '!J16+'Submetering Daily '!K16+'Submetering Daily '!L16</f>
        <v>122.66099999999415</v>
      </c>
      <c r="H16">
        <v>0.99</v>
      </c>
      <c r="I16" s="4">
        <f>'Submetering Daily '!N16</f>
        <v>17599</v>
      </c>
      <c r="J16">
        <f>'Submetering Daily '!O16</f>
        <v>8.1000000000000003E-2</v>
      </c>
      <c r="K16" s="70">
        <v>0</v>
      </c>
      <c r="L16" s="70">
        <f>'Submetering Daily '!H16-'Submetering Daily '!P16-'Submetering Daily '!Q16</f>
        <v>94.770000000000437</v>
      </c>
      <c r="M16" s="1">
        <v>4.393629424766913</v>
      </c>
      <c r="N16" s="10">
        <v>91</v>
      </c>
      <c r="O16">
        <v>121</v>
      </c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9736</v>
      </c>
      <c r="F17">
        <v>0.11799999999999999</v>
      </c>
      <c r="G17" s="4">
        <f>'Submetering Daily '!J17+'Submetering Daily '!K17+'Submetering Daily '!L17</f>
        <v>125.74170000000123</v>
      </c>
      <c r="H17">
        <v>0.99</v>
      </c>
      <c r="I17" s="4">
        <f>'Submetering Daily '!N17</f>
        <v>18358</v>
      </c>
      <c r="J17">
        <f>'Submetering Daily '!O17</f>
        <v>8.1000000000000003E-2</v>
      </c>
      <c r="K17" s="70">
        <v>0</v>
      </c>
      <c r="L17" s="70">
        <f>'Submetering Daily '!H17-'Submetering Daily '!P17-'Submetering Daily '!Q17</f>
        <v>96.760000000001128</v>
      </c>
      <c r="M17" s="1">
        <v>4.393629424766913</v>
      </c>
      <c r="N17" s="10">
        <v>98</v>
      </c>
      <c r="O17">
        <v>129</v>
      </c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0</v>
      </c>
      <c r="F18">
        <v>0.11799999999999999</v>
      </c>
      <c r="G18" s="4">
        <f>'Submetering Daily '!J18+'Submetering Daily '!K18+'Submetering Daily '!L18</f>
        <v>0</v>
      </c>
      <c r="H18">
        <v>0.99</v>
      </c>
      <c r="I18" s="4">
        <f>'Submetering Daily '!N18</f>
        <v>0</v>
      </c>
      <c r="J18">
        <f>'Submetering Daily '!O18</f>
        <v>8.1000000000000003E-2</v>
      </c>
      <c r="K18" s="70">
        <v>0</v>
      </c>
      <c r="L18" s="70">
        <f>'Submetering Daily '!H18-'Submetering Daily '!P18-'Submetering Daily '!Q18</f>
        <v>0</v>
      </c>
      <c r="M18" s="1">
        <v>4.393629424766913</v>
      </c>
      <c r="N18" s="10"/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0</v>
      </c>
      <c r="F19">
        <v>0.11799999999999999</v>
      </c>
      <c r="G19" s="4">
        <f>'Submetering Daily '!J19+'Submetering Daily '!K19+'Submetering Daily '!L19</f>
        <v>0</v>
      </c>
      <c r="H19">
        <v>0.99</v>
      </c>
      <c r="I19" s="4">
        <f>'Submetering Daily '!N19</f>
        <v>0</v>
      </c>
      <c r="J19">
        <f>'Submetering Daily '!O19</f>
        <v>8.1000000000000003E-2</v>
      </c>
      <c r="K19" s="70">
        <f>'03 - 2023'!H25-'03 - 2023'!H24</f>
        <v>0</v>
      </c>
      <c r="L19" s="70">
        <f>'Submetering Daily '!H19-'Submetering Daily '!P19-'Submetering Daily '!Q19</f>
        <v>0</v>
      </c>
      <c r="M19" s="1">
        <v>4.393629424766913</v>
      </c>
      <c r="N19" s="10"/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0</v>
      </c>
      <c r="F20">
        <v>0.11799999999999999</v>
      </c>
      <c r="G20" s="4">
        <f>'Submetering Daily '!J20+'Submetering Daily '!K20+'Submetering Daily '!L20</f>
        <v>0</v>
      </c>
      <c r="H20">
        <v>0.99</v>
      </c>
      <c r="I20" s="4">
        <f>'Submetering Daily '!N20</f>
        <v>0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0</v>
      </c>
      <c r="M20" s="1">
        <v>4.393629424766913</v>
      </c>
      <c r="N20" s="10"/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0</v>
      </c>
      <c r="F21">
        <v>0.11799999999999999</v>
      </c>
      <c r="G21" s="4">
        <f>'Submetering Daily '!J21+'Submetering Daily '!K21+'Submetering Daily '!L21</f>
        <v>0</v>
      </c>
      <c r="H21">
        <v>0.99</v>
      </c>
      <c r="I21" s="4">
        <f>'Submetering Daily '!N21</f>
        <v>0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0</v>
      </c>
      <c r="M21" s="1">
        <v>4.393629424766913</v>
      </c>
      <c r="N21" s="17"/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0</v>
      </c>
      <c r="F22">
        <v>0.11799999999999999</v>
      </c>
      <c r="G22" s="4">
        <f>'Submetering Daily '!J22+'Submetering Daily '!K22+'Submetering Daily '!L22</f>
        <v>0</v>
      </c>
      <c r="H22">
        <v>0.99</v>
      </c>
      <c r="I22" s="4">
        <f>'Submetering Daily '!N22</f>
        <v>0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0</v>
      </c>
      <c r="M22" s="1">
        <v>4.393629424766913</v>
      </c>
      <c r="N22" s="10"/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f>'Submetering Daily '!E23+'Submetering Daily '!F23</f>
        <v>0</v>
      </c>
      <c r="F23">
        <v>0.11799999999999999</v>
      </c>
      <c r="G23" s="4">
        <f>'Submetering Daily '!J23+'Submetering Daily '!K23+'Submetering Daily '!L23</f>
        <v>0</v>
      </c>
      <c r="H23">
        <v>0.99</v>
      </c>
      <c r="I23" s="4">
        <f>'Submetering Daily '!N23</f>
        <v>0</v>
      </c>
      <c r="J23">
        <f>'Submetering Daily '!O23</f>
        <v>8.1000000000000003E-2</v>
      </c>
      <c r="K23" s="70">
        <f>'03 - 2023'!H29-'03 - 2023'!H28</f>
        <v>0</v>
      </c>
      <c r="L23" s="70">
        <f>'Submetering Daily '!H23-'Submetering Daily '!P23-'Submetering Daily '!Q23</f>
        <v>0</v>
      </c>
      <c r="M23" s="1">
        <v>4.393629424766913</v>
      </c>
      <c r="N23" s="10"/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f>'03 - 2023'!H30-'03 - 2023'!H29</f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workbookViewId="0">
      <selection activeCell="S18" sqref="S18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3" width="11.5703125" customWidth="1"/>
    <col min="14" max="14" width="13.5703125" customWidth="1"/>
    <col min="15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f>'03 - 2023'!B21-'03 - 2023'!B20</f>
        <v>3944</v>
      </c>
      <c r="F15" s="4">
        <f>'03 - 2023'!C21-'03 - 2023'!C20</f>
        <v>5610</v>
      </c>
      <c r="G15">
        <v>0.11799999999999999</v>
      </c>
      <c r="H15" s="89">
        <f>'03 - 2023'!I21-'03 - 2023'!I20</f>
        <v>111</v>
      </c>
      <c r="I15" s="1">
        <v>4.3936294247669103</v>
      </c>
      <c r="J15" s="4">
        <f>('03 - 2023'!E21-'03 - 2023'!E20)*1.89</f>
        <v>44.169300000001513</v>
      </c>
      <c r="K15" s="4">
        <f>('03 - 2023'!F21-'03 - 2023'!F20)*1.89</f>
        <v>14.496300000000137</v>
      </c>
      <c r="L15" s="4">
        <f>('03 - 2023'!G21-'03 - 2023'!G20)*1.89</f>
        <v>57.569399999998346</v>
      </c>
      <c r="M15">
        <v>0.74</v>
      </c>
      <c r="N15" s="89">
        <f>'03 - 2023'!J21-'03 - 2023'!J20</f>
        <v>16704</v>
      </c>
      <c r="O15">
        <v>8.1000000000000003E-2</v>
      </c>
      <c r="P15" s="88">
        <f>'03 - 2023'!M21-'03 - 2023'!M20</f>
        <v>1.4900000000006912</v>
      </c>
      <c r="Q15" s="88">
        <f>'03 - 2023'!N21-'03 - 2023'!N20</f>
        <v>6.1000000000003638</v>
      </c>
      <c r="R15" s="88">
        <f>('03 - 2023'!O21-'03 - 2023'!O20)*160</f>
        <v>1552.0000000001164</v>
      </c>
      <c r="S15" s="88">
        <f>('03 - 2023'!P21-'03 - 2023'!P20)*1000</f>
        <v>1800.0000000001819</v>
      </c>
      <c r="T15" s="10">
        <v>87</v>
      </c>
      <c r="U15" s="11">
        <v>118</v>
      </c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f>'03 - 2023'!B22-'03 - 2023'!B21</f>
        <v>3894</v>
      </c>
      <c r="F16" s="4">
        <f>'03 - 2023'!C22-'03 - 2023'!C21</f>
        <v>5722</v>
      </c>
      <c r="G16">
        <v>0.11799999999999999</v>
      </c>
      <c r="H16" s="89">
        <f>'03 - 2023'!I22-'03 - 2023'!I21</f>
        <v>107</v>
      </c>
      <c r="I16" s="1">
        <v>4.3936294247669103</v>
      </c>
      <c r="J16" s="4">
        <f>('03 - 2023'!E22-'03 - 2023'!E21)*1.89</f>
        <v>48.176099999999586</v>
      </c>
      <c r="K16" s="4">
        <f>('03 - 2023'!F22-'03 - 2023'!F21)*1.89</f>
        <v>15.441299999998417</v>
      </c>
      <c r="L16" s="4">
        <f>('03 - 2023'!G22-'03 - 2023'!G21)*1.89</f>
        <v>59.043599999996147</v>
      </c>
      <c r="M16">
        <v>0.74</v>
      </c>
      <c r="N16" s="89">
        <f>'03 - 2023'!J22-'03 - 2023'!J21</f>
        <v>17599</v>
      </c>
      <c r="O16">
        <v>8.1000000000000003E-2</v>
      </c>
      <c r="P16" s="88">
        <f>'03 - 2023'!M22-'03 - 2023'!M21</f>
        <v>3.1399999999994179</v>
      </c>
      <c r="Q16" s="88">
        <f>'03 - 2023'!N22-'03 - 2023'!N21</f>
        <v>9.0900000000001455</v>
      </c>
      <c r="R16" s="88">
        <f>('03 - 2023'!O22-'03 - 2023'!O21)*160</f>
        <v>1615.9999999997672</v>
      </c>
      <c r="S16" s="88">
        <f>('03 - 2023'!P22-'03 - 2023'!P21)*1000</f>
        <v>2600.0000000003638</v>
      </c>
      <c r="T16" s="10">
        <v>91</v>
      </c>
      <c r="U16" s="11">
        <v>121</v>
      </c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f>'03 - 2023'!B23-'03 - 2023'!B22</f>
        <v>3868</v>
      </c>
      <c r="F17" s="4">
        <f>'03 - 2023'!C23-'03 - 2023'!C22</f>
        <v>5868</v>
      </c>
      <c r="G17">
        <v>0.11799999999999999</v>
      </c>
      <c r="H17" s="89">
        <f>'03 - 2023'!I23-'03 - 2023'!I22</f>
        <v>111</v>
      </c>
      <c r="I17" s="1">
        <v>4.3936294247669103</v>
      </c>
      <c r="J17" s="4">
        <f>('03 - 2023'!E23-'03 - 2023'!E22)*1.89</f>
        <v>50.500799999998762</v>
      </c>
      <c r="K17" s="4">
        <f>('03 - 2023'!F23-'03 - 2023'!F22)*1.89</f>
        <v>14.212800000000824</v>
      </c>
      <c r="L17" s="4">
        <f>('03 - 2023'!G23-'03 - 2023'!G22)*1.89</f>
        <v>61.02810000000165</v>
      </c>
      <c r="M17">
        <v>0.74</v>
      </c>
      <c r="N17" s="89">
        <f>'03 - 2023'!J23-'03 - 2023'!J22</f>
        <v>18358</v>
      </c>
      <c r="O17">
        <v>8.1000000000000003E-2</v>
      </c>
      <c r="P17" s="88">
        <f>'03 - 2023'!M23-'03 - 2023'!M22</f>
        <v>2.4600000000000364</v>
      </c>
      <c r="Q17" s="88">
        <f>'03 - 2023'!N23-'03 - 2023'!N22</f>
        <v>11.779999999998836</v>
      </c>
      <c r="R17" s="88">
        <f>('03 - 2023'!O23-'03 - 2023'!O22)*160</f>
        <v>1647.9999999998836</v>
      </c>
      <c r="S17" s="88">
        <f>('03 - 2023'!P23-'03 - 2023'!P22)*1000</f>
        <v>2899.9999999996362</v>
      </c>
      <c r="T17" s="10">
        <v>98</v>
      </c>
      <c r="U17" s="11">
        <v>129</v>
      </c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v>0</v>
      </c>
      <c r="F18" s="4">
        <v>0</v>
      </c>
      <c r="G18">
        <v>0.11799999999999999</v>
      </c>
      <c r="H18" s="89">
        <v>0</v>
      </c>
      <c r="I18" s="1">
        <v>4.3936294247669103</v>
      </c>
      <c r="J18" s="4">
        <v>0</v>
      </c>
      <c r="K18" s="4">
        <v>0</v>
      </c>
      <c r="L18" s="4">
        <v>0</v>
      </c>
      <c r="M18">
        <v>0.74</v>
      </c>
      <c r="N18" s="89">
        <v>0</v>
      </c>
      <c r="O18">
        <v>8.1000000000000003E-2</v>
      </c>
      <c r="P18" s="88">
        <v>0</v>
      </c>
      <c r="Q18" s="88">
        <v>0</v>
      </c>
      <c r="R18" s="88">
        <v>0</v>
      </c>
      <c r="S18" s="88">
        <v>0</v>
      </c>
      <c r="T18" s="10"/>
      <c r="U18" s="11"/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0</v>
      </c>
      <c r="F19" s="4">
        <f>'03 - 2023'!C25-'03 - 2023'!C24</f>
        <v>0</v>
      </c>
      <c r="G19">
        <v>0.11799999999999999</v>
      </c>
      <c r="H19" s="89">
        <f>'03 - 2023'!I25-'03 - 2023'!I24</f>
        <v>0</v>
      </c>
      <c r="I19" s="1">
        <v>4.3936294247669103</v>
      </c>
      <c r="J19" s="4">
        <f>('03 - 2023'!E25-'03 - 2023'!E24)*1.89</f>
        <v>0</v>
      </c>
      <c r="K19" s="4">
        <f>('03 - 2023'!F25-'03 - 2023'!F24)*1.89</f>
        <v>0</v>
      </c>
      <c r="L19" s="4">
        <f>('03 - 2023'!G25-'03 - 2023'!G24)*1.89</f>
        <v>0</v>
      </c>
      <c r="M19">
        <v>0.74</v>
      </c>
      <c r="N19" s="89">
        <f>'03 - 2023'!J25-'03 - 2023'!J24</f>
        <v>0</v>
      </c>
      <c r="O19">
        <v>8.1000000000000003E-2</v>
      </c>
      <c r="P19" s="88">
        <f>'03 - 2023'!M25-'03 - 2023'!M24</f>
        <v>0</v>
      </c>
      <c r="Q19" s="88">
        <f>'03 - 2023'!N25-'03 - 2023'!N24</f>
        <v>0</v>
      </c>
      <c r="R19" s="88">
        <f>('03 - 2023'!O25-'03 - 2023'!O24)*160</f>
        <v>0</v>
      </c>
      <c r="S19" s="88">
        <f>('03 - 2023'!P25-'03 - 2023'!P24)*1000</f>
        <v>0</v>
      </c>
      <c r="T19" s="10"/>
      <c r="U19" s="11"/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0</v>
      </c>
      <c r="F20" s="4">
        <f>'03 - 2023'!C26-'03 - 2023'!C25</f>
        <v>0</v>
      </c>
      <c r="G20">
        <v>0.11799999999999999</v>
      </c>
      <c r="H20" s="89">
        <f>'03 - 2023'!I26-'03 - 2023'!I25</f>
        <v>0</v>
      </c>
      <c r="I20" s="1">
        <v>4.3936294247669103</v>
      </c>
      <c r="J20" s="4">
        <f>('03 - 2023'!E26-'03 - 2023'!E25)*1.89</f>
        <v>0</v>
      </c>
      <c r="K20" s="4">
        <f>('03 - 2023'!F26-'03 - 2023'!F25)*1.89</f>
        <v>0</v>
      </c>
      <c r="L20" s="4">
        <f>('03 - 2023'!G26-'03 - 2023'!G25)*1.89</f>
        <v>0</v>
      </c>
      <c r="M20">
        <v>0.74</v>
      </c>
      <c r="N20" s="89">
        <f>'03 - 2023'!J26-'03 - 2023'!J25</f>
        <v>0</v>
      </c>
      <c r="O20">
        <v>8.1000000000000003E-2</v>
      </c>
      <c r="P20" s="88">
        <f>'03 - 2023'!M26-'03 - 2023'!M25</f>
        <v>0</v>
      </c>
      <c r="Q20" s="88">
        <f>'03 - 2023'!N26-'03 - 2023'!N25</f>
        <v>0</v>
      </c>
      <c r="R20" s="88">
        <f>('03 - 2023'!O26-'03 - 2023'!O25)*160</f>
        <v>0</v>
      </c>
      <c r="S20" s="88">
        <f>('03 - 2023'!P26-'03 - 2023'!P25)*1000</f>
        <v>0</v>
      </c>
      <c r="T20" s="10"/>
      <c r="U20" s="11"/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0</v>
      </c>
      <c r="F21" s="4">
        <f>'03 - 2023'!C27-'03 - 2023'!C26</f>
        <v>0</v>
      </c>
      <c r="G21">
        <v>0.11799999999999999</v>
      </c>
      <c r="H21" s="89">
        <f>'03 - 2023'!I27-'03 - 2023'!I26</f>
        <v>0</v>
      </c>
      <c r="I21" s="1">
        <v>4.3936294247669103</v>
      </c>
      <c r="J21" s="4">
        <f>('03 - 2023'!E27-'03 - 2023'!E26)*1.89</f>
        <v>0</v>
      </c>
      <c r="K21" s="4">
        <f>('03 - 2023'!F27-'03 - 2023'!F26)*1.89</f>
        <v>0</v>
      </c>
      <c r="L21" s="4">
        <f>('03 - 2023'!G27-'03 - 2023'!G26)*1.89</f>
        <v>0</v>
      </c>
      <c r="M21">
        <v>0.74</v>
      </c>
      <c r="N21" s="89">
        <f>'03 - 2023'!J27-'03 - 2023'!J26</f>
        <v>0</v>
      </c>
      <c r="O21">
        <v>8.1000000000000003E-2</v>
      </c>
      <c r="P21" s="88">
        <f>'03 - 2023'!M27-'03 - 2023'!M26</f>
        <v>0</v>
      </c>
      <c r="Q21" s="88">
        <f>'03 - 2023'!N27-'03 - 2023'!N26</f>
        <v>0</v>
      </c>
      <c r="R21" s="88">
        <f>('03 - 2023'!O27-'03 - 2023'!O26)*160</f>
        <v>0</v>
      </c>
      <c r="S21" s="88">
        <f>('03 - 2023'!P27-'03 - 2023'!P26)*1000</f>
        <v>0</v>
      </c>
      <c r="T21" s="17"/>
      <c r="U21" s="11"/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0</v>
      </c>
      <c r="F22" s="4">
        <f>'03 - 2023'!C28-'03 - 2023'!C27</f>
        <v>0</v>
      </c>
      <c r="G22">
        <v>0.11799999999999999</v>
      </c>
      <c r="H22" s="89">
        <f>'03 - 2023'!I28-'03 - 2023'!I27</f>
        <v>0</v>
      </c>
      <c r="I22" s="1">
        <v>4.3936294247669103</v>
      </c>
      <c r="J22" s="4">
        <f>('03 - 2023'!E28-'03 - 2023'!E27)*1.89</f>
        <v>0</v>
      </c>
      <c r="K22" s="4">
        <f>('03 - 2023'!F28-'03 - 2023'!F27)*1.89</f>
        <v>0</v>
      </c>
      <c r="L22" s="4">
        <f>('03 - 2023'!G28-'03 - 2023'!G27)*1.89</f>
        <v>0</v>
      </c>
      <c r="M22">
        <v>0.74</v>
      </c>
      <c r="N22" s="89">
        <f>'03 - 2023'!J28-'03 - 2023'!J27</f>
        <v>0</v>
      </c>
      <c r="O22">
        <v>8.1000000000000003E-2</v>
      </c>
      <c r="P22" s="88">
        <f>'03 - 2023'!M28-'03 - 2023'!M27</f>
        <v>0</v>
      </c>
      <c r="Q22" s="88">
        <f>'03 - 2023'!N28-'03 - 2023'!N27</f>
        <v>0</v>
      </c>
      <c r="R22" s="88">
        <f>('03 - 2023'!O28-'03 - 2023'!O27)*160</f>
        <v>0</v>
      </c>
      <c r="S22" s="88">
        <f>('03 - 2023'!P28-'03 - 2023'!P27)*1000</f>
        <v>0</v>
      </c>
      <c r="T22" s="10"/>
      <c r="U22" s="11"/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f>'03 - 2023'!B29-'03 - 2023'!B28</f>
        <v>0</v>
      </c>
      <c r="F23" s="4">
        <f>'03 - 2023'!C29-'03 - 2023'!C28</f>
        <v>0</v>
      </c>
      <c r="G23">
        <v>0.11799999999999999</v>
      </c>
      <c r="H23" s="89">
        <f>'03 - 2023'!I29-'03 - 2023'!I28</f>
        <v>0</v>
      </c>
      <c r="I23" s="1">
        <v>4.3936294247669103</v>
      </c>
      <c r="J23" s="4">
        <f>('03 - 2023'!E29-'03 - 2023'!E28)*1.89</f>
        <v>0</v>
      </c>
      <c r="K23" s="4">
        <f>('03 - 2023'!F29-'03 - 2023'!F28)*1.89</f>
        <v>0</v>
      </c>
      <c r="L23" s="4">
        <f>('03 - 2023'!G29-'03 - 2023'!G28)*1.89</f>
        <v>0</v>
      </c>
      <c r="M23">
        <v>0.74</v>
      </c>
      <c r="N23" s="89">
        <f>'03 - 2023'!J29-'03 - 2023'!J28</f>
        <v>0</v>
      </c>
      <c r="O23">
        <v>8.1000000000000003E-2</v>
      </c>
      <c r="P23" s="88">
        <f>'03 - 2023'!M29-'03 - 2023'!M28</f>
        <v>0</v>
      </c>
      <c r="Q23" s="88">
        <f>'03 - 2023'!N29-'03 - 2023'!N28</f>
        <v>0</v>
      </c>
      <c r="R23" s="88">
        <f>('03 - 2023'!O29-'03 - 2023'!O28)*160</f>
        <v>0</v>
      </c>
      <c r="S23" s="88">
        <f>('03 - 2023'!P29-'03 - 2023'!P28)*1000</f>
        <v>0</v>
      </c>
      <c r="T23" s="10"/>
      <c r="U23" s="11"/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f>'03 - 2023'!B30-'03 - 2023'!B29</f>
        <v>0</v>
      </c>
      <c r="F24" s="4">
        <f>'03 - 2023'!C30-'03 - 2023'!C29</f>
        <v>0</v>
      </c>
      <c r="G24">
        <v>0.11799999999999999</v>
      </c>
      <c r="H24" s="89">
        <f>'03 - 2023'!I30-'03 - 2023'!I29</f>
        <v>0</v>
      </c>
      <c r="I24" s="1">
        <v>4.3936294247669103</v>
      </c>
      <c r="J24" s="4">
        <f>('03 - 2023'!E30-'03 - 2023'!E29)*1.89</f>
        <v>0</v>
      </c>
      <c r="K24" s="4">
        <f>('03 - 2023'!F30-'03 - 2023'!F29)*1.89</f>
        <v>0</v>
      </c>
      <c r="L24" s="4">
        <f>('03 - 2023'!G30-'03 - 2023'!G29)*1.89</f>
        <v>0</v>
      </c>
      <c r="M24">
        <v>0.74</v>
      </c>
      <c r="N24" s="89">
        <f>'03 - 2023'!J30-'03 - 2023'!J29</f>
        <v>0</v>
      </c>
      <c r="O24">
        <v>8.1000000000000003E-2</v>
      </c>
      <c r="P24" s="88">
        <f>'03 - 2023'!M30-'03 - 2023'!M29</f>
        <v>0</v>
      </c>
      <c r="Q24" s="88">
        <f>'03 - 2023'!N30-'03 - 2023'!N29</f>
        <v>0</v>
      </c>
      <c r="R24" s="88">
        <f>('03 - 2023'!O30-'03 - 2023'!O29)*160</f>
        <v>0</v>
      </c>
      <c r="S24" s="88">
        <f>('03 - 2023'!P30-'03 - 2023'!P29)*1000</f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zoomScaleNormal="100" workbookViewId="0">
      <selection activeCell="O23" sqref="O23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107" t="s">
        <v>25</v>
      </c>
      <c r="B3" s="107"/>
      <c r="C3" s="107"/>
      <c r="D3" s="107"/>
      <c r="E3" s="107"/>
      <c r="F3" s="107"/>
      <c r="G3" s="107"/>
      <c r="H3" s="107"/>
      <c r="I3" s="107"/>
      <c r="J3" s="10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108" t="s">
        <v>26</v>
      </c>
      <c r="B4" s="108"/>
      <c r="C4" s="108"/>
      <c r="D4" s="108"/>
      <c r="E4" s="108"/>
      <c r="F4" s="108"/>
      <c r="G4" s="108"/>
      <c r="H4" s="108"/>
      <c r="I4" s="108"/>
      <c r="J4" s="108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109" t="s">
        <v>27</v>
      </c>
      <c r="C5" s="110"/>
      <c r="D5" s="109" t="s">
        <v>28</v>
      </c>
      <c r="E5" s="111"/>
      <c r="F5" s="111"/>
      <c r="G5" s="110"/>
      <c r="H5" s="109" t="s">
        <v>29</v>
      </c>
      <c r="I5" s="110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1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0">
        <v>4114.8900000000003</v>
      </c>
      <c r="N19" s="92">
        <v>12124.94</v>
      </c>
      <c r="O19" s="90">
        <v>16665.7</v>
      </c>
      <c r="P19" s="90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97">
        <v>270390</v>
      </c>
      <c r="C20" s="97">
        <v>564619</v>
      </c>
      <c r="D20" s="98">
        <v>0.7</v>
      </c>
      <c r="E20" s="79">
        <v>9044.82</v>
      </c>
      <c r="F20" s="79">
        <v>4785.3900000000003</v>
      </c>
      <c r="G20" s="99">
        <v>51598.25</v>
      </c>
      <c r="H20" s="79">
        <v>14528</v>
      </c>
      <c r="I20" s="97">
        <v>190883</v>
      </c>
      <c r="J20" s="97">
        <v>63304635</v>
      </c>
      <c r="K20" s="100"/>
      <c r="L20" s="100"/>
      <c r="M20" s="99">
        <v>4116.78</v>
      </c>
      <c r="N20" s="101">
        <v>12132.66</v>
      </c>
      <c r="O20" s="99">
        <v>16675.2</v>
      </c>
      <c r="P20" s="99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94">
        <v>44999</v>
      </c>
      <c r="B21" s="83">
        <v>274334</v>
      </c>
      <c r="C21" s="83">
        <v>570229</v>
      </c>
      <c r="D21" s="36">
        <v>0.62</v>
      </c>
      <c r="E21" s="90">
        <v>9068.19</v>
      </c>
      <c r="F21" s="35">
        <v>4793.0600000000004</v>
      </c>
      <c r="G21" s="90">
        <v>51628.71</v>
      </c>
      <c r="H21" s="34">
        <v>14528</v>
      </c>
      <c r="I21" s="83">
        <v>190994</v>
      </c>
      <c r="J21" s="83">
        <v>63321339</v>
      </c>
      <c r="K21" s="59"/>
      <c r="L21" s="59"/>
      <c r="M21" s="90">
        <v>4118.2700000000004</v>
      </c>
      <c r="N21" s="105">
        <v>12138.76</v>
      </c>
      <c r="O21" s="90">
        <v>16684.900000000001</v>
      </c>
      <c r="P21" s="90">
        <v>7393.7</v>
      </c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94">
        <v>45000</v>
      </c>
      <c r="B22" s="83">
        <v>278228</v>
      </c>
      <c r="C22" s="83">
        <v>575951</v>
      </c>
      <c r="D22" s="36">
        <v>0.55000000000000004</v>
      </c>
      <c r="E22" s="90">
        <v>9093.68</v>
      </c>
      <c r="F22" s="35">
        <v>4801.2299999999996</v>
      </c>
      <c r="G22" s="90">
        <v>51659.95</v>
      </c>
      <c r="H22" s="34">
        <v>14528</v>
      </c>
      <c r="I22" s="83">
        <v>191101</v>
      </c>
      <c r="J22" s="83">
        <v>63338938</v>
      </c>
      <c r="K22" s="59"/>
      <c r="L22" s="59"/>
      <c r="M22" s="106">
        <v>4121.41</v>
      </c>
      <c r="N22" s="105">
        <v>12147.85</v>
      </c>
      <c r="O22" s="90">
        <v>16695</v>
      </c>
      <c r="P22" s="90">
        <v>7396.3</v>
      </c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94">
        <v>45001</v>
      </c>
      <c r="B23" s="83">
        <v>282096</v>
      </c>
      <c r="C23" s="83">
        <v>581819</v>
      </c>
      <c r="D23" s="36">
        <v>0.47</v>
      </c>
      <c r="E23" s="90">
        <v>9120.4</v>
      </c>
      <c r="F23" s="35">
        <v>4808.75</v>
      </c>
      <c r="G23" s="90">
        <v>51692.24</v>
      </c>
      <c r="H23" s="34">
        <v>14528</v>
      </c>
      <c r="I23" s="83">
        <v>191212</v>
      </c>
      <c r="J23" s="83">
        <v>63357296</v>
      </c>
      <c r="K23" s="59"/>
      <c r="L23" s="59"/>
      <c r="M23" s="90">
        <v>4123.87</v>
      </c>
      <c r="N23" s="105">
        <v>12159.63</v>
      </c>
      <c r="O23" s="90">
        <v>16705.3</v>
      </c>
      <c r="P23" s="90">
        <v>7399.2</v>
      </c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94">
        <v>45002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94">
        <v>45003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94">
        <v>45004</v>
      </c>
      <c r="B26" s="59"/>
      <c r="C26" s="59"/>
      <c r="D26" s="93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94">
        <v>45005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94">
        <v>45006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94">
        <v>45007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94">
        <v>45008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94">
        <v>45009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94">
        <v>45010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95">
        <v>45011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96">
        <v>45012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96">
        <v>45013</v>
      </c>
      <c r="B35" s="59"/>
      <c r="C35" s="61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96">
        <v>45014</v>
      </c>
      <c r="B36" s="59"/>
      <c r="C36" s="61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96">
        <v>45015</v>
      </c>
      <c r="B37" s="59"/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2"/>
      <c r="C38" s="103"/>
      <c r="D38" s="102"/>
      <c r="E38" s="102"/>
      <c r="F38" s="102"/>
      <c r="G38" s="102"/>
      <c r="H38" s="102"/>
      <c r="I38" s="102"/>
      <c r="J38" s="104"/>
      <c r="K38" s="102"/>
      <c r="L38" s="102"/>
      <c r="M38" s="102"/>
      <c r="N38" s="102"/>
      <c r="O38" s="102"/>
      <c r="P38" s="102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2023-03-16T04:46:57Z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