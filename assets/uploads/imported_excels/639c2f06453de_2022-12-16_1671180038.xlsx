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ONSUMI\HEP file\2022\"/>
    </mc:Choice>
  </mc:AlternateContent>
  <xr:revisionPtr revIDLastSave="0" documentId="13_ncr:1_{84EF8624-37B0-4010-816D-9CA636E1B556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9"/>
  <fileRecoveryPr autoRecover="0"/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I34" i="2" l="1"/>
  <c r="BH34" i="2"/>
  <c r="BG34" i="2"/>
  <c r="BF34" i="2"/>
  <c r="BE34" i="2"/>
  <c r="AY34" i="2"/>
  <c r="AW34" i="2"/>
  <c r="AQ34" i="2"/>
  <c r="AM34" i="2"/>
  <c r="AI34" i="2"/>
  <c r="AC34" i="2"/>
  <c r="Z34" i="2"/>
  <c r="W34" i="2"/>
  <c r="U34" i="2"/>
  <c r="S34" i="2"/>
  <c r="Q34" i="2"/>
  <c r="O34" i="2"/>
  <c r="M34" i="2"/>
  <c r="K34" i="2"/>
  <c r="I34" i="2"/>
  <c r="G34" i="2"/>
  <c r="E34" i="2"/>
  <c r="BI33" i="2"/>
  <c r="BH33" i="2"/>
  <c r="BG33" i="2"/>
  <c r="BF33" i="2"/>
  <c r="BE33" i="2"/>
  <c r="BD33" i="2"/>
  <c r="AY33" i="2"/>
  <c r="AW33" i="2"/>
  <c r="AQ33" i="2"/>
  <c r="AM33" i="2"/>
  <c r="AI33" i="2"/>
  <c r="AC33" i="2"/>
  <c r="Z33" i="2"/>
  <c r="W33" i="2"/>
  <c r="U33" i="2"/>
  <c r="S33" i="2"/>
  <c r="Q33" i="2"/>
  <c r="O33" i="2"/>
  <c r="K33" i="2"/>
  <c r="I33" i="2"/>
  <c r="M33" i="2" s="1"/>
  <c r="G33" i="2"/>
  <c r="E33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W32" i="2"/>
  <c r="U32" i="2"/>
  <c r="S32" i="2"/>
  <c r="Q32" i="2"/>
  <c r="O32" i="2"/>
  <c r="M32" i="2"/>
  <c r="K32" i="2"/>
  <c r="I32" i="2"/>
  <c r="G32" i="2"/>
  <c r="E32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W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W26" i="2"/>
  <c r="U26" i="2"/>
  <c r="S26" i="2"/>
  <c r="Q26" i="2"/>
  <c r="O26" i="2"/>
  <c r="M26" i="2"/>
  <c r="K26" i="2"/>
  <c r="I26" i="2"/>
  <c r="G26" i="2"/>
  <c r="E26" i="2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W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 s="1"/>
  <c r="G22" i="2"/>
  <c r="E22" i="2"/>
  <c r="BI21" i="2"/>
  <c r="BH21" i="2"/>
  <c r="BG21" i="2"/>
  <c r="BF21" i="2"/>
  <c r="BE21" i="2"/>
  <c r="BD21" i="2"/>
  <c r="AY21" i="2"/>
  <c r="AW21" i="2"/>
  <c r="AQ21" i="2"/>
  <c r="AM21" i="2"/>
  <c r="AI21" i="2"/>
  <c r="AF21" i="2"/>
  <c r="AC21" i="2"/>
  <c r="Z21" i="2"/>
  <c r="W21" i="2"/>
  <c r="U21" i="2"/>
  <c r="S21" i="2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 s="1"/>
  <c r="G19" i="2"/>
  <c r="E19" i="2"/>
  <c r="BI18" i="2"/>
  <c r="BH18" i="2"/>
  <c r="BG18" i="2"/>
  <c r="BF18" i="2"/>
  <c r="BE18" i="2"/>
  <c r="BD18" i="2"/>
  <c r="AZ18" i="2"/>
  <c r="AY18" i="2"/>
  <c r="AW18" i="2"/>
  <c r="AQ18" i="2"/>
  <c r="AM18" i="2"/>
  <c r="AI18" i="2"/>
  <c r="AF18" i="2"/>
  <c r="AC18" i="2"/>
  <c r="Z18" i="2"/>
  <c r="W18" i="2"/>
  <c r="U18" i="2"/>
  <c r="S18" i="2"/>
  <c r="Q18" i="2"/>
  <c r="O18" i="2"/>
  <c r="K18" i="2"/>
  <c r="I18" i="2"/>
  <c r="M18" i="2" s="1"/>
  <c r="G18" i="2"/>
  <c r="E18" i="2"/>
  <c r="A18" i="2"/>
  <c r="BC18" i="2" s="1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 s="1"/>
  <c r="G16" i="2"/>
  <c r="E16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BC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 s="1"/>
  <c r="G14" i="2"/>
  <c r="E14" i="2"/>
  <c r="A14" i="2"/>
  <c r="BA14" i="2" s="1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W11" i="2"/>
  <c r="U11" i="2"/>
  <c r="S11" i="2"/>
  <c r="Q11" i="2"/>
  <c r="O11" i="2"/>
  <c r="M11" i="2"/>
  <c r="K11" i="2"/>
  <c r="I11" i="2"/>
  <c r="G11" i="2"/>
  <c r="E11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W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W9" i="2"/>
  <c r="U9" i="2"/>
  <c r="S9" i="2"/>
  <c r="Q9" i="2"/>
  <c r="O9" i="2"/>
  <c r="K9" i="2"/>
  <c r="I9" i="2"/>
  <c r="M9" i="2" s="1"/>
  <c r="G9" i="2"/>
  <c r="E9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W8" i="2"/>
  <c r="U8" i="2"/>
  <c r="S8" i="2"/>
  <c r="Q8" i="2"/>
  <c r="O8" i="2"/>
  <c r="K8" i="2"/>
  <c r="I8" i="2"/>
  <c r="M8" i="2" s="1"/>
  <c r="G8" i="2"/>
  <c r="E8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W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BC6" i="2"/>
  <c r="AY6" i="2"/>
  <c r="AW6" i="2"/>
  <c r="AQ6" i="2"/>
  <c r="AM6" i="2"/>
  <c r="AI6" i="2"/>
  <c r="AF6" i="2"/>
  <c r="AC6" i="2"/>
  <c r="Z6" i="2"/>
  <c r="W6" i="2"/>
  <c r="U6" i="2"/>
  <c r="S6" i="2"/>
  <c r="Q6" i="2"/>
  <c r="O6" i="2"/>
  <c r="K6" i="2"/>
  <c r="I6" i="2"/>
  <c r="M6" i="2" s="1"/>
  <c r="G6" i="2"/>
  <c r="E6" i="2"/>
  <c r="A6" i="2"/>
  <c r="AZ6" i="2" s="1"/>
  <c r="BI5" i="2"/>
  <c r="BH5" i="2"/>
  <c r="BG5" i="2"/>
  <c r="BF5" i="2"/>
  <c r="BE5" i="2"/>
  <c r="BD5" i="2"/>
  <c r="BC5" i="2"/>
  <c r="BB5" i="2"/>
  <c r="BA5" i="2"/>
  <c r="AZ5" i="2"/>
  <c r="AY5" i="2"/>
  <c r="AW5" i="2"/>
  <c r="AQ5" i="2"/>
  <c r="AM5" i="2"/>
  <c r="AI5" i="2"/>
  <c r="AF5" i="2"/>
  <c r="AC5" i="2"/>
  <c r="Z5" i="2"/>
  <c r="W5" i="2"/>
  <c r="O5" i="2"/>
  <c r="K5" i="2"/>
  <c r="G5" i="2"/>
  <c r="BE4" i="2"/>
  <c r="BC4" i="2"/>
  <c r="BB4" i="2"/>
  <c r="BA4" i="2"/>
  <c r="AZ4" i="2"/>
  <c r="AV4" i="2"/>
  <c r="U5" i="2"/>
  <c r="S5" i="2"/>
  <c r="P4" i="2"/>
  <c r="Q5" i="2" s="1"/>
  <c r="I5" i="2"/>
  <c r="M5" i="2" s="1"/>
  <c r="E5" i="2"/>
  <c r="E35" i="2"/>
  <c r="G32" i="5" s="1"/>
  <c r="G35" i="2"/>
  <c r="I35" i="2"/>
  <c r="M35" i="2" s="1"/>
  <c r="K35" i="2"/>
  <c r="I32" i="5" s="1"/>
  <c r="O35" i="2"/>
  <c r="Q35" i="2"/>
  <c r="S35" i="2"/>
  <c r="U35" i="2"/>
  <c r="W35" i="2"/>
  <c r="Z35" i="2"/>
  <c r="AC35" i="2"/>
  <c r="AI35" i="2"/>
  <c r="AM35" i="2"/>
  <c r="AQ35" i="2"/>
  <c r="AW35" i="2"/>
  <c r="AY35" i="2"/>
  <c r="AZ35" i="2"/>
  <c r="BA35" i="2"/>
  <c r="BB35" i="2"/>
  <c r="BC35" i="2"/>
  <c r="BD35" i="2"/>
  <c r="BE35" i="2"/>
  <c r="BF35" i="2"/>
  <c r="BG35" i="2"/>
  <c r="BH35" i="2"/>
  <c r="BI35" i="2"/>
  <c r="BB6" i="2" l="1"/>
  <c r="A7" i="2"/>
  <c r="BC7" i="2" s="1"/>
  <c r="BA6" i="2"/>
  <c r="BB14" i="2"/>
  <c r="A15" i="2"/>
  <c r="BD14" i="2"/>
  <c r="BA18" i="2"/>
  <c r="BB18" i="2"/>
  <c r="A19" i="2"/>
  <c r="AZ7" i="2"/>
  <c r="BA7" i="2"/>
  <c r="BB7" i="2"/>
  <c r="A8" i="2"/>
  <c r="AZ14" i="2"/>
  <c r="Q33" i="4"/>
  <c r="BA19" i="2" l="1"/>
  <c r="AZ19" i="2"/>
  <c r="A20" i="2"/>
  <c r="BB19" i="2"/>
  <c r="BC19" i="2"/>
  <c r="AZ8" i="2"/>
  <c r="BC8" i="2"/>
  <c r="A9" i="2"/>
  <c r="BB8" i="2"/>
  <c r="BA8" i="2"/>
  <c r="BC15" i="2"/>
  <c r="A16" i="2"/>
  <c r="BB15" i="2"/>
  <c r="BA15" i="2"/>
  <c r="AZ15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I20" i="5"/>
  <c r="I24" i="5"/>
  <c r="I28" i="5"/>
  <c r="AX36" i="2"/>
  <c r="AT36" i="2"/>
  <c r="AS36" i="2"/>
  <c r="AR36" i="2"/>
  <c r="AN36" i="2"/>
  <c r="AJ36" i="2"/>
  <c r="AG36" i="2"/>
  <c r="AD36" i="2"/>
  <c r="X36" i="2"/>
  <c r="T36" i="2"/>
  <c r="R36" i="2"/>
  <c r="P36" i="2"/>
  <c r="D36" i="2"/>
  <c r="J33" i="4"/>
  <c r="G33" i="4"/>
  <c r="F33" i="4"/>
  <c r="E33" i="4"/>
  <c r="I32" i="4"/>
  <c r="I31" i="5"/>
  <c r="I30" i="5"/>
  <c r="F31" i="4"/>
  <c r="I29" i="5"/>
  <c r="G29" i="5"/>
  <c r="F29" i="4"/>
  <c r="J28" i="4"/>
  <c r="I27" i="5"/>
  <c r="H27" i="4"/>
  <c r="I26" i="5"/>
  <c r="I25" i="5"/>
  <c r="I25" i="4"/>
  <c r="F25" i="4"/>
  <c r="G24" i="5"/>
  <c r="J24" i="4"/>
  <c r="I23" i="5"/>
  <c r="H23" i="4"/>
  <c r="G23" i="4"/>
  <c r="I22" i="5"/>
  <c r="I21" i="5"/>
  <c r="G21" i="5"/>
  <c r="I21" i="4"/>
  <c r="F21" i="4"/>
  <c r="J20" i="4"/>
  <c r="I19" i="5"/>
  <c r="F20" i="4"/>
  <c r="G19" i="5"/>
  <c r="H19" i="4"/>
  <c r="G19" i="4"/>
  <c r="I18" i="5"/>
  <c r="F19" i="4"/>
  <c r="G18" i="5"/>
  <c r="I17" i="5"/>
  <c r="G17" i="5"/>
  <c r="I17" i="4"/>
  <c r="I16" i="5"/>
  <c r="F17" i="4"/>
  <c r="J16" i="4"/>
  <c r="G16" i="4"/>
  <c r="I15" i="5"/>
  <c r="H15" i="4"/>
  <c r="I14" i="5"/>
  <c r="F15" i="4"/>
  <c r="G14" i="5"/>
  <c r="G14" i="4"/>
  <c r="I13" i="5"/>
  <c r="F14" i="4"/>
  <c r="E14" i="4"/>
  <c r="J13" i="4"/>
  <c r="I12" i="5"/>
  <c r="F13" i="4"/>
  <c r="G12" i="5"/>
  <c r="G12" i="4"/>
  <c r="I11" i="5"/>
  <c r="E12" i="4"/>
  <c r="I11" i="4"/>
  <c r="G11" i="4"/>
  <c r="I10" i="5"/>
  <c r="F11" i="4"/>
  <c r="J10" i="4"/>
  <c r="H10" i="4"/>
  <c r="I9" i="5"/>
  <c r="E10" i="4"/>
  <c r="J9" i="4"/>
  <c r="I9" i="4"/>
  <c r="H9" i="4"/>
  <c r="G9" i="4"/>
  <c r="I8" i="5"/>
  <c r="F9" i="4"/>
  <c r="I8" i="4"/>
  <c r="H8" i="4"/>
  <c r="I7" i="5"/>
  <c r="G7" i="5"/>
  <c r="J7" i="4"/>
  <c r="G7" i="4"/>
  <c r="I6" i="5"/>
  <c r="F7" i="4"/>
  <c r="G6" i="5"/>
  <c r="J6" i="4"/>
  <c r="H6" i="4"/>
  <c r="I5" i="5"/>
  <c r="F6" i="4"/>
  <c r="E6" i="4"/>
  <c r="J5" i="4"/>
  <c r="I5" i="4"/>
  <c r="H5" i="4"/>
  <c r="G5" i="4"/>
  <c r="I4" i="5"/>
  <c r="I4" i="4"/>
  <c r="I3" i="5"/>
  <c r="I2" i="5"/>
  <c r="G2" i="5"/>
  <c r="AP36" i="2"/>
  <c r="AL36" i="2"/>
  <c r="AH36" i="2"/>
  <c r="AE36" i="2"/>
  <c r="V36" i="2"/>
  <c r="I3" i="4"/>
  <c r="H3" i="4"/>
  <c r="G3" i="4"/>
  <c r="H36" i="2"/>
  <c r="F36" i="2"/>
  <c r="Y36" i="2"/>
  <c r="AA36" i="2" s="1"/>
  <c r="N36" i="2"/>
  <c r="AB36" i="2"/>
  <c r="H33" i="4"/>
  <c r="H32" i="4"/>
  <c r="G31" i="5"/>
  <c r="J31" i="4"/>
  <c r="I31" i="4"/>
  <c r="E31" i="4"/>
  <c r="J30" i="4"/>
  <c r="G30" i="4"/>
  <c r="F30" i="4"/>
  <c r="J29" i="4"/>
  <c r="I29" i="4"/>
  <c r="G28" i="5"/>
  <c r="I28" i="4"/>
  <c r="G28" i="4"/>
  <c r="F28" i="4"/>
  <c r="G27" i="4"/>
  <c r="F27" i="4"/>
  <c r="G26" i="5"/>
  <c r="I26" i="4"/>
  <c r="H26" i="4"/>
  <c r="F26" i="4"/>
  <c r="E26" i="4"/>
  <c r="I24" i="4"/>
  <c r="H24" i="4"/>
  <c r="E24" i="4"/>
  <c r="J23" i="4"/>
  <c r="I23" i="4"/>
  <c r="E23" i="4"/>
  <c r="I22" i="4"/>
  <c r="H22" i="4"/>
  <c r="G22" i="4"/>
  <c r="F22" i="4"/>
  <c r="J21" i="4"/>
  <c r="G21" i="4"/>
  <c r="G20" i="5"/>
  <c r="H20" i="4"/>
  <c r="G20" i="4"/>
  <c r="J19" i="4"/>
  <c r="I19" i="4"/>
  <c r="J18" i="4"/>
  <c r="H18" i="4"/>
  <c r="G18" i="4"/>
  <c r="E18" i="4"/>
  <c r="G17" i="4"/>
  <c r="G16" i="5"/>
  <c r="I16" i="4"/>
  <c r="H16" i="4"/>
  <c r="E16" i="4"/>
  <c r="J15" i="4"/>
  <c r="I15" i="4"/>
  <c r="G15" i="4"/>
  <c r="J14" i="4"/>
  <c r="I14" i="4"/>
  <c r="H14" i="4"/>
  <c r="I13" i="4"/>
  <c r="H13" i="4"/>
  <c r="G13" i="4"/>
  <c r="J12" i="4"/>
  <c r="I12" i="4"/>
  <c r="H12" i="4"/>
  <c r="J11" i="4"/>
  <c r="G10" i="5"/>
  <c r="I10" i="4"/>
  <c r="G10" i="4"/>
  <c r="G9" i="5"/>
  <c r="G8" i="5"/>
  <c r="G8" i="4"/>
  <c r="F8" i="4"/>
  <c r="I7" i="4"/>
  <c r="H7" i="4"/>
  <c r="I6" i="4"/>
  <c r="G6" i="4"/>
  <c r="F5" i="4"/>
  <c r="G4" i="5"/>
  <c r="H4" i="4"/>
  <c r="G4" i="4"/>
  <c r="F4" i="4"/>
  <c r="G3" i="5"/>
  <c r="J3" i="4"/>
  <c r="F3" i="4"/>
  <c r="J17" i="4"/>
  <c r="F23" i="4"/>
  <c r="G24" i="4"/>
  <c r="G25" i="4"/>
  <c r="J25" i="4"/>
  <c r="G26" i="4"/>
  <c r="G29" i="4"/>
  <c r="I30" i="4"/>
  <c r="F32" i="4"/>
  <c r="I33" i="4"/>
  <c r="J27" i="4"/>
  <c r="I27" i="4"/>
  <c r="H17" i="4"/>
  <c r="F12" i="4"/>
  <c r="J4" i="4"/>
  <c r="H25" i="4"/>
  <c r="I18" i="4"/>
  <c r="F16" i="4"/>
  <c r="I20" i="4"/>
  <c r="E9" i="4"/>
  <c r="G32" i="4"/>
  <c r="F24" i="4"/>
  <c r="K33" i="4"/>
  <c r="K32" i="4"/>
  <c r="J32" i="4"/>
  <c r="H31" i="4"/>
  <c r="P33" i="4"/>
  <c r="G31" i="4"/>
  <c r="H29" i="4"/>
  <c r="H28" i="4"/>
  <c r="G27" i="5"/>
  <c r="J26" i="4"/>
  <c r="J22" i="4"/>
  <c r="F18" i="4"/>
  <c r="H11" i="4"/>
  <c r="F10" i="4"/>
  <c r="H21" i="4"/>
  <c r="E28" i="4"/>
  <c r="H30" i="4"/>
  <c r="K8" i="4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3" i="5"/>
  <c r="E22" i="4"/>
  <c r="E8" i="4"/>
  <c r="E17" i="4"/>
  <c r="E29" i="4"/>
  <c r="G25" i="5"/>
  <c r="E27" i="4"/>
  <c r="G11" i="5"/>
  <c r="G15" i="5"/>
  <c r="E4" i="4"/>
  <c r="E21" i="4"/>
  <c r="E5" i="4"/>
  <c r="G30" i="5"/>
  <c r="E11" i="4"/>
  <c r="G22" i="5"/>
  <c r="E32" i="4"/>
  <c r="BA9" i="2" l="1"/>
  <c r="AZ9" i="2"/>
  <c r="BC9" i="2"/>
  <c r="A10" i="2"/>
  <c r="BB9" i="2"/>
  <c r="BC16" i="2"/>
  <c r="BA16" i="2"/>
  <c r="BB16" i="2"/>
  <c r="AZ16" i="2"/>
  <c r="BC20" i="2"/>
  <c r="A21" i="2"/>
  <c r="BB20" i="2"/>
  <c r="BA20" i="2"/>
  <c r="AZ20" i="2"/>
  <c r="AB38" i="2"/>
  <c r="AJ38" i="2" s="1"/>
  <c r="E13" i="4"/>
  <c r="G5" i="5"/>
  <c r="E15" i="4"/>
  <c r="E19" i="4"/>
  <c r="E3" i="4"/>
  <c r="E30" i="4"/>
  <c r="E20" i="4"/>
  <c r="E25" i="4"/>
  <c r="G13" i="5"/>
  <c r="E7" i="4"/>
  <c r="BC10" i="2" l="1"/>
  <c r="A11" i="2"/>
  <c r="BB10" i="2"/>
  <c r="BA10" i="2"/>
  <c r="AZ10" i="2"/>
  <c r="BA21" i="2"/>
  <c r="BC21" i="2"/>
  <c r="A22" i="2"/>
  <c r="BB21" i="2"/>
  <c r="AZ21" i="2"/>
  <c r="A23" i="2" l="1"/>
  <c r="BB22" i="2"/>
  <c r="BA22" i="2"/>
  <c r="AZ22" i="2"/>
  <c r="BC22" i="2"/>
  <c r="BA11" i="2"/>
  <c r="BC11" i="2"/>
  <c r="A12" i="2"/>
  <c r="BB11" i="2"/>
  <c r="AZ11" i="2"/>
  <c r="BB12" i="2" l="1"/>
  <c r="BA12" i="2"/>
  <c r="AZ12" i="2"/>
  <c r="BC12" i="2"/>
  <c r="BC23" i="2"/>
  <c r="A24" i="2"/>
  <c r="BB23" i="2"/>
  <c r="BA23" i="2"/>
  <c r="AZ23" i="2"/>
  <c r="BA24" i="2" l="1"/>
  <c r="AZ24" i="2"/>
  <c r="BD24" i="2"/>
  <c r="A25" i="2"/>
  <c r="BB24" i="2"/>
  <c r="BC24" i="2"/>
  <c r="BC25" i="2" l="1"/>
  <c r="A26" i="2"/>
  <c r="BB25" i="2"/>
  <c r="BA25" i="2"/>
  <c r="AZ25" i="2"/>
  <c r="BC26" i="2" l="1"/>
  <c r="A27" i="2"/>
  <c r="BB26" i="2"/>
  <c r="AZ26" i="2"/>
  <c r="BA26" i="2"/>
  <c r="A28" i="2" l="1"/>
  <c r="BB27" i="2"/>
  <c r="BA27" i="2"/>
  <c r="AZ27" i="2"/>
  <c r="BC27" i="2"/>
  <c r="BC28" i="2" l="1"/>
  <c r="A29" i="2"/>
  <c r="BB28" i="2"/>
  <c r="BA28" i="2"/>
  <c r="AZ28" i="2"/>
  <c r="AZ29" i="2" l="1"/>
  <c r="BB29" i="2"/>
  <c r="BC29" i="2"/>
  <c r="A30" i="2"/>
  <c r="BA29" i="2"/>
  <c r="BC30" i="2" l="1"/>
  <c r="A31" i="2"/>
  <c r="BB30" i="2"/>
  <c r="BA30" i="2"/>
  <c r="AZ30" i="2"/>
  <c r="AZ31" i="2" l="1"/>
  <c r="BC31" i="2"/>
  <c r="A32" i="2"/>
  <c r="BB31" i="2"/>
  <c r="BA31" i="2"/>
  <c r="BA32" i="2" l="1"/>
  <c r="BC32" i="2"/>
  <c r="AZ32" i="2"/>
  <c r="A33" i="2"/>
  <c r="BB32" i="2"/>
  <c r="BC33" i="2" l="1"/>
  <c r="A34" i="2"/>
  <c r="BB33" i="2"/>
  <c r="BA33" i="2"/>
  <c r="AZ33" i="2"/>
  <c r="BA34" i="2" l="1"/>
  <c r="AZ34" i="2"/>
  <c r="BC34" i="2"/>
  <c r="BD34" i="2"/>
  <c r="BB34" i="2"/>
  <c r="A35" i="2"/>
</calcChain>
</file>

<file path=xl/sharedStrings.xml><?xml version="1.0" encoding="utf-8"?>
<sst xmlns="http://schemas.openxmlformats.org/spreadsheetml/2006/main" count="200" uniqueCount="73">
  <si>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</si>
  <si>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</si>
  <si>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</si>
  <si>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</si>
  <si>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</si>
  <si>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</si>
  <si>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</si>
  <si>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</si>
  <si>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</si>
  <si>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</si>
  <si>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</si>
  <si>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</si>
  <si>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</si>
  <si>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</si>
  <si>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</si>
  <si>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</si>
  <si>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</si>
  <si>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</si>
  <si>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</si>
  <si>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</si>
  <si>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</si>
  <si>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</si>
  <si>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</si>
  <si>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</si>
  <si>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</si>
  <si>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</si>
  <si>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</si>
  <si>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</si>
  <si>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</si>
  <si>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</si>
  <si>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</si>
  <si>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</si>
  <si>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</si>
  <si>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</si>
  <si>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</si>
  <si>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</si>
  <si>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</si>
  <si>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</si>
  <si>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</si>
  <si>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</si>
  <si>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</si>
  <si>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</si>
  <si>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</si>
  <si>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</si>
  <si>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</si>
  <si>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</si>
  <si>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</si>
  <si>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</si>
  <si>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</si>
  <si>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</si>
  <si>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</si>
  <si>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</si>
  <si>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</si>
  <si>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</si>
  <si>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</si>
  <si>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</si>
  <si>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</si>
  <si>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</si>
  <si>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</si>
  <si>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</si>
  <si>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</si>
  <si>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</si>
  <si>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</si>
  <si>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</si>
  <si>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</si>
  <si>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</si>
  <si>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</si>
  <si>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</si>
  <si>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</si>
  <si>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00:00</t>
  </si>
  <si>
    <t xml:space="preserve">TOTALE </t>
  </si>
  <si>
    <t>Total Guest</t>
  </si>
  <si>
    <t>piscina in manutenzione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</si>
</sst>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0_-;\-* #,##0.000_-;_-* &quot;-&quot;_-;_-@_-"/>
    <numFmt numFmtId="165" formatCode="#,##0_ ;\-#,##0\ "/>
    <numFmt numFmtId="166" formatCode="_-* #,##0.00_-;\-* #,##0.00_-;_-* &quot;-&quot;_-;_-@_-"/>
    <numFmt numFmtId="167" formatCode="#,##0.00_ ;\-#,##0.00\ "/>
    <numFmt numFmtId="168" formatCode="0.000"/>
  </numFmts>
  <fonts count="2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5"/>
      <name val="Arial"/>
      <family val="2"/>
    </font>
    <font>
      <sz val="12"/>
      <color indexed="48"/>
      <name val="Arial"/>
      <family val="2"/>
    </font>
    <font>
      <sz val="12"/>
      <color theme="9" tint="0.399975585192419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151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64" fontId="6" fillId="0" borderId="4" xfId="1" applyNumberFormat="1" applyFont="1" applyBorder="1" applyProtection="1"/>
    <xf numFmtId="3" fontId="5" fillId="0" borderId="4" xfId="1" applyNumberFormat="1" applyFont="1" applyBorder="1" applyProtection="1"/>
    <xf numFmtId="166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/>
    <xf numFmtId="41" fontId="2" fillId="0" borderId="6" xfId="1" applyFont="1" applyBorder="1" applyProtection="1"/>
    <xf numFmtId="41" fontId="2" fillId="0" borderId="0" xfId="1" applyFont="1" applyBorder="1" applyProtection="1"/>
    <xf numFmtId="41" fontId="2" fillId="5" borderId="7" xfId="1" applyFont="1" applyFill="1" applyBorder="1"/>
    <xf numFmtId="41" fontId="2" fillId="0" borderId="0" xfId="1" applyFont="1" applyAlignment="1" applyProtection="1">
      <alignment horizontal="center"/>
    </xf>
    <xf numFmtId="166" fontId="2" fillId="0" borderId="0" xfId="1" applyNumberFormat="1" applyFont="1" applyBorder="1" applyProtection="1"/>
    <xf numFmtId="166" fontId="1" fillId="0" borderId="0" xfId="1" applyNumberFormat="1" applyFont="1"/>
    <xf numFmtId="41" fontId="2" fillId="0" borderId="8" xfId="1" applyFont="1" applyBorder="1"/>
    <xf numFmtId="41" fontId="2" fillId="0" borderId="8" xfId="1" applyFont="1" applyBorder="1" applyProtection="1"/>
    <xf numFmtId="41" fontId="1" fillId="0" borderId="0" xfId="1" applyNumberFormat="1" applyFont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41" fontId="1" fillId="3" borderId="9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1" xfId="1" applyFont="1" applyFill="1" applyBorder="1" applyAlignment="1">
      <alignment horizontal="center" vertical="center" wrapText="1"/>
    </xf>
    <xf numFmtId="41" fontId="1" fillId="0" borderId="0" xfId="1" applyFont="1" applyBorder="1"/>
    <xf numFmtId="41" fontId="1" fillId="0" borderId="0" xfId="1" applyFont="1" applyBorder="1" applyAlignment="1">
      <alignment horizontal="center" vertical="center" wrapText="1"/>
    </xf>
    <xf numFmtId="41" fontId="2" fillId="3" borderId="1" xfId="1" applyFont="1" applyFill="1" applyBorder="1" applyAlignment="1" applyProtection="1">
      <alignment horizontal="center" vertical="center" wrapText="1"/>
    </xf>
    <xf numFmtId="41" fontId="2" fillId="3" borderId="1" xfId="1" applyFont="1" applyFill="1" applyBorder="1" applyAlignment="1" applyProtection="1">
      <alignment horizontal="left" vertical="center"/>
    </xf>
    <xf numFmtId="41" fontId="2" fillId="3" borderId="12" xfId="1" applyFont="1" applyFill="1" applyBorder="1" applyAlignment="1">
      <alignment horizontal="center" vertical="center" wrapText="1"/>
    </xf>
    <xf numFmtId="41" fontId="17" fillId="0" borderId="4" xfId="1" applyFont="1" applyBorder="1" applyProtection="1"/>
    <xf numFmtId="41" fontId="2" fillId="4" borderId="13" xfId="1" applyFont="1" applyFill="1" applyBorder="1" applyAlignment="1" applyProtection="1">
      <alignment horizontal="right"/>
    </xf>
    <xf numFmtId="41" fontId="2" fillId="0" borderId="0" xfId="1" applyFont="1" applyBorder="1" applyAlignment="1" applyProtection="1">
      <alignment horizontal="left"/>
    </xf>
    <xf numFmtId="41" fontId="2" fillId="0" borderId="14" xfId="1" applyFont="1" applyBorder="1" applyProtection="1"/>
    <xf numFmtId="41" fontId="1" fillId="2" borderId="0" xfId="1" applyFont="1" applyFill="1" applyBorder="1"/>
    <xf numFmtId="41" fontId="1" fillId="0" borderId="0" xfId="1" applyFont="1" applyBorder="1" applyProtection="1"/>
    <xf numFmtId="166" fontId="2" fillId="0" borderId="0" xfId="1" applyNumberFormat="1" applyFont="1"/>
    <xf numFmtId="41" fontId="2" fillId="0" borderId="7" xfId="1" applyFont="1" applyFill="1" applyBorder="1"/>
    <xf numFmtId="41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7" fontId="5" fillId="0" borderId="4" xfId="1" applyNumberFormat="1" applyFont="1" applyBorder="1" applyProtection="1"/>
    <xf numFmtId="41" fontId="7" fillId="0" borderId="4" xfId="1" applyFont="1" applyBorder="1" applyProtection="1"/>
    <xf numFmtId="41" fontId="1" fillId="0" borderId="4" xfId="1" applyFont="1" applyBorder="1"/>
    <xf numFmtId="41" fontId="18" fillId="0" borderId="0" xfId="1" applyFont="1"/>
    <xf numFmtId="41" fontId="2" fillId="0" borderId="16" xfId="1" applyFont="1" applyBorder="1"/>
    <xf numFmtId="41" fontId="1" fillId="2" borderId="4" xfId="1" applyFont="1" applyFill="1" applyBorder="1"/>
    <xf numFmtId="41" fontId="3" fillId="0" borderId="4" xfId="1" applyFont="1" applyFill="1" applyBorder="1" applyProtection="1"/>
    <xf numFmtId="164" fontId="5" fillId="0" borderId="17" xfId="1" applyNumberFormat="1" applyFont="1" applyBorder="1" applyProtection="1"/>
    <xf numFmtId="3" fontId="19" fillId="0" borderId="4" xfId="1" applyNumberFormat="1" applyFont="1" applyBorder="1" applyProtection="1"/>
    <xf numFmtId="41" fontId="1" fillId="0" borderId="4" xfId="1" applyFont="1" applyFill="1" applyBorder="1" applyProtection="1"/>
    <xf numFmtId="3" fontId="1" fillId="0" borderId="1" xfId="1" applyNumberFormat="1" applyFont="1" applyBorder="1" applyProtection="1"/>
    <xf numFmtId="41" fontId="8" fillId="0" borderId="4" xfId="1" applyFont="1" applyBorder="1" applyAlignment="1" applyProtection="1">
      <alignment horizontal="left"/>
    </xf>
    <xf numFmtId="41" fontId="1" fillId="0" borderId="20" xfId="1" applyFont="1" applyBorder="1" applyProtection="1"/>
    <xf numFmtId="41" fontId="5" fillId="0" borderId="21" xfId="1" applyFont="1" applyBorder="1" applyProtection="1"/>
    <xf numFmtId="41" fontId="2" fillId="0" borderId="0" xfId="1" applyFont="1" applyAlignment="1" applyProtection="1">
      <alignment horizontal="left"/>
    </xf>
    <xf numFmtId="165" fontId="2" fillId="0" borderId="6" xfId="1" applyNumberFormat="1" applyFont="1" applyBorder="1" applyProtection="1"/>
    <xf numFmtId="167" fontId="2" fillId="0" borderId="6" xfId="1" applyNumberFormat="1" applyFont="1" applyBorder="1" applyProtection="1"/>
    <xf numFmtId="41" fontId="2" fillId="0" borderId="22" xfId="1" applyFont="1" applyBorder="1" applyProtection="1"/>
    <xf numFmtId="41" fontId="2" fillId="0" borderId="23" xfId="1" applyFont="1" applyBorder="1" applyProtection="1"/>
    <xf numFmtId="41" fontId="2" fillId="0" borderId="24" xfId="1" applyFont="1" applyBorder="1" applyProtection="1"/>
    <xf numFmtId="41" fontId="1" fillId="3" borderId="15" xfId="1" applyFont="1" applyFill="1" applyBorder="1"/>
    <xf numFmtId="41" fontId="5" fillId="0" borderId="20" xfId="1" applyFont="1" applyFill="1" applyBorder="1" applyProtection="1"/>
    <xf numFmtId="41" fontId="5" fillId="0" borderId="41" xfId="1" applyFont="1" applyBorder="1" applyProtection="1"/>
    <xf numFmtId="41" fontId="5" fillId="0" borderId="42" xfId="1" applyFont="1" applyBorder="1" applyProtection="1"/>
    <xf numFmtId="41" fontId="3" fillId="0" borderId="42" xfId="1" applyFont="1" applyFill="1" applyBorder="1"/>
    <xf numFmtId="41" fontId="20" fillId="0" borderId="4" xfId="1" applyFont="1" applyBorder="1" applyProtection="1"/>
    <xf numFmtId="168" fontId="5" fillId="0" borderId="17" xfId="1" applyNumberFormat="1" applyFont="1" applyBorder="1" applyProtection="1"/>
    <xf numFmtId="41" fontId="1" fillId="0" borderId="41" xfId="1" applyFont="1" applyBorder="1" applyProtection="1"/>
    <xf numFmtId="41" fontId="1" fillId="0" borderId="42" xfId="1" applyFont="1" applyBorder="1" applyProtection="1"/>
    <xf numFmtId="41" fontId="19" fillId="0" borderId="4" xfId="1" applyFont="1" applyFill="1" applyBorder="1" applyProtection="1"/>
    <xf numFmtId="3" fontId="21" fillId="0" borderId="4" xfId="1" applyNumberFormat="1" applyFont="1" applyBorder="1" applyProtection="1"/>
    <xf numFmtId="4" fontId="1" fillId="0" borderId="4" xfId="1" quotePrefix="1" applyNumberFormat="1" applyFont="1" applyFill="1" applyBorder="1" applyAlignment="1" applyProtection="1">
      <alignment horizontal="left"/>
    </xf>
    <xf numFmtId="41" fontId="22" fillId="0" borderId="4" xfId="1" applyFont="1" applyBorder="1" applyAlignment="1" applyProtection="1">
      <alignment horizontal="left"/>
    </xf>
    <xf numFmtId="41" fontId="5" fillId="0" borderId="4" xfId="1" applyFont="1" applyBorder="1"/>
    <xf numFmtId="41" fontId="19" fillId="0" borderId="4" xfId="1" applyFont="1" applyBorder="1" applyProtection="1"/>
    <xf numFmtId="3" fontId="9" fillId="0" borderId="4" xfId="1" applyNumberFormat="1" applyFont="1" applyFill="1" applyBorder="1" applyProtection="1"/>
    <xf numFmtId="41" fontId="23" fillId="0" borderId="4" xfId="1" applyFont="1" applyBorder="1" applyProtection="1"/>
    <xf numFmtId="41" fontId="1" fillId="0" borderId="4" xfId="1" quotePrefix="1" applyFont="1" applyBorder="1" applyAlignment="1" applyProtection="1">
      <alignment horizontal="left"/>
    </xf>
    <xf numFmtId="41" fontId="1" fillId="0" borderId="19" xfId="1" applyFont="1" applyBorder="1" applyProtection="1"/>
    <xf numFmtId="41" fontId="3" fillId="0" borderId="19" xfId="1" applyFont="1" applyFill="1" applyBorder="1" applyProtection="1"/>
    <xf numFmtId="3" fontId="1" fillId="0" borderId="19" xfId="1" applyNumberFormat="1" applyFont="1" applyBorder="1" applyProtection="1"/>
    <xf numFmtId="41" fontId="20" fillId="0" borderId="19" xfId="1" applyFont="1" applyBorder="1" applyProtection="1"/>
    <xf numFmtId="41" fontId="3" fillId="0" borderId="19" xfId="1" applyFont="1" applyBorder="1" applyProtection="1"/>
    <xf numFmtId="41" fontId="5" fillId="0" borderId="4" xfId="1" quotePrefix="1" applyFont="1" applyBorder="1" applyAlignment="1" applyProtection="1">
      <alignment horizontal="right"/>
    </xf>
    <xf numFmtId="41" fontId="5" fillId="0" borderId="20" xfId="1" applyFont="1" applyBorder="1" applyProtection="1"/>
    <xf numFmtId="41" fontId="1" fillId="0" borderId="43" xfId="1" applyFont="1" applyBorder="1" applyProtection="1"/>
    <xf numFmtId="41" fontId="5" fillId="0" borderId="44" xfId="1" applyFont="1" applyBorder="1" applyProtection="1"/>
    <xf numFmtId="41" fontId="5" fillId="0" borderId="0" xfId="1" applyFont="1" applyBorder="1" applyProtection="1"/>
    <xf numFmtId="41" fontId="3" fillId="0" borderId="43" xfId="1" applyFont="1" applyFill="1" applyBorder="1" applyProtection="1"/>
    <xf numFmtId="41" fontId="5" fillId="0" borderId="44" xfId="1" applyFont="1" applyFill="1" applyBorder="1" applyProtection="1"/>
    <xf numFmtId="166" fontId="5" fillId="0" borderId="20" xfId="1" applyNumberFormat="1" applyFont="1" applyBorder="1" applyProtection="1"/>
    <xf numFmtId="3" fontId="1" fillId="0" borderId="43" xfId="1" applyNumberFormat="1" applyFont="1" applyBorder="1" applyProtection="1"/>
    <xf numFmtId="3" fontId="5" fillId="0" borderId="44" xfId="1" applyNumberFormat="1" applyFont="1" applyBorder="1" applyProtection="1"/>
    <xf numFmtId="41" fontId="20" fillId="0" borderId="43" xfId="1" applyFont="1" applyBorder="1" applyProtection="1"/>
    <xf numFmtId="41" fontId="3" fillId="0" borderId="43" xfId="1" applyFont="1" applyBorder="1" applyProtection="1"/>
    <xf numFmtId="41" fontId="5" fillId="0" borderId="18" xfId="1" applyFont="1" applyBorder="1" applyProtection="1"/>
    <xf numFmtId="41" fontId="2" fillId="3" borderId="29" xfId="1" applyFont="1" applyFill="1" applyBorder="1" applyAlignment="1" applyProtection="1">
      <alignment horizontal="center" vertical="center" wrapText="1"/>
    </xf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16" xfId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>
      <alignment horizontal="center" vertical="center" wrapText="1"/>
    </xf>
    <xf numFmtId="41" fontId="2" fillId="3" borderId="34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41" fontId="1" fillId="3" borderId="28" xfId="1" applyFont="1" applyFill="1" applyBorder="1" applyAlignment="1">
      <alignment horizontal="center" vertical="center" wrapText="1"/>
    </xf>
    <xf numFmtId="41" fontId="1" fillId="3" borderId="31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4" xfId="1" applyFont="1" applyFill="1" applyBorder="1" applyAlignment="1">
      <alignment horizontal="center" vertical="center" wrapText="1"/>
    </xf>
    <xf numFmtId="41" fontId="1" fillId="3" borderId="32" xfId="1" applyFont="1" applyFill="1" applyBorder="1" applyAlignment="1">
      <alignment horizontal="center" vertical="center" wrapText="1"/>
    </xf>
    <xf numFmtId="41" fontId="2" fillId="3" borderId="9" xfId="1" applyFont="1" applyFill="1" applyBorder="1" applyAlignment="1" applyProtection="1">
      <alignment horizontal="center" vertical="center" wrapText="1"/>
    </xf>
    <xf numFmtId="41" fontId="2" fillId="3" borderId="31" xfId="1" applyFont="1" applyFill="1" applyBorder="1" applyAlignment="1" applyProtection="1">
      <alignment horizontal="center" vertical="center" wrapText="1"/>
    </xf>
    <xf numFmtId="41" fontId="2" fillId="3" borderId="10" xfId="1" applyFont="1" applyFill="1" applyBorder="1" applyAlignment="1" applyProtection="1">
      <alignment horizontal="center" vertical="center" wrapText="1"/>
    </xf>
    <xf numFmtId="41" fontId="2" fillId="3" borderId="32" xfId="1" applyFont="1" applyFill="1" applyBorder="1" applyAlignment="1" applyProtection="1">
      <alignment horizontal="center" vertical="center" wrapText="1"/>
    </xf>
    <xf numFmtId="41" fontId="2" fillId="3" borderId="35" xfId="1" applyFont="1" applyFill="1" applyBorder="1" applyAlignment="1" applyProtection="1">
      <alignment horizontal="center" vertical="center" wrapText="1"/>
    </xf>
    <xf numFmtId="41" fontId="2" fillId="3" borderId="36" xfId="1" applyFont="1" applyFill="1" applyBorder="1" applyAlignment="1" applyProtection="1">
      <alignment horizontal="center" vertical="center" wrapText="1"/>
    </xf>
    <xf numFmtId="41" fontId="2" fillId="3" borderId="37" xfId="1" applyFont="1" applyFill="1" applyBorder="1" applyAlignment="1" applyProtection="1">
      <alignment horizontal="center" vertical="center" wrapText="1"/>
    </xf>
    <xf numFmtId="41" fontId="2" fillId="3" borderId="11" xfId="1" applyFont="1" applyFill="1" applyBorder="1" applyAlignment="1" applyProtection="1">
      <alignment horizontal="center" vertical="center" wrapText="1"/>
    </xf>
    <xf numFmtId="41" fontId="2" fillId="3" borderId="0" xfId="1" applyFont="1" applyFill="1" applyBorder="1" applyAlignment="1" applyProtection="1">
      <alignment horizontal="center" vertical="center" wrapText="1"/>
    </xf>
    <xf numFmtId="41" fontId="2" fillId="3" borderId="38" xfId="1" applyFont="1" applyFill="1" applyBorder="1" applyAlignment="1" applyProtection="1">
      <alignment horizontal="center" vertical="center" wrapText="1"/>
    </xf>
    <xf numFmtId="41" fontId="2" fillId="3" borderId="39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41" fontId="2" fillId="3" borderId="31" xfId="1" applyFont="1" applyFill="1" applyBorder="1" applyAlignment="1">
      <alignment horizontal="center" vertical="center" wrapText="1"/>
    </xf>
    <xf numFmtId="41" fontId="2" fillId="3" borderId="10" xfId="1" applyFont="1" applyFill="1" applyBorder="1" applyAlignment="1">
      <alignment horizontal="center" vertical="center" wrapText="1"/>
    </xf>
    <xf numFmtId="41" fontId="2" fillId="3" borderId="32" xfId="1" applyFont="1" applyFill="1" applyBorder="1" applyAlignment="1">
      <alignment horizontal="center" vertical="center" wrapText="1"/>
    </xf>
    <xf numFmtId="41" fontId="2" fillId="3" borderId="28" xfId="1" applyFont="1" applyFill="1" applyBorder="1" applyAlignment="1" applyProtection="1">
      <alignment horizontal="center" vertical="center" wrapText="1"/>
    </xf>
    <xf numFmtId="41" fontId="2" fillId="3" borderId="14" xfId="1" applyFont="1" applyFill="1" applyBorder="1" applyAlignment="1" applyProtection="1">
      <alignment horizontal="center" vertical="center" wrapText="1"/>
    </xf>
    <xf numFmtId="41" fontId="2" fillId="3" borderId="29" xfId="1" applyFont="1" applyFill="1" applyBorder="1" applyAlignment="1">
      <alignment horizontal="center" vertical="center" wrapText="1"/>
    </xf>
    <xf numFmtId="41" fontId="2" fillId="3" borderId="16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41" fontId="2" fillId="5" borderId="25" xfId="1" applyFont="1" applyFill="1" applyBorder="1" applyAlignment="1">
      <alignment horizontal="center"/>
    </xf>
    <xf numFmtId="41" fontId="1" fillId="5" borderId="26" xfId="1" applyFont="1" applyFill="1" applyBorder="1" applyAlignment="1">
      <alignment horizontal="center"/>
    </xf>
    <xf numFmtId="41" fontId="2" fillId="5" borderId="27" xfId="1" applyFont="1" applyFill="1" applyBorder="1" applyAlignment="1">
      <alignment horizontal="center"/>
    </xf>
    <xf numFmtId="41" fontId="2" fillId="0" borderId="28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>
        <row r="38">
          <cell r="D38">
            <v>318983</v>
          </cell>
        </row>
      </sheetData>
      <sheetData sheetId="6"/>
      <sheetData sheetId="7"/>
      <sheetData sheetId="8"/>
      <sheetData sheetId="9">
        <row r="37">
          <cell r="P37">
            <v>98446</v>
          </cell>
          <cell r="AV37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E20" sqref="E20"/>
    </sheetView>
  </sheetViews>
  <sheetFormatPr defaultColWidth="11.54296875" defaultRowHeight="14.5" x14ac:dyDescent="0.35"/>
  <cols>
    <col min="4" max="4" width="13.453125" customWidth="1"/>
    <col min="5" max="5" width="13" style="37" customWidth="1"/>
    <col min="6" max="6" width="12.54296875" customWidth="1"/>
    <col min="7" max="7" width="13" style="25" customWidth="1"/>
  </cols>
  <sheetData>
    <row r="1" spans="1:12" s="29" customFormat="1" ht="43.5" x14ac:dyDescent="0.35">
      <c r="A1" s="29" t="s">
        <v>31</v>
      </c>
      <c r="B1" s="29" t="s">
        <v>32</v>
      </c>
      <c r="C1" s="29" t="s">
        <v>33</v>
      </c>
      <c r="D1" s="29" t="s">
        <v>34</v>
      </c>
      <c r="E1" s="35" t="s">
        <v>35</v>
      </c>
      <c r="F1" s="28" t="s">
        <v>52</v>
      </c>
      <c r="G1" s="30" t="s">
        <v>36</v>
      </c>
      <c r="H1" s="28" t="s">
        <v>53</v>
      </c>
      <c r="I1" s="28" t="s">
        <v>37</v>
      </c>
      <c r="J1" s="28" t="s">
        <v>54</v>
      </c>
      <c r="K1" s="28" t="s">
        <v>38</v>
      </c>
      <c r="L1" s="28" t="s">
        <v>39</v>
      </c>
    </row>
    <row r="2" spans="1:12" s="31" customFormat="1" ht="12.5" x14ac:dyDescent="0.25">
      <c r="A2" s="31" t="s">
        <v>40</v>
      </c>
      <c r="B2" s="31">
        <v>1</v>
      </c>
      <c r="C2" s="33">
        <v>11</v>
      </c>
      <c r="D2" s="31">
        <v>2022</v>
      </c>
      <c r="E2" s="36">
        <f>'Hotel Data'!X5</f>
        <v>11450</v>
      </c>
      <c r="F2" s="31">
        <v>0.55000000000000004</v>
      </c>
      <c r="G2" s="34">
        <f>'Hotel Data'!E5</f>
        <v>290</v>
      </c>
      <c r="H2" s="31">
        <v>2</v>
      </c>
      <c r="I2" s="34">
        <f>'Hotel Data'!K5</f>
        <v>137</v>
      </c>
      <c r="J2" s="31">
        <v>1</v>
      </c>
    </row>
    <row r="3" spans="1:12" s="32" customFormat="1" x14ac:dyDescent="0.35">
      <c r="A3" s="32" t="s">
        <v>40</v>
      </c>
      <c r="B3" s="32">
        <f>B2+1</f>
        <v>2</v>
      </c>
      <c r="C3" s="33">
        <v>11</v>
      </c>
      <c r="D3" s="31">
        <v>2022</v>
      </c>
      <c r="E3" s="36">
        <f>'Hotel Data'!X6</f>
        <v>11241</v>
      </c>
      <c r="F3" s="31">
        <v>0.55000000000000004</v>
      </c>
      <c r="G3" s="34">
        <f>'Hotel Data'!E6</f>
        <v>342</v>
      </c>
      <c r="H3" s="31">
        <v>2</v>
      </c>
      <c r="I3" s="34">
        <f>'Hotel Data'!K6</f>
        <v>124</v>
      </c>
      <c r="J3" s="31">
        <v>1</v>
      </c>
      <c r="K3" s="31"/>
      <c r="L3" s="31"/>
    </row>
    <row r="4" spans="1:12" s="32" customFormat="1" x14ac:dyDescent="0.35">
      <c r="A4" s="32" t="s">
        <v>40</v>
      </c>
      <c r="B4" s="32">
        <f t="shared" ref="B4:B30" si="0">B3+1</f>
        <v>3</v>
      </c>
      <c r="C4" s="33">
        <v>11</v>
      </c>
      <c r="D4" s="31">
        <v>2022</v>
      </c>
      <c r="E4" s="36">
        <f>'Hotel Data'!X7</f>
        <v>11394</v>
      </c>
      <c r="F4" s="31">
        <v>0.55000000000000004</v>
      </c>
      <c r="G4" s="34">
        <f>'Hotel Data'!E7</f>
        <v>440</v>
      </c>
      <c r="H4" s="31">
        <v>2</v>
      </c>
      <c r="I4" s="34">
        <f>'Hotel Data'!K7</f>
        <v>192</v>
      </c>
      <c r="J4" s="31">
        <v>1</v>
      </c>
      <c r="K4" s="31"/>
      <c r="L4" s="31"/>
    </row>
    <row r="5" spans="1:12" s="32" customFormat="1" x14ac:dyDescent="0.35">
      <c r="A5" s="32" t="s">
        <v>40</v>
      </c>
      <c r="B5" s="32">
        <f t="shared" si="0"/>
        <v>4</v>
      </c>
      <c r="C5" s="33">
        <v>11</v>
      </c>
      <c r="D5" s="31">
        <v>2022</v>
      </c>
      <c r="E5" s="36">
        <f>'Hotel Data'!X8</f>
        <v>10967</v>
      </c>
      <c r="F5" s="31">
        <v>0.55000000000000004</v>
      </c>
      <c r="G5" s="34">
        <f>'Hotel Data'!E8</f>
        <v>678</v>
      </c>
      <c r="H5" s="31">
        <v>2</v>
      </c>
      <c r="I5" s="34">
        <f>'Hotel Data'!K8</f>
        <v>168</v>
      </c>
      <c r="J5" s="31">
        <v>1</v>
      </c>
      <c r="K5" s="31"/>
      <c r="L5" s="31"/>
    </row>
    <row r="6" spans="1:12" s="32" customFormat="1" x14ac:dyDescent="0.35">
      <c r="A6" s="32" t="s">
        <v>40</v>
      </c>
      <c r="B6" s="32">
        <f t="shared" si="0"/>
        <v>5</v>
      </c>
      <c r="C6" s="33">
        <v>11</v>
      </c>
      <c r="D6" s="31">
        <v>2022</v>
      </c>
      <c r="E6" s="36">
        <f>'Hotel Data'!X9</f>
        <v>10939</v>
      </c>
      <c r="F6" s="31">
        <v>0.55000000000000004</v>
      </c>
      <c r="G6" s="34">
        <f>'Hotel Data'!E9</f>
        <v>532</v>
      </c>
      <c r="H6" s="31">
        <v>2</v>
      </c>
      <c r="I6" s="34">
        <f>'Hotel Data'!K9</f>
        <v>150</v>
      </c>
      <c r="J6" s="31">
        <v>1</v>
      </c>
      <c r="K6" s="31"/>
      <c r="L6" s="31"/>
    </row>
    <row r="7" spans="1:12" s="32" customFormat="1" x14ac:dyDescent="0.35">
      <c r="A7" s="32" t="s">
        <v>40</v>
      </c>
      <c r="B7" s="32">
        <f t="shared" si="0"/>
        <v>6</v>
      </c>
      <c r="C7" s="33">
        <v>11</v>
      </c>
      <c r="D7" s="31">
        <v>2022</v>
      </c>
      <c r="E7" s="36">
        <f>'Hotel Data'!X10</f>
        <v>10672</v>
      </c>
      <c r="F7" s="31">
        <v>0.55000000000000004</v>
      </c>
      <c r="G7" s="34">
        <f>'Hotel Data'!E10</f>
        <v>844</v>
      </c>
      <c r="H7" s="31">
        <v>2</v>
      </c>
      <c r="I7" s="34">
        <f>'Hotel Data'!K10</f>
        <v>162</v>
      </c>
      <c r="J7" s="31">
        <v>1</v>
      </c>
      <c r="K7" s="31"/>
      <c r="L7" s="31"/>
    </row>
    <row r="8" spans="1:12" s="32" customFormat="1" x14ac:dyDescent="0.35">
      <c r="A8" s="32" t="s">
        <v>40</v>
      </c>
      <c r="B8" s="32">
        <f t="shared" si="0"/>
        <v>7</v>
      </c>
      <c r="C8" s="33">
        <v>11</v>
      </c>
      <c r="D8" s="31">
        <v>2022</v>
      </c>
      <c r="E8" s="36">
        <f>'Hotel Data'!X11</f>
        <v>10495</v>
      </c>
      <c r="F8" s="31">
        <v>0.55000000000000004</v>
      </c>
      <c r="G8" s="34">
        <f>'Hotel Data'!E11</f>
        <v>670</v>
      </c>
      <c r="H8" s="31">
        <v>2</v>
      </c>
      <c r="I8" s="34">
        <f>'Hotel Data'!K11</f>
        <v>165</v>
      </c>
      <c r="J8" s="31">
        <v>1</v>
      </c>
      <c r="K8" s="31"/>
      <c r="L8" s="31"/>
    </row>
    <row r="9" spans="1:12" s="32" customFormat="1" x14ac:dyDescent="0.35">
      <c r="A9" s="32" t="s">
        <v>40</v>
      </c>
      <c r="B9" s="32">
        <f t="shared" si="0"/>
        <v>8</v>
      </c>
      <c r="C9" s="33">
        <v>11</v>
      </c>
      <c r="D9" s="31">
        <v>2022</v>
      </c>
      <c r="E9" s="36">
        <f>'Hotel Data'!X12</f>
        <v>10643</v>
      </c>
      <c r="F9" s="31">
        <v>0.55000000000000004</v>
      </c>
      <c r="G9" s="34">
        <f>'Hotel Data'!E12</f>
        <v>486</v>
      </c>
      <c r="H9" s="31">
        <v>2</v>
      </c>
      <c r="I9" s="34">
        <f>'Hotel Data'!K12</f>
        <v>239</v>
      </c>
      <c r="J9" s="31">
        <v>1</v>
      </c>
      <c r="K9" s="31"/>
      <c r="L9" s="31"/>
    </row>
    <row r="10" spans="1:12" s="32" customFormat="1" x14ac:dyDescent="0.35">
      <c r="A10" s="32" t="s">
        <v>40</v>
      </c>
      <c r="B10" s="32">
        <f t="shared" si="0"/>
        <v>9</v>
      </c>
      <c r="C10" s="33">
        <v>11</v>
      </c>
      <c r="D10" s="31">
        <v>2022</v>
      </c>
      <c r="E10" s="36">
        <f>'Hotel Data'!X13</f>
        <v>11120</v>
      </c>
      <c r="F10" s="31">
        <v>0.55000000000000004</v>
      </c>
      <c r="G10" s="34">
        <f>'Hotel Data'!E13</f>
        <v>475</v>
      </c>
      <c r="H10" s="31">
        <v>2</v>
      </c>
      <c r="I10" s="34">
        <f>'Hotel Data'!K13</f>
        <v>271</v>
      </c>
      <c r="J10" s="31">
        <v>1</v>
      </c>
      <c r="K10" s="31"/>
      <c r="L10" s="31"/>
    </row>
    <row r="11" spans="1:12" s="32" customFormat="1" x14ac:dyDescent="0.35">
      <c r="A11" s="32" t="s">
        <v>40</v>
      </c>
      <c r="B11" s="32">
        <f t="shared" si="0"/>
        <v>10</v>
      </c>
      <c r="C11" s="33">
        <v>11</v>
      </c>
      <c r="D11" s="31">
        <v>2022</v>
      </c>
      <c r="E11" s="36">
        <f>'Hotel Data'!X14</f>
        <v>10837</v>
      </c>
      <c r="F11" s="31">
        <v>0.55000000000000004</v>
      </c>
      <c r="G11" s="34">
        <f>'Hotel Data'!E14</f>
        <v>399</v>
      </c>
      <c r="H11" s="31">
        <v>2</v>
      </c>
      <c r="I11" s="34">
        <f>'Hotel Data'!K14</f>
        <v>258</v>
      </c>
      <c r="J11" s="31">
        <v>1</v>
      </c>
      <c r="K11" s="31"/>
      <c r="L11" s="31"/>
    </row>
    <row r="12" spans="1:12" s="32" customFormat="1" x14ac:dyDescent="0.35">
      <c r="A12" s="32" t="s">
        <v>40</v>
      </c>
      <c r="B12" s="32">
        <f t="shared" si="0"/>
        <v>11</v>
      </c>
      <c r="C12" s="33">
        <v>11</v>
      </c>
      <c r="D12" s="31">
        <v>2022</v>
      </c>
      <c r="E12" s="36">
        <f>'Hotel Data'!X15</f>
        <v>10578</v>
      </c>
      <c r="F12" s="31">
        <v>0.55000000000000004</v>
      </c>
      <c r="G12" s="34">
        <f>'Hotel Data'!E15</f>
        <v>412</v>
      </c>
      <c r="H12" s="31">
        <v>2</v>
      </c>
      <c r="I12" s="34">
        <f>'Hotel Data'!K15</f>
        <v>261</v>
      </c>
      <c r="J12" s="31">
        <v>1</v>
      </c>
      <c r="K12" s="31"/>
      <c r="L12" s="31"/>
    </row>
    <row r="13" spans="1:12" s="32" customFormat="1" x14ac:dyDescent="0.35">
      <c r="A13" s="32" t="s">
        <v>40</v>
      </c>
      <c r="B13" s="32">
        <f t="shared" si="0"/>
        <v>12</v>
      </c>
      <c r="C13" s="33">
        <v>11</v>
      </c>
      <c r="D13" s="31">
        <v>2022</v>
      </c>
      <c r="E13" s="36">
        <f>'Hotel Data'!X16</f>
        <v>10527</v>
      </c>
      <c r="F13" s="31">
        <v>0.55000000000000004</v>
      </c>
      <c r="G13" s="34">
        <f>'Hotel Data'!E16</f>
        <v>542</v>
      </c>
      <c r="H13" s="31">
        <v>2</v>
      </c>
      <c r="I13" s="34">
        <f>'Hotel Data'!K16</f>
        <v>250</v>
      </c>
      <c r="J13" s="31">
        <v>1</v>
      </c>
      <c r="K13" s="31"/>
      <c r="L13" s="31"/>
    </row>
    <row r="14" spans="1:12" s="32" customFormat="1" x14ac:dyDescent="0.35">
      <c r="A14" s="32" t="s">
        <v>40</v>
      </c>
      <c r="B14" s="32">
        <f t="shared" si="0"/>
        <v>13</v>
      </c>
      <c r="C14" s="33">
        <v>11</v>
      </c>
      <c r="D14" s="31">
        <v>2022</v>
      </c>
      <c r="E14" s="36">
        <f>'Hotel Data'!X17</f>
        <v>10458</v>
      </c>
      <c r="F14" s="31">
        <v>0.55000000000000004</v>
      </c>
      <c r="G14" s="34">
        <f>'Hotel Data'!E17</f>
        <v>444</v>
      </c>
      <c r="H14" s="31">
        <v>2</v>
      </c>
      <c r="I14" s="34">
        <f>'Hotel Data'!K17</f>
        <v>231</v>
      </c>
      <c r="J14" s="31">
        <v>1</v>
      </c>
      <c r="K14" s="31"/>
      <c r="L14" s="31"/>
    </row>
    <row r="15" spans="1:12" s="32" customFormat="1" x14ac:dyDescent="0.35">
      <c r="A15" s="32" t="s">
        <v>40</v>
      </c>
      <c r="B15" s="32">
        <f t="shared" si="0"/>
        <v>14</v>
      </c>
      <c r="C15" s="33">
        <v>11</v>
      </c>
      <c r="D15" s="31">
        <v>2022</v>
      </c>
      <c r="E15" s="36">
        <f>'Hotel Data'!X18</f>
        <v>10581</v>
      </c>
      <c r="F15" s="31">
        <v>0.55000000000000004</v>
      </c>
      <c r="G15" s="34">
        <f>'Hotel Data'!E18</f>
        <v>560</v>
      </c>
      <c r="H15" s="31">
        <v>2</v>
      </c>
      <c r="I15" s="34">
        <f>'Hotel Data'!K18</f>
        <v>264</v>
      </c>
      <c r="J15" s="31">
        <v>1</v>
      </c>
      <c r="K15" s="31"/>
      <c r="L15" s="31"/>
    </row>
    <row r="16" spans="1:12" s="32" customFormat="1" x14ac:dyDescent="0.35">
      <c r="A16" s="32" t="s">
        <v>40</v>
      </c>
      <c r="B16" s="32">
        <f t="shared" si="0"/>
        <v>15</v>
      </c>
      <c r="C16" s="33">
        <v>11</v>
      </c>
      <c r="D16" s="31">
        <v>2022</v>
      </c>
      <c r="E16" s="36">
        <f>'Hotel Data'!X19</f>
        <v>10642</v>
      </c>
      <c r="F16" s="31">
        <v>0.55000000000000004</v>
      </c>
      <c r="G16" s="34">
        <f>'Hotel Data'!E19</f>
        <v>576</v>
      </c>
      <c r="H16" s="31">
        <v>2</v>
      </c>
      <c r="I16" s="34">
        <f>'Hotel Data'!K19</f>
        <v>240</v>
      </c>
      <c r="J16" s="31">
        <v>1</v>
      </c>
      <c r="K16" s="31"/>
      <c r="L16" s="31"/>
    </row>
    <row r="17" spans="1:12" s="32" customFormat="1" x14ac:dyDescent="0.35">
      <c r="A17" s="32" t="s">
        <v>40</v>
      </c>
      <c r="B17" s="32">
        <f t="shared" si="0"/>
        <v>16</v>
      </c>
      <c r="C17" s="33">
        <v>11</v>
      </c>
      <c r="D17" s="31">
        <v>2022</v>
      </c>
      <c r="E17" s="36">
        <f>'Hotel Data'!X20</f>
        <v>11003</v>
      </c>
      <c r="F17" s="31">
        <v>0.55000000000000004</v>
      </c>
      <c r="G17" s="34">
        <f>'Hotel Data'!E20</f>
        <v>410</v>
      </c>
      <c r="H17" s="31">
        <v>2</v>
      </c>
      <c r="I17" s="34">
        <f>'Hotel Data'!K20</f>
        <v>262</v>
      </c>
      <c r="J17" s="31">
        <v>1</v>
      </c>
      <c r="K17" s="31"/>
      <c r="L17" s="31"/>
    </row>
    <row r="18" spans="1:12" s="32" customFormat="1" x14ac:dyDescent="0.35">
      <c r="A18" s="32" t="s">
        <v>40</v>
      </c>
      <c r="B18" s="32">
        <f t="shared" si="0"/>
        <v>17</v>
      </c>
      <c r="C18" s="33">
        <v>11</v>
      </c>
      <c r="D18" s="31">
        <v>2022</v>
      </c>
      <c r="E18" s="36">
        <f>'Hotel Data'!X21</f>
        <v>11041</v>
      </c>
      <c r="F18" s="31">
        <v>0.55000000000000004</v>
      </c>
      <c r="G18" s="34">
        <f>'Hotel Data'!E21</f>
        <v>411</v>
      </c>
      <c r="H18" s="31">
        <v>2</v>
      </c>
      <c r="I18" s="34">
        <f>'Hotel Data'!K21</f>
        <v>242</v>
      </c>
      <c r="J18" s="31">
        <v>1</v>
      </c>
      <c r="K18" s="31"/>
      <c r="L18" s="31"/>
    </row>
    <row r="19" spans="1:12" s="32" customFormat="1" x14ac:dyDescent="0.35">
      <c r="A19" s="32" t="s">
        <v>40</v>
      </c>
      <c r="B19" s="32">
        <f t="shared" si="0"/>
        <v>18</v>
      </c>
      <c r="C19" s="33">
        <v>11</v>
      </c>
      <c r="D19" s="31">
        <v>2022</v>
      </c>
      <c r="E19" s="36">
        <f>'Hotel Data'!X22</f>
        <v>11248</v>
      </c>
      <c r="F19" s="31">
        <v>0.55000000000000004</v>
      </c>
      <c r="G19" s="34">
        <f>'Hotel Data'!E22</f>
        <v>260</v>
      </c>
      <c r="H19" s="31">
        <v>2</v>
      </c>
      <c r="I19" s="34">
        <f>'Hotel Data'!K22</f>
        <v>233</v>
      </c>
      <c r="J19" s="31">
        <v>1</v>
      </c>
      <c r="K19" s="31"/>
      <c r="L19" s="31"/>
    </row>
    <row r="20" spans="1:12" s="32" customFormat="1" x14ac:dyDescent="0.35">
      <c r="A20" s="32" t="s">
        <v>40</v>
      </c>
      <c r="B20" s="32">
        <f t="shared" si="0"/>
        <v>19</v>
      </c>
      <c r="C20" s="33">
        <v>11</v>
      </c>
      <c r="D20" s="31">
        <v>2022</v>
      </c>
      <c r="E20" s="36">
        <f>'Hotel Data'!X23</f>
        <v>11586</v>
      </c>
      <c r="F20" s="31">
        <v>0.55000000000000004</v>
      </c>
      <c r="G20" s="34">
        <f>'Hotel Data'!E23</f>
        <v>283</v>
      </c>
      <c r="H20" s="31">
        <v>2</v>
      </c>
      <c r="I20" s="34">
        <f>'Hotel Data'!K23</f>
        <v>223</v>
      </c>
      <c r="J20" s="31">
        <v>1</v>
      </c>
      <c r="K20" s="31"/>
      <c r="L20" s="31"/>
    </row>
    <row r="21" spans="1:12" s="32" customFormat="1" x14ac:dyDescent="0.35">
      <c r="A21" s="32" t="s">
        <v>40</v>
      </c>
      <c r="B21" s="32">
        <f t="shared" si="0"/>
        <v>20</v>
      </c>
      <c r="C21" s="33">
        <v>11</v>
      </c>
      <c r="D21" s="31">
        <v>2022</v>
      </c>
      <c r="E21" s="36">
        <f>'Hotel Data'!X24</f>
        <v>11257</v>
      </c>
      <c r="F21" s="31">
        <v>0.55000000000000004</v>
      </c>
      <c r="G21" s="34">
        <f>'Hotel Data'!E24</f>
        <v>348</v>
      </c>
      <c r="H21" s="31">
        <v>2</v>
      </c>
      <c r="I21" s="34">
        <f>'Hotel Data'!K24</f>
        <v>237</v>
      </c>
      <c r="J21" s="31">
        <v>1</v>
      </c>
      <c r="K21" s="31"/>
      <c r="L21" s="31"/>
    </row>
    <row r="22" spans="1:12" s="32" customFormat="1" x14ac:dyDescent="0.35">
      <c r="A22" s="32" t="s">
        <v>40</v>
      </c>
      <c r="B22" s="32">
        <f t="shared" si="0"/>
        <v>21</v>
      </c>
      <c r="C22" s="33">
        <v>11</v>
      </c>
      <c r="D22" s="31">
        <v>2022</v>
      </c>
      <c r="E22" s="36">
        <f>'Hotel Data'!X25</f>
        <v>10246</v>
      </c>
      <c r="F22" s="31">
        <v>0.55000000000000004</v>
      </c>
      <c r="G22" s="34">
        <f>'Hotel Data'!E25</f>
        <v>651</v>
      </c>
      <c r="H22" s="31">
        <v>2</v>
      </c>
      <c r="I22" s="34">
        <f>'Hotel Data'!K25</f>
        <v>251</v>
      </c>
      <c r="J22" s="31">
        <v>1</v>
      </c>
      <c r="K22" s="31"/>
      <c r="L22" s="31"/>
    </row>
    <row r="23" spans="1:12" s="32" customFormat="1" x14ac:dyDescent="0.35">
      <c r="A23" s="32" t="s">
        <v>40</v>
      </c>
      <c r="B23" s="32">
        <f t="shared" si="0"/>
        <v>22</v>
      </c>
      <c r="C23" s="33">
        <v>11</v>
      </c>
      <c r="D23" s="31">
        <v>2022</v>
      </c>
      <c r="E23" s="36">
        <f>'Hotel Data'!X26</f>
        <v>11208</v>
      </c>
      <c r="F23" s="31">
        <v>0.55000000000000004</v>
      </c>
      <c r="G23" s="34">
        <f>'Hotel Data'!E26</f>
        <v>494</v>
      </c>
      <c r="H23" s="31">
        <v>2</v>
      </c>
      <c r="I23" s="34">
        <f>'Hotel Data'!K26</f>
        <v>233</v>
      </c>
      <c r="J23" s="31">
        <v>1</v>
      </c>
      <c r="K23" s="31"/>
      <c r="L23" s="31"/>
    </row>
    <row r="24" spans="1:12" s="32" customFormat="1" x14ac:dyDescent="0.35">
      <c r="A24" s="32" t="s">
        <v>40</v>
      </c>
      <c r="B24" s="32">
        <f t="shared" si="0"/>
        <v>23</v>
      </c>
      <c r="C24" s="33">
        <v>11</v>
      </c>
      <c r="D24" s="31">
        <v>2022</v>
      </c>
      <c r="E24" s="36">
        <f>'Hotel Data'!X27</f>
        <v>11672</v>
      </c>
      <c r="F24" s="31">
        <v>0.55000000000000004</v>
      </c>
      <c r="G24" s="34">
        <f>'Hotel Data'!E27</f>
        <v>458</v>
      </c>
      <c r="H24" s="31">
        <v>2</v>
      </c>
      <c r="I24" s="34">
        <f>'Hotel Data'!K27</f>
        <v>238</v>
      </c>
      <c r="J24" s="31">
        <v>1</v>
      </c>
      <c r="K24" s="31"/>
      <c r="L24" s="31"/>
    </row>
    <row r="25" spans="1:12" s="32" customFormat="1" x14ac:dyDescent="0.35">
      <c r="A25" s="32" t="s">
        <v>40</v>
      </c>
      <c r="B25" s="32">
        <f t="shared" si="0"/>
        <v>24</v>
      </c>
      <c r="C25" s="33">
        <v>11</v>
      </c>
      <c r="D25" s="31">
        <v>2022</v>
      </c>
      <c r="E25" s="36">
        <f>'Hotel Data'!X28</f>
        <v>11495</v>
      </c>
      <c r="F25" s="31">
        <v>0.55000000000000004</v>
      </c>
      <c r="G25" s="34">
        <f>'Hotel Data'!E28</f>
        <v>491</v>
      </c>
      <c r="H25" s="31">
        <v>2</v>
      </c>
      <c r="I25" s="34">
        <f>'Hotel Data'!K28</f>
        <v>205</v>
      </c>
      <c r="J25" s="31">
        <v>1</v>
      </c>
      <c r="K25" s="31"/>
      <c r="L25" s="31"/>
    </row>
    <row r="26" spans="1:12" s="32" customFormat="1" x14ac:dyDescent="0.35">
      <c r="A26" s="32" t="s">
        <v>40</v>
      </c>
      <c r="B26" s="32">
        <f>B25+1</f>
        <v>25</v>
      </c>
      <c r="C26" s="33">
        <v>11</v>
      </c>
      <c r="D26" s="31">
        <v>2022</v>
      </c>
      <c r="E26" s="36">
        <f>'Hotel Data'!X29</f>
        <v>11790</v>
      </c>
      <c r="F26" s="31">
        <v>0.55000000000000004</v>
      </c>
      <c r="G26" s="34">
        <f>'Hotel Data'!E29</f>
        <v>489</v>
      </c>
      <c r="H26" s="31">
        <v>2</v>
      </c>
      <c r="I26" s="34">
        <f>'Hotel Data'!K29</f>
        <v>183</v>
      </c>
      <c r="J26" s="31">
        <v>1</v>
      </c>
      <c r="K26" s="31"/>
      <c r="L26" s="31"/>
    </row>
    <row r="27" spans="1:12" s="32" customFormat="1" x14ac:dyDescent="0.35">
      <c r="A27" s="32" t="s">
        <v>40</v>
      </c>
      <c r="B27" s="32">
        <f t="shared" si="0"/>
        <v>26</v>
      </c>
      <c r="C27" s="33">
        <v>11</v>
      </c>
      <c r="D27" s="31">
        <v>2022</v>
      </c>
      <c r="E27" s="36">
        <f>'Hotel Data'!X30</f>
        <v>11590</v>
      </c>
      <c r="F27" s="31">
        <v>0.55000000000000004</v>
      </c>
      <c r="G27" s="34">
        <f>'Hotel Data'!E30</f>
        <v>439</v>
      </c>
      <c r="H27" s="31">
        <v>2</v>
      </c>
      <c r="I27" s="34">
        <f>'Hotel Data'!K30</f>
        <v>155</v>
      </c>
      <c r="J27" s="31">
        <v>1</v>
      </c>
      <c r="K27" s="31"/>
      <c r="L27" s="31"/>
    </row>
    <row r="28" spans="1:12" s="32" customFormat="1" x14ac:dyDescent="0.35">
      <c r="A28" s="32" t="s">
        <v>40</v>
      </c>
      <c r="B28" s="32">
        <f t="shared" si="0"/>
        <v>27</v>
      </c>
      <c r="C28" s="33">
        <v>11</v>
      </c>
      <c r="D28" s="31">
        <v>2022</v>
      </c>
      <c r="E28" s="36">
        <f>'Hotel Data'!X31</f>
        <v>11758</v>
      </c>
      <c r="F28" s="31">
        <v>0.55000000000000004</v>
      </c>
      <c r="G28" s="34">
        <f>'Hotel Data'!E31</f>
        <v>466</v>
      </c>
      <c r="H28" s="31">
        <v>2</v>
      </c>
      <c r="I28" s="34">
        <f>'Hotel Data'!K31</f>
        <v>156</v>
      </c>
      <c r="J28" s="31">
        <v>1</v>
      </c>
      <c r="K28" s="31"/>
      <c r="L28" s="31"/>
    </row>
    <row r="29" spans="1:12" s="32" customFormat="1" x14ac:dyDescent="0.35">
      <c r="A29" s="32" t="s">
        <v>40</v>
      </c>
      <c r="B29" s="32">
        <f t="shared" si="0"/>
        <v>28</v>
      </c>
      <c r="C29" s="33">
        <v>11</v>
      </c>
      <c r="D29" s="31">
        <v>2022</v>
      </c>
      <c r="E29" s="36">
        <f>'Hotel Data'!X32</f>
        <v>12041</v>
      </c>
      <c r="F29" s="31">
        <v>0.55000000000000004</v>
      </c>
      <c r="G29" s="34">
        <f>'Hotel Data'!E32</f>
        <v>518</v>
      </c>
      <c r="H29" s="31">
        <v>2</v>
      </c>
      <c r="I29" s="34">
        <f>'Hotel Data'!K32</f>
        <v>156</v>
      </c>
      <c r="J29" s="31">
        <v>1</v>
      </c>
      <c r="K29" s="31"/>
      <c r="L29" s="31"/>
    </row>
    <row r="30" spans="1:12" s="32" customFormat="1" x14ac:dyDescent="0.35">
      <c r="A30" s="32" t="s">
        <v>40</v>
      </c>
      <c r="B30" s="32">
        <f t="shared" si="0"/>
        <v>29</v>
      </c>
      <c r="C30" s="33">
        <v>11</v>
      </c>
      <c r="D30" s="31">
        <v>2022</v>
      </c>
      <c r="E30" s="36">
        <f>'Hotel Data'!X33</f>
        <v>11808</v>
      </c>
      <c r="F30" s="31">
        <v>0.55000000000000004</v>
      </c>
      <c r="G30" s="34">
        <f>'Hotel Data'!E33</f>
        <v>561</v>
      </c>
      <c r="H30" s="31">
        <v>2</v>
      </c>
      <c r="I30" s="34">
        <f>'Hotel Data'!K33</f>
        <v>151</v>
      </c>
      <c r="J30" s="31">
        <v>1</v>
      </c>
      <c r="K30" s="31"/>
      <c r="L30" s="31"/>
    </row>
    <row r="31" spans="1:12" s="31" customFormat="1" x14ac:dyDescent="0.35">
      <c r="A31" s="31" t="s">
        <v>40</v>
      </c>
      <c r="B31" s="32">
        <f>B30+1</f>
        <v>30</v>
      </c>
      <c r="C31" s="33">
        <v>11</v>
      </c>
      <c r="D31" s="31">
        <v>2022</v>
      </c>
      <c r="E31" s="36">
        <f>'Hotel Data'!X34</f>
        <v>12141</v>
      </c>
      <c r="F31" s="31">
        <v>0.55000000000000004</v>
      </c>
      <c r="G31" s="34">
        <f>'Hotel Data'!E34</f>
        <v>684</v>
      </c>
      <c r="H31" s="31">
        <v>2</v>
      </c>
      <c r="I31" s="34">
        <f>'Hotel Data'!K34</f>
        <v>159</v>
      </c>
      <c r="J31" s="31">
        <v>1</v>
      </c>
    </row>
    <row r="32" spans="1:12" s="31" customFormat="1" x14ac:dyDescent="0.35">
      <c r="A32" s="31" t="s">
        <v>40</v>
      </c>
      <c r="B32" s="32">
        <f>B31+1</f>
        <v>31</v>
      </c>
      <c r="C32" s="33"/>
      <c r="E32" s="36"/>
      <c r="F32" s="31">
        <v>0.55000000000000004</v>
      </c>
      <c r="G32" s="34">
        <f>'Hotel Data'!E35</f>
        <v>0</v>
      </c>
      <c r="H32" s="31">
        <v>2</v>
      </c>
      <c r="I32" s="34">
        <f>'Hotel Data'!K35</f>
        <v>0</v>
      </c>
      <c r="J32" s="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topLeftCell="B1" workbookViewId="0">
      <selection activeCell="U26" sqref="U26"/>
    </sheetView>
  </sheetViews>
  <sheetFormatPr defaultColWidth="11.54296875" defaultRowHeight="14.5" x14ac:dyDescent="0.35"/>
  <cols>
    <col min="4" max="4" width="13.453125" customWidth="1"/>
    <col min="5" max="5" width="13" style="25" customWidth="1"/>
    <col min="6" max="6" width="12.54296875" customWidth="1"/>
    <col min="7" max="7" width="13" style="25" customWidth="1"/>
    <col min="12" max="12" width="11.54296875" style="25"/>
    <col min="15" max="15" width="14" customWidth="1"/>
  </cols>
  <sheetData>
    <row r="1" spans="1:17" s="29" customFormat="1" ht="43.5" x14ac:dyDescent="0.35">
      <c r="A1" s="29" t="s">
        <v>31</v>
      </c>
      <c r="B1" s="29" t="s">
        <v>32</v>
      </c>
      <c r="C1" s="29" t="s">
        <v>33</v>
      </c>
      <c r="D1" s="29" t="s">
        <v>34</v>
      </c>
      <c r="E1" s="26" t="s">
        <v>50</v>
      </c>
      <c r="F1" s="26" t="s">
        <v>41</v>
      </c>
      <c r="G1" s="26" t="s">
        <v>42</v>
      </c>
      <c r="H1" s="27" t="s">
        <v>43</v>
      </c>
      <c r="I1" s="27" t="s">
        <v>44</v>
      </c>
      <c r="J1" s="27" t="s">
        <v>45</v>
      </c>
      <c r="K1" s="27" t="s">
        <v>46</v>
      </c>
      <c r="L1" s="26" t="s">
        <v>47</v>
      </c>
      <c r="M1" s="27" t="s">
        <v>48</v>
      </c>
      <c r="N1" s="27" t="s">
        <v>49</v>
      </c>
      <c r="O1" s="28" t="s">
        <v>51</v>
      </c>
      <c r="P1" s="28" t="s">
        <v>38</v>
      </c>
      <c r="Q1" s="28" t="s">
        <v>71</v>
      </c>
    </row>
    <row r="2" spans="1:17" s="29" customFormat="1" x14ac:dyDescent="0.35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  <c r="Q2" s="28"/>
    </row>
    <row r="3" spans="1:17" s="31" customFormat="1" x14ac:dyDescent="0.35">
      <c r="A3" s="31" t="s">
        <v>40</v>
      </c>
      <c r="B3" s="31">
        <v>1</v>
      </c>
      <c r="C3" s="33">
        <v>11</v>
      </c>
      <c r="D3" s="31">
        <v>2022</v>
      </c>
      <c r="E3" s="34">
        <f>'Hotel Data'!E5</f>
        <v>290</v>
      </c>
      <c r="F3" s="34">
        <f>'Hotel Data'!G5</f>
        <v>1</v>
      </c>
      <c r="G3" s="34">
        <f>'Hotel Data'!O5</f>
        <v>7</v>
      </c>
      <c r="H3" s="34">
        <f>'Hotel Data'!Q5</f>
        <v>0</v>
      </c>
      <c r="I3" s="34">
        <f>'Hotel Data'!S5</f>
        <v>0</v>
      </c>
      <c r="J3" s="34">
        <f>'Hotel Data'!U5</f>
        <v>21</v>
      </c>
      <c r="K3" s="34">
        <f>'Hotel Data'!AD5</f>
        <v>312</v>
      </c>
      <c r="L3" s="34">
        <f>'Hotel Data'!AG5</f>
        <v>1146</v>
      </c>
      <c r="M3" s="34">
        <f>'Hotel Data'!AJ5</f>
        <v>176</v>
      </c>
      <c r="N3" s="34">
        <f>'Hotel Data'!AN5</f>
        <v>505</v>
      </c>
      <c r="O3" s="34">
        <f>'Hotel Data'!AR5</f>
        <v>272</v>
      </c>
      <c r="P3" s="32">
        <v>75</v>
      </c>
      <c r="Q3" s="32">
        <v>133</v>
      </c>
    </row>
    <row r="4" spans="1:17" s="32" customFormat="1" x14ac:dyDescent="0.35">
      <c r="A4" s="32" t="s">
        <v>40</v>
      </c>
      <c r="B4" s="32">
        <f>B3+1</f>
        <v>2</v>
      </c>
      <c r="C4" s="33">
        <v>11</v>
      </c>
      <c r="D4" s="31">
        <v>2022</v>
      </c>
      <c r="E4" s="34">
        <f>'Hotel Data'!E6</f>
        <v>342</v>
      </c>
      <c r="F4" s="34">
        <f>'Hotel Data'!G6</f>
        <v>0</v>
      </c>
      <c r="G4" s="34">
        <f>'Hotel Data'!O6</f>
        <v>5</v>
      </c>
      <c r="H4" s="34">
        <f>'Hotel Data'!Q6</f>
        <v>2</v>
      </c>
      <c r="I4" s="34">
        <f>'Hotel Data'!S6</f>
        <v>0</v>
      </c>
      <c r="J4" s="34">
        <f>'Hotel Data'!U6</f>
        <v>23</v>
      </c>
      <c r="K4" s="34">
        <f>'Hotel Data'!AD6</f>
        <v>263</v>
      </c>
      <c r="L4" s="34">
        <f>'Hotel Data'!AG6</f>
        <v>1208</v>
      </c>
      <c r="M4" s="34">
        <f>'Hotel Data'!AJ6</f>
        <v>152</v>
      </c>
      <c r="N4" s="34">
        <f>'Hotel Data'!AN6</f>
        <v>484</v>
      </c>
      <c r="O4" s="34">
        <f>'Hotel Data'!AR6</f>
        <v>256</v>
      </c>
      <c r="P4" s="32">
        <v>81</v>
      </c>
      <c r="Q4" s="32">
        <v>138</v>
      </c>
    </row>
    <row r="5" spans="1:17" s="32" customFormat="1" x14ac:dyDescent="0.35">
      <c r="A5" s="32" t="s">
        <v>40</v>
      </c>
      <c r="B5" s="32">
        <f t="shared" ref="B5:B33" si="0">B4+1</f>
        <v>3</v>
      </c>
      <c r="C5" s="33">
        <v>11</v>
      </c>
      <c r="D5" s="31">
        <v>2022</v>
      </c>
      <c r="E5" s="34">
        <f>'Hotel Data'!E7</f>
        <v>440</v>
      </c>
      <c r="F5" s="34">
        <f>'Hotel Data'!G7</f>
        <v>0</v>
      </c>
      <c r="G5" s="34">
        <f>'Hotel Data'!O7</f>
        <v>6</v>
      </c>
      <c r="H5" s="34">
        <f>'Hotel Data'!Q7</f>
        <v>26</v>
      </c>
      <c r="I5" s="34">
        <f>'Hotel Data'!S7</f>
        <v>0</v>
      </c>
      <c r="J5" s="34">
        <f>'Hotel Data'!U7</f>
        <v>51</v>
      </c>
      <c r="K5" s="34">
        <f>'Hotel Data'!AD7</f>
        <v>242</v>
      </c>
      <c r="L5" s="34">
        <f>'Hotel Data'!AG7</f>
        <v>1259</v>
      </c>
      <c r="M5" s="34">
        <f>'Hotel Data'!AJ7</f>
        <v>144</v>
      </c>
      <c r="N5" s="34">
        <f>'Hotel Data'!AN7</f>
        <v>519</v>
      </c>
      <c r="O5" s="34">
        <f>'Hotel Data'!AR7</f>
        <v>256</v>
      </c>
      <c r="P5" s="32">
        <v>68</v>
      </c>
      <c r="Q5" s="32">
        <v>122</v>
      </c>
    </row>
    <row r="6" spans="1:17" s="32" customFormat="1" x14ac:dyDescent="0.35">
      <c r="A6" s="32" t="s">
        <v>40</v>
      </c>
      <c r="B6" s="32">
        <f t="shared" si="0"/>
        <v>4</v>
      </c>
      <c r="C6" s="33">
        <v>11</v>
      </c>
      <c r="D6" s="31">
        <v>2022</v>
      </c>
      <c r="E6" s="34">
        <f>'Hotel Data'!E8</f>
        <v>678</v>
      </c>
      <c r="F6" s="34">
        <f>'Hotel Data'!G8</f>
        <v>0</v>
      </c>
      <c r="G6" s="34">
        <f>'Hotel Data'!O8</f>
        <v>8</v>
      </c>
      <c r="H6" s="34">
        <f>'Hotel Data'!Q8</f>
        <v>27</v>
      </c>
      <c r="I6" s="34">
        <f>'Hotel Data'!S8</f>
        <v>0</v>
      </c>
      <c r="J6" s="34">
        <f>'Hotel Data'!U8</f>
        <v>52</v>
      </c>
      <c r="K6" s="34">
        <f>'Hotel Data'!AD8</f>
        <v>221</v>
      </c>
      <c r="L6" s="34">
        <f>'Hotel Data'!AG8</f>
        <v>1227</v>
      </c>
      <c r="M6" s="34">
        <f>'Hotel Data'!AJ8</f>
        <v>176</v>
      </c>
      <c r="N6" s="34">
        <f>'Hotel Data'!AN8</f>
        <v>507</v>
      </c>
      <c r="O6" s="34">
        <f>'Hotel Data'!AR8</f>
        <v>256</v>
      </c>
      <c r="P6" s="32">
        <v>65</v>
      </c>
      <c r="Q6" s="32">
        <v>122</v>
      </c>
    </row>
    <row r="7" spans="1:17" s="32" customFormat="1" x14ac:dyDescent="0.35">
      <c r="A7" s="32" t="s">
        <v>40</v>
      </c>
      <c r="B7" s="32">
        <f t="shared" si="0"/>
        <v>5</v>
      </c>
      <c r="C7" s="33">
        <v>11</v>
      </c>
      <c r="D7" s="31">
        <v>2022</v>
      </c>
      <c r="E7" s="34">
        <f>'Hotel Data'!E9</f>
        <v>532</v>
      </c>
      <c r="F7" s="34">
        <f>'Hotel Data'!G9</f>
        <v>1</v>
      </c>
      <c r="G7" s="34">
        <f>'Hotel Data'!O9</f>
        <v>6</v>
      </c>
      <c r="H7" s="34">
        <f>'Hotel Data'!Q9</f>
        <v>24</v>
      </c>
      <c r="I7" s="34">
        <f>'Hotel Data'!S9</f>
        <v>0</v>
      </c>
      <c r="J7" s="34">
        <f>'Hotel Data'!U9</f>
        <v>48</v>
      </c>
      <c r="K7" s="34">
        <f>'Hotel Data'!AD9</f>
        <v>221</v>
      </c>
      <c r="L7" s="34">
        <f>'Hotel Data'!AG9</f>
        <v>1330</v>
      </c>
      <c r="M7" s="34">
        <f>'Hotel Data'!AJ9</f>
        <v>184</v>
      </c>
      <c r="N7" s="34">
        <f>'Hotel Data'!AN9</f>
        <v>551</v>
      </c>
      <c r="O7" s="34">
        <f>'Hotel Data'!AR9</f>
        <v>184</v>
      </c>
      <c r="P7" s="32">
        <v>83</v>
      </c>
      <c r="Q7" s="32">
        <v>159</v>
      </c>
    </row>
    <row r="8" spans="1:17" s="32" customFormat="1" x14ac:dyDescent="0.35">
      <c r="A8" s="32" t="s">
        <v>40</v>
      </c>
      <c r="B8" s="32">
        <f t="shared" si="0"/>
        <v>6</v>
      </c>
      <c r="C8" s="33">
        <v>11</v>
      </c>
      <c r="D8" s="31">
        <v>2022</v>
      </c>
      <c r="E8" s="34">
        <f>'Hotel Data'!E10</f>
        <v>844</v>
      </c>
      <c r="F8" s="34">
        <f>'Hotel Data'!G10</f>
        <v>1</v>
      </c>
      <c r="G8" s="34">
        <f>'Hotel Data'!O10</f>
        <v>7</v>
      </c>
      <c r="H8" s="34">
        <f>'Hotel Data'!Q10</f>
        <v>22</v>
      </c>
      <c r="I8" s="34">
        <f>'Hotel Data'!S10</f>
        <v>0</v>
      </c>
      <c r="J8" s="34">
        <f>'Hotel Data'!U10</f>
        <v>49</v>
      </c>
      <c r="K8" s="34">
        <f>'Hotel Data'!AD10</f>
        <v>214</v>
      </c>
      <c r="L8" s="34">
        <f>'Hotel Data'!AG10</f>
        <v>1295</v>
      </c>
      <c r="M8" s="34">
        <f>'Hotel Data'!AJ10</f>
        <v>232</v>
      </c>
      <c r="N8" s="34">
        <f>'Hotel Data'!AN10</f>
        <v>567</v>
      </c>
      <c r="O8" s="34">
        <f>'Hotel Data'!AR10</f>
        <v>264</v>
      </c>
      <c r="P8" s="32">
        <v>73</v>
      </c>
      <c r="Q8" s="32">
        <v>130</v>
      </c>
    </row>
    <row r="9" spans="1:17" s="32" customFormat="1" x14ac:dyDescent="0.35">
      <c r="A9" s="32" t="s">
        <v>40</v>
      </c>
      <c r="B9" s="32">
        <f t="shared" si="0"/>
        <v>7</v>
      </c>
      <c r="C9" s="33">
        <v>11</v>
      </c>
      <c r="D9" s="31">
        <v>2022</v>
      </c>
      <c r="E9" s="34">
        <f>'Hotel Data'!E11</f>
        <v>670</v>
      </c>
      <c r="F9" s="34">
        <f>'Hotel Data'!G11</f>
        <v>0</v>
      </c>
      <c r="G9" s="34">
        <f>'Hotel Data'!O11</f>
        <v>6</v>
      </c>
      <c r="H9" s="34">
        <f>'Hotel Data'!Q11</f>
        <v>22</v>
      </c>
      <c r="I9" s="34">
        <f>'Hotel Data'!S11</f>
        <v>0</v>
      </c>
      <c r="J9" s="34">
        <f>'Hotel Data'!U11</f>
        <v>47</v>
      </c>
      <c r="K9" s="34">
        <f>'Hotel Data'!AD11</f>
        <v>219</v>
      </c>
      <c r="L9" s="34">
        <f>'Hotel Data'!AG11</f>
        <v>1148</v>
      </c>
      <c r="M9" s="34">
        <f>'Hotel Data'!AJ11</f>
        <v>200</v>
      </c>
      <c r="N9" s="34">
        <f>'Hotel Data'!AN11</f>
        <v>531</v>
      </c>
      <c r="O9" s="34">
        <f>'Hotel Data'!AR11</f>
        <v>280</v>
      </c>
      <c r="P9" s="32">
        <v>98</v>
      </c>
      <c r="Q9" s="32">
        <v>161</v>
      </c>
    </row>
    <row r="10" spans="1:17" s="32" customFormat="1" x14ac:dyDescent="0.35">
      <c r="A10" s="32" t="s">
        <v>40</v>
      </c>
      <c r="B10" s="32">
        <f t="shared" si="0"/>
        <v>8</v>
      </c>
      <c r="C10" s="33">
        <v>11</v>
      </c>
      <c r="D10" s="31">
        <v>2022</v>
      </c>
      <c r="E10" s="34">
        <f>'Hotel Data'!E12</f>
        <v>486</v>
      </c>
      <c r="F10" s="34">
        <f>'Hotel Data'!G12</f>
        <v>1</v>
      </c>
      <c r="G10" s="34">
        <f>'Hotel Data'!O12</f>
        <v>5</v>
      </c>
      <c r="H10" s="34">
        <f>'Hotel Data'!Q12</f>
        <v>88</v>
      </c>
      <c r="I10" s="34">
        <f>'Hotel Data'!S12</f>
        <v>0</v>
      </c>
      <c r="J10" s="34">
        <f>'Hotel Data'!U12</f>
        <v>119</v>
      </c>
      <c r="K10" s="34">
        <f>'Hotel Data'!AD12</f>
        <v>217</v>
      </c>
      <c r="L10" s="34">
        <f>'Hotel Data'!AG12</f>
        <v>1179</v>
      </c>
      <c r="M10" s="34">
        <f>'Hotel Data'!AJ12</f>
        <v>216</v>
      </c>
      <c r="N10" s="34">
        <f>'Hotel Data'!AN12</f>
        <v>517</v>
      </c>
      <c r="O10" s="34">
        <f>'Hotel Data'!AR12</f>
        <v>256</v>
      </c>
      <c r="P10" s="32">
        <v>103</v>
      </c>
      <c r="Q10" s="32">
        <v>173</v>
      </c>
    </row>
    <row r="11" spans="1:17" s="32" customFormat="1" x14ac:dyDescent="0.35">
      <c r="A11" s="32" t="s">
        <v>40</v>
      </c>
      <c r="B11" s="32">
        <f t="shared" si="0"/>
        <v>9</v>
      </c>
      <c r="C11" s="33">
        <v>11</v>
      </c>
      <c r="D11" s="31">
        <v>2022</v>
      </c>
      <c r="E11" s="34">
        <f>'Hotel Data'!E13</f>
        <v>475</v>
      </c>
      <c r="F11" s="34">
        <f>'Hotel Data'!G13</f>
        <v>0</v>
      </c>
      <c r="G11" s="34">
        <f>'Hotel Data'!O13</f>
        <v>5</v>
      </c>
      <c r="H11" s="34">
        <f>'Hotel Data'!Q13</f>
        <v>106</v>
      </c>
      <c r="I11" s="34">
        <f>'Hotel Data'!S13</f>
        <v>0</v>
      </c>
      <c r="J11" s="34">
        <f>'Hotel Data'!U13</f>
        <v>139</v>
      </c>
      <c r="K11" s="34">
        <f>'Hotel Data'!AD13</f>
        <v>214</v>
      </c>
      <c r="L11" s="34">
        <f>'Hotel Data'!AG13</f>
        <v>1288</v>
      </c>
      <c r="M11" s="34">
        <f>'Hotel Data'!AJ13</f>
        <v>208</v>
      </c>
      <c r="N11" s="34">
        <f>'Hotel Data'!AN13</f>
        <v>496</v>
      </c>
      <c r="O11" s="34">
        <f>'Hotel Data'!AR13</f>
        <v>288</v>
      </c>
      <c r="P11" s="32">
        <v>103</v>
      </c>
      <c r="Q11" s="32">
        <v>173</v>
      </c>
    </row>
    <row r="12" spans="1:17" s="32" customFormat="1" x14ac:dyDescent="0.35">
      <c r="A12" s="32" t="s">
        <v>40</v>
      </c>
      <c r="B12" s="32">
        <f t="shared" si="0"/>
        <v>10</v>
      </c>
      <c r="C12" s="33">
        <v>11</v>
      </c>
      <c r="D12" s="31">
        <v>2022</v>
      </c>
      <c r="E12" s="34">
        <f>'Hotel Data'!E14</f>
        <v>399</v>
      </c>
      <c r="F12" s="34">
        <f>'Hotel Data'!G14</f>
        <v>0</v>
      </c>
      <c r="G12" s="34">
        <f>'Hotel Data'!O14</f>
        <v>5</v>
      </c>
      <c r="H12" s="34">
        <f>'Hotel Data'!Q14</f>
        <v>107</v>
      </c>
      <c r="I12" s="34">
        <f>'Hotel Data'!S14</f>
        <v>0</v>
      </c>
      <c r="J12" s="34">
        <f>'Hotel Data'!U14</f>
        <v>136</v>
      </c>
      <c r="K12" s="34">
        <f>'Hotel Data'!AD14</f>
        <v>217</v>
      </c>
      <c r="L12" s="34">
        <f>'Hotel Data'!AG14</f>
        <v>1294</v>
      </c>
      <c r="M12" s="34">
        <f>'Hotel Data'!AJ14</f>
        <v>336</v>
      </c>
      <c r="N12" s="34">
        <f>'Hotel Data'!AN14</f>
        <v>541</v>
      </c>
      <c r="O12" s="34">
        <f>'Hotel Data'!AR14</f>
        <v>304</v>
      </c>
      <c r="P12" s="32">
        <v>103</v>
      </c>
      <c r="Q12" s="32">
        <v>103</v>
      </c>
    </row>
    <row r="13" spans="1:17" s="32" customFormat="1" x14ac:dyDescent="0.35">
      <c r="A13" s="32" t="s">
        <v>40</v>
      </c>
      <c r="B13" s="32">
        <f t="shared" si="0"/>
        <v>11</v>
      </c>
      <c r="C13" s="33">
        <v>11</v>
      </c>
      <c r="D13" s="31">
        <v>2022</v>
      </c>
      <c r="E13" s="34">
        <f>'Hotel Data'!E15</f>
        <v>412</v>
      </c>
      <c r="F13" s="34">
        <f>'Hotel Data'!G15</f>
        <v>0</v>
      </c>
      <c r="G13" s="34">
        <f>'Hotel Data'!O15</f>
        <v>5</v>
      </c>
      <c r="H13" s="34">
        <f>'Hotel Data'!Q15</f>
        <v>107</v>
      </c>
      <c r="I13" s="34">
        <f>'Hotel Data'!S15</f>
        <v>0</v>
      </c>
      <c r="J13" s="34">
        <f>'Hotel Data'!U15</f>
        <v>138</v>
      </c>
      <c r="K13" s="34">
        <f>'Hotel Data'!AD15</f>
        <v>225</v>
      </c>
      <c r="L13" s="34">
        <f>'Hotel Data'!AG15</f>
        <v>1149</v>
      </c>
      <c r="M13" s="34">
        <f>'Hotel Data'!AJ15</f>
        <v>176</v>
      </c>
      <c r="N13" s="34">
        <f>'Hotel Data'!AN15</f>
        <v>544</v>
      </c>
      <c r="O13" s="34">
        <f>'Hotel Data'!AR15</f>
        <v>304</v>
      </c>
      <c r="P13" s="32">
        <v>99</v>
      </c>
      <c r="Q13" s="32">
        <v>172</v>
      </c>
    </row>
    <row r="14" spans="1:17" s="32" customFormat="1" x14ac:dyDescent="0.35">
      <c r="A14" s="32" t="s">
        <v>40</v>
      </c>
      <c r="B14" s="32">
        <f t="shared" si="0"/>
        <v>12</v>
      </c>
      <c r="C14" s="33">
        <v>11</v>
      </c>
      <c r="D14" s="31">
        <v>2022</v>
      </c>
      <c r="E14" s="34">
        <f>'Hotel Data'!E16</f>
        <v>542</v>
      </c>
      <c r="F14" s="34">
        <f>'Hotel Data'!G16</f>
        <v>0</v>
      </c>
      <c r="G14" s="34">
        <f>'Hotel Data'!O16</f>
        <v>4</v>
      </c>
      <c r="H14" s="34">
        <f>'Hotel Data'!Q16</f>
        <v>89</v>
      </c>
      <c r="I14" s="34">
        <f>'Hotel Data'!S16</f>
        <v>0</v>
      </c>
      <c r="J14" s="34">
        <f>'Hotel Data'!U16</f>
        <v>118</v>
      </c>
      <c r="K14" s="34">
        <f>'Hotel Data'!AD16</f>
        <v>231</v>
      </c>
      <c r="L14" s="34">
        <f>'Hotel Data'!AG16</f>
        <v>1384</v>
      </c>
      <c r="M14" s="34">
        <f>'Hotel Data'!AJ16</f>
        <v>216</v>
      </c>
      <c r="N14" s="34">
        <f>'Hotel Data'!AN16</f>
        <v>552</v>
      </c>
      <c r="O14" s="34">
        <f>'Hotel Data'!AR16</f>
        <v>320</v>
      </c>
      <c r="P14" s="32">
        <v>82</v>
      </c>
      <c r="Q14" s="32">
        <v>138</v>
      </c>
    </row>
    <row r="15" spans="1:17" s="32" customFormat="1" x14ac:dyDescent="0.35">
      <c r="A15" s="32" t="s">
        <v>40</v>
      </c>
      <c r="B15" s="32">
        <f t="shared" si="0"/>
        <v>13</v>
      </c>
      <c r="C15" s="33">
        <v>11</v>
      </c>
      <c r="D15" s="31">
        <v>2022</v>
      </c>
      <c r="E15" s="34">
        <f>'Hotel Data'!E17</f>
        <v>444</v>
      </c>
      <c r="F15" s="34">
        <f>'Hotel Data'!G17</f>
        <v>0</v>
      </c>
      <c r="G15" s="34">
        <f>'Hotel Data'!O17</f>
        <v>6</v>
      </c>
      <c r="H15" s="34">
        <f>'Hotel Data'!Q17</f>
        <v>120</v>
      </c>
      <c r="I15" s="34">
        <f>'Hotel Data'!S17</f>
        <v>0</v>
      </c>
      <c r="J15" s="34">
        <f>'Hotel Data'!U17</f>
        <v>154</v>
      </c>
      <c r="K15" s="34">
        <f>'Hotel Data'!AD17</f>
        <v>229</v>
      </c>
      <c r="L15" s="34">
        <f>'Hotel Data'!AG17</f>
        <v>1350</v>
      </c>
      <c r="M15" s="34">
        <f>'Hotel Data'!AJ17</f>
        <v>224</v>
      </c>
      <c r="N15" s="34">
        <f>'Hotel Data'!AN17</f>
        <v>566</v>
      </c>
      <c r="O15" s="34">
        <f>'Hotel Data'!AR17</f>
        <v>312</v>
      </c>
      <c r="P15" s="32">
        <v>79</v>
      </c>
      <c r="Q15" s="32">
        <v>146</v>
      </c>
    </row>
    <row r="16" spans="1:17" s="32" customFormat="1" x14ac:dyDescent="0.35">
      <c r="A16" s="32" t="s">
        <v>40</v>
      </c>
      <c r="B16" s="32">
        <f t="shared" si="0"/>
        <v>14</v>
      </c>
      <c r="C16" s="33">
        <v>11</v>
      </c>
      <c r="D16" s="31">
        <v>2022</v>
      </c>
      <c r="E16" s="34">
        <f>'Hotel Data'!E18</f>
        <v>560</v>
      </c>
      <c r="F16" s="34">
        <f>'Hotel Data'!G18</f>
        <v>0</v>
      </c>
      <c r="G16" s="34">
        <f>'Hotel Data'!O18</f>
        <v>5</v>
      </c>
      <c r="H16" s="34">
        <f>'Hotel Data'!Q18</f>
        <v>109</v>
      </c>
      <c r="I16" s="34">
        <f>'Hotel Data'!S18</f>
        <v>1</v>
      </c>
      <c r="J16" s="34">
        <f>'Hotel Data'!U18</f>
        <v>139</v>
      </c>
      <c r="K16" s="34">
        <f>'Hotel Data'!AD18</f>
        <v>223</v>
      </c>
      <c r="L16" s="34">
        <f>'Hotel Data'!AG18</f>
        <v>1230</v>
      </c>
      <c r="M16" s="34">
        <f>'Hotel Data'!AJ18</f>
        <v>288</v>
      </c>
      <c r="N16" s="34">
        <f>'Hotel Data'!AN18</f>
        <v>537</v>
      </c>
      <c r="O16" s="34">
        <f>'Hotel Data'!AR18</f>
        <v>256</v>
      </c>
      <c r="P16" s="32">
        <v>74</v>
      </c>
      <c r="Q16" s="32">
        <v>132</v>
      </c>
    </row>
    <row r="17" spans="1:17" s="32" customFormat="1" x14ac:dyDescent="0.35">
      <c r="A17" s="32" t="s">
        <v>40</v>
      </c>
      <c r="B17" s="32">
        <f t="shared" si="0"/>
        <v>15</v>
      </c>
      <c r="C17" s="33">
        <v>11</v>
      </c>
      <c r="D17" s="31">
        <v>2022</v>
      </c>
      <c r="E17" s="34">
        <f>'Hotel Data'!E19</f>
        <v>576</v>
      </c>
      <c r="F17" s="34">
        <f>'Hotel Data'!G19</f>
        <v>0</v>
      </c>
      <c r="G17" s="34">
        <f>'Hotel Data'!O19</f>
        <v>5</v>
      </c>
      <c r="H17" s="34">
        <f>'Hotel Data'!Q19</f>
        <v>105</v>
      </c>
      <c r="I17" s="34">
        <f>'Hotel Data'!S19</f>
        <v>0</v>
      </c>
      <c r="J17" s="34">
        <f>'Hotel Data'!U19</f>
        <v>134</v>
      </c>
      <c r="K17" s="34">
        <f>'Hotel Data'!AD19</f>
        <v>212</v>
      </c>
      <c r="L17" s="34">
        <f>'Hotel Data'!AG19</f>
        <v>2524</v>
      </c>
      <c r="M17" s="34">
        <f>'Hotel Data'!AJ19</f>
        <v>240</v>
      </c>
      <c r="N17" s="34">
        <f>'Hotel Data'!AN19</f>
        <v>543</v>
      </c>
      <c r="O17" s="34">
        <f>'Hotel Data'!AR19</f>
        <v>240</v>
      </c>
      <c r="P17" s="32">
        <v>80</v>
      </c>
      <c r="Q17" s="32">
        <v>140</v>
      </c>
    </row>
    <row r="18" spans="1:17" s="32" customFormat="1" x14ac:dyDescent="0.35">
      <c r="A18" s="32" t="s">
        <v>40</v>
      </c>
      <c r="B18" s="32">
        <f t="shared" si="0"/>
        <v>16</v>
      </c>
      <c r="C18" s="33">
        <v>11</v>
      </c>
      <c r="D18" s="31">
        <v>2022</v>
      </c>
      <c r="E18" s="34">
        <f>'Hotel Data'!E20</f>
        <v>410</v>
      </c>
      <c r="F18" s="34">
        <f>'Hotel Data'!G20</f>
        <v>2</v>
      </c>
      <c r="G18" s="34">
        <f>'Hotel Data'!O20</f>
        <v>4</v>
      </c>
      <c r="H18" s="34">
        <f>'Hotel Data'!Q20</f>
        <v>102</v>
      </c>
      <c r="I18" s="34">
        <f>'Hotel Data'!S20</f>
        <v>0</v>
      </c>
      <c r="J18" s="34">
        <f>'Hotel Data'!U20</f>
        <v>127</v>
      </c>
      <c r="K18" s="34">
        <f>'Hotel Data'!AD20</f>
        <v>220</v>
      </c>
      <c r="L18" s="34">
        <f>'Hotel Data'!AG20</f>
        <v>1265</v>
      </c>
      <c r="M18" s="34">
        <f>'Hotel Data'!AJ20</f>
        <v>240</v>
      </c>
      <c r="N18" s="34">
        <f>'Hotel Data'!AN20</f>
        <v>517</v>
      </c>
      <c r="O18" s="34">
        <f>'Hotel Data'!AR20</f>
        <v>280</v>
      </c>
      <c r="P18" s="32">
        <v>74</v>
      </c>
      <c r="Q18" s="32">
        <v>132</v>
      </c>
    </row>
    <row r="19" spans="1:17" s="32" customFormat="1" x14ac:dyDescent="0.35">
      <c r="A19" s="32" t="s">
        <v>40</v>
      </c>
      <c r="B19" s="32">
        <f t="shared" si="0"/>
        <v>17</v>
      </c>
      <c r="C19" s="33">
        <v>11</v>
      </c>
      <c r="D19" s="31">
        <v>2022</v>
      </c>
      <c r="E19" s="34">
        <f>'Hotel Data'!E21</f>
        <v>411</v>
      </c>
      <c r="F19" s="34">
        <f>'Hotel Data'!G21</f>
        <v>1</v>
      </c>
      <c r="G19" s="34">
        <f>'Hotel Data'!O21</f>
        <v>6</v>
      </c>
      <c r="H19" s="34">
        <f>'Hotel Data'!Q21</f>
        <v>105</v>
      </c>
      <c r="I19" s="34">
        <f>'Hotel Data'!S21</f>
        <v>0</v>
      </c>
      <c r="J19" s="34">
        <f>'Hotel Data'!U21</f>
        <v>134</v>
      </c>
      <c r="K19" s="34">
        <f>'Hotel Data'!AD21</f>
        <v>223</v>
      </c>
      <c r="L19" s="34">
        <f>'Hotel Data'!AG21</f>
        <v>1249</v>
      </c>
      <c r="M19" s="34">
        <f>'Hotel Data'!AJ21</f>
        <v>264</v>
      </c>
      <c r="N19" s="34">
        <f>'Hotel Data'!AN21</f>
        <v>490</v>
      </c>
      <c r="O19" s="34">
        <f>'Hotel Data'!AR21</f>
        <v>288</v>
      </c>
      <c r="P19" s="32">
        <v>80</v>
      </c>
      <c r="Q19" s="32">
        <v>140</v>
      </c>
    </row>
    <row r="20" spans="1:17" s="32" customFormat="1" x14ac:dyDescent="0.35">
      <c r="A20" s="32" t="s">
        <v>40</v>
      </c>
      <c r="B20" s="32">
        <f t="shared" si="0"/>
        <v>18</v>
      </c>
      <c r="C20" s="33">
        <v>11</v>
      </c>
      <c r="D20" s="31">
        <v>2022</v>
      </c>
      <c r="E20" s="34">
        <f>'Hotel Data'!E22</f>
        <v>260</v>
      </c>
      <c r="F20" s="34">
        <f>'Hotel Data'!G22</f>
        <v>1</v>
      </c>
      <c r="G20" s="34">
        <f>'Hotel Data'!O22</f>
        <v>4</v>
      </c>
      <c r="H20" s="34">
        <f>'Hotel Data'!Q22</f>
        <v>105</v>
      </c>
      <c r="I20" s="34">
        <f>'Hotel Data'!S22</f>
        <v>0</v>
      </c>
      <c r="J20" s="34">
        <f>'Hotel Data'!U22</f>
        <v>134</v>
      </c>
      <c r="K20" s="34">
        <f>'Hotel Data'!AD22</f>
        <v>237</v>
      </c>
      <c r="L20" s="34">
        <f>'Hotel Data'!AG22</f>
        <v>1315</v>
      </c>
      <c r="M20" s="34">
        <f>'Hotel Data'!AJ22</f>
        <v>152</v>
      </c>
      <c r="N20" s="34">
        <f>'Hotel Data'!AN22</f>
        <v>536</v>
      </c>
      <c r="O20" s="34">
        <f>'Hotel Data'!AR22</f>
        <v>264</v>
      </c>
      <c r="P20" s="32">
        <v>95</v>
      </c>
      <c r="Q20" s="32">
        <v>178</v>
      </c>
    </row>
    <row r="21" spans="1:17" s="32" customFormat="1" x14ac:dyDescent="0.35">
      <c r="A21" s="32" t="s">
        <v>40</v>
      </c>
      <c r="B21" s="32">
        <f t="shared" si="0"/>
        <v>19</v>
      </c>
      <c r="C21" s="33">
        <v>11</v>
      </c>
      <c r="D21" s="31">
        <v>2022</v>
      </c>
      <c r="E21" s="34">
        <f>'Hotel Data'!E23</f>
        <v>283</v>
      </c>
      <c r="F21" s="34">
        <f>'Hotel Data'!G23</f>
        <v>0</v>
      </c>
      <c r="G21" s="34">
        <f>'Hotel Data'!O23</f>
        <v>4</v>
      </c>
      <c r="H21" s="34">
        <f>'Hotel Data'!Q23</f>
        <v>91</v>
      </c>
      <c r="I21" s="34">
        <f>'Hotel Data'!S23</f>
        <v>0</v>
      </c>
      <c r="J21" s="34">
        <f>'Hotel Data'!U23</f>
        <v>117</v>
      </c>
      <c r="K21" s="34">
        <f>'Hotel Data'!AD23</f>
        <v>226</v>
      </c>
      <c r="L21" s="34">
        <f>'Hotel Data'!AG23</f>
        <v>1459</v>
      </c>
      <c r="M21" s="34">
        <f>'Hotel Data'!AJ23</f>
        <v>232</v>
      </c>
      <c r="N21" s="34">
        <f>'Hotel Data'!AN23</f>
        <v>583</v>
      </c>
      <c r="O21" s="34">
        <f>'Hotel Data'!AR23</f>
        <v>272</v>
      </c>
      <c r="P21" s="32">
        <v>96</v>
      </c>
      <c r="Q21" s="32">
        <v>183</v>
      </c>
    </row>
    <row r="22" spans="1:17" s="32" customFormat="1" x14ac:dyDescent="0.35">
      <c r="A22" s="32" t="s">
        <v>40</v>
      </c>
      <c r="B22" s="32">
        <f t="shared" si="0"/>
        <v>20</v>
      </c>
      <c r="C22" s="33">
        <v>11</v>
      </c>
      <c r="D22" s="31">
        <v>2022</v>
      </c>
      <c r="E22" s="34">
        <f>'Hotel Data'!E24</f>
        <v>348</v>
      </c>
      <c r="F22" s="34">
        <f>'Hotel Data'!G24</f>
        <v>0</v>
      </c>
      <c r="G22" s="34">
        <f>'Hotel Data'!O24</f>
        <v>5</v>
      </c>
      <c r="H22" s="34">
        <f>'Hotel Data'!Q24</f>
        <v>108</v>
      </c>
      <c r="I22" s="34">
        <f>'Hotel Data'!S24</f>
        <v>0</v>
      </c>
      <c r="J22" s="34">
        <f>'Hotel Data'!U24</f>
        <v>140</v>
      </c>
      <c r="K22" s="34">
        <f>'Hotel Data'!AD24</f>
        <v>221</v>
      </c>
      <c r="L22" s="34">
        <f>'Hotel Data'!AG24</f>
        <v>1355</v>
      </c>
      <c r="M22" s="34">
        <f>'Hotel Data'!AJ24</f>
        <v>224</v>
      </c>
      <c r="N22" s="34">
        <f>'Hotel Data'!AN24</f>
        <v>512</v>
      </c>
      <c r="O22" s="34">
        <f>'Hotel Data'!AR24</f>
        <v>304</v>
      </c>
      <c r="P22" s="32">
        <v>57</v>
      </c>
      <c r="Q22" s="32">
        <v>110</v>
      </c>
    </row>
    <row r="23" spans="1:17" s="32" customFormat="1" x14ac:dyDescent="0.35">
      <c r="A23" s="32" t="s">
        <v>40</v>
      </c>
      <c r="B23" s="32">
        <f t="shared" si="0"/>
        <v>21</v>
      </c>
      <c r="C23" s="33">
        <v>11</v>
      </c>
      <c r="D23" s="31">
        <v>2022</v>
      </c>
      <c r="E23" s="34">
        <f>'Hotel Data'!E25</f>
        <v>651</v>
      </c>
      <c r="F23" s="34">
        <f>'Hotel Data'!G25</f>
        <v>0</v>
      </c>
      <c r="G23" s="34">
        <f>'Hotel Data'!O25</f>
        <v>5</v>
      </c>
      <c r="H23" s="34">
        <f>'Hotel Data'!Q25</f>
        <v>10</v>
      </c>
      <c r="I23" s="34">
        <f>'Hotel Data'!S25</f>
        <v>0</v>
      </c>
      <c r="J23" s="34">
        <f>'Hotel Data'!U25</f>
        <v>135</v>
      </c>
      <c r="K23" s="34">
        <f>'Hotel Data'!AD25</f>
        <v>218</v>
      </c>
      <c r="L23" s="34">
        <f>'Hotel Data'!AG25</f>
        <v>1226</v>
      </c>
      <c r="M23" s="34">
        <f>'Hotel Data'!AJ25</f>
        <v>144</v>
      </c>
      <c r="N23" s="34">
        <f>'Hotel Data'!AN25</f>
        <v>467</v>
      </c>
      <c r="O23" s="34">
        <f>'Hotel Data'!AR25</f>
        <v>280</v>
      </c>
      <c r="P23" s="32">
        <v>61</v>
      </c>
      <c r="Q23" s="32">
        <v>113</v>
      </c>
    </row>
    <row r="24" spans="1:17" s="32" customFormat="1" x14ac:dyDescent="0.35">
      <c r="A24" s="32" t="s">
        <v>40</v>
      </c>
      <c r="B24" s="32">
        <f t="shared" si="0"/>
        <v>22</v>
      </c>
      <c r="C24" s="33">
        <v>11</v>
      </c>
      <c r="D24" s="31">
        <v>2022</v>
      </c>
      <c r="E24" s="34">
        <f>'Hotel Data'!E26</f>
        <v>494</v>
      </c>
      <c r="F24" s="34">
        <f>'Hotel Data'!G26</f>
        <v>0</v>
      </c>
      <c r="G24" s="34">
        <f>'Hotel Data'!O26</f>
        <v>5</v>
      </c>
      <c r="H24" s="34">
        <f>'Hotel Data'!Q26</f>
        <v>199</v>
      </c>
      <c r="I24" s="34">
        <f>'Hotel Data'!S26</f>
        <v>0</v>
      </c>
      <c r="J24" s="34">
        <f>'Hotel Data'!U26</f>
        <v>126</v>
      </c>
      <c r="K24" s="34">
        <f>'Hotel Data'!AD26</f>
        <v>227</v>
      </c>
      <c r="L24" s="34">
        <f>'Hotel Data'!AG26</f>
        <v>1287</v>
      </c>
      <c r="M24" s="34">
        <f>'Hotel Data'!AJ26</f>
        <v>232</v>
      </c>
      <c r="N24" s="34">
        <f>'Hotel Data'!AN26</f>
        <v>471</v>
      </c>
      <c r="O24" s="34">
        <f>'Hotel Data'!AR26</f>
        <v>280</v>
      </c>
      <c r="P24" s="32">
        <v>74</v>
      </c>
      <c r="Q24" s="32">
        <v>129</v>
      </c>
    </row>
    <row r="25" spans="1:17" s="32" customFormat="1" x14ac:dyDescent="0.35">
      <c r="A25" s="32" t="s">
        <v>40</v>
      </c>
      <c r="B25" s="32">
        <f t="shared" si="0"/>
        <v>23</v>
      </c>
      <c r="C25" s="33">
        <v>11</v>
      </c>
      <c r="D25" s="31">
        <v>2022</v>
      </c>
      <c r="E25" s="34">
        <f>'Hotel Data'!E27</f>
        <v>458</v>
      </c>
      <c r="F25" s="34">
        <f>'Hotel Data'!G27</f>
        <v>1</v>
      </c>
      <c r="G25" s="34">
        <f>'Hotel Data'!O27</f>
        <v>5</v>
      </c>
      <c r="H25" s="34">
        <f>'Hotel Data'!Q27</f>
        <v>106</v>
      </c>
      <c r="I25" s="34">
        <f>'Hotel Data'!S27</f>
        <v>0</v>
      </c>
      <c r="J25" s="34">
        <f>'Hotel Data'!U27</f>
        <v>134</v>
      </c>
      <c r="K25" s="34">
        <f>'Hotel Data'!AD27</f>
        <v>237</v>
      </c>
      <c r="L25" s="34">
        <f>'Hotel Data'!AG27</f>
        <v>1258</v>
      </c>
      <c r="M25" s="34">
        <f>'Hotel Data'!AJ27</f>
        <v>192</v>
      </c>
      <c r="N25" s="34">
        <f>'Hotel Data'!AN27</f>
        <v>525</v>
      </c>
      <c r="O25" s="34">
        <f>'Hotel Data'!AR27</f>
        <v>280</v>
      </c>
      <c r="P25" s="32">
        <v>82</v>
      </c>
      <c r="Q25" s="32">
        <v>143</v>
      </c>
    </row>
    <row r="26" spans="1:17" s="32" customFormat="1" x14ac:dyDescent="0.35">
      <c r="A26" s="32" t="s">
        <v>40</v>
      </c>
      <c r="B26" s="32">
        <f t="shared" si="0"/>
        <v>24</v>
      </c>
      <c r="C26" s="33">
        <v>11</v>
      </c>
      <c r="D26" s="31">
        <v>2022</v>
      </c>
      <c r="E26" s="34">
        <f>'Hotel Data'!E28</f>
        <v>491</v>
      </c>
      <c r="F26" s="34">
        <f>'Hotel Data'!G28</f>
        <v>-10</v>
      </c>
      <c r="G26" s="34">
        <f>'Hotel Data'!O28</f>
        <v>4</v>
      </c>
      <c r="H26" s="34">
        <f>'Hotel Data'!Q28</f>
        <v>80</v>
      </c>
      <c r="I26" s="34">
        <f>'Hotel Data'!S28</f>
        <v>0</v>
      </c>
      <c r="J26" s="34">
        <f>'Hotel Data'!U28</f>
        <v>108</v>
      </c>
      <c r="K26" s="34">
        <f>'Hotel Data'!AD28</f>
        <v>234</v>
      </c>
      <c r="L26" s="34">
        <f>'Hotel Data'!AG28</f>
        <v>1232</v>
      </c>
      <c r="M26" s="34">
        <f>'Hotel Data'!AJ28</f>
        <v>200</v>
      </c>
      <c r="N26" s="34">
        <f>'Hotel Data'!AN28</f>
        <v>487</v>
      </c>
      <c r="O26" s="34">
        <f>'Hotel Data'!AR28</f>
        <v>304</v>
      </c>
      <c r="P26" s="32">
        <v>90</v>
      </c>
      <c r="Q26" s="32">
        <v>165</v>
      </c>
    </row>
    <row r="27" spans="1:17" s="32" customFormat="1" x14ac:dyDescent="0.35">
      <c r="A27" s="32" t="s">
        <v>40</v>
      </c>
      <c r="B27" s="32">
        <f>B26+1</f>
        <v>25</v>
      </c>
      <c r="C27" s="33">
        <v>11</v>
      </c>
      <c r="D27" s="31">
        <v>2022</v>
      </c>
      <c r="E27" s="34">
        <f>'Hotel Data'!E29</f>
        <v>489</v>
      </c>
      <c r="F27" s="34">
        <f>'Hotel Data'!G29</f>
        <v>11</v>
      </c>
      <c r="G27" s="34">
        <f>'Hotel Data'!O29</f>
        <v>5</v>
      </c>
      <c r="H27" s="34">
        <f>'Hotel Data'!Q29</f>
        <v>18</v>
      </c>
      <c r="I27" s="34">
        <f>'Hotel Data'!S29</f>
        <v>0</v>
      </c>
      <c r="J27" s="34">
        <f>'Hotel Data'!U29</f>
        <v>58</v>
      </c>
      <c r="K27" s="34">
        <f>'Hotel Data'!AD29</f>
        <v>289</v>
      </c>
      <c r="L27" s="34">
        <f>'Hotel Data'!AG29</f>
        <v>1259</v>
      </c>
      <c r="M27" s="34">
        <f>'Hotel Data'!AJ29</f>
        <v>208</v>
      </c>
      <c r="N27" s="34">
        <f>'Hotel Data'!AN29</f>
        <v>524</v>
      </c>
      <c r="O27" s="34">
        <f>'Hotel Data'!AR29</f>
        <v>328</v>
      </c>
      <c r="P27" s="32">
        <v>88</v>
      </c>
      <c r="Q27" s="32">
        <v>179</v>
      </c>
    </row>
    <row r="28" spans="1:17" s="32" customFormat="1" x14ac:dyDescent="0.35">
      <c r="A28" s="32" t="s">
        <v>40</v>
      </c>
      <c r="B28" s="32">
        <f t="shared" si="0"/>
        <v>26</v>
      </c>
      <c r="C28" s="33">
        <v>11</v>
      </c>
      <c r="D28" s="31">
        <v>2022</v>
      </c>
      <c r="E28" s="34">
        <f>'Hotel Data'!E30</f>
        <v>439</v>
      </c>
      <c r="F28" s="34">
        <f>'Hotel Data'!G30</f>
        <v>1</v>
      </c>
      <c r="G28" s="34">
        <f>'Hotel Data'!O30</f>
        <v>5</v>
      </c>
      <c r="H28" s="34">
        <f>'Hotel Data'!Q30</f>
        <v>18</v>
      </c>
      <c r="I28" s="34">
        <f>'Hotel Data'!S30</f>
        <v>0</v>
      </c>
      <c r="J28" s="34">
        <f>'Hotel Data'!U30</f>
        <v>52</v>
      </c>
      <c r="K28" s="34">
        <f>'Hotel Data'!AD30</f>
        <v>310</v>
      </c>
      <c r="L28" s="34">
        <f>'Hotel Data'!AG30</f>
        <v>1356</v>
      </c>
      <c r="M28" s="34">
        <f>'Hotel Data'!AJ30</f>
        <v>168</v>
      </c>
      <c r="N28" s="34">
        <f>'Hotel Data'!AN30</f>
        <v>505</v>
      </c>
      <c r="O28" s="34">
        <f>'Hotel Data'!AR30</f>
        <v>288</v>
      </c>
      <c r="P28" s="32">
        <v>94</v>
      </c>
      <c r="Q28" s="32">
        <v>180</v>
      </c>
    </row>
    <row r="29" spans="1:17" s="32" customFormat="1" x14ac:dyDescent="0.35">
      <c r="A29" s="32" t="s">
        <v>40</v>
      </c>
      <c r="B29" s="32">
        <f t="shared" si="0"/>
        <v>27</v>
      </c>
      <c r="C29" s="33">
        <v>11</v>
      </c>
      <c r="D29" s="31">
        <v>2022</v>
      </c>
      <c r="E29" s="34">
        <f>'Hotel Data'!E31</f>
        <v>466</v>
      </c>
      <c r="F29" s="34">
        <f>'Hotel Data'!G31</f>
        <v>0</v>
      </c>
      <c r="G29" s="34">
        <f>'Hotel Data'!O31</f>
        <v>5</v>
      </c>
      <c r="H29" s="34">
        <f>'Hotel Data'!Q31</f>
        <v>16</v>
      </c>
      <c r="I29" s="34">
        <f>'Hotel Data'!S31</f>
        <v>1</v>
      </c>
      <c r="J29" s="34">
        <f>'Hotel Data'!U31</f>
        <v>41</v>
      </c>
      <c r="K29" s="34">
        <f>'Hotel Data'!AD31</f>
        <v>310</v>
      </c>
      <c r="L29" s="34">
        <f>'Hotel Data'!AG31</f>
        <v>1305</v>
      </c>
      <c r="M29" s="34">
        <f>'Hotel Data'!AJ31</f>
        <v>240</v>
      </c>
      <c r="N29" s="34">
        <f>'Hotel Data'!AN31</f>
        <v>453</v>
      </c>
      <c r="O29" s="34">
        <f>'Hotel Data'!AR31</f>
        <v>272</v>
      </c>
      <c r="P29" s="32">
        <v>84</v>
      </c>
      <c r="Q29" s="32">
        <v>144</v>
      </c>
    </row>
    <row r="30" spans="1:17" s="32" customFormat="1" x14ac:dyDescent="0.35">
      <c r="A30" s="32" t="s">
        <v>40</v>
      </c>
      <c r="B30" s="32">
        <f t="shared" si="0"/>
        <v>28</v>
      </c>
      <c r="C30" s="33">
        <v>11</v>
      </c>
      <c r="D30" s="31">
        <v>2022</v>
      </c>
      <c r="E30" s="34">
        <f>'Hotel Data'!E32</f>
        <v>518</v>
      </c>
      <c r="F30" s="34">
        <f>'Hotel Data'!G32</f>
        <v>1</v>
      </c>
      <c r="G30" s="34">
        <f>'Hotel Data'!O32</f>
        <v>5</v>
      </c>
      <c r="H30" s="34">
        <f>'Hotel Data'!Q32</f>
        <v>16</v>
      </c>
      <c r="I30" s="34">
        <f>'Hotel Data'!S32</f>
        <v>0</v>
      </c>
      <c r="J30" s="34">
        <f>'Hotel Data'!U32</f>
        <v>36</v>
      </c>
      <c r="K30" s="34">
        <f>'Hotel Data'!AD32</f>
        <v>315</v>
      </c>
      <c r="L30" s="34">
        <f>'Hotel Data'!AG32</f>
        <v>1252</v>
      </c>
      <c r="M30" s="34">
        <f>'Hotel Data'!AJ32</f>
        <v>256</v>
      </c>
      <c r="N30" s="34">
        <f>'Hotel Data'!AN32</f>
        <v>414</v>
      </c>
      <c r="O30" s="34">
        <f>'Hotel Data'!AR32</f>
        <v>264</v>
      </c>
      <c r="P30" s="32">
        <v>69</v>
      </c>
      <c r="Q30" s="32">
        <v>124</v>
      </c>
    </row>
    <row r="31" spans="1:17" s="32" customFormat="1" x14ac:dyDescent="0.35">
      <c r="A31" s="32" t="s">
        <v>40</v>
      </c>
      <c r="B31" s="32">
        <f t="shared" si="0"/>
        <v>29</v>
      </c>
      <c r="C31" s="33">
        <v>11</v>
      </c>
      <c r="D31" s="31">
        <v>2022</v>
      </c>
      <c r="E31" s="34">
        <f>'Hotel Data'!E33</f>
        <v>561</v>
      </c>
      <c r="F31" s="34">
        <f>'Hotel Data'!G33</f>
        <v>0</v>
      </c>
      <c r="G31" s="34">
        <f>'Hotel Data'!O33</f>
        <v>5</v>
      </c>
      <c r="H31" s="34">
        <f>'Hotel Data'!Q33</f>
        <v>17</v>
      </c>
      <c r="I31" s="34">
        <f>'Hotel Data'!S33</f>
        <v>0</v>
      </c>
      <c r="J31" s="34">
        <f>'Hotel Data'!U33</f>
        <v>34</v>
      </c>
      <c r="K31" s="34">
        <f>'Hotel Data'!AD33</f>
        <v>241</v>
      </c>
      <c r="L31" s="34">
        <f>'Hotel Data'!AG33</f>
        <v>1263</v>
      </c>
      <c r="M31" s="34">
        <f>'Hotel Data'!AJ33</f>
        <v>224</v>
      </c>
      <c r="N31" s="34">
        <f>'Hotel Data'!AN33</f>
        <v>420</v>
      </c>
      <c r="O31" s="34">
        <f>'Hotel Data'!AR33</f>
        <v>256</v>
      </c>
      <c r="P31" s="32">
        <v>71</v>
      </c>
      <c r="Q31" s="32">
        <v>124</v>
      </c>
    </row>
    <row r="32" spans="1:17" s="31" customFormat="1" x14ac:dyDescent="0.35">
      <c r="A32" s="31" t="s">
        <v>40</v>
      </c>
      <c r="B32" s="31">
        <f t="shared" si="0"/>
        <v>30</v>
      </c>
      <c r="C32" s="33">
        <v>11</v>
      </c>
      <c r="D32" s="31">
        <v>2022</v>
      </c>
      <c r="E32" s="34">
        <f>'Hotel Data'!E34</f>
        <v>684</v>
      </c>
      <c r="F32" s="34">
        <f>'Hotel Data'!G34</f>
        <v>0</v>
      </c>
      <c r="G32" s="34">
        <f>'Hotel Data'!O34</f>
        <v>5</v>
      </c>
      <c r="H32" s="34">
        <f>'Hotel Data'!Q34</f>
        <v>16</v>
      </c>
      <c r="I32" s="34">
        <f>'Hotel Data'!S34</f>
        <v>0</v>
      </c>
      <c r="J32" s="34">
        <f>'Hotel Data'!U34</f>
        <v>40</v>
      </c>
      <c r="K32" s="34">
        <f>'Hotel Data'!AD34</f>
        <v>241</v>
      </c>
      <c r="L32" s="34">
        <f>'Hotel Data'!AG34</f>
        <v>1315</v>
      </c>
      <c r="M32" s="34">
        <f>'Hotel Data'!AJ34</f>
        <v>312</v>
      </c>
      <c r="N32" s="34">
        <f>'Hotel Data'!AN34</f>
        <v>521</v>
      </c>
      <c r="O32" s="34">
        <f>'Hotel Data'!AR34</f>
        <v>240</v>
      </c>
      <c r="P32" s="32">
        <v>61</v>
      </c>
      <c r="Q32" s="32">
        <v>117</v>
      </c>
    </row>
    <row r="33" spans="1:17" s="31" customFormat="1" x14ac:dyDescent="0.35">
      <c r="A33" s="31" t="s">
        <v>40</v>
      </c>
      <c r="B33" s="31">
        <f t="shared" si="0"/>
        <v>31</v>
      </c>
      <c r="C33" s="33"/>
      <c r="E33" s="34">
        <f>'Hotel Data'!E35</f>
        <v>0</v>
      </c>
      <c r="F33" s="34">
        <f>'Hotel Data'!G35</f>
        <v>0</v>
      </c>
      <c r="G33" s="34">
        <f>'Hotel Data'!O35</f>
        <v>0</v>
      </c>
      <c r="H33" s="34">
        <f>'Hotel Data'!Q35</f>
        <v>0</v>
      </c>
      <c r="I33" s="34">
        <f>'Hotel Data'!S35</f>
        <v>0</v>
      </c>
      <c r="J33" s="34">
        <f>'Hotel Data'!U35</f>
        <v>0</v>
      </c>
      <c r="K33" s="34">
        <f>'Hotel Data'!AD35</f>
        <v>0</v>
      </c>
      <c r="L33" s="34">
        <f>'Hotel Data'!AG35</f>
        <v>0</v>
      </c>
      <c r="M33" s="34">
        <f>'Hotel Data'!AJ35</f>
        <v>0</v>
      </c>
      <c r="N33" s="34">
        <f>'Hotel Data'!AN35</f>
        <v>0</v>
      </c>
      <c r="O33" s="34">
        <f>'Hotel Data'!AR35</f>
        <v>0</v>
      </c>
      <c r="P33" s="32">
        <f>TOTAL!K32</f>
        <v>0</v>
      </c>
      <c r="Q33" s="32">
        <f>TOTAL!L32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zoomScale="85" zoomScaleNormal="85" workbookViewId="0">
      <selection activeCell="X5" sqref="X5:X34"/>
    </sheetView>
  </sheetViews>
  <sheetFormatPr defaultColWidth="8.54296875" defaultRowHeight="15.5" x14ac:dyDescent="0.35"/>
  <cols>
    <col min="1" max="1" width="6" style="41" customWidth="1"/>
    <col min="2" max="2" width="8.1796875" style="1" customWidth="1"/>
    <col min="3" max="3" width="14.81640625" style="1" customWidth="1"/>
    <col min="4" max="4" width="13.54296875" style="1" customWidth="1"/>
    <col min="5" max="5" width="10.7265625" style="1" customWidth="1"/>
    <col min="6" max="6" width="12.26953125" style="1" customWidth="1"/>
    <col min="7" max="7" width="12.26953125" style="1" bestFit="1" customWidth="1"/>
    <col min="8" max="8" width="11.7265625" style="1" customWidth="1"/>
    <col min="9" max="11" width="12.7265625" style="1" customWidth="1"/>
    <col min="12" max="13" width="8.81640625" style="1" customWidth="1"/>
    <col min="14" max="14" width="14.81640625" style="1" customWidth="1"/>
    <col min="15" max="15" width="9.1796875" style="1" customWidth="1"/>
    <col min="16" max="16" width="15.7265625" style="1" customWidth="1"/>
    <col min="17" max="17" width="9" style="1" customWidth="1"/>
    <col min="18" max="18" width="15.7265625" style="1" customWidth="1"/>
    <col min="19" max="19" width="9.54296875" style="1" customWidth="1"/>
    <col min="20" max="20" width="13.54296875" style="1" customWidth="1"/>
    <col min="21" max="21" width="7.54296875" style="1" customWidth="1"/>
    <col min="22" max="22" width="17" style="1" customWidth="1"/>
    <col min="23" max="23" width="15.1796875" style="1" bestFit="1" customWidth="1"/>
    <col min="24" max="24" width="14.453125" style="1" customWidth="1"/>
    <col min="25" max="25" width="12.7265625" style="21" customWidth="1"/>
    <col min="26" max="26" width="16.453125" style="1" customWidth="1"/>
    <col min="27" max="27" width="11.54296875" style="1" customWidth="1"/>
    <col min="28" max="28" width="16.54296875" style="41" customWidth="1"/>
    <col min="29" max="29" width="12.1796875" style="1" customWidth="1"/>
    <col min="30" max="30" width="17.7265625" style="1" bestFit="1" customWidth="1"/>
    <col min="31" max="31" width="17.81640625" style="1" customWidth="1"/>
    <col min="32" max="32" width="12.26953125" style="1" bestFit="1" customWidth="1"/>
    <col min="33" max="33" width="12.26953125" style="1" customWidth="1"/>
    <col min="34" max="34" width="17.81640625" style="1" bestFit="1" customWidth="1"/>
    <col min="35" max="35" width="17.81640625" style="1" customWidth="1"/>
    <col min="36" max="36" width="12.26953125" style="1" customWidth="1"/>
    <col min="37" max="37" width="10" style="1" customWidth="1"/>
    <col min="38" max="38" width="15" style="1" customWidth="1"/>
    <col min="39" max="39" width="12.54296875" style="1" customWidth="1"/>
    <col min="40" max="40" width="11" style="1" customWidth="1"/>
    <col min="41" max="41" width="9.1796875" style="1" customWidth="1"/>
    <col min="42" max="42" width="13.453125" style="1" customWidth="1"/>
    <col min="43" max="43" width="13.26953125" style="1" customWidth="1"/>
    <col min="44" max="44" width="10.26953125" style="1" customWidth="1"/>
    <col min="45" max="45" width="11.1796875" style="1" customWidth="1"/>
    <col min="46" max="46" width="10.26953125" style="1" customWidth="1"/>
    <col min="47" max="47" width="11.54296875" style="1" customWidth="1"/>
    <col min="48" max="48" width="13.1796875" style="1" customWidth="1"/>
    <col min="49" max="49" width="9" style="1" customWidth="1"/>
    <col min="50" max="50" width="7.26953125" style="1" customWidth="1"/>
    <col min="51" max="51" width="7.54296875" style="1" customWidth="1"/>
    <col min="52" max="55" width="11.453125" style="1" customWidth="1"/>
    <col min="56" max="56" width="17.26953125" style="1" bestFit="1" customWidth="1"/>
    <col min="57" max="57" width="17.26953125" style="1" customWidth="1"/>
    <col min="58" max="59" width="12.7265625" style="1" customWidth="1"/>
    <col min="60" max="61" width="11.453125" style="1" customWidth="1"/>
    <col min="62" max="16384" width="8.54296875" style="1"/>
  </cols>
  <sheetData>
    <row r="1" spans="1:61" ht="12" customHeight="1" x14ac:dyDescent="0.35">
      <c r="A1" s="117"/>
      <c r="B1" s="118"/>
      <c r="C1" s="119"/>
      <c r="D1" s="123" t="s">
        <v>56</v>
      </c>
      <c r="E1" s="124"/>
      <c r="F1" s="123" t="s">
        <v>57</v>
      </c>
      <c r="G1" s="124"/>
      <c r="H1" s="127" t="s">
        <v>1</v>
      </c>
      <c r="I1" s="128"/>
      <c r="J1" s="128"/>
      <c r="K1" s="128"/>
      <c r="L1" s="128"/>
      <c r="M1" s="129"/>
      <c r="N1" s="133" t="s">
        <v>2</v>
      </c>
      <c r="O1" s="124"/>
      <c r="P1" s="135" t="s">
        <v>58</v>
      </c>
      <c r="Q1" s="136"/>
      <c r="R1" s="135" t="s">
        <v>3</v>
      </c>
      <c r="S1" s="136"/>
      <c r="T1" s="135" t="s">
        <v>4</v>
      </c>
      <c r="U1" s="136"/>
      <c r="V1" s="123" t="s">
        <v>5</v>
      </c>
      <c r="W1" s="139"/>
      <c r="X1" s="124"/>
      <c r="Y1" s="123" t="s">
        <v>6</v>
      </c>
      <c r="Z1" s="139"/>
      <c r="AA1" s="124"/>
      <c r="AB1" s="123" t="s">
        <v>59</v>
      </c>
      <c r="AC1" s="139"/>
      <c r="AD1" s="124"/>
      <c r="AE1" s="123" t="s">
        <v>60</v>
      </c>
      <c r="AF1" s="139"/>
      <c r="AG1" s="124"/>
      <c r="AH1" s="123" t="s">
        <v>61</v>
      </c>
      <c r="AI1" s="139"/>
      <c r="AJ1" s="139"/>
      <c r="AK1" s="124"/>
      <c r="AL1" s="123" t="s">
        <v>62</v>
      </c>
      <c r="AM1" s="139"/>
      <c r="AN1" s="139"/>
      <c r="AO1" s="124"/>
      <c r="AP1" s="123" t="s">
        <v>63</v>
      </c>
      <c r="AQ1" s="139"/>
      <c r="AR1" s="124"/>
      <c r="AS1" s="123" t="s">
        <v>64</v>
      </c>
      <c r="AT1" s="124"/>
      <c r="AU1" s="141" t="s">
        <v>7</v>
      </c>
      <c r="AV1" s="143" t="s">
        <v>8</v>
      </c>
      <c r="AW1" s="145" t="s">
        <v>9</v>
      </c>
      <c r="AX1" s="42"/>
      <c r="AY1" s="38"/>
      <c r="AZ1" s="112" t="s">
        <v>65</v>
      </c>
      <c r="BA1" s="112" t="s">
        <v>0</v>
      </c>
      <c r="BB1" s="112" t="s">
        <v>10</v>
      </c>
      <c r="BC1" s="112" t="s">
        <v>11</v>
      </c>
      <c r="BD1" s="112" t="s">
        <v>12</v>
      </c>
      <c r="BE1" s="112" t="s">
        <v>13</v>
      </c>
      <c r="BF1" s="112" t="s">
        <v>55</v>
      </c>
      <c r="BG1" s="112" t="s">
        <v>61</v>
      </c>
      <c r="BH1" s="112" t="s">
        <v>66</v>
      </c>
      <c r="BI1" s="112" t="s">
        <v>67</v>
      </c>
    </row>
    <row r="2" spans="1:61" ht="16" thickBot="1" x14ac:dyDescent="0.4">
      <c r="A2" s="120"/>
      <c r="B2" s="121"/>
      <c r="C2" s="122"/>
      <c r="D2" s="125"/>
      <c r="E2" s="126"/>
      <c r="F2" s="125"/>
      <c r="G2" s="126"/>
      <c r="H2" s="130"/>
      <c r="I2" s="131"/>
      <c r="J2" s="131"/>
      <c r="K2" s="131"/>
      <c r="L2" s="131"/>
      <c r="M2" s="132"/>
      <c r="N2" s="134"/>
      <c r="O2" s="126"/>
      <c r="P2" s="137"/>
      <c r="Q2" s="138"/>
      <c r="R2" s="137"/>
      <c r="S2" s="138"/>
      <c r="T2" s="137"/>
      <c r="U2" s="138"/>
      <c r="V2" s="125"/>
      <c r="W2" s="140"/>
      <c r="X2" s="126"/>
      <c r="Y2" s="125"/>
      <c r="Z2" s="140"/>
      <c r="AA2" s="126"/>
      <c r="AB2" s="125"/>
      <c r="AC2" s="140"/>
      <c r="AD2" s="126"/>
      <c r="AE2" s="125"/>
      <c r="AF2" s="140"/>
      <c r="AG2" s="126"/>
      <c r="AH2" s="125"/>
      <c r="AI2" s="140"/>
      <c r="AJ2" s="140"/>
      <c r="AK2" s="126"/>
      <c r="AL2" s="125"/>
      <c r="AM2" s="140"/>
      <c r="AN2" s="140"/>
      <c r="AO2" s="126"/>
      <c r="AP2" s="125"/>
      <c r="AQ2" s="140"/>
      <c r="AR2" s="126"/>
      <c r="AS2" s="125"/>
      <c r="AT2" s="126"/>
      <c r="AU2" s="142"/>
      <c r="AV2" s="144"/>
      <c r="AW2" s="146"/>
      <c r="AX2" s="42"/>
      <c r="AY2" s="40"/>
      <c r="AZ2" s="113"/>
      <c r="BA2" s="113"/>
      <c r="BB2" s="113"/>
      <c r="BC2" s="113"/>
      <c r="BD2" s="113"/>
      <c r="BE2" s="113"/>
      <c r="BF2" s="113"/>
      <c r="BG2" s="113"/>
      <c r="BH2" s="113"/>
      <c r="BI2" s="113"/>
    </row>
    <row r="3" spans="1:61" ht="16" thickBot="1" x14ac:dyDescent="0.4">
      <c r="A3" s="43" t="s">
        <v>14</v>
      </c>
      <c r="B3" s="43" t="s">
        <v>15</v>
      </c>
      <c r="C3" s="43" t="s">
        <v>16</v>
      </c>
      <c r="D3" s="44" t="s">
        <v>17</v>
      </c>
      <c r="E3" s="44" t="s">
        <v>18</v>
      </c>
      <c r="F3" s="44" t="s">
        <v>17</v>
      </c>
      <c r="G3" s="44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44" t="s">
        <v>17</v>
      </c>
      <c r="O3" s="44" t="s">
        <v>18</v>
      </c>
      <c r="P3" s="44" t="s">
        <v>17</v>
      </c>
      <c r="Q3" s="44" t="s">
        <v>18</v>
      </c>
      <c r="R3" s="44" t="s">
        <v>17</v>
      </c>
      <c r="S3" s="44" t="s">
        <v>18</v>
      </c>
      <c r="T3" s="44" t="s">
        <v>17</v>
      </c>
      <c r="U3" s="44" t="s">
        <v>18</v>
      </c>
      <c r="V3" s="44" t="s">
        <v>22</v>
      </c>
      <c r="W3" s="44" t="s">
        <v>18</v>
      </c>
      <c r="X3" s="44" t="s">
        <v>68</v>
      </c>
      <c r="Y3" s="44" t="s">
        <v>23</v>
      </c>
      <c r="Z3" s="44" t="s">
        <v>18</v>
      </c>
      <c r="AA3" s="44"/>
      <c r="AB3" s="44" t="s">
        <v>24</v>
      </c>
      <c r="AC3" s="44" t="s">
        <v>18</v>
      </c>
      <c r="AD3" s="44" t="s">
        <v>68</v>
      </c>
      <c r="AE3" s="44" t="s">
        <v>24</v>
      </c>
      <c r="AF3" s="44" t="s">
        <v>18</v>
      </c>
      <c r="AG3" s="44" t="s">
        <v>68</v>
      </c>
      <c r="AH3" s="44" t="s">
        <v>25</v>
      </c>
      <c r="AI3" s="44" t="s">
        <v>18</v>
      </c>
      <c r="AJ3" s="44" t="s">
        <v>68</v>
      </c>
      <c r="AK3" s="44" t="s">
        <v>26</v>
      </c>
      <c r="AL3" s="44" t="s">
        <v>24</v>
      </c>
      <c r="AM3" s="44" t="s">
        <v>18</v>
      </c>
      <c r="AN3" s="44" t="s">
        <v>68</v>
      </c>
      <c r="AO3" s="44" t="s">
        <v>26</v>
      </c>
      <c r="AP3" s="44" t="s">
        <v>25</v>
      </c>
      <c r="AQ3" s="44" t="s">
        <v>18</v>
      </c>
      <c r="AR3" s="44" t="s">
        <v>68</v>
      </c>
      <c r="AS3" s="43" t="s">
        <v>27</v>
      </c>
      <c r="AT3" s="43" t="s">
        <v>28</v>
      </c>
      <c r="AU3" s="115" t="s">
        <v>29</v>
      </c>
      <c r="AV3" s="116"/>
      <c r="AW3" s="45"/>
      <c r="AX3" s="42"/>
      <c r="AY3" s="39"/>
      <c r="AZ3" s="114"/>
      <c r="BA3" s="114"/>
      <c r="BB3" s="114"/>
      <c r="BC3" s="114"/>
      <c r="BD3" s="114"/>
      <c r="BE3" s="114"/>
      <c r="BF3" s="114"/>
      <c r="BG3" s="114"/>
      <c r="BH3" s="114"/>
      <c r="BI3" s="114"/>
    </row>
    <row r="4" spans="1:61" ht="13.9" customHeight="1" x14ac:dyDescent="0.35">
      <c r="A4" s="76"/>
      <c r="B4" s="55"/>
      <c r="C4" s="10"/>
      <c r="D4" s="6">
        <v>354523</v>
      </c>
      <c r="E4" s="8"/>
      <c r="F4" s="6">
        <v>7087</v>
      </c>
      <c r="G4" s="8"/>
      <c r="H4" s="6">
        <v>108241</v>
      </c>
      <c r="I4" s="8"/>
      <c r="J4" s="46">
        <v>622402</v>
      </c>
      <c r="K4" s="8"/>
      <c r="L4" s="62"/>
      <c r="M4" s="7"/>
      <c r="N4" s="6">
        <v>14926</v>
      </c>
      <c r="O4" s="8"/>
      <c r="P4" s="6">
        <f>[1]October!P37</f>
        <v>98446</v>
      </c>
      <c r="Q4" s="66"/>
      <c r="R4" s="6">
        <v>42</v>
      </c>
      <c r="S4" s="66"/>
      <c r="T4" s="6">
        <v>204357</v>
      </c>
      <c r="U4" s="66"/>
      <c r="V4" s="13">
        <v>5641.45</v>
      </c>
      <c r="W4" s="8"/>
      <c r="X4" s="46"/>
      <c r="Y4" s="13">
        <v>1072.99</v>
      </c>
      <c r="Z4" s="8"/>
      <c r="AA4" s="46"/>
      <c r="AB4" s="13">
        <v>1776489</v>
      </c>
      <c r="AC4" s="9"/>
      <c r="AD4" s="46"/>
      <c r="AE4" s="13">
        <v>5261860</v>
      </c>
      <c r="AF4" s="9"/>
      <c r="AG4" s="46"/>
      <c r="AH4" s="13">
        <v>34257</v>
      </c>
      <c r="AI4" s="8"/>
      <c r="AJ4" s="46"/>
      <c r="AK4" s="7"/>
      <c r="AL4" s="13">
        <v>246721</v>
      </c>
      <c r="AM4" s="8"/>
      <c r="AN4" s="46"/>
      <c r="AO4" s="7"/>
      <c r="AP4" s="13">
        <v>47018</v>
      </c>
      <c r="AQ4" s="8"/>
      <c r="AR4" s="46"/>
      <c r="AS4" s="14"/>
      <c r="AT4" s="77"/>
      <c r="AU4" s="7"/>
      <c r="AV4" s="13">
        <f>[1]October!AV37</f>
        <v>0</v>
      </c>
      <c r="AW4" s="63"/>
      <c r="AX4" s="6">
        <v>563</v>
      </c>
      <c r="AY4" s="66"/>
      <c r="AZ4" s="78">
        <f>D40</f>
        <v>0</v>
      </c>
      <c r="BA4" s="78">
        <f>F40</f>
        <v>0</v>
      </c>
      <c r="BB4" s="78">
        <f>H40</f>
        <v>0</v>
      </c>
      <c r="BC4" s="78">
        <f>N40</f>
        <v>0</v>
      </c>
      <c r="BD4" s="79">
        <v>380000</v>
      </c>
      <c r="BE4" s="79">
        <f>BD4</f>
        <v>380000</v>
      </c>
      <c r="BF4" s="80">
        <v>42009</v>
      </c>
      <c r="BG4" s="80">
        <v>6152</v>
      </c>
      <c r="BH4" s="80">
        <v>19645</v>
      </c>
      <c r="BI4" s="80">
        <v>10384</v>
      </c>
    </row>
    <row r="5" spans="1:61" x14ac:dyDescent="0.35">
      <c r="A5" s="54">
        <v>1</v>
      </c>
      <c r="B5" s="55" t="s">
        <v>69</v>
      </c>
      <c r="C5" s="10"/>
      <c r="D5" s="6">
        <v>354813</v>
      </c>
      <c r="E5" s="8">
        <f>IF(ISBLANK(D5),0,D5-D4)</f>
        <v>290</v>
      </c>
      <c r="F5" s="6">
        <v>7088</v>
      </c>
      <c r="G5" s="8">
        <f t="shared" ref="G5:G34" si="0">IF(ISBLANK(F5),0,F5-F4)</f>
        <v>1</v>
      </c>
      <c r="H5" s="6">
        <v>108386</v>
      </c>
      <c r="I5" s="8">
        <f t="shared" ref="I5:I34" si="1">IF(ISBLANK(H5),0,H5-H4)</f>
        <v>145</v>
      </c>
      <c r="J5" s="46">
        <v>622539</v>
      </c>
      <c r="K5" s="8">
        <f t="shared" ref="K5:K34" si="2">IF(ISBLANK(J5),0,J5-J4)</f>
        <v>137</v>
      </c>
      <c r="L5" s="62"/>
      <c r="M5" s="11" t="e">
        <f t="shared" ref="M5:M34" si="3">I5/L5</f>
        <v>#DIV/0!</v>
      </c>
      <c r="N5" s="14">
        <v>14933</v>
      </c>
      <c r="O5" s="8">
        <f t="shared" ref="O5:O34" si="4">IF(ISBLANK(N5),0,N5-N4)</f>
        <v>7</v>
      </c>
      <c r="P5" s="6">
        <v>98446</v>
      </c>
      <c r="Q5" s="9">
        <f t="shared" ref="Q5:Q34" si="5">IF(ISBLANK(P5),0,P5-P4)</f>
        <v>0</v>
      </c>
      <c r="R5" s="12">
        <v>42</v>
      </c>
      <c r="S5" s="9">
        <f t="shared" ref="S5:S34" si="6">IF(ISBLANK(R5),0,R5-R4)</f>
        <v>0</v>
      </c>
      <c r="T5" s="6">
        <v>204378</v>
      </c>
      <c r="U5" s="9">
        <f t="shared" ref="U5:U34" si="7">IF(ISBLANK(T5),0,T5-T4)</f>
        <v>21</v>
      </c>
      <c r="V5" s="13"/>
      <c r="W5" s="8">
        <f t="shared" ref="W5:W34" si="8">IF(ISBLANK(V5),0,SUM(V5-V4)*2200)</f>
        <v>0</v>
      </c>
      <c r="X5" s="81">
        <v>11450</v>
      </c>
      <c r="Y5" s="56"/>
      <c r="Z5" s="8">
        <f>IF(ISBLANK(Y5),0,Y5-Y4)*2200</f>
        <v>0</v>
      </c>
      <c r="AA5" s="81">
        <v>2100</v>
      </c>
      <c r="AB5" s="6"/>
      <c r="AC5" s="9">
        <f>IF(ISBLANK(AB5),0,SUM(AB5-AB4))</f>
        <v>0</v>
      </c>
      <c r="AD5" s="81">
        <v>312</v>
      </c>
      <c r="AE5" s="12"/>
      <c r="AF5" s="9">
        <f>IF(ISBLANK(AE5),0,SUM(AE5-AE4))</f>
        <v>0</v>
      </c>
      <c r="AG5" s="81">
        <v>1146</v>
      </c>
      <c r="AH5" s="6"/>
      <c r="AI5" s="8">
        <f>IF(ISBLANK(AH5),0,AH5-AH4)*80</f>
        <v>0</v>
      </c>
      <c r="AJ5" s="81">
        <v>176</v>
      </c>
      <c r="AK5" s="46"/>
      <c r="AL5" s="6"/>
      <c r="AM5" s="8">
        <f t="shared" ref="AM5:AM34" si="9">IF(ISBLANK(AL5),0,AL5-AL4)</f>
        <v>0</v>
      </c>
      <c r="AN5" s="46">
        <v>505</v>
      </c>
      <c r="AO5" s="7"/>
      <c r="AP5" s="6"/>
      <c r="AQ5" s="8">
        <f>IF(ISBLANK(AP5),0,AP5-AP4)*80</f>
        <v>0</v>
      </c>
      <c r="AR5" s="46">
        <v>272</v>
      </c>
      <c r="AS5" s="14">
        <v>10</v>
      </c>
      <c r="AT5" s="77">
        <v>18</v>
      </c>
      <c r="AU5" s="7"/>
      <c r="AV5" s="13"/>
      <c r="AW5" s="82">
        <f t="shared" ref="AW5:AW34" si="10">IF(ISBLANK(AV5),0,AV5-AV4)</f>
        <v>0</v>
      </c>
      <c r="AX5" s="12">
        <v>563</v>
      </c>
      <c r="AY5" s="9">
        <f t="shared" ref="AY5:AY34" si="11">IF(ISBLANK(AX5),0,AX5-AX4)</f>
        <v>0</v>
      </c>
      <c r="AZ5" s="83">
        <f>IF(D5&lt;&gt;0,(+D5-D$8)/A5*30,0)</f>
        <v>-43800</v>
      </c>
      <c r="BA5" s="83">
        <f>IF(F5&lt;&gt;0,(+F5-F$8)/$A5*30,0)</f>
        <v>0</v>
      </c>
      <c r="BB5" s="83">
        <f t="shared" ref="BB5:BB34" si="12">IF(H5&lt;&gt;0,(+H5-H$8)/$A5*30,0)</f>
        <v>-15270</v>
      </c>
      <c r="BC5" s="83">
        <f>IF(N5&lt;&gt;0,(+N5-N$8)/$A5*30,0)</f>
        <v>-570</v>
      </c>
      <c r="BD5" s="84">
        <f>IF(V5&lt;&gt;0,(+V5-V$8)*2200/$A5*30,0)</f>
        <v>0</v>
      </c>
      <c r="BE5" s="83">
        <f>IF(X5&lt;&gt;0,AVERAGE(X5:X$11)*30,)</f>
        <v>330677.1428571429</v>
      </c>
      <c r="BF5" s="83">
        <f>IF(AD5+AG5&lt;&gt;0,AVERAGE(AD5:AD$11)*30+AVERAGE(AG5:AG$11)*30,)</f>
        <v>44164.28571428571</v>
      </c>
      <c r="BG5" s="84">
        <f>IF(AJ5&lt;&gt;0,AVERAGE(AJ5:AJ$11)*30,)</f>
        <v>5417.1428571428578</v>
      </c>
      <c r="BH5" s="84">
        <f>IF(AN5&lt;&gt;0,AVERAGE(AN5:AN$11)*30,)</f>
        <v>15702.857142857143</v>
      </c>
      <c r="BI5" s="84">
        <f>IF(AR5&lt;&gt;0,AVERAGE(AR5:AR$11)*30,)</f>
        <v>7577.1428571428578</v>
      </c>
    </row>
    <row r="6" spans="1:61" x14ac:dyDescent="0.35">
      <c r="A6" s="54">
        <f t="shared" ref="A6:A12" si="13">1+A5</f>
        <v>2</v>
      </c>
      <c r="B6" s="55" t="s">
        <v>69</v>
      </c>
      <c r="C6" s="10"/>
      <c r="D6" s="6">
        <v>355155</v>
      </c>
      <c r="E6" s="8">
        <f>IF(ISBLANK(D6),0,D6-D5)</f>
        <v>342</v>
      </c>
      <c r="F6" s="6">
        <v>7088</v>
      </c>
      <c r="G6" s="8">
        <f t="shared" si="0"/>
        <v>0</v>
      </c>
      <c r="H6" s="6">
        <v>108517</v>
      </c>
      <c r="I6" s="8">
        <f t="shared" si="1"/>
        <v>131</v>
      </c>
      <c r="J6" s="46">
        <v>622663</v>
      </c>
      <c r="K6" s="8">
        <f t="shared" si="2"/>
        <v>124</v>
      </c>
      <c r="L6" s="62"/>
      <c r="M6" s="11" t="e">
        <f t="shared" si="3"/>
        <v>#DIV/0!</v>
      </c>
      <c r="N6" s="14">
        <v>14938</v>
      </c>
      <c r="O6" s="8">
        <f t="shared" si="4"/>
        <v>5</v>
      </c>
      <c r="P6" s="6">
        <v>98448</v>
      </c>
      <c r="Q6" s="9">
        <f t="shared" si="5"/>
        <v>2</v>
      </c>
      <c r="R6" s="12">
        <v>42</v>
      </c>
      <c r="S6" s="9">
        <f t="shared" si="6"/>
        <v>0</v>
      </c>
      <c r="T6" s="6">
        <v>204401</v>
      </c>
      <c r="U6" s="9">
        <f t="shared" si="7"/>
        <v>23</v>
      </c>
      <c r="V6" s="13"/>
      <c r="W6" s="8">
        <f t="shared" si="8"/>
        <v>0</v>
      </c>
      <c r="X6" s="81">
        <v>11241</v>
      </c>
      <c r="Y6" s="56"/>
      <c r="Z6" s="8">
        <f t="shared" ref="Z6:Z34" si="14">IF(ISBLANK(Y6),0,Y6-Y5)*2200</f>
        <v>0</v>
      </c>
      <c r="AA6" s="81">
        <v>2122</v>
      </c>
      <c r="AB6" s="6"/>
      <c r="AC6" s="9">
        <f t="shared" ref="AC6:AC34" si="15">IF(ISBLANK(AB6),0,SUM(AB6-AB5))</f>
        <v>0</v>
      </c>
      <c r="AD6" s="81">
        <v>263</v>
      </c>
      <c r="AE6" s="12"/>
      <c r="AF6" s="9">
        <f t="shared" ref="AF6:AF32" si="16">IF(ISBLANK(AE6),0,SUM(AE6-AE5))</f>
        <v>0</v>
      </c>
      <c r="AG6" s="81">
        <v>1208</v>
      </c>
      <c r="AH6" s="6"/>
      <c r="AI6" s="8">
        <f t="shared" ref="AI6:AI34" si="17">IF(ISBLANK(AH6),0,AH6-AH5)*80</f>
        <v>0</v>
      </c>
      <c r="AJ6" s="81">
        <v>152</v>
      </c>
      <c r="AK6" s="46"/>
      <c r="AL6" s="6"/>
      <c r="AM6" s="8">
        <f t="shared" si="9"/>
        <v>0</v>
      </c>
      <c r="AN6" s="46">
        <v>484</v>
      </c>
      <c r="AO6" s="7"/>
      <c r="AP6" s="6"/>
      <c r="AQ6" s="8">
        <f t="shared" ref="AQ6:AQ34" si="18">IF(ISBLANK(AP6),0,AP6-AP5)*80</f>
        <v>0</v>
      </c>
      <c r="AR6" s="46">
        <v>256</v>
      </c>
      <c r="AS6" s="6">
        <v>13</v>
      </c>
      <c r="AT6" s="6">
        <v>19</v>
      </c>
      <c r="AU6" s="7"/>
      <c r="AV6" s="13"/>
      <c r="AW6" s="82">
        <f t="shared" si="10"/>
        <v>0</v>
      </c>
      <c r="AX6" s="12">
        <v>564</v>
      </c>
      <c r="AY6" s="9">
        <f t="shared" si="11"/>
        <v>1</v>
      </c>
      <c r="AZ6" s="83">
        <f t="shared" ref="AZ6:AZ34" si="19">IF(D6&lt;&gt;0,(+D6-D$8)/A6*30,0)</f>
        <v>-16770</v>
      </c>
      <c r="BA6" s="83">
        <f t="shared" ref="BA6:BA34" si="20">IF(F6&lt;&gt;0,(+F6-F$8)/$A6*30,0)</f>
        <v>0</v>
      </c>
      <c r="BB6" s="83">
        <f t="shared" si="12"/>
        <v>-5670</v>
      </c>
      <c r="BC6" s="83">
        <f t="shared" ref="BC6:BC34" si="21">IF(N6&lt;&gt;0,(+N6-N$8)/$A6*30,0)</f>
        <v>-210</v>
      </c>
      <c r="BD6" s="84">
        <f t="shared" ref="BD6:BD34" si="22">IF(V6&lt;&gt;0,(+V6-V$8)*2200/$A6*30,0)</f>
        <v>0</v>
      </c>
      <c r="BE6" s="83">
        <f>IF(X6&lt;&gt;0,AVERAGE(X6:X$11)*30,)</f>
        <v>328540</v>
      </c>
      <c r="BF6" s="83">
        <f>IF(AD6+AG6&lt;&gt;0,AVERAGE(AD6:AD$11)*30+AVERAGE(AG6:AG$11)*30,)</f>
        <v>44235</v>
      </c>
      <c r="BG6" s="84">
        <f>IF(AJ6&lt;&gt;0,AVERAGE(AJ6:AJ$11)*30,)</f>
        <v>5440</v>
      </c>
      <c r="BH6" s="84">
        <f>IF(AN6&lt;&gt;0,AVERAGE(AN6:AN$11)*30,)</f>
        <v>15795</v>
      </c>
      <c r="BI6" s="84">
        <f>IF(AR6&lt;&gt;0,AVERAGE(AR6:AR$11)*30,)</f>
        <v>7480</v>
      </c>
    </row>
    <row r="7" spans="1:61" x14ac:dyDescent="0.35">
      <c r="A7" s="54">
        <f t="shared" si="13"/>
        <v>3</v>
      </c>
      <c r="B7" s="55" t="s">
        <v>69</v>
      </c>
      <c r="C7" s="10"/>
      <c r="D7" s="6">
        <v>355595</v>
      </c>
      <c r="E7" s="8">
        <f t="shared" ref="E7:E34" si="23">IF(ISBLANK(D7),0,D7-D6)</f>
        <v>440</v>
      </c>
      <c r="F7" s="6">
        <v>7088</v>
      </c>
      <c r="G7" s="8">
        <f t="shared" si="0"/>
        <v>0</v>
      </c>
      <c r="H7" s="6">
        <v>108718</v>
      </c>
      <c r="I7" s="8">
        <f t="shared" si="1"/>
        <v>201</v>
      </c>
      <c r="J7" s="46">
        <v>622855</v>
      </c>
      <c r="K7" s="8">
        <f t="shared" si="2"/>
        <v>192</v>
      </c>
      <c r="L7" s="62"/>
      <c r="M7" s="11" t="e">
        <f t="shared" si="3"/>
        <v>#DIV/0!</v>
      </c>
      <c r="N7" s="14">
        <v>14944</v>
      </c>
      <c r="O7" s="8">
        <f t="shared" si="4"/>
        <v>6</v>
      </c>
      <c r="P7" s="6">
        <v>98474</v>
      </c>
      <c r="Q7" s="9">
        <f t="shared" si="5"/>
        <v>26</v>
      </c>
      <c r="R7" s="12">
        <v>42</v>
      </c>
      <c r="S7" s="9">
        <f t="shared" si="6"/>
        <v>0</v>
      </c>
      <c r="T7" s="6">
        <v>204452</v>
      </c>
      <c r="U7" s="9">
        <f t="shared" si="7"/>
        <v>51</v>
      </c>
      <c r="V7" s="13"/>
      <c r="W7" s="8">
        <f t="shared" si="8"/>
        <v>0</v>
      </c>
      <c r="X7" s="81">
        <v>11394</v>
      </c>
      <c r="Y7" s="56"/>
      <c r="Z7" s="8">
        <f t="shared" si="14"/>
        <v>0</v>
      </c>
      <c r="AA7" s="81">
        <v>2227</v>
      </c>
      <c r="AB7" s="6"/>
      <c r="AC7" s="9">
        <f t="shared" si="15"/>
        <v>0</v>
      </c>
      <c r="AD7" s="81">
        <v>242</v>
      </c>
      <c r="AE7" s="12"/>
      <c r="AF7" s="9">
        <f t="shared" si="16"/>
        <v>0</v>
      </c>
      <c r="AG7" s="81">
        <v>1259</v>
      </c>
      <c r="AH7" s="6"/>
      <c r="AI7" s="8">
        <f t="shared" si="17"/>
        <v>0</v>
      </c>
      <c r="AJ7" s="81">
        <v>144</v>
      </c>
      <c r="AK7" s="46"/>
      <c r="AL7" s="6"/>
      <c r="AM7" s="8">
        <f t="shared" si="9"/>
        <v>0</v>
      </c>
      <c r="AN7" s="46">
        <v>519</v>
      </c>
      <c r="AO7" s="7"/>
      <c r="AP7" s="6"/>
      <c r="AQ7" s="8">
        <f t="shared" si="18"/>
        <v>0</v>
      </c>
      <c r="AR7" s="46">
        <v>256</v>
      </c>
      <c r="AS7" s="6">
        <v>10</v>
      </c>
      <c r="AT7" s="6">
        <v>16</v>
      </c>
      <c r="AU7" s="7"/>
      <c r="AV7" s="13"/>
      <c r="AW7" s="82">
        <f t="shared" si="10"/>
        <v>0</v>
      </c>
      <c r="AX7" s="12">
        <v>566</v>
      </c>
      <c r="AY7" s="9">
        <f t="shared" si="11"/>
        <v>2</v>
      </c>
      <c r="AZ7" s="83">
        <f t="shared" si="19"/>
        <v>-6780</v>
      </c>
      <c r="BA7" s="83">
        <f t="shared" si="20"/>
        <v>0</v>
      </c>
      <c r="BB7" s="83">
        <f t="shared" si="12"/>
        <v>-1770</v>
      </c>
      <c r="BC7" s="83">
        <f t="shared" si="21"/>
        <v>-80</v>
      </c>
      <c r="BD7" s="84">
        <f t="shared" si="22"/>
        <v>0</v>
      </c>
      <c r="BE7" s="83">
        <f>IF(X7&lt;&gt;0,AVERAGE(X7:X$11)*30,)</f>
        <v>326802</v>
      </c>
      <c r="BF7" s="83">
        <f>IF(AD7+AG7&lt;&gt;0,AVERAGE(AD7:AD$11)*30+AVERAGE(AG7:AG$11)*30,)</f>
        <v>44256</v>
      </c>
      <c r="BG7" s="84">
        <f>IF(AJ7&lt;&gt;0,AVERAGE(AJ7:AJ$11)*30,)</f>
        <v>5616</v>
      </c>
      <c r="BH7" s="84">
        <f>IF(AN7&lt;&gt;0,AVERAGE(AN7:AN$11)*30,)</f>
        <v>16050</v>
      </c>
      <c r="BI7" s="84">
        <f>IF(AR7&lt;&gt;0,AVERAGE(AR7:AR$11)*30,)</f>
        <v>7440</v>
      </c>
    </row>
    <row r="8" spans="1:61" x14ac:dyDescent="0.35">
      <c r="A8" s="54">
        <f t="shared" si="13"/>
        <v>4</v>
      </c>
      <c r="B8" s="55" t="s">
        <v>69</v>
      </c>
      <c r="C8" s="10"/>
      <c r="D8" s="6">
        <v>356273</v>
      </c>
      <c r="E8" s="8">
        <f t="shared" si="23"/>
        <v>678</v>
      </c>
      <c r="F8" s="6">
        <v>7088</v>
      </c>
      <c r="G8" s="8">
        <f t="shared" si="0"/>
        <v>0</v>
      </c>
      <c r="H8" s="6">
        <v>108895</v>
      </c>
      <c r="I8" s="8">
        <f t="shared" si="1"/>
        <v>177</v>
      </c>
      <c r="J8" s="46">
        <v>623023</v>
      </c>
      <c r="K8" s="8">
        <f t="shared" si="2"/>
        <v>168</v>
      </c>
      <c r="L8" s="62"/>
      <c r="M8" s="11" t="e">
        <f t="shared" si="3"/>
        <v>#DIV/0!</v>
      </c>
      <c r="N8" s="14">
        <v>14952</v>
      </c>
      <c r="O8" s="8">
        <f t="shared" si="4"/>
        <v>8</v>
      </c>
      <c r="P8" s="6">
        <v>98501</v>
      </c>
      <c r="Q8" s="9">
        <f t="shared" si="5"/>
        <v>27</v>
      </c>
      <c r="R8" s="12">
        <v>42</v>
      </c>
      <c r="S8" s="9">
        <f t="shared" si="6"/>
        <v>0</v>
      </c>
      <c r="T8" s="6">
        <v>204504</v>
      </c>
      <c r="U8" s="9">
        <f t="shared" si="7"/>
        <v>52</v>
      </c>
      <c r="V8" s="13"/>
      <c r="W8" s="8">
        <f t="shared" si="8"/>
        <v>0</v>
      </c>
      <c r="X8" s="81">
        <v>10967</v>
      </c>
      <c r="Y8" s="56"/>
      <c r="Z8" s="8">
        <f t="shared" si="14"/>
        <v>0</v>
      </c>
      <c r="AA8" s="81">
        <v>2159</v>
      </c>
      <c r="AB8" s="6"/>
      <c r="AC8" s="9">
        <f t="shared" si="15"/>
        <v>0</v>
      </c>
      <c r="AD8" s="81">
        <v>221</v>
      </c>
      <c r="AE8" s="12"/>
      <c r="AF8" s="9">
        <f t="shared" si="16"/>
        <v>0</v>
      </c>
      <c r="AG8" s="81">
        <v>1227</v>
      </c>
      <c r="AH8" s="6"/>
      <c r="AI8" s="8">
        <f t="shared" si="17"/>
        <v>0</v>
      </c>
      <c r="AJ8" s="81">
        <v>176</v>
      </c>
      <c r="AK8" s="46"/>
      <c r="AL8" s="6"/>
      <c r="AM8" s="8">
        <f t="shared" si="9"/>
        <v>0</v>
      </c>
      <c r="AN8" s="46">
        <v>507</v>
      </c>
      <c r="AO8" s="7"/>
      <c r="AP8" s="6"/>
      <c r="AQ8" s="8">
        <f t="shared" si="18"/>
        <v>0</v>
      </c>
      <c r="AR8" s="46">
        <v>256</v>
      </c>
      <c r="AS8" s="14">
        <v>8</v>
      </c>
      <c r="AT8" s="14">
        <v>17</v>
      </c>
      <c r="AU8" s="7"/>
      <c r="AV8" s="13"/>
      <c r="AW8" s="82">
        <f t="shared" si="10"/>
        <v>0</v>
      </c>
      <c r="AX8" s="12">
        <v>566</v>
      </c>
      <c r="AY8" s="9">
        <f t="shared" si="11"/>
        <v>0</v>
      </c>
      <c r="AZ8" s="83">
        <f t="shared" si="19"/>
        <v>0</v>
      </c>
      <c r="BA8" s="83">
        <f t="shared" si="20"/>
        <v>0</v>
      </c>
      <c r="BB8" s="83">
        <f t="shared" si="12"/>
        <v>0</v>
      </c>
      <c r="BC8" s="83">
        <f t="shared" si="21"/>
        <v>0</v>
      </c>
      <c r="BD8" s="84">
        <f t="shared" si="22"/>
        <v>0</v>
      </c>
      <c r="BE8" s="83">
        <f>IF(X8&lt;&gt;0,AVERAGE(X8:X$11)*30,)</f>
        <v>323047.5</v>
      </c>
      <c r="BF8" s="83">
        <f>IF(AD8+AG8&lt;&gt;0,AVERAGE(AD8:AD$11)*30+AVERAGE(AG8:AG$11)*30,)</f>
        <v>44062.5</v>
      </c>
      <c r="BG8" s="84">
        <f>IF(AJ8&lt;&gt;0,AVERAGE(AJ8:AJ$11)*30,)</f>
        <v>5940</v>
      </c>
      <c r="BH8" s="84">
        <f>IF(AN8&lt;&gt;0,AVERAGE(AN8:AN$11)*30,)</f>
        <v>16170</v>
      </c>
      <c r="BI8" s="84">
        <f>IF(AR8&lt;&gt;0,AVERAGE(AR8:AR$11)*30,)</f>
        <v>7380</v>
      </c>
    </row>
    <row r="9" spans="1:61" x14ac:dyDescent="0.35">
      <c r="A9" s="54">
        <f t="shared" si="13"/>
        <v>5</v>
      </c>
      <c r="B9" s="55" t="s">
        <v>69</v>
      </c>
      <c r="C9" s="10"/>
      <c r="D9" s="6">
        <v>356805</v>
      </c>
      <c r="E9" s="10">
        <f t="shared" si="23"/>
        <v>532</v>
      </c>
      <c r="F9" s="6">
        <v>7089</v>
      </c>
      <c r="G9" s="8">
        <f t="shared" si="0"/>
        <v>1</v>
      </c>
      <c r="H9" s="6">
        <v>109053</v>
      </c>
      <c r="I9" s="8">
        <f t="shared" si="1"/>
        <v>158</v>
      </c>
      <c r="J9" s="46">
        <v>623173</v>
      </c>
      <c r="K9" s="8">
        <f t="shared" si="2"/>
        <v>150</v>
      </c>
      <c r="L9" s="62"/>
      <c r="M9" s="11" t="e">
        <f t="shared" si="3"/>
        <v>#DIV/0!</v>
      </c>
      <c r="N9" s="14">
        <v>14958</v>
      </c>
      <c r="O9" s="8">
        <f t="shared" si="4"/>
        <v>6</v>
      </c>
      <c r="P9" s="6">
        <v>98525</v>
      </c>
      <c r="Q9" s="9">
        <f t="shared" si="5"/>
        <v>24</v>
      </c>
      <c r="R9" s="12">
        <v>42</v>
      </c>
      <c r="S9" s="9">
        <f t="shared" si="6"/>
        <v>0</v>
      </c>
      <c r="T9" s="6">
        <v>204552</v>
      </c>
      <c r="U9" s="9">
        <f t="shared" si="7"/>
        <v>48</v>
      </c>
      <c r="V9" s="13"/>
      <c r="W9" s="8">
        <f t="shared" si="8"/>
        <v>0</v>
      </c>
      <c r="X9" s="81">
        <v>10939</v>
      </c>
      <c r="Y9" s="56"/>
      <c r="Z9" s="8">
        <f t="shared" si="14"/>
        <v>0</v>
      </c>
      <c r="AA9" s="81">
        <v>2128</v>
      </c>
      <c r="AB9" s="6"/>
      <c r="AC9" s="9">
        <f t="shared" si="15"/>
        <v>0</v>
      </c>
      <c r="AD9" s="81">
        <v>221</v>
      </c>
      <c r="AE9" s="12"/>
      <c r="AF9" s="9">
        <f t="shared" si="16"/>
        <v>0</v>
      </c>
      <c r="AG9" s="81">
        <v>1330</v>
      </c>
      <c r="AH9" s="6"/>
      <c r="AI9" s="8">
        <f t="shared" si="17"/>
        <v>0</v>
      </c>
      <c r="AJ9" s="81">
        <v>184</v>
      </c>
      <c r="AK9" s="46"/>
      <c r="AL9" s="6"/>
      <c r="AM9" s="8">
        <f t="shared" si="9"/>
        <v>0</v>
      </c>
      <c r="AN9" s="46">
        <v>551</v>
      </c>
      <c r="AO9" s="7"/>
      <c r="AP9" s="6"/>
      <c r="AQ9" s="8">
        <f t="shared" si="18"/>
        <v>0</v>
      </c>
      <c r="AR9" s="46">
        <v>184</v>
      </c>
      <c r="AS9" s="6">
        <v>4</v>
      </c>
      <c r="AT9" s="6">
        <v>15</v>
      </c>
      <c r="AU9" s="7"/>
      <c r="AV9" s="13"/>
      <c r="AW9" s="82">
        <f t="shared" si="10"/>
        <v>0</v>
      </c>
      <c r="AX9" s="12">
        <v>566</v>
      </c>
      <c r="AY9" s="9">
        <f t="shared" si="11"/>
        <v>0</v>
      </c>
      <c r="AZ9" s="83">
        <f t="shared" si="19"/>
        <v>3192</v>
      </c>
      <c r="BA9" s="83">
        <f t="shared" si="20"/>
        <v>6</v>
      </c>
      <c r="BB9" s="83">
        <f t="shared" si="12"/>
        <v>948</v>
      </c>
      <c r="BC9" s="83">
        <f t="shared" si="21"/>
        <v>36</v>
      </c>
      <c r="BD9" s="84">
        <f t="shared" si="22"/>
        <v>0</v>
      </c>
      <c r="BE9" s="83">
        <f>IF(X9&lt;&gt;0,AVERAGE(X9:X$11)*30,)</f>
        <v>321060</v>
      </c>
      <c r="BF9" s="83">
        <f>IF(AD9+AG9&lt;&gt;0,AVERAGE(AD9:AD$11)*30+AVERAGE(AG9:AG$11)*30,)</f>
        <v>44270</v>
      </c>
      <c r="BG9" s="84">
        <f>IF(AJ9&lt;&gt;0,AVERAGE(AJ9:AJ$11)*30,)</f>
        <v>6160</v>
      </c>
      <c r="BH9" s="84">
        <f>IF(AN9&lt;&gt;0,AVERAGE(AN9:AN$11)*30,)</f>
        <v>16490</v>
      </c>
      <c r="BI9" s="84">
        <f>IF(AR9&lt;&gt;0,AVERAGE(AR9:AR$11)*30,)</f>
        <v>7280</v>
      </c>
    </row>
    <row r="10" spans="1:61" x14ac:dyDescent="0.35">
      <c r="A10" s="54">
        <f t="shared" si="13"/>
        <v>6</v>
      </c>
      <c r="B10" s="55" t="s">
        <v>69</v>
      </c>
      <c r="C10" s="10"/>
      <c r="D10" s="6">
        <v>357649</v>
      </c>
      <c r="E10" s="10">
        <f t="shared" si="23"/>
        <v>844</v>
      </c>
      <c r="F10" s="6">
        <v>7090</v>
      </c>
      <c r="G10" s="8">
        <f t="shared" si="0"/>
        <v>1</v>
      </c>
      <c r="H10" s="6">
        <v>109223</v>
      </c>
      <c r="I10" s="8">
        <f t="shared" si="1"/>
        <v>170</v>
      </c>
      <c r="J10" s="46">
        <v>623335</v>
      </c>
      <c r="K10" s="8">
        <f t="shared" si="2"/>
        <v>162</v>
      </c>
      <c r="L10" s="62"/>
      <c r="M10" s="11" t="e">
        <f t="shared" si="3"/>
        <v>#DIV/0!</v>
      </c>
      <c r="N10" s="14">
        <v>14965</v>
      </c>
      <c r="O10" s="8">
        <f t="shared" si="4"/>
        <v>7</v>
      </c>
      <c r="P10" s="6">
        <v>98547</v>
      </c>
      <c r="Q10" s="9">
        <f t="shared" si="5"/>
        <v>22</v>
      </c>
      <c r="R10" s="12">
        <v>42</v>
      </c>
      <c r="S10" s="9">
        <f t="shared" si="6"/>
        <v>0</v>
      </c>
      <c r="T10" s="6">
        <v>204601</v>
      </c>
      <c r="U10" s="9">
        <f t="shared" si="7"/>
        <v>49</v>
      </c>
      <c r="V10" s="13"/>
      <c r="W10" s="8">
        <f t="shared" si="8"/>
        <v>0</v>
      </c>
      <c r="X10" s="81">
        <v>10672</v>
      </c>
      <c r="Y10" s="56"/>
      <c r="Z10" s="8">
        <f t="shared" si="14"/>
        <v>0</v>
      </c>
      <c r="AA10" s="81">
        <v>2088</v>
      </c>
      <c r="AB10" s="6"/>
      <c r="AC10" s="9">
        <f t="shared" si="15"/>
        <v>0</v>
      </c>
      <c r="AD10" s="81">
        <v>214</v>
      </c>
      <c r="AE10" s="12"/>
      <c r="AF10" s="9">
        <f t="shared" si="16"/>
        <v>0</v>
      </c>
      <c r="AG10" s="81">
        <v>1295</v>
      </c>
      <c r="AH10" s="6"/>
      <c r="AI10" s="8">
        <f t="shared" si="17"/>
        <v>0</v>
      </c>
      <c r="AJ10" s="81">
        <v>232</v>
      </c>
      <c r="AK10" s="46"/>
      <c r="AL10" s="6"/>
      <c r="AM10" s="8">
        <f t="shared" si="9"/>
        <v>0</v>
      </c>
      <c r="AN10" s="46">
        <v>567</v>
      </c>
      <c r="AO10" s="7"/>
      <c r="AP10" s="6"/>
      <c r="AQ10" s="8">
        <f t="shared" si="18"/>
        <v>0</v>
      </c>
      <c r="AR10" s="46">
        <v>264</v>
      </c>
      <c r="AS10" s="6">
        <v>3</v>
      </c>
      <c r="AT10" s="6">
        <v>17</v>
      </c>
      <c r="AU10" s="7"/>
      <c r="AV10" s="13"/>
      <c r="AW10" s="82">
        <f t="shared" si="10"/>
        <v>0</v>
      </c>
      <c r="AX10" s="12">
        <v>567</v>
      </c>
      <c r="AY10" s="9">
        <f t="shared" si="11"/>
        <v>1</v>
      </c>
      <c r="AZ10" s="83">
        <f t="shared" si="19"/>
        <v>6880</v>
      </c>
      <c r="BA10" s="83">
        <f t="shared" si="20"/>
        <v>10</v>
      </c>
      <c r="BB10" s="83">
        <f t="shared" si="12"/>
        <v>1640</v>
      </c>
      <c r="BC10" s="83">
        <f t="shared" si="21"/>
        <v>65</v>
      </c>
      <c r="BD10" s="84">
        <f t="shared" si="22"/>
        <v>0</v>
      </c>
      <c r="BE10" s="83">
        <f>IF(X10&lt;&gt;0,AVERAGE(X10:X$11)*30,)</f>
        <v>317505</v>
      </c>
      <c r="BF10" s="83">
        <f>IF(AD10+AG10&lt;&gt;0,AVERAGE(AD10:AD$11)*30+AVERAGE(AG10:AG$11)*30,)</f>
        <v>43140</v>
      </c>
      <c r="BG10" s="84">
        <f>IF(AJ10&lt;&gt;0,AVERAGE(AJ10:AJ$11)*30,)</f>
        <v>6480</v>
      </c>
      <c r="BH10" s="84">
        <f>IF(AN10&lt;&gt;0,AVERAGE(AN10:AN$11)*30,)</f>
        <v>16470</v>
      </c>
      <c r="BI10" s="84">
        <f>IF(AR10&lt;&gt;0,AVERAGE(AR10:AR$11)*30,)</f>
        <v>8160</v>
      </c>
    </row>
    <row r="11" spans="1:61" x14ac:dyDescent="0.35">
      <c r="A11" s="54">
        <f t="shared" si="13"/>
        <v>7</v>
      </c>
      <c r="B11" s="55" t="s">
        <v>69</v>
      </c>
      <c r="C11" s="10"/>
      <c r="D11" s="6">
        <v>358319</v>
      </c>
      <c r="E11" s="8">
        <f t="shared" si="23"/>
        <v>670</v>
      </c>
      <c r="F11" s="6">
        <v>7090</v>
      </c>
      <c r="G11" s="8">
        <f t="shared" si="0"/>
        <v>0</v>
      </c>
      <c r="H11" s="6">
        <v>109397</v>
      </c>
      <c r="I11" s="8">
        <f t="shared" si="1"/>
        <v>174</v>
      </c>
      <c r="J11" s="46">
        <v>623500</v>
      </c>
      <c r="K11" s="8">
        <f t="shared" si="2"/>
        <v>165</v>
      </c>
      <c r="L11" s="62"/>
      <c r="M11" s="11" t="e">
        <f t="shared" si="3"/>
        <v>#DIV/0!</v>
      </c>
      <c r="N11" s="14">
        <v>14971</v>
      </c>
      <c r="O11" s="8">
        <f t="shared" si="4"/>
        <v>6</v>
      </c>
      <c r="P11" s="6">
        <v>98569</v>
      </c>
      <c r="Q11" s="9">
        <f t="shared" si="5"/>
        <v>22</v>
      </c>
      <c r="R11" s="12">
        <v>42</v>
      </c>
      <c r="S11" s="9">
        <f t="shared" si="6"/>
        <v>0</v>
      </c>
      <c r="T11" s="6">
        <v>204648</v>
      </c>
      <c r="U11" s="9">
        <f t="shared" si="7"/>
        <v>47</v>
      </c>
      <c r="V11" s="13"/>
      <c r="W11" s="8">
        <f t="shared" si="8"/>
        <v>0</v>
      </c>
      <c r="X11" s="81">
        <v>10495</v>
      </c>
      <c r="Y11" s="56"/>
      <c r="Z11" s="8">
        <f t="shared" si="14"/>
        <v>0</v>
      </c>
      <c r="AA11" s="81">
        <v>1759</v>
      </c>
      <c r="AB11" s="6"/>
      <c r="AC11" s="9">
        <f t="shared" si="15"/>
        <v>0</v>
      </c>
      <c r="AD11" s="81">
        <v>219</v>
      </c>
      <c r="AE11" s="12"/>
      <c r="AF11" s="9">
        <f t="shared" si="16"/>
        <v>0</v>
      </c>
      <c r="AG11" s="81">
        <v>1148</v>
      </c>
      <c r="AH11" s="6"/>
      <c r="AI11" s="8">
        <f t="shared" si="17"/>
        <v>0</v>
      </c>
      <c r="AJ11" s="81">
        <v>200</v>
      </c>
      <c r="AK11" s="46"/>
      <c r="AL11" s="6"/>
      <c r="AM11" s="8">
        <f t="shared" si="9"/>
        <v>0</v>
      </c>
      <c r="AN11" s="46">
        <v>531</v>
      </c>
      <c r="AO11" s="7"/>
      <c r="AP11" s="6"/>
      <c r="AQ11" s="8">
        <f t="shared" si="18"/>
        <v>0</v>
      </c>
      <c r="AR11" s="46">
        <v>280</v>
      </c>
      <c r="AS11" s="6">
        <v>9</v>
      </c>
      <c r="AT11" s="6">
        <v>16</v>
      </c>
      <c r="AU11" s="7"/>
      <c r="AV11" s="13"/>
      <c r="AW11" s="82">
        <f t="shared" si="10"/>
        <v>0</v>
      </c>
      <c r="AX11" s="64">
        <v>567</v>
      </c>
      <c r="AY11" s="9">
        <f t="shared" si="11"/>
        <v>0</v>
      </c>
      <c r="AZ11" s="83">
        <f t="shared" si="19"/>
        <v>8768.5714285714275</v>
      </c>
      <c r="BA11" s="83">
        <f t="shared" si="20"/>
        <v>8.5714285714285712</v>
      </c>
      <c r="BB11" s="83">
        <f t="shared" si="12"/>
        <v>2151.4285714285711</v>
      </c>
      <c r="BC11" s="83">
        <f t="shared" si="21"/>
        <v>81.428571428571431</v>
      </c>
      <c r="BD11" s="84">
        <f t="shared" si="22"/>
        <v>0</v>
      </c>
      <c r="BE11" s="83">
        <f>IF(X11&lt;&gt;0,AVERAGE(X$11:X11)*30,)</f>
        <v>314850</v>
      </c>
      <c r="BF11" s="83">
        <f>IF(AD11+AG11&lt;&gt;0,AVERAGE(AD$11:AD11)*30+AVERAGE(AG$11:AG11)*30,)</f>
        <v>41010</v>
      </c>
      <c r="BG11" s="84">
        <f>IF(AJ11&lt;&gt;0,AVERAGE(AJ$11:AJ11)*30,)</f>
        <v>6000</v>
      </c>
      <c r="BH11" s="84">
        <f>IF(AN11&lt;&gt;0,AVERAGE(AN$11:AN11)*30,)</f>
        <v>15930</v>
      </c>
      <c r="BI11" s="84">
        <f>IF(AR11&lt;&gt;0,AVERAGE(AR$11:AR11)*30,)</f>
        <v>8400</v>
      </c>
    </row>
    <row r="12" spans="1:61" x14ac:dyDescent="0.35">
      <c r="A12" s="54">
        <f t="shared" si="13"/>
        <v>8</v>
      </c>
      <c r="B12" s="55" t="s">
        <v>69</v>
      </c>
      <c r="C12" s="10"/>
      <c r="D12" s="6">
        <v>358805</v>
      </c>
      <c r="E12" s="8">
        <f t="shared" si="23"/>
        <v>486</v>
      </c>
      <c r="F12" s="6">
        <v>7091</v>
      </c>
      <c r="G12" s="8">
        <f t="shared" si="0"/>
        <v>1</v>
      </c>
      <c r="H12" s="6">
        <v>109647</v>
      </c>
      <c r="I12" s="8">
        <f t="shared" si="1"/>
        <v>250</v>
      </c>
      <c r="J12" s="46">
        <v>623739</v>
      </c>
      <c r="K12" s="8">
        <f t="shared" si="2"/>
        <v>239</v>
      </c>
      <c r="L12" s="62"/>
      <c r="M12" s="11" t="e">
        <f t="shared" si="3"/>
        <v>#DIV/0!</v>
      </c>
      <c r="N12" s="85">
        <v>14976</v>
      </c>
      <c r="O12" s="8">
        <f t="shared" si="4"/>
        <v>5</v>
      </c>
      <c r="P12" s="6">
        <v>98657</v>
      </c>
      <c r="Q12" s="9">
        <f t="shared" si="5"/>
        <v>88</v>
      </c>
      <c r="R12" s="12">
        <v>42</v>
      </c>
      <c r="S12" s="9">
        <f t="shared" si="6"/>
        <v>0</v>
      </c>
      <c r="T12" s="6">
        <v>204767</v>
      </c>
      <c r="U12" s="9">
        <f t="shared" si="7"/>
        <v>119</v>
      </c>
      <c r="V12" s="13"/>
      <c r="W12" s="8">
        <f t="shared" si="8"/>
        <v>0</v>
      </c>
      <c r="X12" s="81">
        <v>10643</v>
      </c>
      <c r="Y12" s="56"/>
      <c r="Z12" s="8">
        <f t="shared" si="14"/>
        <v>0</v>
      </c>
      <c r="AA12" s="81">
        <v>1718</v>
      </c>
      <c r="AB12" s="6"/>
      <c r="AC12" s="9">
        <f t="shared" si="15"/>
        <v>0</v>
      </c>
      <c r="AD12" s="81">
        <v>217</v>
      </c>
      <c r="AE12" s="12"/>
      <c r="AF12" s="9">
        <f t="shared" si="16"/>
        <v>0</v>
      </c>
      <c r="AG12" s="81">
        <v>1179</v>
      </c>
      <c r="AH12" s="6"/>
      <c r="AI12" s="8">
        <f t="shared" si="17"/>
        <v>0</v>
      </c>
      <c r="AJ12" s="81">
        <v>216</v>
      </c>
      <c r="AK12" s="46"/>
      <c r="AL12" s="6"/>
      <c r="AM12" s="8">
        <f t="shared" si="9"/>
        <v>0</v>
      </c>
      <c r="AN12" s="46">
        <v>517</v>
      </c>
      <c r="AO12" s="7"/>
      <c r="AP12" s="6"/>
      <c r="AQ12" s="8">
        <f t="shared" si="18"/>
        <v>0</v>
      </c>
      <c r="AR12" s="46">
        <v>256</v>
      </c>
      <c r="AS12" s="6">
        <v>8</v>
      </c>
      <c r="AT12" s="6">
        <v>17</v>
      </c>
      <c r="AU12" s="7"/>
      <c r="AV12" s="13"/>
      <c r="AW12" s="82">
        <f t="shared" si="10"/>
        <v>0</v>
      </c>
      <c r="AX12" s="12">
        <v>567</v>
      </c>
      <c r="AY12" s="9">
        <f t="shared" si="11"/>
        <v>0</v>
      </c>
      <c r="AZ12" s="83">
        <f t="shared" si="19"/>
        <v>9495</v>
      </c>
      <c r="BA12" s="83">
        <f t="shared" si="20"/>
        <v>11.25</v>
      </c>
      <c r="BB12" s="83">
        <f t="shared" si="12"/>
        <v>2820</v>
      </c>
      <c r="BC12" s="83">
        <f t="shared" si="21"/>
        <v>90</v>
      </c>
      <c r="BD12" s="84">
        <f t="shared" si="22"/>
        <v>0</v>
      </c>
      <c r="BE12" s="83">
        <f>IF(X12&lt;&gt;0,AVERAGE(X$11:X12)*30,)</f>
        <v>317070</v>
      </c>
      <c r="BF12" s="83">
        <f>IF(AD12+AG12&lt;&gt;0,AVERAGE(AD$11:AD12)*30+AVERAGE(AG$11:AG12)*30,)</f>
        <v>41445</v>
      </c>
      <c r="BG12" s="84">
        <f>IF(AJ12&lt;&gt;0,AVERAGE(AJ$11:AJ12)*30,)</f>
        <v>6240</v>
      </c>
      <c r="BH12" s="84">
        <f>IF(AN12&lt;&gt;0,AVERAGE(AN$11:AN12)*30,)</f>
        <v>15720</v>
      </c>
      <c r="BI12" s="84">
        <f>IF(AR12&lt;&gt;0,AVERAGE(AR$11:AR12)*30,)</f>
        <v>8040</v>
      </c>
    </row>
    <row r="13" spans="1:61" x14ac:dyDescent="0.35">
      <c r="A13" s="54">
        <v>9</v>
      </c>
      <c r="B13" s="55" t="s">
        <v>69</v>
      </c>
      <c r="C13" s="10" t="s">
        <v>72</v>
      </c>
      <c r="D13" s="6">
        <v>359280</v>
      </c>
      <c r="E13" s="8">
        <f t="shared" si="23"/>
        <v>475</v>
      </c>
      <c r="F13" s="6">
        <v>7091</v>
      </c>
      <c r="G13" s="8">
        <f t="shared" si="0"/>
        <v>0</v>
      </c>
      <c r="H13" s="6">
        <v>109929</v>
      </c>
      <c r="I13" s="8">
        <f t="shared" si="1"/>
        <v>282</v>
      </c>
      <c r="J13" s="46">
        <v>624010</v>
      </c>
      <c r="K13" s="8">
        <f t="shared" si="2"/>
        <v>271</v>
      </c>
      <c r="L13" s="62"/>
      <c r="M13" s="11" t="e">
        <f t="shared" si="3"/>
        <v>#DIV/0!</v>
      </c>
      <c r="N13" s="85">
        <v>14981</v>
      </c>
      <c r="O13" s="8">
        <f t="shared" si="4"/>
        <v>5</v>
      </c>
      <c r="P13" s="6">
        <v>98763</v>
      </c>
      <c r="Q13" s="9">
        <f t="shared" si="5"/>
        <v>106</v>
      </c>
      <c r="R13" s="12">
        <v>42</v>
      </c>
      <c r="S13" s="9">
        <f t="shared" si="6"/>
        <v>0</v>
      </c>
      <c r="T13" s="6">
        <v>204906</v>
      </c>
      <c r="U13" s="9">
        <f t="shared" si="7"/>
        <v>139</v>
      </c>
      <c r="V13" s="13"/>
      <c r="W13" s="8">
        <f t="shared" si="8"/>
        <v>0</v>
      </c>
      <c r="X13" s="81">
        <v>11120</v>
      </c>
      <c r="Y13" s="56"/>
      <c r="Z13" s="8">
        <f t="shared" si="14"/>
        <v>0</v>
      </c>
      <c r="AA13" s="81">
        <v>1990</v>
      </c>
      <c r="AB13" s="6"/>
      <c r="AC13" s="9">
        <f t="shared" si="15"/>
        <v>0</v>
      </c>
      <c r="AD13" s="81">
        <v>214</v>
      </c>
      <c r="AE13" s="12"/>
      <c r="AF13" s="9">
        <f t="shared" si="16"/>
        <v>0</v>
      </c>
      <c r="AG13" s="81">
        <v>1288</v>
      </c>
      <c r="AH13" s="6"/>
      <c r="AI13" s="8">
        <f t="shared" si="17"/>
        <v>0</v>
      </c>
      <c r="AJ13" s="81">
        <v>208</v>
      </c>
      <c r="AK13" s="46"/>
      <c r="AL13" s="6"/>
      <c r="AM13" s="8">
        <f t="shared" si="9"/>
        <v>0</v>
      </c>
      <c r="AN13" s="46">
        <v>496</v>
      </c>
      <c r="AO13" s="7"/>
      <c r="AP13" s="6"/>
      <c r="AQ13" s="8">
        <f t="shared" si="18"/>
        <v>0</v>
      </c>
      <c r="AR13" s="46">
        <v>288</v>
      </c>
      <c r="AS13" s="6">
        <v>8</v>
      </c>
      <c r="AT13" s="6">
        <v>15</v>
      </c>
      <c r="AU13" s="7"/>
      <c r="AV13" s="13"/>
      <c r="AW13" s="82">
        <f t="shared" si="10"/>
        <v>0</v>
      </c>
      <c r="AX13" s="86">
        <v>577</v>
      </c>
      <c r="AY13" s="9">
        <f t="shared" si="11"/>
        <v>10</v>
      </c>
      <c r="AZ13" s="83">
        <f t="shared" si="19"/>
        <v>10023.333333333332</v>
      </c>
      <c r="BA13" s="83">
        <f t="shared" si="20"/>
        <v>10</v>
      </c>
      <c r="BB13" s="83">
        <f t="shared" si="12"/>
        <v>3446.6666666666665</v>
      </c>
      <c r="BC13" s="83">
        <f t="shared" si="21"/>
        <v>96.666666666666671</v>
      </c>
      <c r="BD13" s="84">
        <f t="shared" si="22"/>
        <v>0</v>
      </c>
      <c r="BE13" s="83">
        <f>IF(X13&lt;&gt;0,AVERAGE(X$11:X13)*30,)</f>
        <v>322580</v>
      </c>
      <c r="BF13" s="83">
        <f>IF(AD13+AG13&lt;&gt;0,AVERAGE(AD$11:AD13)*30+AVERAGE(AG$11:AG13)*30,)</f>
        <v>42650</v>
      </c>
      <c r="BG13" s="84">
        <f>IF(AJ13&lt;&gt;0,AVERAGE(AJ$11:AJ13)*30,)</f>
        <v>6240</v>
      </c>
      <c r="BH13" s="84">
        <f>IF(AN13&lt;&gt;0,AVERAGE(AN$11:AN13)*30,)</f>
        <v>15439.999999999998</v>
      </c>
      <c r="BI13" s="84">
        <f>IF(AR13&lt;&gt;0,AVERAGE(AR$11:AR13)*30,)</f>
        <v>8240</v>
      </c>
    </row>
    <row r="14" spans="1:61" x14ac:dyDescent="0.35">
      <c r="A14" s="54">
        <f>1+A13</f>
        <v>10</v>
      </c>
      <c r="B14" s="55" t="s">
        <v>69</v>
      </c>
      <c r="C14" s="10"/>
      <c r="D14" s="6">
        <v>359679</v>
      </c>
      <c r="E14" s="8">
        <f t="shared" si="23"/>
        <v>399</v>
      </c>
      <c r="F14" s="6">
        <v>7091</v>
      </c>
      <c r="G14" s="65">
        <f t="shared" si="0"/>
        <v>0</v>
      </c>
      <c r="H14" s="6">
        <v>110199</v>
      </c>
      <c r="I14" s="8">
        <f t="shared" si="1"/>
        <v>270</v>
      </c>
      <c r="J14" s="46">
        <v>624268</v>
      </c>
      <c r="K14" s="8">
        <f t="shared" si="2"/>
        <v>258</v>
      </c>
      <c r="L14" s="62"/>
      <c r="M14" s="11" t="e">
        <f t="shared" si="3"/>
        <v>#DIV/0!</v>
      </c>
      <c r="N14" s="85">
        <v>14986</v>
      </c>
      <c r="O14" s="8">
        <f t="shared" si="4"/>
        <v>5</v>
      </c>
      <c r="P14" s="6">
        <v>98870</v>
      </c>
      <c r="Q14" s="9">
        <f t="shared" si="5"/>
        <v>107</v>
      </c>
      <c r="R14" s="12">
        <v>42</v>
      </c>
      <c r="S14" s="9">
        <f t="shared" si="6"/>
        <v>0</v>
      </c>
      <c r="T14" s="6">
        <v>205042</v>
      </c>
      <c r="U14" s="9">
        <f t="shared" si="7"/>
        <v>136</v>
      </c>
      <c r="V14" s="13">
        <v>5696.3</v>
      </c>
      <c r="W14" s="8">
        <f t="shared" si="8"/>
        <v>12531860</v>
      </c>
      <c r="X14" s="81">
        <v>10837</v>
      </c>
      <c r="Y14" s="56">
        <v>1082.9100000000001</v>
      </c>
      <c r="Z14" s="8">
        <f t="shared" si="14"/>
        <v>2382402</v>
      </c>
      <c r="AA14" s="81">
        <v>1552</v>
      </c>
      <c r="AB14" s="13">
        <v>1778826</v>
      </c>
      <c r="AC14" s="9">
        <f t="shared" si="15"/>
        <v>1778826</v>
      </c>
      <c r="AD14" s="81">
        <v>217</v>
      </c>
      <c r="AE14" s="13">
        <v>5274230</v>
      </c>
      <c r="AF14" s="9">
        <f t="shared" si="16"/>
        <v>5274230</v>
      </c>
      <c r="AG14" s="81">
        <v>1294</v>
      </c>
      <c r="AH14" s="13">
        <v>34282.300000000003</v>
      </c>
      <c r="AI14" s="8">
        <f t="shared" si="17"/>
        <v>2742584</v>
      </c>
      <c r="AJ14" s="81">
        <v>336</v>
      </c>
      <c r="AK14" s="46"/>
      <c r="AL14" s="13">
        <v>251940</v>
      </c>
      <c r="AM14" s="8">
        <f t="shared" si="9"/>
        <v>251940</v>
      </c>
      <c r="AN14" s="46">
        <v>541</v>
      </c>
      <c r="AO14" s="7"/>
      <c r="AP14" s="13">
        <v>47051.3</v>
      </c>
      <c r="AQ14" s="8">
        <f t="shared" si="18"/>
        <v>3764104</v>
      </c>
      <c r="AR14" s="46">
        <v>304</v>
      </c>
      <c r="AS14" s="6">
        <v>9</v>
      </c>
      <c r="AT14" s="6">
        <v>15</v>
      </c>
      <c r="AU14" s="7"/>
      <c r="AV14" s="13"/>
      <c r="AW14" s="82">
        <f t="shared" si="10"/>
        <v>0</v>
      </c>
      <c r="AX14" s="86">
        <v>577</v>
      </c>
      <c r="AY14" s="9">
        <f t="shared" si="11"/>
        <v>0</v>
      </c>
      <c r="AZ14" s="83">
        <f t="shared" si="19"/>
        <v>10218</v>
      </c>
      <c r="BA14" s="83">
        <f t="shared" si="20"/>
        <v>9</v>
      </c>
      <c r="BB14" s="83">
        <f t="shared" si="12"/>
        <v>3912</v>
      </c>
      <c r="BC14" s="83">
        <f t="shared" si="21"/>
        <v>102</v>
      </c>
      <c r="BD14" s="84">
        <f t="shared" si="22"/>
        <v>37595580</v>
      </c>
      <c r="BE14" s="83">
        <f>IF(X14&lt;&gt;0,AVERAGE(X$11:X14)*30,)</f>
        <v>323212.5</v>
      </c>
      <c r="BF14" s="83">
        <f>IF(AD14+AG14&lt;&gt;0,AVERAGE(AD$11:AD14)*30+AVERAGE(AG$11:AG14)*30,)</f>
        <v>43320</v>
      </c>
      <c r="BG14" s="84">
        <f>IF(AJ14&lt;&gt;0,AVERAGE(AJ$11:AJ14)*30,)</f>
        <v>7200</v>
      </c>
      <c r="BH14" s="84">
        <f>IF(AN14&lt;&gt;0,AVERAGE(AN$11:AN14)*30,)</f>
        <v>15637.5</v>
      </c>
      <c r="BI14" s="84">
        <f>IF(AR14&lt;&gt;0,AVERAGE(AR$11:AR14)*30,)</f>
        <v>8460</v>
      </c>
    </row>
    <row r="15" spans="1:61" x14ac:dyDescent="0.35">
      <c r="A15" s="54">
        <f>1+A14</f>
        <v>11</v>
      </c>
      <c r="B15" s="55" t="s">
        <v>69</v>
      </c>
      <c r="C15" s="10"/>
      <c r="D15" s="6">
        <v>360091</v>
      </c>
      <c r="E15" s="8">
        <f t="shared" si="23"/>
        <v>412</v>
      </c>
      <c r="F15" s="6">
        <v>7091</v>
      </c>
      <c r="G15" s="8">
        <f t="shared" si="0"/>
        <v>0</v>
      </c>
      <c r="H15" s="6">
        <v>110471</v>
      </c>
      <c r="I15" s="8">
        <f t="shared" si="1"/>
        <v>272</v>
      </c>
      <c r="J15" s="46">
        <v>624529</v>
      </c>
      <c r="K15" s="8">
        <f t="shared" si="2"/>
        <v>261</v>
      </c>
      <c r="L15" s="62"/>
      <c r="M15" s="11" t="e">
        <f t="shared" si="3"/>
        <v>#DIV/0!</v>
      </c>
      <c r="N15" s="14">
        <v>14991</v>
      </c>
      <c r="O15" s="8">
        <f t="shared" si="4"/>
        <v>5</v>
      </c>
      <c r="P15" s="6">
        <v>98977</v>
      </c>
      <c r="Q15" s="9">
        <f t="shared" si="5"/>
        <v>107</v>
      </c>
      <c r="R15" s="12">
        <v>42</v>
      </c>
      <c r="S15" s="9">
        <f t="shared" si="6"/>
        <v>0</v>
      </c>
      <c r="T15" s="6">
        <v>205180</v>
      </c>
      <c r="U15" s="9">
        <f t="shared" si="7"/>
        <v>138</v>
      </c>
      <c r="V15" s="13"/>
      <c r="W15" s="8">
        <f t="shared" si="8"/>
        <v>0</v>
      </c>
      <c r="X15" s="81">
        <v>10578</v>
      </c>
      <c r="Y15" s="56"/>
      <c r="Z15" s="8">
        <f t="shared" si="14"/>
        <v>0</v>
      </c>
      <c r="AA15" s="81">
        <v>1681</v>
      </c>
      <c r="AB15" s="6"/>
      <c r="AC15" s="9">
        <f t="shared" si="15"/>
        <v>0</v>
      </c>
      <c r="AD15" s="81">
        <v>225</v>
      </c>
      <c r="AE15" s="12"/>
      <c r="AF15" s="9">
        <f t="shared" si="16"/>
        <v>0</v>
      </c>
      <c r="AG15" s="81">
        <v>1149</v>
      </c>
      <c r="AH15" s="6"/>
      <c r="AI15" s="8">
        <f t="shared" si="17"/>
        <v>0</v>
      </c>
      <c r="AJ15" s="81">
        <v>176</v>
      </c>
      <c r="AK15" s="46"/>
      <c r="AL15" s="6"/>
      <c r="AM15" s="8">
        <f t="shared" si="9"/>
        <v>0</v>
      </c>
      <c r="AN15" s="46">
        <v>544</v>
      </c>
      <c r="AO15" s="7"/>
      <c r="AP15" s="6"/>
      <c r="AQ15" s="8">
        <f t="shared" si="18"/>
        <v>0</v>
      </c>
      <c r="AR15" s="46">
        <v>304</v>
      </c>
      <c r="AS15" s="6">
        <v>10</v>
      </c>
      <c r="AT15" s="6">
        <v>18</v>
      </c>
      <c r="AU15" s="7"/>
      <c r="AV15" s="13"/>
      <c r="AW15" s="82">
        <f t="shared" si="10"/>
        <v>0</v>
      </c>
      <c r="AX15" s="86">
        <v>577</v>
      </c>
      <c r="AY15" s="9">
        <f t="shared" si="11"/>
        <v>0</v>
      </c>
      <c r="AZ15" s="83">
        <f t="shared" si="19"/>
        <v>10412.727272727272</v>
      </c>
      <c r="BA15" s="83">
        <f t="shared" si="20"/>
        <v>8.1818181818181817</v>
      </c>
      <c r="BB15" s="83">
        <f t="shared" si="12"/>
        <v>4298.181818181818</v>
      </c>
      <c r="BC15" s="83">
        <f t="shared" si="21"/>
        <v>106.36363636363636</v>
      </c>
      <c r="BD15" s="84">
        <f t="shared" si="22"/>
        <v>0</v>
      </c>
      <c r="BE15" s="83">
        <f>IF(X15&lt;&gt;0,AVERAGE(X$11:X15)*30,)</f>
        <v>322038</v>
      </c>
      <c r="BF15" s="83">
        <f>IF(AD15+AG15&lt;&gt;0,AVERAGE(AD$11:AD15)*30+AVERAGE(AG$11:AG15)*30,)</f>
        <v>42900</v>
      </c>
      <c r="BG15" s="84">
        <f>IF(AJ15&lt;&gt;0,AVERAGE(AJ$11:AJ15)*30,)</f>
        <v>6816</v>
      </c>
      <c r="BH15" s="84">
        <f>IF(AN15&lt;&gt;0,AVERAGE(AN$11:AN15)*30,)</f>
        <v>15773.999999999998</v>
      </c>
      <c r="BI15" s="84">
        <f>IF(AR15&lt;&gt;0,AVERAGE(AR$11:AR15)*30,)</f>
        <v>8592</v>
      </c>
    </row>
    <row r="16" spans="1:61" x14ac:dyDescent="0.35">
      <c r="A16" s="54">
        <f>1+A15</f>
        <v>12</v>
      </c>
      <c r="B16" s="55" t="s">
        <v>69</v>
      </c>
      <c r="C16" s="10"/>
      <c r="D16" s="6">
        <v>360633</v>
      </c>
      <c r="E16" s="8">
        <f t="shared" si="23"/>
        <v>542</v>
      </c>
      <c r="F16" s="6">
        <v>7091</v>
      </c>
      <c r="G16" s="8">
        <f t="shared" si="0"/>
        <v>0</v>
      </c>
      <c r="H16" s="6">
        <v>110732</v>
      </c>
      <c r="I16" s="8">
        <f t="shared" si="1"/>
        <v>261</v>
      </c>
      <c r="J16" s="46">
        <v>624779</v>
      </c>
      <c r="K16" s="8">
        <f t="shared" si="2"/>
        <v>250</v>
      </c>
      <c r="L16" s="62"/>
      <c r="M16" s="11" t="e">
        <f t="shared" si="3"/>
        <v>#DIV/0!</v>
      </c>
      <c r="N16" s="14">
        <v>14995</v>
      </c>
      <c r="O16" s="8">
        <f t="shared" si="4"/>
        <v>4</v>
      </c>
      <c r="P16" s="6">
        <v>99066</v>
      </c>
      <c r="Q16" s="9">
        <f>IF(ISBLANK(P16),0,P16-P15)</f>
        <v>89</v>
      </c>
      <c r="R16" s="12">
        <v>42</v>
      </c>
      <c r="S16" s="9">
        <f>IF(ISBLANK(R16),0,R16-R15)</f>
        <v>0</v>
      </c>
      <c r="T16" s="6">
        <v>205298</v>
      </c>
      <c r="U16" s="9">
        <f t="shared" si="7"/>
        <v>118</v>
      </c>
      <c r="V16" s="13"/>
      <c r="W16" s="8">
        <f t="shared" si="8"/>
        <v>0</v>
      </c>
      <c r="X16" s="81">
        <v>10527</v>
      </c>
      <c r="Y16" s="56"/>
      <c r="Z16" s="8">
        <f t="shared" si="14"/>
        <v>0</v>
      </c>
      <c r="AA16" s="81">
        <v>1583</v>
      </c>
      <c r="AB16" s="6"/>
      <c r="AC16" s="9">
        <f t="shared" si="15"/>
        <v>0</v>
      </c>
      <c r="AD16" s="81">
        <v>231</v>
      </c>
      <c r="AE16" s="12"/>
      <c r="AF16" s="9">
        <f t="shared" si="16"/>
        <v>0</v>
      </c>
      <c r="AG16" s="81">
        <v>1384</v>
      </c>
      <c r="AH16" s="6"/>
      <c r="AI16" s="8">
        <f t="shared" si="17"/>
        <v>0</v>
      </c>
      <c r="AJ16" s="81">
        <v>216</v>
      </c>
      <c r="AK16" s="46"/>
      <c r="AL16" s="6"/>
      <c r="AM16" s="8">
        <f t="shared" si="9"/>
        <v>0</v>
      </c>
      <c r="AN16" s="46">
        <v>552</v>
      </c>
      <c r="AO16" s="7"/>
      <c r="AP16" s="6"/>
      <c r="AQ16" s="8">
        <f t="shared" si="18"/>
        <v>0</v>
      </c>
      <c r="AR16" s="46">
        <v>320</v>
      </c>
      <c r="AS16" s="6">
        <v>12</v>
      </c>
      <c r="AT16" s="6">
        <v>18</v>
      </c>
      <c r="AU16" s="7"/>
      <c r="AV16" s="13"/>
      <c r="AW16" s="82">
        <f t="shared" si="10"/>
        <v>0</v>
      </c>
      <c r="AX16" s="12">
        <v>585</v>
      </c>
      <c r="AY16" s="9">
        <f t="shared" si="11"/>
        <v>8</v>
      </c>
      <c r="AZ16" s="83">
        <f t="shared" si="19"/>
        <v>10900</v>
      </c>
      <c r="BA16" s="83">
        <f t="shared" si="20"/>
        <v>7.5</v>
      </c>
      <c r="BB16" s="83">
        <f t="shared" si="12"/>
        <v>4592.5</v>
      </c>
      <c r="BC16" s="83">
        <f t="shared" si="21"/>
        <v>107.5</v>
      </c>
      <c r="BD16" s="84">
        <f t="shared" si="22"/>
        <v>0</v>
      </c>
      <c r="BE16" s="83">
        <f>IF(X16&lt;&gt;0,AVERAGE(X$11:X16)*30,)</f>
        <v>321000</v>
      </c>
      <c r="BF16" s="83">
        <f>IF(AD16+AG16&lt;&gt;0,AVERAGE(AD$11:AD16)*30+AVERAGE(AG$11:AG16)*30,)</f>
        <v>43825</v>
      </c>
      <c r="BG16" s="84">
        <f>IF(AJ16&lt;&gt;0,AVERAGE(AJ$11:AJ16)*30,)</f>
        <v>6760</v>
      </c>
      <c r="BH16" s="84">
        <f>IF(AN16&lt;&gt;0,AVERAGE(AN$11:AN16)*30,)</f>
        <v>15904.999999999998</v>
      </c>
      <c r="BI16" s="84">
        <f>IF(AR16&lt;&gt;0,AVERAGE(AR$11:AR16)*30,)</f>
        <v>8760</v>
      </c>
    </row>
    <row r="17" spans="1:61" x14ac:dyDescent="0.35">
      <c r="A17" s="54">
        <v>13</v>
      </c>
      <c r="B17" s="55" t="s">
        <v>69</v>
      </c>
      <c r="C17" s="10"/>
      <c r="D17" s="6">
        <v>361077</v>
      </c>
      <c r="E17" s="8">
        <f t="shared" si="23"/>
        <v>444</v>
      </c>
      <c r="F17" s="6">
        <v>7091</v>
      </c>
      <c r="G17" s="8">
        <f t="shared" si="0"/>
        <v>0</v>
      </c>
      <c r="H17" s="6">
        <v>110973</v>
      </c>
      <c r="I17" s="8">
        <f t="shared" si="1"/>
        <v>241</v>
      </c>
      <c r="J17" s="46">
        <v>625010</v>
      </c>
      <c r="K17" s="8">
        <f t="shared" si="2"/>
        <v>231</v>
      </c>
      <c r="L17" s="62"/>
      <c r="M17" s="11" t="e">
        <f t="shared" si="3"/>
        <v>#DIV/0!</v>
      </c>
      <c r="N17" s="14">
        <v>15001</v>
      </c>
      <c r="O17" s="8">
        <f t="shared" si="4"/>
        <v>6</v>
      </c>
      <c r="P17" s="6">
        <v>99186</v>
      </c>
      <c r="Q17" s="9">
        <f t="shared" si="5"/>
        <v>120</v>
      </c>
      <c r="R17" s="12">
        <v>42</v>
      </c>
      <c r="S17" s="9">
        <f t="shared" si="6"/>
        <v>0</v>
      </c>
      <c r="T17" s="6">
        <v>205452</v>
      </c>
      <c r="U17" s="9">
        <f t="shared" si="7"/>
        <v>154</v>
      </c>
      <c r="V17" s="13"/>
      <c r="W17" s="8">
        <f t="shared" si="8"/>
        <v>0</v>
      </c>
      <c r="X17" s="81">
        <v>10458</v>
      </c>
      <c r="Y17" s="56"/>
      <c r="Z17" s="8">
        <f t="shared" si="14"/>
        <v>0</v>
      </c>
      <c r="AA17" s="81">
        <v>1540</v>
      </c>
      <c r="AB17" s="6"/>
      <c r="AC17" s="9">
        <f t="shared" si="15"/>
        <v>0</v>
      </c>
      <c r="AD17" s="81">
        <v>229</v>
      </c>
      <c r="AE17" s="12"/>
      <c r="AF17" s="9">
        <f t="shared" si="16"/>
        <v>0</v>
      </c>
      <c r="AG17" s="81">
        <v>1350</v>
      </c>
      <c r="AH17" s="6"/>
      <c r="AI17" s="8">
        <f t="shared" si="17"/>
        <v>0</v>
      </c>
      <c r="AJ17" s="81">
        <v>224</v>
      </c>
      <c r="AK17" s="46"/>
      <c r="AL17" s="6"/>
      <c r="AM17" s="8">
        <f t="shared" si="9"/>
        <v>0</v>
      </c>
      <c r="AN17" s="46">
        <v>566</v>
      </c>
      <c r="AO17" s="7"/>
      <c r="AP17" s="6"/>
      <c r="AQ17" s="8">
        <f t="shared" si="18"/>
        <v>0</v>
      </c>
      <c r="AR17" s="46">
        <v>312</v>
      </c>
      <c r="AS17" s="6">
        <v>8</v>
      </c>
      <c r="AT17" s="6">
        <v>17</v>
      </c>
      <c r="AU17" s="7"/>
      <c r="AV17" s="13"/>
      <c r="AW17" s="82">
        <f t="shared" si="10"/>
        <v>0</v>
      </c>
      <c r="AX17" s="12">
        <v>586</v>
      </c>
      <c r="AY17" s="9">
        <f t="shared" si="11"/>
        <v>1</v>
      </c>
      <c r="AZ17" s="83">
        <f t="shared" si="19"/>
        <v>11086.153846153846</v>
      </c>
      <c r="BA17" s="83">
        <f t="shared" si="20"/>
        <v>6.9230769230769234</v>
      </c>
      <c r="BB17" s="83">
        <f t="shared" si="12"/>
        <v>4795.3846153846152</v>
      </c>
      <c r="BC17" s="83">
        <f t="shared" si="21"/>
        <v>113.07692307692308</v>
      </c>
      <c r="BD17" s="84">
        <f t="shared" si="22"/>
        <v>0</v>
      </c>
      <c r="BE17" s="83">
        <f>IF(X17&lt;&gt;0,AVERAGE(X$11:X17)*30,)</f>
        <v>319962.8571428571</v>
      </c>
      <c r="BF17" s="83">
        <f>IF(AD17+AG17&lt;&gt;0,AVERAGE(AD$11:AD17)*30+AVERAGE(AG$11:AG17)*30,)</f>
        <v>44331.428571428572</v>
      </c>
      <c r="BG17" s="84">
        <f>IF(AJ17&lt;&gt;0,AVERAGE(AJ$11:AJ17)*30,)</f>
        <v>6754.2857142857138</v>
      </c>
      <c r="BH17" s="84">
        <f>IF(AN17&lt;&gt;0,AVERAGE(AN$11:AN17)*30,)</f>
        <v>16058.571428571429</v>
      </c>
      <c r="BI17" s="84">
        <f>IF(AR17&lt;&gt;0,AVERAGE(AR$11:AR17)*30,)</f>
        <v>8845.7142857142844</v>
      </c>
    </row>
    <row r="18" spans="1:61" x14ac:dyDescent="0.35">
      <c r="A18" s="54">
        <f>1+A17</f>
        <v>14</v>
      </c>
      <c r="B18" s="55" t="s">
        <v>69</v>
      </c>
      <c r="C18" s="10"/>
      <c r="D18" s="6">
        <v>361637</v>
      </c>
      <c r="E18" s="8">
        <f t="shared" si="23"/>
        <v>560</v>
      </c>
      <c r="F18" s="6">
        <v>7091</v>
      </c>
      <c r="G18" s="8">
        <f t="shared" si="0"/>
        <v>0</v>
      </c>
      <c r="H18" s="6">
        <v>111248</v>
      </c>
      <c r="I18" s="8">
        <f t="shared" si="1"/>
        <v>275</v>
      </c>
      <c r="J18" s="46">
        <v>625274</v>
      </c>
      <c r="K18" s="8">
        <f t="shared" si="2"/>
        <v>264</v>
      </c>
      <c r="L18" s="62"/>
      <c r="M18" s="11" t="e">
        <f t="shared" si="3"/>
        <v>#DIV/0!</v>
      </c>
      <c r="N18" s="14">
        <v>15006</v>
      </c>
      <c r="O18" s="8">
        <f t="shared" si="4"/>
        <v>5</v>
      </c>
      <c r="P18" s="6">
        <v>99295</v>
      </c>
      <c r="Q18" s="9">
        <f t="shared" si="5"/>
        <v>109</v>
      </c>
      <c r="R18" s="12">
        <v>43</v>
      </c>
      <c r="S18" s="9">
        <f t="shared" si="6"/>
        <v>1</v>
      </c>
      <c r="T18" s="6">
        <v>205591</v>
      </c>
      <c r="U18" s="9">
        <f t="shared" si="7"/>
        <v>139</v>
      </c>
      <c r="V18" s="13"/>
      <c r="W18" s="65">
        <f t="shared" si="8"/>
        <v>0</v>
      </c>
      <c r="X18" s="81">
        <v>10581</v>
      </c>
      <c r="Y18" s="56"/>
      <c r="Z18" s="8">
        <f t="shared" si="14"/>
        <v>0</v>
      </c>
      <c r="AA18" s="81">
        <v>1502</v>
      </c>
      <c r="AB18" s="6"/>
      <c r="AC18" s="9">
        <f t="shared" si="15"/>
        <v>0</v>
      </c>
      <c r="AD18" s="81">
        <v>223</v>
      </c>
      <c r="AE18" s="12"/>
      <c r="AF18" s="9">
        <f t="shared" si="16"/>
        <v>0</v>
      </c>
      <c r="AG18" s="81">
        <v>1230</v>
      </c>
      <c r="AH18" s="6"/>
      <c r="AI18" s="8">
        <f t="shared" si="17"/>
        <v>0</v>
      </c>
      <c r="AJ18" s="81">
        <v>288</v>
      </c>
      <c r="AK18" s="46"/>
      <c r="AL18" s="6"/>
      <c r="AM18" s="8">
        <f t="shared" si="9"/>
        <v>0</v>
      </c>
      <c r="AN18" s="46">
        <v>537</v>
      </c>
      <c r="AO18" s="7"/>
      <c r="AP18" s="6"/>
      <c r="AQ18" s="8">
        <f t="shared" si="18"/>
        <v>0</v>
      </c>
      <c r="AR18" s="46">
        <v>256</v>
      </c>
      <c r="AS18" s="6">
        <v>7</v>
      </c>
      <c r="AT18" s="6">
        <v>10</v>
      </c>
      <c r="AU18" s="7"/>
      <c r="AV18" s="13"/>
      <c r="AW18" s="82">
        <f t="shared" si="10"/>
        <v>0</v>
      </c>
      <c r="AX18" s="12">
        <v>588</v>
      </c>
      <c r="AY18" s="9">
        <f t="shared" si="11"/>
        <v>2</v>
      </c>
      <c r="AZ18" s="83">
        <f t="shared" si="19"/>
        <v>11494.285714285716</v>
      </c>
      <c r="BA18" s="83">
        <f t="shared" si="20"/>
        <v>6.4285714285714279</v>
      </c>
      <c r="BB18" s="83">
        <f t="shared" si="12"/>
        <v>5042.1428571428578</v>
      </c>
      <c r="BC18" s="83">
        <f t="shared" si="21"/>
        <v>115.71428571428572</v>
      </c>
      <c r="BD18" s="84">
        <f t="shared" si="22"/>
        <v>0</v>
      </c>
      <c r="BE18" s="83">
        <f>IF(X18&lt;&gt;0,AVERAGE(X$11:X18)*30,)</f>
        <v>319646.25</v>
      </c>
      <c r="BF18" s="83">
        <f>IF(AD18+AG18&lt;&gt;0,AVERAGE(AD$11:AD18)*30+AVERAGE(AG$11:AG18)*30,)</f>
        <v>44238.75</v>
      </c>
      <c r="BG18" s="84">
        <f>IF(AJ18&lt;&gt;0,AVERAGE(AJ$11:AJ18)*30,)</f>
        <v>6990</v>
      </c>
      <c r="BH18" s="84">
        <f>IF(AN18&lt;&gt;0,AVERAGE(AN$11:AN18)*30,)</f>
        <v>16065</v>
      </c>
      <c r="BI18" s="84">
        <f>IF(AR18&lt;&gt;0,AVERAGE(AR$11:AR18)*30,)</f>
        <v>8700</v>
      </c>
    </row>
    <row r="19" spans="1:61" x14ac:dyDescent="0.35">
      <c r="A19" s="54">
        <f>1+A18</f>
        <v>15</v>
      </c>
      <c r="B19" s="55" t="s">
        <v>69</v>
      </c>
      <c r="C19" s="10"/>
      <c r="D19" s="6">
        <v>362213</v>
      </c>
      <c r="E19" s="8">
        <f t="shared" si="23"/>
        <v>576</v>
      </c>
      <c r="F19" s="6">
        <v>7091</v>
      </c>
      <c r="G19" s="8">
        <f t="shared" si="0"/>
        <v>0</v>
      </c>
      <c r="H19" s="6">
        <v>111499</v>
      </c>
      <c r="I19" s="8">
        <f t="shared" si="1"/>
        <v>251</v>
      </c>
      <c r="J19" s="46">
        <v>625514</v>
      </c>
      <c r="K19" s="8">
        <f t="shared" si="2"/>
        <v>240</v>
      </c>
      <c r="L19" s="62"/>
      <c r="M19" s="11" t="e">
        <f t="shared" si="3"/>
        <v>#DIV/0!</v>
      </c>
      <c r="N19" s="14">
        <v>15011</v>
      </c>
      <c r="O19" s="8">
        <f t="shared" si="4"/>
        <v>5</v>
      </c>
      <c r="P19" s="6">
        <v>99400</v>
      </c>
      <c r="Q19" s="9">
        <f t="shared" si="5"/>
        <v>105</v>
      </c>
      <c r="R19" s="12">
        <v>43</v>
      </c>
      <c r="S19" s="9">
        <f t="shared" si="6"/>
        <v>0</v>
      </c>
      <c r="T19" s="6">
        <v>205725</v>
      </c>
      <c r="U19" s="9">
        <f t="shared" si="7"/>
        <v>134</v>
      </c>
      <c r="V19" s="13"/>
      <c r="W19" s="65">
        <f t="shared" si="8"/>
        <v>0</v>
      </c>
      <c r="X19" s="81">
        <v>10642</v>
      </c>
      <c r="Y19" s="56"/>
      <c r="Z19" s="8">
        <f t="shared" si="14"/>
        <v>0</v>
      </c>
      <c r="AA19" s="81">
        <v>1527</v>
      </c>
      <c r="AB19" s="6"/>
      <c r="AC19" s="9">
        <f t="shared" si="15"/>
        <v>0</v>
      </c>
      <c r="AD19" s="81">
        <v>212</v>
      </c>
      <c r="AE19" s="12"/>
      <c r="AF19" s="9">
        <f t="shared" si="16"/>
        <v>0</v>
      </c>
      <c r="AG19" s="81">
        <v>2524</v>
      </c>
      <c r="AH19" s="6"/>
      <c r="AI19" s="8">
        <f t="shared" si="17"/>
        <v>0</v>
      </c>
      <c r="AJ19" s="81">
        <v>240</v>
      </c>
      <c r="AK19" s="46"/>
      <c r="AL19" s="6"/>
      <c r="AM19" s="8">
        <f t="shared" si="9"/>
        <v>0</v>
      </c>
      <c r="AN19" s="46">
        <v>543</v>
      </c>
      <c r="AO19" s="7"/>
      <c r="AP19" s="6"/>
      <c r="AQ19" s="8">
        <f t="shared" si="18"/>
        <v>0</v>
      </c>
      <c r="AR19" s="46">
        <v>240</v>
      </c>
      <c r="AS19" s="6">
        <v>5</v>
      </c>
      <c r="AT19" s="6">
        <v>9</v>
      </c>
      <c r="AU19" s="7"/>
      <c r="AV19" s="13"/>
      <c r="AW19" s="82">
        <f t="shared" si="10"/>
        <v>0</v>
      </c>
      <c r="AX19" s="12">
        <v>591</v>
      </c>
      <c r="AY19" s="9">
        <f t="shared" si="11"/>
        <v>3</v>
      </c>
      <c r="AZ19" s="83">
        <f t="shared" si="19"/>
        <v>11880</v>
      </c>
      <c r="BA19" s="83">
        <f t="shared" si="20"/>
        <v>6</v>
      </c>
      <c r="BB19" s="83">
        <f t="shared" si="12"/>
        <v>5208</v>
      </c>
      <c r="BC19" s="83">
        <f t="shared" si="21"/>
        <v>118</v>
      </c>
      <c r="BD19" s="84">
        <f t="shared" si="22"/>
        <v>0</v>
      </c>
      <c r="BE19" s="83">
        <f>IF(X19&lt;&gt;0,AVERAGE(X$11:X19)*30,)</f>
        <v>319603.33333333337</v>
      </c>
      <c r="BF19" s="83">
        <f>IF(AD19+AG19&lt;&gt;0,AVERAGE(AD$11:AD19)*30+AVERAGE(AG$11:AG19)*30,)</f>
        <v>48443.333333333336</v>
      </c>
      <c r="BG19" s="84">
        <f>IF(AJ19&lt;&gt;0,AVERAGE(AJ$11:AJ19)*30,)</f>
        <v>7013.333333333333</v>
      </c>
      <c r="BH19" s="84">
        <f>IF(AN19&lt;&gt;0,AVERAGE(AN$11:AN19)*30,)</f>
        <v>16090.000000000002</v>
      </c>
      <c r="BI19" s="84">
        <f>IF(AR19&lt;&gt;0,AVERAGE(AR$11:AR19)*30,)</f>
        <v>8533.3333333333339</v>
      </c>
    </row>
    <row r="20" spans="1:61" x14ac:dyDescent="0.35">
      <c r="A20" s="54">
        <f>1+A19</f>
        <v>16</v>
      </c>
      <c r="B20" s="87" t="s">
        <v>69</v>
      </c>
      <c r="C20" s="10"/>
      <c r="D20" s="6">
        <v>362623</v>
      </c>
      <c r="E20" s="8">
        <f t="shared" si="23"/>
        <v>410</v>
      </c>
      <c r="F20" s="6">
        <v>7093</v>
      </c>
      <c r="G20" s="8">
        <f t="shared" si="0"/>
        <v>2</v>
      </c>
      <c r="H20" s="6">
        <v>111772</v>
      </c>
      <c r="I20" s="8">
        <f t="shared" si="1"/>
        <v>273</v>
      </c>
      <c r="J20" s="46">
        <v>625776</v>
      </c>
      <c r="K20" s="8">
        <f t="shared" si="2"/>
        <v>262</v>
      </c>
      <c r="L20" s="62"/>
      <c r="M20" s="11" t="e">
        <f t="shared" si="3"/>
        <v>#DIV/0!</v>
      </c>
      <c r="N20" s="14">
        <v>15015</v>
      </c>
      <c r="O20" s="8">
        <f t="shared" si="4"/>
        <v>4</v>
      </c>
      <c r="P20" s="6">
        <v>99502</v>
      </c>
      <c r="Q20" s="9">
        <f t="shared" si="5"/>
        <v>102</v>
      </c>
      <c r="R20" s="12">
        <v>43</v>
      </c>
      <c r="S20" s="9">
        <f t="shared" si="6"/>
        <v>0</v>
      </c>
      <c r="T20" s="6">
        <v>205852</v>
      </c>
      <c r="U20" s="9">
        <f t="shared" si="7"/>
        <v>127</v>
      </c>
      <c r="V20" s="13"/>
      <c r="W20" s="8">
        <f t="shared" si="8"/>
        <v>0</v>
      </c>
      <c r="X20" s="81">
        <v>11003</v>
      </c>
      <c r="Y20" s="56"/>
      <c r="Z20" s="8">
        <f t="shared" si="14"/>
        <v>0</v>
      </c>
      <c r="AA20" s="81">
        <v>1793</v>
      </c>
      <c r="AB20" s="6"/>
      <c r="AC20" s="9">
        <f t="shared" si="15"/>
        <v>0</v>
      </c>
      <c r="AD20" s="81">
        <v>220</v>
      </c>
      <c r="AE20" s="12"/>
      <c r="AF20" s="9">
        <f t="shared" si="16"/>
        <v>0</v>
      </c>
      <c r="AG20" s="81">
        <v>1265</v>
      </c>
      <c r="AH20" s="6"/>
      <c r="AI20" s="8">
        <f t="shared" si="17"/>
        <v>0</v>
      </c>
      <c r="AJ20" s="81">
        <v>240</v>
      </c>
      <c r="AK20" s="46"/>
      <c r="AL20" s="6"/>
      <c r="AM20" s="8">
        <f>IF(ISBLANK(AL20),0,AL20-AL19)</f>
        <v>0</v>
      </c>
      <c r="AN20" s="46">
        <v>517</v>
      </c>
      <c r="AO20" s="7"/>
      <c r="AP20" s="6"/>
      <c r="AQ20" s="8">
        <f t="shared" si="18"/>
        <v>0</v>
      </c>
      <c r="AR20" s="46">
        <v>280</v>
      </c>
      <c r="AS20" s="6">
        <v>9</v>
      </c>
      <c r="AT20" s="6">
        <v>12</v>
      </c>
      <c r="AU20" s="7"/>
      <c r="AV20" s="13"/>
      <c r="AW20" s="82">
        <f t="shared" si="10"/>
        <v>0</v>
      </c>
      <c r="AX20" s="12">
        <v>593</v>
      </c>
      <c r="AY20" s="9">
        <f t="shared" si="11"/>
        <v>2</v>
      </c>
      <c r="AZ20" s="83">
        <f t="shared" si="19"/>
        <v>11906.25</v>
      </c>
      <c r="BA20" s="83">
        <f t="shared" si="20"/>
        <v>9.375</v>
      </c>
      <c r="BB20" s="83">
        <f t="shared" si="12"/>
        <v>5394.375</v>
      </c>
      <c r="BC20" s="83">
        <f t="shared" si="21"/>
        <v>118.125</v>
      </c>
      <c r="BD20" s="84">
        <f t="shared" si="22"/>
        <v>0</v>
      </c>
      <c r="BE20" s="83">
        <f>IF(X20&lt;&gt;0,AVERAGE(X$11:X20)*30,)</f>
        <v>320652</v>
      </c>
      <c r="BF20" s="83">
        <f>IF(AD20+AG20&lt;&gt;0,AVERAGE(AD$11:AD20)*30+AVERAGE(AG$11:AG20)*30,)</f>
        <v>48054</v>
      </c>
      <c r="BG20" s="84">
        <f>IF(AJ20&lt;&gt;0,AVERAGE(AJ$11:AJ20)*30,)</f>
        <v>7032</v>
      </c>
      <c r="BH20" s="84">
        <f>IF(AN20&lt;&gt;0,AVERAGE(AN$11:AN20)*30,)</f>
        <v>16032</v>
      </c>
      <c r="BI20" s="84">
        <f>IF(AR20&lt;&gt;0,AVERAGE(AR$11:AR20)*30,)</f>
        <v>8520</v>
      </c>
    </row>
    <row r="21" spans="1:61" x14ac:dyDescent="0.35">
      <c r="A21" s="54">
        <f>1+A20</f>
        <v>17</v>
      </c>
      <c r="B21" s="55" t="s">
        <v>69</v>
      </c>
      <c r="C21" s="10"/>
      <c r="D21" s="6">
        <v>363034</v>
      </c>
      <c r="E21" s="8">
        <f t="shared" si="23"/>
        <v>411</v>
      </c>
      <c r="F21" s="6">
        <v>7094</v>
      </c>
      <c r="G21" s="8">
        <f t="shared" si="0"/>
        <v>1</v>
      </c>
      <c r="H21" s="6">
        <v>112025</v>
      </c>
      <c r="I21" s="8">
        <f t="shared" si="1"/>
        <v>253</v>
      </c>
      <c r="J21" s="46">
        <v>626018</v>
      </c>
      <c r="K21" s="8">
        <f t="shared" si="2"/>
        <v>242</v>
      </c>
      <c r="L21" s="62"/>
      <c r="M21" s="11" t="e">
        <f t="shared" si="3"/>
        <v>#DIV/0!</v>
      </c>
      <c r="N21" s="14">
        <v>15021</v>
      </c>
      <c r="O21" s="8">
        <f t="shared" si="4"/>
        <v>6</v>
      </c>
      <c r="P21" s="6">
        <v>99607</v>
      </c>
      <c r="Q21" s="9">
        <f t="shared" si="5"/>
        <v>105</v>
      </c>
      <c r="R21" s="12">
        <v>43</v>
      </c>
      <c r="S21" s="9">
        <f t="shared" si="6"/>
        <v>0</v>
      </c>
      <c r="T21" s="6">
        <v>205986</v>
      </c>
      <c r="U21" s="9">
        <f t="shared" si="7"/>
        <v>134</v>
      </c>
      <c r="V21" s="13"/>
      <c r="W21" s="8">
        <f t="shared" si="8"/>
        <v>0</v>
      </c>
      <c r="X21" s="81">
        <v>11041</v>
      </c>
      <c r="Y21" s="56"/>
      <c r="Z21" s="8">
        <f t="shared" si="14"/>
        <v>0</v>
      </c>
      <c r="AA21" s="81">
        <v>1780</v>
      </c>
      <c r="AB21" s="6"/>
      <c r="AC21" s="9">
        <f t="shared" si="15"/>
        <v>0</v>
      </c>
      <c r="AD21" s="81">
        <v>223</v>
      </c>
      <c r="AE21" s="12"/>
      <c r="AF21" s="9">
        <f t="shared" si="16"/>
        <v>0</v>
      </c>
      <c r="AG21" s="81">
        <v>1249</v>
      </c>
      <c r="AH21" s="6"/>
      <c r="AI21" s="8">
        <f t="shared" si="17"/>
        <v>0</v>
      </c>
      <c r="AJ21" s="81">
        <v>264</v>
      </c>
      <c r="AK21" s="46"/>
      <c r="AL21" s="6"/>
      <c r="AM21" s="8">
        <f t="shared" si="9"/>
        <v>0</v>
      </c>
      <c r="AN21" s="46">
        <v>490</v>
      </c>
      <c r="AO21" s="7"/>
      <c r="AP21" s="6"/>
      <c r="AQ21" s="8">
        <f t="shared" si="18"/>
        <v>0</v>
      </c>
      <c r="AR21" s="46">
        <v>288</v>
      </c>
      <c r="AS21" s="6">
        <v>6</v>
      </c>
      <c r="AT21" s="6">
        <v>12</v>
      </c>
      <c r="AU21" s="7"/>
      <c r="AV21" s="13"/>
      <c r="AW21" s="82">
        <f t="shared" si="10"/>
        <v>0</v>
      </c>
      <c r="AX21" s="12">
        <v>595</v>
      </c>
      <c r="AY21" s="9">
        <f t="shared" si="11"/>
        <v>2</v>
      </c>
      <c r="AZ21" s="83">
        <f t="shared" si="19"/>
        <v>11931.176470588234</v>
      </c>
      <c r="BA21" s="83">
        <f t="shared" si="20"/>
        <v>10.588235294117649</v>
      </c>
      <c r="BB21" s="83">
        <f t="shared" si="12"/>
        <v>5523.5294117647063</v>
      </c>
      <c r="BC21" s="83">
        <f t="shared" si="21"/>
        <v>121.76470588235293</v>
      </c>
      <c r="BD21" s="84">
        <f t="shared" si="22"/>
        <v>0</v>
      </c>
      <c r="BE21" s="83">
        <f>IF(X21&lt;&gt;0,AVERAGE(X$11:X21)*30,)</f>
        <v>321613.63636363635</v>
      </c>
      <c r="BF21" s="83">
        <f>IF(AD21+AG21&lt;&gt;0,AVERAGE(AD$11:AD21)*30+AVERAGE(AG$11:AG21)*30,)</f>
        <v>47700</v>
      </c>
      <c r="BG21" s="84">
        <f>IF(AJ21&lt;&gt;0,AVERAGE(AJ$11:AJ21)*30,)</f>
        <v>7112.727272727273</v>
      </c>
      <c r="BH21" s="84">
        <f>IF(AN21&lt;&gt;0,AVERAGE(AN$11:AN21)*30,)</f>
        <v>15910.909090909092</v>
      </c>
      <c r="BI21" s="84">
        <f>IF(AR21&lt;&gt;0,AVERAGE(AR$11:AR21)*30,)</f>
        <v>8530.9090909090919</v>
      </c>
    </row>
    <row r="22" spans="1:61" x14ac:dyDescent="0.35">
      <c r="A22" s="54">
        <f>1+A21</f>
        <v>18</v>
      </c>
      <c r="B22" s="55" t="s">
        <v>69</v>
      </c>
      <c r="C22" s="88"/>
      <c r="D22" s="6">
        <v>363294</v>
      </c>
      <c r="E22" s="8">
        <f t="shared" si="23"/>
        <v>260</v>
      </c>
      <c r="F22" s="6">
        <v>7095</v>
      </c>
      <c r="G22" s="8">
        <f t="shared" si="0"/>
        <v>1</v>
      </c>
      <c r="H22" s="6">
        <v>112267</v>
      </c>
      <c r="I22" s="8">
        <f t="shared" si="1"/>
        <v>242</v>
      </c>
      <c r="J22" s="46">
        <v>626251</v>
      </c>
      <c r="K22" s="8">
        <f t="shared" si="2"/>
        <v>233</v>
      </c>
      <c r="L22" s="62"/>
      <c r="M22" s="11" t="e">
        <f t="shared" si="3"/>
        <v>#DIV/0!</v>
      </c>
      <c r="N22" s="14">
        <v>15025</v>
      </c>
      <c r="O22" s="8">
        <f t="shared" si="4"/>
        <v>4</v>
      </c>
      <c r="P22" s="6">
        <v>99712</v>
      </c>
      <c r="Q22" s="9">
        <f t="shared" si="5"/>
        <v>105</v>
      </c>
      <c r="R22" s="12">
        <v>43</v>
      </c>
      <c r="S22" s="9">
        <f t="shared" si="6"/>
        <v>0</v>
      </c>
      <c r="T22" s="6">
        <v>206120</v>
      </c>
      <c r="U22" s="9">
        <f t="shared" si="7"/>
        <v>134</v>
      </c>
      <c r="V22" s="13"/>
      <c r="W22" s="8">
        <f t="shared" si="8"/>
        <v>0</v>
      </c>
      <c r="X22" s="81">
        <v>11248</v>
      </c>
      <c r="Y22" s="56"/>
      <c r="Z22" s="8">
        <f t="shared" si="14"/>
        <v>0</v>
      </c>
      <c r="AA22" s="81">
        <v>1831</v>
      </c>
      <c r="AB22" s="6"/>
      <c r="AC22" s="9">
        <f t="shared" si="15"/>
        <v>0</v>
      </c>
      <c r="AD22" s="81">
        <v>237</v>
      </c>
      <c r="AE22" s="12"/>
      <c r="AF22" s="9">
        <f t="shared" si="16"/>
        <v>0</v>
      </c>
      <c r="AG22" s="81">
        <v>1315</v>
      </c>
      <c r="AH22" s="6"/>
      <c r="AI22" s="8">
        <f t="shared" si="17"/>
        <v>0</v>
      </c>
      <c r="AJ22" s="81">
        <v>152</v>
      </c>
      <c r="AK22" s="46"/>
      <c r="AL22" s="6"/>
      <c r="AM22" s="8">
        <f t="shared" si="9"/>
        <v>0</v>
      </c>
      <c r="AN22" s="46">
        <v>536</v>
      </c>
      <c r="AO22" s="7"/>
      <c r="AP22" s="6"/>
      <c r="AQ22" s="8">
        <f t="shared" si="18"/>
        <v>0</v>
      </c>
      <c r="AR22" s="46">
        <v>264</v>
      </c>
      <c r="AS22" s="6">
        <v>4</v>
      </c>
      <c r="AT22" s="6">
        <v>12</v>
      </c>
      <c r="AU22" s="7"/>
      <c r="AV22" s="13"/>
      <c r="AW22" s="82">
        <f t="shared" si="10"/>
        <v>0</v>
      </c>
      <c r="AX22" s="12">
        <v>599</v>
      </c>
      <c r="AY22" s="9">
        <f t="shared" si="11"/>
        <v>4</v>
      </c>
      <c r="AZ22" s="83">
        <f t="shared" si="19"/>
        <v>11701.666666666666</v>
      </c>
      <c r="BA22" s="83">
        <f t="shared" si="20"/>
        <v>11.666666666666666</v>
      </c>
      <c r="BB22" s="83">
        <f t="shared" si="12"/>
        <v>5620</v>
      </c>
      <c r="BC22" s="83">
        <f t="shared" si="21"/>
        <v>121.66666666666666</v>
      </c>
      <c r="BD22" s="84">
        <f t="shared" si="22"/>
        <v>0</v>
      </c>
      <c r="BE22" s="83">
        <f>IF(X22&lt;&gt;0,AVERAGE(X$11:X22)*30,)</f>
        <v>322932.5</v>
      </c>
      <c r="BF22" s="83">
        <f>IF(AD22+AG22&lt;&gt;0,AVERAGE(AD$11:AD22)*30+AVERAGE(AG$11:AG22)*30,)</f>
        <v>47605</v>
      </c>
      <c r="BG22" s="84">
        <f>IF(AJ22&lt;&gt;0,AVERAGE(AJ$11:AJ22)*30,)</f>
        <v>6900</v>
      </c>
      <c r="BH22" s="84">
        <f>IF(AN22&lt;&gt;0,AVERAGE(AN$11:AN22)*30,)</f>
        <v>15925.000000000002</v>
      </c>
      <c r="BI22" s="84">
        <f>IF(AR22&lt;&gt;0,AVERAGE(AR$11:AR22)*30,)</f>
        <v>8480</v>
      </c>
    </row>
    <row r="23" spans="1:61" x14ac:dyDescent="0.35">
      <c r="A23" s="54">
        <f t="shared" ref="A23:A34" si="24">1+A22</f>
        <v>19</v>
      </c>
      <c r="B23" s="55" t="s">
        <v>69</v>
      </c>
      <c r="C23" s="88"/>
      <c r="D23" s="6">
        <v>363577</v>
      </c>
      <c r="E23" s="8">
        <f t="shared" si="23"/>
        <v>283</v>
      </c>
      <c r="F23" s="6">
        <v>7095</v>
      </c>
      <c r="G23" s="8">
        <f t="shared" si="0"/>
        <v>0</v>
      </c>
      <c r="H23" s="6">
        <v>112499</v>
      </c>
      <c r="I23" s="8">
        <f t="shared" si="1"/>
        <v>232</v>
      </c>
      <c r="J23" s="46">
        <v>626474</v>
      </c>
      <c r="K23" s="8">
        <f t="shared" si="2"/>
        <v>223</v>
      </c>
      <c r="L23" s="62"/>
      <c r="M23" s="11" t="e">
        <f t="shared" si="3"/>
        <v>#DIV/0!</v>
      </c>
      <c r="N23" s="14">
        <v>15029</v>
      </c>
      <c r="O23" s="8">
        <f t="shared" si="4"/>
        <v>4</v>
      </c>
      <c r="P23" s="6">
        <v>99803</v>
      </c>
      <c r="Q23" s="9">
        <f t="shared" si="5"/>
        <v>91</v>
      </c>
      <c r="R23" s="12">
        <v>43</v>
      </c>
      <c r="S23" s="9">
        <f t="shared" si="6"/>
        <v>0</v>
      </c>
      <c r="T23" s="6">
        <v>206237</v>
      </c>
      <c r="U23" s="9">
        <f t="shared" si="7"/>
        <v>117</v>
      </c>
      <c r="V23" s="13"/>
      <c r="W23" s="8">
        <f t="shared" si="8"/>
        <v>0</v>
      </c>
      <c r="X23" s="81">
        <v>11586</v>
      </c>
      <c r="Y23" s="56"/>
      <c r="Z23" s="8">
        <f t="shared" si="14"/>
        <v>0</v>
      </c>
      <c r="AA23" s="81">
        <v>1978</v>
      </c>
      <c r="AB23" s="6"/>
      <c r="AC23" s="9">
        <f t="shared" si="15"/>
        <v>0</v>
      </c>
      <c r="AD23" s="81">
        <v>226</v>
      </c>
      <c r="AE23" s="12"/>
      <c r="AF23" s="9">
        <f t="shared" si="16"/>
        <v>0</v>
      </c>
      <c r="AG23" s="81">
        <v>1459</v>
      </c>
      <c r="AH23" s="6"/>
      <c r="AI23" s="8">
        <f t="shared" si="17"/>
        <v>0</v>
      </c>
      <c r="AJ23" s="81">
        <v>232</v>
      </c>
      <c r="AK23" s="46"/>
      <c r="AL23" s="6"/>
      <c r="AM23" s="8">
        <f t="shared" si="9"/>
        <v>0</v>
      </c>
      <c r="AN23" s="46">
        <v>583</v>
      </c>
      <c r="AO23" s="7"/>
      <c r="AP23" s="6"/>
      <c r="AQ23" s="8">
        <f t="shared" si="18"/>
        <v>0</v>
      </c>
      <c r="AR23" s="46">
        <v>272</v>
      </c>
      <c r="AS23" s="6">
        <v>6</v>
      </c>
      <c r="AT23" s="6">
        <v>13</v>
      </c>
      <c r="AU23" s="7"/>
      <c r="AV23" s="13"/>
      <c r="AW23" s="82">
        <f t="shared" si="10"/>
        <v>0</v>
      </c>
      <c r="AX23" s="12">
        <v>602</v>
      </c>
      <c r="AY23" s="9">
        <f t="shared" si="11"/>
        <v>3</v>
      </c>
      <c r="AZ23" s="83">
        <f t="shared" si="19"/>
        <v>11532.631578947368</v>
      </c>
      <c r="BA23" s="83">
        <f t="shared" si="20"/>
        <v>11.052631578947368</v>
      </c>
      <c r="BB23" s="83">
        <f t="shared" si="12"/>
        <v>5690.5263157894733</v>
      </c>
      <c r="BC23" s="83">
        <f t="shared" si="21"/>
        <v>121.57894736842104</v>
      </c>
      <c r="BD23" s="84">
        <f t="shared" si="22"/>
        <v>0</v>
      </c>
      <c r="BE23" s="83">
        <f>IF(X23&lt;&gt;0,AVERAGE(X$11:X23)*30,)</f>
        <v>324828.46153846156</v>
      </c>
      <c r="BF23" s="83">
        <f>IF(AD23+AG23&lt;&gt;0,AVERAGE(AD$11:AD23)*30+AVERAGE(AG$11:AG23)*30,)</f>
        <v>47831.538461538461</v>
      </c>
      <c r="BG23" s="84">
        <f>IF(AJ23&lt;&gt;0,AVERAGE(AJ$11:AJ23)*30,)</f>
        <v>6904.6153846153848</v>
      </c>
      <c r="BH23" s="84">
        <f>IF(AN23&lt;&gt;0,AVERAGE(AN$11:AN23)*30,)</f>
        <v>16045.384615384613</v>
      </c>
      <c r="BI23" s="84">
        <f>IF(AR23&lt;&gt;0,AVERAGE(AR$11:AR23)*30,)</f>
        <v>8455.3846153846152</v>
      </c>
    </row>
    <row r="24" spans="1:61" x14ac:dyDescent="0.35">
      <c r="A24" s="54">
        <f t="shared" si="24"/>
        <v>20</v>
      </c>
      <c r="B24" s="55" t="s">
        <v>69</v>
      </c>
      <c r="C24" s="10"/>
      <c r="D24" s="6">
        <v>363925</v>
      </c>
      <c r="E24" s="8">
        <f t="shared" si="23"/>
        <v>348</v>
      </c>
      <c r="F24" s="6">
        <v>7095</v>
      </c>
      <c r="G24" s="8">
        <f t="shared" si="0"/>
        <v>0</v>
      </c>
      <c r="H24" s="6">
        <v>112747</v>
      </c>
      <c r="I24" s="8">
        <f t="shared" si="1"/>
        <v>248</v>
      </c>
      <c r="J24" s="46">
        <v>626711</v>
      </c>
      <c r="K24" s="8">
        <f t="shared" si="2"/>
        <v>237</v>
      </c>
      <c r="L24" s="62"/>
      <c r="M24" s="11" t="e">
        <f t="shared" si="3"/>
        <v>#DIV/0!</v>
      </c>
      <c r="N24" s="14">
        <v>15034</v>
      </c>
      <c r="O24" s="8">
        <f t="shared" si="4"/>
        <v>5</v>
      </c>
      <c r="P24" s="6">
        <v>99911</v>
      </c>
      <c r="Q24" s="9">
        <f t="shared" si="5"/>
        <v>108</v>
      </c>
      <c r="R24" s="12">
        <v>43</v>
      </c>
      <c r="S24" s="9">
        <v>0</v>
      </c>
      <c r="T24" s="6">
        <v>206377</v>
      </c>
      <c r="U24" s="9">
        <f t="shared" si="7"/>
        <v>140</v>
      </c>
      <c r="V24" s="13">
        <v>5750.61</v>
      </c>
      <c r="W24" s="8">
        <f t="shared" si="8"/>
        <v>12651342</v>
      </c>
      <c r="X24" s="81">
        <v>11257</v>
      </c>
      <c r="Y24" s="56">
        <v>1091.43</v>
      </c>
      <c r="Z24" s="8">
        <f t="shared" si="14"/>
        <v>2401146</v>
      </c>
      <c r="AA24" s="81">
        <v>1888</v>
      </c>
      <c r="AB24" s="13">
        <v>1781064.84</v>
      </c>
      <c r="AC24" s="9">
        <f t="shared" si="15"/>
        <v>1781064.84</v>
      </c>
      <c r="AD24" s="81">
        <v>221</v>
      </c>
      <c r="AE24" s="13">
        <v>5287229</v>
      </c>
      <c r="AF24" s="9">
        <f t="shared" si="16"/>
        <v>5287229</v>
      </c>
      <c r="AG24" s="81">
        <v>1355</v>
      </c>
      <c r="AH24" s="13">
        <v>34310.5</v>
      </c>
      <c r="AI24" s="8">
        <f t="shared" si="17"/>
        <v>2744840</v>
      </c>
      <c r="AJ24" s="81">
        <v>224</v>
      </c>
      <c r="AK24" s="46"/>
      <c r="AL24" s="13">
        <v>257312</v>
      </c>
      <c r="AM24" s="8">
        <f t="shared" si="9"/>
        <v>257312</v>
      </c>
      <c r="AN24" s="46">
        <v>512</v>
      </c>
      <c r="AO24" s="7"/>
      <c r="AP24" s="13">
        <v>47086.400000000001</v>
      </c>
      <c r="AQ24" s="8">
        <f t="shared" si="18"/>
        <v>3766912</v>
      </c>
      <c r="AR24" s="46">
        <v>304</v>
      </c>
      <c r="AS24" s="89">
        <v>5</v>
      </c>
      <c r="AT24" s="89">
        <v>15</v>
      </c>
      <c r="AU24" s="7"/>
      <c r="AV24" s="13"/>
      <c r="AW24" s="82">
        <f t="shared" si="10"/>
        <v>0</v>
      </c>
      <c r="AX24" s="12">
        <v>603</v>
      </c>
      <c r="AY24" s="9">
        <f t="shared" si="11"/>
        <v>1</v>
      </c>
      <c r="AZ24" s="83">
        <f t="shared" si="19"/>
        <v>11478</v>
      </c>
      <c r="BA24" s="83">
        <f t="shared" si="20"/>
        <v>10.5</v>
      </c>
      <c r="BB24" s="83">
        <f t="shared" si="12"/>
        <v>5778</v>
      </c>
      <c r="BC24" s="83">
        <f t="shared" si="21"/>
        <v>122.99999999999999</v>
      </c>
      <c r="BD24" s="84">
        <f t="shared" si="22"/>
        <v>18977013</v>
      </c>
      <c r="BE24" s="83">
        <f>IF(X24&lt;&gt;0,AVERAGE(X$11:X24)*30,)</f>
        <v>325748.57142857142</v>
      </c>
      <c r="BF24" s="83">
        <f>IF(AD24+AG24&lt;&gt;0,AVERAGE(AD$11:AD24)*30+AVERAGE(AG$11:AG24)*30,)</f>
        <v>47792.142857142855</v>
      </c>
      <c r="BG24" s="84">
        <f>IF(AJ24&lt;&gt;0,AVERAGE(AJ$11:AJ24)*30,)</f>
        <v>6891.4285714285716</v>
      </c>
      <c r="BH24" s="84">
        <f>IF(AN24&lt;&gt;0,AVERAGE(AN$11:AN24)*30,)</f>
        <v>15996.428571428571</v>
      </c>
      <c r="BI24" s="84">
        <f>IF(AR24&lt;&gt;0,AVERAGE(AR$11:AR24)*30,)</f>
        <v>8502.8571428571431</v>
      </c>
    </row>
    <row r="25" spans="1:61" x14ac:dyDescent="0.35">
      <c r="A25" s="54">
        <f t="shared" si="24"/>
        <v>21</v>
      </c>
      <c r="B25" s="55" t="s">
        <v>69</v>
      </c>
      <c r="D25" s="6">
        <v>364576</v>
      </c>
      <c r="E25" s="8">
        <f t="shared" si="23"/>
        <v>651</v>
      </c>
      <c r="F25" s="6">
        <v>7095</v>
      </c>
      <c r="G25" s="8">
        <f t="shared" si="0"/>
        <v>0</v>
      </c>
      <c r="H25" s="6">
        <v>113008</v>
      </c>
      <c r="I25" s="8">
        <f t="shared" si="1"/>
        <v>261</v>
      </c>
      <c r="J25" s="81">
        <v>626962</v>
      </c>
      <c r="K25" s="8">
        <f t="shared" si="2"/>
        <v>251</v>
      </c>
      <c r="L25" s="62"/>
      <c r="M25" s="11" t="e">
        <f t="shared" si="3"/>
        <v>#DIV/0!</v>
      </c>
      <c r="N25" s="6">
        <v>15039</v>
      </c>
      <c r="O25" s="8">
        <f t="shared" si="4"/>
        <v>5</v>
      </c>
      <c r="P25" s="6">
        <v>99921</v>
      </c>
      <c r="Q25" s="9">
        <f t="shared" si="5"/>
        <v>10</v>
      </c>
      <c r="R25" s="6">
        <v>43</v>
      </c>
      <c r="S25" s="9">
        <f t="shared" si="6"/>
        <v>0</v>
      </c>
      <c r="T25" s="6">
        <v>206512</v>
      </c>
      <c r="U25" s="9">
        <f t="shared" si="7"/>
        <v>135</v>
      </c>
      <c r="V25" s="13"/>
      <c r="W25" s="8">
        <f t="shared" si="8"/>
        <v>0</v>
      </c>
      <c r="X25" s="81">
        <v>10246</v>
      </c>
      <c r="Y25" s="56"/>
      <c r="Z25" s="8">
        <f t="shared" si="14"/>
        <v>0</v>
      </c>
      <c r="AA25" s="81">
        <v>1366</v>
      </c>
      <c r="AB25" s="6"/>
      <c r="AC25" s="9">
        <f t="shared" si="15"/>
        <v>0</v>
      </c>
      <c r="AD25" s="81">
        <v>218</v>
      </c>
      <c r="AE25" s="12"/>
      <c r="AF25" s="9">
        <f t="shared" si="16"/>
        <v>0</v>
      </c>
      <c r="AG25" s="81">
        <v>1226</v>
      </c>
      <c r="AH25" s="6"/>
      <c r="AI25" s="8">
        <f t="shared" si="17"/>
        <v>0</v>
      </c>
      <c r="AJ25" s="81">
        <v>144</v>
      </c>
      <c r="AK25" s="7"/>
      <c r="AL25" s="6"/>
      <c r="AM25" s="8">
        <f t="shared" si="9"/>
        <v>0</v>
      </c>
      <c r="AN25" s="46">
        <v>467</v>
      </c>
      <c r="AO25" s="7"/>
      <c r="AP25" s="6"/>
      <c r="AQ25" s="8">
        <f t="shared" si="18"/>
        <v>0</v>
      </c>
      <c r="AR25" s="46">
        <v>280</v>
      </c>
      <c r="AS25" s="6">
        <v>5</v>
      </c>
      <c r="AT25" s="6">
        <v>8</v>
      </c>
      <c r="AU25" s="7"/>
      <c r="AV25" s="13"/>
      <c r="AW25" s="82">
        <f t="shared" si="10"/>
        <v>0</v>
      </c>
      <c r="AX25" s="12">
        <v>604</v>
      </c>
      <c r="AY25" s="9">
        <f t="shared" si="11"/>
        <v>1</v>
      </c>
      <c r="AZ25" s="83">
        <f t="shared" si="19"/>
        <v>11861.428571428572</v>
      </c>
      <c r="BA25" s="83">
        <f t="shared" si="20"/>
        <v>10</v>
      </c>
      <c r="BB25" s="83">
        <f t="shared" si="12"/>
        <v>5875.7142857142862</v>
      </c>
      <c r="BC25" s="83">
        <f t="shared" si="21"/>
        <v>124.28571428571429</v>
      </c>
      <c r="BD25" s="84">
        <f t="shared" si="22"/>
        <v>0</v>
      </c>
      <c r="BE25" s="83">
        <f>IF(X25&lt;&gt;0,AVERAGE(X$11:X25)*30,)</f>
        <v>324524</v>
      </c>
      <c r="BF25" s="83">
        <f>IF(AD25+AG25&lt;&gt;0,AVERAGE(AD$11:AD25)*30+AVERAGE(AG$11:AG25)*30,)</f>
        <v>47494</v>
      </c>
      <c r="BG25" s="84">
        <f>IF(AJ25&lt;&gt;0,AVERAGE(AJ$11:AJ25)*30,)</f>
        <v>6720</v>
      </c>
      <c r="BH25" s="84">
        <f>IF(AN25&lt;&gt;0,AVERAGE(AN$11:AN25)*30,)</f>
        <v>15863.999999999998</v>
      </c>
      <c r="BI25" s="84">
        <f>IF(AR25&lt;&gt;0,AVERAGE(AR$11:AR25)*30,)</f>
        <v>8496</v>
      </c>
    </row>
    <row r="26" spans="1:61" x14ac:dyDescent="0.35">
      <c r="A26" s="54">
        <f t="shared" si="24"/>
        <v>22</v>
      </c>
      <c r="B26" s="55" t="s">
        <v>69</v>
      </c>
      <c r="C26" s="10"/>
      <c r="D26" s="90">
        <v>365070</v>
      </c>
      <c r="E26" s="8">
        <f t="shared" si="23"/>
        <v>494</v>
      </c>
      <c r="F26" s="90">
        <v>7095</v>
      </c>
      <c r="G26" s="8">
        <f t="shared" si="0"/>
        <v>0</v>
      </c>
      <c r="H26" s="90">
        <v>113251</v>
      </c>
      <c r="I26" s="8">
        <f t="shared" si="1"/>
        <v>243</v>
      </c>
      <c r="J26" s="81">
        <v>627195</v>
      </c>
      <c r="K26" s="8">
        <f t="shared" si="2"/>
        <v>233</v>
      </c>
      <c r="L26" s="62"/>
      <c r="M26" s="11" t="e">
        <f t="shared" si="3"/>
        <v>#DIV/0!</v>
      </c>
      <c r="N26" s="85">
        <v>15044</v>
      </c>
      <c r="O26" s="8">
        <f t="shared" si="4"/>
        <v>5</v>
      </c>
      <c r="P26" s="90">
        <v>100120</v>
      </c>
      <c r="Q26" s="9">
        <f t="shared" si="5"/>
        <v>199</v>
      </c>
      <c r="R26" s="64">
        <v>43</v>
      </c>
      <c r="S26" s="9">
        <f t="shared" si="6"/>
        <v>0</v>
      </c>
      <c r="T26" s="90">
        <v>206638</v>
      </c>
      <c r="U26" s="9">
        <f t="shared" si="7"/>
        <v>126</v>
      </c>
      <c r="V26" s="13"/>
      <c r="W26" s="8">
        <f t="shared" si="8"/>
        <v>0</v>
      </c>
      <c r="X26" s="81">
        <v>11208</v>
      </c>
      <c r="Y26" s="56"/>
      <c r="Z26" s="8">
        <f t="shared" si="14"/>
        <v>0</v>
      </c>
      <c r="AA26" s="81">
        <v>1778</v>
      </c>
      <c r="AB26" s="6"/>
      <c r="AC26" s="9">
        <f t="shared" si="15"/>
        <v>0</v>
      </c>
      <c r="AD26" s="81">
        <v>227</v>
      </c>
      <c r="AE26" s="12"/>
      <c r="AF26" s="9">
        <f t="shared" si="16"/>
        <v>0</v>
      </c>
      <c r="AG26" s="81">
        <v>1287</v>
      </c>
      <c r="AH26" s="6"/>
      <c r="AI26" s="8">
        <f t="shared" si="17"/>
        <v>0</v>
      </c>
      <c r="AJ26" s="81">
        <v>232</v>
      </c>
      <c r="AK26" s="7"/>
      <c r="AL26" s="6"/>
      <c r="AM26" s="8">
        <f t="shared" si="9"/>
        <v>0</v>
      </c>
      <c r="AN26" s="46">
        <v>471</v>
      </c>
      <c r="AO26" s="7"/>
      <c r="AP26" s="6"/>
      <c r="AQ26" s="8">
        <f t="shared" si="18"/>
        <v>0</v>
      </c>
      <c r="AR26" s="46">
        <v>280</v>
      </c>
      <c r="AS26" s="6">
        <v>9</v>
      </c>
      <c r="AT26" s="6">
        <v>13</v>
      </c>
      <c r="AU26" s="7"/>
      <c r="AV26" s="13"/>
      <c r="AW26" s="82">
        <f t="shared" si="10"/>
        <v>0</v>
      </c>
      <c r="AX26" s="12">
        <v>606</v>
      </c>
      <c r="AY26" s="9">
        <f t="shared" si="11"/>
        <v>2</v>
      </c>
      <c r="AZ26" s="83">
        <f t="shared" si="19"/>
        <v>11995.909090909092</v>
      </c>
      <c r="BA26" s="83">
        <f t="shared" si="20"/>
        <v>9.545454545454545</v>
      </c>
      <c r="BB26" s="83">
        <f t="shared" si="12"/>
        <v>5940</v>
      </c>
      <c r="BC26" s="83">
        <f t="shared" si="21"/>
        <v>125.45454545454545</v>
      </c>
      <c r="BD26" s="84">
        <f t="shared" si="22"/>
        <v>0</v>
      </c>
      <c r="BE26" s="83">
        <f>IF(X26&lt;&gt;0,AVERAGE(X$11:X26)*30,)</f>
        <v>325256.25</v>
      </c>
      <c r="BF26" s="83">
        <f>IF(AD26+AG26&lt;&gt;0,AVERAGE(AD$11:AD26)*30+AVERAGE(AG$11:AG26)*30,)</f>
        <v>47364.375</v>
      </c>
      <c r="BG26" s="84">
        <f>IF(AJ26&lt;&gt;0,AVERAGE(AJ$11:AJ26)*30,)</f>
        <v>6735</v>
      </c>
      <c r="BH26" s="84">
        <f>IF(AN26&lt;&gt;0,AVERAGE(AN$11:AN26)*30,)</f>
        <v>15755.625</v>
      </c>
      <c r="BI26" s="84">
        <f>IF(AR26&lt;&gt;0,AVERAGE(AR$11:AR26)*30,)</f>
        <v>8490</v>
      </c>
    </row>
    <row r="27" spans="1:61" x14ac:dyDescent="0.35">
      <c r="A27" s="54">
        <f t="shared" si="24"/>
        <v>23</v>
      </c>
      <c r="B27" s="55" t="s">
        <v>69</v>
      </c>
      <c r="C27" s="10"/>
      <c r="D27" s="6">
        <v>365528</v>
      </c>
      <c r="E27" s="8">
        <f t="shared" si="23"/>
        <v>458</v>
      </c>
      <c r="F27" s="6">
        <v>7096</v>
      </c>
      <c r="G27" s="8">
        <f t="shared" si="0"/>
        <v>1</v>
      </c>
      <c r="H27" s="6">
        <v>113499</v>
      </c>
      <c r="I27" s="8">
        <f t="shared" si="1"/>
        <v>248</v>
      </c>
      <c r="J27" s="46">
        <v>627433</v>
      </c>
      <c r="K27" s="8">
        <f t="shared" si="2"/>
        <v>238</v>
      </c>
      <c r="L27" s="62"/>
      <c r="M27" s="11" t="e">
        <f t="shared" si="3"/>
        <v>#DIV/0!</v>
      </c>
      <c r="N27" s="14">
        <v>15049</v>
      </c>
      <c r="O27" s="8">
        <f t="shared" si="4"/>
        <v>5</v>
      </c>
      <c r="P27" s="6">
        <v>100226</v>
      </c>
      <c r="Q27" s="9">
        <f t="shared" si="5"/>
        <v>106</v>
      </c>
      <c r="R27" s="12">
        <v>43</v>
      </c>
      <c r="S27" s="9">
        <f t="shared" si="6"/>
        <v>0</v>
      </c>
      <c r="T27" s="6">
        <v>206772</v>
      </c>
      <c r="U27" s="9">
        <f t="shared" si="7"/>
        <v>134</v>
      </c>
      <c r="V27" s="13"/>
      <c r="W27" s="8">
        <f t="shared" si="8"/>
        <v>0</v>
      </c>
      <c r="X27" s="81">
        <v>11672</v>
      </c>
      <c r="Y27" s="56"/>
      <c r="Z27" s="8">
        <f t="shared" si="14"/>
        <v>0</v>
      </c>
      <c r="AA27" s="81">
        <v>1904</v>
      </c>
      <c r="AB27" s="6"/>
      <c r="AC27" s="9">
        <f t="shared" si="15"/>
        <v>0</v>
      </c>
      <c r="AD27" s="81">
        <v>237</v>
      </c>
      <c r="AE27" s="12"/>
      <c r="AF27" s="9">
        <f t="shared" si="16"/>
        <v>0</v>
      </c>
      <c r="AG27" s="81">
        <v>1258</v>
      </c>
      <c r="AH27" s="6"/>
      <c r="AI27" s="8">
        <f t="shared" si="17"/>
        <v>0</v>
      </c>
      <c r="AJ27" s="81">
        <v>192</v>
      </c>
      <c r="AK27" s="7"/>
      <c r="AL27" s="6"/>
      <c r="AM27" s="8">
        <f t="shared" si="9"/>
        <v>0</v>
      </c>
      <c r="AN27" s="46">
        <v>525</v>
      </c>
      <c r="AO27" s="7"/>
      <c r="AP27" s="6"/>
      <c r="AQ27" s="8">
        <f t="shared" si="18"/>
        <v>0</v>
      </c>
      <c r="AR27" s="46">
        <v>280</v>
      </c>
      <c r="AS27" s="6">
        <v>10</v>
      </c>
      <c r="AT27" s="6">
        <v>13</v>
      </c>
      <c r="AU27" s="7"/>
      <c r="AV27" s="13"/>
      <c r="AW27" s="82">
        <f t="shared" si="10"/>
        <v>0</v>
      </c>
      <c r="AX27" s="12">
        <v>608</v>
      </c>
      <c r="AY27" s="9">
        <f t="shared" si="11"/>
        <v>2</v>
      </c>
      <c r="AZ27" s="83">
        <f t="shared" si="19"/>
        <v>12071.739130434782</v>
      </c>
      <c r="BA27" s="83">
        <f t="shared" si="20"/>
        <v>10.434782608695652</v>
      </c>
      <c r="BB27" s="83">
        <f t="shared" si="12"/>
        <v>6005.217391304348</v>
      </c>
      <c r="BC27" s="83">
        <f t="shared" si="21"/>
        <v>126.52173913043478</v>
      </c>
      <c r="BD27" s="84">
        <f t="shared" si="22"/>
        <v>0</v>
      </c>
      <c r="BE27" s="83">
        <f>IF(X27&lt;&gt;0,AVERAGE(X$11:X27)*30,)</f>
        <v>326721.17647058819</v>
      </c>
      <c r="BF27" s="83">
        <f>IF(AD27+AG27&lt;&gt;0,AVERAGE(AD$11:AD27)*30+AVERAGE(AG$11:AG27)*30,)</f>
        <v>47216.470588235286</v>
      </c>
      <c r="BG27" s="84">
        <f>IF(AJ27&lt;&gt;0,AVERAGE(AJ$11:AJ27)*30,)</f>
        <v>6677.6470588235297</v>
      </c>
      <c r="BH27" s="84">
        <f>IF(AN27&lt;&gt;0,AVERAGE(AN$11:AN27)*30,)</f>
        <v>15755.294117647058</v>
      </c>
      <c r="BI27" s="84">
        <f>IF(AR27&lt;&gt;0,AVERAGE(AR$11:AR27)*30,)</f>
        <v>8484.7058823529405</v>
      </c>
    </row>
    <row r="28" spans="1:61" x14ac:dyDescent="0.35">
      <c r="A28" s="54">
        <f t="shared" si="24"/>
        <v>24</v>
      </c>
      <c r="B28" s="55" t="s">
        <v>69</v>
      </c>
      <c r="C28" s="10"/>
      <c r="D28" s="6">
        <v>366019</v>
      </c>
      <c r="E28" s="8">
        <f t="shared" si="23"/>
        <v>491</v>
      </c>
      <c r="F28" s="6">
        <v>7086</v>
      </c>
      <c r="G28" s="8">
        <f t="shared" si="0"/>
        <v>-10</v>
      </c>
      <c r="H28" s="6">
        <v>113713</v>
      </c>
      <c r="I28" s="8">
        <f t="shared" si="1"/>
        <v>214</v>
      </c>
      <c r="J28" s="46">
        <v>627638</v>
      </c>
      <c r="K28" s="8">
        <f t="shared" si="2"/>
        <v>205</v>
      </c>
      <c r="L28" s="62"/>
      <c r="M28" s="11" t="e">
        <f t="shared" si="3"/>
        <v>#DIV/0!</v>
      </c>
      <c r="N28" s="14">
        <v>15053</v>
      </c>
      <c r="O28" s="8">
        <f t="shared" si="4"/>
        <v>4</v>
      </c>
      <c r="P28" s="6">
        <v>100306</v>
      </c>
      <c r="Q28" s="9">
        <f t="shared" si="5"/>
        <v>80</v>
      </c>
      <c r="R28" s="12">
        <v>43</v>
      </c>
      <c r="S28" s="9">
        <f t="shared" si="6"/>
        <v>0</v>
      </c>
      <c r="T28" s="6">
        <v>206880</v>
      </c>
      <c r="U28" s="9">
        <f t="shared" si="7"/>
        <v>108</v>
      </c>
      <c r="V28" s="13"/>
      <c r="W28" s="8">
        <f t="shared" si="8"/>
        <v>0</v>
      </c>
      <c r="X28" s="81">
        <v>11495</v>
      </c>
      <c r="Y28" s="56"/>
      <c r="Z28" s="8">
        <f t="shared" si="14"/>
        <v>0</v>
      </c>
      <c r="AA28" s="81">
        <v>1912</v>
      </c>
      <c r="AB28" s="6"/>
      <c r="AC28" s="9">
        <f t="shared" si="15"/>
        <v>0</v>
      </c>
      <c r="AD28" s="81">
        <v>234</v>
      </c>
      <c r="AE28" s="12"/>
      <c r="AF28" s="9">
        <f t="shared" si="16"/>
        <v>0</v>
      </c>
      <c r="AG28" s="81">
        <v>1232</v>
      </c>
      <c r="AH28" s="6"/>
      <c r="AI28" s="8">
        <f t="shared" si="17"/>
        <v>0</v>
      </c>
      <c r="AJ28" s="81">
        <v>200</v>
      </c>
      <c r="AK28" s="7"/>
      <c r="AL28" s="6"/>
      <c r="AM28" s="65">
        <f t="shared" si="9"/>
        <v>0</v>
      </c>
      <c r="AN28" s="46">
        <v>487</v>
      </c>
      <c r="AO28" s="7"/>
      <c r="AP28" s="6"/>
      <c r="AQ28" s="8">
        <f t="shared" si="18"/>
        <v>0</v>
      </c>
      <c r="AR28" s="46">
        <v>304</v>
      </c>
      <c r="AS28" s="6">
        <v>9</v>
      </c>
      <c r="AT28" s="6">
        <v>14</v>
      </c>
      <c r="AU28" s="7"/>
      <c r="AV28" s="13"/>
      <c r="AW28" s="82">
        <f t="shared" si="10"/>
        <v>0</v>
      </c>
      <c r="AX28" s="12">
        <v>608</v>
      </c>
      <c r="AY28" s="9">
        <f t="shared" si="11"/>
        <v>0</v>
      </c>
      <c r="AZ28" s="83">
        <f t="shared" si="19"/>
        <v>12182.5</v>
      </c>
      <c r="BA28" s="83">
        <f t="shared" si="20"/>
        <v>-2.5</v>
      </c>
      <c r="BB28" s="83">
        <f t="shared" si="12"/>
        <v>6022.5</v>
      </c>
      <c r="BC28" s="83">
        <f t="shared" si="21"/>
        <v>126.24999999999999</v>
      </c>
      <c r="BD28" s="84">
        <f t="shared" si="22"/>
        <v>0</v>
      </c>
      <c r="BE28" s="83">
        <f>IF(X28&lt;&gt;0,AVERAGE(X$11:X28)*30,)</f>
        <v>327728.33333333331</v>
      </c>
      <c r="BF28" s="83">
        <f>IF(AD28+AG28&lt;&gt;0,AVERAGE(AD$11:AD28)*30+AVERAGE(AG$11:AG28)*30,)</f>
        <v>47036.666666666664</v>
      </c>
      <c r="BG28" s="84">
        <f>IF(AJ28&lt;&gt;0,AVERAGE(AJ$11:AJ28)*30,)</f>
        <v>6640</v>
      </c>
      <c r="BH28" s="84">
        <f>IF(AN28&lt;&gt;0,AVERAGE(AN$11:AN28)*30,)</f>
        <v>15691.666666666666</v>
      </c>
      <c r="BI28" s="84">
        <f>IF(AR28&lt;&gt;0,AVERAGE(AR$11:AR28)*30,)</f>
        <v>8520</v>
      </c>
    </row>
    <row r="29" spans="1:61" x14ac:dyDescent="0.35">
      <c r="A29" s="54">
        <f t="shared" si="24"/>
        <v>25</v>
      </c>
      <c r="B29" s="55" t="s">
        <v>69</v>
      </c>
      <c r="C29" s="10"/>
      <c r="D29" s="6">
        <v>366508</v>
      </c>
      <c r="E29" s="8">
        <f t="shared" si="23"/>
        <v>489</v>
      </c>
      <c r="F29" s="6">
        <v>7097</v>
      </c>
      <c r="G29" s="8">
        <f t="shared" si="0"/>
        <v>11</v>
      </c>
      <c r="H29" s="6">
        <v>113904</v>
      </c>
      <c r="I29" s="8">
        <f t="shared" si="1"/>
        <v>191</v>
      </c>
      <c r="J29" s="46">
        <v>627821</v>
      </c>
      <c r="K29" s="8">
        <f t="shared" si="2"/>
        <v>183</v>
      </c>
      <c r="L29" s="62"/>
      <c r="M29" s="11" t="e">
        <f t="shared" si="3"/>
        <v>#DIV/0!</v>
      </c>
      <c r="N29" s="14">
        <v>15058</v>
      </c>
      <c r="O29" s="8">
        <f t="shared" si="4"/>
        <v>5</v>
      </c>
      <c r="P29" s="6">
        <v>100324</v>
      </c>
      <c r="Q29" s="9">
        <f t="shared" si="5"/>
        <v>18</v>
      </c>
      <c r="R29" s="12">
        <v>43</v>
      </c>
      <c r="S29" s="9">
        <f t="shared" si="6"/>
        <v>0</v>
      </c>
      <c r="T29" s="6">
        <v>206938</v>
      </c>
      <c r="U29" s="9">
        <f t="shared" si="7"/>
        <v>58</v>
      </c>
      <c r="V29" s="13"/>
      <c r="W29" s="8">
        <f t="shared" si="8"/>
        <v>0</v>
      </c>
      <c r="X29" s="81">
        <v>11790</v>
      </c>
      <c r="Y29" s="56"/>
      <c r="Z29" s="8">
        <f t="shared" si="14"/>
        <v>0</v>
      </c>
      <c r="AA29" s="81">
        <v>1965</v>
      </c>
      <c r="AB29" s="6"/>
      <c r="AC29" s="9">
        <f t="shared" si="15"/>
        <v>0</v>
      </c>
      <c r="AD29" s="81">
        <v>289</v>
      </c>
      <c r="AE29" s="12"/>
      <c r="AF29" s="9">
        <f t="shared" si="16"/>
        <v>0</v>
      </c>
      <c r="AG29" s="81">
        <v>1259</v>
      </c>
      <c r="AH29" s="6"/>
      <c r="AI29" s="8">
        <f t="shared" si="17"/>
        <v>0</v>
      </c>
      <c r="AJ29" s="81">
        <v>208</v>
      </c>
      <c r="AK29" s="7"/>
      <c r="AL29" s="6"/>
      <c r="AM29" s="65">
        <f t="shared" si="9"/>
        <v>0</v>
      </c>
      <c r="AN29" s="46">
        <v>524</v>
      </c>
      <c r="AO29" s="7"/>
      <c r="AP29" s="6"/>
      <c r="AQ29" s="8">
        <f t="shared" si="18"/>
        <v>0</v>
      </c>
      <c r="AR29" s="46">
        <v>328</v>
      </c>
      <c r="AS29" s="6">
        <v>10</v>
      </c>
      <c r="AT29" s="6">
        <v>14</v>
      </c>
      <c r="AU29" s="7"/>
      <c r="AV29" s="13"/>
      <c r="AW29" s="82">
        <f t="shared" si="10"/>
        <v>0</v>
      </c>
      <c r="AX29" s="12">
        <v>609</v>
      </c>
      <c r="AY29" s="9">
        <f t="shared" si="11"/>
        <v>1</v>
      </c>
      <c r="AZ29" s="83">
        <f t="shared" si="19"/>
        <v>12282</v>
      </c>
      <c r="BA29" s="83">
        <f t="shared" si="20"/>
        <v>10.799999999999999</v>
      </c>
      <c r="BB29" s="83">
        <f t="shared" si="12"/>
        <v>6010.8</v>
      </c>
      <c r="BC29" s="83">
        <f t="shared" si="21"/>
        <v>127.2</v>
      </c>
      <c r="BD29" s="84">
        <f t="shared" si="22"/>
        <v>0</v>
      </c>
      <c r="BE29" s="83">
        <f>IF(X29&lt;&gt;0,AVERAGE(X$11:X29)*30,)</f>
        <v>329095.26315789478</v>
      </c>
      <c r="BF29" s="83">
        <f>IF(AD29+AG29&lt;&gt;0,AVERAGE(AD$11:AD29)*30+AVERAGE(AG$11:AG29)*30,)</f>
        <v>47005.26315789474</v>
      </c>
      <c r="BG29" s="84">
        <f>IF(AJ29&lt;&gt;0,AVERAGE(AJ$11:AJ29)*30,)</f>
        <v>6618.9473684210525</v>
      </c>
      <c r="BH29" s="84">
        <f>IF(AN29&lt;&gt;0,AVERAGE(AN$11:AN29)*30,)</f>
        <v>15693.15789473684</v>
      </c>
      <c r="BI29" s="84">
        <f>IF(AR29&lt;&gt;0,AVERAGE(AR$11:AR29)*30,)</f>
        <v>8589.4736842105267</v>
      </c>
    </row>
    <row r="30" spans="1:61" x14ac:dyDescent="0.35">
      <c r="A30" s="54">
        <f t="shared" si="24"/>
        <v>26</v>
      </c>
      <c r="B30" s="55" t="s">
        <v>69</v>
      </c>
      <c r="C30" s="10"/>
      <c r="D30" s="6">
        <v>366947</v>
      </c>
      <c r="E30" s="8">
        <f t="shared" si="23"/>
        <v>439</v>
      </c>
      <c r="F30" s="6">
        <v>7098</v>
      </c>
      <c r="G30" s="8">
        <f t="shared" si="0"/>
        <v>1</v>
      </c>
      <c r="H30" s="6">
        <v>114066</v>
      </c>
      <c r="I30" s="8">
        <f t="shared" si="1"/>
        <v>162</v>
      </c>
      <c r="J30" s="46">
        <v>627976</v>
      </c>
      <c r="K30" s="8">
        <f t="shared" si="2"/>
        <v>155</v>
      </c>
      <c r="L30" s="62"/>
      <c r="M30" s="11" t="e">
        <f t="shared" si="3"/>
        <v>#DIV/0!</v>
      </c>
      <c r="N30" s="14">
        <v>15063</v>
      </c>
      <c r="O30" s="8">
        <f t="shared" si="4"/>
        <v>5</v>
      </c>
      <c r="P30" s="6">
        <v>100342</v>
      </c>
      <c r="Q30" s="9">
        <f t="shared" si="5"/>
        <v>18</v>
      </c>
      <c r="R30" s="12">
        <v>43</v>
      </c>
      <c r="S30" s="9">
        <f t="shared" si="6"/>
        <v>0</v>
      </c>
      <c r="T30" s="6">
        <v>206990</v>
      </c>
      <c r="U30" s="9">
        <f t="shared" si="7"/>
        <v>52</v>
      </c>
      <c r="V30" s="13"/>
      <c r="W30" s="8">
        <f t="shared" si="8"/>
        <v>0</v>
      </c>
      <c r="X30" s="81">
        <v>11590</v>
      </c>
      <c r="Y30" s="56"/>
      <c r="Z30" s="8">
        <f t="shared" si="14"/>
        <v>0</v>
      </c>
      <c r="AA30" s="81">
        <v>1925</v>
      </c>
      <c r="AB30" s="6"/>
      <c r="AC30" s="9">
        <f t="shared" si="15"/>
        <v>0</v>
      </c>
      <c r="AD30" s="81">
        <v>310</v>
      </c>
      <c r="AE30" s="91"/>
      <c r="AF30" s="9">
        <f t="shared" si="16"/>
        <v>0</v>
      </c>
      <c r="AG30" s="81">
        <v>1356</v>
      </c>
      <c r="AH30" s="6"/>
      <c r="AI30" s="8">
        <f t="shared" si="17"/>
        <v>0</v>
      </c>
      <c r="AJ30" s="81">
        <v>168</v>
      </c>
      <c r="AK30" s="7"/>
      <c r="AL30" s="6"/>
      <c r="AM30" s="8">
        <f t="shared" si="9"/>
        <v>0</v>
      </c>
      <c r="AN30" s="92">
        <v>505</v>
      </c>
      <c r="AO30" s="7"/>
      <c r="AP30" s="6"/>
      <c r="AQ30" s="8">
        <f t="shared" si="18"/>
        <v>0</v>
      </c>
      <c r="AR30" s="92">
        <v>288</v>
      </c>
      <c r="AS30" s="6">
        <v>1</v>
      </c>
      <c r="AT30" s="6">
        <v>13</v>
      </c>
      <c r="AU30" s="7"/>
      <c r="AV30" s="13"/>
      <c r="AW30" s="82">
        <f t="shared" si="10"/>
        <v>0</v>
      </c>
      <c r="AX30" s="12">
        <v>609</v>
      </c>
      <c r="AY30" s="9">
        <f t="shared" si="11"/>
        <v>0</v>
      </c>
      <c r="AZ30" s="83">
        <f t="shared" si="19"/>
        <v>12316.153846153846</v>
      </c>
      <c r="BA30" s="83">
        <f t="shared" si="20"/>
        <v>11.538461538461538</v>
      </c>
      <c r="BB30" s="83">
        <f t="shared" si="12"/>
        <v>5966.5384615384619</v>
      </c>
      <c r="BC30" s="83">
        <f t="shared" si="21"/>
        <v>128.07692307692307</v>
      </c>
      <c r="BD30" s="84">
        <f t="shared" si="22"/>
        <v>0</v>
      </c>
      <c r="BE30" s="83">
        <f>IF(X30&lt;&gt;0,AVERAGE(X$11:X30)*30,)</f>
        <v>330025.5</v>
      </c>
      <c r="BF30" s="83">
        <f>IF(AD30+AG30&lt;&gt;0,AVERAGE(AD$11:AD30)*30+AVERAGE(AG$11:AG30)*30,)</f>
        <v>47154</v>
      </c>
      <c r="BG30" s="84">
        <f>IF(AJ30&lt;&gt;0,AVERAGE(AJ$11:AJ30)*30,)</f>
        <v>6540</v>
      </c>
      <c r="BH30" s="84">
        <f>IF(AN30&lt;&gt;0,AVERAGE(AN$11:AN30)*30,)</f>
        <v>15666.000000000002</v>
      </c>
      <c r="BI30" s="84">
        <f>IF(AR30&lt;&gt;0,AVERAGE(AR$11:AR30)*30,)</f>
        <v>8592</v>
      </c>
    </row>
    <row r="31" spans="1:61" x14ac:dyDescent="0.35">
      <c r="A31" s="54">
        <f t="shared" si="24"/>
        <v>27</v>
      </c>
      <c r="B31" s="55" t="s">
        <v>69</v>
      </c>
      <c r="C31" s="10"/>
      <c r="D31" s="6">
        <v>367413</v>
      </c>
      <c r="E31" s="8">
        <f t="shared" si="23"/>
        <v>466</v>
      </c>
      <c r="F31" s="6">
        <v>7098</v>
      </c>
      <c r="G31" s="8">
        <f t="shared" si="0"/>
        <v>0</v>
      </c>
      <c r="H31" s="6">
        <v>114228</v>
      </c>
      <c r="I31" s="8">
        <f t="shared" si="1"/>
        <v>162</v>
      </c>
      <c r="J31" s="46">
        <v>628132</v>
      </c>
      <c r="K31" s="8">
        <f t="shared" si="2"/>
        <v>156</v>
      </c>
      <c r="L31" s="62"/>
      <c r="M31" s="11" t="e">
        <f t="shared" si="3"/>
        <v>#DIV/0!</v>
      </c>
      <c r="N31" s="14">
        <v>15068</v>
      </c>
      <c r="O31" s="8">
        <f t="shared" si="4"/>
        <v>5</v>
      </c>
      <c r="P31" s="6">
        <v>100358</v>
      </c>
      <c r="Q31" s="9">
        <f t="shared" si="5"/>
        <v>16</v>
      </c>
      <c r="R31" s="12">
        <v>44</v>
      </c>
      <c r="S31" s="9">
        <f t="shared" si="6"/>
        <v>1</v>
      </c>
      <c r="T31" s="6">
        <v>207031</v>
      </c>
      <c r="U31" s="9">
        <f t="shared" si="7"/>
        <v>41</v>
      </c>
      <c r="V31" s="13"/>
      <c r="W31" s="8">
        <f t="shared" si="8"/>
        <v>0</v>
      </c>
      <c r="X31" s="81">
        <v>11758</v>
      </c>
      <c r="Y31" s="56"/>
      <c r="Z31" s="8">
        <f t="shared" si="14"/>
        <v>0</v>
      </c>
      <c r="AA31" s="81">
        <v>2045</v>
      </c>
      <c r="AB31" s="6"/>
      <c r="AC31" s="9">
        <f t="shared" si="15"/>
        <v>0</v>
      </c>
      <c r="AD31" s="81">
        <v>310</v>
      </c>
      <c r="AE31" s="12"/>
      <c r="AF31" s="9">
        <f t="shared" si="16"/>
        <v>0</v>
      </c>
      <c r="AG31" s="81">
        <v>1305</v>
      </c>
      <c r="AH31" s="6"/>
      <c r="AI31" s="8">
        <f t="shared" si="17"/>
        <v>0</v>
      </c>
      <c r="AJ31" s="81">
        <v>240</v>
      </c>
      <c r="AK31" s="7"/>
      <c r="AL31" s="6"/>
      <c r="AM31" s="8">
        <f t="shared" si="9"/>
        <v>0</v>
      </c>
      <c r="AN31" s="92">
        <v>453</v>
      </c>
      <c r="AO31" s="7"/>
      <c r="AP31" s="6"/>
      <c r="AQ31" s="8">
        <f t="shared" si="18"/>
        <v>0</v>
      </c>
      <c r="AR31" s="92">
        <v>272</v>
      </c>
      <c r="AS31" s="6">
        <v>2</v>
      </c>
      <c r="AT31" s="6">
        <v>12</v>
      </c>
      <c r="AU31" s="7"/>
      <c r="AV31" s="13"/>
      <c r="AW31" s="82">
        <f t="shared" si="10"/>
        <v>0</v>
      </c>
      <c r="AX31" s="12">
        <v>610</v>
      </c>
      <c r="AY31" s="9">
        <f t="shared" si="11"/>
        <v>1</v>
      </c>
      <c r="AZ31" s="83">
        <f t="shared" si="19"/>
        <v>12377.777777777777</v>
      </c>
      <c r="BA31" s="83">
        <f t="shared" si="20"/>
        <v>11.111111111111111</v>
      </c>
      <c r="BB31" s="83">
        <f t="shared" si="12"/>
        <v>5925.5555555555547</v>
      </c>
      <c r="BC31" s="83">
        <f t="shared" si="21"/>
        <v>128.88888888888891</v>
      </c>
      <c r="BD31" s="84">
        <f t="shared" si="22"/>
        <v>0</v>
      </c>
      <c r="BE31" s="83">
        <f>IF(X31&lt;&gt;0,AVERAGE(X$11:X31)*30,)</f>
        <v>331107.14285714284</v>
      </c>
      <c r="BF31" s="83">
        <f>IF(AD31+AG31&lt;&gt;0,AVERAGE(AD$11:AD31)*30+AVERAGE(AG$11:AG31)*30,)</f>
        <v>47215.71428571429</v>
      </c>
      <c r="BG31" s="84">
        <f>IF(AJ31&lt;&gt;0,AVERAGE(AJ$11:AJ31)*30,)</f>
        <v>6571.4285714285706</v>
      </c>
      <c r="BH31" s="84">
        <f>IF(AN31&lt;&gt;0,AVERAGE(AN$11:AN31)*30,)</f>
        <v>15567.142857142859</v>
      </c>
      <c r="BI31" s="84">
        <f>IF(AR31&lt;&gt;0,AVERAGE(AR$11:AR31)*30,)</f>
        <v>8571.4285714285725</v>
      </c>
    </row>
    <row r="32" spans="1:61" x14ac:dyDescent="0.35">
      <c r="A32" s="54">
        <f t="shared" si="24"/>
        <v>28</v>
      </c>
      <c r="B32" s="55" t="s">
        <v>69</v>
      </c>
      <c r="C32" s="93"/>
      <c r="D32" s="6">
        <v>367931</v>
      </c>
      <c r="E32" s="8">
        <f t="shared" si="23"/>
        <v>518</v>
      </c>
      <c r="F32" s="6">
        <v>7099</v>
      </c>
      <c r="G32" s="8">
        <f t="shared" si="0"/>
        <v>1</v>
      </c>
      <c r="H32" s="6">
        <v>114391</v>
      </c>
      <c r="I32" s="8">
        <f t="shared" si="1"/>
        <v>163</v>
      </c>
      <c r="J32" s="46">
        <v>628288</v>
      </c>
      <c r="K32" s="8">
        <f t="shared" si="2"/>
        <v>156</v>
      </c>
      <c r="L32" s="62"/>
      <c r="M32" s="11" t="e">
        <f t="shared" si="3"/>
        <v>#DIV/0!</v>
      </c>
      <c r="N32" s="14">
        <v>15073</v>
      </c>
      <c r="O32" s="8">
        <f t="shared" si="4"/>
        <v>5</v>
      </c>
      <c r="P32" s="6">
        <v>100374</v>
      </c>
      <c r="Q32" s="9">
        <f t="shared" si="5"/>
        <v>16</v>
      </c>
      <c r="R32" s="12">
        <v>44</v>
      </c>
      <c r="S32" s="9">
        <f t="shared" si="6"/>
        <v>0</v>
      </c>
      <c r="T32" s="6">
        <v>207067</v>
      </c>
      <c r="U32" s="9">
        <f t="shared" si="7"/>
        <v>36</v>
      </c>
      <c r="V32" s="13"/>
      <c r="W32" s="8">
        <f t="shared" si="8"/>
        <v>0</v>
      </c>
      <c r="X32" s="81">
        <v>12041</v>
      </c>
      <c r="Y32" s="56"/>
      <c r="Z32" s="8">
        <f t="shared" si="14"/>
        <v>0</v>
      </c>
      <c r="AA32" s="81">
        <v>2168</v>
      </c>
      <c r="AB32" s="6"/>
      <c r="AC32" s="9">
        <f t="shared" si="15"/>
        <v>0</v>
      </c>
      <c r="AD32" s="81">
        <v>315</v>
      </c>
      <c r="AE32" s="12"/>
      <c r="AF32" s="9">
        <f t="shared" si="16"/>
        <v>0</v>
      </c>
      <c r="AG32" s="81">
        <v>1252</v>
      </c>
      <c r="AH32" s="6"/>
      <c r="AI32" s="8">
        <f t="shared" si="17"/>
        <v>0</v>
      </c>
      <c r="AJ32" s="81">
        <v>256</v>
      </c>
      <c r="AK32" s="7"/>
      <c r="AL32" s="6"/>
      <c r="AM32" s="8">
        <f t="shared" si="9"/>
        <v>0</v>
      </c>
      <c r="AN32" s="92">
        <v>414</v>
      </c>
      <c r="AO32" s="7"/>
      <c r="AP32" s="6"/>
      <c r="AQ32" s="8">
        <f t="shared" si="18"/>
        <v>0</v>
      </c>
      <c r="AR32" s="92">
        <v>264</v>
      </c>
      <c r="AS32" s="89">
        <v>2</v>
      </c>
      <c r="AT32" s="6">
        <v>6</v>
      </c>
      <c r="AU32" s="7"/>
      <c r="AV32" s="13"/>
      <c r="AW32" s="82">
        <f t="shared" si="10"/>
        <v>0</v>
      </c>
      <c r="AX32" s="12">
        <v>611</v>
      </c>
      <c r="AY32" s="9">
        <f t="shared" si="11"/>
        <v>1</v>
      </c>
      <c r="AZ32" s="83">
        <f t="shared" si="19"/>
        <v>12490.714285714284</v>
      </c>
      <c r="BA32" s="83">
        <f t="shared" si="20"/>
        <v>11.785714285714285</v>
      </c>
      <c r="BB32" s="83">
        <f t="shared" si="12"/>
        <v>5888.5714285714284</v>
      </c>
      <c r="BC32" s="83">
        <f t="shared" si="21"/>
        <v>129.64285714285714</v>
      </c>
      <c r="BD32" s="84">
        <f t="shared" si="22"/>
        <v>0</v>
      </c>
      <c r="BE32" s="83">
        <f>IF(X32&lt;&gt;0,AVERAGE(X$11:X32)*30,)</f>
        <v>332476.36363636365</v>
      </c>
      <c r="BF32" s="83">
        <f>IF(AD32+AG32&lt;&gt;0,AVERAGE(AD$11:AD32)*30+AVERAGE(AG$11:AG32)*30,)</f>
        <v>47206.36363636364</v>
      </c>
      <c r="BG32" s="84">
        <f>IF(AJ32&lt;&gt;0,AVERAGE(AJ$11:AJ32)*30,)</f>
        <v>6621.818181818182</v>
      </c>
      <c r="BH32" s="84">
        <f>IF(AN32&lt;&gt;0,AVERAGE(AN$11:AN32)*30,)</f>
        <v>15424.090909090908</v>
      </c>
      <c r="BI32" s="84">
        <f>IF(AR32&lt;&gt;0,AVERAGE(AR$11:AR32)*30,)</f>
        <v>8541.818181818182</v>
      </c>
    </row>
    <row r="33" spans="1:61" x14ac:dyDescent="0.35">
      <c r="A33" s="54">
        <f t="shared" si="24"/>
        <v>29</v>
      </c>
      <c r="B33" s="55" t="s">
        <v>69</v>
      </c>
      <c r="C33" s="93"/>
      <c r="D33" s="6">
        <v>368492</v>
      </c>
      <c r="E33" s="94">
        <f t="shared" si="23"/>
        <v>561</v>
      </c>
      <c r="F33" s="6">
        <v>7099</v>
      </c>
      <c r="G33" s="94">
        <f t="shared" si="0"/>
        <v>0</v>
      </c>
      <c r="H33" s="6">
        <v>114549</v>
      </c>
      <c r="I33" s="94">
        <f t="shared" si="1"/>
        <v>158</v>
      </c>
      <c r="J33" s="46">
        <v>628439</v>
      </c>
      <c r="K33" s="8">
        <f t="shared" si="2"/>
        <v>151</v>
      </c>
      <c r="L33" s="95"/>
      <c r="M33" s="11" t="e">
        <f t="shared" si="3"/>
        <v>#DIV/0!</v>
      </c>
      <c r="N33" s="14">
        <v>15078</v>
      </c>
      <c r="O33" s="94">
        <f t="shared" si="4"/>
        <v>5</v>
      </c>
      <c r="P33" s="6">
        <v>100391</v>
      </c>
      <c r="Q33" s="9">
        <f t="shared" si="5"/>
        <v>17</v>
      </c>
      <c r="R33" s="12">
        <v>44</v>
      </c>
      <c r="S33" s="9">
        <f t="shared" si="6"/>
        <v>0</v>
      </c>
      <c r="T33" s="6">
        <v>207101</v>
      </c>
      <c r="U33" s="9">
        <f t="shared" si="7"/>
        <v>34</v>
      </c>
      <c r="V33" s="13"/>
      <c r="W33" s="94">
        <f t="shared" si="8"/>
        <v>0</v>
      </c>
      <c r="X33" s="81">
        <v>11808</v>
      </c>
      <c r="Y33" s="56"/>
      <c r="Z33" s="94">
        <f t="shared" si="14"/>
        <v>0</v>
      </c>
      <c r="AA33" s="81">
        <v>2123</v>
      </c>
      <c r="AB33" s="6"/>
      <c r="AC33" s="96">
        <f t="shared" si="15"/>
        <v>0</v>
      </c>
      <c r="AD33" s="81">
        <v>241</v>
      </c>
      <c r="AE33" s="12"/>
      <c r="AF33" s="9">
        <v>0</v>
      </c>
      <c r="AG33" s="81">
        <v>1263</v>
      </c>
      <c r="AH33" s="6"/>
      <c r="AI33" s="94">
        <f t="shared" si="17"/>
        <v>0</v>
      </c>
      <c r="AJ33" s="97">
        <v>224</v>
      </c>
      <c r="AK33" s="98"/>
      <c r="AL33" s="6"/>
      <c r="AM33" s="94">
        <f t="shared" si="9"/>
        <v>0</v>
      </c>
      <c r="AN33" s="92">
        <v>420</v>
      </c>
      <c r="AO33" s="98"/>
      <c r="AP33" s="6"/>
      <c r="AQ33" s="94">
        <f t="shared" si="18"/>
        <v>0</v>
      </c>
      <c r="AR33" s="92">
        <v>256</v>
      </c>
      <c r="AS33" s="99">
        <v>4</v>
      </c>
      <c r="AT33" s="6">
        <v>8</v>
      </c>
      <c r="AU33" s="7"/>
      <c r="AV33" s="13"/>
      <c r="AW33" s="82">
        <f t="shared" si="10"/>
        <v>0</v>
      </c>
      <c r="AX33" s="12">
        <v>612</v>
      </c>
      <c r="AY33" s="9">
        <f t="shared" si="11"/>
        <v>1</v>
      </c>
      <c r="AZ33" s="83">
        <f t="shared" si="19"/>
        <v>12640.344827586208</v>
      </c>
      <c r="BA33" s="83">
        <f t="shared" si="20"/>
        <v>11.379310344827585</v>
      </c>
      <c r="BB33" s="83">
        <f t="shared" si="12"/>
        <v>5848.9655172413786</v>
      </c>
      <c r="BC33" s="83">
        <f t="shared" si="21"/>
        <v>130.34482758620692</v>
      </c>
      <c r="BD33" s="84">
        <f t="shared" si="22"/>
        <v>0</v>
      </c>
      <c r="BE33" s="83">
        <f>IF(X33&lt;&gt;0,AVERAGE(X$11:X33)*30,)</f>
        <v>333422.60869565222</v>
      </c>
      <c r="BF33" s="83">
        <f>IF(AD33+AG33&lt;&gt;0,AVERAGE(AD$11:AD33)*30+AVERAGE(AG$11:AG33)*30,)</f>
        <v>47115.65217391304</v>
      </c>
      <c r="BG33" s="84">
        <f>IF(AJ33&lt;&gt;0,AVERAGE(AJ$11:AJ33)*30,)</f>
        <v>6626.086956521739</v>
      </c>
      <c r="BH33" s="84">
        <f>IF(AN33&lt;&gt;0,AVERAGE(AN$11:AN33)*30,)</f>
        <v>15301.304347826086</v>
      </c>
      <c r="BI33" s="84">
        <f>IF(AR33&lt;&gt;0,AVERAGE(AR$11:AR33)*30,)</f>
        <v>8504.347826086956</v>
      </c>
    </row>
    <row r="34" spans="1:61" x14ac:dyDescent="0.35">
      <c r="A34" s="54">
        <f t="shared" si="24"/>
        <v>30</v>
      </c>
      <c r="B34" s="55" t="s">
        <v>69</v>
      </c>
      <c r="C34" s="10"/>
      <c r="D34" s="100">
        <v>369176</v>
      </c>
      <c r="E34" s="101">
        <f t="shared" si="23"/>
        <v>684</v>
      </c>
      <c r="F34" s="102">
        <v>7099</v>
      </c>
      <c r="G34" s="101">
        <f t="shared" si="0"/>
        <v>0</v>
      </c>
      <c r="H34" s="103">
        <v>114715</v>
      </c>
      <c r="I34" s="101">
        <f t="shared" si="1"/>
        <v>166</v>
      </c>
      <c r="J34" s="46">
        <v>628598</v>
      </c>
      <c r="K34" s="8">
        <f t="shared" si="2"/>
        <v>159</v>
      </c>
      <c r="L34" s="104"/>
      <c r="M34" s="11" t="e">
        <f t="shared" si="3"/>
        <v>#DIV/0!</v>
      </c>
      <c r="N34" s="105">
        <v>15083</v>
      </c>
      <c r="O34" s="101">
        <f t="shared" si="4"/>
        <v>5</v>
      </c>
      <c r="P34" s="6">
        <v>100407</v>
      </c>
      <c r="Q34" s="9">
        <f t="shared" si="5"/>
        <v>16</v>
      </c>
      <c r="R34" s="12">
        <v>44</v>
      </c>
      <c r="S34" s="9">
        <f t="shared" si="6"/>
        <v>0</v>
      </c>
      <c r="T34" s="6">
        <v>207141</v>
      </c>
      <c r="U34" s="9">
        <f t="shared" si="7"/>
        <v>40</v>
      </c>
      <c r="V34" s="106">
        <v>5808.74</v>
      </c>
      <c r="W34" s="101">
        <f t="shared" si="8"/>
        <v>12779228</v>
      </c>
      <c r="X34" s="81">
        <v>12141</v>
      </c>
      <c r="Y34" s="56">
        <v>1101.143</v>
      </c>
      <c r="Z34" s="101">
        <f t="shared" si="14"/>
        <v>2422514.6</v>
      </c>
      <c r="AA34" s="81">
        <v>2147</v>
      </c>
      <c r="AB34" s="102">
        <v>1783697.8</v>
      </c>
      <c r="AC34" s="107">
        <f t="shared" si="15"/>
        <v>1783697.8</v>
      </c>
      <c r="AD34" s="81">
        <v>241</v>
      </c>
      <c r="AE34" s="108">
        <v>5300045</v>
      </c>
      <c r="AF34" s="9"/>
      <c r="AG34" s="81">
        <v>1315</v>
      </c>
      <c r="AH34" s="102">
        <v>34337.699999999997</v>
      </c>
      <c r="AI34" s="101">
        <f t="shared" si="17"/>
        <v>2747016</v>
      </c>
      <c r="AJ34" s="109">
        <v>312</v>
      </c>
      <c r="AK34" s="110"/>
      <c r="AL34" s="105">
        <v>262109.3</v>
      </c>
      <c r="AM34" s="101">
        <f t="shared" si="9"/>
        <v>262109.3</v>
      </c>
      <c r="AN34" s="92">
        <v>521</v>
      </c>
      <c r="AO34" s="110"/>
      <c r="AP34" s="102">
        <v>47121.7</v>
      </c>
      <c r="AQ34" s="101">
        <f t="shared" si="18"/>
        <v>3769736</v>
      </c>
      <c r="AR34" s="92">
        <v>240</v>
      </c>
      <c r="AS34" s="111">
        <v>3</v>
      </c>
      <c r="AT34" s="6">
        <v>6</v>
      </c>
      <c r="AU34" s="7"/>
      <c r="AV34" s="13"/>
      <c r="AW34" s="82">
        <f t="shared" si="10"/>
        <v>0</v>
      </c>
      <c r="AX34" s="12">
        <v>613</v>
      </c>
      <c r="AY34" s="96">
        <f t="shared" si="11"/>
        <v>1</v>
      </c>
      <c r="AZ34" s="83">
        <f t="shared" si="19"/>
        <v>12903</v>
      </c>
      <c r="BA34" s="83">
        <f t="shared" si="20"/>
        <v>11</v>
      </c>
      <c r="BB34" s="83">
        <f t="shared" si="12"/>
        <v>5820</v>
      </c>
      <c r="BC34" s="83">
        <f t="shared" si="21"/>
        <v>131</v>
      </c>
      <c r="BD34" s="84">
        <f t="shared" si="22"/>
        <v>12779228</v>
      </c>
      <c r="BE34" s="83">
        <f>IF(X34&lt;&gt;0,AVERAGE(X$11:X34)*30,)</f>
        <v>334706.25</v>
      </c>
      <c r="BF34" s="83">
        <f>IF(AD34+AG34&lt;&gt;0,AVERAGE(AD$11:AD34)*30+AVERAGE(AG$11:AG34)*30,)</f>
        <v>47097.5</v>
      </c>
      <c r="BG34" s="84">
        <f>IF(AJ34&lt;&gt;0,AVERAGE(AJ$11:AJ34)*30,)</f>
        <v>6740</v>
      </c>
      <c r="BH34" s="84">
        <f>IF(AN34&lt;&gt;0,AVERAGE(AN$11:AN34)*30,)</f>
        <v>15315</v>
      </c>
      <c r="BI34" s="84">
        <f>IF(AR34&lt;&gt;0,AVERAGE(AR$11:AR34)*30,)</f>
        <v>8450</v>
      </c>
    </row>
    <row r="35" spans="1:61" ht="16" thickBot="1" x14ac:dyDescent="0.4">
      <c r="A35" s="54">
        <f t="shared" ref="A35" si="25">1+A34</f>
        <v>31</v>
      </c>
      <c r="B35" s="55" t="s">
        <v>69</v>
      </c>
      <c r="C35" s="67"/>
      <c r="D35" s="6"/>
      <c r="E35" s="8">
        <f t="shared" ref="E35" si="26">IF(ISBLANK(D35),0,D35-D34)</f>
        <v>0</v>
      </c>
      <c r="F35" s="6"/>
      <c r="G35" s="8">
        <f t="shared" ref="G35" si="27">IF(ISBLANK(F35),0,F35-F34)</f>
        <v>0</v>
      </c>
      <c r="H35" s="6"/>
      <c r="I35" s="8">
        <f t="shared" ref="I35" si="28">IF(ISBLANK(H35),0,H35-H34)</f>
        <v>0</v>
      </c>
      <c r="J35" s="46"/>
      <c r="K35" s="8">
        <f t="shared" ref="K35" si="29">IF(ISBLANK(J35),0,J35-J34)</f>
        <v>0</v>
      </c>
      <c r="L35" s="7"/>
      <c r="M35" s="11" t="e">
        <f t="shared" ref="M35" si="30">I35/L35</f>
        <v>#DIV/0!</v>
      </c>
      <c r="N35" s="14"/>
      <c r="O35" s="68">
        <f t="shared" ref="O35" si="31">IF(ISBLANK(N35),0,N35-N34)</f>
        <v>0</v>
      </c>
      <c r="P35" s="69"/>
      <c r="Q35" s="9">
        <f t="shared" ref="Q35" si="32">IF(ISBLANK(P35),0,P35-P34)</f>
        <v>0</v>
      </c>
      <c r="R35" s="12"/>
      <c r="S35" s="9">
        <f t="shared" ref="S35" si="33">IF(ISBLANK(R35),0,R35-R34)</f>
        <v>0</v>
      </c>
      <c r="T35" s="69"/>
      <c r="U35" s="9">
        <f t="shared" ref="U35" si="34">IF(ISBLANK(T35),0,T35-T34)</f>
        <v>0</v>
      </c>
      <c r="V35" s="13"/>
      <c r="W35" s="8">
        <f t="shared" ref="W35" si="35">IF(ISBLANK(V35),0,SUM(V35-V34)*2200)</f>
        <v>0</v>
      </c>
      <c r="X35" s="46"/>
      <c r="Y35" s="56"/>
      <c r="Z35" s="8">
        <f t="shared" ref="Z35" si="36">IF(ISBLANK(Y35),0,Y35-Y34)*2200</f>
        <v>0</v>
      </c>
      <c r="AA35" s="46"/>
      <c r="AB35" s="6"/>
      <c r="AC35" s="9">
        <f>IF(ISBLANK(AB35),0,SUM(AB35-AB24))</f>
        <v>0</v>
      </c>
      <c r="AD35" s="46"/>
      <c r="AE35" s="12"/>
      <c r="AF35" s="9"/>
      <c r="AG35" s="57"/>
      <c r="AH35" s="6"/>
      <c r="AI35" s="8">
        <f t="shared" ref="AI35" si="37">IF(ISBLANK(AH35),0,AH35-AH34)*80</f>
        <v>0</v>
      </c>
      <c r="AJ35" s="46"/>
      <c r="AK35" s="7"/>
      <c r="AL35" s="6"/>
      <c r="AM35" s="8">
        <f t="shared" ref="AM35" si="38">IF(ISBLANK(AL35),0,AL35-AL34)</f>
        <v>0</v>
      </c>
      <c r="AN35" s="46"/>
      <c r="AO35" s="7"/>
      <c r="AP35" s="6"/>
      <c r="AQ35" s="8">
        <f t="shared" ref="AQ35" si="39">IF(ISBLANK(AP35),0,AP35-AP34)*80</f>
        <v>0</v>
      </c>
      <c r="AR35" s="46"/>
      <c r="AS35" s="14"/>
      <c r="AT35" s="14"/>
      <c r="AU35" s="62"/>
      <c r="AV35" s="56"/>
      <c r="AW35" s="63">
        <f t="shared" ref="AW35" si="40">IF(ISBLANK(AV35),0,AV35-AV34)</f>
        <v>0</v>
      </c>
      <c r="AX35" s="12"/>
      <c r="AY35" s="9">
        <f t="shared" ref="AY35" si="41">IF(ISBLANK(AX35),0,AX35-AX34)</f>
        <v>0</v>
      </c>
      <c r="AZ35" s="9">
        <f t="shared" ref="AZ35" si="42">IF(D35&lt;&gt;0,(+D35-D$10)/$A35*31,0)</f>
        <v>0</v>
      </c>
      <c r="BA35" s="9">
        <f t="shared" ref="BA35" si="43">IF(F35&lt;&gt;0,(+F35-F$10)/$A35*31,0)</f>
        <v>0</v>
      </c>
      <c r="BB35" s="9">
        <f t="shared" ref="BB35" si="44">IF(H35&lt;&gt;0,(+H35-H$10)/$A35*31,0)</f>
        <v>0</v>
      </c>
      <c r="BC35" s="9">
        <f t="shared" ref="BC35" si="45">IF(N35&lt;&gt;0,(+N35-N$10)/$A35*31,0)</f>
        <v>0</v>
      </c>
      <c r="BD35" s="9">
        <f t="shared" ref="BD35" si="46">IF(V35&lt;&gt;0,(+V35-V$10)*2200/$A35*31,0)</f>
        <v>0</v>
      </c>
      <c r="BE35" s="9">
        <f>IF(X35&lt;&gt;0,AVERAGE(X$11:X35)*31,)</f>
        <v>0</v>
      </c>
      <c r="BF35" s="8">
        <f>IF(AD35+AG35&lt;&gt;0,AVERAGE(AD$11:AD35)*31+AVERAGE(AG$11:AG35)*31,)</f>
        <v>0</v>
      </c>
      <c r="BG35" s="9">
        <f>IF(AJ35&lt;&gt;0,AVERAGE(AJ$11:AJ35)*31,)</f>
        <v>0</v>
      </c>
      <c r="BH35" s="9">
        <f>IF(AN35&lt;&gt;0,AVERAGE(AN$11:AN35)*31,)</f>
        <v>0</v>
      </c>
      <c r="BI35" s="9">
        <f>IF(AR35&lt;&gt;0,AVERAGE(AR$11:AR35)*31,)</f>
        <v>0</v>
      </c>
    </row>
    <row r="36" spans="1:61" ht="15" customHeight="1" thickTop="1" thickBot="1" x14ac:dyDescent="0.4">
      <c r="A36" s="70" t="s">
        <v>70</v>
      </c>
      <c r="C36" s="15"/>
      <c r="D36" s="16">
        <f>D35-D4</f>
        <v>-354523</v>
      </c>
      <c r="F36" s="16">
        <f>F35-F4</f>
        <v>-7087</v>
      </c>
      <c r="G36" s="2"/>
      <c r="H36" s="16">
        <f>H35-H4</f>
        <v>-108241</v>
      </c>
      <c r="I36" s="2"/>
      <c r="J36" s="59"/>
      <c r="K36" s="2"/>
      <c r="L36" s="2"/>
      <c r="M36" s="2"/>
      <c r="N36" s="16">
        <f>N35-N4</f>
        <v>-14926</v>
      </c>
      <c r="O36" s="2"/>
      <c r="P36" s="16">
        <f>P35-P5</f>
        <v>-98446</v>
      </c>
      <c r="Q36" s="2"/>
      <c r="R36" s="71">
        <f>R35-R5</f>
        <v>-42</v>
      </c>
      <c r="S36" s="2"/>
      <c r="T36" s="16">
        <f>T35-T5</f>
        <v>-204378</v>
      </c>
      <c r="U36" s="2"/>
      <c r="V36" s="16">
        <f>SUM(+V35-V4)*2200</f>
        <v>-12411190</v>
      </c>
      <c r="W36" s="2"/>
      <c r="X36" s="16">
        <f>SUM(X5:X35)</f>
        <v>334428</v>
      </c>
      <c r="Y36" s="72">
        <f>Y35-Y4</f>
        <v>-1072.99</v>
      </c>
      <c r="Z36" s="2"/>
      <c r="AA36" s="16">
        <f>SUM(Y4:Y36)</f>
        <v>3275.4830000000002</v>
      </c>
      <c r="AB36" s="73">
        <f>SUM(+AB35-AB4)</f>
        <v>-1776489</v>
      </c>
      <c r="AC36" s="2"/>
      <c r="AD36" s="16">
        <f>SUM(AD5:AD35)</f>
        <v>7209</v>
      </c>
      <c r="AE36" s="73">
        <f>SUM(+AE35-AE4)</f>
        <v>-5261860</v>
      </c>
      <c r="AF36" s="2"/>
      <c r="AG36" s="16">
        <f>SUM(AG5:AG35)</f>
        <v>39407</v>
      </c>
      <c r="AH36" s="16">
        <f>SUM(+AH35-AH4)*80</f>
        <v>-2740560</v>
      </c>
      <c r="AI36" s="2"/>
      <c r="AJ36" s="60">
        <f>SUM(AJ4:AJ35)</f>
        <v>6456</v>
      </c>
      <c r="AK36" s="2"/>
      <c r="AL36" s="60">
        <f>AL35-AL4</f>
        <v>-246721</v>
      </c>
      <c r="AM36" s="2"/>
      <c r="AN36" s="16">
        <f>SUM(AN5:AN35)</f>
        <v>15385</v>
      </c>
      <c r="AO36" s="2"/>
      <c r="AP36" s="16">
        <f>SUM(+AP35-AP4)*80</f>
        <v>-3761440</v>
      </c>
      <c r="AQ36" s="2"/>
      <c r="AR36" s="16">
        <f>SUM(AR5:AR35)</f>
        <v>8248</v>
      </c>
      <c r="AS36" s="75">
        <f>AVERAGE(AS5:AS35)</f>
        <v>6.9666666666666668</v>
      </c>
      <c r="AT36" s="74">
        <f>AVERAGE(AT5:AT35)</f>
        <v>13.6</v>
      </c>
      <c r="AU36" s="17"/>
      <c r="AV36" s="56"/>
      <c r="AX36" s="16">
        <f>AX35-AX5</f>
        <v>-563</v>
      </c>
      <c r="AY36" s="61"/>
      <c r="AZ36" s="58"/>
      <c r="BA36" s="58"/>
      <c r="BB36" s="58"/>
      <c r="BC36" s="58"/>
      <c r="BD36" s="58"/>
      <c r="BE36" s="9"/>
      <c r="BF36" s="8"/>
      <c r="BG36" s="9"/>
      <c r="BH36" s="9"/>
      <c r="BI36" s="9"/>
    </row>
    <row r="37" spans="1:61" ht="16.5" thickTop="1" thickBot="1" x14ac:dyDescent="0.4">
      <c r="A37" s="48" t="s">
        <v>30</v>
      </c>
      <c r="C37" s="4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9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50"/>
      <c r="AZ37" s="41"/>
      <c r="BA37" s="41"/>
      <c r="BB37" s="41"/>
      <c r="BC37" s="41"/>
      <c r="BD37" s="41"/>
      <c r="BE37" s="51"/>
      <c r="BF37" s="51"/>
      <c r="BG37" s="51"/>
      <c r="BH37" s="51"/>
      <c r="BI37" s="51"/>
    </row>
    <row r="38" spans="1:61" ht="16" thickBot="1" x14ac:dyDescent="0.4">
      <c r="A38" s="48" t="s">
        <v>30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2"/>
      <c r="Z38" s="2"/>
      <c r="AA38" s="2"/>
      <c r="AB38" s="147">
        <f>AD36+AG36</f>
        <v>46616</v>
      </c>
      <c r="AC38" s="148"/>
      <c r="AD38" s="148"/>
      <c r="AE38" s="149"/>
      <c r="AF38" s="2"/>
      <c r="AG38" s="2"/>
      <c r="AH38" s="2"/>
      <c r="AI38" s="53"/>
      <c r="AJ38" s="18">
        <f>AB38+AJ36</f>
        <v>53072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x14ac:dyDescent="0.3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2"/>
      <c r="Z39" s="2"/>
      <c r="AA39" s="2"/>
      <c r="AB39" s="150"/>
      <c r="AC39" s="150"/>
      <c r="AD39" s="150"/>
      <c r="AE39" s="150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6" thickBot="1" x14ac:dyDescent="0.4"/>
    <row r="41" spans="1:61" ht="16.5" thickTop="1" thickBot="1" x14ac:dyDescent="0.4">
      <c r="A41" s="47"/>
      <c r="B41" s="47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  <c r="AS41" s="24"/>
    </row>
    <row r="42" spans="1:61" ht="16" thickTop="1" x14ac:dyDescent="0.35">
      <c r="A42" s="2"/>
    </row>
    <row r="43" spans="1:61" ht="15" customHeight="1" x14ac:dyDescent="0.35">
      <c r="A43" s="2"/>
    </row>
    <row r="44" spans="1:61" ht="25.5" customHeight="1" x14ac:dyDescent="0.35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Paolo Battistin</cp:lastModifiedBy>
  <dcterms:created xsi:type="dcterms:W3CDTF">2017-05-22T13:08:25Z</dcterms:created>
  <dcterms:modified xsi:type="dcterms:W3CDTF">2022-12-16T08:39:53Z</dcterms:modified>
</cp:coreProperties>
</file>