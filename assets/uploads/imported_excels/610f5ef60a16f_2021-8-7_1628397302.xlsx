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12DE5114-4B6B-4563-B069-F78140021160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calcOnSave="0" concurrentCalc="0"/>
</workbook>
</file>

<file path=xl/calcChain.xml><?xml version="1.0" encoding="utf-8"?>
<calcChain xmlns="http://schemas.openxmlformats.org/spreadsheetml/2006/main">
  <c r="B32" i="8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V8" i="2"/>
  <c r="O17" i="8"/>
  <c r="C17" i="2"/>
  <c r="C18" i="2"/>
  <c r="C19" i="2"/>
  <c r="G17" i="8"/>
  <c r="B8" i="8"/>
  <c r="B10" i="8"/>
  <c r="S27" i="2"/>
  <c r="B20" i="4"/>
  <c r="B3" i="4"/>
  <c r="H21" i="2"/>
  <c r="C21" i="2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/>
  <c r="B35" i="8"/>
  <c r="O33" i="6"/>
  <c r="N33" i="6"/>
  <c r="M33" i="6"/>
  <c r="E33" i="6"/>
  <c r="B36" i="4"/>
  <c r="D5" i="2"/>
  <c r="D4" i="4"/>
  <c r="D6" i="2"/>
  <c r="D5" i="4"/>
  <c r="D7" i="2"/>
  <c r="D6" i="4"/>
  <c r="D7" i="4"/>
  <c r="D8" i="4"/>
  <c r="D10" i="2"/>
  <c r="D9" i="4"/>
  <c r="D11" i="2"/>
  <c r="D10" i="4"/>
  <c r="D12" i="2"/>
  <c r="D11" i="4"/>
  <c r="D13" i="2"/>
  <c r="D12" i="4"/>
  <c r="D14" i="2"/>
  <c r="D13" i="4"/>
  <c r="D15" i="2"/>
  <c r="D14" i="4"/>
  <c r="D16" i="2"/>
  <c r="D15" i="4"/>
  <c r="D17" i="2"/>
  <c r="D16" i="4"/>
  <c r="D18" i="2"/>
  <c r="D17" i="4"/>
  <c r="D19" i="2"/>
  <c r="D18" i="4"/>
  <c r="D20" i="2"/>
  <c r="D19" i="4"/>
  <c r="D21" i="2"/>
  <c r="D20" i="4"/>
  <c r="D22" i="2"/>
  <c r="D21" i="4"/>
  <c r="D22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/>
  <c r="D3" i="4"/>
  <c r="D33" i="4"/>
  <c r="C33" i="3"/>
  <c r="D33" i="3"/>
  <c r="E33" i="3"/>
  <c r="J33" i="3"/>
  <c r="K33" i="3"/>
  <c r="L33" i="3"/>
  <c r="D34" i="4"/>
  <c r="D36" i="4"/>
  <c r="I33" i="3"/>
  <c r="I34" i="2"/>
  <c r="H33" i="3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F33" i="3"/>
  <c r="V34" i="2"/>
  <c r="M33" i="3"/>
  <c r="G33" i="3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/>
  <c r="C34" i="8"/>
  <c r="V33" i="8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/>
  <c r="Z33" i="8"/>
  <c r="A34" i="8"/>
  <c r="C33" i="4"/>
  <c r="E33" i="4"/>
  <c r="K33" i="4"/>
  <c r="A33" i="4"/>
  <c r="A33" i="3"/>
  <c r="B35" i="2"/>
  <c r="A34" i="2"/>
  <c r="G33" i="4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/>
  <c r="Y6" i="8"/>
  <c r="Z6" i="8"/>
  <c r="Y7" i="8"/>
  <c r="Z7" i="8"/>
  <c r="Y8" i="8"/>
  <c r="Z8" i="8"/>
  <c r="Y9" i="8"/>
  <c r="Z9" i="8"/>
  <c r="Y10" i="8"/>
  <c r="Z10" i="8"/>
  <c r="Y11" i="8"/>
  <c r="Z11" i="8"/>
  <c r="Y16" i="8"/>
  <c r="Z16" i="8"/>
  <c r="Y17" i="8"/>
  <c r="Z17" i="8"/>
  <c r="Y18" i="8"/>
  <c r="Z18" i="8"/>
  <c r="Y19" i="8"/>
  <c r="Z19" i="8"/>
  <c r="Y20" i="8"/>
  <c r="Y21" i="8"/>
  <c r="Z21" i="8"/>
  <c r="Y22" i="8"/>
  <c r="Z22" i="8"/>
  <c r="Y23" i="8"/>
  <c r="Z23" i="8"/>
  <c r="Y25" i="8"/>
  <c r="Z25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12" i="8"/>
  <c r="Z12" i="8"/>
  <c r="Y13" i="8"/>
  <c r="Z13" i="8"/>
  <c r="Y14" i="8"/>
  <c r="Z14" i="8"/>
  <c r="Y15" i="8"/>
  <c r="Z15" i="8"/>
  <c r="Y24" i="8"/>
  <c r="Z24" i="8"/>
  <c r="Y4" i="8"/>
  <c r="F35" i="8"/>
  <c r="H35" i="8"/>
  <c r="Z20" i="8"/>
  <c r="Y35" i="8"/>
  <c r="Z35" i="8"/>
  <c r="Z4" i="8"/>
  <c r="D35" i="8"/>
  <c r="I33" i="6"/>
  <c r="J35" i="8"/>
  <c r="T35" i="8"/>
  <c r="L35" i="8"/>
  <c r="R35" i="8"/>
  <c r="X35" i="8"/>
  <c r="P35" i="8"/>
  <c r="V35" i="8"/>
  <c r="N35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U5" i="2"/>
  <c r="K4" i="4"/>
  <c r="A30" i="3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/>
  <c r="C5" i="2"/>
  <c r="C4" i="2"/>
  <c r="H32" i="4"/>
  <c r="T20" i="2"/>
  <c r="J7" i="2"/>
  <c r="U7" i="2"/>
  <c r="N17" i="2"/>
  <c r="H15" i="2"/>
  <c r="I12" i="2"/>
  <c r="G11" i="2"/>
  <c r="F11" i="2"/>
  <c r="C11" i="2"/>
  <c r="C10" i="4"/>
  <c r="C10" i="3"/>
  <c r="C9" i="3"/>
  <c r="C8" i="3"/>
  <c r="C7" i="3"/>
  <c r="C6" i="3"/>
  <c r="L10" i="2"/>
  <c r="U10" i="2"/>
  <c r="L9" i="3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/>
  <c r="L6" i="3"/>
  <c r="L7" i="3"/>
  <c r="U11" i="2"/>
  <c r="K10" i="4"/>
  <c r="U12" i="2"/>
  <c r="K11" i="4"/>
  <c r="U13" i="2"/>
  <c r="K12" i="4"/>
  <c r="U14" i="2"/>
  <c r="K13" i="4"/>
  <c r="U15" i="2"/>
  <c r="L14" i="3"/>
  <c r="U16" i="2"/>
  <c r="K15" i="4"/>
  <c r="U17" i="2"/>
  <c r="L16" i="3"/>
  <c r="U18" i="2"/>
  <c r="L17" i="3"/>
  <c r="U19" i="2"/>
  <c r="L18" i="3"/>
  <c r="U20" i="2"/>
  <c r="L19" i="3"/>
  <c r="U21" i="2"/>
  <c r="K20" i="4"/>
  <c r="U22" i="2"/>
  <c r="K21" i="4"/>
  <c r="L22" i="3"/>
  <c r="U24" i="2"/>
  <c r="K23" i="4"/>
  <c r="U25" i="2"/>
  <c r="K24" i="4"/>
  <c r="U26" i="2"/>
  <c r="K25" i="4"/>
  <c r="U27" i="2"/>
  <c r="K26" i="4"/>
  <c r="U28" i="2"/>
  <c r="L27" i="3"/>
  <c r="U29" i="2"/>
  <c r="K28" i="4"/>
  <c r="U30" i="2"/>
  <c r="K29" i="4"/>
  <c r="U31" i="2"/>
  <c r="K30" i="4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/>
  <c r="E7" i="2"/>
  <c r="E6" i="4"/>
  <c r="E7" i="4"/>
  <c r="E11" i="2"/>
  <c r="F10" i="3"/>
  <c r="E12" i="2"/>
  <c r="E13" i="2"/>
  <c r="E12" i="4"/>
  <c r="E14" i="2"/>
  <c r="F13" i="3"/>
  <c r="E15" i="2"/>
  <c r="E14" i="4"/>
  <c r="E16" i="2"/>
  <c r="E17" i="2"/>
  <c r="E16" i="4"/>
  <c r="E18" i="2"/>
  <c r="E19" i="2"/>
  <c r="F18" i="3"/>
  <c r="E20" i="2"/>
  <c r="F19" i="3"/>
  <c r="E21" i="2"/>
  <c r="F20" i="3"/>
  <c r="E22" i="2"/>
  <c r="E21" i="4"/>
  <c r="F22" i="3"/>
  <c r="E24" i="2"/>
  <c r="F23" i="3"/>
  <c r="E25" i="2"/>
  <c r="F24" i="3"/>
  <c r="E26" i="2"/>
  <c r="E27" i="2"/>
  <c r="F26" i="3"/>
  <c r="E28" i="2"/>
  <c r="E27" i="4"/>
  <c r="E29" i="2"/>
  <c r="E28" i="4"/>
  <c r="E30" i="2"/>
  <c r="F29" i="3"/>
  <c r="E31" i="2"/>
  <c r="F30" i="3"/>
  <c r="E32" i="2"/>
  <c r="F31" i="3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/>
  <c r="M4" i="3"/>
  <c r="V6" i="2"/>
  <c r="M5" i="3"/>
  <c r="V7" i="2"/>
  <c r="M6" i="3"/>
  <c r="V20" i="2"/>
  <c r="T35" i="2"/>
  <c r="K35" i="2"/>
  <c r="P35" i="2"/>
  <c r="F35" i="2"/>
  <c r="O35" i="2"/>
  <c r="V32" i="2"/>
  <c r="V24" i="2"/>
  <c r="V16" i="2"/>
  <c r="M15" i="3"/>
  <c r="F4" i="3"/>
  <c r="M35" i="2"/>
  <c r="V31" i="2"/>
  <c r="V23" i="2"/>
  <c r="M22" i="3"/>
  <c r="V15" i="2"/>
  <c r="M14" i="3"/>
  <c r="I35" i="2"/>
  <c r="S35" i="2"/>
  <c r="R35" i="2"/>
  <c r="E3" i="4"/>
  <c r="E35" i="2"/>
  <c r="V4" i="2"/>
  <c r="M3" i="3"/>
  <c r="F17" i="3"/>
  <c r="V18" i="2"/>
  <c r="M17" i="3"/>
  <c r="L35" i="2"/>
  <c r="H35" i="2"/>
  <c r="V30" i="2"/>
  <c r="V26" i="2"/>
  <c r="M25" i="3"/>
  <c r="D21" i="3"/>
  <c r="V22" i="2"/>
  <c r="M21" i="3"/>
  <c r="V14" i="2"/>
  <c r="M13" i="3"/>
  <c r="J35" i="2"/>
  <c r="V10" i="2"/>
  <c r="M9" i="3"/>
  <c r="V11" i="2"/>
  <c r="M10" i="3"/>
  <c r="V28" i="2"/>
  <c r="M27" i="3"/>
  <c r="C11" i="4"/>
  <c r="V12" i="2"/>
  <c r="M11" i="3"/>
  <c r="G35" i="2"/>
  <c r="V27" i="2"/>
  <c r="V19" i="2"/>
  <c r="M7" i="3"/>
  <c r="Q35" i="2"/>
  <c r="K3" i="4"/>
  <c r="U35" i="2"/>
  <c r="V29" i="2"/>
  <c r="M28" i="3"/>
  <c r="V25" i="2"/>
  <c r="C20" i="4"/>
  <c r="V21" i="2"/>
  <c r="M20" i="3"/>
  <c r="V17" i="2"/>
  <c r="C12" i="4"/>
  <c r="V13" i="2"/>
  <c r="M12" i="3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/>
  <c r="D34" i="3"/>
  <c r="E34" i="4"/>
  <c r="E36" i="4"/>
  <c r="K34" i="4"/>
  <c r="K36" i="4"/>
  <c r="J34" i="3"/>
  <c r="I34" i="3"/>
  <c r="L34" i="3"/>
  <c r="F34" i="3"/>
  <c r="G34" i="3"/>
  <c r="H34" i="3"/>
  <c r="E34" i="3"/>
  <c r="K34" i="3"/>
  <c r="F34" i="4"/>
  <c r="F36" i="4"/>
  <c r="G34" i="4"/>
  <c r="G36" i="4"/>
  <c r="I34" i="4"/>
  <c r="I36" i="4"/>
  <c r="C34" i="4"/>
  <c r="C36" i="4"/>
  <c r="H34" i="4"/>
  <c r="H36" i="4"/>
  <c r="J34" i="4"/>
  <c r="J36" i="4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/>
  <c r="N34" i="3"/>
  <c r="L34" i="4"/>
  <c r="M34" i="4"/>
  <c r="L36" i="4"/>
  <c r="M36" i="4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<sst xmlns="http://schemas.openxmlformats.org/spreadsheetml/2006/main" count="201" uniqueCount="128">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</sst>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-237010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A8" sqref="A8:XFD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0.14000000000000001</v>
      </c>
      <c r="G2" s="107">
        <v>5872</v>
      </c>
      <c r="H2" s="48">
        <v>0.45</v>
      </c>
      <c r="I2" s="65">
        <v>320</v>
      </c>
      <c r="J2" s="76">
        <v>0.4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0.14000000000000001</v>
      </c>
      <c r="G3" s="107">
        <v>5616</v>
      </c>
      <c r="H3" s="48">
        <v>0.45</v>
      </c>
      <c r="I3" s="65">
        <v>269</v>
      </c>
      <c r="J3" s="76">
        <v>0.4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0.14000000000000001</v>
      </c>
      <c r="G4" s="107">
        <v>6176</v>
      </c>
      <c r="H4" s="48">
        <v>0.45</v>
      </c>
      <c r="I4" s="65">
        <v>435</v>
      </c>
      <c r="J4" s="76">
        <v>0.4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0.14000000000000001</v>
      </c>
      <c r="G5" s="107">
        <v>6476</v>
      </c>
      <c r="H5" s="48">
        <v>0.45</v>
      </c>
      <c r="I5" s="65">
        <v>400</v>
      </c>
      <c r="J5" s="76">
        <v>0.4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16619.999999999891</v>
      </c>
      <c r="F6" s="48">
        <v>0.14000000000000001</v>
      </c>
      <c r="G6" s="107">
        <v>6218</v>
      </c>
      <c r="H6" s="48">
        <v>0.45</v>
      </c>
      <c r="I6" s="65">
        <v>371</v>
      </c>
      <c r="J6" s="76">
        <v>0.4</v>
      </c>
      <c r="K6" s="108"/>
      <c r="L6" s="76"/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27349.999999999909</v>
      </c>
      <c r="F7" s="48">
        <v>0.14000000000000001</v>
      </c>
      <c r="G7" s="107">
        <v>5743</v>
      </c>
      <c r="H7" s="48">
        <v>0.45</v>
      </c>
      <c r="I7" s="65">
        <v>256</v>
      </c>
      <c r="J7" s="76">
        <v>0.4</v>
      </c>
      <c r="K7" s="108"/>
      <c r="L7" s="76"/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>
        <v>23490.00000000092</v>
      </c>
      <c r="F8" s="48">
        <v>0.14000000000000001</v>
      </c>
      <c r="G8" s="107">
        <v>6796</v>
      </c>
      <c r="H8" s="48">
        <v>0.45</v>
      </c>
      <c r="I8" s="65">
        <v>366</v>
      </c>
      <c r="J8" s="76">
        <v>0.4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/>
      <c r="F9" s="48">
        <v>0.14000000000000001</v>
      </c>
      <c r="G9" s="107"/>
      <c r="H9" s="48">
        <v>0.45</v>
      </c>
      <c r="I9" s="65"/>
      <c r="J9" s="76">
        <v>0.4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/>
      <c r="F10" s="48">
        <v>0.14000000000000001</v>
      </c>
      <c r="G10" s="107"/>
      <c r="H10" s="48">
        <v>0.45</v>
      </c>
      <c r="I10" s="65"/>
      <c r="J10" s="76">
        <v>0.4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/>
      <c r="F11" s="48">
        <v>0.14000000000000001</v>
      </c>
      <c r="G11" s="107"/>
      <c r="H11" s="48">
        <v>0.45</v>
      </c>
      <c r="I11" s="65"/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155750.0000000007</v>
      </c>
      <c r="F33" s="104">
        <v>0</v>
      </c>
      <c r="G33" s="101">
        <f>SUM(G2:G32)</f>
        <v>42897</v>
      </c>
      <c r="H33" s="102">
        <v>0</v>
      </c>
      <c r="I33" s="103">
        <f>SUM(I2:I32)</f>
        <v>2417</v>
      </c>
      <c r="J33" s="104">
        <v>0</v>
      </c>
      <c r="K33" s="105">
        <v>0</v>
      </c>
      <c r="L33" s="102">
        <v>0</v>
      </c>
      <c r="M33" s="106">
        <f t="shared" ref="M33:O33" si="1">SUM(M2:M32)</f>
        <v>158</v>
      </c>
      <c r="N33" s="106">
        <f t="shared" si="1"/>
        <v>402</v>
      </c>
      <c r="O33" s="106">
        <f t="shared" si="1"/>
        <v>1102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1" sqref="T1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1030.3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1031.5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/>
      <c r="W10" s="71"/>
      <c r="X10" s="71"/>
      <c r="Y10" s="17"/>
    </row>
    <row r="11" spans="1:25" ht="21" customHeight="1" x14ac:dyDescent="0.25">
      <c r="A11" s="8">
        <v>44416</v>
      </c>
      <c r="B11" s="1">
        <v>1032.9000000000001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71"/>
      <c r="W11" s="71"/>
      <c r="X11" s="71"/>
      <c r="Y11" s="17"/>
    </row>
    <row r="12" spans="1:25" ht="21" customHeight="1" x14ac:dyDescent="0.25">
      <c r="A12" s="8">
        <v>44417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44419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44420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158</v>
      </c>
      <c r="W35" s="78">
        <f>SUM(W4:W34)</f>
        <v>402</v>
      </c>
      <c r="X35" s="78">
        <f>SUM(X4:X34)</f>
        <v>1102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16619.999999999891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</f>
        <v>1399.9999999998636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495.61000000030072</v>
      </c>
    </row>
    <row r="9" spans="1:22" x14ac:dyDescent="0.25">
      <c r="A9" s="3">
        <f>'Kwh Reading'!A9</f>
        <v>44414</v>
      </c>
      <c r="B9" s="26">
        <f>TOTAL!E7</f>
        <v>27349.999999999909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</f>
        <v>1200.0000000000455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12301.529999999319</v>
      </c>
    </row>
    <row r="10" spans="1:22" x14ac:dyDescent="0.25">
      <c r="A10" s="3">
        <f>'Kwh Reading'!A10</f>
        <v>44415</v>
      </c>
      <c r="B10" s="26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</f>
        <v>1400.0000000000909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4">
        <f>'Kwh Reading'!E11-'Kwh Reading'!E10</f>
        <v>3637.390000000596</v>
      </c>
      <c r="T10" s="34">
        <f>'Kwh Reading'!D11-'Kwh Reading'!D10</f>
        <v>2431.609999999404</v>
      </c>
      <c r="U10" s="27">
        <f>('Kwh Reading'!O11-'Kwh Reading'!O10)*1000</f>
        <v>209.99999999997954</v>
      </c>
      <c r="V10" s="16">
        <f t="shared" ref="V10:V34" si="1">B10-(SUM(C10:U10))</f>
        <v>5571.0000000009131</v>
      </c>
    </row>
    <row r="11" spans="1:22" x14ac:dyDescent="0.25">
      <c r="A11" s="3">
        <f>'Kwh Reading'!A11</f>
        <v>44416</v>
      </c>
      <c r="B11" s="26">
        <f>TOTAL!E9</f>
        <v>0</v>
      </c>
      <c r="C11" s="4">
        <f>('Kwh Reading'!T12-'Kwh Reading'!T11)*1000</f>
        <v>-438120</v>
      </c>
      <c r="D11" s="2">
        <f>('Kwh Reading'!F12-'Kwh Reading'!F11)*1000000</f>
        <v>-2473400</v>
      </c>
      <c r="E11" s="2">
        <f>('Kwh Reading'!C12-'Kwh Reading'!C11)*1000</f>
        <v>-238720</v>
      </c>
      <c r="F11" s="2">
        <f>('Kwh Reading'!J12-'Kwh Reading'!J11)*1000</f>
        <v>-326080</v>
      </c>
      <c r="G11" s="2">
        <f>('Kwh Reading'!K12-'Kwh Reading'!K11)*1000</f>
        <v>-351540</v>
      </c>
      <c r="H11" s="2">
        <f>('Kwh Reading'!L12-'Kwh Reading'!L11)*1000</f>
        <v>-241480</v>
      </c>
      <c r="I11" s="2">
        <f>('Kwh Reading'!R12-'Kwh Reading'!R11)*1000</f>
        <v>-168060</v>
      </c>
      <c r="J11" s="2">
        <f>('Kwh Reading'!S12-'Kwh Reading'!S11)*1000</f>
        <v>-119850</v>
      </c>
      <c r="K11" s="2">
        <f>('Kwh Reading'!I12-'Kwh Reading'!I11)*1000</f>
        <v>-248490</v>
      </c>
      <c r="L11" s="2">
        <f>('Kwh Reading'!B12-'Kwh Reading'!B11)*1000</f>
        <v>-1032900.0000000001</v>
      </c>
      <c r="M11" s="2">
        <f>('Kwh Reading'!M12-'Kwh Reading'!M11)*1000</f>
        <v>-547090</v>
      </c>
      <c r="N11" s="2">
        <f>('Kwh Reading'!H12-'Kwh Reading'!H11)*1000</f>
        <v>-639250</v>
      </c>
      <c r="O11" s="2">
        <f>('Kwh Reading'!P12-'Kwh Reading'!P11)*1000</f>
        <v>-657810</v>
      </c>
      <c r="P11" s="2">
        <f>('Kwh Reading'!G12-'Kwh Reading'!G11)*1000</f>
        <v>-778210</v>
      </c>
      <c r="Q11" s="2">
        <f>('Kwh Reading'!Q12-'Kwh Reading'!Q11)*1000</f>
        <v>-488000</v>
      </c>
      <c r="R11" s="2">
        <f>('Kwh Reading'!N12-'Kwh Reading'!N11)*1000</f>
        <v>-499700</v>
      </c>
      <c r="S11" s="34">
        <f>'Kwh Reading'!E12-'Kwh Reading'!E11</f>
        <v>-8305701.0700000003</v>
      </c>
      <c r="T11" s="34">
        <f>'Kwh Reading'!D12-'Kwh Reading'!D11</f>
        <v>-7571014.5999999996</v>
      </c>
      <c r="U11" s="27">
        <f>('Kwh Reading'!O12-'Kwh Reading'!O11)*1000</f>
        <v>-160170</v>
      </c>
      <c r="V11" s="16">
        <f t="shared" si="1"/>
        <v>25285585.670000002</v>
      </c>
    </row>
    <row r="12" spans="1:22" x14ac:dyDescent="0.25">
      <c r="A12" s="3">
        <f>'Kwh Reading'!A12</f>
        <v>44417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44418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44419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44420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44421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44422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44423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44424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44425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44426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44427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159800.00000000134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-237010</v>
      </c>
      <c r="F35" s="75">
        <f t="shared" ref="F35" si="5">SUM(F4:F34)</f>
        <v>-324200</v>
      </c>
      <c r="G35" s="75">
        <f t="shared" ref="G35:U35" si="6">SUM(G4:G34)</f>
        <v>-349560</v>
      </c>
      <c r="H35" s="75">
        <f t="shared" si="6"/>
        <v>-240120.00000000003</v>
      </c>
      <c r="I35" s="75">
        <f t="shared" si="6"/>
        <v>-166730</v>
      </c>
      <c r="J35" s="75">
        <f t="shared" si="6"/>
        <v>-119010.00000000001</v>
      </c>
      <c r="K35" s="75">
        <f t="shared" si="6"/>
        <v>-246180</v>
      </c>
      <c r="L35" s="75">
        <f t="shared" si="6"/>
        <v>-1023100</v>
      </c>
      <c r="M35" s="75">
        <f t="shared" si="6"/>
        <v>-542350</v>
      </c>
      <c r="N35" s="75">
        <f t="shared" si="6"/>
        <v>-635870</v>
      </c>
      <c r="O35" s="75">
        <f t="shared" si="6"/>
        <v>-651110.00000000012</v>
      </c>
      <c r="P35" s="75">
        <f t="shared" si="6"/>
        <v>-771870</v>
      </c>
      <c r="Q35" s="75">
        <f t="shared" si="6"/>
        <v>-483180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-158490.00000000003</v>
      </c>
      <c r="V35" s="75">
        <f>SUM(V4:V34)</f>
        <v>25334149.100000001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16619.999999999891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1729.9999999998761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495.61000000030253</v>
      </c>
    </row>
    <row r="8" spans="1:12" x14ac:dyDescent="0.25">
      <c r="A8" s="14">
        <f>'Kwh Reading'!A9</f>
        <v>44414</v>
      </c>
      <c r="B8" s="83">
        <f>TOTAL!E7</f>
        <v>27349.999999999909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1530.0000000000296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12301.529999999322</v>
      </c>
    </row>
    <row r="9" spans="1:12" x14ac:dyDescent="0.25">
      <c r="A9" s="14">
        <f>'Kwh Reading'!A10</f>
        <v>44415</v>
      </c>
      <c r="B9" s="83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6">
        <f>('Kwh Consumption'!I10+'Kwh Consumption'!J10)</f>
        <v>309.99999999998806</v>
      </c>
      <c r="H9" s="1">
        <f>('Kwh Consumption'!K10+'Kwh Consumption'!L10)</f>
        <v>1730.0000000001035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2">
        <f t="shared" si="0"/>
        <v>5571.0000000009077</v>
      </c>
    </row>
    <row r="10" spans="1:12" x14ac:dyDescent="0.25">
      <c r="A10" s="14">
        <f>'Kwh Reading'!A11</f>
        <v>44416</v>
      </c>
      <c r="B10" s="83">
        <f>TOTAL!E9</f>
        <v>0</v>
      </c>
      <c r="C10" s="1">
        <f>'Kwh Consumption'!C11</f>
        <v>-438120</v>
      </c>
      <c r="D10" s="1">
        <f>'Kwh Consumption'!D11</f>
        <v>-2473400</v>
      </c>
      <c r="E10" s="1">
        <f>'Kwh Consumption'!E11</f>
        <v>-238720</v>
      </c>
      <c r="F10" s="1">
        <f>('Kwh Consumption'!F11+'Kwh Consumption'!G11+'Kwh Consumption'!H11)</f>
        <v>-919100</v>
      </c>
      <c r="G10" s="16">
        <f>('Kwh Consumption'!I11+'Kwh Consumption'!J11)</f>
        <v>-287910</v>
      </c>
      <c r="H10" s="1">
        <f>('Kwh Consumption'!K11+'Kwh Consumption'!L11)</f>
        <v>-1281390</v>
      </c>
      <c r="I10" s="1">
        <f>('Kwh Consumption'!M11+'Kwh Consumption'!N11+'Kwh Consumption'!O11+'Kwh Consumption'!P11+'Kwh Consumption'!Q11+'Kwh Consumption'!R11)</f>
        <v>-3610060</v>
      </c>
      <c r="J10" s="1">
        <f>('Kwh Consumption'!S11+'Kwh Consumption'!T11)</f>
        <v>-15876715.67</v>
      </c>
      <c r="K10" s="1">
        <f>'Kwh Consumption'!U11</f>
        <v>-160170</v>
      </c>
      <c r="L10" s="32">
        <f t="shared" si="0"/>
        <v>25285585.670000002</v>
      </c>
    </row>
    <row r="11" spans="1:12" x14ac:dyDescent="0.25">
      <c r="A11" s="14">
        <f>'Kwh Reading'!A12</f>
        <v>44417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44418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44419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44420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44421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44422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44423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44424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44425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44426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44427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155750.0000000007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-237010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-15839639.1</v>
      </c>
      <c r="K34" s="75">
        <f t="shared" si="1"/>
        <v>-158490.00000000003</v>
      </c>
      <c r="L34" s="75">
        <f t="shared" si="1"/>
        <v>25330099.100000001</v>
      </c>
      <c r="M34" s="84">
        <f>C34+D34+E34+F34+G34+H34+I34+J34+K34+L34</f>
        <v>155750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-60891.600000000006</v>
      </c>
      <c r="D36" s="75">
        <f>D34*B36</f>
        <v>-343840.00000000006</v>
      </c>
      <c r="E36" s="75">
        <f>E34*B36</f>
        <v>-33181.4</v>
      </c>
      <c r="F36" s="75">
        <f>F34*B36</f>
        <v>-127943.20000000001</v>
      </c>
      <c r="G36" s="75">
        <f>G34*B36</f>
        <v>-40003.600000000006</v>
      </c>
      <c r="H36" s="75">
        <f>H34*B36</f>
        <v>-177699.20000000001</v>
      </c>
      <c r="I36" s="75">
        <f>I34*B36</f>
        <v>-501111.80000000005</v>
      </c>
      <c r="J36" s="75">
        <f>J34*B36</f>
        <v>-2217549.4739999999</v>
      </c>
      <c r="K36" s="75">
        <f>K34*B36</f>
        <v>-22188.600000000006</v>
      </c>
      <c r="L36" s="75">
        <f>L34*B36</f>
        <v>3546213.8740000008</v>
      </c>
      <c r="M36" s="84">
        <f>C36+D36+E36+F36+G36+H36+I36+J36+K36+L36</f>
        <v>21805.000000000466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62.999999999998415</v>
      </c>
      <c r="E3" s="1">
        <f>'Kwh Consumption'!D4*' Kwh area wise $ '!B3</f>
        <v>349.99999999999261</v>
      </c>
      <c r="F3" s="1">
        <f>'Kwh Consumption'!E4*' Kwh area wise $ '!B3</f>
        <v>33.600000000001273</v>
      </c>
      <c r="G3" s="1">
        <f>('Kwh Consumption'!F4+'Kwh Consumption'!G4+'Kwh Consumption'!H4)*' Kwh area wise $ '!B3</f>
        <v>118.99999999999922</v>
      </c>
      <c r="H3" s="16">
        <f>('Kwh Consumption'!I4+'Kwh Consumption'!J4)*' Kwh area wise $ '!B3</f>
        <v>47.600000000000485</v>
      </c>
      <c r="I3" s="1">
        <f>('Kwh Consumption'!K4+'Kwh Consumption'!L4)*' Kwh area wise $ '!B3</f>
        <v>244.99999999999605</v>
      </c>
      <c r="J3" s="1">
        <f>('Kwh Consumption'!M4+'Kwh Consumption'!N4+'Kwh Consumption'!O4+'Kwh Consumption'!P4+'Kwh Consumption'!Q4+'Kwh Consumption'!R4)*' Kwh area wise $ '!B3</f>
        <v>586.59999999999172</v>
      </c>
      <c r="K3" s="1">
        <f>('Kwh Consumption'!S4+'Kwh Consumption'!T4)*' Kwh area wise $ '!B3</f>
        <v>756.53620000001047</v>
      </c>
      <c r="L3" s="1">
        <f>'Kwh Consumption'!U4*' Kwh area wise $ '!B3</f>
        <v>29.399999999997139</v>
      </c>
      <c r="M3" s="1">
        <f>'Kwh Consumption'!V4*' Kwh area wise $ '!B3</f>
        <v>1342.0638000000129</v>
      </c>
    </row>
    <row r="4" spans="1:13" x14ac:dyDescent="0.25">
      <c r="A4" s="14">
        <f>'Kwh Reading'!A5</f>
        <v>44410</v>
      </c>
      <c r="B4" s="11">
        <f>TOTAL!F3</f>
        <v>0.14000000000000001</v>
      </c>
      <c r="C4" s="11">
        <f>'Kwh Consumption'!B5*' Kwh area wise $ '!B4</f>
        <v>2902.200000000003</v>
      </c>
      <c r="D4" s="1">
        <f>'Kwh Consumption'!C5*' Kwh area wise $ '!B4</f>
        <v>64.400000000005093</v>
      </c>
      <c r="E4" s="1">
        <f>'Kwh Consumption'!D5*' Kwh area wise $ '!B4</f>
        <v>336.00000000002518</v>
      </c>
      <c r="F4" s="1">
        <f>'Kwh Consumption'!E5*' Kwh area wise $ '!B4</f>
        <v>35</v>
      </c>
      <c r="G4" s="1">
        <f>('Kwh Consumption'!F5+'Kwh Consumption'!G5+'Kwh Consumption'!H5)*' Kwh area wise $ '!B4</f>
        <v>83.999999999999218</v>
      </c>
      <c r="H4" s="16">
        <f>('Kwh Consumption'!I5+'Kwh Consumption'!J5)*' Kwh area wise $ '!B4</f>
        <v>40.599999999998893</v>
      </c>
      <c r="I4" s="1">
        <f>('Kwh Consumption'!K5+'Kwh Consumption'!L5)*' Kwh area wise $ '!B4</f>
        <v>240.80000000001181</v>
      </c>
      <c r="J4" s="1">
        <f>('Kwh Consumption'!M5+'Kwh Consumption'!N5+'Kwh Consumption'!O5+'Kwh Consumption'!P5+'Kwh Consumption'!Q5+'Kwh Consumption'!R5)*' Kwh area wise $ '!B4</f>
        <v>571.19999999999777</v>
      </c>
      <c r="K4" s="1">
        <f>('Kwh Consumption'!S5+'Kwh Consumption'!T5)*' Kwh area wise $ '!B4</f>
        <v>670.85060000013561</v>
      </c>
      <c r="L4" s="1">
        <f>'Kwh Consumption'!U5*' Kwh area wise $ '!B4</f>
        <v>35</v>
      </c>
      <c r="M4" s="1">
        <f>'Kwh Consumption'!V5*' Kwh area wise $ '!B4</f>
        <v>824.3493999998293</v>
      </c>
    </row>
    <row r="5" spans="1:13" x14ac:dyDescent="0.25">
      <c r="A5" s="14">
        <f>'Kwh Reading'!A6</f>
        <v>44411</v>
      </c>
      <c r="B5" s="11">
        <f>TOTAL!F4</f>
        <v>0.14000000000000001</v>
      </c>
      <c r="C5" s="11">
        <f>'Kwh Consumption'!B6*' Kwh area wise $ '!B5</f>
        <v>3171.0000000001082</v>
      </c>
      <c r="D5" s="1">
        <f>'Kwh Consumption'!C6*' Kwh area wise $ '!B5</f>
        <v>68.599999999993315</v>
      </c>
      <c r="E5" s="1">
        <f>'Kwh Consumption'!D6*' Kwh area wise $ '!B5</f>
        <v>321.99999999999562</v>
      </c>
      <c r="F5" s="1">
        <f>'Kwh Consumption'!E6*' Kwh area wise $ '!B5</f>
        <v>37.80000000000144</v>
      </c>
      <c r="G5" s="1">
        <f>('Kwh Consumption'!F6+'Kwh Consumption'!G6+'Kwh Consumption'!H6)*' Kwh area wise $ '!B5</f>
        <v>89.600000000002083</v>
      </c>
      <c r="H5" s="16">
        <f>('Kwh Consumption'!I6+'Kwh Consumption'!J6)*' Kwh area wise $ '!B5</f>
        <v>42.000000000001599</v>
      </c>
      <c r="I5" s="1">
        <f>('Kwh Consumption'!K6+'Kwh Consumption'!L6)*' Kwh area wise $ '!B5</f>
        <v>254.79999999999907</v>
      </c>
      <c r="J5" s="1">
        <f>('Kwh Consumption'!M6+'Kwh Consumption'!N6+'Kwh Consumption'!O6+'Kwh Consumption'!P6+'Kwh Consumption'!Q6+'Kwh Consumption'!R6)*' Kwh area wise $ '!B5</f>
        <v>599.19999999999629</v>
      </c>
      <c r="K5" s="1">
        <f>('Kwh Consumption'!S6+'Kwh Consumption'!T6)*' Kwh area wise $ '!B5</f>
        <v>676.7837999998593</v>
      </c>
      <c r="L5" s="1">
        <f>'Kwh Consumption'!U6*' Kwh area wise $ '!B5</f>
        <v>28.000000000002391</v>
      </c>
      <c r="M5" s="1">
        <f>'Kwh Consumption'!V6*' Kwh area wise $ '!B5</f>
        <v>1052.2162000002572</v>
      </c>
    </row>
    <row r="6" spans="1:13" x14ac:dyDescent="0.25">
      <c r="A6" s="14">
        <f>'Kwh Reading'!A7</f>
        <v>44412</v>
      </c>
      <c r="B6" s="11">
        <f>TOTAL!F5</f>
        <v>0.14000000000000001</v>
      </c>
      <c r="C6" s="11">
        <f>'Kwh Consumption'!B7*' Kwh area wise $ '!B6</f>
        <v>3281.5999999999758</v>
      </c>
      <c r="D6" s="1">
        <f>'Kwh Consumption'!C7*' Kwh area wise $ '!B6</f>
        <v>72.800000000005411</v>
      </c>
      <c r="E6" s="1">
        <f>'Kwh Consumption'!D7*' Kwh area wise $ '!B6</f>
        <v>349.99999999999261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102.1999999999946</v>
      </c>
      <c r="H6" s="16">
        <f>('Kwh Consumption'!I7+'Kwh Consumption'!J7)*' Kwh area wise $ '!B6</f>
        <v>40.599999999998893</v>
      </c>
      <c r="I6" s="1">
        <f>('Kwh Consumption'!K7+'Kwh Consumption'!L7)*' Kwh area wise $ '!B6</f>
        <v>256.20000000000175</v>
      </c>
      <c r="J6" s="1">
        <f>('Kwh Consumption'!M7+'Kwh Consumption'!N7+'Kwh Consumption'!O7+'Kwh Consumption'!P7+'Kwh Consumption'!Q7+'Kwh Consumption'!R7)*' Kwh area wise $ '!B6</f>
        <v>645.40000000000202</v>
      </c>
      <c r="K6" s="1">
        <f>('Kwh Consumption'!S7+'Kwh Consumption'!T7)*' Kwh area wise $ '!B6</f>
        <v>739.8887999999896</v>
      </c>
      <c r="L6" s="1">
        <f>'Kwh Consumption'!U7*' Kwh area wise $ '!B6</f>
        <v>35</v>
      </c>
      <c r="M6" s="1">
        <f>'Kwh Consumption'!V7*' Kwh area wise $ '!B6</f>
        <v>1008.7111999999912</v>
      </c>
    </row>
    <row r="7" spans="1:13" x14ac:dyDescent="0.25">
      <c r="A7" s="14">
        <f>'Kwh Reading'!A8</f>
        <v>44413</v>
      </c>
      <c r="B7" s="11">
        <f>TOTAL!F6</f>
        <v>0.14000000000000001</v>
      </c>
      <c r="C7" s="11">
        <f>'Kwh Consumption'!B8*' Kwh area wise $ '!B7</f>
        <v>2326.7999999999847</v>
      </c>
      <c r="D7" s="1">
        <f>'Kwh Consumption'!C8*' Kwh area wise $ '!B7</f>
        <v>71.399999999998727</v>
      </c>
      <c r="E7" s="1">
        <f>'Kwh Consumption'!D8*' Kwh area wise $ '!B7</f>
        <v>349.99999999999261</v>
      </c>
      <c r="F7" s="1">
        <f>'Kwh Consumption'!E8*' Kwh area wise $ '!B7</f>
        <v>33.599999999997294</v>
      </c>
      <c r="G7" s="1">
        <f>('Kwh Consumption'!F8+'Kwh Consumption'!G8+'Kwh Consumption'!H8)*' Kwh area wise $ '!B7</f>
        <v>106.4000000000067</v>
      </c>
      <c r="H7" s="16">
        <f>('Kwh Consumption'!I8+'Kwh Consumption'!J8)*' Kwh area wise $ '!B7</f>
        <v>44.800000000001042</v>
      </c>
      <c r="I7" s="1">
        <f>('Kwh Consumption'!K8+'Kwh Consumption'!L8)*' Kwh area wise $ '!B7</f>
        <v>242.19999999998268</v>
      </c>
      <c r="J7" s="1">
        <f>('Kwh Consumption'!M8+'Kwh Consumption'!N8+'Kwh Consumption'!O8+'Kwh Consumption'!P8+'Kwh Consumption'!Q8+'Kwh Consumption'!R8)*' Kwh area wise $ '!B7</f>
        <v>625.80000000001178</v>
      </c>
      <c r="K7" s="1">
        <f>('Kwh Consumption'!S8+'Kwh Consumption'!T8)*' Kwh area wise $ '!B7</f>
        <v>746.81459999995309</v>
      </c>
      <c r="L7" s="1">
        <f>'Kwh Consumption'!U8*' Kwh area wise $ '!B7</f>
        <v>36.399999999998727</v>
      </c>
      <c r="M7" s="1">
        <f>'Kwh Consumption'!V8*' Kwh area wise $ '!B7</f>
        <v>69.385400000042111</v>
      </c>
    </row>
    <row r="8" spans="1:13" x14ac:dyDescent="0.25">
      <c r="A8" s="14">
        <f>'Kwh Reading'!A9</f>
        <v>44414</v>
      </c>
      <c r="B8" s="11">
        <f>TOTAL!F7</f>
        <v>0.14000000000000001</v>
      </c>
      <c r="C8" s="11">
        <f>'Kwh Consumption'!B9*' Kwh area wise $ '!B8</f>
        <v>3828.9999999999877</v>
      </c>
      <c r="D8" s="1">
        <f>'Kwh Consumption'!C9*' Kwh area wise $ '!B8</f>
        <v>36.399999999998727</v>
      </c>
      <c r="E8" s="1">
        <f>'Kwh Consumption'!D9*' Kwh area wise $ '!B8</f>
        <v>377.99999999998948</v>
      </c>
      <c r="F8" s="1">
        <f>'Kwh Consumption'!E9*' Kwh area wise $ '!B8</f>
        <v>37.80000000000144</v>
      </c>
      <c r="G8" s="1">
        <f>('Kwh Consumption'!F9+'Kwh Consumption'!G9+'Kwh Consumption'!H9)*' Kwh area wise $ '!B8</f>
        <v>127.39999999999556</v>
      </c>
      <c r="H8" s="16">
        <f>('Kwh Consumption'!I9+'Kwh Consumption'!J9)*' Kwh area wise $ '!B8</f>
        <v>44.800000000001042</v>
      </c>
      <c r="I8" s="1">
        <f>('Kwh Consumption'!K9+'Kwh Consumption'!L9)*' Kwh area wise $ '!B8</f>
        <v>214.20000000000417</v>
      </c>
      <c r="J8" s="1">
        <f>('Kwh Consumption'!M9+'Kwh Consumption'!N9+'Kwh Consumption'!O9+'Kwh Consumption'!P9+'Kwh Consumption'!Q9+'Kwh Consumption'!R9)*' Kwh area wise $ '!B8</f>
        <v>475.99999999999687</v>
      </c>
      <c r="K8" s="1">
        <f>('Kwh Consumption'!S9+'Kwh Consumption'!T9)*' Kwh area wise $ '!B8</f>
        <v>750.18580000009399</v>
      </c>
      <c r="L8" s="1">
        <f>'Kwh Consumption'!U9*' Kwh area wise $ '!B8</f>
        <v>42.000000000001599</v>
      </c>
      <c r="M8" s="1">
        <f>'Kwh Consumption'!V9*' Kwh area wise $ '!B8</f>
        <v>1722.2141999999048</v>
      </c>
    </row>
    <row r="9" spans="1:13" x14ac:dyDescent="0.25">
      <c r="A9" s="14">
        <f>'Kwh Reading'!A10</f>
        <v>44415</v>
      </c>
      <c r="B9" s="11">
        <f>TOTAL!F8</f>
        <v>0.14000000000000001</v>
      </c>
      <c r="C9" s="11">
        <f>'Kwh Consumption'!B10*' Kwh area wise $ '!B9</f>
        <v>3288.6000000001291</v>
      </c>
      <c r="D9" s="1">
        <f>'Kwh Consumption'!C10*' Kwh area wise $ '!B9</f>
        <v>68.600000000001273</v>
      </c>
      <c r="E9" s="1">
        <f>'Kwh Consumption'!D10*' Kwh area wise $ '!B9</f>
        <v>349.99999999999261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102.20000000000256</v>
      </c>
      <c r="H9" s="16">
        <f>('Kwh Consumption'!I10+'Kwh Consumption'!J10)*' Kwh area wise $ '!B9</f>
        <v>43.399999999998336</v>
      </c>
      <c r="I9" s="1">
        <f>('Kwh Consumption'!K10+'Kwh Consumption'!L10)*' Kwh area wise $ '!B9</f>
        <v>242.20000000001451</v>
      </c>
      <c r="J9" s="1">
        <f>('Kwh Consumption'!M10+'Kwh Consumption'!N10+'Kwh Consumption'!O10+'Kwh Consumption'!P10+'Kwh Consumption'!Q10+'Kwh Consumption'!R10)*' Kwh area wise $ '!B9</f>
        <v>792.39999999999566</v>
      </c>
      <c r="K9" s="1">
        <f>('Kwh Consumption'!S10+'Kwh Consumption'!T10)*' Kwh area wise $ '!B9</f>
        <v>849.66000000000008</v>
      </c>
      <c r="L9" s="1">
        <f>'Kwh Consumption'!U10*' Kwh area wise $ '!B9</f>
        <v>29.399999999997139</v>
      </c>
      <c r="M9" s="1">
        <f>'Kwh Consumption'!V10*' Kwh area wise $ '!B9</f>
        <v>779.94000000012795</v>
      </c>
    </row>
    <row r="10" spans="1:13" x14ac:dyDescent="0.25">
      <c r="A10" s="14">
        <f>'Kwh Reading'!A11</f>
        <v>44416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-61336.800000000003</v>
      </c>
      <c r="E10" s="1">
        <f>'Kwh Consumption'!D11*' Kwh area wise $ '!B10</f>
        <v>-346276.00000000006</v>
      </c>
      <c r="F10" s="1">
        <f>'Kwh Consumption'!E11*' Kwh area wise $ '!B10</f>
        <v>-33420.800000000003</v>
      </c>
      <c r="G10" s="1">
        <f>('Kwh Consumption'!F11+'Kwh Consumption'!G11+'Kwh Consumption'!H11)*' Kwh area wise $ '!B10</f>
        <v>-128674.00000000001</v>
      </c>
      <c r="H10" s="16">
        <f>('Kwh Consumption'!I11+'Kwh Consumption'!J11)*' Kwh area wise $ '!B10</f>
        <v>-40307.4</v>
      </c>
      <c r="I10" s="1">
        <f>('Kwh Consumption'!K11+'Kwh Consumption'!L11)*' Kwh area wise $ '!B10</f>
        <v>-179394.6</v>
      </c>
      <c r="J10" s="1">
        <f>('Kwh Consumption'!M11+'Kwh Consumption'!N11+'Kwh Consumption'!O11+'Kwh Consumption'!P11+'Kwh Consumption'!Q11+'Kwh Consumption'!R11)*' Kwh area wise $ '!B10</f>
        <v>-505408.4</v>
      </c>
      <c r="K10" s="1">
        <f>('Kwh Consumption'!S11+'Kwh Consumption'!T11)*' Kwh area wise $ '!B10</f>
        <v>-2222740.1938</v>
      </c>
      <c r="L10" s="1">
        <f>'Kwh Consumption'!U11*' Kwh area wise $ '!B10</f>
        <v>-22423.800000000003</v>
      </c>
      <c r="M10" s="1">
        <f>'Kwh Consumption'!V11*' Kwh area wise $ '!B10</f>
        <v>3539981.9938000008</v>
      </c>
    </row>
    <row r="11" spans="1:13" x14ac:dyDescent="0.25">
      <c r="A11" s="14">
        <f>'Kwh Reading'!A12</f>
        <v>44417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44418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44419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44420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44421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44422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44423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44424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44425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44426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44427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44428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44429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22372.000000000193</v>
      </c>
      <c r="D34" s="75">
        <f t="shared" si="0"/>
        <v>-60891.6</v>
      </c>
      <c r="E34" s="75">
        <f t="shared" si="0"/>
        <v>-343840.00000000006</v>
      </c>
      <c r="F34" s="75">
        <f t="shared" si="0"/>
        <v>-33181.4</v>
      </c>
      <c r="G34" s="75">
        <f t="shared" si="0"/>
        <v>-127943.20000000001</v>
      </c>
      <c r="H34" s="75">
        <f t="shared" si="0"/>
        <v>-40003.599999999999</v>
      </c>
      <c r="I34" s="75">
        <f t="shared" si="0"/>
        <v>-177699.19999999998</v>
      </c>
      <c r="J34" s="75">
        <f t="shared" si="0"/>
        <v>-501111.80000000005</v>
      </c>
      <c r="K34" s="75">
        <f t="shared" si="0"/>
        <v>-2217549.4739999999</v>
      </c>
      <c r="L34" s="75">
        <f t="shared" si="0"/>
        <v>-22188.600000000006</v>
      </c>
      <c r="M34" s="75">
        <f>SUM(M3:M33)</f>
        <v>3546780.8740000008</v>
      </c>
      <c r="N34" s="84">
        <f>D34+E34+F34+G34+H34+I34+J34+K34+L34+M34</f>
        <v>22372.000000000466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0" sqref="R1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>
        <v>175406</v>
      </c>
      <c r="C10" s="56">
        <v>137129</v>
      </c>
      <c r="D10" s="55">
        <v>215366</v>
      </c>
      <c r="E10" s="55">
        <v>250094</v>
      </c>
      <c r="F10" s="55">
        <v>66961</v>
      </c>
      <c r="G10" s="55">
        <v>112313</v>
      </c>
      <c r="H10" s="33">
        <v>54560</v>
      </c>
      <c r="I10" s="55">
        <v>64634</v>
      </c>
      <c r="J10" s="55">
        <v>20742</v>
      </c>
      <c r="K10" s="55">
        <v>1024</v>
      </c>
      <c r="L10" s="55">
        <v>17521</v>
      </c>
      <c r="M10" s="55">
        <v>24767</v>
      </c>
      <c r="N10" s="55">
        <v>7453</v>
      </c>
      <c r="O10" s="55">
        <v>1708</v>
      </c>
      <c r="P10" s="55">
        <v>27351</v>
      </c>
      <c r="Q10" s="33">
        <v>815</v>
      </c>
      <c r="R10" s="55">
        <v>6440</v>
      </c>
    </row>
    <row r="11" spans="1:21" x14ac:dyDescent="0.25">
      <c r="A11" s="54">
        <v>44417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44418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44419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44420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44421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44422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44423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44424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44425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44426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44427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44428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366</v>
      </c>
      <c r="C10" s="66">
        <f>('Water Reading'!B10-'Water Reading'!B9)+('Water Reading'!C10-'Water Reading'!C9)</f>
        <v>849</v>
      </c>
      <c r="D10" s="67">
        <f t="shared" si="2"/>
        <v>2.319672131147541</v>
      </c>
      <c r="E10" s="88">
        <f>'Water Reading'!H10-'Water Reading'!H9</f>
        <v>30</v>
      </c>
      <c r="F10" s="89">
        <f t="shared" si="3"/>
        <v>3.5335689045936397E-2</v>
      </c>
      <c r="G10" s="93">
        <f>('Water Reading'!D10-'Water Reading'!D9)-('Water Reading'!R10-'Water Reading'!R9)-('Water Reading'!Q10-'Water Reading'!Q9)</f>
        <v>250</v>
      </c>
      <c r="H10" s="89">
        <f t="shared" si="4"/>
        <v>0.29446407538280328</v>
      </c>
      <c r="I10" s="90">
        <f>'Water Reading'!P10-'Water Reading'!P9</f>
        <v>12</v>
      </c>
      <c r="J10" s="68">
        <f t="shared" si="5"/>
        <v>1.4134275618374558E-2</v>
      </c>
      <c r="K10" s="91">
        <f>('Water Reading'!I10-'Water Reading'!I9)-('Water Reading'!P10-'Water Reading'!P9)</f>
        <v>21</v>
      </c>
      <c r="L10" s="68">
        <f t="shared" si="6"/>
        <v>2.4734982332155476E-2</v>
      </c>
      <c r="M10" s="90">
        <f>'Water Reading'!R10-'Water Reading'!R9</f>
        <v>7</v>
      </c>
      <c r="N10" s="92">
        <f t="shared" si="7"/>
        <v>8.2449941107184919E-3</v>
      </c>
      <c r="O10" s="90">
        <f>'Water Reading'!Q10-'Water Reading'!Q9</f>
        <v>9</v>
      </c>
      <c r="P10" s="99">
        <f t="shared" si="8"/>
        <v>1.0600706713780919E-2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57</v>
      </c>
      <c r="T10" s="100">
        <f t="shared" si="10"/>
        <v>6.7137809187279157E-2</v>
      </c>
      <c r="U10" s="90">
        <f>'Water Reading'!G10-'Water Reading'!G9</f>
        <v>16</v>
      </c>
      <c r="V10" s="100">
        <f t="shared" si="11"/>
        <v>1.884570082449941E-2</v>
      </c>
      <c r="W10" s="90">
        <f>'Water Reading'!J10-'Water Reading'!J9</f>
        <v>11</v>
      </c>
      <c r="X10" s="100">
        <f t="shared" si="12"/>
        <v>1.2956419316843345E-2</v>
      </c>
      <c r="Y10" s="66">
        <f t="shared" si="0"/>
        <v>413</v>
      </c>
      <c r="Z10" s="67">
        <f t="shared" si="1"/>
        <v>1.1284153005464481</v>
      </c>
    </row>
    <row r="11" spans="1:26" x14ac:dyDescent="0.25">
      <c r="A11" s="8">
        <f>'Water Reading'!A10</f>
        <v>44416</v>
      </c>
      <c r="B11" s="65">
        <f>TOTAL!I9</f>
        <v>0</v>
      </c>
      <c r="C11" s="66">
        <f>('Water Reading'!B11-'Water Reading'!B10)+('Water Reading'!C11-'Water Reading'!C10)</f>
        <v>-312535</v>
      </c>
      <c r="D11" s="67" t="e">
        <f t="shared" si="2"/>
        <v>#DIV/0!</v>
      </c>
      <c r="E11" s="88">
        <f>'Water Reading'!H11-'Water Reading'!H10</f>
        <v>-54560</v>
      </c>
      <c r="F11" s="89">
        <f t="shared" si="3"/>
        <v>0.17457244788583678</v>
      </c>
      <c r="G11" s="93">
        <f>('Water Reading'!D11-'Water Reading'!D10)-('Water Reading'!R11-'Water Reading'!R10)-('Water Reading'!Q11-'Water Reading'!Q10)</f>
        <v>-208111</v>
      </c>
      <c r="H11" s="89">
        <f t="shared" si="4"/>
        <v>0.66588062137040649</v>
      </c>
      <c r="I11" s="90">
        <f>'Water Reading'!P11-'Water Reading'!P10</f>
        <v>-27351</v>
      </c>
      <c r="J11" s="68">
        <f t="shared" si="5"/>
        <v>8.7513398499368067E-2</v>
      </c>
      <c r="K11" s="91">
        <f>('Water Reading'!I11-'Water Reading'!I10)-('Water Reading'!P11-'Water Reading'!P10)</f>
        <v>-37283</v>
      </c>
      <c r="L11" s="68">
        <f t="shared" si="6"/>
        <v>0.11929223926920185</v>
      </c>
      <c r="M11" s="90">
        <f>'Water Reading'!R11-'Water Reading'!R10</f>
        <v>-6440</v>
      </c>
      <c r="N11" s="92">
        <f t="shared" si="7"/>
        <v>2.0605692162477804E-2</v>
      </c>
      <c r="O11" s="98">
        <f>'Water Reading'!Q11-'Water Reading'!Q10</f>
        <v>-815</v>
      </c>
      <c r="P11" s="99">
        <f t="shared" si="8"/>
        <v>2.6077079367110884E-3</v>
      </c>
      <c r="Q11" s="91">
        <f>'Water Reading'!F11-'Water Reading'!F10</f>
        <v>-66961</v>
      </c>
      <c r="R11" s="100">
        <f t="shared" si="9"/>
        <v>0.21425120386516711</v>
      </c>
      <c r="S11" s="90">
        <f>'Water Reading'!E11-'Water Reading'!E10</f>
        <v>-250094</v>
      </c>
      <c r="T11" s="100">
        <f t="shared" si="10"/>
        <v>0.80021117634824901</v>
      </c>
      <c r="U11" s="90">
        <f>'Water Reading'!G11-'Water Reading'!G10</f>
        <v>-112313</v>
      </c>
      <c r="V11" s="100">
        <f t="shared" si="11"/>
        <v>0.3593613515286288</v>
      </c>
      <c r="W11" s="90">
        <f>'Water Reading'!J11-'Water Reading'!J10</f>
        <v>-20742</v>
      </c>
      <c r="X11" s="100">
        <f t="shared" si="12"/>
        <v>6.6366966899707239E-2</v>
      </c>
      <c r="Y11" s="66">
        <f t="shared" si="0"/>
        <v>-784670</v>
      </c>
      <c r="Z11" s="67" t="e">
        <f t="shared" si="1"/>
        <v>#DIV/0!</v>
      </c>
    </row>
    <row r="12" spans="1:26" x14ac:dyDescent="0.25">
      <c r="A12" s="8">
        <f>'Water Reading'!A11</f>
        <v>44417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44418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44419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44420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44421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44422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44423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44424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44425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44426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44427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2566</v>
      </c>
      <c r="C35" s="75">
        <f>SUM(C4:C34)</f>
        <v>-309074</v>
      </c>
      <c r="D35" s="96">
        <f>C35/B35</f>
        <v>-120.44972720187062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-304.79657053780204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2021-08-08T04:34:27Z</dcterms:modified>
  <cp:category/>
  <cp:contentStatus/>
</cp:coreProperties>
</file>