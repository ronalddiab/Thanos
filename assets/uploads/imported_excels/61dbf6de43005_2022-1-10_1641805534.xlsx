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F0941322-FAEE-490A-9AA3-FEC3F14C37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K27" i="4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J6" i="4"/>
  <c r="J7" i="4"/>
  <c r="J8" i="4"/>
  <c r="K8" i="4" s="1"/>
  <c r="J9" i="4"/>
  <c r="K9" i="4" s="1"/>
  <c r="J10" i="4"/>
  <c r="K10" i="4" s="1"/>
  <c r="J11" i="4"/>
  <c r="J12" i="4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J28" i="4"/>
  <c r="K28" i="4" s="1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M14" i="3" s="1"/>
  <c r="I14" i="3"/>
  <c r="J14" i="3"/>
  <c r="K14" i="3"/>
  <c r="H15" i="3"/>
  <c r="M15" i="3" s="1"/>
  <c r="I15" i="3"/>
  <c r="J15" i="3"/>
  <c r="K15" i="3"/>
  <c r="H16" i="3"/>
  <c r="M16" i="3" s="1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M27" i="3" s="1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M30" i="3" s="1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K7" i="4" l="1"/>
  <c r="K6" i="4"/>
  <c r="K5" i="4"/>
  <c r="K12" i="4"/>
  <c r="M12" i="4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<sst xmlns="http://schemas.openxmlformats.org/spreadsheetml/2006/main" count="606" uniqueCount="76">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</sst>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selection activeCell="F9" sqref="F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 t="e">
        <f>'Electricity '!I13+'Electricity '!O12</f>
        <v>#VALUE!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 t="e">
        <f>'Electricity '!I14+'Electricity '!O13</f>
        <v>#VALUE!</v>
      </c>
      <c r="F11" s="141">
        <v>2.06</v>
      </c>
      <c r="G11" s="4" t="str">
        <f>'Gas Water'!M14</f>
        <v/>
      </c>
      <c r="H11" s="141">
        <v>6.17</v>
      </c>
      <c r="I11" s="2" t="str">
        <f>'Gas Water'!L14</f>
        <v/>
      </c>
      <c r="J11" s="141">
        <v>14.95</v>
      </c>
      <c r="K11" s="5"/>
      <c r="L11" s="5"/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 t="e">
        <f>'Electricity '!I14+'Electricity '!O14</f>
        <v>#VALUE!</v>
      </c>
      <c r="F12" s="141">
        <v>2.06</v>
      </c>
      <c r="G12" s="4" t="str">
        <f>'Gas Water'!M15</f>
        <v/>
      </c>
      <c r="H12" s="141">
        <v>6.17</v>
      </c>
      <c r="I12" s="2" t="str">
        <f>'Gas Water'!L15</f>
        <v/>
      </c>
      <c r="J12" s="141">
        <v>14.95</v>
      </c>
      <c r="K12" s="5"/>
      <c r="L12" s="5"/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 t="e">
        <f>'Electricity '!I15+'Electricity '!O15</f>
        <v>#VALUE!</v>
      </c>
      <c r="F13" s="141">
        <v>2.06</v>
      </c>
      <c r="G13" s="4" t="str">
        <f>'Gas Water'!M16</f>
        <v/>
      </c>
      <c r="H13" s="141">
        <v>6.17</v>
      </c>
      <c r="I13" s="2" t="str">
        <f>'Gas Water'!L16</f>
        <v/>
      </c>
      <c r="J13" s="141">
        <v>14.95</v>
      </c>
      <c r="K13" s="5"/>
      <c r="L13" s="5"/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 t="e">
        <f>'Electricity '!I16+'Electricity '!O16</f>
        <v>#VALUE!</v>
      </c>
      <c r="F14" s="141">
        <v>2.06</v>
      </c>
      <c r="G14" s="4" t="str">
        <f>'Gas Water'!M17</f>
        <v/>
      </c>
      <c r="H14" s="141">
        <v>6.17</v>
      </c>
      <c r="I14" s="2" t="str">
        <f>'Gas Water'!L17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 t="e">
        <f>'Electricity '!I17+'Electricity '!O17</f>
        <v>#VALUE!</v>
      </c>
      <c r="F15" s="141">
        <v>2.06</v>
      </c>
      <c r="G15" s="4" t="str">
        <f>'Gas Water'!M18</f>
        <v/>
      </c>
      <c r="H15" s="141">
        <v>6.17</v>
      </c>
      <c r="I15" s="2" t="str">
        <f>'Gas Water'!L18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 t="e">
        <f>'Electricity '!I18+'Electricity '!O18</f>
        <v>#VALUE!</v>
      </c>
      <c r="F16" s="141">
        <v>2.06</v>
      </c>
      <c r="G16" s="4" t="str">
        <f>'Gas Water'!M19</f>
        <v/>
      </c>
      <c r="H16" s="141">
        <v>6.17</v>
      </c>
      <c r="I16" s="2" t="str">
        <f>'Gas Water'!L19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 t="e">
        <f>'Electricity '!I19+'Electricity '!O19</f>
        <v>#VALUE!</v>
      </c>
      <c r="F17" s="141">
        <v>2.06</v>
      </c>
      <c r="G17" s="4" t="str">
        <f>'Gas Water'!M20</f>
        <v/>
      </c>
      <c r="H17" s="141">
        <v>6.17</v>
      </c>
      <c r="I17" s="2" t="str">
        <f>'Gas Water'!L20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5"/>
  <sheetViews>
    <sheetView workbookViewId="0">
      <selection activeCell="G19" sqref="G1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161"/>
      <c r="D14" s="162"/>
      <c r="E14" s="163"/>
      <c r="F14" s="164"/>
      <c r="G14" s="165"/>
      <c r="H14" s="28" t="str">
        <f t="shared" si="1"/>
        <v/>
      </c>
      <c r="I14" s="28" t="str">
        <f t="shared" si="6"/>
        <v/>
      </c>
      <c r="J14" s="28" t="str">
        <f t="shared" si="2"/>
        <v/>
      </c>
      <c r="K14" s="28" t="str">
        <f t="shared" si="7"/>
        <v/>
      </c>
      <c r="L14" s="29" t="str">
        <f t="shared" si="4"/>
        <v/>
      </c>
      <c r="M14" s="30" t="str">
        <f t="shared" si="0"/>
        <v/>
      </c>
      <c r="Q14" s="20">
        <f t="shared" si="5"/>
        <v>1</v>
      </c>
    </row>
    <row r="15" spans="1:23" s="10" customFormat="1" ht="12.95" customHeight="1" x14ac:dyDescent="0.2">
      <c r="B15" s="22">
        <v>44207</v>
      </c>
      <c r="C15" s="161"/>
      <c r="D15" s="162"/>
      <c r="E15" s="163"/>
      <c r="F15" s="164"/>
      <c r="G15" s="165"/>
      <c r="H15" s="28" t="str">
        <f t="shared" si="1"/>
        <v/>
      </c>
      <c r="I15" s="28" t="str">
        <f t="shared" si="6"/>
        <v/>
      </c>
      <c r="J15" s="28" t="str">
        <f t="shared" si="2"/>
        <v/>
      </c>
      <c r="K15" s="28" t="str">
        <f t="shared" si="7"/>
        <v/>
      </c>
      <c r="L15" s="29" t="str">
        <f t="shared" si="4"/>
        <v/>
      </c>
      <c r="M15" s="30" t="str">
        <f t="shared" si="0"/>
        <v/>
      </c>
      <c r="Q15" s="20">
        <f t="shared" si="5"/>
        <v>1</v>
      </c>
    </row>
    <row r="16" spans="1:23" s="10" customFormat="1" ht="12.95" customHeight="1" x14ac:dyDescent="0.2">
      <c r="B16" s="22">
        <v>44208</v>
      </c>
      <c r="C16" s="161"/>
      <c r="D16" s="162"/>
      <c r="E16" s="163"/>
      <c r="F16" s="164"/>
      <c r="G16" s="165"/>
      <c r="H16" s="28" t="str">
        <f t="shared" si="1"/>
        <v/>
      </c>
      <c r="I16" s="28" t="str">
        <f t="shared" si="6"/>
        <v/>
      </c>
      <c r="J16" s="28" t="str">
        <f t="shared" si="2"/>
        <v/>
      </c>
      <c r="K16" s="28" t="str">
        <f t="shared" si="7"/>
        <v/>
      </c>
      <c r="L16" s="29" t="str">
        <f t="shared" si="4"/>
        <v/>
      </c>
      <c r="M16" s="30" t="str">
        <f t="shared" si="0"/>
        <v/>
      </c>
      <c r="Q16" s="20">
        <f t="shared" si="5"/>
        <v>1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1958</v>
      </c>
      <c r="O28" s="32">
        <f>SUM(M4:M34)</f>
        <v>25661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195.8</v>
      </c>
      <c r="O31" s="32">
        <f>AVERAGE(M4:M34)</f>
        <v>2566.1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5383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 xr:uid="{00000000-0002-0000-01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69"/>
  <sheetViews>
    <sheetView workbookViewId="0">
      <selection activeCell="K22" sqref="K22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145"/>
      <c r="E13" s="146"/>
      <c r="F13" s="147"/>
      <c r="G13" s="148">
        <v>184.02799999999999</v>
      </c>
      <c r="H13" s="58">
        <v>4140</v>
      </c>
      <c r="I13" s="58" t="str">
        <f t="shared" si="2"/>
        <v/>
      </c>
      <c r="J13" s="58" t="str">
        <f t="shared" si="2"/>
        <v/>
      </c>
      <c r="K13" s="59" t="str">
        <f t="shared" si="4"/>
        <v/>
      </c>
      <c r="L13" s="58" t="str">
        <f t="shared" si="5"/>
        <v/>
      </c>
      <c r="M13" s="59" t="str">
        <f t="shared" si="6"/>
        <v/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145"/>
      <c r="E14" s="146"/>
      <c r="F14" s="147"/>
      <c r="G14" s="148">
        <v>184.07300000000001</v>
      </c>
      <c r="H14" s="58">
        <v>4140</v>
      </c>
      <c r="I14" s="58" t="str">
        <f t="shared" si="2"/>
        <v/>
      </c>
      <c r="J14" s="58" t="str">
        <f t="shared" si="2"/>
        <v/>
      </c>
      <c r="K14" s="59" t="str">
        <f t="shared" si="4"/>
        <v/>
      </c>
      <c r="L14" s="58" t="str">
        <f t="shared" si="5"/>
        <v/>
      </c>
      <c r="M14" s="59" t="str">
        <f t="shared" si="6"/>
        <v/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145"/>
      <c r="E15" s="146"/>
      <c r="F15" s="147"/>
      <c r="G15" s="148">
        <v>184.107</v>
      </c>
      <c r="H15" s="58">
        <v>4140</v>
      </c>
      <c r="I15" s="58" t="str">
        <f t="shared" si="2"/>
        <v/>
      </c>
      <c r="J15" s="58" t="str">
        <f t="shared" si="2"/>
        <v/>
      </c>
      <c r="K15" s="59" t="str">
        <f t="shared" si="4"/>
        <v/>
      </c>
      <c r="L15" s="58" t="str">
        <f t="shared" si="5"/>
        <v/>
      </c>
      <c r="M15" s="59" t="str">
        <f t="shared" si="6"/>
        <v/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1.3759706843838357E-2</v>
      </c>
      <c r="Q24" s="69">
        <f>IF(L3="",0,+SUM(L3:L33)/SUM(I3:I33))</f>
        <v>1.3759706843838357E-2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-0.34678253420660271</v>
      </c>
      <c r="Q25" s="70">
        <f>IF(L3="",0,+(+(LOOKUP(9.99999999999999E+307,F3:F33)-F2))/(+(LOOKUP(9.99999999999999E+307,D3:D33)-D2)))</f>
        <v>2.181447999163675E-2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J. El Khoury</cp:lastModifiedBy>
  <cp:revision/>
  <dcterms:created xsi:type="dcterms:W3CDTF">2021-02-26T04:38:42Z</dcterms:created>
  <dcterms:modified xsi:type="dcterms:W3CDTF">2022-01-10T09:04:50Z</dcterms:modified>
  <cp:category/>
  <cp:contentStatus/>
</cp:coreProperties>
</file>