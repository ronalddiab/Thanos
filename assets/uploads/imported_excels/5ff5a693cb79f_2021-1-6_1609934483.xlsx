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F10" i="2"/>
  <c r="F11" i="2"/>
  <c r="F12" i="2"/>
  <c r="F13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9" i="2"/>
  <c r="C39" i="2"/>
  <c r="D39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F9" i="1" l="1"/>
  <c r="F10" i="1"/>
  <c r="F11" i="1"/>
  <c r="F12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C10" i="22" l="1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C6" i="22"/>
  <c r="C7" i="22"/>
  <c r="C8" i="22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E3" i="17"/>
  <c r="E4" i="17"/>
  <c r="E5" i="17"/>
  <c r="G35" i="22"/>
  <c r="H35" i="22" s="1"/>
  <c r="I32" i="17" s="1"/>
  <c r="E35" i="22"/>
  <c r="D35" i="22"/>
  <c r="E32" i="17" s="1"/>
  <c r="G34" i="22"/>
  <c r="H34" i="22" s="1"/>
  <c r="I31" i="17" s="1"/>
  <c r="E34" i="22"/>
  <c r="F34" i="22" s="1"/>
  <c r="G31" i="17" s="1"/>
  <c r="D34" i="22"/>
  <c r="E31" i="17" s="1"/>
  <c r="G33" i="22"/>
  <c r="H33" i="22" s="1"/>
  <c r="I30" i="17" s="1"/>
  <c r="E33" i="22"/>
  <c r="F33" i="22" s="1"/>
  <c r="G30" i="17" s="1"/>
  <c r="D33" i="22"/>
  <c r="E30" i="17" s="1"/>
  <c r="G32" i="22"/>
  <c r="E32" i="22"/>
  <c r="F32" i="22" s="1"/>
  <c r="G29" i="17" s="1"/>
  <c r="D32" i="22"/>
  <c r="E29" i="17" s="1"/>
  <c r="G31" i="22"/>
  <c r="H31" i="22" s="1"/>
  <c r="I28" i="17" s="1"/>
  <c r="E31" i="22"/>
  <c r="D31" i="22"/>
  <c r="E28" i="17" s="1"/>
  <c r="G30" i="22"/>
  <c r="H30" i="22" s="1"/>
  <c r="I27" i="17" s="1"/>
  <c r="E30" i="22"/>
  <c r="D30" i="22"/>
  <c r="E27" i="17" s="1"/>
  <c r="G29" i="22"/>
  <c r="H29" i="22" s="1"/>
  <c r="I26" i="17" s="1"/>
  <c r="E29" i="22"/>
  <c r="F29" i="22" s="1"/>
  <c r="G26" i="17" s="1"/>
  <c r="D29" i="22"/>
  <c r="E26" i="17" s="1"/>
  <c r="G28" i="22"/>
  <c r="E28" i="22"/>
  <c r="F28" i="22" s="1"/>
  <c r="G25" i="17" s="1"/>
  <c r="D28" i="22"/>
  <c r="E25" i="17" s="1"/>
  <c r="G27" i="22"/>
  <c r="E27" i="22"/>
  <c r="D27" i="22"/>
  <c r="E24" i="17" s="1"/>
  <c r="G26" i="22"/>
  <c r="H26" i="22" s="1"/>
  <c r="I23" i="17" s="1"/>
  <c r="E26" i="22"/>
  <c r="D26" i="22"/>
  <c r="E23" i="17" s="1"/>
  <c r="G25" i="22"/>
  <c r="H25" i="22" s="1"/>
  <c r="I22" i="17" s="1"/>
  <c r="E25" i="22"/>
  <c r="F25" i="22" s="1"/>
  <c r="G22" i="17" s="1"/>
  <c r="D25" i="22"/>
  <c r="E22" i="17" s="1"/>
  <c r="G24" i="22"/>
  <c r="E24" i="22"/>
  <c r="F24" i="22" s="1"/>
  <c r="G21" i="17" s="1"/>
  <c r="D24" i="22"/>
  <c r="E21" i="17" s="1"/>
  <c r="G23" i="22"/>
  <c r="E23" i="22"/>
  <c r="D23" i="22"/>
  <c r="E20" i="17" s="1"/>
  <c r="G22" i="22"/>
  <c r="H22" i="22" s="1"/>
  <c r="I19" i="17" s="1"/>
  <c r="E22" i="22"/>
  <c r="D22" i="22"/>
  <c r="E19" i="17" s="1"/>
  <c r="G21" i="22"/>
  <c r="H21" i="22" s="1"/>
  <c r="I18" i="17" s="1"/>
  <c r="E21" i="22"/>
  <c r="F21" i="22" s="1"/>
  <c r="G18" i="17" s="1"/>
  <c r="D21" i="22"/>
  <c r="E18" i="17" s="1"/>
  <c r="G20" i="22"/>
  <c r="E20" i="22"/>
  <c r="F20" i="22" s="1"/>
  <c r="G17" i="17" s="1"/>
  <c r="D20" i="22"/>
  <c r="E17" i="17" s="1"/>
  <c r="G19" i="22"/>
  <c r="E19" i="22"/>
  <c r="D19" i="22"/>
  <c r="E16" i="17" s="1"/>
  <c r="G18" i="22"/>
  <c r="H18" i="22" s="1"/>
  <c r="I15" i="17" s="1"/>
  <c r="E18" i="22"/>
  <c r="D18" i="22"/>
  <c r="E15" i="17" s="1"/>
  <c r="G17" i="22"/>
  <c r="H17" i="22" s="1"/>
  <c r="I14" i="17" s="1"/>
  <c r="E17" i="22"/>
  <c r="F17" i="22" s="1"/>
  <c r="G14" i="17" s="1"/>
  <c r="D17" i="22"/>
  <c r="E14" i="17" s="1"/>
  <c r="G16" i="22"/>
  <c r="E16" i="22"/>
  <c r="F16" i="22" s="1"/>
  <c r="G13" i="17" s="1"/>
  <c r="D16" i="22"/>
  <c r="E13" i="17" s="1"/>
  <c r="G15" i="22"/>
  <c r="E15" i="22"/>
  <c r="D15" i="22"/>
  <c r="E12" i="17" s="1"/>
  <c r="G14" i="22"/>
  <c r="H14" i="22" s="1"/>
  <c r="I11" i="17" s="1"/>
  <c r="E14" i="22"/>
  <c r="D14" i="22"/>
  <c r="E11" i="17" s="1"/>
  <c r="G13" i="22"/>
  <c r="H13" i="22" s="1"/>
  <c r="I10" i="17" s="1"/>
  <c r="E13" i="22"/>
  <c r="F13" i="22" s="1"/>
  <c r="G10" i="17" s="1"/>
  <c r="D13" i="22"/>
  <c r="E10" i="17" s="1"/>
  <c r="G12" i="22"/>
  <c r="E12" i="22"/>
  <c r="F12" i="22" s="1"/>
  <c r="G9" i="17" s="1"/>
  <c r="D12" i="22"/>
  <c r="E9" i="17" s="1"/>
  <c r="G11" i="22"/>
  <c r="E11" i="22"/>
  <c r="D11" i="22"/>
  <c r="E8" i="17" s="1"/>
  <c r="G10" i="22"/>
  <c r="H10" i="22" s="1"/>
  <c r="I7" i="17" s="1"/>
  <c r="E10" i="22"/>
  <c r="G9" i="22"/>
  <c r="H9" i="22" s="1"/>
  <c r="I6" i="17" s="1"/>
  <c r="G8" i="22"/>
  <c r="E8" i="22"/>
  <c r="D8" i="22"/>
  <c r="G7" i="22"/>
  <c r="D7" i="22"/>
  <c r="G6" i="22"/>
  <c r="H6" i="22" s="1"/>
  <c r="I3" i="17" s="1"/>
  <c r="E6" i="22"/>
  <c r="D6" i="22"/>
  <c r="G5" i="22"/>
  <c r="H5" i="22" s="1"/>
  <c r="I2" i="17" s="1"/>
  <c r="D5" i="22"/>
  <c r="E2" i="17" s="1"/>
  <c r="G4" i="22"/>
  <c r="E4" i="22"/>
  <c r="H37" i="21"/>
  <c r="E37" i="21"/>
  <c r="H36" i="21"/>
  <c r="F36" i="21"/>
  <c r="G36" i="21" s="1"/>
  <c r="H35" i="21"/>
  <c r="F35" i="21"/>
  <c r="G35" i="21" s="1"/>
  <c r="H34" i="21"/>
  <c r="G34" i="21"/>
  <c r="F34" i="21"/>
  <c r="H33" i="21"/>
  <c r="F33" i="21"/>
  <c r="G33" i="21" s="1"/>
  <c r="H32" i="21"/>
  <c r="F32" i="21"/>
  <c r="G32" i="21" s="1"/>
  <c r="H31" i="21"/>
  <c r="F31" i="21"/>
  <c r="G31" i="21" s="1"/>
  <c r="H30" i="21"/>
  <c r="G30" i="21"/>
  <c r="F30" i="21"/>
  <c r="H29" i="21"/>
  <c r="F29" i="21"/>
  <c r="G29" i="21" s="1"/>
  <c r="H28" i="21"/>
  <c r="F28" i="21"/>
  <c r="G28" i="21" s="1"/>
  <c r="H27" i="21"/>
  <c r="F27" i="21"/>
  <c r="G27" i="21" s="1"/>
  <c r="H26" i="21"/>
  <c r="G26" i="21"/>
  <c r="F26" i="21"/>
  <c r="H25" i="21"/>
  <c r="F25" i="21"/>
  <c r="G25" i="21" s="1"/>
  <c r="H24" i="21"/>
  <c r="F24" i="21"/>
  <c r="G24" i="21" s="1"/>
  <c r="H23" i="21"/>
  <c r="F23" i="21"/>
  <c r="G23" i="21" s="1"/>
  <c r="H22" i="21"/>
  <c r="G22" i="21"/>
  <c r="F22" i="21"/>
  <c r="H21" i="21"/>
  <c r="F21" i="21"/>
  <c r="G21" i="21" s="1"/>
  <c r="H20" i="21"/>
  <c r="F20" i="21"/>
  <c r="G20" i="21" s="1"/>
  <c r="H19" i="21"/>
  <c r="F19" i="21"/>
  <c r="G19" i="21" s="1"/>
  <c r="H18" i="21"/>
  <c r="G18" i="21"/>
  <c r="F18" i="21"/>
  <c r="H17" i="21"/>
  <c r="F17" i="21"/>
  <c r="G17" i="21" s="1"/>
  <c r="H16" i="21"/>
  <c r="F16" i="21"/>
  <c r="G16" i="21" s="1"/>
  <c r="H15" i="21"/>
  <c r="F15" i="21"/>
  <c r="G15" i="21" s="1"/>
  <c r="H14" i="21"/>
  <c r="G14" i="21"/>
  <c r="F14" i="2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H6" i="21"/>
  <c r="G6" i="21"/>
  <c r="E5" i="22" s="1"/>
  <c r="F5" i="22" s="1"/>
  <c r="G2" i="17" s="1"/>
  <c r="F6" i="21"/>
  <c r="Q36" i="19"/>
  <c r="S36" i="19" s="1"/>
  <c r="N36" i="19"/>
  <c r="L36" i="19"/>
  <c r="G36" i="19"/>
  <c r="I36" i="19" s="1"/>
  <c r="D36" i="19"/>
  <c r="B36" i="19"/>
  <c r="S35" i="19"/>
  <c r="V35" i="19" s="1"/>
  <c r="Q35" i="19"/>
  <c r="L35" i="19"/>
  <c r="N35" i="19" s="1"/>
  <c r="I35" i="19"/>
  <c r="G35" i="19"/>
  <c r="B35" i="19"/>
  <c r="D35" i="19" s="1"/>
  <c r="Z34" i="19"/>
  <c r="Z35" i="19" s="1"/>
  <c r="Q34" i="19"/>
  <c r="S34" i="19" s="1"/>
  <c r="N34" i="19"/>
  <c r="L34" i="19"/>
  <c r="G34" i="19"/>
  <c r="I34" i="19" s="1"/>
  <c r="D34" i="19"/>
  <c r="B34" i="19"/>
  <c r="Q33" i="19"/>
  <c r="S33" i="19" s="1"/>
  <c r="L33" i="19"/>
  <c r="N33" i="19" s="1"/>
  <c r="G33" i="19"/>
  <c r="I33" i="19" s="1"/>
  <c r="B33" i="19"/>
  <c r="D33" i="19" s="1"/>
  <c r="S32" i="19"/>
  <c r="Q32" i="19"/>
  <c r="L32" i="19"/>
  <c r="N32" i="19" s="1"/>
  <c r="I32" i="19"/>
  <c r="G32" i="19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N30" i="19"/>
  <c r="L30" i="19"/>
  <c r="G30" i="19"/>
  <c r="I30" i="19" s="1"/>
  <c r="D30" i="19"/>
  <c r="B30" i="19"/>
  <c r="Q29" i="19"/>
  <c r="S29" i="19" s="1"/>
  <c r="V29" i="19" s="1"/>
  <c r="L29" i="19"/>
  <c r="N29" i="19" s="1"/>
  <c r="G29" i="19"/>
  <c r="I29" i="19" s="1"/>
  <c r="B29" i="19"/>
  <c r="D29" i="19" s="1"/>
  <c r="S28" i="19"/>
  <c r="V28" i="19" s="1"/>
  <c r="Q28" i="19"/>
  <c r="L28" i="19"/>
  <c r="N28" i="19" s="1"/>
  <c r="I28" i="19"/>
  <c r="G28" i="19"/>
  <c r="B28" i="19"/>
  <c r="D28" i="19" s="1"/>
  <c r="Q27" i="19"/>
  <c r="S27" i="19" s="1"/>
  <c r="L27" i="19"/>
  <c r="N27" i="19" s="1"/>
  <c r="V27" i="19" s="1"/>
  <c r="G27" i="19"/>
  <c r="I27" i="19" s="1"/>
  <c r="B27" i="19"/>
  <c r="D27" i="19" s="1"/>
  <c r="Q26" i="19"/>
  <c r="S26" i="19" s="1"/>
  <c r="N26" i="19"/>
  <c r="L26" i="19"/>
  <c r="G26" i="19"/>
  <c r="I26" i="19" s="1"/>
  <c r="D26" i="19"/>
  <c r="B26" i="19"/>
  <c r="Q25" i="19"/>
  <c r="S25" i="19" s="1"/>
  <c r="V25" i="19" s="1"/>
  <c r="L25" i="19"/>
  <c r="N25" i="19" s="1"/>
  <c r="I25" i="19"/>
  <c r="G25" i="19"/>
  <c r="B25" i="19"/>
  <c r="D25" i="19" s="1"/>
  <c r="S24" i="19"/>
  <c r="V24" i="19" s="1"/>
  <c r="Q24" i="19"/>
  <c r="L24" i="19"/>
  <c r="N24" i="19" s="1"/>
  <c r="I24" i="19"/>
  <c r="G24" i="19"/>
  <c r="B24" i="19"/>
  <c r="D24" i="19" s="1"/>
  <c r="Q23" i="19"/>
  <c r="S23" i="19" s="1"/>
  <c r="N23" i="19"/>
  <c r="L23" i="19"/>
  <c r="G23" i="19"/>
  <c r="I23" i="19" s="1"/>
  <c r="B23" i="19"/>
  <c r="D23" i="19" s="1"/>
  <c r="Q22" i="19"/>
  <c r="S22" i="19" s="1"/>
  <c r="N22" i="19"/>
  <c r="L22" i="19"/>
  <c r="G22" i="19"/>
  <c r="I22" i="19" s="1"/>
  <c r="D22" i="19"/>
  <c r="B22" i="19"/>
  <c r="Q21" i="19"/>
  <c r="S21" i="19" s="1"/>
  <c r="L21" i="19"/>
  <c r="N21" i="19" s="1"/>
  <c r="G21" i="19"/>
  <c r="I21" i="19" s="1"/>
  <c r="B21" i="19"/>
  <c r="D21" i="19" s="1"/>
  <c r="S20" i="19"/>
  <c r="V20" i="19" s="1"/>
  <c r="Q20" i="19"/>
  <c r="L20" i="19"/>
  <c r="N20" i="19" s="1"/>
  <c r="I20" i="19"/>
  <c r="G20" i="19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N18" i="19"/>
  <c r="L18" i="19"/>
  <c r="G18" i="19"/>
  <c r="I18" i="19" s="1"/>
  <c r="D18" i="19"/>
  <c r="B18" i="19"/>
  <c r="Q17" i="19"/>
  <c r="S17" i="19" s="1"/>
  <c r="V17" i="19" s="1"/>
  <c r="L17" i="19"/>
  <c r="N17" i="19" s="1"/>
  <c r="I17" i="19"/>
  <c r="G17" i="19"/>
  <c r="B17" i="19"/>
  <c r="D17" i="19" s="1"/>
  <c r="S16" i="19"/>
  <c r="V16" i="19" s="1"/>
  <c r="Q16" i="19"/>
  <c r="L16" i="19"/>
  <c r="N16" i="19" s="1"/>
  <c r="I16" i="19"/>
  <c r="G16" i="19"/>
  <c r="B16" i="19"/>
  <c r="D16" i="19" s="1"/>
  <c r="Q15" i="19"/>
  <c r="S15" i="19" s="1"/>
  <c r="N15" i="19"/>
  <c r="L15" i="19"/>
  <c r="G15" i="19"/>
  <c r="I15" i="19" s="1"/>
  <c r="B15" i="19"/>
  <c r="D15" i="19" s="1"/>
  <c r="Q14" i="19"/>
  <c r="S14" i="19" s="1"/>
  <c r="N14" i="19"/>
  <c r="L14" i="19"/>
  <c r="G14" i="19"/>
  <c r="I14" i="19" s="1"/>
  <c r="D14" i="19"/>
  <c r="B14" i="19"/>
  <c r="Q13" i="19"/>
  <c r="S13" i="19" s="1"/>
  <c r="V13" i="19" s="1"/>
  <c r="L13" i="19"/>
  <c r="N13" i="19" s="1"/>
  <c r="G13" i="19"/>
  <c r="I13" i="19" s="1"/>
  <c r="B13" i="19"/>
  <c r="D13" i="19" s="1"/>
  <c r="Q12" i="19"/>
  <c r="S12" i="19" s="1"/>
  <c r="L12" i="19"/>
  <c r="N12" i="19" s="1"/>
  <c r="I12" i="19"/>
  <c r="G12" i="19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N10" i="19"/>
  <c r="L10" i="19"/>
  <c r="G10" i="19"/>
  <c r="I10" i="19" s="1"/>
  <c r="D10" i="19"/>
  <c r="B10" i="19"/>
  <c r="Q9" i="19"/>
  <c r="S9" i="19" s="1"/>
  <c r="V9" i="19" s="1"/>
  <c r="L9" i="19"/>
  <c r="N9" i="19" s="1"/>
  <c r="I9" i="19"/>
  <c r="G9" i="19"/>
  <c r="B9" i="19"/>
  <c r="D9" i="19" s="1"/>
  <c r="S8" i="19"/>
  <c r="V8" i="19" s="1"/>
  <c r="Q8" i="19"/>
  <c r="L8" i="19"/>
  <c r="N8" i="19" s="1"/>
  <c r="I8" i="19"/>
  <c r="G8" i="19"/>
  <c r="B8" i="19"/>
  <c r="D8" i="19" s="1"/>
  <c r="Q7" i="19"/>
  <c r="S7" i="19" s="1"/>
  <c r="N7" i="19"/>
  <c r="L7" i="19"/>
  <c r="G7" i="19"/>
  <c r="I7" i="19" s="1"/>
  <c r="B7" i="19"/>
  <c r="D7" i="19" s="1"/>
  <c r="S6" i="19"/>
  <c r="N6" i="19"/>
  <c r="I6" i="19"/>
  <c r="D6" i="19"/>
  <c r="E13" i="2" l="1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F10" i="22"/>
  <c r="G7" i="17" s="1"/>
  <c r="H11" i="22"/>
  <c r="I8" i="17" s="1"/>
  <c r="F14" i="22"/>
  <c r="G11" i="17" s="1"/>
  <c r="H15" i="22"/>
  <c r="I12" i="17" s="1"/>
  <c r="F18" i="22"/>
  <c r="G15" i="17" s="1"/>
  <c r="H19" i="22"/>
  <c r="I16" i="17" s="1"/>
  <c r="F22" i="22"/>
  <c r="G19" i="17" s="1"/>
  <c r="H23" i="22"/>
  <c r="I20" i="17" s="1"/>
  <c r="F26" i="22"/>
  <c r="G23" i="17" s="1"/>
  <c r="H27" i="22"/>
  <c r="I24" i="17" s="1"/>
  <c r="F30" i="22"/>
  <c r="G27" i="17" s="1"/>
  <c r="F7" i="22"/>
  <c r="G4" i="17" s="1"/>
  <c r="H8" i="22"/>
  <c r="I5" i="17" s="1"/>
  <c r="F11" i="22"/>
  <c r="G8" i="17" s="1"/>
  <c r="H12" i="22"/>
  <c r="I9" i="17" s="1"/>
  <c r="F15" i="22"/>
  <c r="G12" i="17" s="1"/>
  <c r="H16" i="22"/>
  <c r="I13" i="17" s="1"/>
  <c r="F19" i="22"/>
  <c r="G16" i="17" s="1"/>
  <c r="H20" i="22"/>
  <c r="I17" i="17" s="1"/>
  <c r="F23" i="22"/>
  <c r="G20" i="17" s="1"/>
  <c r="H24" i="22"/>
  <c r="I21" i="17" s="1"/>
  <c r="F27" i="22"/>
  <c r="G24" i="17" s="1"/>
  <c r="H28" i="22"/>
  <c r="I25" i="17" s="1"/>
  <c r="F31" i="22"/>
  <c r="G28" i="17" s="1"/>
  <c r="H32" i="22"/>
  <c r="I29" i="17" s="1"/>
  <c r="F35" i="22"/>
  <c r="G32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13" i="1" l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9" i="1"/>
  <c r="M39" i="13"/>
  <c r="D15" i="3" l="1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D9" i="22" l="1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<sst xmlns="http://schemas.openxmlformats.org/spreadsheetml/2006/main" count="383" uniqueCount="154">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</sst>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5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2" fillId="5" borderId="2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right" vertical="center" wrapText="1"/>
    </xf>
    <xf numFmtId="0" fontId="12" fillId="5" borderId="0" xfId="0" applyFont="1" applyFill="1"/>
    <xf numFmtId="0" fontId="12" fillId="5" borderId="10" xfId="0" applyFont="1" applyFill="1" applyBorder="1" applyAlignment="1">
      <alignment horizontal="center" vertical="center"/>
    </xf>
    <xf numFmtId="49" fontId="12" fillId="5" borderId="0" xfId="0" applyNumberFormat="1" applyFont="1" applyFill="1" applyAlignment="1">
      <alignment vertical="center" textRotation="90"/>
    </xf>
    <xf numFmtId="49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12" fillId="5" borderId="2" xfId="0" applyFont="1" applyFill="1" applyBorder="1"/>
    <xf numFmtId="0" fontId="23" fillId="5" borderId="0" xfId="0" applyFont="1" applyFill="1" applyAlignment="1">
      <alignment vertical="center" textRotation="90"/>
    </xf>
    <xf numFmtId="0" fontId="12" fillId="5" borderId="2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 textRotation="255"/>
    </xf>
    <xf numFmtId="0" fontId="12" fillId="0" borderId="0" xfId="0" applyFont="1" applyFill="1"/>
    <xf numFmtId="0" fontId="12" fillId="0" borderId="0" xfId="0" applyFont="1" applyFill="1" applyBorder="1"/>
    <xf numFmtId="0" fontId="12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3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0" xfId="9" applyFont="1" applyFill="1" applyAlignment="1">
      <alignment horizontal="center" vertical="center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0" fontId="12" fillId="5" borderId="0" xfId="9" applyFont="1" applyFill="1" applyAlignment="1">
      <alignment horizontal="center" vertical="center"/>
    </xf>
    <xf numFmtId="0" fontId="12" fillId="5" borderId="10" xfId="9" applyFont="1" applyFill="1" applyBorder="1" applyAlignment="1">
      <alignment horizontal="center" vertical="center"/>
    </xf>
    <xf numFmtId="0" fontId="12" fillId="5" borderId="21" xfId="9" applyFont="1" applyFill="1" applyBorder="1" applyAlignment="1">
      <alignment horizontal="center" vertical="center"/>
    </xf>
    <xf numFmtId="0" fontId="12" fillId="0" borderId="2" xfId="9" applyFont="1" applyBorder="1" applyAlignment="1">
      <alignment horizontal="center"/>
    </xf>
    <xf numFmtId="0" fontId="12" fillId="15" borderId="4" xfId="9" applyFont="1" applyFill="1" applyBorder="1"/>
    <xf numFmtId="0" fontId="12" fillId="15" borderId="0" xfId="9" applyFont="1" applyFill="1" applyBorder="1"/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7" fillId="17" borderId="0" xfId="13" applyFont="1" applyFill="1" applyAlignment="1">
      <alignment horizontal="center"/>
    </xf>
    <xf numFmtId="1" fontId="28" fillId="17" borderId="0" xfId="13" applyNumberFormat="1" applyFont="1" applyFill="1" applyAlignment="1">
      <alignment horizontal="center"/>
    </xf>
    <xf numFmtId="0" fontId="1" fillId="0" borderId="0" xfId="13"/>
    <xf numFmtId="0" fontId="29" fillId="18" borderId="27" xfId="13" applyFont="1" applyFill="1" applyBorder="1" applyAlignment="1">
      <alignment horizontal="center" vertical="center" wrapText="1"/>
    </xf>
    <xf numFmtId="0" fontId="26" fillId="21" borderId="10" xfId="13" applyFont="1" applyFill="1" applyBorder="1" applyAlignment="1">
      <alignment horizontal="center" vertical="center"/>
    </xf>
    <xf numFmtId="0" fontId="26" fillId="22" borderId="33" xfId="13" applyFont="1" applyFill="1" applyBorder="1" applyAlignment="1">
      <alignment horizontal="center" vertical="center" wrapText="1"/>
    </xf>
    <xf numFmtId="1" fontId="26" fillId="22" borderId="10" xfId="13" applyNumberFormat="1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wrapText="1"/>
    </xf>
    <xf numFmtId="15" fontId="31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31" fillId="0" borderId="0" xfId="13" applyNumberFormat="1" applyFont="1" applyAlignment="1">
      <alignment horizontal="center"/>
    </xf>
    <xf numFmtId="0" fontId="25" fillId="0" borderId="2" xfId="13" applyFont="1" applyBorder="1" applyAlignment="1">
      <alignment horizontal="center"/>
    </xf>
    <xf numFmtId="0" fontId="25" fillId="0" borderId="0" xfId="13" applyFont="1" applyAlignment="1">
      <alignment horizontal="center"/>
    </xf>
    <xf numFmtId="0" fontId="25" fillId="0" borderId="0" xfId="13" applyFont="1"/>
    <xf numFmtId="1" fontId="25" fillId="0" borderId="2" xfId="13" applyNumberFormat="1" applyFont="1" applyBorder="1" applyAlignment="1">
      <alignment horizontal="center" vertical="center"/>
    </xf>
    <xf numFmtId="15" fontId="26" fillId="21" borderId="10" xfId="13" applyNumberFormat="1" applyFont="1" applyFill="1" applyBorder="1" applyAlignment="1">
      <alignment horizontal="center" vertical="center"/>
    </xf>
    <xf numFmtId="1" fontId="32" fillId="0" borderId="2" xfId="13" applyNumberFormat="1" applyFont="1" applyBorder="1" applyAlignment="1">
      <alignment horizontal="center" vertical="center"/>
    </xf>
    <xf numFmtId="0" fontId="37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6" fillId="0" borderId="0" xfId="13" applyNumberFormat="1" applyFont="1" applyAlignment="1">
      <alignment horizontal="center"/>
    </xf>
    <xf numFmtId="0" fontId="27" fillId="17" borderId="2" xfId="13" applyFont="1" applyFill="1" applyBorder="1" applyAlignment="1">
      <alignment horizontal="center"/>
    </xf>
    <xf numFmtId="0" fontId="28" fillId="17" borderId="10" xfId="13" applyFont="1" applyFill="1" applyBorder="1" applyAlignment="1">
      <alignment horizontal="center"/>
    </xf>
    <xf numFmtId="0" fontId="30" fillId="19" borderId="28" xfId="13" applyFont="1" applyFill="1" applyBorder="1" applyAlignment="1">
      <alignment horizontal="center" vertical="center"/>
    </xf>
    <xf numFmtId="0" fontId="30" fillId="19" borderId="29" xfId="13" applyFont="1" applyFill="1" applyBorder="1" applyAlignment="1">
      <alignment horizontal="center" vertical="center"/>
    </xf>
    <xf numFmtId="0" fontId="30" fillId="19" borderId="30" xfId="13" applyFont="1" applyFill="1" applyBorder="1" applyAlignment="1">
      <alignment horizontal="center" vertical="center"/>
    </xf>
    <xf numFmtId="0" fontId="26" fillId="20" borderId="31" xfId="13" applyFont="1" applyFill="1" applyBorder="1" applyAlignment="1">
      <alignment horizontal="center" vertical="center" wrapText="1"/>
    </xf>
    <xf numFmtId="0" fontId="26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3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6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  <xf numFmtId="1" fontId="1" fillId="0" borderId="0" xfId="13" applyNumberFormat="1" applyAlignment="1">
      <alignment vertical="center"/>
    </xf>
    <xf numFmtId="1" fontId="26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-25107536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-22003536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237120"/>
        <c:axId val="276073472"/>
      </c:lineChart>
      <c:catAx>
        <c:axId val="275237120"/>
        <c:scaling>
          <c:orientation val="minMax"/>
        </c:scaling>
        <c:delete val="0"/>
        <c:axPos val="b"/>
        <c:majorTickMark val="out"/>
        <c:minorTickMark val="none"/>
        <c:tickLblPos val="nextTo"/>
        <c:crossAx val="276073472"/>
        <c:crosses val="autoZero"/>
        <c:auto val="1"/>
        <c:lblAlgn val="ctr"/>
        <c:lblOffset val="100"/>
        <c:noMultiLvlLbl val="0"/>
      </c:catAx>
      <c:valAx>
        <c:axId val="27607347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237120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-83790362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13760"/>
        <c:axId val="276222720"/>
      </c:lineChart>
      <c:catAx>
        <c:axId val="27621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76222720"/>
        <c:crosses val="autoZero"/>
        <c:auto val="1"/>
        <c:lblAlgn val="ctr"/>
        <c:lblOffset val="100"/>
        <c:noMultiLvlLbl val="0"/>
      </c:catAx>
      <c:valAx>
        <c:axId val="276222720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621376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-1733200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-2344743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-6858600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6000</c:v>
                </c:pt>
                <c:pt idx="4">
                  <c:v>-1500900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426304"/>
        <c:axId val="29342784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621850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431936"/>
        <c:axId val="293430016"/>
      </c:lineChart>
      <c:catAx>
        <c:axId val="293426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93427840"/>
        <c:crosses val="autoZero"/>
        <c:auto val="1"/>
        <c:lblAlgn val="ctr"/>
        <c:lblOffset val="100"/>
        <c:noMultiLvlLbl val="0"/>
      </c:catAx>
      <c:valAx>
        <c:axId val="29342784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3426304"/>
        <c:crosses val="autoZero"/>
        <c:crossBetween val="between"/>
        <c:minorUnit val="100"/>
      </c:valAx>
      <c:valAx>
        <c:axId val="293430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93431936"/>
        <c:crosses val="max"/>
        <c:crossBetween val="between"/>
      </c:valAx>
      <c:catAx>
        <c:axId val="293431936"/>
        <c:scaling>
          <c:orientation val="minMax"/>
        </c:scaling>
        <c:delete val="1"/>
        <c:axPos val="b"/>
        <c:majorTickMark val="out"/>
        <c:minorTickMark val="none"/>
        <c:tickLblPos val="nextTo"/>
        <c:crossAx val="29343001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29282</c:v>
                </c:pt>
                <c:pt idx="5">
                  <c:v>-86214978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240256"/>
        <c:axId val="369414912"/>
      </c:barChart>
      <c:catAx>
        <c:axId val="342240256"/>
        <c:scaling>
          <c:orientation val="minMax"/>
        </c:scaling>
        <c:delete val="0"/>
        <c:axPos val="b"/>
        <c:majorTickMark val="out"/>
        <c:minorTickMark val="none"/>
        <c:tickLblPos val="nextTo"/>
        <c:crossAx val="369414912"/>
        <c:crosses val="autoZero"/>
        <c:auto val="1"/>
        <c:lblAlgn val="ctr"/>
        <c:lblOffset val="100"/>
        <c:noMultiLvlLbl val="0"/>
      </c:catAx>
      <c:valAx>
        <c:axId val="36941491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42240256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824384"/>
        <c:axId val="441826304"/>
      </c:barChart>
      <c:catAx>
        <c:axId val="441824384"/>
        <c:scaling>
          <c:orientation val="minMax"/>
        </c:scaling>
        <c:delete val="0"/>
        <c:axPos val="b"/>
        <c:majorTickMark val="out"/>
        <c:minorTickMark val="none"/>
        <c:tickLblPos val="nextTo"/>
        <c:crossAx val="441826304"/>
        <c:crosses val="autoZero"/>
        <c:auto val="1"/>
        <c:lblAlgn val="ctr"/>
        <c:lblOffset val="100"/>
        <c:noMultiLvlLbl val="0"/>
      </c:catAx>
      <c:valAx>
        <c:axId val="44182630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243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533888"/>
        <c:axId val="330552064"/>
      </c:barChart>
      <c:catAx>
        <c:axId val="33053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330552064"/>
        <c:crosses val="autoZero"/>
        <c:auto val="1"/>
        <c:lblAlgn val="ctr"/>
        <c:lblOffset val="100"/>
        <c:noMultiLvlLbl val="0"/>
      </c:catAx>
      <c:valAx>
        <c:axId val="330552064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53388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-25107536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-22003536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-83790362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-1733200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-2344743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1700</c:v>
                </c:pt>
                <c:pt idx="5">
                  <c:v>-1413500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700</c:v>
                </c:pt>
                <c:pt idx="5">
                  <c:v>-663179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-6858600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6000</c:v>
                </c:pt>
                <c:pt idx="4">
                  <c:v>-1500900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441</c:v>
                </c:pt>
                <c:pt idx="5">
                  <c:v>-445195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875072"/>
        <c:axId val="331876608"/>
      </c:lineChart>
      <c:catAx>
        <c:axId val="331875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76608"/>
        <c:crosses val="autoZero"/>
        <c:auto val="1"/>
        <c:lblAlgn val="ctr"/>
        <c:lblOffset val="100"/>
        <c:noMultiLvlLbl val="0"/>
      </c:catAx>
      <c:valAx>
        <c:axId val="331876608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750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G6" sqref="G6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10" t="s">
        <v>130</v>
      </c>
      <c r="B1" s="210" t="s">
        <v>42</v>
      </c>
      <c r="C1" s="211" t="s">
        <v>3</v>
      </c>
      <c r="D1" s="210" t="s">
        <v>4</v>
      </c>
      <c r="E1" s="212" t="s">
        <v>131</v>
      </c>
      <c r="F1" s="213" t="s">
        <v>132</v>
      </c>
      <c r="G1" s="212" t="s">
        <v>133</v>
      </c>
      <c r="H1" s="213" t="s">
        <v>134</v>
      </c>
      <c r="I1" s="212" t="s">
        <v>135</v>
      </c>
      <c r="J1" s="214" t="s">
        <v>136</v>
      </c>
      <c r="K1" s="212" t="s">
        <v>137</v>
      </c>
      <c r="L1" s="212" t="s">
        <v>138</v>
      </c>
    </row>
    <row r="2" spans="1:12" ht="15" x14ac:dyDescent="0.25">
      <c r="A2" s="215" t="s">
        <v>139</v>
      </c>
      <c r="B2" s="215">
        <v>1</v>
      </c>
      <c r="C2" s="216">
        <v>1</v>
      </c>
      <c r="D2" s="215">
        <v>2021</v>
      </c>
      <c r="E2" s="217">
        <f>'Maldives at LG Daily'!D5</f>
        <v>30450</v>
      </c>
      <c r="F2" s="218">
        <v>0.93</v>
      </c>
      <c r="G2" s="217" t="str">
        <f>'Maldives at LG Daily'!F5</f>
        <v>0</v>
      </c>
      <c r="H2" s="218">
        <v>4.3899999999999997</v>
      </c>
      <c r="I2" s="217">
        <f>'Maldives at LG Daily'!H5</f>
        <v>415</v>
      </c>
      <c r="J2" s="218">
        <v>1.72</v>
      </c>
      <c r="K2" s="217">
        <f>'Maldives at LG Daily'!I5</f>
        <v>103</v>
      </c>
      <c r="L2" s="217">
        <f>'Maldives at LG Daily'!J5</f>
        <v>878</v>
      </c>
    </row>
    <row r="3" spans="1:12" ht="15" x14ac:dyDescent="0.25">
      <c r="A3" s="215" t="s">
        <v>139</v>
      </c>
      <c r="B3" s="215">
        <f>B2+1</f>
        <v>2</v>
      </c>
      <c r="C3" s="216">
        <v>1</v>
      </c>
      <c r="D3" s="215">
        <v>2021</v>
      </c>
      <c r="E3" s="217">
        <f>'Maldives at LG Daily'!D6</f>
        <v>29767</v>
      </c>
      <c r="F3" s="218">
        <v>0.93</v>
      </c>
      <c r="G3" s="217">
        <f>'Maldives at LG Daily'!F6</f>
        <v>270</v>
      </c>
      <c r="H3" s="218">
        <v>4.3899999999999997</v>
      </c>
      <c r="I3" s="217">
        <f>'Maldives at LG Daily'!H6</f>
        <v>368</v>
      </c>
      <c r="J3" s="218">
        <v>1.72</v>
      </c>
      <c r="K3" s="217">
        <f>'Maldives at LG Daily'!I6</f>
        <v>98</v>
      </c>
      <c r="L3" s="217">
        <f>'Maldives at LG Daily'!J6</f>
        <v>865</v>
      </c>
    </row>
    <row r="4" spans="1:12" ht="15" x14ac:dyDescent="0.25">
      <c r="A4" s="215" t="s">
        <v>139</v>
      </c>
      <c r="B4" s="215">
        <f t="shared" ref="B4:B32" si="0">B3+1</f>
        <v>3</v>
      </c>
      <c r="C4" s="216">
        <v>1</v>
      </c>
      <c r="D4" s="215">
        <v>2021</v>
      </c>
      <c r="E4" s="217">
        <f>'Maldives at LG Daily'!D7</f>
        <v>29515</v>
      </c>
      <c r="F4" s="218">
        <v>0.93</v>
      </c>
      <c r="G4" s="217">
        <f>'Maldives at LG Daily'!F7</f>
        <v>0</v>
      </c>
      <c r="H4" s="218">
        <v>4.3899999999999997</v>
      </c>
      <c r="I4" s="217">
        <f>'Maldives at LG Daily'!H7</f>
        <v>393</v>
      </c>
      <c r="J4" s="218">
        <v>1.72</v>
      </c>
      <c r="K4" s="217">
        <f>'Maldives at LG Daily'!I7</f>
        <v>101</v>
      </c>
      <c r="L4" s="217">
        <f>'Maldives at LG Daily'!J7</f>
        <v>915</v>
      </c>
    </row>
    <row r="5" spans="1:12" ht="15" x14ac:dyDescent="0.25">
      <c r="A5" s="215" t="s">
        <v>139</v>
      </c>
      <c r="B5" s="215">
        <f t="shared" si="0"/>
        <v>4</v>
      </c>
      <c r="C5" s="216">
        <v>1</v>
      </c>
      <c r="D5" s="215">
        <v>2021</v>
      </c>
      <c r="E5" s="217">
        <f>'Maldives at LG Daily'!D8</f>
        <v>31514</v>
      </c>
      <c r="F5" s="218">
        <v>0.93</v>
      </c>
      <c r="G5" s="217" t="str">
        <f>'Maldives at LG Daily'!F8</f>
        <v>0</v>
      </c>
      <c r="H5" s="218">
        <v>4.3899999999999997</v>
      </c>
      <c r="I5" s="217">
        <f>'Maldives at LG Daily'!H8</f>
        <v>451</v>
      </c>
      <c r="J5" s="218">
        <v>1.72</v>
      </c>
      <c r="K5" s="217">
        <f>'Maldives at LG Daily'!I8</f>
        <v>96</v>
      </c>
      <c r="L5" s="217">
        <f>'Maldives at LG Daily'!J8</f>
        <v>861</v>
      </c>
    </row>
    <row r="6" spans="1:12" ht="15" x14ac:dyDescent="0.25">
      <c r="A6" s="215" t="s">
        <v>139</v>
      </c>
      <c r="B6" s="215">
        <f t="shared" si="0"/>
        <v>5</v>
      </c>
      <c r="C6" s="216">
        <v>1</v>
      </c>
      <c r="D6" s="215">
        <v>2021</v>
      </c>
      <c r="E6" s="217">
        <f>'Maldives at LG Daily'!D9</f>
        <v>29282</v>
      </c>
      <c r="F6" s="218">
        <v>0.93</v>
      </c>
      <c r="G6" s="217">
        <f>'Maldives at LG Daily'!F9</f>
        <v>0</v>
      </c>
      <c r="H6" s="218">
        <v>4.3899999999999997</v>
      </c>
      <c r="I6" s="217">
        <f>'Maldives at LG Daily'!H9</f>
        <v>406</v>
      </c>
      <c r="J6" s="218">
        <v>1.72</v>
      </c>
      <c r="K6" s="217">
        <f>'Maldives at LG Daily'!I9</f>
        <v>0</v>
      </c>
      <c r="L6" s="217">
        <f>'Maldives at LG Daily'!J9</f>
        <v>0</v>
      </c>
    </row>
    <row r="7" spans="1:12" ht="15" x14ac:dyDescent="0.25">
      <c r="A7" s="215" t="s">
        <v>139</v>
      </c>
      <c r="B7" s="215">
        <f t="shared" si="0"/>
        <v>6</v>
      </c>
      <c r="C7" s="216">
        <v>1</v>
      </c>
      <c r="D7" s="215">
        <v>2021</v>
      </c>
      <c r="E7" s="217" t="str">
        <f>'Maldives at LG Daily'!D10</f>
        <v>0</v>
      </c>
      <c r="F7" s="218">
        <v>0.93</v>
      </c>
      <c r="G7" s="217" t="str">
        <f>'Maldives at LG Daily'!F10</f>
        <v>0</v>
      </c>
      <c r="H7" s="218">
        <v>4.3899999999999997</v>
      </c>
      <c r="I7" s="217">
        <f>'Maldives at LG Daily'!H10</f>
        <v>356</v>
      </c>
      <c r="J7" s="218">
        <v>1.72</v>
      </c>
      <c r="K7" s="217">
        <f>'Maldives at LG Daily'!I10</f>
        <v>0</v>
      </c>
      <c r="L7" s="217">
        <f>'Maldives at LG Daily'!J10</f>
        <v>0</v>
      </c>
    </row>
    <row r="8" spans="1:12" ht="15" x14ac:dyDescent="0.25">
      <c r="A8" s="215" t="s">
        <v>139</v>
      </c>
      <c r="B8" s="215">
        <f t="shared" si="0"/>
        <v>7</v>
      </c>
      <c r="C8" s="216">
        <v>1</v>
      </c>
      <c r="D8" s="215">
        <v>2021</v>
      </c>
      <c r="E8" s="217">
        <f>'Maldives at LG Daily'!D11</f>
        <v>0</v>
      </c>
      <c r="F8" s="218">
        <v>0.93</v>
      </c>
      <c r="G8" s="217">
        <f>'Maldives at LG Daily'!F11</f>
        <v>0</v>
      </c>
      <c r="H8" s="218">
        <v>4.3899999999999997</v>
      </c>
      <c r="I8" s="217" t="str">
        <f>'Maldives at LG Daily'!H11</f>
        <v>0</v>
      </c>
      <c r="J8" s="218">
        <v>1.72</v>
      </c>
      <c r="K8" s="217">
        <f>'Maldives at LG Daily'!I11</f>
        <v>0</v>
      </c>
      <c r="L8" s="217">
        <f>'Maldives at LG Daily'!J11</f>
        <v>0</v>
      </c>
    </row>
    <row r="9" spans="1:12" ht="15" x14ac:dyDescent="0.25">
      <c r="A9" s="215" t="s">
        <v>139</v>
      </c>
      <c r="B9" s="215">
        <f t="shared" si="0"/>
        <v>8</v>
      </c>
      <c r="C9" s="216">
        <v>1</v>
      </c>
      <c r="D9" s="215">
        <v>2021</v>
      </c>
      <c r="E9" s="217">
        <f>'Maldives at LG Daily'!D12</f>
        <v>0</v>
      </c>
      <c r="F9" s="218">
        <v>0.93</v>
      </c>
      <c r="G9" s="217">
        <f>'Maldives at LG Daily'!F12</f>
        <v>0</v>
      </c>
      <c r="H9" s="218">
        <v>4.3899999999999997</v>
      </c>
      <c r="I9" s="217">
        <f>'Maldives at LG Daily'!H12</f>
        <v>0</v>
      </c>
      <c r="J9" s="218">
        <v>1.72</v>
      </c>
      <c r="K9" s="217">
        <f>'Maldives at LG Daily'!I12</f>
        <v>0</v>
      </c>
      <c r="L9" s="217">
        <f>'Maldives at LG Daily'!J12</f>
        <v>0</v>
      </c>
    </row>
    <row r="10" spans="1:12" ht="15" x14ac:dyDescent="0.25">
      <c r="A10" s="215" t="s">
        <v>139</v>
      </c>
      <c r="B10" s="215">
        <f t="shared" si="0"/>
        <v>9</v>
      </c>
      <c r="C10" s="216">
        <v>1</v>
      </c>
      <c r="D10" s="215">
        <v>2021</v>
      </c>
      <c r="E10" s="217">
        <f>'Maldives at LG Daily'!D13</f>
        <v>0</v>
      </c>
      <c r="F10" s="218">
        <v>0.93</v>
      </c>
      <c r="G10" s="217">
        <f>'Maldives at LG Daily'!F13</f>
        <v>0</v>
      </c>
      <c r="H10" s="218">
        <v>4.3899999999999997</v>
      </c>
      <c r="I10" s="217">
        <f>'Maldives at LG Daily'!H13</f>
        <v>0</v>
      </c>
      <c r="J10" s="218">
        <v>1.72</v>
      </c>
      <c r="K10" s="217">
        <f>'Maldives at LG Daily'!I13</f>
        <v>0</v>
      </c>
      <c r="L10" s="217">
        <f>'Maldives at LG Daily'!J13</f>
        <v>0</v>
      </c>
    </row>
    <row r="11" spans="1:12" ht="15" x14ac:dyDescent="0.25">
      <c r="A11" s="215" t="s">
        <v>139</v>
      </c>
      <c r="B11" s="215">
        <f t="shared" si="0"/>
        <v>10</v>
      </c>
      <c r="C11" s="216">
        <v>1</v>
      </c>
      <c r="D11" s="215">
        <v>2021</v>
      </c>
      <c r="E11" s="217">
        <f>'Maldives at LG Daily'!D14</f>
        <v>0</v>
      </c>
      <c r="F11" s="218">
        <v>0.93</v>
      </c>
      <c r="G11" s="217">
        <f>'Maldives at LG Daily'!F14</f>
        <v>0</v>
      </c>
      <c r="H11" s="218">
        <v>4.3899999999999997</v>
      </c>
      <c r="I11" s="217">
        <f>'Maldives at LG Daily'!H14</f>
        <v>0</v>
      </c>
      <c r="J11" s="218">
        <v>1.72</v>
      </c>
      <c r="K11" s="217">
        <f>'Maldives at LG Daily'!I14</f>
        <v>0</v>
      </c>
      <c r="L11" s="217">
        <f>'Maldives at LG Daily'!J14</f>
        <v>0</v>
      </c>
    </row>
    <row r="12" spans="1:12" ht="15" x14ac:dyDescent="0.25">
      <c r="A12" s="215" t="s">
        <v>139</v>
      </c>
      <c r="B12" s="215">
        <f t="shared" si="0"/>
        <v>11</v>
      </c>
      <c r="C12" s="216">
        <v>1</v>
      </c>
      <c r="D12" s="215">
        <v>2021</v>
      </c>
      <c r="E12" s="217">
        <f>'Maldives at LG Daily'!D15</f>
        <v>0</v>
      </c>
      <c r="F12" s="218">
        <v>0.93</v>
      </c>
      <c r="G12" s="217">
        <f>'Maldives at LG Daily'!F15</f>
        <v>0</v>
      </c>
      <c r="H12" s="218">
        <v>4.3899999999999997</v>
      </c>
      <c r="I12" s="217">
        <f>'Maldives at LG Daily'!H15</f>
        <v>0</v>
      </c>
      <c r="J12" s="218">
        <v>1.72</v>
      </c>
      <c r="K12" s="217">
        <f>'Maldives at LG Daily'!I15</f>
        <v>0</v>
      </c>
      <c r="L12" s="217">
        <f>'Maldives at LG Daily'!J15</f>
        <v>0</v>
      </c>
    </row>
    <row r="13" spans="1:12" ht="15" x14ac:dyDescent="0.25">
      <c r="A13" s="215" t="s">
        <v>139</v>
      </c>
      <c r="B13" s="215">
        <f t="shared" si="0"/>
        <v>12</v>
      </c>
      <c r="C13" s="216">
        <v>1</v>
      </c>
      <c r="D13" s="215">
        <v>2021</v>
      </c>
      <c r="E13" s="217">
        <f>'Maldives at LG Daily'!D16</f>
        <v>0</v>
      </c>
      <c r="F13" s="218">
        <v>0.93</v>
      </c>
      <c r="G13" s="217">
        <f>'Maldives at LG Daily'!F16</f>
        <v>0</v>
      </c>
      <c r="H13" s="218">
        <v>4.3899999999999997</v>
      </c>
      <c r="I13" s="217">
        <f>'Maldives at LG Daily'!H16</f>
        <v>0</v>
      </c>
      <c r="J13" s="218">
        <v>1.72</v>
      </c>
      <c r="K13" s="217">
        <f>'Maldives at LG Daily'!I16</f>
        <v>0</v>
      </c>
      <c r="L13" s="217">
        <f>'Maldives at LG Daily'!J16</f>
        <v>0</v>
      </c>
    </row>
    <row r="14" spans="1:12" ht="15" x14ac:dyDescent="0.25">
      <c r="A14" s="215" t="s">
        <v>139</v>
      </c>
      <c r="B14" s="215">
        <f t="shared" si="0"/>
        <v>13</v>
      </c>
      <c r="C14" s="216">
        <v>1</v>
      </c>
      <c r="D14" s="215">
        <v>2021</v>
      </c>
      <c r="E14" s="217">
        <f>'Maldives at LG Daily'!D17</f>
        <v>0</v>
      </c>
      <c r="F14" s="218">
        <v>0.93</v>
      </c>
      <c r="G14" s="217">
        <f>'Maldives at LG Daily'!F17</f>
        <v>0</v>
      </c>
      <c r="H14" s="218">
        <v>4.3899999999999997</v>
      </c>
      <c r="I14" s="217">
        <f>'Maldives at LG Daily'!H17</f>
        <v>0</v>
      </c>
      <c r="J14" s="218">
        <v>1.72</v>
      </c>
      <c r="K14" s="217">
        <f>'Maldives at LG Daily'!I17</f>
        <v>0</v>
      </c>
      <c r="L14" s="217">
        <f>'Maldives at LG Daily'!J17</f>
        <v>0</v>
      </c>
    </row>
    <row r="15" spans="1:12" ht="15" x14ac:dyDescent="0.25">
      <c r="A15" s="215" t="s">
        <v>139</v>
      </c>
      <c r="B15" s="215">
        <f t="shared" si="0"/>
        <v>14</v>
      </c>
      <c r="C15" s="216">
        <v>1</v>
      </c>
      <c r="D15" s="215">
        <v>2021</v>
      </c>
      <c r="E15" s="217">
        <f>'Maldives at LG Daily'!D18</f>
        <v>0</v>
      </c>
      <c r="F15" s="218">
        <v>0.93</v>
      </c>
      <c r="G15" s="217">
        <f>'Maldives at LG Daily'!F18</f>
        <v>0</v>
      </c>
      <c r="H15" s="218">
        <v>4.3899999999999997</v>
      </c>
      <c r="I15" s="217">
        <f>'Maldives at LG Daily'!H18</f>
        <v>0</v>
      </c>
      <c r="J15" s="218">
        <v>1.72</v>
      </c>
      <c r="K15" s="217">
        <f>'Maldives at LG Daily'!I18</f>
        <v>0</v>
      </c>
      <c r="L15" s="217">
        <f>'Maldives at LG Daily'!J18</f>
        <v>0</v>
      </c>
    </row>
    <row r="16" spans="1:12" ht="15" x14ac:dyDescent="0.25">
      <c r="A16" s="215" t="s">
        <v>139</v>
      </c>
      <c r="B16" s="215">
        <f t="shared" si="0"/>
        <v>15</v>
      </c>
      <c r="C16" s="216">
        <v>1</v>
      </c>
      <c r="D16" s="215">
        <v>2021</v>
      </c>
      <c r="E16" s="217">
        <f>'Maldives at LG Daily'!D19</f>
        <v>0</v>
      </c>
      <c r="F16" s="218">
        <v>0.93</v>
      </c>
      <c r="G16" s="217">
        <f>'Maldives at LG Daily'!F19</f>
        <v>0</v>
      </c>
      <c r="H16" s="218">
        <v>4.3899999999999997</v>
      </c>
      <c r="I16" s="217">
        <f>'Maldives at LG Daily'!H19</f>
        <v>0</v>
      </c>
      <c r="J16" s="218">
        <v>1.72</v>
      </c>
      <c r="K16" s="217">
        <f>'Maldives at LG Daily'!I19</f>
        <v>0</v>
      </c>
      <c r="L16" s="217">
        <f>'Maldives at LG Daily'!J19</f>
        <v>0</v>
      </c>
    </row>
    <row r="17" spans="1:12" ht="15" x14ac:dyDescent="0.25">
      <c r="A17" s="215" t="s">
        <v>139</v>
      </c>
      <c r="B17" s="215">
        <f t="shared" si="0"/>
        <v>16</v>
      </c>
      <c r="C17" s="216">
        <v>1</v>
      </c>
      <c r="D17" s="215">
        <v>2021</v>
      </c>
      <c r="E17" s="217">
        <f>'Maldives at LG Daily'!D20</f>
        <v>0</v>
      </c>
      <c r="F17" s="218">
        <v>0.93</v>
      </c>
      <c r="G17" s="217">
        <f>'Maldives at LG Daily'!F20</f>
        <v>0</v>
      </c>
      <c r="H17" s="218">
        <v>4.3899999999999997</v>
      </c>
      <c r="I17" s="217">
        <f>'Maldives at LG Daily'!H20</f>
        <v>0</v>
      </c>
      <c r="J17" s="218">
        <v>1.72</v>
      </c>
      <c r="K17" s="217">
        <f>'Maldives at LG Daily'!I20</f>
        <v>0</v>
      </c>
      <c r="L17" s="217">
        <f>'Maldives at LG Daily'!J20</f>
        <v>0</v>
      </c>
    </row>
    <row r="18" spans="1:12" ht="15" x14ac:dyDescent="0.25">
      <c r="A18" s="215" t="s">
        <v>139</v>
      </c>
      <c r="B18" s="215">
        <f t="shared" si="0"/>
        <v>17</v>
      </c>
      <c r="C18" s="216">
        <v>1</v>
      </c>
      <c r="D18" s="215">
        <v>2021</v>
      </c>
      <c r="E18" s="217">
        <f>'Maldives at LG Daily'!D21</f>
        <v>0</v>
      </c>
      <c r="F18" s="218">
        <v>0.93</v>
      </c>
      <c r="G18" s="217">
        <f>'Maldives at LG Daily'!F21</f>
        <v>0</v>
      </c>
      <c r="H18" s="218">
        <v>4.3899999999999997</v>
      </c>
      <c r="I18" s="217">
        <f>'Maldives at LG Daily'!H21</f>
        <v>0</v>
      </c>
      <c r="J18" s="218">
        <v>1.72</v>
      </c>
      <c r="K18" s="217">
        <f>'Maldives at LG Daily'!I21</f>
        <v>0</v>
      </c>
      <c r="L18" s="217">
        <f>'Maldives at LG Daily'!J21</f>
        <v>0</v>
      </c>
    </row>
    <row r="19" spans="1:12" ht="15" x14ac:dyDescent="0.25">
      <c r="A19" s="215" t="s">
        <v>139</v>
      </c>
      <c r="B19" s="215">
        <f t="shared" si="0"/>
        <v>18</v>
      </c>
      <c r="C19" s="216">
        <v>1</v>
      </c>
      <c r="D19" s="215">
        <v>2021</v>
      </c>
      <c r="E19" s="217">
        <f>'Maldives at LG Daily'!D22</f>
        <v>0</v>
      </c>
      <c r="F19" s="218">
        <v>0.93</v>
      </c>
      <c r="G19" s="217">
        <f>'Maldives at LG Daily'!F22</f>
        <v>0</v>
      </c>
      <c r="H19" s="218">
        <v>4.3899999999999997</v>
      </c>
      <c r="I19" s="217">
        <f>'Maldives at LG Daily'!H22</f>
        <v>0</v>
      </c>
      <c r="J19" s="218">
        <v>1.72</v>
      </c>
      <c r="K19" s="217">
        <f>'Maldives at LG Daily'!I22</f>
        <v>0</v>
      </c>
      <c r="L19" s="217">
        <f>'Maldives at LG Daily'!J22</f>
        <v>0</v>
      </c>
    </row>
    <row r="20" spans="1:12" ht="15" x14ac:dyDescent="0.25">
      <c r="A20" s="215" t="s">
        <v>139</v>
      </c>
      <c r="B20" s="215">
        <f t="shared" si="0"/>
        <v>19</v>
      </c>
      <c r="C20" s="216">
        <v>1</v>
      </c>
      <c r="D20" s="215">
        <v>2021</v>
      </c>
      <c r="E20" s="217">
        <f>'Maldives at LG Daily'!D23</f>
        <v>0</v>
      </c>
      <c r="F20" s="218">
        <v>0.93</v>
      </c>
      <c r="G20" s="217">
        <f>'Maldives at LG Daily'!F23</f>
        <v>0</v>
      </c>
      <c r="H20" s="218">
        <v>4.3899999999999997</v>
      </c>
      <c r="I20" s="217">
        <f>'Maldives at LG Daily'!H23</f>
        <v>0</v>
      </c>
      <c r="J20" s="218">
        <v>1.72</v>
      </c>
      <c r="K20" s="217">
        <f>'Maldives at LG Daily'!I23</f>
        <v>0</v>
      </c>
      <c r="L20" s="217">
        <f>'Maldives at LG Daily'!J23</f>
        <v>0</v>
      </c>
    </row>
    <row r="21" spans="1:12" ht="15" x14ac:dyDescent="0.25">
      <c r="A21" s="215" t="s">
        <v>139</v>
      </c>
      <c r="B21" s="215">
        <f t="shared" si="0"/>
        <v>20</v>
      </c>
      <c r="C21" s="216">
        <v>1</v>
      </c>
      <c r="D21" s="215">
        <v>2021</v>
      </c>
      <c r="E21" s="217">
        <f>'Maldives at LG Daily'!D24</f>
        <v>0</v>
      </c>
      <c r="F21" s="218">
        <v>0.93</v>
      </c>
      <c r="G21" s="217">
        <f>'Maldives at LG Daily'!F24</f>
        <v>0</v>
      </c>
      <c r="H21" s="218">
        <v>4.3899999999999997</v>
      </c>
      <c r="I21" s="217">
        <f>'Maldives at LG Daily'!H24</f>
        <v>0</v>
      </c>
      <c r="J21" s="218">
        <v>1.72</v>
      </c>
      <c r="K21" s="217">
        <f>'Maldives at LG Daily'!I24</f>
        <v>0</v>
      </c>
      <c r="L21" s="217">
        <f>'Maldives at LG Daily'!J24</f>
        <v>0</v>
      </c>
    </row>
    <row r="22" spans="1:12" ht="15" x14ac:dyDescent="0.25">
      <c r="A22" s="215" t="s">
        <v>139</v>
      </c>
      <c r="B22" s="215">
        <f t="shared" si="0"/>
        <v>21</v>
      </c>
      <c r="C22" s="216">
        <v>1</v>
      </c>
      <c r="D22" s="215">
        <v>2021</v>
      </c>
      <c r="E22" s="217">
        <f>'Maldives at LG Daily'!D25</f>
        <v>0</v>
      </c>
      <c r="F22" s="218">
        <v>0.93</v>
      </c>
      <c r="G22" s="217">
        <f>'Maldives at LG Daily'!F25</f>
        <v>0</v>
      </c>
      <c r="H22" s="218">
        <v>4.3899999999999997</v>
      </c>
      <c r="I22" s="217">
        <f>'Maldives at LG Daily'!H25</f>
        <v>0</v>
      </c>
      <c r="J22" s="218">
        <v>1.72</v>
      </c>
      <c r="K22" s="217">
        <f>'Maldives at LG Daily'!I25</f>
        <v>0</v>
      </c>
      <c r="L22" s="217">
        <f>'Maldives at LG Daily'!J25</f>
        <v>0</v>
      </c>
    </row>
    <row r="23" spans="1:12" ht="15" x14ac:dyDescent="0.25">
      <c r="A23" s="215" t="s">
        <v>139</v>
      </c>
      <c r="B23" s="215">
        <f t="shared" si="0"/>
        <v>22</v>
      </c>
      <c r="C23" s="216">
        <v>1</v>
      </c>
      <c r="D23" s="215">
        <v>2021</v>
      </c>
      <c r="E23" s="217">
        <f>'Maldives at LG Daily'!D26</f>
        <v>0</v>
      </c>
      <c r="F23" s="218">
        <v>0.93</v>
      </c>
      <c r="G23" s="217">
        <f>'Maldives at LG Daily'!F26</f>
        <v>0</v>
      </c>
      <c r="H23" s="218">
        <v>4.3899999999999997</v>
      </c>
      <c r="I23" s="217">
        <f>'Maldives at LG Daily'!H26</f>
        <v>0</v>
      </c>
      <c r="J23" s="218">
        <v>1.72</v>
      </c>
      <c r="K23" s="217">
        <f>'Maldives at LG Daily'!I26</f>
        <v>0</v>
      </c>
      <c r="L23" s="217">
        <f>'Maldives at LG Daily'!J26</f>
        <v>0</v>
      </c>
    </row>
    <row r="24" spans="1:12" ht="15" x14ac:dyDescent="0.25">
      <c r="A24" s="215" t="s">
        <v>139</v>
      </c>
      <c r="B24" s="215">
        <f t="shared" si="0"/>
        <v>23</v>
      </c>
      <c r="C24" s="216">
        <v>1</v>
      </c>
      <c r="D24" s="215">
        <v>2021</v>
      </c>
      <c r="E24" s="217">
        <f>'Maldives at LG Daily'!D27</f>
        <v>0</v>
      </c>
      <c r="F24" s="218">
        <v>0.93</v>
      </c>
      <c r="G24" s="217">
        <f>'Maldives at LG Daily'!F27</f>
        <v>0</v>
      </c>
      <c r="H24" s="218">
        <v>4.3899999999999997</v>
      </c>
      <c r="I24" s="217">
        <f>'Maldives at LG Daily'!H27</f>
        <v>0</v>
      </c>
      <c r="J24" s="218">
        <v>1.72</v>
      </c>
      <c r="K24" s="217">
        <f>'Maldives at LG Daily'!I27</f>
        <v>0</v>
      </c>
      <c r="L24" s="217">
        <f>'Maldives at LG Daily'!J27</f>
        <v>0</v>
      </c>
    </row>
    <row r="25" spans="1:12" ht="15" x14ac:dyDescent="0.25">
      <c r="A25" s="215" t="s">
        <v>139</v>
      </c>
      <c r="B25" s="215">
        <f t="shared" si="0"/>
        <v>24</v>
      </c>
      <c r="C25" s="216">
        <v>1</v>
      </c>
      <c r="D25" s="215">
        <v>2021</v>
      </c>
      <c r="E25" s="217">
        <f>'Maldives at LG Daily'!D28</f>
        <v>0</v>
      </c>
      <c r="F25" s="218">
        <v>0.93</v>
      </c>
      <c r="G25" s="217">
        <f>'Maldives at LG Daily'!F28</f>
        <v>0</v>
      </c>
      <c r="H25" s="218">
        <v>4.3899999999999997</v>
      </c>
      <c r="I25" s="217">
        <f>'Maldives at LG Daily'!H28</f>
        <v>0</v>
      </c>
      <c r="J25" s="218">
        <v>1.72</v>
      </c>
      <c r="K25" s="217">
        <f>'Maldives at LG Daily'!I28</f>
        <v>0</v>
      </c>
      <c r="L25" s="217">
        <f>'Maldives at LG Daily'!J28</f>
        <v>0</v>
      </c>
    </row>
    <row r="26" spans="1:12" ht="15" x14ac:dyDescent="0.25">
      <c r="A26" s="215" t="s">
        <v>139</v>
      </c>
      <c r="B26" s="215">
        <f>B25+1</f>
        <v>25</v>
      </c>
      <c r="C26" s="216">
        <v>1</v>
      </c>
      <c r="D26" s="215">
        <v>2021</v>
      </c>
      <c r="E26" s="217">
        <f>'Maldives at LG Daily'!D29</f>
        <v>0</v>
      </c>
      <c r="F26" s="218">
        <v>0.93</v>
      </c>
      <c r="G26" s="217">
        <f>'Maldives at LG Daily'!F29</f>
        <v>0</v>
      </c>
      <c r="H26" s="218">
        <v>4.3899999999999997</v>
      </c>
      <c r="I26" s="217">
        <f>'Maldives at LG Daily'!H29</f>
        <v>0</v>
      </c>
      <c r="J26" s="218">
        <v>1.72</v>
      </c>
      <c r="K26" s="217">
        <f>'Maldives at LG Daily'!I29</f>
        <v>0</v>
      </c>
      <c r="L26" s="217">
        <f>'Maldives at LG Daily'!J29</f>
        <v>0</v>
      </c>
    </row>
    <row r="27" spans="1:12" ht="15" x14ac:dyDescent="0.25">
      <c r="A27" s="215" t="s">
        <v>139</v>
      </c>
      <c r="B27" s="215">
        <f t="shared" si="0"/>
        <v>26</v>
      </c>
      <c r="C27" s="216">
        <v>1</v>
      </c>
      <c r="D27" s="215">
        <v>2021</v>
      </c>
      <c r="E27" s="217">
        <f>'Maldives at LG Daily'!D30</f>
        <v>0</v>
      </c>
      <c r="F27" s="218">
        <v>0.93</v>
      </c>
      <c r="G27" s="217">
        <f>'Maldives at LG Daily'!F30</f>
        <v>0</v>
      </c>
      <c r="H27" s="218">
        <v>4.3899999999999997</v>
      </c>
      <c r="I27" s="217">
        <f>'Maldives at LG Daily'!H30</f>
        <v>0</v>
      </c>
      <c r="J27" s="218">
        <v>1.72</v>
      </c>
      <c r="K27" s="217">
        <f>'Maldives at LG Daily'!I30</f>
        <v>0</v>
      </c>
      <c r="L27" s="217">
        <f>'Maldives at LG Daily'!J30</f>
        <v>0</v>
      </c>
    </row>
    <row r="28" spans="1:12" ht="15" x14ac:dyDescent="0.25">
      <c r="A28" s="215" t="s">
        <v>139</v>
      </c>
      <c r="B28" s="215">
        <f t="shared" si="0"/>
        <v>27</v>
      </c>
      <c r="C28" s="216">
        <v>1</v>
      </c>
      <c r="D28" s="215">
        <v>2021</v>
      </c>
      <c r="E28" s="217">
        <f>'Maldives at LG Daily'!D31</f>
        <v>0</v>
      </c>
      <c r="F28" s="218">
        <v>0.93</v>
      </c>
      <c r="G28" s="217">
        <f>'Maldives at LG Daily'!F31</f>
        <v>0</v>
      </c>
      <c r="H28" s="218">
        <v>4.3899999999999997</v>
      </c>
      <c r="I28" s="217">
        <f>'Maldives at LG Daily'!H31</f>
        <v>0</v>
      </c>
      <c r="J28" s="218">
        <v>1.72</v>
      </c>
      <c r="K28" s="217">
        <f>'Maldives at LG Daily'!I31</f>
        <v>0</v>
      </c>
      <c r="L28" s="217">
        <f>'Maldives at LG Daily'!J31</f>
        <v>0</v>
      </c>
    </row>
    <row r="29" spans="1:12" ht="15" x14ac:dyDescent="0.25">
      <c r="A29" s="215" t="s">
        <v>139</v>
      </c>
      <c r="B29" s="215">
        <f t="shared" si="0"/>
        <v>28</v>
      </c>
      <c r="C29" s="216">
        <v>1</v>
      </c>
      <c r="D29" s="215">
        <v>2021</v>
      </c>
      <c r="E29" s="217">
        <f>'Maldives at LG Daily'!D32</f>
        <v>0</v>
      </c>
      <c r="F29" s="218">
        <v>0.93</v>
      </c>
      <c r="G29" s="217">
        <f>'Maldives at LG Daily'!F32</f>
        <v>0</v>
      </c>
      <c r="H29" s="218">
        <v>4.3899999999999997</v>
      </c>
      <c r="I29" s="217">
        <f>'Maldives at LG Daily'!H32</f>
        <v>0</v>
      </c>
      <c r="J29" s="218">
        <v>1.72</v>
      </c>
      <c r="K29" s="217">
        <f>'Maldives at LG Daily'!I32</f>
        <v>0</v>
      </c>
      <c r="L29" s="217">
        <f>'Maldives at LG Daily'!J32</f>
        <v>0</v>
      </c>
    </row>
    <row r="30" spans="1:12" ht="15" x14ac:dyDescent="0.25">
      <c r="A30" s="215" t="s">
        <v>139</v>
      </c>
      <c r="B30" s="215">
        <f t="shared" si="0"/>
        <v>29</v>
      </c>
      <c r="C30" s="216">
        <v>1</v>
      </c>
      <c r="D30" s="215">
        <v>2021</v>
      </c>
      <c r="E30" s="217">
        <f>'Maldives at LG Daily'!D33</f>
        <v>0</v>
      </c>
      <c r="F30" s="218">
        <v>0.93</v>
      </c>
      <c r="G30" s="217">
        <f>'Maldives at LG Daily'!F33</f>
        <v>0</v>
      </c>
      <c r="H30" s="218">
        <v>4.3899999999999997</v>
      </c>
      <c r="I30" s="217">
        <f>'Maldives at LG Daily'!H33</f>
        <v>0</v>
      </c>
      <c r="J30" s="218">
        <v>1.72</v>
      </c>
      <c r="K30" s="217">
        <f>'Maldives at LG Daily'!I33</f>
        <v>0</v>
      </c>
      <c r="L30" s="217">
        <f>'Maldives at LG Daily'!J33</f>
        <v>0</v>
      </c>
    </row>
    <row r="31" spans="1:12" ht="15" x14ac:dyDescent="0.25">
      <c r="A31" s="215" t="s">
        <v>139</v>
      </c>
      <c r="B31" s="215">
        <f t="shared" si="0"/>
        <v>30</v>
      </c>
      <c r="C31" s="216">
        <v>1</v>
      </c>
      <c r="D31" s="215">
        <v>2021</v>
      </c>
      <c r="E31" s="217">
        <f>'Maldives at LG Daily'!D34</f>
        <v>0</v>
      </c>
      <c r="F31" s="218">
        <v>0.93</v>
      </c>
      <c r="G31" s="217">
        <f>'Maldives at LG Daily'!F34</f>
        <v>0</v>
      </c>
      <c r="H31" s="218">
        <v>4.3899999999999997</v>
      </c>
      <c r="I31" s="217">
        <f>'Maldives at LG Daily'!H34</f>
        <v>0</v>
      </c>
      <c r="J31" s="218">
        <v>1.72</v>
      </c>
      <c r="K31" s="217">
        <f>'Maldives at LG Daily'!I34</f>
        <v>0</v>
      </c>
      <c r="L31" s="217">
        <f>'Maldives at LG Daily'!J34</f>
        <v>0</v>
      </c>
    </row>
    <row r="32" spans="1:12" ht="15" x14ac:dyDescent="0.25">
      <c r="A32" s="215" t="s">
        <v>139</v>
      </c>
      <c r="B32" s="215">
        <f t="shared" si="0"/>
        <v>31</v>
      </c>
      <c r="C32" s="216">
        <v>1</v>
      </c>
      <c r="D32" s="215">
        <v>2021</v>
      </c>
      <c r="E32" s="217">
        <f>'Maldives at LG Daily'!D35</f>
        <v>0</v>
      </c>
      <c r="F32" s="218">
        <v>0.93</v>
      </c>
      <c r="G32" s="217">
        <f>'Maldives at LG Daily'!F35</f>
        <v>0</v>
      </c>
      <c r="H32" s="218">
        <v>4.3899999999999997</v>
      </c>
      <c r="I32" s="217">
        <f>'Maldives at LG Daily'!H35</f>
        <v>0</v>
      </c>
      <c r="J32" s="218">
        <v>1.72</v>
      </c>
      <c r="K32" s="217">
        <f>'Maldives at LG Daily'!I35</f>
        <v>0</v>
      </c>
      <c r="L32" s="217">
        <f>'Maldives at LG Daily'!J35</f>
        <v>0</v>
      </c>
    </row>
    <row r="33" spans="7:7" x14ac:dyDescent="0.2">
      <c r="G33" s="2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J9" sqref="J9"/>
    </sheetView>
  </sheetViews>
  <sheetFormatPr defaultRowHeight="15" x14ac:dyDescent="0.25"/>
  <cols>
    <col min="1" max="1" width="14" style="286" customWidth="1"/>
    <col min="2" max="2" width="2" style="286" customWidth="1"/>
    <col min="3" max="3" width="11.85546875" style="304" customWidth="1"/>
    <col min="4" max="4" width="13.5703125" style="305" customWidth="1"/>
    <col min="5" max="5" width="14.85546875" style="286" customWidth="1"/>
    <col min="6" max="6" width="14.85546875" style="304" customWidth="1"/>
    <col min="7" max="7" width="8.85546875" style="286" customWidth="1"/>
    <col min="8" max="8" width="12.5703125" style="286" customWidth="1"/>
    <col min="9" max="10" width="13" style="357" customWidth="1"/>
    <col min="11" max="254" width="9.140625" style="286"/>
    <col min="255" max="255" width="14" style="286" customWidth="1"/>
    <col min="256" max="256" width="2" style="286" customWidth="1"/>
    <col min="257" max="257" width="11.85546875" style="286" customWidth="1"/>
    <col min="258" max="258" width="13.5703125" style="286" customWidth="1"/>
    <col min="259" max="260" width="13.85546875" style="286" customWidth="1"/>
    <col min="261" max="262" width="14.85546875" style="286" customWidth="1"/>
    <col min="263" max="263" width="8.85546875" style="286" customWidth="1"/>
    <col min="264" max="264" width="12.5703125" style="286" customWidth="1"/>
    <col min="265" max="266" width="13" style="286" customWidth="1"/>
    <col min="267" max="510" width="9.140625" style="286"/>
    <col min="511" max="511" width="14" style="286" customWidth="1"/>
    <col min="512" max="512" width="2" style="286" customWidth="1"/>
    <col min="513" max="513" width="11.85546875" style="286" customWidth="1"/>
    <col min="514" max="514" width="13.5703125" style="286" customWidth="1"/>
    <col min="515" max="516" width="13.85546875" style="286" customWidth="1"/>
    <col min="517" max="518" width="14.85546875" style="286" customWidth="1"/>
    <col min="519" max="519" width="8.85546875" style="286" customWidth="1"/>
    <col min="520" max="520" width="12.5703125" style="286" customWidth="1"/>
    <col min="521" max="522" width="13" style="286" customWidth="1"/>
    <col min="523" max="766" width="9.140625" style="286"/>
    <col min="767" max="767" width="14" style="286" customWidth="1"/>
    <col min="768" max="768" width="2" style="286" customWidth="1"/>
    <col min="769" max="769" width="11.85546875" style="286" customWidth="1"/>
    <col min="770" max="770" width="13.5703125" style="286" customWidth="1"/>
    <col min="771" max="772" width="13.85546875" style="286" customWidth="1"/>
    <col min="773" max="774" width="14.85546875" style="286" customWidth="1"/>
    <col min="775" max="775" width="8.85546875" style="286" customWidth="1"/>
    <col min="776" max="776" width="12.5703125" style="286" customWidth="1"/>
    <col min="777" max="778" width="13" style="286" customWidth="1"/>
    <col min="779" max="1022" width="9.140625" style="286"/>
    <col min="1023" max="1023" width="14" style="286" customWidth="1"/>
    <col min="1024" max="1024" width="2" style="286" customWidth="1"/>
    <col min="1025" max="1025" width="11.85546875" style="286" customWidth="1"/>
    <col min="1026" max="1026" width="13.5703125" style="286" customWidth="1"/>
    <col min="1027" max="1028" width="13.85546875" style="286" customWidth="1"/>
    <col min="1029" max="1030" width="14.85546875" style="286" customWidth="1"/>
    <col min="1031" max="1031" width="8.85546875" style="286" customWidth="1"/>
    <col min="1032" max="1032" width="12.5703125" style="286" customWidth="1"/>
    <col min="1033" max="1034" width="13" style="286" customWidth="1"/>
    <col min="1035" max="1278" width="9.140625" style="286"/>
    <col min="1279" max="1279" width="14" style="286" customWidth="1"/>
    <col min="1280" max="1280" width="2" style="286" customWidth="1"/>
    <col min="1281" max="1281" width="11.85546875" style="286" customWidth="1"/>
    <col min="1282" max="1282" width="13.5703125" style="286" customWidth="1"/>
    <col min="1283" max="1284" width="13.85546875" style="286" customWidth="1"/>
    <col min="1285" max="1286" width="14.85546875" style="286" customWidth="1"/>
    <col min="1287" max="1287" width="8.85546875" style="286" customWidth="1"/>
    <col min="1288" max="1288" width="12.5703125" style="286" customWidth="1"/>
    <col min="1289" max="1290" width="13" style="286" customWidth="1"/>
    <col min="1291" max="1534" width="9.140625" style="286"/>
    <col min="1535" max="1535" width="14" style="286" customWidth="1"/>
    <col min="1536" max="1536" width="2" style="286" customWidth="1"/>
    <col min="1537" max="1537" width="11.85546875" style="286" customWidth="1"/>
    <col min="1538" max="1538" width="13.5703125" style="286" customWidth="1"/>
    <col min="1539" max="1540" width="13.85546875" style="286" customWidth="1"/>
    <col min="1541" max="1542" width="14.85546875" style="286" customWidth="1"/>
    <col min="1543" max="1543" width="8.85546875" style="286" customWidth="1"/>
    <col min="1544" max="1544" width="12.5703125" style="286" customWidth="1"/>
    <col min="1545" max="1546" width="13" style="286" customWidth="1"/>
    <col min="1547" max="1790" width="9.140625" style="286"/>
    <col min="1791" max="1791" width="14" style="286" customWidth="1"/>
    <col min="1792" max="1792" width="2" style="286" customWidth="1"/>
    <col min="1793" max="1793" width="11.85546875" style="286" customWidth="1"/>
    <col min="1794" max="1794" width="13.5703125" style="286" customWidth="1"/>
    <col min="1795" max="1796" width="13.85546875" style="286" customWidth="1"/>
    <col min="1797" max="1798" width="14.85546875" style="286" customWidth="1"/>
    <col min="1799" max="1799" width="8.85546875" style="286" customWidth="1"/>
    <col min="1800" max="1800" width="12.5703125" style="286" customWidth="1"/>
    <col min="1801" max="1802" width="13" style="286" customWidth="1"/>
    <col min="1803" max="2046" width="9.140625" style="286"/>
    <col min="2047" max="2047" width="14" style="286" customWidth="1"/>
    <col min="2048" max="2048" width="2" style="286" customWidth="1"/>
    <col min="2049" max="2049" width="11.85546875" style="286" customWidth="1"/>
    <col min="2050" max="2050" width="13.5703125" style="286" customWidth="1"/>
    <col min="2051" max="2052" width="13.85546875" style="286" customWidth="1"/>
    <col min="2053" max="2054" width="14.85546875" style="286" customWidth="1"/>
    <col min="2055" max="2055" width="8.85546875" style="286" customWidth="1"/>
    <col min="2056" max="2056" width="12.5703125" style="286" customWidth="1"/>
    <col min="2057" max="2058" width="13" style="286" customWidth="1"/>
    <col min="2059" max="2302" width="9.140625" style="286"/>
    <col min="2303" max="2303" width="14" style="286" customWidth="1"/>
    <col min="2304" max="2304" width="2" style="286" customWidth="1"/>
    <col min="2305" max="2305" width="11.85546875" style="286" customWidth="1"/>
    <col min="2306" max="2306" width="13.5703125" style="286" customWidth="1"/>
    <col min="2307" max="2308" width="13.85546875" style="286" customWidth="1"/>
    <col min="2309" max="2310" width="14.85546875" style="286" customWidth="1"/>
    <col min="2311" max="2311" width="8.85546875" style="286" customWidth="1"/>
    <col min="2312" max="2312" width="12.5703125" style="286" customWidth="1"/>
    <col min="2313" max="2314" width="13" style="286" customWidth="1"/>
    <col min="2315" max="2558" width="9.140625" style="286"/>
    <col min="2559" max="2559" width="14" style="286" customWidth="1"/>
    <col min="2560" max="2560" width="2" style="286" customWidth="1"/>
    <col min="2561" max="2561" width="11.85546875" style="286" customWidth="1"/>
    <col min="2562" max="2562" width="13.5703125" style="286" customWidth="1"/>
    <col min="2563" max="2564" width="13.85546875" style="286" customWidth="1"/>
    <col min="2565" max="2566" width="14.85546875" style="286" customWidth="1"/>
    <col min="2567" max="2567" width="8.85546875" style="286" customWidth="1"/>
    <col min="2568" max="2568" width="12.5703125" style="286" customWidth="1"/>
    <col min="2569" max="2570" width="13" style="286" customWidth="1"/>
    <col min="2571" max="2814" width="9.140625" style="286"/>
    <col min="2815" max="2815" width="14" style="286" customWidth="1"/>
    <col min="2816" max="2816" width="2" style="286" customWidth="1"/>
    <col min="2817" max="2817" width="11.85546875" style="286" customWidth="1"/>
    <col min="2818" max="2818" width="13.5703125" style="286" customWidth="1"/>
    <col min="2819" max="2820" width="13.85546875" style="286" customWidth="1"/>
    <col min="2821" max="2822" width="14.85546875" style="286" customWidth="1"/>
    <col min="2823" max="2823" width="8.85546875" style="286" customWidth="1"/>
    <col min="2824" max="2824" width="12.5703125" style="286" customWidth="1"/>
    <col min="2825" max="2826" width="13" style="286" customWidth="1"/>
    <col min="2827" max="3070" width="9.140625" style="286"/>
    <col min="3071" max="3071" width="14" style="286" customWidth="1"/>
    <col min="3072" max="3072" width="2" style="286" customWidth="1"/>
    <col min="3073" max="3073" width="11.85546875" style="286" customWidth="1"/>
    <col min="3074" max="3074" width="13.5703125" style="286" customWidth="1"/>
    <col min="3075" max="3076" width="13.85546875" style="286" customWidth="1"/>
    <col min="3077" max="3078" width="14.85546875" style="286" customWidth="1"/>
    <col min="3079" max="3079" width="8.85546875" style="286" customWidth="1"/>
    <col min="3080" max="3080" width="12.5703125" style="286" customWidth="1"/>
    <col min="3081" max="3082" width="13" style="286" customWidth="1"/>
    <col min="3083" max="3326" width="9.140625" style="286"/>
    <col min="3327" max="3327" width="14" style="286" customWidth="1"/>
    <col min="3328" max="3328" width="2" style="286" customWidth="1"/>
    <col min="3329" max="3329" width="11.85546875" style="286" customWidth="1"/>
    <col min="3330" max="3330" width="13.5703125" style="286" customWidth="1"/>
    <col min="3331" max="3332" width="13.85546875" style="286" customWidth="1"/>
    <col min="3333" max="3334" width="14.85546875" style="286" customWidth="1"/>
    <col min="3335" max="3335" width="8.85546875" style="286" customWidth="1"/>
    <col min="3336" max="3336" width="12.5703125" style="286" customWidth="1"/>
    <col min="3337" max="3338" width="13" style="286" customWidth="1"/>
    <col min="3339" max="3582" width="9.140625" style="286"/>
    <col min="3583" max="3583" width="14" style="286" customWidth="1"/>
    <col min="3584" max="3584" width="2" style="286" customWidth="1"/>
    <col min="3585" max="3585" width="11.85546875" style="286" customWidth="1"/>
    <col min="3586" max="3586" width="13.5703125" style="286" customWidth="1"/>
    <col min="3587" max="3588" width="13.85546875" style="286" customWidth="1"/>
    <col min="3589" max="3590" width="14.85546875" style="286" customWidth="1"/>
    <col min="3591" max="3591" width="8.85546875" style="286" customWidth="1"/>
    <col min="3592" max="3592" width="12.5703125" style="286" customWidth="1"/>
    <col min="3593" max="3594" width="13" style="286" customWidth="1"/>
    <col min="3595" max="3838" width="9.140625" style="286"/>
    <col min="3839" max="3839" width="14" style="286" customWidth="1"/>
    <col min="3840" max="3840" width="2" style="286" customWidth="1"/>
    <col min="3841" max="3841" width="11.85546875" style="286" customWidth="1"/>
    <col min="3842" max="3842" width="13.5703125" style="286" customWidth="1"/>
    <col min="3843" max="3844" width="13.85546875" style="286" customWidth="1"/>
    <col min="3845" max="3846" width="14.85546875" style="286" customWidth="1"/>
    <col min="3847" max="3847" width="8.85546875" style="286" customWidth="1"/>
    <col min="3848" max="3848" width="12.5703125" style="286" customWidth="1"/>
    <col min="3849" max="3850" width="13" style="286" customWidth="1"/>
    <col min="3851" max="4094" width="9.140625" style="286"/>
    <col min="4095" max="4095" width="14" style="286" customWidth="1"/>
    <col min="4096" max="4096" width="2" style="286" customWidth="1"/>
    <col min="4097" max="4097" width="11.85546875" style="286" customWidth="1"/>
    <col min="4098" max="4098" width="13.5703125" style="286" customWidth="1"/>
    <col min="4099" max="4100" width="13.85546875" style="286" customWidth="1"/>
    <col min="4101" max="4102" width="14.85546875" style="286" customWidth="1"/>
    <col min="4103" max="4103" width="8.85546875" style="286" customWidth="1"/>
    <col min="4104" max="4104" width="12.5703125" style="286" customWidth="1"/>
    <col min="4105" max="4106" width="13" style="286" customWidth="1"/>
    <col min="4107" max="4350" width="9.140625" style="286"/>
    <col min="4351" max="4351" width="14" style="286" customWidth="1"/>
    <col min="4352" max="4352" width="2" style="286" customWidth="1"/>
    <col min="4353" max="4353" width="11.85546875" style="286" customWidth="1"/>
    <col min="4354" max="4354" width="13.5703125" style="286" customWidth="1"/>
    <col min="4355" max="4356" width="13.85546875" style="286" customWidth="1"/>
    <col min="4357" max="4358" width="14.85546875" style="286" customWidth="1"/>
    <col min="4359" max="4359" width="8.85546875" style="286" customWidth="1"/>
    <col min="4360" max="4360" width="12.5703125" style="286" customWidth="1"/>
    <col min="4361" max="4362" width="13" style="286" customWidth="1"/>
    <col min="4363" max="4606" width="9.140625" style="286"/>
    <col min="4607" max="4607" width="14" style="286" customWidth="1"/>
    <col min="4608" max="4608" width="2" style="286" customWidth="1"/>
    <col min="4609" max="4609" width="11.85546875" style="286" customWidth="1"/>
    <col min="4610" max="4610" width="13.5703125" style="286" customWidth="1"/>
    <col min="4611" max="4612" width="13.85546875" style="286" customWidth="1"/>
    <col min="4613" max="4614" width="14.85546875" style="286" customWidth="1"/>
    <col min="4615" max="4615" width="8.85546875" style="286" customWidth="1"/>
    <col min="4616" max="4616" width="12.5703125" style="286" customWidth="1"/>
    <col min="4617" max="4618" width="13" style="286" customWidth="1"/>
    <col min="4619" max="4862" width="9.140625" style="286"/>
    <col min="4863" max="4863" width="14" style="286" customWidth="1"/>
    <col min="4864" max="4864" width="2" style="286" customWidth="1"/>
    <col min="4865" max="4865" width="11.85546875" style="286" customWidth="1"/>
    <col min="4866" max="4866" width="13.5703125" style="286" customWidth="1"/>
    <col min="4867" max="4868" width="13.85546875" style="286" customWidth="1"/>
    <col min="4869" max="4870" width="14.85546875" style="286" customWidth="1"/>
    <col min="4871" max="4871" width="8.85546875" style="286" customWidth="1"/>
    <col min="4872" max="4872" width="12.5703125" style="286" customWidth="1"/>
    <col min="4873" max="4874" width="13" style="286" customWidth="1"/>
    <col min="4875" max="5118" width="9.140625" style="286"/>
    <col min="5119" max="5119" width="14" style="286" customWidth="1"/>
    <col min="5120" max="5120" width="2" style="286" customWidth="1"/>
    <col min="5121" max="5121" width="11.85546875" style="286" customWidth="1"/>
    <col min="5122" max="5122" width="13.5703125" style="286" customWidth="1"/>
    <col min="5123" max="5124" width="13.85546875" style="286" customWidth="1"/>
    <col min="5125" max="5126" width="14.85546875" style="286" customWidth="1"/>
    <col min="5127" max="5127" width="8.85546875" style="286" customWidth="1"/>
    <col min="5128" max="5128" width="12.5703125" style="286" customWidth="1"/>
    <col min="5129" max="5130" width="13" style="286" customWidth="1"/>
    <col min="5131" max="5374" width="9.140625" style="286"/>
    <col min="5375" max="5375" width="14" style="286" customWidth="1"/>
    <col min="5376" max="5376" width="2" style="286" customWidth="1"/>
    <col min="5377" max="5377" width="11.85546875" style="286" customWidth="1"/>
    <col min="5378" max="5378" width="13.5703125" style="286" customWidth="1"/>
    <col min="5379" max="5380" width="13.85546875" style="286" customWidth="1"/>
    <col min="5381" max="5382" width="14.85546875" style="286" customWidth="1"/>
    <col min="5383" max="5383" width="8.85546875" style="286" customWidth="1"/>
    <col min="5384" max="5384" width="12.5703125" style="286" customWidth="1"/>
    <col min="5385" max="5386" width="13" style="286" customWidth="1"/>
    <col min="5387" max="5630" width="9.140625" style="286"/>
    <col min="5631" max="5631" width="14" style="286" customWidth="1"/>
    <col min="5632" max="5632" width="2" style="286" customWidth="1"/>
    <col min="5633" max="5633" width="11.85546875" style="286" customWidth="1"/>
    <col min="5634" max="5634" width="13.5703125" style="286" customWidth="1"/>
    <col min="5635" max="5636" width="13.85546875" style="286" customWidth="1"/>
    <col min="5637" max="5638" width="14.85546875" style="286" customWidth="1"/>
    <col min="5639" max="5639" width="8.85546875" style="286" customWidth="1"/>
    <col min="5640" max="5640" width="12.5703125" style="286" customWidth="1"/>
    <col min="5641" max="5642" width="13" style="286" customWidth="1"/>
    <col min="5643" max="5886" width="9.140625" style="286"/>
    <col min="5887" max="5887" width="14" style="286" customWidth="1"/>
    <col min="5888" max="5888" width="2" style="286" customWidth="1"/>
    <col min="5889" max="5889" width="11.85546875" style="286" customWidth="1"/>
    <col min="5890" max="5890" width="13.5703125" style="286" customWidth="1"/>
    <col min="5891" max="5892" width="13.85546875" style="286" customWidth="1"/>
    <col min="5893" max="5894" width="14.85546875" style="286" customWidth="1"/>
    <col min="5895" max="5895" width="8.85546875" style="286" customWidth="1"/>
    <col min="5896" max="5896" width="12.5703125" style="286" customWidth="1"/>
    <col min="5897" max="5898" width="13" style="286" customWidth="1"/>
    <col min="5899" max="6142" width="9.140625" style="286"/>
    <col min="6143" max="6143" width="14" style="286" customWidth="1"/>
    <col min="6144" max="6144" width="2" style="286" customWidth="1"/>
    <col min="6145" max="6145" width="11.85546875" style="286" customWidth="1"/>
    <col min="6146" max="6146" width="13.5703125" style="286" customWidth="1"/>
    <col min="6147" max="6148" width="13.85546875" style="286" customWidth="1"/>
    <col min="6149" max="6150" width="14.85546875" style="286" customWidth="1"/>
    <col min="6151" max="6151" width="8.85546875" style="286" customWidth="1"/>
    <col min="6152" max="6152" width="12.5703125" style="286" customWidth="1"/>
    <col min="6153" max="6154" width="13" style="286" customWidth="1"/>
    <col min="6155" max="6398" width="9.140625" style="286"/>
    <col min="6399" max="6399" width="14" style="286" customWidth="1"/>
    <col min="6400" max="6400" width="2" style="286" customWidth="1"/>
    <col min="6401" max="6401" width="11.85546875" style="286" customWidth="1"/>
    <col min="6402" max="6402" width="13.5703125" style="286" customWidth="1"/>
    <col min="6403" max="6404" width="13.85546875" style="286" customWidth="1"/>
    <col min="6405" max="6406" width="14.85546875" style="286" customWidth="1"/>
    <col min="6407" max="6407" width="8.85546875" style="286" customWidth="1"/>
    <col min="6408" max="6408" width="12.5703125" style="286" customWidth="1"/>
    <col min="6409" max="6410" width="13" style="286" customWidth="1"/>
    <col min="6411" max="6654" width="9.140625" style="286"/>
    <col min="6655" max="6655" width="14" style="286" customWidth="1"/>
    <col min="6656" max="6656" width="2" style="286" customWidth="1"/>
    <col min="6657" max="6657" width="11.85546875" style="286" customWidth="1"/>
    <col min="6658" max="6658" width="13.5703125" style="286" customWidth="1"/>
    <col min="6659" max="6660" width="13.85546875" style="286" customWidth="1"/>
    <col min="6661" max="6662" width="14.85546875" style="286" customWidth="1"/>
    <col min="6663" max="6663" width="8.85546875" style="286" customWidth="1"/>
    <col min="6664" max="6664" width="12.5703125" style="286" customWidth="1"/>
    <col min="6665" max="6666" width="13" style="286" customWidth="1"/>
    <col min="6667" max="6910" width="9.140625" style="286"/>
    <col min="6911" max="6911" width="14" style="286" customWidth="1"/>
    <col min="6912" max="6912" width="2" style="286" customWidth="1"/>
    <col min="6913" max="6913" width="11.85546875" style="286" customWidth="1"/>
    <col min="6914" max="6914" width="13.5703125" style="286" customWidth="1"/>
    <col min="6915" max="6916" width="13.85546875" style="286" customWidth="1"/>
    <col min="6917" max="6918" width="14.85546875" style="286" customWidth="1"/>
    <col min="6919" max="6919" width="8.85546875" style="286" customWidth="1"/>
    <col min="6920" max="6920" width="12.5703125" style="286" customWidth="1"/>
    <col min="6921" max="6922" width="13" style="286" customWidth="1"/>
    <col min="6923" max="7166" width="9.140625" style="286"/>
    <col min="7167" max="7167" width="14" style="286" customWidth="1"/>
    <col min="7168" max="7168" width="2" style="286" customWidth="1"/>
    <col min="7169" max="7169" width="11.85546875" style="286" customWidth="1"/>
    <col min="7170" max="7170" width="13.5703125" style="286" customWidth="1"/>
    <col min="7171" max="7172" width="13.85546875" style="286" customWidth="1"/>
    <col min="7173" max="7174" width="14.85546875" style="286" customWidth="1"/>
    <col min="7175" max="7175" width="8.85546875" style="286" customWidth="1"/>
    <col min="7176" max="7176" width="12.5703125" style="286" customWidth="1"/>
    <col min="7177" max="7178" width="13" style="286" customWidth="1"/>
    <col min="7179" max="7422" width="9.140625" style="286"/>
    <col min="7423" max="7423" width="14" style="286" customWidth="1"/>
    <col min="7424" max="7424" width="2" style="286" customWidth="1"/>
    <col min="7425" max="7425" width="11.85546875" style="286" customWidth="1"/>
    <col min="7426" max="7426" width="13.5703125" style="286" customWidth="1"/>
    <col min="7427" max="7428" width="13.85546875" style="286" customWidth="1"/>
    <col min="7429" max="7430" width="14.85546875" style="286" customWidth="1"/>
    <col min="7431" max="7431" width="8.85546875" style="286" customWidth="1"/>
    <col min="7432" max="7432" width="12.5703125" style="286" customWidth="1"/>
    <col min="7433" max="7434" width="13" style="286" customWidth="1"/>
    <col min="7435" max="7678" width="9.140625" style="286"/>
    <col min="7679" max="7679" width="14" style="286" customWidth="1"/>
    <col min="7680" max="7680" width="2" style="286" customWidth="1"/>
    <col min="7681" max="7681" width="11.85546875" style="286" customWidth="1"/>
    <col min="7682" max="7682" width="13.5703125" style="286" customWidth="1"/>
    <col min="7683" max="7684" width="13.85546875" style="286" customWidth="1"/>
    <col min="7685" max="7686" width="14.85546875" style="286" customWidth="1"/>
    <col min="7687" max="7687" width="8.85546875" style="286" customWidth="1"/>
    <col min="7688" max="7688" width="12.5703125" style="286" customWidth="1"/>
    <col min="7689" max="7690" width="13" style="286" customWidth="1"/>
    <col min="7691" max="7934" width="9.140625" style="286"/>
    <col min="7935" max="7935" width="14" style="286" customWidth="1"/>
    <col min="7936" max="7936" width="2" style="286" customWidth="1"/>
    <col min="7937" max="7937" width="11.85546875" style="286" customWidth="1"/>
    <col min="7938" max="7938" width="13.5703125" style="286" customWidth="1"/>
    <col min="7939" max="7940" width="13.85546875" style="286" customWidth="1"/>
    <col min="7941" max="7942" width="14.85546875" style="286" customWidth="1"/>
    <col min="7943" max="7943" width="8.85546875" style="286" customWidth="1"/>
    <col min="7944" max="7944" width="12.5703125" style="286" customWidth="1"/>
    <col min="7945" max="7946" width="13" style="286" customWidth="1"/>
    <col min="7947" max="8190" width="9.140625" style="286"/>
    <col min="8191" max="8191" width="14" style="286" customWidth="1"/>
    <col min="8192" max="8192" width="2" style="286" customWidth="1"/>
    <col min="8193" max="8193" width="11.85546875" style="286" customWidth="1"/>
    <col min="8194" max="8194" width="13.5703125" style="286" customWidth="1"/>
    <col min="8195" max="8196" width="13.85546875" style="286" customWidth="1"/>
    <col min="8197" max="8198" width="14.85546875" style="286" customWidth="1"/>
    <col min="8199" max="8199" width="8.85546875" style="286" customWidth="1"/>
    <col min="8200" max="8200" width="12.5703125" style="286" customWidth="1"/>
    <col min="8201" max="8202" width="13" style="286" customWidth="1"/>
    <col min="8203" max="8446" width="9.140625" style="286"/>
    <col min="8447" max="8447" width="14" style="286" customWidth="1"/>
    <col min="8448" max="8448" width="2" style="286" customWidth="1"/>
    <col min="8449" max="8449" width="11.85546875" style="286" customWidth="1"/>
    <col min="8450" max="8450" width="13.5703125" style="286" customWidth="1"/>
    <col min="8451" max="8452" width="13.85546875" style="286" customWidth="1"/>
    <col min="8453" max="8454" width="14.85546875" style="286" customWidth="1"/>
    <col min="8455" max="8455" width="8.85546875" style="286" customWidth="1"/>
    <col min="8456" max="8456" width="12.5703125" style="286" customWidth="1"/>
    <col min="8457" max="8458" width="13" style="286" customWidth="1"/>
    <col min="8459" max="8702" width="9.140625" style="286"/>
    <col min="8703" max="8703" width="14" style="286" customWidth="1"/>
    <col min="8704" max="8704" width="2" style="286" customWidth="1"/>
    <col min="8705" max="8705" width="11.85546875" style="286" customWidth="1"/>
    <col min="8706" max="8706" width="13.5703125" style="286" customWidth="1"/>
    <col min="8707" max="8708" width="13.85546875" style="286" customWidth="1"/>
    <col min="8709" max="8710" width="14.85546875" style="286" customWidth="1"/>
    <col min="8711" max="8711" width="8.85546875" style="286" customWidth="1"/>
    <col min="8712" max="8712" width="12.5703125" style="286" customWidth="1"/>
    <col min="8713" max="8714" width="13" style="286" customWidth="1"/>
    <col min="8715" max="8958" width="9.140625" style="286"/>
    <col min="8959" max="8959" width="14" style="286" customWidth="1"/>
    <col min="8960" max="8960" width="2" style="286" customWidth="1"/>
    <col min="8961" max="8961" width="11.85546875" style="286" customWidth="1"/>
    <col min="8962" max="8962" width="13.5703125" style="286" customWidth="1"/>
    <col min="8963" max="8964" width="13.85546875" style="286" customWidth="1"/>
    <col min="8965" max="8966" width="14.85546875" style="286" customWidth="1"/>
    <col min="8967" max="8967" width="8.85546875" style="286" customWidth="1"/>
    <col min="8968" max="8968" width="12.5703125" style="286" customWidth="1"/>
    <col min="8969" max="8970" width="13" style="286" customWidth="1"/>
    <col min="8971" max="9214" width="9.140625" style="286"/>
    <col min="9215" max="9215" width="14" style="286" customWidth="1"/>
    <col min="9216" max="9216" width="2" style="286" customWidth="1"/>
    <col min="9217" max="9217" width="11.85546875" style="286" customWidth="1"/>
    <col min="9218" max="9218" width="13.5703125" style="286" customWidth="1"/>
    <col min="9219" max="9220" width="13.85546875" style="286" customWidth="1"/>
    <col min="9221" max="9222" width="14.85546875" style="286" customWidth="1"/>
    <col min="9223" max="9223" width="8.85546875" style="286" customWidth="1"/>
    <col min="9224" max="9224" width="12.5703125" style="286" customWidth="1"/>
    <col min="9225" max="9226" width="13" style="286" customWidth="1"/>
    <col min="9227" max="9470" width="9.140625" style="286"/>
    <col min="9471" max="9471" width="14" style="286" customWidth="1"/>
    <col min="9472" max="9472" width="2" style="286" customWidth="1"/>
    <col min="9473" max="9473" width="11.85546875" style="286" customWidth="1"/>
    <col min="9474" max="9474" width="13.5703125" style="286" customWidth="1"/>
    <col min="9475" max="9476" width="13.85546875" style="286" customWidth="1"/>
    <col min="9477" max="9478" width="14.85546875" style="286" customWidth="1"/>
    <col min="9479" max="9479" width="8.85546875" style="286" customWidth="1"/>
    <col min="9480" max="9480" width="12.5703125" style="286" customWidth="1"/>
    <col min="9481" max="9482" width="13" style="286" customWidth="1"/>
    <col min="9483" max="9726" width="9.140625" style="286"/>
    <col min="9727" max="9727" width="14" style="286" customWidth="1"/>
    <col min="9728" max="9728" width="2" style="286" customWidth="1"/>
    <col min="9729" max="9729" width="11.85546875" style="286" customWidth="1"/>
    <col min="9730" max="9730" width="13.5703125" style="286" customWidth="1"/>
    <col min="9731" max="9732" width="13.85546875" style="286" customWidth="1"/>
    <col min="9733" max="9734" width="14.85546875" style="286" customWidth="1"/>
    <col min="9735" max="9735" width="8.85546875" style="286" customWidth="1"/>
    <col min="9736" max="9736" width="12.5703125" style="286" customWidth="1"/>
    <col min="9737" max="9738" width="13" style="286" customWidth="1"/>
    <col min="9739" max="9982" width="9.140625" style="286"/>
    <col min="9983" max="9983" width="14" style="286" customWidth="1"/>
    <col min="9984" max="9984" width="2" style="286" customWidth="1"/>
    <col min="9985" max="9985" width="11.85546875" style="286" customWidth="1"/>
    <col min="9986" max="9986" width="13.5703125" style="286" customWidth="1"/>
    <col min="9987" max="9988" width="13.85546875" style="286" customWidth="1"/>
    <col min="9989" max="9990" width="14.85546875" style="286" customWidth="1"/>
    <col min="9991" max="9991" width="8.85546875" style="286" customWidth="1"/>
    <col min="9992" max="9992" width="12.5703125" style="286" customWidth="1"/>
    <col min="9993" max="9994" width="13" style="286" customWidth="1"/>
    <col min="9995" max="10238" width="9.140625" style="286"/>
    <col min="10239" max="10239" width="14" style="286" customWidth="1"/>
    <col min="10240" max="10240" width="2" style="286" customWidth="1"/>
    <col min="10241" max="10241" width="11.85546875" style="286" customWidth="1"/>
    <col min="10242" max="10242" width="13.5703125" style="286" customWidth="1"/>
    <col min="10243" max="10244" width="13.85546875" style="286" customWidth="1"/>
    <col min="10245" max="10246" width="14.85546875" style="286" customWidth="1"/>
    <col min="10247" max="10247" width="8.85546875" style="286" customWidth="1"/>
    <col min="10248" max="10248" width="12.5703125" style="286" customWidth="1"/>
    <col min="10249" max="10250" width="13" style="286" customWidth="1"/>
    <col min="10251" max="10494" width="9.140625" style="286"/>
    <col min="10495" max="10495" width="14" style="286" customWidth="1"/>
    <col min="10496" max="10496" width="2" style="286" customWidth="1"/>
    <col min="10497" max="10497" width="11.85546875" style="286" customWidth="1"/>
    <col min="10498" max="10498" width="13.5703125" style="286" customWidth="1"/>
    <col min="10499" max="10500" width="13.85546875" style="286" customWidth="1"/>
    <col min="10501" max="10502" width="14.85546875" style="286" customWidth="1"/>
    <col min="10503" max="10503" width="8.85546875" style="286" customWidth="1"/>
    <col min="10504" max="10504" width="12.5703125" style="286" customWidth="1"/>
    <col min="10505" max="10506" width="13" style="286" customWidth="1"/>
    <col min="10507" max="10750" width="9.140625" style="286"/>
    <col min="10751" max="10751" width="14" style="286" customWidth="1"/>
    <col min="10752" max="10752" width="2" style="286" customWidth="1"/>
    <col min="10753" max="10753" width="11.85546875" style="286" customWidth="1"/>
    <col min="10754" max="10754" width="13.5703125" style="286" customWidth="1"/>
    <col min="10755" max="10756" width="13.85546875" style="286" customWidth="1"/>
    <col min="10757" max="10758" width="14.85546875" style="286" customWidth="1"/>
    <col min="10759" max="10759" width="8.85546875" style="286" customWidth="1"/>
    <col min="10760" max="10760" width="12.5703125" style="286" customWidth="1"/>
    <col min="10761" max="10762" width="13" style="286" customWidth="1"/>
    <col min="10763" max="11006" width="9.140625" style="286"/>
    <col min="11007" max="11007" width="14" style="286" customWidth="1"/>
    <col min="11008" max="11008" width="2" style="286" customWidth="1"/>
    <col min="11009" max="11009" width="11.85546875" style="286" customWidth="1"/>
    <col min="11010" max="11010" width="13.5703125" style="286" customWidth="1"/>
    <col min="11011" max="11012" width="13.85546875" style="286" customWidth="1"/>
    <col min="11013" max="11014" width="14.85546875" style="286" customWidth="1"/>
    <col min="11015" max="11015" width="8.85546875" style="286" customWidth="1"/>
    <col min="11016" max="11016" width="12.5703125" style="286" customWidth="1"/>
    <col min="11017" max="11018" width="13" style="286" customWidth="1"/>
    <col min="11019" max="11262" width="9.140625" style="286"/>
    <col min="11263" max="11263" width="14" style="286" customWidth="1"/>
    <col min="11264" max="11264" width="2" style="286" customWidth="1"/>
    <col min="11265" max="11265" width="11.85546875" style="286" customWidth="1"/>
    <col min="11266" max="11266" width="13.5703125" style="286" customWidth="1"/>
    <col min="11267" max="11268" width="13.85546875" style="286" customWidth="1"/>
    <col min="11269" max="11270" width="14.85546875" style="286" customWidth="1"/>
    <col min="11271" max="11271" width="8.85546875" style="286" customWidth="1"/>
    <col min="11272" max="11272" width="12.5703125" style="286" customWidth="1"/>
    <col min="11273" max="11274" width="13" style="286" customWidth="1"/>
    <col min="11275" max="11518" width="9.140625" style="286"/>
    <col min="11519" max="11519" width="14" style="286" customWidth="1"/>
    <col min="11520" max="11520" width="2" style="286" customWidth="1"/>
    <col min="11521" max="11521" width="11.85546875" style="286" customWidth="1"/>
    <col min="11522" max="11522" width="13.5703125" style="286" customWidth="1"/>
    <col min="11523" max="11524" width="13.85546875" style="286" customWidth="1"/>
    <col min="11525" max="11526" width="14.85546875" style="286" customWidth="1"/>
    <col min="11527" max="11527" width="8.85546875" style="286" customWidth="1"/>
    <col min="11528" max="11528" width="12.5703125" style="286" customWidth="1"/>
    <col min="11529" max="11530" width="13" style="286" customWidth="1"/>
    <col min="11531" max="11774" width="9.140625" style="286"/>
    <col min="11775" max="11775" width="14" style="286" customWidth="1"/>
    <col min="11776" max="11776" width="2" style="286" customWidth="1"/>
    <col min="11777" max="11777" width="11.85546875" style="286" customWidth="1"/>
    <col min="11778" max="11778" width="13.5703125" style="286" customWidth="1"/>
    <col min="11779" max="11780" width="13.85546875" style="286" customWidth="1"/>
    <col min="11781" max="11782" width="14.85546875" style="286" customWidth="1"/>
    <col min="11783" max="11783" width="8.85546875" style="286" customWidth="1"/>
    <col min="11784" max="11784" width="12.5703125" style="286" customWidth="1"/>
    <col min="11785" max="11786" width="13" style="286" customWidth="1"/>
    <col min="11787" max="12030" width="9.140625" style="286"/>
    <col min="12031" max="12031" width="14" style="286" customWidth="1"/>
    <col min="12032" max="12032" width="2" style="286" customWidth="1"/>
    <col min="12033" max="12033" width="11.85546875" style="286" customWidth="1"/>
    <col min="12034" max="12034" width="13.5703125" style="286" customWidth="1"/>
    <col min="12035" max="12036" width="13.85546875" style="286" customWidth="1"/>
    <col min="12037" max="12038" width="14.85546875" style="286" customWidth="1"/>
    <col min="12039" max="12039" width="8.85546875" style="286" customWidth="1"/>
    <col min="12040" max="12040" width="12.5703125" style="286" customWidth="1"/>
    <col min="12041" max="12042" width="13" style="286" customWidth="1"/>
    <col min="12043" max="12286" width="9.140625" style="286"/>
    <col min="12287" max="12287" width="14" style="286" customWidth="1"/>
    <col min="12288" max="12288" width="2" style="286" customWidth="1"/>
    <col min="12289" max="12289" width="11.85546875" style="286" customWidth="1"/>
    <col min="12290" max="12290" width="13.5703125" style="286" customWidth="1"/>
    <col min="12291" max="12292" width="13.85546875" style="286" customWidth="1"/>
    <col min="12293" max="12294" width="14.85546875" style="286" customWidth="1"/>
    <col min="12295" max="12295" width="8.85546875" style="286" customWidth="1"/>
    <col min="12296" max="12296" width="12.5703125" style="286" customWidth="1"/>
    <col min="12297" max="12298" width="13" style="286" customWidth="1"/>
    <col min="12299" max="12542" width="9.140625" style="286"/>
    <col min="12543" max="12543" width="14" style="286" customWidth="1"/>
    <col min="12544" max="12544" width="2" style="286" customWidth="1"/>
    <col min="12545" max="12545" width="11.85546875" style="286" customWidth="1"/>
    <col min="12546" max="12546" width="13.5703125" style="286" customWidth="1"/>
    <col min="12547" max="12548" width="13.85546875" style="286" customWidth="1"/>
    <col min="12549" max="12550" width="14.85546875" style="286" customWidth="1"/>
    <col min="12551" max="12551" width="8.85546875" style="286" customWidth="1"/>
    <col min="12552" max="12552" width="12.5703125" style="286" customWidth="1"/>
    <col min="12553" max="12554" width="13" style="286" customWidth="1"/>
    <col min="12555" max="12798" width="9.140625" style="286"/>
    <col min="12799" max="12799" width="14" style="286" customWidth="1"/>
    <col min="12800" max="12800" width="2" style="286" customWidth="1"/>
    <col min="12801" max="12801" width="11.85546875" style="286" customWidth="1"/>
    <col min="12802" max="12802" width="13.5703125" style="286" customWidth="1"/>
    <col min="12803" max="12804" width="13.85546875" style="286" customWidth="1"/>
    <col min="12805" max="12806" width="14.85546875" style="286" customWidth="1"/>
    <col min="12807" max="12807" width="8.85546875" style="286" customWidth="1"/>
    <col min="12808" max="12808" width="12.5703125" style="286" customWidth="1"/>
    <col min="12809" max="12810" width="13" style="286" customWidth="1"/>
    <col min="12811" max="13054" width="9.140625" style="286"/>
    <col min="13055" max="13055" width="14" style="286" customWidth="1"/>
    <col min="13056" max="13056" width="2" style="286" customWidth="1"/>
    <col min="13057" max="13057" width="11.85546875" style="286" customWidth="1"/>
    <col min="13058" max="13058" width="13.5703125" style="286" customWidth="1"/>
    <col min="13059" max="13060" width="13.85546875" style="286" customWidth="1"/>
    <col min="13061" max="13062" width="14.85546875" style="286" customWidth="1"/>
    <col min="13063" max="13063" width="8.85546875" style="286" customWidth="1"/>
    <col min="13064" max="13064" width="12.5703125" style="286" customWidth="1"/>
    <col min="13065" max="13066" width="13" style="286" customWidth="1"/>
    <col min="13067" max="13310" width="9.140625" style="286"/>
    <col min="13311" max="13311" width="14" style="286" customWidth="1"/>
    <col min="13312" max="13312" width="2" style="286" customWidth="1"/>
    <col min="13313" max="13313" width="11.85546875" style="286" customWidth="1"/>
    <col min="13314" max="13314" width="13.5703125" style="286" customWidth="1"/>
    <col min="13315" max="13316" width="13.85546875" style="286" customWidth="1"/>
    <col min="13317" max="13318" width="14.85546875" style="286" customWidth="1"/>
    <col min="13319" max="13319" width="8.85546875" style="286" customWidth="1"/>
    <col min="13320" max="13320" width="12.5703125" style="286" customWidth="1"/>
    <col min="13321" max="13322" width="13" style="286" customWidth="1"/>
    <col min="13323" max="13566" width="9.140625" style="286"/>
    <col min="13567" max="13567" width="14" style="286" customWidth="1"/>
    <col min="13568" max="13568" width="2" style="286" customWidth="1"/>
    <col min="13569" max="13569" width="11.85546875" style="286" customWidth="1"/>
    <col min="13570" max="13570" width="13.5703125" style="286" customWidth="1"/>
    <col min="13571" max="13572" width="13.85546875" style="286" customWidth="1"/>
    <col min="13573" max="13574" width="14.85546875" style="286" customWidth="1"/>
    <col min="13575" max="13575" width="8.85546875" style="286" customWidth="1"/>
    <col min="13576" max="13576" width="12.5703125" style="286" customWidth="1"/>
    <col min="13577" max="13578" width="13" style="286" customWidth="1"/>
    <col min="13579" max="13822" width="9.140625" style="286"/>
    <col min="13823" max="13823" width="14" style="286" customWidth="1"/>
    <col min="13824" max="13824" width="2" style="286" customWidth="1"/>
    <col min="13825" max="13825" width="11.85546875" style="286" customWidth="1"/>
    <col min="13826" max="13826" width="13.5703125" style="286" customWidth="1"/>
    <col min="13827" max="13828" width="13.85546875" style="286" customWidth="1"/>
    <col min="13829" max="13830" width="14.85546875" style="286" customWidth="1"/>
    <col min="13831" max="13831" width="8.85546875" style="286" customWidth="1"/>
    <col min="13832" max="13832" width="12.5703125" style="286" customWidth="1"/>
    <col min="13833" max="13834" width="13" style="286" customWidth="1"/>
    <col min="13835" max="14078" width="9.140625" style="286"/>
    <col min="14079" max="14079" width="14" style="286" customWidth="1"/>
    <col min="14080" max="14080" width="2" style="286" customWidth="1"/>
    <col min="14081" max="14081" width="11.85546875" style="286" customWidth="1"/>
    <col min="14082" max="14082" width="13.5703125" style="286" customWidth="1"/>
    <col min="14083" max="14084" width="13.85546875" style="286" customWidth="1"/>
    <col min="14085" max="14086" width="14.85546875" style="286" customWidth="1"/>
    <col min="14087" max="14087" width="8.85546875" style="286" customWidth="1"/>
    <col min="14088" max="14088" width="12.5703125" style="286" customWidth="1"/>
    <col min="14089" max="14090" width="13" style="286" customWidth="1"/>
    <col min="14091" max="14334" width="9.140625" style="286"/>
    <col min="14335" max="14335" width="14" style="286" customWidth="1"/>
    <col min="14336" max="14336" width="2" style="286" customWidth="1"/>
    <col min="14337" max="14337" width="11.85546875" style="286" customWidth="1"/>
    <col min="14338" max="14338" width="13.5703125" style="286" customWidth="1"/>
    <col min="14339" max="14340" width="13.85546875" style="286" customWidth="1"/>
    <col min="14341" max="14342" width="14.85546875" style="286" customWidth="1"/>
    <col min="14343" max="14343" width="8.85546875" style="286" customWidth="1"/>
    <col min="14344" max="14344" width="12.5703125" style="286" customWidth="1"/>
    <col min="14345" max="14346" width="13" style="286" customWidth="1"/>
    <col min="14347" max="14590" width="9.140625" style="286"/>
    <col min="14591" max="14591" width="14" style="286" customWidth="1"/>
    <col min="14592" max="14592" width="2" style="286" customWidth="1"/>
    <col min="14593" max="14593" width="11.85546875" style="286" customWidth="1"/>
    <col min="14594" max="14594" width="13.5703125" style="286" customWidth="1"/>
    <col min="14595" max="14596" width="13.85546875" style="286" customWidth="1"/>
    <col min="14597" max="14598" width="14.85546875" style="286" customWidth="1"/>
    <col min="14599" max="14599" width="8.85546875" style="286" customWidth="1"/>
    <col min="14600" max="14600" width="12.5703125" style="286" customWidth="1"/>
    <col min="14601" max="14602" width="13" style="286" customWidth="1"/>
    <col min="14603" max="14846" width="9.140625" style="286"/>
    <col min="14847" max="14847" width="14" style="286" customWidth="1"/>
    <col min="14848" max="14848" width="2" style="286" customWidth="1"/>
    <col min="14849" max="14849" width="11.85546875" style="286" customWidth="1"/>
    <col min="14850" max="14850" width="13.5703125" style="286" customWidth="1"/>
    <col min="14851" max="14852" width="13.85546875" style="286" customWidth="1"/>
    <col min="14853" max="14854" width="14.85546875" style="286" customWidth="1"/>
    <col min="14855" max="14855" width="8.85546875" style="286" customWidth="1"/>
    <col min="14856" max="14856" width="12.5703125" style="286" customWidth="1"/>
    <col min="14857" max="14858" width="13" style="286" customWidth="1"/>
    <col min="14859" max="15102" width="9.140625" style="286"/>
    <col min="15103" max="15103" width="14" style="286" customWidth="1"/>
    <col min="15104" max="15104" width="2" style="286" customWidth="1"/>
    <col min="15105" max="15105" width="11.85546875" style="286" customWidth="1"/>
    <col min="15106" max="15106" width="13.5703125" style="286" customWidth="1"/>
    <col min="15107" max="15108" width="13.85546875" style="286" customWidth="1"/>
    <col min="15109" max="15110" width="14.85546875" style="286" customWidth="1"/>
    <col min="15111" max="15111" width="8.85546875" style="286" customWidth="1"/>
    <col min="15112" max="15112" width="12.5703125" style="286" customWidth="1"/>
    <col min="15113" max="15114" width="13" style="286" customWidth="1"/>
    <col min="15115" max="15358" width="9.140625" style="286"/>
    <col min="15359" max="15359" width="14" style="286" customWidth="1"/>
    <col min="15360" max="15360" width="2" style="286" customWidth="1"/>
    <col min="15361" max="15361" width="11.85546875" style="286" customWidth="1"/>
    <col min="15362" max="15362" width="13.5703125" style="286" customWidth="1"/>
    <col min="15363" max="15364" width="13.85546875" style="286" customWidth="1"/>
    <col min="15365" max="15366" width="14.85546875" style="286" customWidth="1"/>
    <col min="15367" max="15367" width="8.85546875" style="286" customWidth="1"/>
    <col min="15368" max="15368" width="12.5703125" style="286" customWidth="1"/>
    <col min="15369" max="15370" width="13" style="286" customWidth="1"/>
    <col min="15371" max="15614" width="9.140625" style="286"/>
    <col min="15615" max="15615" width="14" style="286" customWidth="1"/>
    <col min="15616" max="15616" width="2" style="286" customWidth="1"/>
    <col min="15617" max="15617" width="11.85546875" style="286" customWidth="1"/>
    <col min="15618" max="15618" width="13.5703125" style="286" customWidth="1"/>
    <col min="15619" max="15620" width="13.85546875" style="286" customWidth="1"/>
    <col min="15621" max="15622" width="14.85546875" style="286" customWidth="1"/>
    <col min="15623" max="15623" width="8.85546875" style="286" customWidth="1"/>
    <col min="15624" max="15624" width="12.5703125" style="286" customWidth="1"/>
    <col min="15625" max="15626" width="13" style="286" customWidth="1"/>
    <col min="15627" max="15870" width="9.140625" style="286"/>
    <col min="15871" max="15871" width="14" style="286" customWidth="1"/>
    <col min="15872" max="15872" width="2" style="286" customWidth="1"/>
    <col min="15873" max="15873" width="11.85546875" style="286" customWidth="1"/>
    <col min="15874" max="15874" width="13.5703125" style="286" customWidth="1"/>
    <col min="15875" max="15876" width="13.85546875" style="286" customWidth="1"/>
    <col min="15877" max="15878" width="14.85546875" style="286" customWidth="1"/>
    <col min="15879" max="15879" width="8.85546875" style="286" customWidth="1"/>
    <col min="15880" max="15880" width="12.5703125" style="286" customWidth="1"/>
    <col min="15881" max="15882" width="13" style="286" customWidth="1"/>
    <col min="15883" max="16126" width="9.140625" style="286"/>
    <col min="16127" max="16127" width="14" style="286" customWidth="1"/>
    <col min="16128" max="16128" width="2" style="286" customWidth="1"/>
    <col min="16129" max="16129" width="11.85546875" style="286" customWidth="1"/>
    <col min="16130" max="16130" width="13.5703125" style="286" customWidth="1"/>
    <col min="16131" max="16132" width="13.85546875" style="286" customWidth="1"/>
    <col min="16133" max="16134" width="14.85546875" style="286" customWidth="1"/>
    <col min="16135" max="16135" width="8.85546875" style="286" customWidth="1"/>
    <col min="16136" max="16136" width="12.5703125" style="286" customWidth="1"/>
    <col min="16137" max="16138" width="13" style="286" customWidth="1"/>
    <col min="16139" max="16384" width="9.140625" style="286"/>
  </cols>
  <sheetData>
    <row r="1" spans="1:10" ht="10.5" customHeight="1" thickBot="1" x14ac:dyDescent="0.45">
      <c r="A1" s="284"/>
      <c r="B1" s="306"/>
      <c r="C1" s="284"/>
      <c r="D1" s="285"/>
      <c r="E1" s="284"/>
      <c r="F1" s="284"/>
      <c r="G1" s="307"/>
      <c r="H1" s="307"/>
      <c r="I1" s="303"/>
      <c r="J1" s="303"/>
    </row>
    <row r="2" spans="1:10" ht="35.25" customHeight="1" thickBot="1" x14ac:dyDescent="0.3">
      <c r="A2" s="287" t="s">
        <v>118</v>
      </c>
      <c r="B2" s="306"/>
      <c r="C2" s="308" t="s">
        <v>119</v>
      </c>
      <c r="D2" s="309"/>
      <c r="E2" s="310" t="s">
        <v>120</v>
      </c>
      <c r="F2" s="310"/>
      <c r="G2" s="311" t="s">
        <v>121</v>
      </c>
      <c r="H2" s="312"/>
      <c r="I2" s="355"/>
      <c r="J2" s="355"/>
    </row>
    <row r="3" spans="1:10" ht="44.25" customHeight="1" x14ac:dyDescent="0.25">
      <c r="A3" s="288" t="s">
        <v>39</v>
      </c>
      <c r="B3" s="306"/>
      <c r="C3" s="289" t="s">
        <v>122</v>
      </c>
      <c r="D3" s="290" t="s">
        <v>123</v>
      </c>
      <c r="E3" s="291" t="s">
        <v>124</v>
      </c>
      <c r="F3" s="291" t="s">
        <v>125</v>
      </c>
      <c r="G3" s="291" t="s">
        <v>126</v>
      </c>
      <c r="H3" s="292" t="s">
        <v>127</v>
      </c>
      <c r="I3" s="356" t="s">
        <v>128</v>
      </c>
      <c r="J3" s="356" t="s">
        <v>129</v>
      </c>
    </row>
    <row r="4" spans="1:10" s="298" customFormat="1" ht="35.25" customHeight="1" x14ac:dyDescent="0.25">
      <c r="A4" s="293">
        <v>44196</v>
      </c>
      <c r="B4" s="306"/>
      <c r="C4" s="294">
        <f>SUM('GENSET #1'!B10+'GENSET #2'!B10+'GENSET #3'!B10+'GENSET #4'!B10+'GENSET #5'!B10)</f>
        <v>86064450</v>
      </c>
      <c r="D4" s="295"/>
      <c r="E4" s="296">
        <f>'Gas-2'!G5</f>
        <v>225</v>
      </c>
      <c r="F4" s="297"/>
      <c r="G4" s="296">
        <f>SUM(WATER!G6,WATER!L6,WATER!Q6,WATER!B6)</f>
        <v>901297</v>
      </c>
      <c r="I4" s="299"/>
      <c r="J4" s="299"/>
    </row>
    <row r="5" spans="1:10" ht="33" customHeight="1" x14ac:dyDescent="0.25">
      <c r="A5" s="300">
        <v>44197</v>
      </c>
      <c r="B5" s="306"/>
      <c r="C5" s="294">
        <f>SUM('GENSET #1'!B11+'GENSET #2'!B11+'GENSET #3'!B11+'GENSET #4'!B11+'GENSET #5'!B11)</f>
        <v>86094900</v>
      </c>
      <c r="D5" s="301">
        <f>IF((C5-C4&lt;0), "0",C5-C4)</f>
        <v>30450</v>
      </c>
      <c r="E5" s="294">
        <f>'Gas-2'!G6</f>
        <v>135</v>
      </c>
      <c r="F5" s="301" t="str">
        <f>IF((E5-E4&lt;0), "0",E5-E4)</f>
        <v>0</v>
      </c>
      <c r="G5" s="302">
        <f>SUM(WATER!C6,WATER!H6,WATER!M6,WATER!R6)</f>
        <v>901712</v>
      </c>
      <c r="H5" s="301">
        <f>IF((G5-G4&lt;0), "0",G5-G4)</f>
        <v>415</v>
      </c>
      <c r="I5" s="303">
        <v>103</v>
      </c>
      <c r="J5" s="303">
        <v>878</v>
      </c>
    </row>
    <row r="6" spans="1:10" ht="45" customHeight="1" x14ac:dyDescent="0.25">
      <c r="A6" s="300">
        <v>44198</v>
      </c>
      <c r="B6" s="306"/>
      <c r="C6" s="294">
        <f>SUM('GENSET #1'!B12+'GENSET #2'!B12+'GENSET #3'!B12+'GENSET #4'!B12+'GENSET #5'!B12)</f>
        <v>86124667</v>
      </c>
      <c r="D6" s="301">
        <f>IF((C6-C5&lt;0), "0",C6-C5)</f>
        <v>29767</v>
      </c>
      <c r="E6" s="294">
        <f>'Gas-2'!G7</f>
        <v>405</v>
      </c>
      <c r="F6" s="301">
        <f t="shared" ref="F6:F35" si="0">IF((E6-E5&lt;0), "0",E6-E5)</f>
        <v>270</v>
      </c>
      <c r="G6" s="302">
        <f>SUM(WATER!C7,WATER!H7,WATER!M7,WATER!R7)</f>
        <v>902080</v>
      </c>
      <c r="H6" s="301">
        <f t="shared" ref="H6:H35" si="1">IF((G6-G5&lt;0), "0",G6-G5)</f>
        <v>368</v>
      </c>
      <c r="I6" s="303">
        <v>98</v>
      </c>
      <c r="J6" s="303">
        <v>865</v>
      </c>
    </row>
    <row r="7" spans="1:10" ht="45" customHeight="1" x14ac:dyDescent="0.25">
      <c r="A7" s="300">
        <v>44199</v>
      </c>
      <c r="B7" s="306"/>
      <c r="C7" s="294">
        <f>SUM('GENSET #1'!B13+'GENSET #2'!B13+'GENSET #3'!B13+'GENSET #4'!B13+'GENSET #5'!B13)</f>
        <v>86154182</v>
      </c>
      <c r="D7" s="301">
        <f t="shared" ref="D7:D22" si="2">IF((C7-C6&lt;0), "0",C7-C6)</f>
        <v>29515</v>
      </c>
      <c r="E7" s="294">
        <f>'Gas-2'!G8</f>
        <v>405</v>
      </c>
      <c r="F7" s="301">
        <f t="shared" si="0"/>
        <v>0</v>
      </c>
      <c r="G7" s="302">
        <f>SUM(WATER!C8,WATER!H8,WATER!M8,WATER!R8)</f>
        <v>902473</v>
      </c>
      <c r="H7" s="301">
        <f t="shared" si="1"/>
        <v>393</v>
      </c>
      <c r="I7" s="303">
        <v>101</v>
      </c>
      <c r="J7" s="303">
        <v>915</v>
      </c>
    </row>
    <row r="8" spans="1:10" ht="45" customHeight="1" x14ac:dyDescent="0.25">
      <c r="A8" s="300">
        <v>44200</v>
      </c>
      <c r="B8" s="306"/>
      <c r="C8" s="294">
        <f>SUM('GENSET #1'!B14+'GENSET #2'!B14+'GENSET #3'!B14+'GENSET #4'!B14+'GENSET #5'!B14)</f>
        <v>86185696</v>
      </c>
      <c r="D8" s="301">
        <f t="shared" si="2"/>
        <v>31514</v>
      </c>
      <c r="E8" s="294">
        <f>'Gas-2'!G9</f>
        <v>180</v>
      </c>
      <c r="F8" s="301" t="str">
        <f t="shared" si="0"/>
        <v>0</v>
      </c>
      <c r="G8" s="302">
        <f>SUM(WATER!C9,WATER!H9,WATER!M9,WATER!R9)</f>
        <v>902924</v>
      </c>
      <c r="H8" s="301">
        <f t="shared" si="1"/>
        <v>451</v>
      </c>
      <c r="I8" s="303">
        <v>96</v>
      </c>
      <c r="J8" s="303">
        <v>861</v>
      </c>
    </row>
    <row r="9" spans="1:10" ht="45" customHeight="1" x14ac:dyDescent="0.25">
      <c r="A9" s="300">
        <v>44201</v>
      </c>
      <c r="B9" s="306"/>
      <c r="C9" s="294">
        <f>SUM('GENSET #1'!B15+'GENSET #2'!B15+'GENSET #3'!B15+'GENSET #4'!B15+'GENSET #5'!B15)</f>
        <v>86214978</v>
      </c>
      <c r="D9" s="301">
        <f t="shared" si="2"/>
        <v>29282</v>
      </c>
      <c r="E9" s="294">
        <f>'Gas-2'!G10</f>
        <v>180</v>
      </c>
      <c r="F9" s="301">
        <f t="shared" si="0"/>
        <v>0</v>
      </c>
      <c r="G9" s="302">
        <f>SUM(WATER!C10,WATER!H10,WATER!M10,WATER!R10)</f>
        <v>903330</v>
      </c>
      <c r="H9" s="301">
        <f t="shared" si="1"/>
        <v>406</v>
      </c>
      <c r="I9" s="303"/>
      <c r="J9" s="303"/>
    </row>
    <row r="10" spans="1:10" ht="45" customHeight="1" x14ac:dyDescent="0.25">
      <c r="A10" s="300">
        <v>44202</v>
      </c>
      <c r="B10" s="306"/>
      <c r="C10" s="294">
        <f>SUM('GENSET #1'!B16+'GENSET #2'!B16+'GENSET #3'!B16+'GENSET #4'!B16+'GENSET #5'!B16)</f>
        <v>0</v>
      </c>
      <c r="D10" s="301" t="str">
        <f t="shared" si="2"/>
        <v>0</v>
      </c>
      <c r="E10" s="294">
        <f>'Gas-2'!G11</f>
        <v>0</v>
      </c>
      <c r="F10" s="301" t="str">
        <f t="shared" si="0"/>
        <v>0</v>
      </c>
      <c r="G10" s="302">
        <f>SUM(WATER!C11,WATER!H11,WATER!M11,WATER!R11)</f>
        <v>903686</v>
      </c>
      <c r="H10" s="301">
        <f t="shared" si="1"/>
        <v>356</v>
      </c>
      <c r="I10" s="303"/>
      <c r="J10" s="303"/>
    </row>
    <row r="11" spans="1:10" ht="45" customHeight="1" x14ac:dyDescent="0.25">
      <c r="A11" s="300">
        <v>44203</v>
      </c>
      <c r="B11" s="306"/>
      <c r="C11" s="294">
        <f>SUM('GENSET #1'!B17+'GENSET #2'!B17+'GENSET #3'!B17+'GENSET #4'!B17+'GENSET #5'!B17)</f>
        <v>0</v>
      </c>
      <c r="D11" s="301">
        <f t="shared" si="2"/>
        <v>0</v>
      </c>
      <c r="E11" s="294">
        <f>'Gas-2'!G12</f>
        <v>0</v>
      </c>
      <c r="F11" s="301">
        <f t="shared" si="0"/>
        <v>0</v>
      </c>
      <c r="G11" s="302">
        <f>SUM(WATER!C12,WATER!H12,WATER!M12,WATER!R12)</f>
        <v>0</v>
      </c>
      <c r="H11" s="301" t="str">
        <f t="shared" si="1"/>
        <v>0</v>
      </c>
      <c r="I11" s="303"/>
      <c r="J11" s="303"/>
    </row>
    <row r="12" spans="1:10" ht="45" customHeight="1" x14ac:dyDescent="0.25">
      <c r="A12" s="300">
        <v>44204</v>
      </c>
      <c r="B12" s="306"/>
      <c r="C12" s="294">
        <f>SUM('GENSET #1'!B18+'GENSET #2'!B18+'GENSET #3'!B18+'GENSET #4'!B18+'GENSET #5'!B18)</f>
        <v>0</v>
      </c>
      <c r="D12" s="301">
        <f t="shared" si="2"/>
        <v>0</v>
      </c>
      <c r="E12" s="294">
        <f>'Gas-2'!G13</f>
        <v>0</v>
      </c>
      <c r="F12" s="301">
        <f t="shared" si="0"/>
        <v>0</v>
      </c>
      <c r="G12" s="302">
        <f>SUM(WATER!C13,WATER!H13,WATER!M13,WATER!R13)</f>
        <v>0</v>
      </c>
      <c r="H12" s="301">
        <f t="shared" si="1"/>
        <v>0</v>
      </c>
      <c r="I12" s="303"/>
      <c r="J12" s="303"/>
    </row>
    <row r="13" spans="1:10" ht="45" customHeight="1" x14ac:dyDescent="0.25">
      <c r="A13" s="300">
        <v>44205</v>
      </c>
      <c r="B13" s="306"/>
      <c r="C13" s="294">
        <f>SUM('GENSET #1'!B19+'GENSET #2'!B19+'GENSET #3'!B19+'GENSET #4'!B19+'GENSET #5'!B19)</f>
        <v>0</v>
      </c>
      <c r="D13" s="301">
        <f t="shared" si="2"/>
        <v>0</v>
      </c>
      <c r="E13" s="294">
        <f>'Gas-2'!G14</f>
        <v>0</v>
      </c>
      <c r="F13" s="301">
        <f t="shared" si="0"/>
        <v>0</v>
      </c>
      <c r="G13" s="302">
        <f>SUM(WATER!C14,WATER!H14,WATER!M14,WATER!R14)</f>
        <v>0</v>
      </c>
      <c r="H13" s="301">
        <f t="shared" si="1"/>
        <v>0</v>
      </c>
      <c r="I13" s="303"/>
      <c r="J13" s="303"/>
    </row>
    <row r="14" spans="1:10" ht="45" customHeight="1" x14ac:dyDescent="0.25">
      <c r="A14" s="300">
        <v>44206</v>
      </c>
      <c r="B14" s="306"/>
      <c r="C14" s="294">
        <f>SUM('GENSET #1'!B20+'GENSET #2'!B20+'GENSET #3'!B20+'GENSET #4'!B20+'GENSET #5'!B20)</f>
        <v>0</v>
      </c>
      <c r="D14" s="301">
        <f t="shared" si="2"/>
        <v>0</v>
      </c>
      <c r="E14" s="294">
        <f>'Gas-2'!G15</f>
        <v>0</v>
      </c>
      <c r="F14" s="301">
        <f t="shared" si="0"/>
        <v>0</v>
      </c>
      <c r="G14" s="302">
        <f>SUM(WATER!C15,WATER!H15,WATER!M15,WATER!R15)</f>
        <v>0</v>
      </c>
      <c r="H14" s="301">
        <f t="shared" si="1"/>
        <v>0</v>
      </c>
      <c r="I14" s="303"/>
      <c r="J14" s="303"/>
    </row>
    <row r="15" spans="1:10" ht="45" customHeight="1" x14ac:dyDescent="0.25">
      <c r="A15" s="300">
        <v>44207</v>
      </c>
      <c r="B15" s="306"/>
      <c r="C15" s="294">
        <f>SUM('GENSET #1'!B21+'GENSET #2'!B21+'GENSET #3'!B21+'GENSET #4'!B21+'GENSET #5'!B21)</f>
        <v>0</v>
      </c>
      <c r="D15" s="301">
        <f t="shared" si="2"/>
        <v>0</v>
      </c>
      <c r="E15" s="294">
        <f>'Gas-2'!G16</f>
        <v>0</v>
      </c>
      <c r="F15" s="301">
        <f t="shared" si="0"/>
        <v>0</v>
      </c>
      <c r="G15" s="302">
        <f>SUM(WATER!C16,WATER!H16,WATER!M16,WATER!R16)</f>
        <v>0</v>
      </c>
      <c r="H15" s="301">
        <f t="shared" si="1"/>
        <v>0</v>
      </c>
      <c r="I15" s="303"/>
      <c r="J15" s="303"/>
    </row>
    <row r="16" spans="1:10" ht="45" customHeight="1" x14ac:dyDescent="0.25">
      <c r="A16" s="300">
        <v>44208</v>
      </c>
      <c r="B16" s="306"/>
      <c r="C16" s="294">
        <f>SUM('GENSET #1'!B22+'GENSET #2'!B22+'GENSET #3'!B22+'GENSET #4'!B22+'GENSET #5'!B22)</f>
        <v>0</v>
      </c>
      <c r="D16" s="301">
        <f t="shared" si="2"/>
        <v>0</v>
      </c>
      <c r="E16" s="294">
        <f>'Gas-2'!G17</f>
        <v>0</v>
      </c>
      <c r="F16" s="301">
        <f t="shared" si="0"/>
        <v>0</v>
      </c>
      <c r="G16" s="302">
        <f>SUM(WATER!C17,WATER!H17,WATER!M17,WATER!R17)</f>
        <v>0</v>
      </c>
      <c r="H16" s="301">
        <f t="shared" si="1"/>
        <v>0</v>
      </c>
      <c r="I16" s="303"/>
      <c r="J16" s="303"/>
    </row>
    <row r="17" spans="1:10" ht="45" customHeight="1" x14ac:dyDescent="0.25">
      <c r="A17" s="300">
        <v>44209</v>
      </c>
      <c r="B17" s="306"/>
      <c r="C17" s="294">
        <f>SUM('GENSET #1'!B23+'GENSET #2'!B23+'GENSET #3'!B23+'GENSET #4'!B23+'GENSET #5'!B23)</f>
        <v>0</v>
      </c>
      <c r="D17" s="301">
        <f t="shared" si="2"/>
        <v>0</v>
      </c>
      <c r="E17" s="294">
        <f>'Gas-2'!G18</f>
        <v>0</v>
      </c>
      <c r="F17" s="301">
        <f t="shared" si="0"/>
        <v>0</v>
      </c>
      <c r="G17" s="302">
        <f>SUM(WATER!C18,WATER!H18,WATER!M18,WATER!R18)</f>
        <v>0</v>
      </c>
      <c r="H17" s="301">
        <f t="shared" si="1"/>
        <v>0</v>
      </c>
      <c r="I17" s="303"/>
      <c r="J17" s="303"/>
    </row>
    <row r="18" spans="1:10" ht="45" customHeight="1" x14ac:dyDescent="0.25">
      <c r="A18" s="300">
        <v>44210</v>
      </c>
      <c r="B18" s="306"/>
      <c r="C18" s="294">
        <f>SUM('GENSET #1'!B24+'GENSET #2'!B24+'GENSET #3'!B24+'GENSET #4'!B24+'GENSET #5'!B24)</f>
        <v>0</v>
      </c>
      <c r="D18" s="301">
        <f t="shared" si="2"/>
        <v>0</v>
      </c>
      <c r="E18" s="294">
        <f>'Gas-2'!G19</f>
        <v>0</v>
      </c>
      <c r="F18" s="301">
        <f t="shared" si="0"/>
        <v>0</v>
      </c>
      <c r="G18" s="302">
        <f>SUM(WATER!C19,WATER!H19,WATER!M19,WATER!R19)</f>
        <v>0</v>
      </c>
      <c r="H18" s="301">
        <f t="shared" si="1"/>
        <v>0</v>
      </c>
      <c r="I18" s="303"/>
      <c r="J18" s="303"/>
    </row>
    <row r="19" spans="1:10" ht="45" customHeight="1" x14ac:dyDescent="0.25">
      <c r="A19" s="300">
        <v>44211</v>
      </c>
      <c r="B19" s="306"/>
      <c r="C19" s="294">
        <f>SUM('GENSET #1'!B25+'GENSET #2'!B25+'GENSET #3'!B25+'GENSET #4'!B25+'GENSET #5'!B25)</f>
        <v>0</v>
      </c>
      <c r="D19" s="301">
        <f t="shared" si="2"/>
        <v>0</v>
      </c>
      <c r="E19" s="294">
        <f>'Gas-2'!G20</f>
        <v>0</v>
      </c>
      <c r="F19" s="301">
        <f t="shared" si="0"/>
        <v>0</v>
      </c>
      <c r="G19" s="302">
        <f>SUM(WATER!C20,WATER!H20,WATER!M20,WATER!R20)</f>
        <v>0</v>
      </c>
      <c r="H19" s="301">
        <f t="shared" si="1"/>
        <v>0</v>
      </c>
      <c r="I19" s="303"/>
      <c r="J19" s="303"/>
    </row>
    <row r="20" spans="1:10" ht="45" customHeight="1" x14ac:dyDescent="0.25">
      <c r="A20" s="300">
        <v>44212</v>
      </c>
      <c r="B20" s="306"/>
      <c r="C20" s="294">
        <f>SUM('GENSET #1'!B26+'GENSET #2'!B26+'GENSET #3'!B26+'GENSET #4'!B26+'GENSET #5'!B26)</f>
        <v>0</v>
      </c>
      <c r="D20" s="301">
        <f t="shared" si="2"/>
        <v>0</v>
      </c>
      <c r="E20" s="294">
        <f>'Gas-2'!G21</f>
        <v>0</v>
      </c>
      <c r="F20" s="301">
        <f t="shared" si="0"/>
        <v>0</v>
      </c>
      <c r="G20" s="302">
        <f>SUM(WATER!C21,WATER!H21,WATER!M21,WATER!R21)</f>
        <v>0</v>
      </c>
      <c r="H20" s="301">
        <f t="shared" si="1"/>
        <v>0</v>
      </c>
      <c r="I20" s="303"/>
      <c r="J20" s="303"/>
    </row>
    <row r="21" spans="1:10" ht="45" customHeight="1" x14ac:dyDescent="0.25">
      <c r="A21" s="300">
        <v>44213</v>
      </c>
      <c r="B21" s="306"/>
      <c r="C21" s="294">
        <f>SUM('GENSET #1'!B27+'GENSET #2'!B27+'GENSET #3'!B27+'GENSET #4'!B27+'GENSET #5'!B27)</f>
        <v>0</v>
      </c>
      <c r="D21" s="301">
        <f t="shared" si="2"/>
        <v>0</v>
      </c>
      <c r="E21" s="294">
        <f>'Gas-2'!G22</f>
        <v>0</v>
      </c>
      <c r="F21" s="301">
        <f t="shared" si="0"/>
        <v>0</v>
      </c>
      <c r="G21" s="302">
        <f>SUM(WATER!C22,WATER!H22,WATER!M22,WATER!R22)</f>
        <v>0</v>
      </c>
      <c r="H21" s="301">
        <f t="shared" si="1"/>
        <v>0</v>
      </c>
      <c r="I21" s="303"/>
      <c r="J21" s="303"/>
    </row>
    <row r="22" spans="1:10" ht="45" customHeight="1" x14ac:dyDescent="0.25">
      <c r="A22" s="300">
        <v>44214</v>
      </c>
      <c r="B22" s="306"/>
      <c r="C22" s="294">
        <f>SUM('GENSET #1'!B28+'GENSET #2'!B28+'GENSET #3'!B28+'GENSET #4'!B28+'GENSET #5'!B28)</f>
        <v>0</v>
      </c>
      <c r="D22" s="301">
        <f t="shared" si="2"/>
        <v>0</v>
      </c>
      <c r="E22" s="294">
        <f>'Gas-2'!G23</f>
        <v>0</v>
      </c>
      <c r="F22" s="301">
        <f t="shared" si="0"/>
        <v>0</v>
      </c>
      <c r="G22" s="302">
        <f>SUM(WATER!C23,WATER!H23,WATER!M23,WATER!R23)</f>
        <v>0</v>
      </c>
      <c r="H22" s="301">
        <f t="shared" si="1"/>
        <v>0</v>
      </c>
      <c r="I22" s="303"/>
      <c r="J22" s="303"/>
    </row>
    <row r="23" spans="1:10" ht="45" customHeight="1" x14ac:dyDescent="0.25">
      <c r="A23" s="300">
        <v>44215</v>
      </c>
      <c r="B23" s="306"/>
      <c r="C23" s="294">
        <f>SUM('GENSET #1'!B29+'GENSET #2'!B29+'GENSET #3'!B29+'GENSET #4'!B29+'GENSET #5'!B29)</f>
        <v>0</v>
      </c>
      <c r="D23" s="301">
        <f>IF((C23-C22&lt;0), "0",C23-C22)</f>
        <v>0</v>
      </c>
      <c r="E23" s="294">
        <f>'Gas-2'!G24</f>
        <v>0</v>
      </c>
      <c r="F23" s="301">
        <f t="shared" si="0"/>
        <v>0</v>
      </c>
      <c r="G23" s="302">
        <f>SUM(WATER!C24,WATER!H24,WATER!M24,WATER!R24)</f>
        <v>0</v>
      </c>
      <c r="H23" s="301">
        <f t="shared" si="1"/>
        <v>0</v>
      </c>
      <c r="I23" s="303"/>
      <c r="J23" s="303"/>
    </row>
    <row r="24" spans="1:10" ht="45" customHeight="1" x14ac:dyDescent="0.25">
      <c r="A24" s="300">
        <v>44216</v>
      </c>
      <c r="B24" s="306"/>
      <c r="C24" s="294">
        <f>SUM('GENSET #1'!B30+'GENSET #2'!B30+'GENSET #3'!B30+'GENSET #4'!B30+'GENSET #5'!B30)</f>
        <v>0</v>
      </c>
      <c r="D24" s="301">
        <f t="shared" ref="D24:D35" si="3">IF((C24-C23&lt;0), "0",C24-C23)</f>
        <v>0</v>
      </c>
      <c r="E24" s="294">
        <f>'Gas-2'!G25</f>
        <v>0</v>
      </c>
      <c r="F24" s="301">
        <f t="shared" si="0"/>
        <v>0</v>
      </c>
      <c r="G24" s="302">
        <f>SUM(WATER!C25,WATER!H25,WATER!M25,WATER!R25)</f>
        <v>0</v>
      </c>
      <c r="H24" s="301">
        <f t="shared" si="1"/>
        <v>0</v>
      </c>
      <c r="I24" s="303"/>
      <c r="J24" s="303"/>
    </row>
    <row r="25" spans="1:10" ht="45" customHeight="1" x14ac:dyDescent="0.25">
      <c r="A25" s="300">
        <v>44217</v>
      </c>
      <c r="B25" s="306"/>
      <c r="C25" s="294">
        <f>SUM('GENSET #1'!B31+'GENSET #2'!B31+'GENSET #3'!B31+'GENSET #4'!B31+'GENSET #5'!B31)</f>
        <v>0</v>
      </c>
      <c r="D25" s="301">
        <f t="shared" si="3"/>
        <v>0</v>
      </c>
      <c r="E25" s="294">
        <f>'Gas-2'!G26</f>
        <v>0</v>
      </c>
      <c r="F25" s="301">
        <f t="shared" si="0"/>
        <v>0</v>
      </c>
      <c r="G25" s="302">
        <f>SUM(WATER!C26,WATER!H26,WATER!M26,WATER!R26)</f>
        <v>0</v>
      </c>
      <c r="H25" s="301">
        <f t="shared" si="1"/>
        <v>0</v>
      </c>
      <c r="I25" s="303"/>
      <c r="J25" s="303"/>
    </row>
    <row r="26" spans="1:10" ht="45" customHeight="1" x14ac:dyDescent="0.25">
      <c r="A26" s="300">
        <v>44218</v>
      </c>
      <c r="B26" s="306"/>
      <c r="C26" s="294">
        <f>SUM('GENSET #1'!B32+'GENSET #2'!B32+'GENSET #3'!B32+'GENSET #4'!B32+'GENSET #5'!B32)</f>
        <v>0</v>
      </c>
      <c r="D26" s="301">
        <f t="shared" si="3"/>
        <v>0</v>
      </c>
      <c r="E26" s="294">
        <f>'Gas-2'!G27</f>
        <v>0</v>
      </c>
      <c r="F26" s="301">
        <f t="shared" si="0"/>
        <v>0</v>
      </c>
      <c r="G26" s="302">
        <f>SUM(WATER!C27,WATER!H27,WATER!M27,WATER!R27)</f>
        <v>0</v>
      </c>
      <c r="H26" s="301">
        <f t="shared" si="1"/>
        <v>0</v>
      </c>
      <c r="I26" s="303"/>
      <c r="J26" s="303"/>
    </row>
    <row r="27" spans="1:10" ht="45" customHeight="1" x14ac:dyDescent="0.25">
      <c r="A27" s="300">
        <v>44219</v>
      </c>
      <c r="B27" s="306"/>
      <c r="C27" s="294">
        <f>SUM('GENSET #1'!B33+'GENSET #2'!B33+'GENSET #3'!B33+'GENSET #4'!B33+'GENSET #5'!B33)</f>
        <v>0</v>
      </c>
      <c r="D27" s="301">
        <f t="shared" si="3"/>
        <v>0</v>
      </c>
      <c r="E27" s="294">
        <f>'Gas-2'!G28</f>
        <v>0</v>
      </c>
      <c r="F27" s="301">
        <f t="shared" si="0"/>
        <v>0</v>
      </c>
      <c r="G27" s="302">
        <f>SUM(WATER!C28,WATER!H28,WATER!M28,WATER!R28)</f>
        <v>0</v>
      </c>
      <c r="H27" s="301">
        <f t="shared" si="1"/>
        <v>0</v>
      </c>
      <c r="I27" s="303"/>
      <c r="J27" s="303"/>
    </row>
    <row r="28" spans="1:10" ht="45" customHeight="1" x14ac:dyDescent="0.25">
      <c r="A28" s="300">
        <v>44220</v>
      </c>
      <c r="B28" s="306"/>
      <c r="C28" s="294">
        <f>SUM('GENSET #1'!B34+'GENSET #2'!B34+'GENSET #3'!B34+'GENSET #4'!B34+'GENSET #5'!B34)</f>
        <v>0</v>
      </c>
      <c r="D28" s="301">
        <f t="shared" si="3"/>
        <v>0</v>
      </c>
      <c r="E28" s="294">
        <f>'Gas-2'!G29</f>
        <v>0</v>
      </c>
      <c r="F28" s="301">
        <f t="shared" si="0"/>
        <v>0</v>
      </c>
      <c r="G28" s="302">
        <f>SUM(WATER!C29,WATER!H29,WATER!M29,WATER!R29)</f>
        <v>0</v>
      </c>
      <c r="H28" s="301">
        <f t="shared" si="1"/>
        <v>0</v>
      </c>
      <c r="I28" s="303"/>
      <c r="J28" s="303"/>
    </row>
    <row r="29" spans="1:10" ht="45" customHeight="1" x14ac:dyDescent="0.25">
      <c r="A29" s="300">
        <v>44221</v>
      </c>
      <c r="B29" s="306"/>
      <c r="C29" s="294">
        <f>SUM('GENSET #1'!B35+'GENSET #2'!B35+'GENSET #3'!B35+'GENSET #4'!B35+'GENSET #5'!B35)</f>
        <v>0</v>
      </c>
      <c r="D29" s="301">
        <f t="shared" si="3"/>
        <v>0</v>
      </c>
      <c r="E29" s="294">
        <f>'Gas-2'!G30</f>
        <v>0</v>
      </c>
      <c r="F29" s="301">
        <f t="shared" si="0"/>
        <v>0</v>
      </c>
      <c r="G29" s="302">
        <f>SUM(WATER!C30,WATER!H30,WATER!M30,WATER!R30)</f>
        <v>0</v>
      </c>
      <c r="H29" s="301">
        <f t="shared" si="1"/>
        <v>0</v>
      </c>
      <c r="I29" s="303"/>
      <c r="J29" s="303"/>
    </row>
    <row r="30" spans="1:10" ht="45" customHeight="1" x14ac:dyDescent="0.25">
      <c r="A30" s="300">
        <v>44222</v>
      </c>
      <c r="B30" s="306"/>
      <c r="C30" s="294">
        <f>SUM('GENSET #1'!B36+'GENSET #2'!B36+'GENSET #3'!B36+'GENSET #4'!B36+'GENSET #5'!B36)</f>
        <v>0</v>
      </c>
      <c r="D30" s="301">
        <f t="shared" si="3"/>
        <v>0</v>
      </c>
      <c r="E30" s="294">
        <f>'Gas-2'!G31</f>
        <v>0</v>
      </c>
      <c r="F30" s="301">
        <f t="shared" si="0"/>
        <v>0</v>
      </c>
      <c r="G30" s="302">
        <f>SUM(WATER!C31,WATER!H31,WATER!M31,WATER!R31)</f>
        <v>0</v>
      </c>
      <c r="H30" s="301">
        <f t="shared" si="1"/>
        <v>0</v>
      </c>
      <c r="I30" s="303"/>
      <c r="J30" s="303"/>
    </row>
    <row r="31" spans="1:10" ht="45" customHeight="1" x14ac:dyDescent="0.25">
      <c r="A31" s="300">
        <v>44223</v>
      </c>
      <c r="B31" s="306"/>
      <c r="C31" s="294">
        <f>SUM('GENSET #1'!B37+'GENSET #2'!B37+'GENSET #3'!B37+'GENSET #4'!B37+'GENSET #5'!B37)</f>
        <v>0</v>
      </c>
      <c r="D31" s="301">
        <f t="shared" si="3"/>
        <v>0</v>
      </c>
      <c r="E31" s="294">
        <f>'Gas-2'!G32</f>
        <v>0</v>
      </c>
      <c r="F31" s="301">
        <f t="shared" si="0"/>
        <v>0</v>
      </c>
      <c r="G31" s="302">
        <f>SUM(WATER!C32,WATER!H32,WATER!M32,WATER!R32)</f>
        <v>0</v>
      </c>
      <c r="H31" s="301">
        <f t="shared" si="1"/>
        <v>0</v>
      </c>
      <c r="I31" s="303"/>
      <c r="J31" s="303"/>
    </row>
    <row r="32" spans="1:10" ht="45" customHeight="1" x14ac:dyDescent="0.25">
      <c r="A32" s="300">
        <v>44224</v>
      </c>
      <c r="B32" s="306"/>
      <c r="C32" s="294">
        <f>SUM('GENSET #1'!B38+'GENSET #2'!B38+'GENSET #3'!B38+'GENSET #4'!B38+'GENSET #5'!B38)</f>
        <v>0</v>
      </c>
      <c r="D32" s="301">
        <f t="shared" si="3"/>
        <v>0</v>
      </c>
      <c r="E32" s="294">
        <f>'Gas-2'!G33</f>
        <v>0</v>
      </c>
      <c r="F32" s="301">
        <f t="shared" si="0"/>
        <v>0</v>
      </c>
      <c r="G32" s="302">
        <f>SUM(WATER!C33,WATER!H33,WATER!M33,WATER!R33)</f>
        <v>0</v>
      </c>
      <c r="H32" s="301">
        <f t="shared" si="1"/>
        <v>0</v>
      </c>
      <c r="I32" s="303"/>
      <c r="J32" s="303"/>
    </row>
    <row r="33" spans="1:10" ht="36" customHeight="1" x14ac:dyDescent="0.25">
      <c r="A33" s="300">
        <v>44225</v>
      </c>
      <c r="C33" s="294">
        <f>SUM('GENSET #1'!B39+'GENSET #2'!B39+'GENSET #3'!B39+'GENSET #4'!B39+'GENSET #5'!B39)</f>
        <v>0</v>
      </c>
      <c r="D33" s="301">
        <f t="shared" si="3"/>
        <v>0</v>
      </c>
      <c r="E33" s="294">
        <f>'Gas-2'!G34</f>
        <v>0</v>
      </c>
      <c r="F33" s="301">
        <f t="shared" si="0"/>
        <v>0</v>
      </c>
      <c r="G33" s="302">
        <f>SUM(WATER!C34,WATER!H34,WATER!M34,WATER!R34)</f>
        <v>0</v>
      </c>
      <c r="H33" s="301">
        <f t="shared" si="1"/>
        <v>0</v>
      </c>
      <c r="I33" s="303"/>
      <c r="J33" s="303"/>
    </row>
    <row r="34" spans="1:10" ht="45.6" customHeight="1" x14ac:dyDescent="0.25">
      <c r="A34" s="300">
        <v>44226</v>
      </c>
      <c r="C34" s="294">
        <f>SUM('GENSET #1'!B40+'GENSET #2'!B40+'GENSET #3'!B40+'GENSET #4'!B40+'GENSET #5'!B40)</f>
        <v>0</v>
      </c>
      <c r="D34" s="301">
        <f t="shared" si="3"/>
        <v>0</v>
      </c>
      <c r="E34" s="294">
        <f>'Gas-2'!G35</f>
        <v>0</v>
      </c>
      <c r="F34" s="301">
        <f t="shared" si="0"/>
        <v>0</v>
      </c>
      <c r="G34" s="302">
        <f>SUM(WATER!C35,WATER!H35,WATER!M35,WATER!R35)</f>
        <v>0</v>
      </c>
      <c r="H34" s="301">
        <f t="shared" si="1"/>
        <v>0</v>
      </c>
      <c r="I34" s="303"/>
      <c r="J34" s="303"/>
    </row>
    <row r="35" spans="1:10" ht="47.45" customHeight="1" x14ac:dyDescent="0.25">
      <c r="A35" s="300">
        <v>44227</v>
      </c>
      <c r="C35" s="294">
        <f>SUM('GENSET #1'!B41+'GENSET #2'!B41+'GENSET #3'!B41+'GENSET #4'!B41+'GENSET #5'!B41)</f>
        <v>0</v>
      </c>
      <c r="D35" s="301">
        <f t="shared" si="3"/>
        <v>0</v>
      </c>
      <c r="E35" s="294">
        <f>'Gas-2'!G36</f>
        <v>0</v>
      </c>
      <c r="F35" s="301">
        <f t="shared" si="0"/>
        <v>0</v>
      </c>
      <c r="G35" s="302">
        <f>SUM(WATER!C36,WATER!H36,WATER!M36,WATER!R36)</f>
        <v>0</v>
      </c>
      <c r="H35" s="301">
        <f t="shared" si="1"/>
        <v>0</v>
      </c>
      <c r="I35" s="303"/>
      <c r="J35" s="30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D11" sqref="D11"/>
    </sheetView>
  </sheetViews>
  <sheetFormatPr defaultRowHeight="12.75" x14ac:dyDescent="0.2"/>
  <cols>
    <col min="1" max="1" width="9.5703125" style="186" customWidth="1"/>
    <col min="2" max="2" width="15.5703125" style="18" customWidth="1"/>
    <col min="3" max="3" width="13" style="18" customWidth="1"/>
    <col min="4" max="4" width="18.5703125" style="195" customWidth="1"/>
    <col min="5" max="5" width="14.5703125" style="19" customWidth="1"/>
    <col min="6" max="6" width="18.85546875" customWidth="1"/>
  </cols>
  <sheetData>
    <row r="1" spans="1:7" x14ac:dyDescent="0.2">
      <c r="A1" s="314" t="s">
        <v>0</v>
      </c>
      <c r="B1" s="314"/>
      <c r="C1" s="314"/>
      <c r="D1" s="314"/>
      <c r="E1" s="314"/>
      <c r="F1" s="314"/>
    </row>
    <row r="2" spans="1:7" x14ac:dyDescent="0.2">
      <c r="A2" s="5"/>
      <c r="E2" s="198"/>
    </row>
    <row r="3" spans="1:7" x14ac:dyDescent="0.2">
      <c r="A3" s="5" t="s">
        <v>1</v>
      </c>
      <c r="B3" s="96" t="s">
        <v>2</v>
      </c>
      <c r="C3" s="96"/>
      <c r="D3" s="196"/>
      <c r="E3" s="198"/>
    </row>
    <row r="4" spans="1:7" x14ac:dyDescent="0.2">
      <c r="A4" s="5" t="s">
        <v>3</v>
      </c>
      <c r="B4" s="101" t="s">
        <v>117</v>
      </c>
      <c r="C4" s="101"/>
      <c r="D4" s="193"/>
      <c r="E4" s="198"/>
    </row>
    <row r="5" spans="1:7" x14ac:dyDescent="0.2">
      <c r="A5" s="5" t="s">
        <v>4</v>
      </c>
      <c r="B5" s="187">
        <v>2021</v>
      </c>
      <c r="C5" s="187"/>
      <c r="D5" s="193"/>
      <c r="E5" s="198"/>
    </row>
    <row r="6" spans="1:7" x14ac:dyDescent="0.2">
      <c r="E6" s="313"/>
      <c r="F6" s="313"/>
    </row>
    <row r="7" spans="1:7" ht="38.25" x14ac:dyDescent="0.2">
      <c r="A7" s="188" t="s">
        <v>5</v>
      </c>
      <c r="B7" s="189" t="s">
        <v>114</v>
      </c>
      <c r="C7" s="189" t="s">
        <v>115</v>
      </c>
      <c r="D7" s="190" t="s">
        <v>116</v>
      </c>
      <c r="E7" s="191" t="s">
        <v>113</v>
      </c>
      <c r="F7" s="189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97">
        <f>'SOLAR METER READING'!D9</f>
        <v>560</v>
      </c>
      <c r="E8" s="194">
        <f>'Gas-2'!G6</f>
        <v>135</v>
      </c>
      <c r="F8" s="157">
        <f>WATER!V6</f>
        <v>415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97">
        <f>'SOLAR METER READING'!D10</f>
        <v>2728</v>
      </c>
      <c r="E9" s="194">
        <f>'Gas-2'!G7</f>
        <v>405</v>
      </c>
      <c r="F9" s="157">
        <f>WATER!V7</f>
        <v>368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8230</v>
      </c>
      <c r="D10" s="197">
        <f>'SOLAR METER READING'!D11</f>
        <v>3002</v>
      </c>
      <c r="E10" s="194">
        <f>'Gas-2'!G8</f>
        <v>405</v>
      </c>
      <c r="F10" s="157">
        <f>WATER!V8</f>
        <v>393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8820</v>
      </c>
      <c r="D11" s="197">
        <f>'SOLAR METER READING'!D12</f>
        <v>2218</v>
      </c>
      <c r="E11" s="194">
        <f>'Gas-2'!G9</f>
        <v>180</v>
      </c>
      <c r="F11" s="157">
        <f>WATER!V9</f>
        <v>451</v>
      </c>
      <c r="G11" s="8"/>
    </row>
    <row r="12" spans="1:7" ht="15.75" customHeight="1" x14ac:dyDescent="0.2">
      <c r="A12" s="62">
        <v>5</v>
      </c>
      <c r="B12" s="157">
        <f>SUM('GENSET #1:GENSET #5'!D14)</f>
        <v>29282</v>
      </c>
      <c r="C12" s="157">
        <f>'Diesel consumption'!D9</f>
        <v>8190</v>
      </c>
      <c r="D12" s="197">
        <f>'SOLAR METER READING'!D13</f>
        <v>1694</v>
      </c>
      <c r="E12" s="194">
        <f>'Gas-2'!G10</f>
        <v>180</v>
      </c>
      <c r="F12" s="157">
        <f>WATER!V10</f>
        <v>406</v>
      </c>
      <c r="G12" s="8"/>
    </row>
    <row r="13" spans="1:7" ht="15.75" customHeight="1" x14ac:dyDescent="0.2">
      <c r="A13" s="62">
        <v>6</v>
      </c>
      <c r="B13" s="157">
        <f>SUM('GENSET #1:GENSET #5'!D15)</f>
        <v>-86214978</v>
      </c>
      <c r="C13" s="157">
        <f>'Diesel consumption'!D10</f>
        <v>-42919360</v>
      </c>
      <c r="D13" s="197">
        <f>'SOLAR METER READING'!D14</f>
        <v>-2258519</v>
      </c>
      <c r="E13" s="194">
        <f>'Gas-2'!G11</f>
        <v>0</v>
      </c>
      <c r="F13" s="157">
        <f>WATER!V11</f>
        <v>356</v>
      </c>
      <c r="G13" s="8"/>
    </row>
    <row r="14" spans="1:7" ht="15.75" customHeight="1" x14ac:dyDescent="0.2">
      <c r="A14" s="62">
        <v>7</v>
      </c>
      <c r="B14" s="157">
        <f>SUM('GENSET #1:GENSET #5'!D16)</f>
        <v>0</v>
      </c>
      <c r="C14" s="157">
        <f>'Diesel consumption'!D11</f>
        <v>0</v>
      </c>
      <c r="D14" s="197">
        <f>'SOLAR METER READING'!D15</f>
        <v>0</v>
      </c>
      <c r="E14" s="194">
        <f>'Gas-2'!G12</f>
        <v>0</v>
      </c>
      <c r="F14" s="157">
        <f>WATER!V12</f>
        <v>-903686</v>
      </c>
      <c r="G14" s="8"/>
    </row>
    <row r="15" spans="1:7" ht="15.75" customHeight="1" x14ac:dyDescent="0.2">
      <c r="A15" s="62">
        <v>8</v>
      </c>
      <c r="B15" s="157">
        <f>SUM('GENSET #1:GENSET #5'!D17)</f>
        <v>0</v>
      </c>
      <c r="C15" s="157">
        <f>'Diesel consumption'!D12</f>
        <v>0</v>
      </c>
      <c r="D15" s="197">
        <f>'SOLAR METER READING'!D16</f>
        <v>0</v>
      </c>
      <c r="E15" s="194">
        <f>'Gas-2'!G13</f>
        <v>0</v>
      </c>
      <c r="F15" s="157">
        <f>WATER!V13</f>
        <v>0</v>
      </c>
      <c r="G15" s="8"/>
    </row>
    <row r="16" spans="1:7" ht="15.75" customHeight="1" x14ac:dyDescent="0.2">
      <c r="A16" s="62">
        <v>9</v>
      </c>
      <c r="B16" s="157">
        <f>SUM('GENSET #1:GENSET #5'!D18)</f>
        <v>0</v>
      </c>
      <c r="C16" s="157">
        <f>'Diesel consumption'!D13</f>
        <v>0</v>
      </c>
      <c r="D16" s="197">
        <f>'SOLAR METER READING'!D17</f>
        <v>0</v>
      </c>
      <c r="E16" s="194">
        <f>'Gas-2'!G14</f>
        <v>0</v>
      </c>
      <c r="F16" s="157">
        <f>WATER!V14</f>
        <v>0</v>
      </c>
      <c r="G16" s="8"/>
    </row>
    <row r="17" spans="1:7" ht="15.75" customHeight="1" x14ac:dyDescent="0.2">
      <c r="A17" s="62">
        <v>10</v>
      </c>
      <c r="B17" s="157">
        <f>SUM('GENSET #1:GENSET #5'!D19)</f>
        <v>0</v>
      </c>
      <c r="C17" s="157">
        <f>'Diesel consumption'!D14</f>
        <v>0</v>
      </c>
      <c r="D17" s="197">
        <f>'SOLAR METER READING'!D18</f>
        <v>0</v>
      </c>
      <c r="E17" s="194">
        <f>'Gas-2'!G15</f>
        <v>0</v>
      </c>
      <c r="F17" s="157">
        <f>WATER!V15</f>
        <v>0</v>
      </c>
      <c r="G17" s="8"/>
    </row>
    <row r="18" spans="1:7" ht="15.75" customHeight="1" x14ac:dyDescent="0.2">
      <c r="A18" s="62">
        <v>11</v>
      </c>
      <c r="B18" s="157">
        <f>SUM('GENSET #1:GENSET #5'!D20)</f>
        <v>0</v>
      </c>
      <c r="C18" s="157">
        <f>'Diesel consumption'!D15</f>
        <v>0</v>
      </c>
      <c r="D18" s="197">
        <f>'SOLAR METER READING'!D19</f>
        <v>0</v>
      </c>
      <c r="E18" s="194">
        <f>'Gas-2'!G16</f>
        <v>0</v>
      </c>
      <c r="F18" s="157">
        <f>WATER!V16</f>
        <v>0</v>
      </c>
      <c r="G18" s="8"/>
    </row>
    <row r="19" spans="1:7" ht="15.75" customHeight="1" x14ac:dyDescent="0.2">
      <c r="A19" s="62">
        <v>12</v>
      </c>
      <c r="B19" s="157">
        <f>SUM('GENSET #1:GENSET #5'!D21)</f>
        <v>0</v>
      </c>
      <c r="C19" s="157">
        <f>'Diesel consumption'!D16</f>
        <v>0</v>
      </c>
      <c r="D19" s="197">
        <f>'SOLAR METER READING'!D20</f>
        <v>0</v>
      </c>
      <c r="E19" s="194">
        <f>'Gas-2'!G17</f>
        <v>0</v>
      </c>
      <c r="F19" s="157">
        <f>WATER!V17</f>
        <v>0</v>
      </c>
      <c r="G19" s="8"/>
    </row>
    <row r="20" spans="1:7" ht="15.75" customHeight="1" x14ac:dyDescent="0.2">
      <c r="A20" s="62">
        <v>13</v>
      </c>
      <c r="B20" s="157">
        <f>SUM('GENSET #1:GENSET #5'!D22)</f>
        <v>0</v>
      </c>
      <c r="C20" s="157">
        <f>'Diesel consumption'!D17</f>
        <v>0</v>
      </c>
      <c r="D20" s="197">
        <f>'SOLAR METER READING'!D21</f>
        <v>0</v>
      </c>
      <c r="E20" s="194">
        <f>'Gas-2'!G18</f>
        <v>0</v>
      </c>
      <c r="F20" s="157">
        <f>WATER!V18</f>
        <v>0</v>
      </c>
      <c r="G20" s="8"/>
    </row>
    <row r="21" spans="1:7" ht="15.75" customHeight="1" x14ac:dyDescent="0.2">
      <c r="A21" s="62">
        <v>14</v>
      </c>
      <c r="B21" s="157">
        <f>SUM('GENSET #1:GENSET #5'!D23)</f>
        <v>0</v>
      </c>
      <c r="C21" s="157">
        <f>'Diesel consumption'!D18</f>
        <v>0</v>
      </c>
      <c r="D21" s="197">
        <f>'SOLAR METER READING'!D22</f>
        <v>0</v>
      </c>
      <c r="E21" s="194">
        <f>'Gas-2'!G19</f>
        <v>0</v>
      </c>
      <c r="F21" s="157">
        <f>WATER!V19</f>
        <v>0</v>
      </c>
      <c r="G21" s="8"/>
    </row>
    <row r="22" spans="1:7" ht="15.75" customHeight="1" x14ac:dyDescent="0.2">
      <c r="A22" s="62">
        <v>15</v>
      </c>
      <c r="B22" s="157">
        <f>SUM('GENSET #1:GENSET #5'!D24)</f>
        <v>0</v>
      </c>
      <c r="C22" s="157">
        <f>'Diesel consumption'!D19</f>
        <v>0</v>
      </c>
      <c r="D22" s="197">
        <f>'SOLAR METER READING'!D23</f>
        <v>0</v>
      </c>
      <c r="E22" s="194">
        <f>'Gas-2'!G20</f>
        <v>0</v>
      </c>
      <c r="F22" s="157">
        <f>WATER!V20</f>
        <v>0</v>
      </c>
      <c r="G22" s="8"/>
    </row>
    <row r="23" spans="1:7" ht="15.75" customHeight="1" x14ac:dyDescent="0.2">
      <c r="A23" s="62">
        <v>16</v>
      </c>
      <c r="B23" s="157">
        <f>SUM('GENSET #1:GENSET #5'!D25)</f>
        <v>0</v>
      </c>
      <c r="C23" s="157">
        <f>'Diesel consumption'!D20</f>
        <v>0</v>
      </c>
      <c r="D23" s="197">
        <f>'SOLAR METER READING'!D24</f>
        <v>0</v>
      </c>
      <c r="E23" s="194">
        <f>'Gas-2'!G21</f>
        <v>0</v>
      </c>
      <c r="F23" s="157">
        <f>WATER!V21</f>
        <v>0</v>
      </c>
      <c r="G23" s="8"/>
    </row>
    <row r="24" spans="1:7" ht="15.75" customHeight="1" x14ac:dyDescent="0.2">
      <c r="A24" s="62">
        <v>17</v>
      </c>
      <c r="B24" s="157">
        <f>SUM('GENSET #1:GENSET #5'!D26)</f>
        <v>0</v>
      </c>
      <c r="C24" s="157">
        <f>'Diesel consumption'!D21</f>
        <v>0</v>
      </c>
      <c r="D24" s="197">
        <f>'SOLAR METER READING'!D25</f>
        <v>0</v>
      </c>
      <c r="E24" s="194">
        <f>'Gas-2'!G22</f>
        <v>0</v>
      </c>
      <c r="F24" s="157">
        <f>WATER!V22</f>
        <v>0</v>
      </c>
      <c r="G24" s="8"/>
    </row>
    <row r="25" spans="1:7" ht="15.75" customHeight="1" x14ac:dyDescent="0.2">
      <c r="A25" s="62">
        <v>18</v>
      </c>
      <c r="B25" s="157">
        <f>SUM('GENSET #1:GENSET #5'!D27)</f>
        <v>0</v>
      </c>
      <c r="C25" s="157">
        <f>'Diesel consumption'!D22</f>
        <v>0</v>
      </c>
      <c r="D25" s="197">
        <f>'SOLAR METER READING'!D26</f>
        <v>0</v>
      </c>
      <c r="E25" s="194">
        <f>'Gas-2'!G23</f>
        <v>0</v>
      </c>
      <c r="F25" s="157">
        <f>WATER!V23</f>
        <v>0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97">
        <f>'SOLAR METER READING'!D27</f>
        <v>0</v>
      </c>
      <c r="E26" s="194">
        <f>'Gas-2'!G24</f>
        <v>0</v>
      </c>
      <c r="F26" s="157">
        <f>WATER!V24</f>
        <v>0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97">
        <f>'SOLAR METER READING'!D28</f>
        <v>0</v>
      </c>
      <c r="E27" s="194">
        <f>'Gas-2'!G25</f>
        <v>0</v>
      </c>
      <c r="F27" s="157">
        <f>WATER!V25</f>
        <v>0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97">
        <f>'SOLAR METER READING'!D29</f>
        <v>0</v>
      </c>
      <c r="E28" s="194">
        <f>'Gas-2'!G26</f>
        <v>0</v>
      </c>
      <c r="F28" s="157">
        <f>WATER!V26</f>
        <v>0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97">
        <f>'SOLAR METER READING'!D30</f>
        <v>0</v>
      </c>
      <c r="E29" s="194">
        <f>'Gas-2'!G27</f>
        <v>0</v>
      </c>
      <c r="F29" s="157">
        <f>WATER!V27</f>
        <v>0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97">
        <f>'SOLAR METER READING'!D31</f>
        <v>0</v>
      </c>
      <c r="E30" s="194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97">
        <f>'SOLAR METER READING'!D32</f>
        <v>0</v>
      </c>
      <c r="E31" s="194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97">
        <f>'SOLAR METER READING'!D33</f>
        <v>0</v>
      </c>
      <c r="E32" s="194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200">
        <f>SUM('GENSET #1:GENSET #5'!D35)</f>
        <v>0</v>
      </c>
      <c r="C33" s="157">
        <f>'Diesel consumption'!D30</f>
        <v>0</v>
      </c>
      <c r="D33" s="197">
        <f>'SOLAR METER READING'!D34</f>
        <v>0</v>
      </c>
      <c r="E33" s="194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97">
        <f>'SOLAR METER READING'!D35</f>
        <v>0</v>
      </c>
      <c r="E34" s="194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97">
        <f>'SOLAR METER READING'!D36</f>
        <v>0</v>
      </c>
      <c r="E35" s="194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97">
        <f>'SOLAR METER READING'!D37</f>
        <v>0</v>
      </c>
      <c r="E36" s="194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97">
        <f>'SOLAR METER READING'!D38</f>
        <v>0</v>
      </c>
      <c r="E37" s="194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97">
        <f>'SOLAR METER READING'!D39</f>
        <v>0</v>
      </c>
      <c r="E38" s="194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86" t="s">
        <v>7</v>
      </c>
      <c r="B39" s="192">
        <f>SUM(B8:B38)</f>
        <v>-86064450</v>
      </c>
      <c r="C39" s="192">
        <f>SUM(C8:C38)</f>
        <v>-42877600</v>
      </c>
      <c r="D39" s="192">
        <f>SUM(D8:D38)</f>
        <v>-2248317</v>
      </c>
      <c r="E39" s="199">
        <f>SUM(E8:E38)</f>
        <v>1305</v>
      </c>
      <c r="F39" s="9">
        <f>SUM(F8:F38)</f>
        <v>-901297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5" sqref="C1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15" t="s">
        <v>16</v>
      </c>
      <c r="D1" s="315"/>
    </row>
    <row r="2" spans="1:6" x14ac:dyDescent="0.2">
      <c r="C2" s="315"/>
      <c r="D2" s="315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16" t="s">
        <v>18</v>
      </c>
      <c r="C8" s="317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>
        <v>16790551</v>
      </c>
      <c r="D14" s="6">
        <f t="shared" si="1"/>
        <v>8310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16790551</v>
      </c>
      <c r="C15" s="89"/>
      <c r="D15" s="6">
        <f>C15-B15</f>
        <v>-16790551</v>
      </c>
      <c r="E15" s="34"/>
      <c r="F15" s="34"/>
    </row>
    <row r="16" spans="1:6" ht="13.5" customHeight="1" x14ac:dyDescent="0.2">
      <c r="A16" s="30">
        <v>7</v>
      </c>
      <c r="B16" s="33">
        <f t="shared" si="0"/>
        <v>0</v>
      </c>
      <c r="C16" s="89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0</v>
      </c>
      <c r="C17" s="89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0</v>
      </c>
      <c r="C18" s="89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0</v>
      </c>
      <c r="C19" s="89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89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89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89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9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9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9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9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9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178" customFormat="1" ht="13.5" customHeight="1" x14ac:dyDescent="0.2">
      <c r="A35" s="174">
        <v>26</v>
      </c>
      <c r="B35" s="175">
        <f t="shared" si="0"/>
        <v>0</v>
      </c>
      <c r="C35" s="171"/>
      <c r="D35" s="172">
        <f t="shared" si="1"/>
        <v>0</v>
      </c>
      <c r="E35" s="176"/>
      <c r="F35" s="177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5" sqref="C15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15" t="s">
        <v>23</v>
      </c>
      <c r="D1" s="315"/>
    </row>
    <row r="2" spans="1:7" x14ac:dyDescent="0.2">
      <c r="C2" s="315"/>
      <c r="D2" s="315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16" t="s">
        <v>25</v>
      </c>
      <c r="C8" s="318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>
        <v>28339386</v>
      </c>
      <c r="D14" s="6">
        <f t="shared" si="0"/>
        <v>5489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28339386</v>
      </c>
      <c r="C15" s="89"/>
      <c r="D15" s="6">
        <f t="shared" si="0"/>
        <v>-28339386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89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89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89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89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89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89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9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9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9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9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9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9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178" customFormat="1" ht="13.5" customHeight="1" x14ac:dyDescent="0.2">
      <c r="A35" s="179">
        <v>26</v>
      </c>
      <c r="B35" s="175">
        <f t="shared" si="1"/>
        <v>0</v>
      </c>
      <c r="C35" s="171"/>
      <c r="D35" s="172">
        <f t="shared" si="0"/>
        <v>0</v>
      </c>
      <c r="E35" s="176"/>
      <c r="F35" s="180"/>
      <c r="G35" s="180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5" sqref="C15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>
        <v>12307055</v>
      </c>
      <c r="D14" s="38">
        <f t="shared" si="0"/>
        <v>6067</v>
      </c>
      <c r="E14" s="55"/>
    </row>
    <row r="15" spans="1:5" ht="13.5" customHeight="1" x14ac:dyDescent="0.2">
      <c r="A15" s="45">
        <v>6</v>
      </c>
      <c r="B15" s="33">
        <f t="shared" ref="B15:B38" si="2">C14</f>
        <v>12307055</v>
      </c>
      <c r="C15" s="32"/>
      <c r="D15" s="38">
        <f t="shared" si="0"/>
        <v>-12307055</v>
      </c>
      <c r="E15" s="55"/>
    </row>
    <row r="16" spans="1:5" ht="13.5" customHeight="1" x14ac:dyDescent="0.2">
      <c r="A16" s="45">
        <v>7</v>
      </c>
      <c r="B16" s="33">
        <f t="shared" si="2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2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2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2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178" customFormat="1" ht="13.5" customHeight="1" x14ac:dyDescent="0.2">
      <c r="A35" s="179">
        <v>26</v>
      </c>
      <c r="B35" s="175">
        <f t="shared" si="2"/>
        <v>0</v>
      </c>
      <c r="C35" s="181"/>
      <c r="D35" s="173">
        <f t="shared" si="0"/>
        <v>0</v>
      </c>
      <c r="E35" s="182"/>
      <c r="F35" s="183"/>
      <c r="G35" s="184"/>
      <c r="H35" s="184"/>
      <c r="I35" s="184"/>
      <c r="J35" s="18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19"/>
      <c r="F38" s="320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D41" s="49">
        <f>SUM(D10:D40)</f>
        <v>-12278846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5" sqref="C1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5" t="s">
        <v>30</v>
      </c>
      <c r="D1" s="315"/>
    </row>
    <row r="2" spans="1:5" x14ac:dyDescent="0.2">
      <c r="C2" s="315"/>
      <c r="D2" s="315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16" t="s">
        <v>32</v>
      </c>
      <c r="C8" s="318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>
        <v>11352858</v>
      </c>
      <c r="D14" s="38">
        <f t="shared" si="0"/>
        <v>1836</v>
      </c>
      <c r="E14" s="34"/>
    </row>
    <row r="15" spans="1:5" ht="13.5" customHeight="1" x14ac:dyDescent="0.2">
      <c r="A15" s="45">
        <v>6</v>
      </c>
      <c r="B15" s="33">
        <f t="shared" si="1"/>
        <v>11352858</v>
      </c>
      <c r="C15" s="32"/>
      <c r="D15" s="38">
        <f t="shared" si="0"/>
        <v>-11352858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27"/>
      <c r="D27" s="128">
        <f t="shared" si="0"/>
        <v>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79">
        <v>26</v>
      </c>
      <c r="B35" s="175">
        <f t="shared" si="1"/>
        <v>0</v>
      </c>
      <c r="C35" s="181"/>
      <c r="D35" s="173">
        <f t="shared" si="0"/>
        <v>0</v>
      </c>
      <c r="E35" s="17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5" sqref="C15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5" t="s">
        <v>16</v>
      </c>
      <c r="D1" s="315"/>
    </row>
    <row r="2" spans="1:5" x14ac:dyDescent="0.2">
      <c r="C2" s="315"/>
      <c r="D2" s="315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207"/>
      <c r="B5" s="205"/>
      <c r="C5" s="206"/>
      <c r="D5" s="206"/>
      <c r="E5" s="206"/>
    </row>
    <row r="6" spans="1:5" x14ac:dyDescent="0.2">
      <c r="A6" s="91">
        <v>44197</v>
      </c>
    </row>
    <row r="7" spans="1:5" ht="13.5" thickBot="1" x14ac:dyDescent="0.25">
      <c r="A7" s="207"/>
    </row>
    <row r="8" spans="1:5" ht="15.75" customHeight="1" thickBot="1" x14ac:dyDescent="0.25">
      <c r="A8" s="58"/>
      <c r="B8" s="316" t="s">
        <v>34</v>
      </c>
      <c r="C8" s="318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>
        <v>17425128</v>
      </c>
      <c r="D14" s="38">
        <f t="shared" si="0"/>
        <v>7580</v>
      </c>
      <c r="E14" s="34"/>
    </row>
    <row r="15" spans="1:5" ht="13.5" customHeight="1" x14ac:dyDescent="0.2">
      <c r="A15" s="61">
        <v>6</v>
      </c>
      <c r="B15" s="33">
        <f t="shared" si="1"/>
        <v>17425128</v>
      </c>
      <c r="C15" s="32"/>
      <c r="D15" s="38">
        <f t="shared" si="0"/>
        <v>-17425128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85">
        <v>26</v>
      </c>
      <c r="B35" s="175">
        <f t="shared" si="1"/>
        <v>0</v>
      </c>
      <c r="C35" s="181"/>
      <c r="D35" s="173">
        <f>C35-B35</f>
        <v>0</v>
      </c>
      <c r="E35" s="17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10" sqref="C10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321" t="s">
        <v>79</v>
      </c>
      <c r="G3" s="321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22" t="s">
        <v>86</v>
      </c>
      <c r="L4" s="323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>
        <v>42902350</v>
      </c>
      <c r="D7" s="63">
        <f t="shared" ref="D7:D31" si="4">C7-B7</f>
        <v>8230</v>
      </c>
      <c r="F7" s="145"/>
      <c r="G7" s="145"/>
      <c r="I7" s="149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1">
        <v>4</v>
      </c>
      <c r="B8" s="6">
        <f t="shared" si="3"/>
        <v>42902350</v>
      </c>
      <c r="C8" s="6">
        <v>42911170</v>
      </c>
      <c r="D8" s="63">
        <f t="shared" si="4"/>
        <v>8820</v>
      </c>
      <c r="F8" s="145"/>
      <c r="G8" s="145"/>
      <c r="I8" s="149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1">
        <v>5</v>
      </c>
      <c r="B9" s="6">
        <f t="shared" si="3"/>
        <v>42911170</v>
      </c>
      <c r="C9" s="6">
        <v>42919360</v>
      </c>
      <c r="D9" s="63">
        <f t="shared" si="4"/>
        <v>8190</v>
      </c>
      <c r="F9" s="145"/>
      <c r="G9" s="145"/>
      <c r="I9" s="149">
        <f t="shared" si="0"/>
        <v>40.950000000000003</v>
      </c>
      <c r="K9" s="8">
        <f t="shared" si="1"/>
        <v>21949.200000000001</v>
      </c>
      <c r="L9" s="8">
        <f t="shared" si="2"/>
        <v>21.949200000000001</v>
      </c>
    </row>
    <row r="10" spans="1:12" x14ac:dyDescent="0.2">
      <c r="A10" s="151">
        <v>6</v>
      </c>
      <c r="B10" s="6">
        <f t="shared" si="3"/>
        <v>42919360</v>
      </c>
      <c r="C10" s="6"/>
      <c r="D10" s="63">
        <f t="shared" si="4"/>
        <v>-42919360</v>
      </c>
      <c r="F10" s="145"/>
      <c r="G10" s="145"/>
      <c r="I10" s="149">
        <f t="shared" si="0"/>
        <v>-214596.8</v>
      </c>
      <c r="K10" s="8">
        <f t="shared" si="1"/>
        <v>-115023884.80000001</v>
      </c>
      <c r="L10" s="8">
        <f t="shared" si="2"/>
        <v>-115023.88480000001</v>
      </c>
    </row>
    <row r="11" spans="1:12" x14ac:dyDescent="0.2">
      <c r="A11" s="151">
        <v>7</v>
      </c>
      <c r="B11" s="6">
        <f t="shared" si="3"/>
        <v>0</v>
      </c>
      <c r="C11" s="6"/>
      <c r="D11" s="63">
        <f t="shared" si="4"/>
        <v>0</v>
      </c>
      <c r="F11" s="145"/>
      <c r="G11" s="145"/>
      <c r="I11" s="149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51">
        <v>8</v>
      </c>
      <c r="B12" s="6">
        <f t="shared" si="3"/>
        <v>0</v>
      </c>
      <c r="C12" s="6"/>
      <c r="D12" s="63">
        <f t="shared" si="4"/>
        <v>0</v>
      </c>
      <c r="F12" s="145"/>
      <c r="G12" s="145"/>
      <c r="I12" s="149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51">
        <v>9</v>
      </c>
      <c r="B13" s="6">
        <f t="shared" si="3"/>
        <v>0</v>
      </c>
      <c r="C13" s="6"/>
      <c r="D13" s="63">
        <f t="shared" si="4"/>
        <v>0</v>
      </c>
      <c r="F13" s="145"/>
      <c r="G13" s="145"/>
      <c r="I13" s="149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51">
        <v>10</v>
      </c>
      <c r="B14" s="6">
        <f t="shared" si="3"/>
        <v>0</v>
      </c>
      <c r="C14" s="6"/>
      <c r="D14" s="63">
        <f t="shared" si="4"/>
        <v>0</v>
      </c>
      <c r="F14" s="145"/>
      <c r="G14" s="145"/>
      <c r="I14" s="149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51">
        <v>11</v>
      </c>
      <c r="B15" s="6">
        <f t="shared" si="3"/>
        <v>0</v>
      </c>
      <c r="C15" s="6"/>
      <c r="D15" s="63">
        <f t="shared" si="4"/>
        <v>0</v>
      </c>
      <c r="F15" s="145"/>
      <c r="G15" s="145"/>
      <c r="I15" s="149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51">
        <v>12</v>
      </c>
      <c r="B16" s="6">
        <f t="shared" si="3"/>
        <v>0</v>
      </c>
      <c r="C16" s="6"/>
      <c r="D16" s="63">
        <f t="shared" si="4"/>
        <v>0</v>
      </c>
      <c r="F16" s="145"/>
      <c r="G16" s="145"/>
      <c r="I16" s="149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51">
        <v>13</v>
      </c>
      <c r="B17" s="6">
        <f t="shared" si="3"/>
        <v>0</v>
      </c>
      <c r="C17" s="6"/>
      <c r="D17" s="63">
        <f t="shared" si="4"/>
        <v>0</v>
      </c>
      <c r="F17" s="145"/>
      <c r="G17" s="145"/>
      <c r="I17" s="149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51">
        <v>14</v>
      </c>
      <c r="B18" s="6">
        <f t="shared" si="3"/>
        <v>0</v>
      </c>
      <c r="C18" s="6"/>
      <c r="D18" s="63">
        <f t="shared" si="4"/>
        <v>0</v>
      </c>
      <c r="F18" s="145"/>
      <c r="G18" s="145"/>
      <c r="I18" s="149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51">
        <v>15</v>
      </c>
      <c r="B19" s="6">
        <f t="shared" si="3"/>
        <v>0</v>
      </c>
      <c r="C19" s="6"/>
      <c r="D19" s="63">
        <f t="shared" si="4"/>
        <v>0</v>
      </c>
      <c r="F19" s="145"/>
      <c r="G19" s="145"/>
      <c r="I19" s="149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51">
        <v>16</v>
      </c>
      <c r="B20" s="6">
        <f t="shared" si="3"/>
        <v>0</v>
      </c>
      <c r="C20" s="6"/>
      <c r="D20" s="63">
        <f t="shared" si="4"/>
        <v>0</v>
      </c>
      <c r="F20" s="145"/>
      <c r="G20" s="145"/>
      <c r="I20" s="149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51">
        <v>17</v>
      </c>
      <c r="B21" s="6">
        <f t="shared" si="3"/>
        <v>0</v>
      </c>
      <c r="C21" s="6"/>
      <c r="D21" s="63">
        <f t="shared" si="4"/>
        <v>0</v>
      </c>
      <c r="F21" s="145"/>
      <c r="G21" s="145"/>
      <c r="I21" s="149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1">
        <v>18</v>
      </c>
      <c r="B22" s="6">
        <f t="shared" si="3"/>
        <v>0</v>
      </c>
      <c r="C22" s="6"/>
      <c r="D22" s="63">
        <f t="shared" si="4"/>
        <v>0</v>
      </c>
      <c r="F22" s="145"/>
      <c r="G22" s="145"/>
      <c r="I22" s="149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-42877600</v>
      </c>
      <c r="F36" s="147"/>
      <c r="G36" s="147"/>
      <c r="I36" s="149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4" sqref="C14"/>
    </sheetView>
  </sheetViews>
  <sheetFormatPr defaultRowHeight="12.75" x14ac:dyDescent="0.2"/>
  <cols>
    <col min="1" max="1" width="5.28515625" style="20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15"/>
      <c r="D1" s="315"/>
    </row>
    <row r="2" spans="1:11" x14ac:dyDescent="0.2">
      <c r="B2" s="18"/>
      <c r="C2" s="315"/>
      <c r="D2" s="315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201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16" t="s">
        <v>44</v>
      </c>
      <c r="C7" s="318"/>
      <c r="D7" s="70"/>
    </row>
    <row r="8" spans="1:11" ht="38.25" x14ac:dyDescent="0.2">
      <c r="A8" s="203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204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202">
        <v>3</v>
      </c>
      <c r="B11" s="33">
        <f t="shared" ref="B11:B39" si="1">C10</f>
        <v>2251605</v>
      </c>
      <c r="C11" s="33">
        <v>2254607</v>
      </c>
      <c r="D11" s="72">
        <f t="shared" si="0"/>
        <v>3002</v>
      </c>
    </row>
    <row r="12" spans="1:11" x14ac:dyDescent="0.2">
      <c r="A12" s="74">
        <v>4</v>
      </c>
      <c r="B12" s="33">
        <f t="shared" si="1"/>
        <v>2254607</v>
      </c>
      <c r="C12" s="33">
        <v>2256825</v>
      </c>
      <c r="D12" s="72">
        <f t="shared" si="0"/>
        <v>2218</v>
      </c>
    </row>
    <row r="13" spans="1:11" x14ac:dyDescent="0.2">
      <c r="A13" s="202">
        <v>5</v>
      </c>
      <c r="B13" s="33">
        <f t="shared" si="1"/>
        <v>2256825</v>
      </c>
      <c r="C13" s="33">
        <v>2258519</v>
      </c>
      <c r="D13" s="72">
        <f t="shared" si="0"/>
        <v>1694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2258519</v>
      </c>
      <c r="C14" s="33"/>
      <c r="D14" s="72">
        <f t="shared" si="0"/>
        <v>-2258519</v>
      </c>
      <c r="J14" s="148" t="s">
        <v>82</v>
      </c>
      <c r="K14" t="s">
        <v>83</v>
      </c>
    </row>
    <row r="15" spans="1:11" x14ac:dyDescent="0.2">
      <c r="A15" s="202">
        <v>7</v>
      </c>
      <c r="B15" s="33">
        <f t="shared" si="1"/>
        <v>0</v>
      </c>
      <c r="C15" s="33"/>
      <c r="D15" s="72">
        <f t="shared" si="0"/>
        <v>0</v>
      </c>
      <c r="E15" s="44"/>
    </row>
    <row r="16" spans="1:11" x14ac:dyDescent="0.2">
      <c r="A16" s="74">
        <v>8</v>
      </c>
      <c r="B16" s="33">
        <f t="shared" si="1"/>
        <v>0</v>
      </c>
      <c r="C16" s="33"/>
      <c r="D16" s="72">
        <f t="shared" si="0"/>
        <v>0</v>
      </c>
      <c r="E16" s="44"/>
    </row>
    <row r="17" spans="1:5" x14ac:dyDescent="0.2">
      <c r="A17" s="202">
        <v>9</v>
      </c>
      <c r="B17" s="33">
        <f t="shared" si="1"/>
        <v>0</v>
      </c>
      <c r="C17" s="33"/>
      <c r="D17" s="72">
        <f t="shared" si="0"/>
        <v>0</v>
      </c>
      <c r="E17" s="44"/>
    </row>
    <row r="18" spans="1:5" x14ac:dyDescent="0.2">
      <c r="A18" s="74">
        <v>10</v>
      </c>
      <c r="B18" s="33">
        <f t="shared" si="1"/>
        <v>0</v>
      </c>
      <c r="C18" s="33"/>
      <c r="D18" s="72">
        <f t="shared" si="0"/>
        <v>0</v>
      </c>
      <c r="E18" s="44"/>
    </row>
    <row r="19" spans="1:5" x14ac:dyDescent="0.2">
      <c r="A19" s="202">
        <v>11</v>
      </c>
      <c r="B19" s="33">
        <f t="shared" si="1"/>
        <v>0</v>
      </c>
      <c r="C19" s="33"/>
      <c r="D19" s="72">
        <f t="shared" si="0"/>
        <v>0</v>
      </c>
      <c r="E19" s="44"/>
    </row>
    <row r="20" spans="1:5" x14ac:dyDescent="0.2">
      <c r="A20" s="74">
        <v>12</v>
      </c>
      <c r="B20" s="33">
        <f t="shared" si="1"/>
        <v>0</v>
      </c>
      <c r="C20" s="33"/>
      <c r="D20" s="72">
        <f t="shared" si="0"/>
        <v>0</v>
      </c>
      <c r="E20" s="44"/>
    </row>
    <row r="21" spans="1:5" x14ac:dyDescent="0.2">
      <c r="A21" s="202">
        <v>13</v>
      </c>
      <c r="B21" s="33">
        <f t="shared" si="1"/>
        <v>0</v>
      </c>
      <c r="C21" s="33"/>
      <c r="D21" s="72">
        <f t="shared" si="0"/>
        <v>0</v>
      </c>
      <c r="E21" s="44"/>
    </row>
    <row r="22" spans="1:5" x14ac:dyDescent="0.2">
      <c r="A22" s="74">
        <v>14</v>
      </c>
      <c r="B22" s="33">
        <f t="shared" si="1"/>
        <v>0</v>
      </c>
      <c r="C22" s="33"/>
      <c r="D22" s="72">
        <f t="shared" si="0"/>
        <v>0</v>
      </c>
      <c r="E22" s="44"/>
    </row>
    <row r="23" spans="1:5" x14ac:dyDescent="0.2">
      <c r="A23" s="202">
        <v>15</v>
      </c>
      <c r="B23" s="33">
        <f t="shared" si="1"/>
        <v>0</v>
      </c>
      <c r="C23" s="33"/>
      <c r="D23" s="72">
        <f t="shared" si="0"/>
        <v>0</v>
      </c>
      <c r="E23" s="44"/>
    </row>
    <row r="24" spans="1:5" x14ac:dyDescent="0.2">
      <c r="A24" s="74">
        <v>16</v>
      </c>
      <c r="B24" s="33">
        <f t="shared" si="1"/>
        <v>0</v>
      </c>
      <c r="C24" s="33"/>
      <c r="D24" s="72">
        <f t="shared" si="0"/>
        <v>0</v>
      </c>
    </row>
    <row r="25" spans="1:5" x14ac:dyDescent="0.2">
      <c r="A25" s="202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202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202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202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202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202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202" t="s">
        <v>7</v>
      </c>
      <c r="B40" s="18"/>
      <c r="C40" s="18"/>
      <c r="D40" s="73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V7" zoomScale="85" zoomScaleNormal="85" workbookViewId="0">
      <pane ySplit="1" topLeftCell="A8" activePane="bottomLeft" state="frozen"/>
      <selection activeCell="M9" sqref="M9"/>
      <selection pane="bottomLeft" activeCell="CR13" sqref="CR13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15"/>
      <c r="D1" s="315"/>
    </row>
    <row r="2" spans="1:94" x14ac:dyDescent="0.2">
      <c r="C2" s="315"/>
      <c r="D2" s="315"/>
    </row>
    <row r="3" spans="1:94" x14ac:dyDescent="0.2">
      <c r="C3" s="332" t="s">
        <v>45</v>
      </c>
      <c r="D3" s="332"/>
      <c r="E3" s="332"/>
      <c r="F3" s="332"/>
    </row>
    <row r="4" spans="1:94" x14ac:dyDescent="0.2">
      <c r="C4" s="332"/>
      <c r="D4" s="332"/>
      <c r="E4" s="332"/>
      <c r="F4" s="332"/>
    </row>
    <row r="5" spans="1:94" s="1" customFormat="1" x14ac:dyDescent="0.2">
      <c r="A5" s="333">
        <v>43313</v>
      </c>
      <c r="B5" s="333"/>
      <c r="C5" s="332"/>
      <c r="D5" s="332"/>
      <c r="E5" s="332"/>
      <c r="F5" s="332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34" t="s">
        <v>46</v>
      </c>
      <c r="C7" s="334"/>
      <c r="D7" s="334"/>
      <c r="E7" s="335" t="s">
        <v>47</v>
      </c>
      <c r="F7" s="335"/>
      <c r="G7" s="335"/>
      <c r="H7" s="331" t="s">
        <v>48</v>
      </c>
      <c r="I7" s="331"/>
      <c r="J7" s="331"/>
      <c r="K7" s="329" t="s">
        <v>49</v>
      </c>
      <c r="L7" s="329"/>
      <c r="M7" s="330"/>
      <c r="N7" s="329" t="s">
        <v>50</v>
      </c>
      <c r="O7" s="329"/>
      <c r="P7" s="330"/>
      <c r="Q7" s="329" t="s">
        <v>51</v>
      </c>
      <c r="R7" s="329"/>
      <c r="S7" s="330"/>
      <c r="T7" s="329" t="s">
        <v>52</v>
      </c>
      <c r="U7" s="329"/>
      <c r="V7" s="330"/>
      <c r="W7" s="329" t="s">
        <v>105</v>
      </c>
      <c r="X7" s="329"/>
      <c r="Y7" s="330"/>
      <c r="Z7" s="329" t="s">
        <v>54</v>
      </c>
      <c r="AA7" s="329"/>
      <c r="AB7" s="330"/>
      <c r="AC7" s="329" t="s">
        <v>94</v>
      </c>
      <c r="AD7" s="329"/>
      <c r="AE7" s="330"/>
      <c r="AF7" s="329" t="s">
        <v>72</v>
      </c>
      <c r="AG7" s="329"/>
      <c r="AH7" s="330"/>
      <c r="AI7" s="329" t="s">
        <v>92</v>
      </c>
      <c r="AJ7" s="329"/>
      <c r="AK7" s="330"/>
      <c r="AL7" s="329" t="s">
        <v>71</v>
      </c>
      <c r="AM7" s="329"/>
      <c r="AN7" s="330"/>
      <c r="AO7" s="329" t="s">
        <v>93</v>
      </c>
      <c r="AP7" s="329"/>
      <c r="AQ7" s="330"/>
      <c r="AR7" s="326" t="s">
        <v>87</v>
      </c>
      <c r="AS7" s="327"/>
      <c r="AT7" s="328"/>
      <c r="AU7" s="326" t="s">
        <v>95</v>
      </c>
      <c r="AV7" s="327"/>
      <c r="AW7" s="328"/>
      <c r="AX7" s="326" t="s">
        <v>96</v>
      </c>
      <c r="AY7" s="327"/>
      <c r="AZ7" s="328"/>
      <c r="BA7" s="326" t="s">
        <v>97</v>
      </c>
      <c r="BB7" s="327"/>
      <c r="BC7" s="328"/>
      <c r="BD7" s="324" t="s">
        <v>88</v>
      </c>
      <c r="BE7" s="324"/>
      <c r="BF7" s="325"/>
      <c r="BG7" s="324" t="s">
        <v>73</v>
      </c>
      <c r="BH7" s="324"/>
      <c r="BI7" s="325"/>
      <c r="BJ7" s="324" t="s">
        <v>74</v>
      </c>
      <c r="BK7" s="324"/>
      <c r="BL7" s="325"/>
      <c r="BM7" s="324" t="s">
        <v>75</v>
      </c>
      <c r="BN7" s="324"/>
      <c r="BO7" s="325"/>
      <c r="BP7" s="324" t="s">
        <v>76</v>
      </c>
      <c r="BQ7" s="324"/>
      <c r="BR7" s="325"/>
      <c r="BS7" s="324" t="s">
        <v>90</v>
      </c>
      <c r="BT7" s="324"/>
      <c r="BU7" s="325"/>
      <c r="BV7" s="324" t="s">
        <v>106</v>
      </c>
      <c r="BW7" s="324"/>
      <c r="BX7" s="325"/>
      <c r="BY7" s="324" t="s">
        <v>107</v>
      </c>
      <c r="BZ7" s="324"/>
      <c r="CA7" s="325"/>
      <c r="CB7" s="324" t="s">
        <v>108</v>
      </c>
      <c r="CC7" s="324"/>
      <c r="CD7" s="325"/>
      <c r="CE7" s="324" t="s">
        <v>109</v>
      </c>
      <c r="CF7" s="324"/>
      <c r="CG7" s="325"/>
      <c r="CH7" s="324" t="s">
        <v>110</v>
      </c>
      <c r="CI7" s="324"/>
      <c r="CJ7" s="325"/>
      <c r="CK7" s="324" t="s">
        <v>111</v>
      </c>
      <c r="CL7" s="324"/>
      <c r="CM7" s="325"/>
      <c r="CN7" s="324" t="s">
        <v>112</v>
      </c>
      <c r="CO7" s="324"/>
      <c r="CP7" s="32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208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208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8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>
        <v>25099648</v>
      </c>
      <c r="D11" s="76">
        <f t="shared" si="0"/>
        <v>4111</v>
      </c>
      <c r="E11" s="77">
        <f>F10</f>
        <v>21990123</v>
      </c>
      <c r="F11" s="77">
        <v>21994583</v>
      </c>
      <c r="G11" s="77">
        <f t="shared" ref="G11:G35" si="33">F11-E11</f>
        <v>4460</v>
      </c>
      <c r="H11" s="79">
        <f t="shared" ref="H11:H39" si="34">I10</f>
        <v>83747555</v>
      </c>
      <c r="I11" s="79">
        <v>83761438</v>
      </c>
      <c r="J11" s="84">
        <f t="shared" si="1"/>
        <v>13883</v>
      </c>
      <c r="K11" s="79">
        <f>L10</f>
        <v>1726700</v>
      </c>
      <c r="L11" s="80">
        <v>1728900</v>
      </c>
      <c r="M11" s="84">
        <f t="shared" si="2"/>
        <v>2200</v>
      </c>
      <c r="N11" s="79">
        <f>O10</f>
        <v>2336315</v>
      </c>
      <c r="O11" s="79">
        <v>2339105</v>
      </c>
      <c r="P11" s="84">
        <f t="shared" si="3"/>
        <v>2790</v>
      </c>
      <c r="Q11" s="79">
        <f t="shared" ref="Q11:Q39" si="35">R10</f>
        <v>1407800</v>
      </c>
      <c r="R11" s="79">
        <v>1409800</v>
      </c>
      <c r="S11" s="84">
        <f t="shared" si="4"/>
        <v>2000</v>
      </c>
      <c r="T11" s="79">
        <f>U10</f>
        <v>661098</v>
      </c>
      <c r="U11" s="80">
        <v>661786</v>
      </c>
      <c r="V11" s="84">
        <f t="shared" si="5"/>
        <v>688</v>
      </c>
      <c r="W11" s="79">
        <f>X10</f>
        <v>6840600</v>
      </c>
      <c r="X11" s="80">
        <v>6847000</v>
      </c>
      <c r="Y11" s="84">
        <f t="shared" si="6"/>
        <v>6400</v>
      </c>
      <c r="Z11" s="79">
        <f>AA10</f>
        <v>1492200</v>
      </c>
      <c r="AA11" s="80">
        <v>1494900</v>
      </c>
      <c r="AB11" s="84">
        <f t="shared" si="7"/>
        <v>2700</v>
      </c>
      <c r="AC11" s="79">
        <f t="shared" si="8"/>
        <v>443924</v>
      </c>
      <c r="AD11" s="80">
        <v>444336</v>
      </c>
      <c r="AE11" s="84">
        <f t="shared" si="9"/>
        <v>412</v>
      </c>
      <c r="AF11" s="79">
        <f t="shared" si="10"/>
        <v>313400</v>
      </c>
      <c r="AG11" s="80">
        <v>313750</v>
      </c>
      <c r="AH11" s="84">
        <f t="shared" si="11"/>
        <v>350</v>
      </c>
      <c r="AI11" s="79">
        <f t="shared" si="12"/>
        <v>524130</v>
      </c>
      <c r="AJ11" s="80">
        <v>524950</v>
      </c>
      <c r="AK11" s="84">
        <f t="shared" si="13"/>
        <v>820</v>
      </c>
      <c r="AL11" s="79">
        <f t="shared" ref="AL11:AL39" si="36">AM10</f>
        <v>973920</v>
      </c>
      <c r="AM11" s="80">
        <v>975110</v>
      </c>
      <c r="AN11" s="84">
        <f t="shared" si="14"/>
        <v>1190</v>
      </c>
      <c r="AO11" s="79">
        <f t="shared" ref="AO11:AO39" si="37">AP10</f>
        <v>619280</v>
      </c>
      <c r="AP11" s="80">
        <v>620070</v>
      </c>
      <c r="AQ11" s="84">
        <f t="shared" si="15"/>
        <v>790</v>
      </c>
      <c r="AR11" s="79">
        <f t="shared" ref="AR11:AR39" si="38">AS10</f>
        <v>456000</v>
      </c>
      <c r="AS11" s="79">
        <v>456770</v>
      </c>
      <c r="AT11" s="84">
        <f t="shared" si="16"/>
        <v>770</v>
      </c>
      <c r="AU11" s="79">
        <f t="shared" ref="AU11:AU39" si="39">AV10</f>
        <v>402740</v>
      </c>
      <c r="AV11" s="79">
        <v>404460</v>
      </c>
      <c r="AW11" s="84">
        <f t="shared" si="17"/>
        <v>1720</v>
      </c>
      <c r="AX11" s="79">
        <f t="shared" ref="AX11:AX39" si="40">AY10</f>
        <v>316020</v>
      </c>
      <c r="AY11" s="79">
        <v>317180</v>
      </c>
      <c r="AZ11" s="84">
        <f t="shared" si="18"/>
        <v>1160</v>
      </c>
      <c r="BA11" s="79">
        <f t="shared" ref="BA11:BA39" si="41">BB10</f>
        <v>845160</v>
      </c>
      <c r="BB11" s="79">
        <v>849030</v>
      </c>
      <c r="BC11" s="84">
        <f t="shared" si="19"/>
        <v>3870</v>
      </c>
      <c r="BD11" s="84">
        <f t="shared" ref="BD11:BD39" si="42">BE10</f>
        <v>16623</v>
      </c>
      <c r="BE11" s="84">
        <v>16702</v>
      </c>
      <c r="BF11" s="84">
        <f t="shared" ref="BF11:BF39" si="43">BE11-BD11</f>
        <v>79</v>
      </c>
      <c r="BG11" s="79">
        <f t="shared" ref="BG11:BG39" si="44">BH10</f>
        <v>13470</v>
      </c>
      <c r="BH11" s="79">
        <v>13548</v>
      </c>
      <c r="BI11" s="208">
        <f t="shared" si="20"/>
        <v>78</v>
      </c>
      <c r="BJ11" s="79">
        <f t="shared" ref="BJ11:BJ39" si="45">BK10</f>
        <v>12836</v>
      </c>
      <c r="BK11" s="79">
        <v>12928</v>
      </c>
      <c r="BL11" s="84">
        <f t="shared" si="21"/>
        <v>92</v>
      </c>
      <c r="BM11" s="79">
        <f t="shared" ref="BM11:BM35" si="46">BN10</f>
        <v>20600</v>
      </c>
      <c r="BN11" s="79">
        <v>20697</v>
      </c>
      <c r="BO11" s="84">
        <f t="shared" si="22"/>
        <v>97</v>
      </c>
      <c r="BP11" s="79">
        <f t="shared" ref="BP11:BP39" si="47">BQ10</f>
        <v>13870</v>
      </c>
      <c r="BQ11" s="79">
        <v>13942</v>
      </c>
      <c r="BR11" s="84">
        <f t="shared" si="23"/>
        <v>72</v>
      </c>
      <c r="BS11" s="79">
        <f t="shared" ref="BS11:BS39" si="48">BT10</f>
        <v>15965</v>
      </c>
      <c r="BT11" s="80">
        <v>16018</v>
      </c>
      <c r="BU11" s="84">
        <f t="shared" si="24"/>
        <v>53</v>
      </c>
      <c r="BV11" s="79">
        <f t="shared" ref="BV11:BV39" si="49">BW10</f>
        <v>10698</v>
      </c>
      <c r="BW11" s="80">
        <v>10751</v>
      </c>
      <c r="BX11" s="84">
        <f t="shared" si="25"/>
        <v>53</v>
      </c>
      <c r="BY11" s="79">
        <f t="shared" ref="BY11:BY39" si="50">BZ10</f>
        <v>27430</v>
      </c>
      <c r="BZ11" s="80">
        <v>27617</v>
      </c>
      <c r="CA11" s="84">
        <f t="shared" si="26"/>
        <v>187</v>
      </c>
      <c r="CB11" s="79">
        <f t="shared" ref="CB11:CB39" si="51">CC10</f>
        <v>22994</v>
      </c>
      <c r="CC11" s="80">
        <v>23080</v>
      </c>
      <c r="CD11" s="84">
        <f t="shared" si="27"/>
        <v>86</v>
      </c>
      <c r="CE11" s="79">
        <f t="shared" ref="CE11:CE39" si="52">CF10</f>
        <v>66398</v>
      </c>
      <c r="CF11" s="80">
        <v>66675</v>
      </c>
      <c r="CG11" s="84">
        <f t="shared" si="28"/>
        <v>277</v>
      </c>
      <c r="CH11" s="79">
        <f t="shared" ref="CH11:CH39" si="53">CI10</f>
        <v>33706</v>
      </c>
      <c r="CI11" s="80">
        <v>34064</v>
      </c>
      <c r="CJ11" s="84">
        <f t="shared" si="29"/>
        <v>358</v>
      </c>
      <c r="CK11" s="79">
        <f t="shared" ref="CK11:CK39" si="54">CL10</f>
        <v>10909</v>
      </c>
      <c r="CL11" s="80">
        <v>10998</v>
      </c>
      <c r="CM11" s="84">
        <f t="shared" si="30"/>
        <v>89</v>
      </c>
      <c r="CN11" s="79">
        <f t="shared" ref="CN11:CN39" si="55">CO10</f>
        <v>38302</v>
      </c>
      <c r="CO11" s="80">
        <v>38411</v>
      </c>
      <c r="CP11" s="84">
        <f t="shared" si="31"/>
        <v>109</v>
      </c>
    </row>
    <row r="12" spans="1:94" s="3" customFormat="1" ht="13.5" customHeight="1" x14ac:dyDescent="0.2">
      <c r="A12" s="82">
        <v>4</v>
      </c>
      <c r="B12" s="75">
        <f t="shared" si="32"/>
        <v>25099648</v>
      </c>
      <c r="C12" s="75">
        <v>25103892</v>
      </c>
      <c r="D12" s="76">
        <f t="shared" si="0"/>
        <v>4244</v>
      </c>
      <c r="E12" s="77">
        <f>F11</f>
        <v>21994583</v>
      </c>
      <c r="F12" s="77">
        <v>21999466</v>
      </c>
      <c r="G12" s="77">
        <f t="shared" si="33"/>
        <v>4883</v>
      </c>
      <c r="H12" s="79">
        <f t="shared" si="34"/>
        <v>83761438</v>
      </c>
      <c r="I12" s="79">
        <v>83776294</v>
      </c>
      <c r="J12" s="84">
        <f t="shared" si="1"/>
        <v>14856</v>
      </c>
      <c r="K12" s="79">
        <f>L11</f>
        <v>1728900</v>
      </c>
      <c r="L12" s="80">
        <v>1731100</v>
      </c>
      <c r="M12" s="84">
        <f t="shared" si="2"/>
        <v>2200</v>
      </c>
      <c r="N12" s="79">
        <f>O11</f>
        <v>2339105</v>
      </c>
      <c r="O12" s="79">
        <v>2341951</v>
      </c>
      <c r="P12" s="84">
        <f t="shared" si="3"/>
        <v>2846</v>
      </c>
      <c r="Q12" s="79">
        <f t="shared" si="35"/>
        <v>1409800</v>
      </c>
      <c r="R12" s="79">
        <v>1411800</v>
      </c>
      <c r="S12" s="84">
        <f t="shared" si="4"/>
        <v>2000</v>
      </c>
      <c r="T12" s="79">
        <f>U11</f>
        <v>661786</v>
      </c>
      <c r="U12" s="80">
        <v>662479</v>
      </c>
      <c r="V12" s="84">
        <f t="shared" si="5"/>
        <v>693</v>
      </c>
      <c r="W12" s="79">
        <f>X11</f>
        <v>6847000</v>
      </c>
      <c r="X12" s="80">
        <v>6852800</v>
      </c>
      <c r="Y12" s="84">
        <f t="shared" si="6"/>
        <v>5800</v>
      </c>
      <c r="Z12" s="79">
        <f>AA11</f>
        <v>1494900</v>
      </c>
      <c r="AA12" s="80">
        <v>1500900</v>
      </c>
      <c r="AB12" s="84">
        <f t="shared" si="7"/>
        <v>6000</v>
      </c>
      <c r="AC12" s="79">
        <f t="shared" si="8"/>
        <v>444336</v>
      </c>
      <c r="AD12" s="80">
        <v>444754</v>
      </c>
      <c r="AE12" s="84">
        <f t="shared" si="9"/>
        <v>418</v>
      </c>
      <c r="AF12" s="79">
        <f t="shared" si="10"/>
        <v>313750</v>
      </c>
      <c r="AG12" s="80">
        <v>314160</v>
      </c>
      <c r="AH12" s="84">
        <f t="shared" si="11"/>
        <v>410</v>
      </c>
      <c r="AI12" s="79">
        <f t="shared" si="12"/>
        <v>524950</v>
      </c>
      <c r="AJ12" s="80">
        <v>525910</v>
      </c>
      <c r="AK12" s="84">
        <f t="shared" si="13"/>
        <v>960</v>
      </c>
      <c r="AL12" s="79">
        <f t="shared" si="36"/>
        <v>975110</v>
      </c>
      <c r="AM12" s="80">
        <v>976460</v>
      </c>
      <c r="AN12" s="84">
        <f t="shared" si="14"/>
        <v>1350</v>
      </c>
      <c r="AO12" s="79">
        <f t="shared" si="37"/>
        <v>620070</v>
      </c>
      <c r="AP12" s="80">
        <v>620980</v>
      </c>
      <c r="AQ12" s="84">
        <f t="shared" si="15"/>
        <v>910</v>
      </c>
      <c r="AR12" s="79">
        <f t="shared" si="38"/>
        <v>456770</v>
      </c>
      <c r="AS12" s="79">
        <v>458420</v>
      </c>
      <c r="AT12" s="84">
        <f t="shared" si="16"/>
        <v>1650</v>
      </c>
      <c r="AU12" s="79">
        <f t="shared" si="39"/>
        <v>404460</v>
      </c>
      <c r="AV12" s="79">
        <v>406260</v>
      </c>
      <c r="AW12" s="84">
        <f t="shared" si="17"/>
        <v>1800</v>
      </c>
      <c r="AX12" s="79">
        <f t="shared" si="40"/>
        <v>317180</v>
      </c>
      <c r="AY12" s="79">
        <v>318380</v>
      </c>
      <c r="AZ12" s="84">
        <f t="shared" si="18"/>
        <v>1200</v>
      </c>
      <c r="BA12" s="79">
        <f t="shared" si="41"/>
        <v>849030</v>
      </c>
      <c r="BB12" s="79">
        <v>852760</v>
      </c>
      <c r="BC12" s="84">
        <f t="shared" si="19"/>
        <v>3730</v>
      </c>
      <c r="BD12" s="84">
        <f t="shared" si="42"/>
        <v>16702</v>
      </c>
      <c r="BE12" s="84">
        <v>16797</v>
      </c>
      <c r="BF12" s="84">
        <f t="shared" si="43"/>
        <v>95</v>
      </c>
      <c r="BG12" s="79">
        <f t="shared" si="44"/>
        <v>13548</v>
      </c>
      <c r="BH12" s="79">
        <v>13630</v>
      </c>
      <c r="BI12" s="208">
        <f t="shared" si="20"/>
        <v>82</v>
      </c>
      <c r="BJ12" s="79">
        <f t="shared" si="45"/>
        <v>12928</v>
      </c>
      <c r="BK12" s="79">
        <v>13019</v>
      </c>
      <c r="BL12" s="84">
        <f t="shared" si="21"/>
        <v>91</v>
      </c>
      <c r="BM12" s="79">
        <f t="shared" si="46"/>
        <v>20697</v>
      </c>
      <c r="BN12" s="79">
        <v>20806</v>
      </c>
      <c r="BO12" s="84">
        <f t="shared" si="22"/>
        <v>109</v>
      </c>
      <c r="BP12" s="79">
        <f t="shared" si="47"/>
        <v>13942</v>
      </c>
      <c r="BQ12" s="79">
        <v>14026</v>
      </c>
      <c r="BR12" s="84">
        <f t="shared" si="23"/>
        <v>84</v>
      </c>
      <c r="BS12" s="79">
        <f t="shared" si="48"/>
        <v>16018</v>
      </c>
      <c r="BT12" s="80">
        <v>16069</v>
      </c>
      <c r="BU12" s="84">
        <f t="shared" si="24"/>
        <v>51</v>
      </c>
      <c r="BV12" s="79">
        <f t="shared" si="49"/>
        <v>10751</v>
      </c>
      <c r="BW12" s="80">
        <v>10802</v>
      </c>
      <c r="BX12" s="84">
        <f t="shared" si="25"/>
        <v>51</v>
      </c>
      <c r="BY12" s="79">
        <f t="shared" si="50"/>
        <v>27617</v>
      </c>
      <c r="BZ12" s="80">
        <v>27811</v>
      </c>
      <c r="CA12" s="84">
        <f t="shared" si="26"/>
        <v>194</v>
      </c>
      <c r="CB12" s="79">
        <f t="shared" si="51"/>
        <v>23080</v>
      </c>
      <c r="CC12" s="80">
        <v>23172</v>
      </c>
      <c r="CD12" s="84">
        <f t="shared" si="27"/>
        <v>92</v>
      </c>
      <c r="CE12" s="79">
        <f t="shared" si="52"/>
        <v>66675</v>
      </c>
      <c r="CF12" s="80">
        <v>66981</v>
      </c>
      <c r="CG12" s="84">
        <f t="shared" si="28"/>
        <v>306</v>
      </c>
      <c r="CH12" s="79">
        <f t="shared" si="53"/>
        <v>34064</v>
      </c>
      <c r="CI12" s="80">
        <v>34416</v>
      </c>
      <c r="CJ12" s="84">
        <f t="shared" si="29"/>
        <v>352</v>
      </c>
      <c r="CK12" s="79">
        <f t="shared" si="54"/>
        <v>10998</v>
      </c>
      <c r="CL12" s="80">
        <v>11004</v>
      </c>
      <c r="CM12" s="84">
        <f t="shared" si="30"/>
        <v>6</v>
      </c>
      <c r="CN12" s="79">
        <f t="shared" si="55"/>
        <v>38411</v>
      </c>
      <c r="CO12" s="80">
        <v>38597</v>
      </c>
      <c r="CP12" s="84">
        <f t="shared" si="31"/>
        <v>186</v>
      </c>
    </row>
    <row r="13" spans="1:94" s="3" customFormat="1" ht="13.5" customHeight="1" x14ac:dyDescent="0.2">
      <c r="A13" s="93">
        <v>5</v>
      </c>
      <c r="B13" s="75">
        <f t="shared" si="32"/>
        <v>25103892</v>
      </c>
      <c r="C13" s="75">
        <v>25107536</v>
      </c>
      <c r="D13" s="76">
        <f t="shared" si="0"/>
        <v>3644</v>
      </c>
      <c r="E13" s="77">
        <f t="shared" ref="E13:E36" si="56">F12</f>
        <v>21999466</v>
      </c>
      <c r="F13" s="77">
        <v>22003536</v>
      </c>
      <c r="G13" s="77">
        <f t="shared" si="33"/>
        <v>4070</v>
      </c>
      <c r="H13" s="79">
        <f t="shared" si="34"/>
        <v>83776294</v>
      </c>
      <c r="I13" s="79">
        <v>83790362</v>
      </c>
      <c r="J13" s="84">
        <f t="shared" si="1"/>
        <v>14068</v>
      </c>
      <c r="K13" s="79">
        <f t="shared" ref="K13:K39" si="57">L12</f>
        <v>1731100</v>
      </c>
      <c r="L13" s="79">
        <v>1733200</v>
      </c>
      <c r="M13" s="84">
        <f t="shared" si="2"/>
        <v>2100</v>
      </c>
      <c r="N13" s="79">
        <f t="shared" ref="N13:N24" si="58">O12</f>
        <v>2341951</v>
      </c>
      <c r="O13" s="79">
        <v>2344743</v>
      </c>
      <c r="P13" s="84">
        <f t="shared" si="3"/>
        <v>2792</v>
      </c>
      <c r="Q13" s="79">
        <f t="shared" si="35"/>
        <v>1411800</v>
      </c>
      <c r="R13" s="79">
        <v>1413500</v>
      </c>
      <c r="S13" s="84">
        <f t="shared" si="4"/>
        <v>1700</v>
      </c>
      <c r="T13" s="79">
        <f t="shared" ref="T13:T24" si="59">U12</f>
        <v>662479</v>
      </c>
      <c r="U13" s="79">
        <v>663179</v>
      </c>
      <c r="V13" s="84">
        <f t="shared" si="5"/>
        <v>700</v>
      </c>
      <c r="W13" s="79">
        <f t="shared" ref="W13:W24" si="60">X12</f>
        <v>6852800</v>
      </c>
      <c r="X13" s="79">
        <v>6858600</v>
      </c>
      <c r="Y13" s="84">
        <f t="shared" si="6"/>
        <v>5800</v>
      </c>
      <c r="Z13" s="79">
        <f t="shared" ref="Z13:Z24" si="61">AA12</f>
        <v>1500900</v>
      </c>
      <c r="AA13" s="79"/>
      <c r="AB13" s="84">
        <f t="shared" si="7"/>
        <v>-1500900</v>
      </c>
      <c r="AC13" s="79">
        <f t="shared" si="8"/>
        <v>444754</v>
      </c>
      <c r="AD13" s="80">
        <v>445195</v>
      </c>
      <c r="AE13" s="84">
        <f t="shared" si="9"/>
        <v>441</v>
      </c>
      <c r="AF13" s="79">
        <f t="shared" si="10"/>
        <v>314160</v>
      </c>
      <c r="AG13" s="80">
        <v>314640</v>
      </c>
      <c r="AH13" s="84">
        <f t="shared" si="11"/>
        <v>480</v>
      </c>
      <c r="AI13" s="79">
        <f t="shared" si="12"/>
        <v>525910</v>
      </c>
      <c r="AJ13" s="80">
        <v>526810</v>
      </c>
      <c r="AK13" s="84">
        <f t="shared" si="13"/>
        <v>900</v>
      </c>
      <c r="AL13" s="79">
        <f t="shared" si="36"/>
        <v>976460</v>
      </c>
      <c r="AM13" s="80">
        <v>977780</v>
      </c>
      <c r="AN13" s="84">
        <f t="shared" si="14"/>
        <v>1320</v>
      </c>
      <c r="AO13" s="79">
        <f t="shared" si="37"/>
        <v>620980</v>
      </c>
      <c r="AP13" s="80">
        <v>621850</v>
      </c>
      <c r="AQ13" s="84">
        <f t="shared" si="15"/>
        <v>870</v>
      </c>
      <c r="AR13" s="79">
        <f t="shared" si="38"/>
        <v>458420</v>
      </c>
      <c r="AS13" s="79">
        <v>460230</v>
      </c>
      <c r="AT13" s="84">
        <f t="shared" si="16"/>
        <v>1810</v>
      </c>
      <c r="AU13" s="79">
        <f t="shared" si="39"/>
        <v>406260</v>
      </c>
      <c r="AV13" s="79">
        <v>407700</v>
      </c>
      <c r="AW13" s="84">
        <f t="shared" si="17"/>
        <v>1440</v>
      </c>
      <c r="AX13" s="79">
        <f t="shared" si="40"/>
        <v>318380</v>
      </c>
      <c r="AY13" s="79">
        <v>319530</v>
      </c>
      <c r="AZ13" s="84">
        <f t="shared" si="18"/>
        <v>1150</v>
      </c>
      <c r="BA13" s="79">
        <f t="shared" si="41"/>
        <v>852760</v>
      </c>
      <c r="BB13" s="79">
        <v>856460</v>
      </c>
      <c r="BC13" s="84">
        <f t="shared" si="19"/>
        <v>3700</v>
      </c>
      <c r="BD13" s="84">
        <f t="shared" si="42"/>
        <v>16797</v>
      </c>
      <c r="BE13" s="84">
        <v>16886</v>
      </c>
      <c r="BF13" s="84">
        <f t="shared" si="43"/>
        <v>89</v>
      </c>
      <c r="BG13" s="79">
        <f t="shared" si="44"/>
        <v>13630</v>
      </c>
      <c r="BH13" s="79">
        <v>13707</v>
      </c>
      <c r="BI13" s="208">
        <f t="shared" si="20"/>
        <v>77</v>
      </c>
      <c r="BJ13" s="79">
        <f t="shared" si="45"/>
        <v>13019</v>
      </c>
      <c r="BK13" s="79">
        <v>13083</v>
      </c>
      <c r="BL13" s="84">
        <f t="shared" si="21"/>
        <v>64</v>
      </c>
      <c r="BM13" s="79">
        <f t="shared" si="46"/>
        <v>20806</v>
      </c>
      <c r="BN13" s="79">
        <v>20900</v>
      </c>
      <c r="BO13" s="84">
        <f t="shared" si="22"/>
        <v>94</v>
      </c>
      <c r="BP13" s="79">
        <f t="shared" si="47"/>
        <v>14026</v>
      </c>
      <c r="BQ13" s="79">
        <v>14103</v>
      </c>
      <c r="BR13" s="84">
        <f t="shared" si="23"/>
        <v>77</v>
      </c>
      <c r="BS13" s="79">
        <f t="shared" si="48"/>
        <v>16069</v>
      </c>
      <c r="BT13" s="80">
        <v>16120</v>
      </c>
      <c r="BU13" s="84">
        <f t="shared" si="24"/>
        <v>51</v>
      </c>
      <c r="BV13" s="79">
        <f t="shared" si="49"/>
        <v>10802</v>
      </c>
      <c r="BW13" s="80">
        <v>10854</v>
      </c>
      <c r="BX13" s="84">
        <f t="shared" si="25"/>
        <v>52</v>
      </c>
      <c r="BY13" s="79">
        <f t="shared" si="50"/>
        <v>27811</v>
      </c>
      <c r="BZ13" s="80">
        <v>27981</v>
      </c>
      <c r="CA13" s="84">
        <f t="shared" si="26"/>
        <v>170</v>
      </c>
      <c r="CB13" s="79">
        <f t="shared" si="51"/>
        <v>23172</v>
      </c>
      <c r="CC13" s="80">
        <v>23254</v>
      </c>
      <c r="CD13" s="84">
        <f t="shared" si="27"/>
        <v>82</v>
      </c>
      <c r="CE13" s="79">
        <f t="shared" si="52"/>
        <v>66981</v>
      </c>
      <c r="CF13" s="80">
        <v>67256</v>
      </c>
      <c r="CG13" s="84">
        <f t="shared" si="28"/>
        <v>275</v>
      </c>
      <c r="CH13" s="79">
        <f t="shared" si="53"/>
        <v>34416</v>
      </c>
      <c r="CI13" s="80">
        <v>34793</v>
      </c>
      <c r="CJ13" s="84">
        <f t="shared" si="29"/>
        <v>377</v>
      </c>
      <c r="CK13" s="79">
        <f t="shared" si="54"/>
        <v>11004</v>
      </c>
      <c r="CL13" s="80">
        <v>11095</v>
      </c>
      <c r="CM13" s="84">
        <f t="shared" si="30"/>
        <v>91</v>
      </c>
      <c r="CN13" s="79">
        <f t="shared" si="55"/>
        <v>38597</v>
      </c>
      <c r="CO13" s="80">
        <v>38701</v>
      </c>
      <c r="CP13" s="84">
        <f t="shared" si="31"/>
        <v>104</v>
      </c>
    </row>
    <row r="14" spans="1:94" s="3" customFormat="1" ht="13.5" customHeight="1" x14ac:dyDescent="0.2">
      <c r="A14" s="82">
        <v>6</v>
      </c>
      <c r="B14" s="75">
        <f t="shared" si="32"/>
        <v>25107536</v>
      </c>
      <c r="C14" s="75"/>
      <c r="D14" s="76">
        <f t="shared" si="0"/>
        <v>-25107536</v>
      </c>
      <c r="E14" s="77">
        <f t="shared" si="56"/>
        <v>22003536</v>
      </c>
      <c r="F14" s="77"/>
      <c r="G14" s="77">
        <f t="shared" si="33"/>
        <v>-22003536</v>
      </c>
      <c r="H14" s="79">
        <f t="shared" si="34"/>
        <v>83790362</v>
      </c>
      <c r="I14" s="79"/>
      <c r="J14" s="84">
        <f t="shared" si="1"/>
        <v>-83790362</v>
      </c>
      <c r="K14" s="79">
        <f t="shared" si="57"/>
        <v>1733200</v>
      </c>
      <c r="L14" s="79"/>
      <c r="M14" s="84">
        <f t="shared" si="2"/>
        <v>-1733200</v>
      </c>
      <c r="N14" s="79">
        <f t="shared" si="58"/>
        <v>2344743</v>
      </c>
      <c r="O14" s="79"/>
      <c r="P14" s="84">
        <f t="shared" si="3"/>
        <v>-2344743</v>
      </c>
      <c r="Q14" s="79">
        <f t="shared" si="35"/>
        <v>1413500</v>
      </c>
      <c r="R14" s="79"/>
      <c r="S14" s="84">
        <f t="shared" si="4"/>
        <v>-1413500</v>
      </c>
      <c r="T14" s="79">
        <f t="shared" si="59"/>
        <v>663179</v>
      </c>
      <c r="U14" s="79"/>
      <c r="V14" s="84">
        <f t="shared" si="5"/>
        <v>-663179</v>
      </c>
      <c r="W14" s="79">
        <f t="shared" si="60"/>
        <v>6858600</v>
      </c>
      <c r="X14" s="79"/>
      <c r="Y14" s="84">
        <f t="shared" si="6"/>
        <v>-6858600</v>
      </c>
      <c r="Z14" s="79">
        <f t="shared" si="61"/>
        <v>0</v>
      </c>
      <c r="AA14" s="79"/>
      <c r="AB14" s="84">
        <f t="shared" si="7"/>
        <v>0</v>
      </c>
      <c r="AC14" s="79">
        <f t="shared" si="8"/>
        <v>445195</v>
      </c>
      <c r="AD14" s="79"/>
      <c r="AE14" s="84">
        <f t="shared" si="9"/>
        <v>-445195</v>
      </c>
      <c r="AF14" s="79">
        <f t="shared" si="10"/>
        <v>314640</v>
      </c>
      <c r="AG14" s="79"/>
      <c r="AH14" s="84">
        <f t="shared" si="11"/>
        <v>-314640</v>
      </c>
      <c r="AI14" s="79">
        <f t="shared" si="12"/>
        <v>526810</v>
      </c>
      <c r="AJ14" s="79"/>
      <c r="AK14" s="84">
        <f t="shared" si="13"/>
        <v>-526810</v>
      </c>
      <c r="AL14" s="79">
        <f t="shared" si="36"/>
        <v>977780</v>
      </c>
      <c r="AM14" s="80"/>
      <c r="AN14" s="84">
        <f t="shared" si="14"/>
        <v>-977780</v>
      </c>
      <c r="AO14" s="79">
        <f t="shared" si="37"/>
        <v>621850</v>
      </c>
      <c r="AP14" s="79"/>
      <c r="AQ14" s="84">
        <f t="shared" si="15"/>
        <v>-621850</v>
      </c>
      <c r="AR14" s="79">
        <f t="shared" si="38"/>
        <v>460230</v>
      </c>
      <c r="AS14" s="79"/>
      <c r="AT14" s="84">
        <f t="shared" si="16"/>
        <v>-460230</v>
      </c>
      <c r="AU14" s="79">
        <f t="shared" si="39"/>
        <v>407700</v>
      </c>
      <c r="AV14" s="79"/>
      <c r="AW14" s="84">
        <f t="shared" si="17"/>
        <v>-407700</v>
      </c>
      <c r="AX14" s="79">
        <f t="shared" si="40"/>
        <v>319530</v>
      </c>
      <c r="AY14" s="79"/>
      <c r="AZ14" s="84">
        <f t="shared" si="18"/>
        <v>-319530</v>
      </c>
      <c r="BA14" s="79">
        <f t="shared" si="41"/>
        <v>856460</v>
      </c>
      <c r="BB14" s="79"/>
      <c r="BC14" s="84">
        <f t="shared" si="19"/>
        <v>-856460</v>
      </c>
      <c r="BD14" s="84">
        <f t="shared" si="42"/>
        <v>16886</v>
      </c>
      <c r="BE14" s="84"/>
      <c r="BF14" s="84">
        <f t="shared" si="43"/>
        <v>-16886</v>
      </c>
      <c r="BG14" s="79">
        <f t="shared" si="44"/>
        <v>13707</v>
      </c>
      <c r="BH14" s="79"/>
      <c r="BI14" s="208">
        <f t="shared" si="20"/>
        <v>-13707</v>
      </c>
      <c r="BJ14" s="79">
        <f t="shared" si="45"/>
        <v>13083</v>
      </c>
      <c r="BK14" s="79"/>
      <c r="BL14" s="84">
        <f t="shared" si="21"/>
        <v>-13083</v>
      </c>
      <c r="BM14" s="79">
        <f t="shared" si="46"/>
        <v>20900</v>
      </c>
      <c r="BN14" s="79"/>
      <c r="BO14" s="84">
        <f t="shared" si="22"/>
        <v>-20900</v>
      </c>
      <c r="BP14" s="79">
        <f t="shared" si="47"/>
        <v>14103</v>
      </c>
      <c r="BQ14" s="79"/>
      <c r="BR14" s="84">
        <f t="shared" si="23"/>
        <v>-14103</v>
      </c>
      <c r="BS14" s="79">
        <f t="shared" si="48"/>
        <v>16120</v>
      </c>
      <c r="BT14" s="79"/>
      <c r="BU14" s="84">
        <f t="shared" si="24"/>
        <v>-16120</v>
      </c>
      <c r="BV14" s="79">
        <f t="shared" si="49"/>
        <v>10854</v>
      </c>
      <c r="BW14" s="79"/>
      <c r="BX14" s="84">
        <f t="shared" si="25"/>
        <v>-10854</v>
      </c>
      <c r="BY14" s="79">
        <f t="shared" si="50"/>
        <v>27981</v>
      </c>
      <c r="BZ14" s="79"/>
      <c r="CA14" s="84">
        <f t="shared" si="26"/>
        <v>-27981</v>
      </c>
      <c r="CB14" s="79">
        <f t="shared" si="51"/>
        <v>23254</v>
      </c>
      <c r="CC14" s="79"/>
      <c r="CD14" s="84">
        <f t="shared" si="27"/>
        <v>-23254</v>
      </c>
      <c r="CE14" s="79">
        <f t="shared" si="52"/>
        <v>67256</v>
      </c>
      <c r="CF14" s="79"/>
      <c r="CG14" s="84">
        <f t="shared" si="28"/>
        <v>-67256</v>
      </c>
      <c r="CH14" s="79">
        <f t="shared" si="53"/>
        <v>34793</v>
      </c>
      <c r="CI14" s="79"/>
      <c r="CJ14" s="84">
        <f t="shared" si="29"/>
        <v>-34793</v>
      </c>
      <c r="CK14" s="79">
        <f t="shared" si="54"/>
        <v>11095</v>
      </c>
      <c r="CL14" s="79"/>
      <c r="CM14" s="84">
        <f t="shared" si="30"/>
        <v>-11095</v>
      </c>
      <c r="CN14" s="79">
        <f t="shared" si="55"/>
        <v>38701</v>
      </c>
      <c r="CO14" s="79"/>
      <c r="CP14" s="84">
        <f t="shared" si="31"/>
        <v>-38701</v>
      </c>
    </row>
    <row r="15" spans="1:94" s="3" customFormat="1" ht="13.5" customHeight="1" x14ac:dyDescent="0.2">
      <c r="A15" s="82">
        <v>7</v>
      </c>
      <c r="B15" s="75">
        <f t="shared" si="32"/>
        <v>0</v>
      </c>
      <c r="C15" s="75"/>
      <c r="D15" s="76">
        <f t="shared" si="0"/>
        <v>0</v>
      </c>
      <c r="E15" s="77">
        <f t="shared" si="56"/>
        <v>0</v>
      </c>
      <c r="F15" s="77"/>
      <c r="G15" s="77">
        <f t="shared" si="33"/>
        <v>0</v>
      </c>
      <c r="H15" s="79">
        <f t="shared" si="34"/>
        <v>0</v>
      </c>
      <c r="I15" s="79"/>
      <c r="J15" s="84">
        <f t="shared" si="1"/>
        <v>0</v>
      </c>
      <c r="K15" s="79">
        <f t="shared" si="57"/>
        <v>0</v>
      </c>
      <c r="L15" s="79"/>
      <c r="M15" s="84">
        <f t="shared" si="2"/>
        <v>0</v>
      </c>
      <c r="N15" s="79">
        <f t="shared" si="58"/>
        <v>0</v>
      </c>
      <c r="O15" s="79"/>
      <c r="P15" s="84">
        <f t="shared" si="3"/>
        <v>0</v>
      </c>
      <c r="Q15" s="79">
        <f t="shared" si="35"/>
        <v>0</v>
      </c>
      <c r="R15" s="79"/>
      <c r="S15" s="84">
        <f t="shared" si="4"/>
        <v>0</v>
      </c>
      <c r="T15" s="79">
        <f t="shared" si="59"/>
        <v>0</v>
      </c>
      <c r="U15" s="79"/>
      <c r="V15" s="84">
        <f t="shared" si="5"/>
        <v>0</v>
      </c>
      <c r="W15" s="79">
        <f t="shared" si="60"/>
        <v>0</v>
      </c>
      <c r="X15" s="79"/>
      <c r="Y15" s="84">
        <f t="shared" si="6"/>
        <v>0</v>
      </c>
      <c r="Z15" s="79">
        <f t="shared" si="61"/>
        <v>0</v>
      </c>
      <c r="AA15" s="79"/>
      <c r="AB15" s="84">
        <f t="shared" si="7"/>
        <v>0</v>
      </c>
      <c r="AC15" s="79">
        <f t="shared" si="8"/>
        <v>0</v>
      </c>
      <c r="AD15" s="79"/>
      <c r="AE15" s="84">
        <f t="shared" si="9"/>
        <v>0</v>
      </c>
      <c r="AF15" s="79">
        <f t="shared" si="10"/>
        <v>0</v>
      </c>
      <c r="AG15" s="79"/>
      <c r="AH15" s="84">
        <f t="shared" si="11"/>
        <v>0</v>
      </c>
      <c r="AI15" s="79">
        <f t="shared" si="12"/>
        <v>0</v>
      </c>
      <c r="AJ15" s="79"/>
      <c r="AK15" s="84">
        <f t="shared" si="13"/>
        <v>0</v>
      </c>
      <c r="AL15" s="79">
        <f t="shared" si="36"/>
        <v>0</v>
      </c>
      <c r="AM15" s="79"/>
      <c r="AN15" s="84">
        <f t="shared" si="14"/>
        <v>0</v>
      </c>
      <c r="AO15" s="79">
        <f t="shared" si="37"/>
        <v>0</v>
      </c>
      <c r="AP15" s="79"/>
      <c r="AQ15" s="84">
        <f t="shared" si="15"/>
        <v>0</v>
      </c>
      <c r="AR15" s="79">
        <f t="shared" si="38"/>
        <v>0</v>
      </c>
      <c r="AS15" s="79"/>
      <c r="AT15" s="84">
        <f t="shared" si="16"/>
        <v>0</v>
      </c>
      <c r="AU15" s="79">
        <f t="shared" si="39"/>
        <v>0</v>
      </c>
      <c r="AV15" s="79"/>
      <c r="AW15" s="84">
        <f t="shared" si="17"/>
        <v>0</v>
      </c>
      <c r="AX15" s="79">
        <f t="shared" si="40"/>
        <v>0</v>
      </c>
      <c r="AY15" s="79"/>
      <c r="AZ15" s="84">
        <f t="shared" si="18"/>
        <v>0</v>
      </c>
      <c r="BA15" s="79">
        <f t="shared" si="41"/>
        <v>0</v>
      </c>
      <c r="BB15" s="79"/>
      <c r="BC15" s="84">
        <f t="shared" si="19"/>
        <v>0</v>
      </c>
      <c r="BD15" s="84">
        <f t="shared" si="42"/>
        <v>0</v>
      </c>
      <c r="BE15" s="84"/>
      <c r="BF15" s="84">
        <f t="shared" si="43"/>
        <v>0</v>
      </c>
      <c r="BG15" s="79">
        <f t="shared" si="44"/>
        <v>0</v>
      </c>
      <c r="BH15" s="79"/>
      <c r="BI15" s="208">
        <f t="shared" si="20"/>
        <v>0</v>
      </c>
      <c r="BJ15" s="79">
        <f t="shared" si="45"/>
        <v>0</v>
      </c>
      <c r="BK15" s="79"/>
      <c r="BL15" s="84">
        <f t="shared" si="21"/>
        <v>0</v>
      </c>
      <c r="BM15" s="79">
        <f t="shared" si="46"/>
        <v>0</v>
      </c>
      <c r="BN15" s="79"/>
      <c r="BO15" s="84">
        <f t="shared" si="22"/>
        <v>0</v>
      </c>
      <c r="BP15" s="79">
        <f t="shared" si="47"/>
        <v>0</v>
      </c>
      <c r="BQ15" s="169"/>
      <c r="BR15" s="84">
        <f t="shared" si="23"/>
        <v>0</v>
      </c>
      <c r="BS15" s="79">
        <f t="shared" si="48"/>
        <v>0</v>
      </c>
      <c r="BT15" s="79"/>
      <c r="BU15" s="84">
        <f t="shared" si="24"/>
        <v>0</v>
      </c>
      <c r="BV15" s="79">
        <f t="shared" si="49"/>
        <v>0</v>
      </c>
      <c r="BW15" s="79"/>
      <c r="BX15" s="84">
        <f t="shared" si="25"/>
        <v>0</v>
      </c>
      <c r="BY15" s="79">
        <f t="shared" si="50"/>
        <v>0</v>
      </c>
      <c r="BZ15" s="79"/>
      <c r="CA15" s="84">
        <f t="shared" si="26"/>
        <v>0</v>
      </c>
      <c r="CB15" s="79">
        <f t="shared" si="51"/>
        <v>0</v>
      </c>
      <c r="CC15" s="79"/>
      <c r="CD15" s="84">
        <f t="shared" si="27"/>
        <v>0</v>
      </c>
      <c r="CE15" s="79">
        <f t="shared" si="52"/>
        <v>0</v>
      </c>
      <c r="CF15" s="79"/>
      <c r="CG15" s="84">
        <f t="shared" si="28"/>
        <v>0</v>
      </c>
      <c r="CH15" s="79">
        <f t="shared" si="53"/>
        <v>0</v>
      </c>
      <c r="CI15" s="79"/>
      <c r="CJ15" s="84">
        <f t="shared" si="29"/>
        <v>0</v>
      </c>
      <c r="CK15" s="79">
        <f t="shared" si="54"/>
        <v>0</v>
      </c>
      <c r="CL15" s="79"/>
      <c r="CM15" s="84">
        <f t="shared" si="30"/>
        <v>0</v>
      </c>
      <c r="CN15" s="79">
        <f t="shared" si="55"/>
        <v>0</v>
      </c>
      <c r="CO15" s="79"/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0</v>
      </c>
      <c r="C16" s="75"/>
      <c r="D16" s="76">
        <f t="shared" si="0"/>
        <v>0</v>
      </c>
      <c r="E16" s="77">
        <f t="shared" si="56"/>
        <v>0</v>
      </c>
      <c r="F16" s="77"/>
      <c r="G16" s="77">
        <f t="shared" si="33"/>
        <v>0</v>
      </c>
      <c r="H16" s="79">
        <f t="shared" si="34"/>
        <v>0</v>
      </c>
      <c r="I16" s="79"/>
      <c r="J16" s="84">
        <f t="shared" si="1"/>
        <v>0</v>
      </c>
      <c r="K16" s="79">
        <f t="shared" si="57"/>
        <v>0</v>
      </c>
      <c r="L16" s="79"/>
      <c r="M16" s="84">
        <f t="shared" si="2"/>
        <v>0</v>
      </c>
      <c r="N16" s="79">
        <f t="shared" si="58"/>
        <v>0</v>
      </c>
      <c r="O16" s="79"/>
      <c r="P16" s="84">
        <f t="shared" si="3"/>
        <v>0</v>
      </c>
      <c r="Q16" s="79">
        <f t="shared" si="35"/>
        <v>0</v>
      </c>
      <c r="R16" s="79"/>
      <c r="S16" s="84">
        <f t="shared" si="4"/>
        <v>0</v>
      </c>
      <c r="T16" s="79">
        <f t="shared" si="59"/>
        <v>0</v>
      </c>
      <c r="U16" s="79"/>
      <c r="V16" s="84">
        <f t="shared" si="5"/>
        <v>0</v>
      </c>
      <c r="W16" s="79">
        <f t="shared" si="60"/>
        <v>0</v>
      </c>
      <c r="X16" s="79"/>
      <c r="Y16" s="84">
        <f t="shared" si="6"/>
        <v>0</v>
      </c>
      <c r="Z16" s="79">
        <f t="shared" si="61"/>
        <v>0</v>
      </c>
      <c r="AA16" s="79"/>
      <c r="AB16" s="84">
        <f t="shared" si="7"/>
        <v>0</v>
      </c>
      <c r="AC16" s="79">
        <f t="shared" si="8"/>
        <v>0</v>
      </c>
      <c r="AD16" s="79"/>
      <c r="AE16" s="84">
        <f t="shared" si="9"/>
        <v>0</v>
      </c>
      <c r="AF16" s="79">
        <f t="shared" si="10"/>
        <v>0</v>
      </c>
      <c r="AG16" s="79"/>
      <c r="AH16" s="84">
        <f t="shared" si="11"/>
        <v>0</v>
      </c>
      <c r="AI16" s="79">
        <f t="shared" si="12"/>
        <v>0</v>
      </c>
      <c r="AJ16" s="79"/>
      <c r="AK16" s="84">
        <f t="shared" si="13"/>
        <v>0</v>
      </c>
      <c r="AL16" s="79">
        <f t="shared" si="36"/>
        <v>0</v>
      </c>
      <c r="AM16" s="79"/>
      <c r="AN16" s="84">
        <f t="shared" si="14"/>
        <v>0</v>
      </c>
      <c r="AO16" s="79">
        <f t="shared" si="37"/>
        <v>0</v>
      </c>
      <c r="AP16" s="79"/>
      <c r="AQ16" s="84">
        <f t="shared" si="15"/>
        <v>0</v>
      </c>
      <c r="AR16" s="79">
        <f t="shared" si="38"/>
        <v>0</v>
      </c>
      <c r="AS16" s="79"/>
      <c r="AT16" s="84">
        <f t="shared" si="16"/>
        <v>0</v>
      </c>
      <c r="AU16" s="79">
        <f t="shared" si="39"/>
        <v>0</v>
      </c>
      <c r="AV16" s="79"/>
      <c r="AW16" s="84">
        <f t="shared" si="17"/>
        <v>0</v>
      </c>
      <c r="AX16" s="79">
        <f t="shared" si="40"/>
        <v>0</v>
      </c>
      <c r="AY16" s="79"/>
      <c r="AZ16" s="84">
        <f t="shared" si="18"/>
        <v>0</v>
      </c>
      <c r="BA16" s="79">
        <f t="shared" si="41"/>
        <v>0</v>
      </c>
      <c r="BB16" s="79"/>
      <c r="BC16" s="84">
        <f t="shared" si="19"/>
        <v>0</v>
      </c>
      <c r="BD16" s="84">
        <f t="shared" si="42"/>
        <v>0</v>
      </c>
      <c r="BE16" s="84"/>
      <c r="BF16" s="84">
        <f t="shared" si="43"/>
        <v>0</v>
      </c>
      <c r="BG16" s="79">
        <f t="shared" si="44"/>
        <v>0</v>
      </c>
      <c r="BH16" s="79"/>
      <c r="BI16" s="208">
        <f t="shared" si="20"/>
        <v>0</v>
      </c>
      <c r="BJ16" s="79">
        <f t="shared" si="45"/>
        <v>0</v>
      </c>
      <c r="BK16" s="79"/>
      <c r="BL16" s="84">
        <f t="shared" si="21"/>
        <v>0</v>
      </c>
      <c r="BM16" s="79">
        <f t="shared" si="46"/>
        <v>0</v>
      </c>
      <c r="BN16" s="79"/>
      <c r="BO16" s="84">
        <f t="shared" si="22"/>
        <v>0</v>
      </c>
      <c r="BP16" s="79">
        <f t="shared" si="47"/>
        <v>0</v>
      </c>
      <c r="BQ16" s="79"/>
      <c r="BR16" s="84">
        <f t="shared" si="23"/>
        <v>0</v>
      </c>
      <c r="BS16" s="79">
        <f t="shared" si="48"/>
        <v>0</v>
      </c>
      <c r="BT16" s="79"/>
      <c r="BU16" s="84">
        <f t="shared" si="24"/>
        <v>0</v>
      </c>
      <c r="BV16" s="79">
        <f t="shared" si="49"/>
        <v>0</v>
      </c>
      <c r="BW16" s="79"/>
      <c r="BX16" s="84">
        <f t="shared" si="25"/>
        <v>0</v>
      </c>
      <c r="BY16" s="79">
        <f t="shared" si="50"/>
        <v>0</v>
      </c>
      <c r="BZ16" s="79"/>
      <c r="CA16" s="84">
        <f t="shared" si="26"/>
        <v>0</v>
      </c>
      <c r="CB16" s="79">
        <f t="shared" si="51"/>
        <v>0</v>
      </c>
      <c r="CC16" s="79"/>
      <c r="CD16" s="84">
        <f t="shared" si="27"/>
        <v>0</v>
      </c>
      <c r="CE16" s="79">
        <f t="shared" si="52"/>
        <v>0</v>
      </c>
      <c r="CF16" s="79"/>
      <c r="CG16" s="84">
        <f t="shared" si="28"/>
        <v>0</v>
      </c>
      <c r="CH16" s="79">
        <f t="shared" si="53"/>
        <v>0</v>
      </c>
      <c r="CI16" s="79"/>
      <c r="CJ16" s="84">
        <f t="shared" si="29"/>
        <v>0</v>
      </c>
      <c r="CK16" s="79">
        <f t="shared" si="54"/>
        <v>0</v>
      </c>
      <c r="CL16" s="79"/>
      <c r="CM16" s="84">
        <f t="shared" si="30"/>
        <v>0</v>
      </c>
      <c r="CN16" s="79">
        <f t="shared" si="55"/>
        <v>0</v>
      </c>
      <c r="CO16" s="79"/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0</v>
      </c>
      <c r="C17" s="75"/>
      <c r="D17" s="76">
        <f t="shared" si="0"/>
        <v>0</v>
      </c>
      <c r="E17" s="77">
        <f t="shared" si="56"/>
        <v>0</v>
      </c>
      <c r="F17" s="77"/>
      <c r="G17" s="77">
        <f t="shared" si="33"/>
        <v>0</v>
      </c>
      <c r="H17" s="79">
        <f t="shared" si="34"/>
        <v>0</v>
      </c>
      <c r="I17" s="79"/>
      <c r="J17" s="84">
        <f t="shared" si="1"/>
        <v>0</v>
      </c>
      <c r="K17" s="79">
        <f t="shared" si="57"/>
        <v>0</v>
      </c>
      <c r="L17" s="79"/>
      <c r="M17" s="84">
        <f t="shared" si="2"/>
        <v>0</v>
      </c>
      <c r="N17" s="79">
        <f t="shared" si="58"/>
        <v>0</v>
      </c>
      <c r="O17" s="79"/>
      <c r="P17" s="84">
        <f t="shared" si="3"/>
        <v>0</v>
      </c>
      <c r="Q17" s="79">
        <f t="shared" si="35"/>
        <v>0</v>
      </c>
      <c r="R17" s="79"/>
      <c r="S17" s="84">
        <f t="shared" si="4"/>
        <v>0</v>
      </c>
      <c r="T17" s="79">
        <f t="shared" si="59"/>
        <v>0</v>
      </c>
      <c r="U17" s="79"/>
      <c r="V17" s="84">
        <f t="shared" si="5"/>
        <v>0</v>
      </c>
      <c r="W17" s="79">
        <f t="shared" si="60"/>
        <v>0</v>
      </c>
      <c r="X17" s="79"/>
      <c r="Y17" s="84">
        <f t="shared" si="6"/>
        <v>0</v>
      </c>
      <c r="Z17" s="79">
        <f t="shared" si="61"/>
        <v>0</v>
      </c>
      <c r="AA17" s="79"/>
      <c r="AB17" s="84">
        <f t="shared" si="7"/>
        <v>0</v>
      </c>
      <c r="AC17" s="79">
        <f t="shared" si="8"/>
        <v>0</v>
      </c>
      <c r="AD17" s="79"/>
      <c r="AE17" s="84">
        <f t="shared" si="9"/>
        <v>0</v>
      </c>
      <c r="AF17" s="79">
        <f t="shared" si="10"/>
        <v>0</v>
      </c>
      <c r="AG17" s="79"/>
      <c r="AH17" s="84">
        <f t="shared" si="11"/>
        <v>0</v>
      </c>
      <c r="AI17" s="79">
        <f t="shared" si="12"/>
        <v>0</v>
      </c>
      <c r="AJ17" s="79"/>
      <c r="AK17" s="84">
        <f t="shared" si="13"/>
        <v>0</v>
      </c>
      <c r="AL17" s="79">
        <f t="shared" si="36"/>
        <v>0</v>
      </c>
      <c r="AM17" s="79"/>
      <c r="AN17" s="84">
        <f t="shared" si="14"/>
        <v>0</v>
      </c>
      <c r="AO17" s="79">
        <f t="shared" si="37"/>
        <v>0</v>
      </c>
      <c r="AP17" s="79"/>
      <c r="AQ17" s="84">
        <f t="shared" si="15"/>
        <v>0</v>
      </c>
      <c r="AR17" s="79">
        <f t="shared" si="38"/>
        <v>0</v>
      </c>
      <c r="AS17" s="79"/>
      <c r="AT17" s="84">
        <f t="shared" si="16"/>
        <v>0</v>
      </c>
      <c r="AU17" s="79">
        <f t="shared" si="39"/>
        <v>0</v>
      </c>
      <c r="AV17" s="79"/>
      <c r="AW17" s="84">
        <f t="shared" si="17"/>
        <v>0</v>
      </c>
      <c r="AX17" s="79">
        <f t="shared" si="40"/>
        <v>0</v>
      </c>
      <c r="AY17" s="79"/>
      <c r="AZ17" s="84">
        <f t="shared" si="18"/>
        <v>0</v>
      </c>
      <c r="BA17" s="79">
        <f t="shared" si="41"/>
        <v>0</v>
      </c>
      <c r="BB17" s="79"/>
      <c r="BC17" s="84">
        <f t="shared" si="19"/>
        <v>0</v>
      </c>
      <c r="BD17" s="84">
        <f t="shared" si="42"/>
        <v>0</v>
      </c>
      <c r="BE17" s="84"/>
      <c r="BF17" s="84">
        <f t="shared" si="43"/>
        <v>0</v>
      </c>
      <c r="BG17" s="79">
        <f t="shared" si="44"/>
        <v>0</v>
      </c>
      <c r="BH17" s="79"/>
      <c r="BI17" s="208">
        <f t="shared" si="20"/>
        <v>0</v>
      </c>
      <c r="BJ17" s="79">
        <f t="shared" si="45"/>
        <v>0</v>
      </c>
      <c r="BK17" s="79"/>
      <c r="BL17" s="84">
        <f t="shared" si="21"/>
        <v>0</v>
      </c>
      <c r="BM17" s="79">
        <f t="shared" si="46"/>
        <v>0</v>
      </c>
      <c r="BN17" s="79"/>
      <c r="BO17" s="84">
        <f t="shared" si="22"/>
        <v>0</v>
      </c>
      <c r="BP17" s="79">
        <f t="shared" si="47"/>
        <v>0</v>
      </c>
      <c r="BQ17" s="79"/>
      <c r="BR17" s="84">
        <f t="shared" si="23"/>
        <v>0</v>
      </c>
      <c r="BS17" s="79">
        <f t="shared" si="48"/>
        <v>0</v>
      </c>
      <c r="BT17" s="79"/>
      <c r="BU17" s="84">
        <f t="shared" si="24"/>
        <v>0</v>
      </c>
      <c r="BV17" s="79">
        <f t="shared" si="49"/>
        <v>0</v>
      </c>
      <c r="BW17" s="79"/>
      <c r="BX17" s="84">
        <f t="shared" si="25"/>
        <v>0</v>
      </c>
      <c r="BY17" s="79">
        <f t="shared" si="50"/>
        <v>0</v>
      </c>
      <c r="BZ17" s="79"/>
      <c r="CA17" s="84">
        <f t="shared" si="26"/>
        <v>0</v>
      </c>
      <c r="CB17" s="79">
        <f t="shared" si="51"/>
        <v>0</v>
      </c>
      <c r="CC17" s="79"/>
      <c r="CD17" s="84">
        <f t="shared" si="27"/>
        <v>0</v>
      </c>
      <c r="CE17" s="79">
        <f t="shared" si="52"/>
        <v>0</v>
      </c>
      <c r="CF17" s="79"/>
      <c r="CG17" s="84">
        <f t="shared" si="28"/>
        <v>0</v>
      </c>
      <c r="CH17" s="79">
        <f t="shared" si="53"/>
        <v>0</v>
      </c>
      <c r="CI17" s="79"/>
      <c r="CJ17" s="84">
        <f t="shared" si="29"/>
        <v>0</v>
      </c>
      <c r="CK17" s="79">
        <f t="shared" si="54"/>
        <v>0</v>
      </c>
      <c r="CL17" s="79"/>
      <c r="CM17" s="84">
        <f t="shared" si="30"/>
        <v>0</v>
      </c>
      <c r="CN17" s="79">
        <f t="shared" si="55"/>
        <v>0</v>
      </c>
      <c r="CO17" s="79"/>
      <c r="CP17" s="84">
        <f t="shared" si="31"/>
        <v>0</v>
      </c>
    </row>
    <row r="18" spans="1:1028" s="3" customFormat="1" ht="13.5" customHeight="1" x14ac:dyDescent="0.2">
      <c r="A18" s="98">
        <v>10</v>
      </c>
      <c r="B18" s="75">
        <f t="shared" si="32"/>
        <v>0</v>
      </c>
      <c r="C18" s="75"/>
      <c r="D18" s="76">
        <f t="shared" si="0"/>
        <v>0</v>
      </c>
      <c r="E18" s="77">
        <f t="shared" si="56"/>
        <v>0</v>
      </c>
      <c r="F18" s="77"/>
      <c r="G18" s="77">
        <f t="shared" si="33"/>
        <v>0</v>
      </c>
      <c r="H18" s="79">
        <f t="shared" si="34"/>
        <v>0</v>
      </c>
      <c r="I18" s="79"/>
      <c r="J18" s="84">
        <f t="shared" si="1"/>
        <v>0</v>
      </c>
      <c r="K18" s="79">
        <f t="shared" si="57"/>
        <v>0</v>
      </c>
      <c r="L18" s="79"/>
      <c r="M18" s="84">
        <f t="shared" si="2"/>
        <v>0</v>
      </c>
      <c r="N18" s="79">
        <f t="shared" si="58"/>
        <v>0</v>
      </c>
      <c r="O18" s="79"/>
      <c r="P18" s="84">
        <f t="shared" si="3"/>
        <v>0</v>
      </c>
      <c r="Q18" s="79">
        <f t="shared" si="35"/>
        <v>0</v>
      </c>
      <c r="R18" s="79"/>
      <c r="S18" s="84">
        <f t="shared" si="4"/>
        <v>0</v>
      </c>
      <c r="T18" s="79">
        <f t="shared" si="59"/>
        <v>0</v>
      </c>
      <c r="U18" s="79"/>
      <c r="V18" s="84">
        <f t="shared" si="5"/>
        <v>0</v>
      </c>
      <c r="W18" s="79">
        <f t="shared" si="60"/>
        <v>0</v>
      </c>
      <c r="X18" s="79"/>
      <c r="Y18" s="84">
        <f t="shared" si="6"/>
        <v>0</v>
      </c>
      <c r="Z18" s="79">
        <f t="shared" si="61"/>
        <v>0</v>
      </c>
      <c r="AA18" s="79"/>
      <c r="AB18" s="84">
        <f t="shared" si="7"/>
        <v>0</v>
      </c>
      <c r="AC18" s="79">
        <f t="shared" si="8"/>
        <v>0</v>
      </c>
      <c r="AD18" s="79"/>
      <c r="AE18" s="84">
        <f t="shared" si="9"/>
        <v>0</v>
      </c>
      <c r="AF18" s="79">
        <f t="shared" si="10"/>
        <v>0</v>
      </c>
      <c r="AG18" s="79"/>
      <c r="AH18" s="84">
        <f t="shared" si="11"/>
        <v>0</v>
      </c>
      <c r="AI18" s="79">
        <f t="shared" si="12"/>
        <v>0</v>
      </c>
      <c r="AJ18" s="79"/>
      <c r="AK18" s="84">
        <f t="shared" si="13"/>
        <v>0</v>
      </c>
      <c r="AL18" s="79">
        <f t="shared" si="36"/>
        <v>0</v>
      </c>
      <c r="AM18" s="79"/>
      <c r="AN18" s="84">
        <f t="shared" si="14"/>
        <v>0</v>
      </c>
      <c r="AO18" s="79">
        <f t="shared" si="37"/>
        <v>0</v>
      </c>
      <c r="AP18" s="79"/>
      <c r="AQ18" s="84">
        <f t="shared" si="15"/>
        <v>0</v>
      </c>
      <c r="AR18" s="79">
        <f t="shared" si="38"/>
        <v>0</v>
      </c>
      <c r="AS18" s="79"/>
      <c r="AT18" s="84">
        <f t="shared" si="16"/>
        <v>0</v>
      </c>
      <c r="AU18" s="79">
        <f t="shared" si="39"/>
        <v>0</v>
      </c>
      <c r="AV18" s="79"/>
      <c r="AW18" s="84">
        <f t="shared" si="17"/>
        <v>0</v>
      </c>
      <c r="AX18" s="79">
        <f t="shared" si="40"/>
        <v>0</v>
      </c>
      <c r="AY18" s="79"/>
      <c r="AZ18" s="84">
        <f t="shared" si="18"/>
        <v>0</v>
      </c>
      <c r="BA18" s="79">
        <f t="shared" si="41"/>
        <v>0</v>
      </c>
      <c r="BB18" s="79"/>
      <c r="BC18" s="84">
        <f t="shared" si="19"/>
        <v>0</v>
      </c>
      <c r="BD18" s="84">
        <f t="shared" si="42"/>
        <v>0</v>
      </c>
      <c r="BE18" s="84"/>
      <c r="BF18" s="84">
        <f t="shared" si="43"/>
        <v>0</v>
      </c>
      <c r="BG18" s="79">
        <f t="shared" si="44"/>
        <v>0</v>
      </c>
      <c r="BH18" s="79"/>
      <c r="BI18" s="208">
        <f t="shared" si="20"/>
        <v>0</v>
      </c>
      <c r="BJ18" s="79">
        <f t="shared" si="45"/>
        <v>0</v>
      </c>
      <c r="BK18" s="79"/>
      <c r="BL18" s="84">
        <f t="shared" si="21"/>
        <v>0</v>
      </c>
      <c r="BM18" s="79">
        <f t="shared" si="46"/>
        <v>0</v>
      </c>
      <c r="BN18" s="79"/>
      <c r="BO18" s="84">
        <f t="shared" si="22"/>
        <v>0</v>
      </c>
      <c r="BP18" s="79">
        <f t="shared" si="47"/>
        <v>0</v>
      </c>
      <c r="BQ18" s="79"/>
      <c r="BR18" s="84">
        <f t="shared" si="23"/>
        <v>0</v>
      </c>
      <c r="BS18" s="79">
        <f t="shared" si="48"/>
        <v>0</v>
      </c>
      <c r="BT18" s="79"/>
      <c r="BU18" s="84">
        <f t="shared" si="24"/>
        <v>0</v>
      </c>
      <c r="BV18" s="79">
        <f t="shared" si="49"/>
        <v>0</v>
      </c>
      <c r="BW18" s="79"/>
      <c r="BX18" s="84">
        <f t="shared" si="25"/>
        <v>0</v>
      </c>
      <c r="BY18" s="79">
        <f t="shared" si="50"/>
        <v>0</v>
      </c>
      <c r="BZ18" s="79"/>
      <c r="CA18" s="84">
        <f t="shared" si="26"/>
        <v>0</v>
      </c>
      <c r="CB18" s="79">
        <f t="shared" si="51"/>
        <v>0</v>
      </c>
      <c r="CC18" s="79"/>
      <c r="CD18" s="84">
        <f t="shared" si="27"/>
        <v>0</v>
      </c>
      <c r="CE18" s="79">
        <f t="shared" si="52"/>
        <v>0</v>
      </c>
      <c r="CF18" s="79"/>
      <c r="CG18" s="84">
        <f t="shared" si="28"/>
        <v>0</v>
      </c>
      <c r="CH18" s="79">
        <f t="shared" si="53"/>
        <v>0</v>
      </c>
      <c r="CI18" s="79"/>
      <c r="CJ18" s="84">
        <f t="shared" si="29"/>
        <v>0</v>
      </c>
      <c r="CK18" s="79">
        <f t="shared" si="54"/>
        <v>0</v>
      </c>
      <c r="CL18" s="79"/>
      <c r="CM18" s="84">
        <f t="shared" si="30"/>
        <v>0</v>
      </c>
      <c r="CN18" s="79">
        <f t="shared" si="55"/>
        <v>0</v>
      </c>
      <c r="CO18" s="79"/>
      <c r="CP18" s="84">
        <f t="shared" si="31"/>
        <v>0</v>
      </c>
    </row>
    <row r="19" spans="1:1028" s="3" customFormat="1" ht="13.5" customHeight="1" x14ac:dyDescent="0.2">
      <c r="A19" s="98">
        <v>11</v>
      </c>
      <c r="B19" s="75">
        <f t="shared" si="32"/>
        <v>0</v>
      </c>
      <c r="C19" s="75"/>
      <c r="D19" s="76">
        <f t="shared" si="0"/>
        <v>0</v>
      </c>
      <c r="E19" s="77">
        <f t="shared" si="56"/>
        <v>0</v>
      </c>
      <c r="F19" s="77"/>
      <c r="G19" s="77">
        <f t="shared" si="33"/>
        <v>0</v>
      </c>
      <c r="H19" s="79">
        <f t="shared" si="34"/>
        <v>0</v>
      </c>
      <c r="I19" s="79"/>
      <c r="J19" s="84">
        <f t="shared" si="1"/>
        <v>0</v>
      </c>
      <c r="K19" s="79">
        <f t="shared" si="57"/>
        <v>0</v>
      </c>
      <c r="L19" s="79"/>
      <c r="M19" s="84">
        <f t="shared" si="2"/>
        <v>0</v>
      </c>
      <c r="N19" s="79">
        <f t="shared" si="58"/>
        <v>0</v>
      </c>
      <c r="O19" s="79"/>
      <c r="P19" s="84">
        <f t="shared" si="3"/>
        <v>0</v>
      </c>
      <c r="Q19" s="79">
        <f t="shared" si="35"/>
        <v>0</v>
      </c>
      <c r="R19" s="79"/>
      <c r="S19" s="84">
        <f t="shared" si="4"/>
        <v>0</v>
      </c>
      <c r="T19" s="79">
        <f t="shared" si="59"/>
        <v>0</v>
      </c>
      <c r="U19" s="79"/>
      <c r="V19" s="84">
        <f t="shared" si="5"/>
        <v>0</v>
      </c>
      <c r="W19" s="79">
        <f t="shared" si="60"/>
        <v>0</v>
      </c>
      <c r="X19" s="79"/>
      <c r="Y19" s="84">
        <f t="shared" si="6"/>
        <v>0</v>
      </c>
      <c r="Z19" s="79">
        <f t="shared" si="61"/>
        <v>0</v>
      </c>
      <c r="AA19" s="79"/>
      <c r="AB19" s="84">
        <f t="shared" si="7"/>
        <v>0</v>
      </c>
      <c r="AC19" s="79">
        <f t="shared" si="8"/>
        <v>0</v>
      </c>
      <c r="AD19" s="79"/>
      <c r="AE19" s="84">
        <f t="shared" si="9"/>
        <v>0</v>
      </c>
      <c r="AF19" s="79">
        <f t="shared" si="10"/>
        <v>0</v>
      </c>
      <c r="AG19" s="79"/>
      <c r="AH19" s="84">
        <f t="shared" si="11"/>
        <v>0</v>
      </c>
      <c r="AI19" s="79">
        <f t="shared" si="12"/>
        <v>0</v>
      </c>
      <c r="AJ19" s="79"/>
      <c r="AK19" s="84">
        <f t="shared" si="13"/>
        <v>0</v>
      </c>
      <c r="AL19" s="79">
        <f t="shared" si="36"/>
        <v>0</v>
      </c>
      <c r="AM19" s="79"/>
      <c r="AN19" s="84">
        <f t="shared" si="14"/>
        <v>0</v>
      </c>
      <c r="AO19" s="79">
        <f t="shared" si="37"/>
        <v>0</v>
      </c>
      <c r="AP19" s="79"/>
      <c r="AQ19" s="84">
        <f t="shared" si="15"/>
        <v>0</v>
      </c>
      <c r="AR19" s="79">
        <f t="shared" si="38"/>
        <v>0</v>
      </c>
      <c r="AS19" s="79"/>
      <c r="AT19" s="84">
        <f t="shared" si="16"/>
        <v>0</v>
      </c>
      <c r="AU19" s="79">
        <f t="shared" si="39"/>
        <v>0</v>
      </c>
      <c r="AV19" s="79"/>
      <c r="AW19" s="84">
        <f t="shared" si="17"/>
        <v>0</v>
      </c>
      <c r="AX19" s="79">
        <f t="shared" si="40"/>
        <v>0</v>
      </c>
      <c r="AY19" s="79"/>
      <c r="AZ19" s="84">
        <f t="shared" si="18"/>
        <v>0</v>
      </c>
      <c r="BA19" s="79">
        <f t="shared" si="41"/>
        <v>0</v>
      </c>
      <c r="BB19" s="79"/>
      <c r="BC19" s="84">
        <f t="shared" si="19"/>
        <v>0</v>
      </c>
      <c r="BD19" s="84">
        <f t="shared" si="42"/>
        <v>0</v>
      </c>
      <c r="BE19" s="84"/>
      <c r="BF19" s="84">
        <f t="shared" si="43"/>
        <v>0</v>
      </c>
      <c r="BG19" s="79">
        <f t="shared" si="44"/>
        <v>0</v>
      </c>
      <c r="BH19" s="79"/>
      <c r="BI19" s="208">
        <f t="shared" si="20"/>
        <v>0</v>
      </c>
      <c r="BJ19" s="79">
        <f t="shared" si="45"/>
        <v>0</v>
      </c>
      <c r="BK19" s="79"/>
      <c r="BL19" s="84">
        <f t="shared" si="21"/>
        <v>0</v>
      </c>
      <c r="BM19" s="79">
        <f t="shared" si="46"/>
        <v>0</v>
      </c>
      <c r="BN19" s="79"/>
      <c r="BO19" s="84">
        <f t="shared" si="22"/>
        <v>0</v>
      </c>
      <c r="BP19" s="79">
        <f t="shared" si="47"/>
        <v>0</v>
      </c>
      <c r="BQ19" s="79"/>
      <c r="BR19" s="84">
        <f t="shared" si="23"/>
        <v>0</v>
      </c>
      <c r="BS19" s="79">
        <f t="shared" si="48"/>
        <v>0</v>
      </c>
      <c r="BT19" s="79"/>
      <c r="BU19" s="84">
        <f t="shared" si="24"/>
        <v>0</v>
      </c>
      <c r="BV19" s="79">
        <f t="shared" si="49"/>
        <v>0</v>
      </c>
      <c r="BW19" s="79"/>
      <c r="BX19" s="84">
        <f t="shared" si="25"/>
        <v>0</v>
      </c>
      <c r="BY19" s="79">
        <f t="shared" si="50"/>
        <v>0</v>
      </c>
      <c r="BZ19" s="79"/>
      <c r="CA19" s="84">
        <f t="shared" si="26"/>
        <v>0</v>
      </c>
      <c r="CB19" s="79">
        <f t="shared" si="51"/>
        <v>0</v>
      </c>
      <c r="CC19" s="79"/>
      <c r="CD19" s="84">
        <f t="shared" si="27"/>
        <v>0</v>
      </c>
      <c r="CE19" s="79">
        <f t="shared" si="52"/>
        <v>0</v>
      </c>
      <c r="CF19" s="79"/>
      <c r="CG19" s="84">
        <f t="shared" si="28"/>
        <v>0</v>
      </c>
      <c r="CH19" s="79">
        <f t="shared" si="53"/>
        <v>0</v>
      </c>
      <c r="CI19" s="79"/>
      <c r="CJ19" s="84">
        <f t="shared" si="29"/>
        <v>0</v>
      </c>
      <c r="CK19" s="79">
        <f t="shared" si="54"/>
        <v>0</v>
      </c>
      <c r="CL19" s="79"/>
      <c r="CM19" s="84">
        <f t="shared" si="30"/>
        <v>0</v>
      </c>
      <c r="CN19" s="79">
        <f t="shared" si="55"/>
        <v>0</v>
      </c>
      <c r="CO19" s="79"/>
      <c r="CP19" s="84">
        <f t="shared" si="31"/>
        <v>0</v>
      </c>
    </row>
    <row r="20" spans="1:1028" s="3" customFormat="1" ht="13.5" customHeight="1" x14ac:dyDescent="0.2">
      <c r="A20" s="98">
        <v>12</v>
      </c>
      <c r="B20" s="75">
        <f t="shared" si="32"/>
        <v>0</v>
      </c>
      <c r="C20" s="75"/>
      <c r="D20" s="76">
        <f t="shared" si="0"/>
        <v>0</v>
      </c>
      <c r="E20" s="77">
        <f t="shared" si="56"/>
        <v>0</v>
      </c>
      <c r="F20" s="77"/>
      <c r="G20" s="77">
        <f t="shared" si="33"/>
        <v>0</v>
      </c>
      <c r="H20" s="79">
        <f t="shared" si="34"/>
        <v>0</v>
      </c>
      <c r="I20" s="79"/>
      <c r="J20" s="84">
        <f t="shared" si="1"/>
        <v>0</v>
      </c>
      <c r="K20" s="79">
        <f t="shared" si="57"/>
        <v>0</v>
      </c>
      <c r="L20" s="79"/>
      <c r="M20" s="84">
        <f t="shared" si="2"/>
        <v>0</v>
      </c>
      <c r="N20" s="79">
        <f t="shared" si="58"/>
        <v>0</v>
      </c>
      <c r="O20" s="79"/>
      <c r="P20" s="84">
        <f t="shared" si="3"/>
        <v>0</v>
      </c>
      <c r="Q20" s="79">
        <f t="shared" si="35"/>
        <v>0</v>
      </c>
      <c r="R20" s="79"/>
      <c r="S20" s="84">
        <f t="shared" si="4"/>
        <v>0</v>
      </c>
      <c r="T20" s="79">
        <f t="shared" si="59"/>
        <v>0</v>
      </c>
      <c r="U20" s="79"/>
      <c r="V20" s="84">
        <f t="shared" si="5"/>
        <v>0</v>
      </c>
      <c r="W20" s="79">
        <f t="shared" si="60"/>
        <v>0</v>
      </c>
      <c r="X20" s="79"/>
      <c r="Y20" s="84">
        <f t="shared" si="6"/>
        <v>0</v>
      </c>
      <c r="Z20" s="79">
        <f t="shared" si="61"/>
        <v>0</v>
      </c>
      <c r="AA20" s="79"/>
      <c r="AB20" s="84">
        <f t="shared" si="7"/>
        <v>0</v>
      </c>
      <c r="AC20" s="79">
        <f t="shared" si="8"/>
        <v>0</v>
      </c>
      <c r="AD20" s="79"/>
      <c r="AE20" s="84">
        <f t="shared" si="9"/>
        <v>0</v>
      </c>
      <c r="AF20" s="79">
        <f t="shared" si="10"/>
        <v>0</v>
      </c>
      <c r="AG20" s="79"/>
      <c r="AH20" s="84">
        <f t="shared" si="11"/>
        <v>0</v>
      </c>
      <c r="AI20" s="79">
        <f t="shared" si="12"/>
        <v>0</v>
      </c>
      <c r="AJ20" s="79"/>
      <c r="AK20" s="84">
        <f t="shared" si="13"/>
        <v>0</v>
      </c>
      <c r="AL20" s="79">
        <f t="shared" si="36"/>
        <v>0</v>
      </c>
      <c r="AM20" s="79"/>
      <c r="AN20" s="84">
        <f t="shared" si="14"/>
        <v>0</v>
      </c>
      <c r="AO20" s="79">
        <f t="shared" si="37"/>
        <v>0</v>
      </c>
      <c r="AP20" s="79"/>
      <c r="AQ20" s="84">
        <f t="shared" si="15"/>
        <v>0</v>
      </c>
      <c r="AR20" s="79">
        <f t="shared" si="38"/>
        <v>0</v>
      </c>
      <c r="AS20" s="79"/>
      <c r="AT20" s="84">
        <f t="shared" si="16"/>
        <v>0</v>
      </c>
      <c r="AU20" s="79">
        <f t="shared" si="39"/>
        <v>0</v>
      </c>
      <c r="AV20" s="79"/>
      <c r="AW20" s="84">
        <f t="shared" si="17"/>
        <v>0</v>
      </c>
      <c r="AX20" s="79">
        <f t="shared" si="40"/>
        <v>0</v>
      </c>
      <c r="AY20" s="79"/>
      <c r="AZ20" s="84">
        <f t="shared" si="18"/>
        <v>0</v>
      </c>
      <c r="BA20" s="79">
        <f t="shared" si="41"/>
        <v>0</v>
      </c>
      <c r="BB20" s="79"/>
      <c r="BC20" s="84">
        <f t="shared" si="19"/>
        <v>0</v>
      </c>
      <c r="BD20" s="84">
        <f t="shared" si="42"/>
        <v>0</v>
      </c>
      <c r="BE20" s="84"/>
      <c r="BF20" s="84">
        <f t="shared" si="43"/>
        <v>0</v>
      </c>
      <c r="BG20" s="79">
        <f t="shared" si="44"/>
        <v>0</v>
      </c>
      <c r="BH20" s="79"/>
      <c r="BI20" s="208">
        <f t="shared" si="20"/>
        <v>0</v>
      </c>
      <c r="BJ20" s="79">
        <f t="shared" si="45"/>
        <v>0</v>
      </c>
      <c r="BK20" s="79"/>
      <c r="BL20" s="84">
        <f t="shared" si="21"/>
        <v>0</v>
      </c>
      <c r="BM20" s="79">
        <f t="shared" si="46"/>
        <v>0</v>
      </c>
      <c r="BN20" s="79"/>
      <c r="BO20" s="84">
        <f t="shared" si="22"/>
        <v>0</v>
      </c>
      <c r="BP20" s="79">
        <f t="shared" si="47"/>
        <v>0</v>
      </c>
      <c r="BQ20" s="79"/>
      <c r="BR20" s="84">
        <f t="shared" si="23"/>
        <v>0</v>
      </c>
      <c r="BS20" s="79">
        <f t="shared" si="48"/>
        <v>0</v>
      </c>
      <c r="BT20" s="79"/>
      <c r="BU20" s="84">
        <f t="shared" si="24"/>
        <v>0</v>
      </c>
      <c r="BV20" s="79">
        <f t="shared" si="49"/>
        <v>0</v>
      </c>
      <c r="BW20" s="79"/>
      <c r="BX20" s="84">
        <f t="shared" si="25"/>
        <v>0</v>
      </c>
      <c r="BY20" s="79">
        <f t="shared" si="50"/>
        <v>0</v>
      </c>
      <c r="BZ20" s="79"/>
      <c r="CA20" s="84">
        <f t="shared" si="26"/>
        <v>0</v>
      </c>
      <c r="CB20" s="79">
        <f t="shared" si="51"/>
        <v>0</v>
      </c>
      <c r="CC20" s="79"/>
      <c r="CD20" s="84">
        <f t="shared" si="27"/>
        <v>0</v>
      </c>
      <c r="CE20" s="79">
        <f t="shared" si="52"/>
        <v>0</v>
      </c>
      <c r="CF20" s="79"/>
      <c r="CG20" s="84">
        <f t="shared" si="28"/>
        <v>0</v>
      </c>
      <c r="CH20" s="79">
        <f t="shared" si="53"/>
        <v>0</v>
      </c>
      <c r="CI20" s="79"/>
      <c r="CJ20" s="84">
        <f t="shared" si="29"/>
        <v>0</v>
      </c>
      <c r="CK20" s="79">
        <f t="shared" si="54"/>
        <v>0</v>
      </c>
      <c r="CL20" s="79"/>
      <c r="CM20" s="84">
        <f t="shared" si="30"/>
        <v>0</v>
      </c>
      <c r="CN20" s="79">
        <f t="shared" si="55"/>
        <v>0</v>
      </c>
      <c r="CO20" s="79"/>
      <c r="CP20" s="84">
        <f t="shared" si="31"/>
        <v>0</v>
      </c>
    </row>
    <row r="21" spans="1:1028" s="3" customFormat="1" ht="13.5" customHeight="1" x14ac:dyDescent="0.2">
      <c r="A21" s="98">
        <v>13</v>
      </c>
      <c r="B21" s="75">
        <f t="shared" si="32"/>
        <v>0</v>
      </c>
      <c r="C21" s="75"/>
      <c r="D21" s="76">
        <f t="shared" si="0"/>
        <v>0</v>
      </c>
      <c r="E21" s="77">
        <f t="shared" si="56"/>
        <v>0</v>
      </c>
      <c r="F21" s="77"/>
      <c r="G21" s="77">
        <f t="shared" si="33"/>
        <v>0</v>
      </c>
      <c r="H21" s="79">
        <f t="shared" si="34"/>
        <v>0</v>
      </c>
      <c r="I21" s="79"/>
      <c r="J21" s="84">
        <f t="shared" si="1"/>
        <v>0</v>
      </c>
      <c r="K21" s="79">
        <f t="shared" si="57"/>
        <v>0</v>
      </c>
      <c r="L21" s="79"/>
      <c r="M21" s="84">
        <f t="shared" si="2"/>
        <v>0</v>
      </c>
      <c r="N21" s="79">
        <f t="shared" si="58"/>
        <v>0</v>
      </c>
      <c r="O21" s="79"/>
      <c r="P21" s="84">
        <f t="shared" si="3"/>
        <v>0</v>
      </c>
      <c r="Q21" s="79">
        <f t="shared" si="35"/>
        <v>0</v>
      </c>
      <c r="R21" s="79"/>
      <c r="S21" s="84">
        <f t="shared" si="4"/>
        <v>0</v>
      </c>
      <c r="T21" s="79">
        <f t="shared" si="59"/>
        <v>0</v>
      </c>
      <c r="U21" s="79"/>
      <c r="V21" s="84">
        <f t="shared" si="5"/>
        <v>0</v>
      </c>
      <c r="W21" s="79">
        <f t="shared" si="60"/>
        <v>0</v>
      </c>
      <c r="X21" s="79"/>
      <c r="Y21" s="84">
        <f t="shared" si="6"/>
        <v>0</v>
      </c>
      <c r="Z21" s="79">
        <f t="shared" si="61"/>
        <v>0</v>
      </c>
      <c r="AA21" s="79"/>
      <c r="AB21" s="84">
        <f t="shared" si="7"/>
        <v>0</v>
      </c>
      <c r="AC21" s="79">
        <f t="shared" si="8"/>
        <v>0</v>
      </c>
      <c r="AD21" s="79"/>
      <c r="AE21" s="84">
        <f t="shared" si="9"/>
        <v>0</v>
      </c>
      <c r="AF21" s="79">
        <f t="shared" si="10"/>
        <v>0</v>
      </c>
      <c r="AG21" s="79"/>
      <c r="AH21" s="84">
        <f t="shared" si="11"/>
        <v>0</v>
      </c>
      <c r="AI21" s="79">
        <f t="shared" si="12"/>
        <v>0</v>
      </c>
      <c r="AJ21" s="79"/>
      <c r="AK21" s="84">
        <f t="shared" si="13"/>
        <v>0</v>
      </c>
      <c r="AL21" s="79">
        <f t="shared" si="36"/>
        <v>0</v>
      </c>
      <c r="AM21" s="79"/>
      <c r="AN21" s="84">
        <f t="shared" si="14"/>
        <v>0</v>
      </c>
      <c r="AO21" s="79">
        <f t="shared" si="37"/>
        <v>0</v>
      </c>
      <c r="AP21" s="79"/>
      <c r="AQ21" s="84">
        <f t="shared" si="15"/>
        <v>0</v>
      </c>
      <c r="AR21" s="79">
        <f t="shared" si="38"/>
        <v>0</v>
      </c>
      <c r="AS21" s="79"/>
      <c r="AT21" s="84">
        <f t="shared" si="16"/>
        <v>0</v>
      </c>
      <c r="AU21" s="79">
        <f t="shared" si="39"/>
        <v>0</v>
      </c>
      <c r="AV21" s="79"/>
      <c r="AW21" s="84">
        <f t="shared" si="17"/>
        <v>0</v>
      </c>
      <c r="AX21" s="79">
        <f t="shared" si="40"/>
        <v>0</v>
      </c>
      <c r="AY21" s="79"/>
      <c r="AZ21" s="84">
        <f t="shared" si="18"/>
        <v>0</v>
      </c>
      <c r="BA21" s="79">
        <f t="shared" si="41"/>
        <v>0</v>
      </c>
      <c r="BB21" s="79"/>
      <c r="BC21" s="84">
        <f t="shared" si="19"/>
        <v>0</v>
      </c>
      <c r="BD21" s="84">
        <f t="shared" si="42"/>
        <v>0</v>
      </c>
      <c r="BE21" s="84"/>
      <c r="BF21" s="84">
        <f t="shared" si="43"/>
        <v>0</v>
      </c>
      <c r="BG21" s="79">
        <f t="shared" si="44"/>
        <v>0</v>
      </c>
      <c r="BH21" s="79"/>
      <c r="BI21" s="208">
        <f t="shared" si="20"/>
        <v>0</v>
      </c>
      <c r="BJ21" s="79">
        <f t="shared" si="45"/>
        <v>0</v>
      </c>
      <c r="BK21" s="79"/>
      <c r="BL21" s="84">
        <f t="shared" si="21"/>
        <v>0</v>
      </c>
      <c r="BM21" s="79">
        <f t="shared" si="46"/>
        <v>0</v>
      </c>
      <c r="BN21" s="79"/>
      <c r="BO21" s="84">
        <f t="shared" si="22"/>
        <v>0</v>
      </c>
      <c r="BP21" s="79">
        <f t="shared" si="47"/>
        <v>0</v>
      </c>
      <c r="BQ21" s="79"/>
      <c r="BR21" s="84">
        <f t="shared" si="23"/>
        <v>0</v>
      </c>
      <c r="BS21" s="79">
        <f t="shared" si="48"/>
        <v>0</v>
      </c>
      <c r="BT21" s="79"/>
      <c r="BU21" s="84">
        <f t="shared" si="24"/>
        <v>0</v>
      </c>
      <c r="BV21" s="79">
        <f t="shared" si="49"/>
        <v>0</v>
      </c>
      <c r="BW21" s="79"/>
      <c r="BX21" s="84">
        <f t="shared" si="25"/>
        <v>0</v>
      </c>
      <c r="BY21" s="79">
        <f t="shared" si="50"/>
        <v>0</v>
      </c>
      <c r="BZ21" s="79"/>
      <c r="CA21" s="84">
        <f t="shared" si="26"/>
        <v>0</v>
      </c>
      <c r="CB21" s="79">
        <f t="shared" si="51"/>
        <v>0</v>
      </c>
      <c r="CC21" s="79"/>
      <c r="CD21" s="84">
        <f t="shared" si="27"/>
        <v>0</v>
      </c>
      <c r="CE21" s="79">
        <f t="shared" si="52"/>
        <v>0</v>
      </c>
      <c r="CF21" s="79"/>
      <c r="CG21" s="84">
        <f t="shared" si="28"/>
        <v>0</v>
      </c>
      <c r="CH21" s="79">
        <f t="shared" si="53"/>
        <v>0</v>
      </c>
      <c r="CI21" s="79"/>
      <c r="CJ21" s="84">
        <f t="shared" si="29"/>
        <v>0</v>
      </c>
      <c r="CK21" s="79">
        <f t="shared" si="54"/>
        <v>0</v>
      </c>
      <c r="CL21" s="79"/>
      <c r="CM21" s="84">
        <f t="shared" si="30"/>
        <v>0</v>
      </c>
      <c r="CN21" s="79">
        <f t="shared" si="55"/>
        <v>0</v>
      </c>
      <c r="CO21" s="79"/>
      <c r="CP21" s="84">
        <f t="shared" si="31"/>
        <v>0</v>
      </c>
    </row>
    <row r="22" spans="1:1028" s="3" customFormat="1" ht="13.5" customHeight="1" x14ac:dyDescent="0.2">
      <c r="A22" s="98">
        <v>14</v>
      </c>
      <c r="B22" s="75">
        <f t="shared" si="32"/>
        <v>0</v>
      </c>
      <c r="C22" s="75"/>
      <c r="D22" s="76">
        <f t="shared" si="0"/>
        <v>0</v>
      </c>
      <c r="E22" s="77">
        <f t="shared" si="56"/>
        <v>0</v>
      </c>
      <c r="F22" s="77"/>
      <c r="G22" s="77">
        <f t="shared" si="33"/>
        <v>0</v>
      </c>
      <c r="H22" s="79">
        <f t="shared" si="34"/>
        <v>0</v>
      </c>
      <c r="I22" s="79"/>
      <c r="J22" s="84">
        <f t="shared" si="1"/>
        <v>0</v>
      </c>
      <c r="K22" s="79">
        <f t="shared" si="57"/>
        <v>0</v>
      </c>
      <c r="L22" s="79"/>
      <c r="M22" s="84">
        <f t="shared" si="2"/>
        <v>0</v>
      </c>
      <c r="N22" s="79">
        <f t="shared" si="58"/>
        <v>0</v>
      </c>
      <c r="O22" s="79"/>
      <c r="P22" s="84">
        <f t="shared" si="3"/>
        <v>0</v>
      </c>
      <c r="Q22" s="79">
        <f t="shared" si="35"/>
        <v>0</v>
      </c>
      <c r="R22" s="79"/>
      <c r="S22" s="84">
        <f t="shared" si="4"/>
        <v>0</v>
      </c>
      <c r="T22" s="79">
        <f t="shared" si="59"/>
        <v>0</v>
      </c>
      <c r="U22" s="79"/>
      <c r="V22" s="84">
        <f t="shared" si="5"/>
        <v>0</v>
      </c>
      <c r="W22" s="79">
        <f t="shared" si="60"/>
        <v>0</v>
      </c>
      <c r="X22" s="79"/>
      <c r="Y22" s="84">
        <f t="shared" si="6"/>
        <v>0</v>
      </c>
      <c r="Z22" s="79">
        <f t="shared" si="61"/>
        <v>0</v>
      </c>
      <c r="AA22" s="79"/>
      <c r="AB22" s="84">
        <f t="shared" si="7"/>
        <v>0</v>
      </c>
      <c r="AC22" s="79">
        <f t="shared" si="8"/>
        <v>0</v>
      </c>
      <c r="AD22" s="79"/>
      <c r="AE22" s="84">
        <f t="shared" si="9"/>
        <v>0</v>
      </c>
      <c r="AF22" s="79">
        <f t="shared" si="10"/>
        <v>0</v>
      </c>
      <c r="AG22" s="79"/>
      <c r="AH22" s="84">
        <f t="shared" si="11"/>
        <v>0</v>
      </c>
      <c r="AI22" s="79">
        <f t="shared" si="12"/>
        <v>0</v>
      </c>
      <c r="AJ22" s="79"/>
      <c r="AK22" s="84">
        <f t="shared" si="13"/>
        <v>0</v>
      </c>
      <c r="AL22" s="79">
        <f t="shared" si="36"/>
        <v>0</v>
      </c>
      <c r="AM22" s="79"/>
      <c r="AN22" s="84">
        <f t="shared" si="14"/>
        <v>0</v>
      </c>
      <c r="AO22" s="79">
        <f t="shared" si="37"/>
        <v>0</v>
      </c>
      <c r="AP22" s="79"/>
      <c r="AQ22" s="84">
        <f t="shared" si="15"/>
        <v>0</v>
      </c>
      <c r="AR22" s="79">
        <f t="shared" si="38"/>
        <v>0</v>
      </c>
      <c r="AS22" s="79"/>
      <c r="AT22" s="84">
        <f t="shared" si="16"/>
        <v>0</v>
      </c>
      <c r="AU22" s="79">
        <f t="shared" si="39"/>
        <v>0</v>
      </c>
      <c r="AV22" s="79"/>
      <c r="AW22" s="84">
        <f t="shared" si="17"/>
        <v>0</v>
      </c>
      <c r="AX22" s="79">
        <f t="shared" si="40"/>
        <v>0</v>
      </c>
      <c r="AY22" s="79"/>
      <c r="AZ22" s="84">
        <f t="shared" si="18"/>
        <v>0</v>
      </c>
      <c r="BA22" s="79">
        <f t="shared" si="41"/>
        <v>0</v>
      </c>
      <c r="BB22" s="79"/>
      <c r="BC22" s="84">
        <f t="shared" si="19"/>
        <v>0</v>
      </c>
      <c r="BD22" s="84">
        <f t="shared" si="42"/>
        <v>0</v>
      </c>
      <c r="BE22" s="84"/>
      <c r="BF22" s="84">
        <f t="shared" si="43"/>
        <v>0</v>
      </c>
      <c r="BG22" s="79">
        <f t="shared" si="44"/>
        <v>0</v>
      </c>
      <c r="BH22" s="79"/>
      <c r="BI22" s="208">
        <f t="shared" si="20"/>
        <v>0</v>
      </c>
      <c r="BJ22" s="79">
        <f t="shared" si="45"/>
        <v>0</v>
      </c>
      <c r="BK22" s="79"/>
      <c r="BL22" s="84">
        <f t="shared" si="21"/>
        <v>0</v>
      </c>
      <c r="BM22" s="79">
        <f t="shared" si="46"/>
        <v>0</v>
      </c>
      <c r="BN22" s="79"/>
      <c r="BO22" s="84">
        <f t="shared" si="22"/>
        <v>0</v>
      </c>
      <c r="BP22" s="79">
        <f t="shared" si="47"/>
        <v>0</v>
      </c>
      <c r="BQ22" s="79"/>
      <c r="BR22" s="84">
        <f t="shared" si="23"/>
        <v>0</v>
      </c>
      <c r="BS22" s="79">
        <f t="shared" si="48"/>
        <v>0</v>
      </c>
      <c r="BT22" s="79"/>
      <c r="BU22" s="84">
        <f t="shared" si="24"/>
        <v>0</v>
      </c>
      <c r="BV22" s="79">
        <f t="shared" si="49"/>
        <v>0</v>
      </c>
      <c r="BW22" s="79"/>
      <c r="BX22" s="84">
        <f t="shared" si="25"/>
        <v>0</v>
      </c>
      <c r="BY22" s="79">
        <f t="shared" si="50"/>
        <v>0</v>
      </c>
      <c r="BZ22" s="79"/>
      <c r="CA22" s="84">
        <f t="shared" si="26"/>
        <v>0</v>
      </c>
      <c r="CB22" s="79">
        <f t="shared" si="51"/>
        <v>0</v>
      </c>
      <c r="CC22" s="79"/>
      <c r="CD22" s="84">
        <f t="shared" si="27"/>
        <v>0</v>
      </c>
      <c r="CE22" s="79">
        <f t="shared" si="52"/>
        <v>0</v>
      </c>
      <c r="CF22" s="79"/>
      <c r="CG22" s="84">
        <f t="shared" si="28"/>
        <v>0</v>
      </c>
      <c r="CH22" s="79">
        <f t="shared" si="53"/>
        <v>0</v>
      </c>
      <c r="CI22" s="79"/>
      <c r="CJ22" s="84">
        <f t="shared" si="29"/>
        <v>0</v>
      </c>
      <c r="CK22" s="79">
        <f t="shared" si="54"/>
        <v>0</v>
      </c>
      <c r="CL22" s="79"/>
      <c r="CM22" s="84">
        <f t="shared" si="30"/>
        <v>0</v>
      </c>
      <c r="CN22" s="79">
        <f t="shared" si="55"/>
        <v>0</v>
      </c>
      <c r="CO22" s="79"/>
      <c r="CP22" s="84">
        <f t="shared" si="31"/>
        <v>0</v>
      </c>
    </row>
    <row r="23" spans="1:1028" s="3" customFormat="1" ht="13.5" customHeight="1" x14ac:dyDescent="0.2">
      <c r="A23" s="98">
        <v>15</v>
      </c>
      <c r="B23" s="75">
        <f t="shared" si="32"/>
        <v>0</v>
      </c>
      <c r="C23" s="75"/>
      <c r="D23" s="76">
        <f t="shared" si="0"/>
        <v>0</v>
      </c>
      <c r="E23" s="77">
        <f t="shared" si="56"/>
        <v>0</v>
      </c>
      <c r="F23" s="77"/>
      <c r="G23" s="77">
        <f t="shared" si="33"/>
        <v>0</v>
      </c>
      <c r="H23" s="79">
        <f t="shared" si="34"/>
        <v>0</v>
      </c>
      <c r="I23" s="79"/>
      <c r="J23" s="84">
        <f t="shared" si="1"/>
        <v>0</v>
      </c>
      <c r="K23" s="79">
        <f t="shared" si="57"/>
        <v>0</v>
      </c>
      <c r="L23" s="79"/>
      <c r="M23" s="84">
        <f t="shared" si="2"/>
        <v>0</v>
      </c>
      <c r="N23" s="79">
        <f t="shared" si="58"/>
        <v>0</v>
      </c>
      <c r="O23" s="79"/>
      <c r="P23" s="84">
        <f t="shared" si="3"/>
        <v>0</v>
      </c>
      <c r="Q23" s="79">
        <f t="shared" si="35"/>
        <v>0</v>
      </c>
      <c r="R23" s="79"/>
      <c r="S23" s="84">
        <f t="shared" si="4"/>
        <v>0</v>
      </c>
      <c r="T23" s="79">
        <f t="shared" si="59"/>
        <v>0</v>
      </c>
      <c r="U23" s="79"/>
      <c r="V23" s="84">
        <f t="shared" si="5"/>
        <v>0</v>
      </c>
      <c r="W23" s="79">
        <f t="shared" si="60"/>
        <v>0</v>
      </c>
      <c r="X23" s="79"/>
      <c r="Y23" s="84">
        <f t="shared" si="6"/>
        <v>0</v>
      </c>
      <c r="Z23" s="79">
        <f t="shared" si="61"/>
        <v>0</v>
      </c>
      <c r="AA23" s="79"/>
      <c r="AB23" s="84">
        <f t="shared" si="7"/>
        <v>0</v>
      </c>
      <c r="AC23" s="79">
        <f t="shared" si="8"/>
        <v>0</v>
      </c>
      <c r="AD23" s="79"/>
      <c r="AE23" s="84">
        <f t="shared" si="9"/>
        <v>0</v>
      </c>
      <c r="AF23" s="79">
        <f t="shared" si="10"/>
        <v>0</v>
      </c>
      <c r="AG23" s="79"/>
      <c r="AH23" s="84">
        <f t="shared" si="11"/>
        <v>0</v>
      </c>
      <c r="AI23" s="79">
        <f t="shared" si="12"/>
        <v>0</v>
      </c>
      <c r="AJ23" s="79"/>
      <c r="AK23" s="84">
        <f t="shared" si="13"/>
        <v>0</v>
      </c>
      <c r="AL23" s="79">
        <f t="shared" si="36"/>
        <v>0</v>
      </c>
      <c r="AM23" s="79"/>
      <c r="AN23" s="84">
        <f t="shared" si="14"/>
        <v>0</v>
      </c>
      <c r="AO23" s="79">
        <f t="shared" si="37"/>
        <v>0</v>
      </c>
      <c r="AP23" s="79"/>
      <c r="AQ23" s="84">
        <f t="shared" si="15"/>
        <v>0</v>
      </c>
      <c r="AR23" s="79">
        <f t="shared" si="38"/>
        <v>0</v>
      </c>
      <c r="AS23" s="79"/>
      <c r="AT23" s="84">
        <f t="shared" si="16"/>
        <v>0</v>
      </c>
      <c r="AU23" s="79">
        <f t="shared" si="39"/>
        <v>0</v>
      </c>
      <c r="AV23" s="79"/>
      <c r="AW23" s="84">
        <f t="shared" si="17"/>
        <v>0</v>
      </c>
      <c r="AX23" s="79">
        <f t="shared" si="40"/>
        <v>0</v>
      </c>
      <c r="AY23" s="79"/>
      <c r="AZ23" s="84">
        <f t="shared" si="18"/>
        <v>0</v>
      </c>
      <c r="BA23" s="79">
        <f t="shared" si="41"/>
        <v>0</v>
      </c>
      <c r="BB23" s="79"/>
      <c r="BC23" s="84">
        <f t="shared" si="19"/>
        <v>0</v>
      </c>
      <c r="BD23" s="84">
        <f t="shared" si="42"/>
        <v>0</v>
      </c>
      <c r="BE23" s="84"/>
      <c r="BF23" s="84">
        <f t="shared" si="43"/>
        <v>0</v>
      </c>
      <c r="BG23" s="79">
        <f t="shared" si="44"/>
        <v>0</v>
      </c>
      <c r="BH23" s="79"/>
      <c r="BI23" s="208">
        <f t="shared" si="20"/>
        <v>0</v>
      </c>
      <c r="BJ23" s="79">
        <f t="shared" si="45"/>
        <v>0</v>
      </c>
      <c r="BK23" s="79"/>
      <c r="BL23" s="84">
        <f t="shared" si="21"/>
        <v>0</v>
      </c>
      <c r="BM23" s="79">
        <f t="shared" si="46"/>
        <v>0</v>
      </c>
      <c r="BN23" s="79"/>
      <c r="BO23" s="84">
        <f t="shared" si="22"/>
        <v>0</v>
      </c>
      <c r="BP23" s="79">
        <f t="shared" si="47"/>
        <v>0</v>
      </c>
      <c r="BQ23" s="79"/>
      <c r="BR23" s="84">
        <f t="shared" si="23"/>
        <v>0</v>
      </c>
      <c r="BS23" s="79">
        <f t="shared" si="48"/>
        <v>0</v>
      </c>
      <c r="BT23" s="79"/>
      <c r="BU23" s="84">
        <f t="shared" si="24"/>
        <v>0</v>
      </c>
      <c r="BV23" s="79">
        <f t="shared" si="49"/>
        <v>0</v>
      </c>
      <c r="BW23" s="79"/>
      <c r="BX23" s="84">
        <f t="shared" si="25"/>
        <v>0</v>
      </c>
      <c r="BY23" s="79">
        <f t="shared" si="50"/>
        <v>0</v>
      </c>
      <c r="BZ23" s="79"/>
      <c r="CA23" s="84">
        <f t="shared" si="26"/>
        <v>0</v>
      </c>
      <c r="CB23" s="79">
        <f t="shared" si="51"/>
        <v>0</v>
      </c>
      <c r="CC23" s="79"/>
      <c r="CD23" s="84">
        <f t="shared" si="27"/>
        <v>0</v>
      </c>
      <c r="CE23" s="79">
        <f t="shared" si="52"/>
        <v>0</v>
      </c>
      <c r="CF23" s="79"/>
      <c r="CG23" s="84">
        <f t="shared" si="28"/>
        <v>0</v>
      </c>
      <c r="CH23" s="79">
        <f t="shared" si="53"/>
        <v>0</v>
      </c>
      <c r="CI23" s="79"/>
      <c r="CJ23" s="84">
        <f t="shared" si="29"/>
        <v>0</v>
      </c>
      <c r="CK23" s="79">
        <f t="shared" si="54"/>
        <v>0</v>
      </c>
      <c r="CL23" s="79"/>
      <c r="CM23" s="84">
        <f t="shared" si="30"/>
        <v>0</v>
      </c>
      <c r="CN23" s="79">
        <f t="shared" si="55"/>
        <v>0</v>
      </c>
      <c r="CO23" s="79"/>
      <c r="CP23" s="84">
        <f t="shared" si="31"/>
        <v>0</v>
      </c>
    </row>
    <row r="24" spans="1:1028" s="3" customFormat="1" ht="13.5" customHeight="1" x14ac:dyDescent="0.2">
      <c r="A24" s="98">
        <v>16</v>
      </c>
      <c r="B24" s="75">
        <f t="shared" si="32"/>
        <v>0</v>
      </c>
      <c r="C24" s="75"/>
      <c r="D24" s="76">
        <f t="shared" si="0"/>
        <v>0</v>
      </c>
      <c r="E24" s="77">
        <f t="shared" si="56"/>
        <v>0</v>
      </c>
      <c r="F24" s="77"/>
      <c r="G24" s="77">
        <f t="shared" si="33"/>
        <v>0</v>
      </c>
      <c r="H24" s="79">
        <f t="shared" si="34"/>
        <v>0</v>
      </c>
      <c r="I24" s="79"/>
      <c r="J24" s="84">
        <f t="shared" si="1"/>
        <v>0</v>
      </c>
      <c r="K24" s="79">
        <f t="shared" si="57"/>
        <v>0</v>
      </c>
      <c r="L24" s="79"/>
      <c r="M24" s="84">
        <f t="shared" si="2"/>
        <v>0</v>
      </c>
      <c r="N24" s="79">
        <f t="shared" si="58"/>
        <v>0</v>
      </c>
      <c r="O24" s="79"/>
      <c r="P24" s="84">
        <f t="shared" si="3"/>
        <v>0</v>
      </c>
      <c r="Q24" s="79">
        <f t="shared" si="35"/>
        <v>0</v>
      </c>
      <c r="R24" s="79"/>
      <c r="S24" s="84">
        <f t="shared" si="4"/>
        <v>0</v>
      </c>
      <c r="T24" s="79">
        <f t="shared" si="59"/>
        <v>0</v>
      </c>
      <c r="U24" s="79"/>
      <c r="V24" s="84">
        <f t="shared" si="5"/>
        <v>0</v>
      </c>
      <c r="W24" s="79">
        <f t="shared" si="60"/>
        <v>0</v>
      </c>
      <c r="X24" s="79"/>
      <c r="Y24" s="84">
        <f t="shared" si="6"/>
        <v>0</v>
      </c>
      <c r="Z24" s="79">
        <f t="shared" si="61"/>
        <v>0</v>
      </c>
      <c r="AA24" s="79"/>
      <c r="AB24" s="84">
        <f t="shared" si="7"/>
        <v>0</v>
      </c>
      <c r="AC24" s="79">
        <f t="shared" si="8"/>
        <v>0</v>
      </c>
      <c r="AD24" s="79"/>
      <c r="AE24" s="84">
        <f t="shared" si="9"/>
        <v>0</v>
      </c>
      <c r="AF24" s="79">
        <f t="shared" si="10"/>
        <v>0</v>
      </c>
      <c r="AG24" s="79"/>
      <c r="AH24" s="84">
        <f t="shared" si="11"/>
        <v>0</v>
      </c>
      <c r="AI24" s="79">
        <f t="shared" si="12"/>
        <v>0</v>
      </c>
      <c r="AJ24" s="79"/>
      <c r="AK24" s="84">
        <f t="shared" si="13"/>
        <v>0</v>
      </c>
      <c r="AL24" s="79">
        <f t="shared" si="36"/>
        <v>0</v>
      </c>
      <c r="AM24" s="79"/>
      <c r="AN24" s="84">
        <f t="shared" si="14"/>
        <v>0</v>
      </c>
      <c r="AO24" s="79">
        <f t="shared" si="37"/>
        <v>0</v>
      </c>
      <c r="AP24" s="79"/>
      <c r="AQ24" s="84">
        <f t="shared" si="15"/>
        <v>0</v>
      </c>
      <c r="AR24" s="79">
        <f t="shared" si="38"/>
        <v>0</v>
      </c>
      <c r="AS24" s="79"/>
      <c r="AT24" s="84">
        <f t="shared" si="16"/>
        <v>0</v>
      </c>
      <c r="AU24" s="79">
        <f t="shared" si="39"/>
        <v>0</v>
      </c>
      <c r="AV24" s="79"/>
      <c r="AW24" s="84">
        <f t="shared" si="17"/>
        <v>0</v>
      </c>
      <c r="AX24" s="79">
        <f t="shared" si="40"/>
        <v>0</v>
      </c>
      <c r="AY24" s="79"/>
      <c r="AZ24" s="84">
        <f t="shared" si="18"/>
        <v>0</v>
      </c>
      <c r="BA24" s="79">
        <f t="shared" si="41"/>
        <v>0</v>
      </c>
      <c r="BB24" s="79"/>
      <c r="BC24" s="84">
        <f t="shared" si="19"/>
        <v>0</v>
      </c>
      <c r="BD24" s="84">
        <f t="shared" si="42"/>
        <v>0</v>
      </c>
      <c r="BE24" s="84"/>
      <c r="BF24" s="84">
        <f t="shared" si="43"/>
        <v>0</v>
      </c>
      <c r="BG24" s="79">
        <f t="shared" si="44"/>
        <v>0</v>
      </c>
      <c r="BH24" s="79"/>
      <c r="BI24" s="208">
        <f t="shared" si="20"/>
        <v>0</v>
      </c>
      <c r="BJ24" s="79">
        <f t="shared" si="45"/>
        <v>0</v>
      </c>
      <c r="BK24" s="79"/>
      <c r="BL24" s="84">
        <f t="shared" si="21"/>
        <v>0</v>
      </c>
      <c r="BM24" s="79">
        <f t="shared" si="46"/>
        <v>0</v>
      </c>
      <c r="BN24" s="79"/>
      <c r="BO24" s="84">
        <f t="shared" si="22"/>
        <v>0</v>
      </c>
      <c r="BP24" s="79">
        <f t="shared" si="47"/>
        <v>0</v>
      </c>
      <c r="BQ24" s="79"/>
      <c r="BR24" s="84">
        <f t="shared" si="23"/>
        <v>0</v>
      </c>
      <c r="BS24" s="79">
        <f t="shared" si="48"/>
        <v>0</v>
      </c>
      <c r="BT24" s="79"/>
      <c r="BU24" s="84">
        <f t="shared" si="24"/>
        <v>0</v>
      </c>
      <c r="BV24" s="79">
        <f t="shared" si="49"/>
        <v>0</v>
      </c>
      <c r="BW24" s="79"/>
      <c r="BX24" s="84">
        <f t="shared" si="25"/>
        <v>0</v>
      </c>
      <c r="BY24" s="79">
        <f t="shared" si="50"/>
        <v>0</v>
      </c>
      <c r="BZ24" s="79"/>
      <c r="CA24" s="84">
        <f t="shared" si="26"/>
        <v>0</v>
      </c>
      <c r="CB24" s="79">
        <f t="shared" si="51"/>
        <v>0</v>
      </c>
      <c r="CC24" s="79"/>
      <c r="CD24" s="84">
        <f t="shared" si="27"/>
        <v>0</v>
      </c>
      <c r="CE24" s="79">
        <f t="shared" si="52"/>
        <v>0</v>
      </c>
      <c r="CF24" s="79"/>
      <c r="CG24" s="84">
        <f t="shared" si="28"/>
        <v>0</v>
      </c>
      <c r="CH24" s="79">
        <f t="shared" si="53"/>
        <v>0</v>
      </c>
      <c r="CI24" s="79"/>
      <c r="CJ24" s="84">
        <f t="shared" si="29"/>
        <v>0</v>
      </c>
      <c r="CK24" s="79">
        <f t="shared" si="54"/>
        <v>0</v>
      </c>
      <c r="CL24" s="79"/>
      <c r="CM24" s="84">
        <f t="shared" si="30"/>
        <v>0</v>
      </c>
      <c r="CN24" s="79">
        <f t="shared" si="55"/>
        <v>0</v>
      </c>
      <c r="CO24" s="79"/>
      <c r="CP24" s="84">
        <f t="shared" si="31"/>
        <v>0</v>
      </c>
    </row>
    <row r="25" spans="1:1028" s="3" customFormat="1" ht="13.5" customHeight="1" x14ac:dyDescent="0.2">
      <c r="A25" s="98">
        <v>17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>I24</f>
        <v>0</v>
      </c>
      <c r="I25" s="79"/>
      <c r="J25" s="84">
        <f t="shared" si="1"/>
        <v>0</v>
      </c>
      <c r="K25" s="79">
        <f t="shared" si="57"/>
        <v>0</v>
      </c>
      <c r="L25" s="79"/>
      <c r="M25" s="84">
        <f t="shared" si="2"/>
        <v>0</v>
      </c>
      <c r="N25" s="79">
        <f>O24</f>
        <v>0</v>
      </c>
      <c r="O25" s="79"/>
      <c r="P25" s="84">
        <f t="shared" si="3"/>
        <v>0</v>
      </c>
      <c r="Q25" s="79">
        <f t="shared" si="35"/>
        <v>0</v>
      </c>
      <c r="R25" s="79"/>
      <c r="S25" s="84">
        <f t="shared" si="4"/>
        <v>0</v>
      </c>
      <c r="T25" s="79">
        <f>U24</f>
        <v>0</v>
      </c>
      <c r="U25" s="79"/>
      <c r="V25" s="84">
        <f t="shared" si="5"/>
        <v>0</v>
      </c>
      <c r="W25" s="79">
        <f>X24</f>
        <v>0</v>
      </c>
      <c r="X25" s="79"/>
      <c r="Y25" s="84">
        <f t="shared" si="6"/>
        <v>0</v>
      </c>
      <c r="Z25" s="79">
        <f>AA24</f>
        <v>0</v>
      </c>
      <c r="AA25" s="79"/>
      <c r="AB25" s="84">
        <f t="shared" si="7"/>
        <v>0</v>
      </c>
      <c r="AC25" s="79">
        <f t="shared" si="8"/>
        <v>0</v>
      </c>
      <c r="AD25" s="79"/>
      <c r="AE25" s="84">
        <f t="shared" si="9"/>
        <v>0</v>
      </c>
      <c r="AF25" s="79">
        <f t="shared" si="10"/>
        <v>0</v>
      </c>
      <c r="AG25" s="79"/>
      <c r="AH25" s="84">
        <f t="shared" si="11"/>
        <v>0</v>
      </c>
      <c r="AI25" s="79">
        <f t="shared" si="12"/>
        <v>0</v>
      </c>
      <c r="AJ25" s="79"/>
      <c r="AK25" s="84">
        <f t="shared" si="13"/>
        <v>0</v>
      </c>
      <c r="AL25" s="79">
        <f t="shared" si="36"/>
        <v>0</v>
      </c>
      <c r="AM25" s="79"/>
      <c r="AN25" s="84">
        <f t="shared" si="14"/>
        <v>0</v>
      </c>
      <c r="AO25" s="79">
        <f t="shared" si="37"/>
        <v>0</v>
      </c>
      <c r="AP25" s="79"/>
      <c r="AQ25" s="84">
        <f t="shared" si="15"/>
        <v>0</v>
      </c>
      <c r="AR25" s="79">
        <f t="shared" si="38"/>
        <v>0</v>
      </c>
      <c r="AS25" s="79"/>
      <c r="AT25" s="84">
        <f t="shared" si="16"/>
        <v>0</v>
      </c>
      <c r="AU25" s="79">
        <f t="shared" si="39"/>
        <v>0</v>
      </c>
      <c r="AV25" s="79"/>
      <c r="AW25" s="84">
        <f t="shared" si="17"/>
        <v>0</v>
      </c>
      <c r="AX25" s="79">
        <f t="shared" si="40"/>
        <v>0</v>
      </c>
      <c r="AY25" s="79"/>
      <c r="AZ25" s="84">
        <f t="shared" si="18"/>
        <v>0</v>
      </c>
      <c r="BA25" s="79">
        <f t="shared" si="41"/>
        <v>0</v>
      </c>
      <c r="BB25" s="79"/>
      <c r="BC25" s="84">
        <f t="shared" si="19"/>
        <v>0</v>
      </c>
      <c r="BD25" s="84">
        <f t="shared" si="42"/>
        <v>0</v>
      </c>
      <c r="BE25" s="84"/>
      <c r="BF25" s="84">
        <f t="shared" si="43"/>
        <v>0</v>
      </c>
      <c r="BG25" s="79">
        <f t="shared" si="44"/>
        <v>0</v>
      </c>
      <c r="BH25" s="79"/>
      <c r="BI25" s="208">
        <f t="shared" si="20"/>
        <v>0</v>
      </c>
      <c r="BJ25" s="79">
        <f t="shared" si="45"/>
        <v>0</v>
      </c>
      <c r="BK25" s="79"/>
      <c r="BL25" s="84">
        <f t="shared" si="21"/>
        <v>0</v>
      </c>
      <c r="BM25" s="79">
        <f t="shared" si="46"/>
        <v>0</v>
      </c>
      <c r="BN25" s="79"/>
      <c r="BO25" s="84">
        <f>BN25-BM25</f>
        <v>0</v>
      </c>
      <c r="BP25" s="79">
        <f t="shared" si="47"/>
        <v>0</v>
      </c>
      <c r="BQ25" s="79"/>
      <c r="BR25" s="84">
        <f t="shared" si="23"/>
        <v>0</v>
      </c>
      <c r="BS25" s="79">
        <f t="shared" si="48"/>
        <v>0</v>
      </c>
      <c r="BT25" s="79"/>
      <c r="BU25" s="84">
        <f t="shared" si="24"/>
        <v>0</v>
      </c>
      <c r="BV25" s="79">
        <f t="shared" si="49"/>
        <v>0</v>
      </c>
      <c r="BW25" s="79"/>
      <c r="BX25" s="84">
        <f t="shared" si="25"/>
        <v>0</v>
      </c>
      <c r="BY25" s="79">
        <f t="shared" si="50"/>
        <v>0</v>
      </c>
      <c r="BZ25" s="79"/>
      <c r="CA25" s="84">
        <f t="shared" si="26"/>
        <v>0</v>
      </c>
      <c r="CB25" s="79">
        <f t="shared" si="51"/>
        <v>0</v>
      </c>
      <c r="CC25" s="79"/>
      <c r="CD25" s="84">
        <f t="shared" si="27"/>
        <v>0</v>
      </c>
      <c r="CE25" s="79">
        <f t="shared" si="52"/>
        <v>0</v>
      </c>
      <c r="CF25" s="79"/>
      <c r="CG25" s="84">
        <f t="shared" si="28"/>
        <v>0</v>
      </c>
      <c r="CH25" s="79">
        <f t="shared" si="53"/>
        <v>0</v>
      </c>
      <c r="CI25" s="79"/>
      <c r="CJ25" s="84">
        <f t="shared" si="29"/>
        <v>0</v>
      </c>
      <c r="CK25" s="79">
        <f t="shared" si="54"/>
        <v>0</v>
      </c>
      <c r="CL25" s="79"/>
      <c r="CM25" s="84">
        <f t="shared" si="30"/>
        <v>0</v>
      </c>
      <c r="CN25" s="79">
        <f t="shared" si="55"/>
        <v>0</v>
      </c>
      <c r="CO25" s="79"/>
      <c r="CP25" s="84">
        <f t="shared" si="31"/>
        <v>0</v>
      </c>
    </row>
    <row r="26" spans="1:1028" s="3" customFormat="1" ht="13.5" customHeight="1" x14ac:dyDescent="0.2">
      <c r="A26" s="98">
        <v>18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>I25</f>
        <v>0</v>
      </c>
      <c r="I26" s="79"/>
      <c r="J26" s="84">
        <f t="shared" si="1"/>
        <v>0</v>
      </c>
      <c r="K26" s="79">
        <f t="shared" si="57"/>
        <v>0</v>
      </c>
      <c r="L26" s="79"/>
      <c r="M26" s="84">
        <f t="shared" si="2"/>
        <v>0</v>
      </c>
      <c r="N26" s="79">
        <f>O25</f>
        <v>0</v>
      </c>
      <c r="O26" s="79"/>
      <c r="P26" s="84">
        <f t="shared" si="3"/>
        <v>0</v>
      </c>
      <c r="Q26" s="79">
        <f t="shared" si="35"/>
        <v>0</v>
      </c>
      <c r="R26" s="79"/>
      <c r="S26" s="84">
        <f t="shared" si="4"/>
        <v>0</v>
      </c>
      <c r="T26" s="79">
        <f>U25</f>
        <v>0</v>
      </c>
      <c r="U26" s="79"/>
      <c r="V26" s="84">
        <f t="shared" si="5"/>
        <v>0</v>
      </c>
      <c r="W26" s="79">
        <f>X25</f>
        <v>0</v>
      </c>
      <c r="X26" s="79"/>
      <c r="Y26" s="84">
        <f t="shared" si="6"/>
        <v>0</v>
      </c>
      <c r="Z26" s="79">
        <f>AA25</f>
        <v>0</v>
      </c>
      <c r="AA26" s="79"/>
      <c r="AB26" s="84">
        <f t="shared" si="7"/>
        <v>0</v>
      </c>
      <c r="AC26" s="79">
        <f t="shared" si="8"/>
        <v>0</v>
      </c>
      <c r="AD26" s="79"/>
      <c r="AE26" s="84">
        <f t="shared" si="9"/>
        <v>0</v>
      </c>
      <c r="AF26" s="79">
        <f t="shared" si="10"/>
        <v>0</v>
      </c>
      <c r="AG26" s="79"/>
      <c r="AH26" s="84">
        <f t="shared" si="11"/>
        <v>0</v>
      </c>
      <c r="AI26" s="79">
        <f t="shared" si="12"/>
        <v>0</v>
      </c>
      <c r="AJ26" s="79"/>
      <c r="AK26" s="84">
        <f t="shared" si="13"/>
        <v>0</v>
      </c>
      <c r="AL26" s="79">
        <f t="shared" si="36"/>
        <v>0</v>
      </c>
      <c r="AM26" s="79"/>
      <c r="AN26" s="84">
        <f t="shared" si="14"/>
        <v>0</v>
      </c>
      <c r="AO26" s="79">
        <f t="shared" si="37"/>
        <v>0</v>
      </c>
      <c r="AP26" s="79"/>
      <c r="AQ26" s="84">
        <f t="shared" si="15"/>
        <v>0</v>
      </c>
      <c r="AR26" s="79">
        <f t="shared" si="38"/>
        <v>0</v>
      </c>
      <c r="AS26" s="79"/>
      <c r="AT26" s="84">
        <f t="shared" si="16"/>
        <v>0</v>
      </c>
      <c r="AU26" s="79">
        <f t="shared" si="39"/>
        <v>0</v>
      </c>
      <c r="AV26" s="79"/>
      <c r="AW26" s="84">
        <f t="shared" si="17"/>
        <v>0</v>
      </c>
      <c r="AX26" s="79">
        <f t="shared" si="40"/>
        <v>0</v>
      </c>
      <c r="AY26" s="79"/>
      <c r="AZ26" s="84">
        <f t="shared" si="18"/>
        <v>0</v>
      </c>
      <c r="BA26" s="79">
        <f t="shared" si="41"/>
        <v>0</v>
      </c>
      <c r="BB26" s="79"/>
      <c r="BC26" s="84">
        <f t="shared" si="19"/>
        <v>0</v>
      </c>
      <c r="BD26" s="84">
        <f t="shared" si="42"/>
        <v>0</v>
      </c>
      <c r="BE26" s="84"/>
      <c r="BF26" s="84">
        <f t="shared" si="43"/>
        <v>0</v>
      </c>
      <c r="BG26" s="79">
        <f t="shared" si="44"/>
        <v>0</v>
      </c>
      <c r="BH26" s="79"/>
      <c r="BI26" s="208">
        <f t="shared" si="20"/>
        <v>0</v>
      </c>
      <c r="BJ26" s="79">
        <f t="shared" si="45"/>
        <v>0</v>
      </c>
      <c r="BK26" s="79"/>
      <c r="BL26" s="84">
        <f t="shared" si="21"/>
        <v>0</v>
      </c>
      <c r="BM26" s="79">
        <f>BN25</f>
        <v>0</v>
      </c>
      <c r="BN26" s="79"/>
      <c r="BO26" s="84">
        <f>BN26-BM26</f>
        <v>0</v>
      </c>
      <c r="BP26" s="79">
        <f t="shared" si="47"/>
        <v>0</v>
      </c>
      <c r="BQ26" s="79"/>
      <c r="BR26" s="84">
        <f t="shared" si="23"/>
        <v>0</v>
      </c>
      <c r="BS26" s="79">
        <f t="shared" si="48"/>
        <v>0</v>
      </c>
      <c r="BT26" s="79"/>
      <c r="BU26" s="84">
        <f t="shared" si="24"/>
        <v>0</v>
      </c>
      <c r="BV26" s="79">
        <f t="shared" si="49"/>
        <v>0</v>
      </c>
      <c r="BW26" s="79"/>
      <c r="BX26" s="84">
        <f t="shared" si="25"/>
        <v>0</v>
      </c>
      <c r="BY26" s="79">
        <f t="shared" si="50"/>
        <v>0</v>
      </c>
      <c r="BZ26" s="79"/>
      <c r="CA26" s="84">
        <f t="shared" si="26"/>
        <v>0</v>
      </c>
      <c r="CB26" s="79">
        <f t="shared" si="51"/>
        <v>0</v>
      </c>
      <c r="CC26" s="79"/>
      <c r="CD26" s="84">
        <f t="shared" si="27"/>
        <v>0</v>
      </c>
      <c r="CE26" s="79">
        <f t="shared" si="52"/>
        <v>0</v>
      </c>
      <c r="CF26" s="79"/>
      <c r="CG26" s="84">
        <f t="shared" si="28"/>
        <v>0</v>
      </c>
      <c r="CH26" s="79">
        <f t="shared" si="53"/>
        <v>0</v>
      </c>
      <c r="CI26" s="79"/>
      <c r="CJ26" s="84">
        <f t="shared" si="29"/>
        <v>0</v>
      </c>
      <c r="CK26" s="79">
        <f t="shared" si="54"/>
        <v>0</v>
      </c>
      <c r="CL26" s="79"/>
      <c r="CM26" s="84">
        <f t="shared" si="30"/>
        <v>0</v>
      </c>
      <c r="CN26" s="79">
        <f t="shared" si="55"/>
        <v>0</v>
      </c>
      <c r="CO26" s="79"/>
      <c r="CP26" s="84">
        <f t="shared" si="31"/>
        <v>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208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208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208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208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208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208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208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208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208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208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208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208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208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/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-25088084</v>
      </c>
      <c r="E40" s="97"/>
      <c r="F40" s="97"/>
      <c r="G40" s="97">
        <f>SUM(G9:G39)</f>
        <v>-21981188</v>
      </c>
      <c r="H40" s="97"/>
      <c r="I40" s="97"/>
      <c r="J40" s="97">
        <f>SUM(J9:J39)</f>
        <v>-83718230</v>
      </c>
      <c r="K40" s="97"/>
      <c r="L40" s="97"/>
      <c r="M40" s="97">
        <f>SUM(M9:M39)</f>
        <v>-1722220</v>
      </c>
      <c r="N40" s="97"/>
      <c r="O40" s="97"/>
      <c r="P40" s="97">
        <f>SUM(P9:P39)</f>
        <v>-2330923</v>
      </c>
      <c r="Q40" s="97"/>
      <c r="R40" s="97"/>
      <c r="S40" s="97">
        <f>SUM(S9:S39)</f>
        <v>-1403900</v>
      </c>
      <c r="T40" s="97"/>
      <c r="U40" s="97"/>
      <c r="V40" s="97">
        <f>SUM(V9:V39)</f>
        <v>-659727</v>
      </c>
      <c r="W40" s="97"/>
      <c r="X40" s="97"/>
      <c r="Y40" s="97">
        <f>SUM(Y9:Y39)</f>
        <v>-6827800</v>
      </c>
      <c r="Z40" s="97"/>
      <c r="AA40" s="97"/>
      <c r="AB40" s="97">
        <f>SUM(AB9:AB39)</f>
        <v>-1485900</v>
      </c>
      <c r="AC40" s="97"/>
      <c r="AD40" s="97"/>
      <c r="AE40" s="97">
        <f>SUM(AE9:AE39)</f>
        <v>-443008</v>
      </c>
      <c r="AF40" s="97"/>
      <c r="AG40" s="97"/>
      <c r="AH40" s="97">
        <f>SUM(AH9:AH39)</f>
        <v>-312460</v>
      </c>
      <c r="AI40" s="97"/>
      <c r="AJ40" s="97"/>
      <c r="AK40" s="97">
        <f>SUM(AK9:AK39)</f>
        <v>-522300</v>
      </c>
      <c r="AL40" s="97"/>
      <c r="AM40" s="97"/>
      <c r="AN40" s="97">
        <f>SUM(AN9:AN39)</f>
        <v>-971190</v>
      </c>
      <c r="AO40" s="97"/>
      <c r="AP40" s="97"/>
      <c r="AQ40" s="97">
        <f>SUM(AQ9:AQ39)</f>
        <v>-617560</v>
      </c>
      <c r="AR40" s="97"/>
      <c r="AS40" s="97"/>
      <c r="AT40" s="97">
        <f>SUM(AT9:AT39)</f>
        <v>-455500</v>
      </c>
      <c r="AU40" s="97"/>
      <c r="AV40" s="97"/>
      <c r="AW40" s="97">
        <f>SUM(AW9:AW39)</f>
        <v>-398160</v>
      </c>
      <c r="AX40" s="97"/>
      <c r="AY40" s="97"/>
      <c r="AZ40" s="97">
        <f>SUM(AZ9:AZ39)</f>
        <v>-313610</v>
      </c>
      <c r="BA40" s="97"/>
      <c r="BB40" s="97"/>
      <c r="BC40" s="97">
        <f>SUM(BC9:BC39)</f>
        <v>-838750</v>
      </c>
      <c r="BD40" s="97"/>
      <c r="BE40" s="97"/>
      <c r="BF40" s="97">
        <f>SUM(BF9:BF39)</f>
        <v>-16414</v>
      </c>
      <c r="BG40" s="97"/>
      <c r="BH40" s="97"/>
      <c r="BI40" s="209">
        <f>SUM(BI9:BI39)</f>
        <v>-13337</v>
      </c>
      <c r="BJ40" s="97"/>
      <c r="BK40" s="97"/>
      <c r="BL40" s="139">
        <f>SUM(BL9:BL39)</f>
        <v>-12664</v>
      </c>
      <c r="BM40" s="97"/>
      <c r="BN40" s="97"/>
      <c r="BO40" s="139">
        <f>SUM(BO9:BO39)</f>
        <v>-20408</v>
      </c>
      <c r="BP40" s="97"/>
      <c r="BQ40" s="97"/>
      <c r="BR40" s="139">
        <f>SUM(BR9:BR39)</f>
        <v>-13725</v>
      </c>
      <c r="BS40" s="97"/>
      <c r="BT40" s="97"/>
      <c r="BU40" s="139">
        <f>SUM(BU9:BU39)</f>
        <v>-15869</v>
      </c>
      <c r="BV40" s="97"/>
      <c r="BW40" s="97"/>
      <c r="BX40" s="139">
        <f>SUM(BX9:BX39)</f>
        <v>-10596</v>
      </c>
      <c r="BY40" s="97"/>
      <c r="BZ40" s="97"/>
      <c r="CA40" s="139">
        <f>SUM(CA9:CA39)</f>
        <v>-27031</v>
      </c>
      <c r="CB40" s="97"/>
      <c r="CC40" s="97"/>
      <c r="CD40" s="139">
        <f>SUM(CD9:CD39)</f>
        <v>-22769</v>
      </c>
      <c r="CE40" s="97"/>
      <c r="CF40" s="97"/>
      <c r="CG40" s="139">
        <f>SUM(CG9:CG39)</f>
        <v>-65938</v>
      </c>
      <c r="CH40" s="97"/>
      <c r="CI40" s="97"/>
      <c r="CJ40" s="139">
        <f>SUM(CJ9:CJ39)</f>
        <v>-33060</v>
      </c>
      <c r="CK40" s="97"/>
      <c r="CL40" s="97"/>
      <c r="CM40" s="139">
        <f>SUM(CM9:CM39)</f>
        <v>-10817</v>
      </c>
      <c r="CN40" s="97"/>
      <c r="CO40" s="97"/>
      <c r="CP40" s="139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B1" workbookViewId="0">
      <selection activeCell="V11" sqref="V11"/>
    </sheetView>
  </sheetViews>
  <sheetFormatPr defaultRowHeight="12.75" x14ac:dyDescent="0.2"/>
  <cols>
    <col min="1" max="1" width="4.7109375" style="257" customWidth="1"/>
    <col min="2" max="2" width="13.5703125" style="257" customWidth="1"/>
    <col min="3" max="3" width="8.85546875" style="257" customWidth="1"/>
    <col min="4" max="4" width="10.5703125" style="257" customWidth="1"/>
    <col min="5" max="5" width="2" style="262" customWidth="1"/>
    <col min="6" max="6" width="5.140625" style="257" customWidth="1"/>
    <col min="7" max="7" width="13.5703125" style="257" customWidth="1"/>
    <col min="8" max="8" width="10" style="257" customWidth="1"/>
    <col min="9" max="9" width="14" style="257" customWidth="1"/>
    <col min="10" max="10" width="2.85546875" style="262" customWidth="1"/>
    <col min="11" max="11" width="5.42578125" style="257" customWidth="1"/>
    <col min="12" max="13" width="13.5703125" style="257" customWidth="1"/>
    <col min="14" max="14" width="12.140625" style="257" customWidth="1"/>
    <col min="15" max="15" width="2.85546875" style="262" customWidth="1"/>
    <col min="16" max="16" width="5.85546875" style="257" customWidth="1"/>
    <col min="17" max="17" width="13.5703125" style="257" customWidth="1"/>
    <col min="18" max="18" width="8.85546875" style="257" customWidth="1"/>
    <col min="19" max="19" width="11.140625" style="257" customWidth="1"/>
    <col min="20" max="20" width="2.42578125" style="262" customWidth="1"/>
    <col min="21" max="21" width="6.42578125" style="219" customWidth="1"/>
    <col min="22" max="22" width="10.85546875" style="260" customWidth="1"/>
    <col min="23" max="23" width="7.42578125" style="261" customWidth="1"/>
    <col min="24" max="24" width="11.85546875" style="219" customWidth="1"/>
    <col min="25" max="16384" width="9.140625" style="219"/>
  </cols>
  <sheetData>
    <row r="1" spans="1:24" ht="12.75" customHeight="1" x14ac:dyDescent="0.2">
      <c r="A1" s="336" t="s">
        <v>140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</row>
    <row r="2" spans="1:24" s="220" customFormat="1" ht="24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</row>
    <row r="3" spans="1:24" ht="24.75" customHeight="1" x14ac:dyDescent="0.2">
      <c r="A3" s="337" t="s">
        <v>3</v>
      </c>
      <c r="B3" s="337"/>
      <c r="C3" s="221">
        <v>44197</v>
      </c>
      <c r="D3" s="222"/>
      <c r="E3" s="223"/>
      <c r="F3" s="223"/>
      <c r="G3" s="223"/>
      <c r="H3" s="223"/>
      <c r="I3" s="222"/>
      <c r="J3" s="223"/>
      <c r="K3" s="223"/>
      <c r="L3" s="223"/>
      <c r="M3" s="223"/>
      <c r="N3" s="222"/>
      <c r="O3" s="223"/>
      <c r="P3" s="223"/>
      <c r="Q3" s="223"/>
      <c r="R3" s="223"/>
      <c r="S3" s="222"/>
      <c r="T3" s="223"/>
      <c r="U3" s="223"/>
      <c r="V3" s="223"/>
      <c r="W3" s="223"/>
      <c r="X3" s="223"/>
    </row>
    <row r="4" spans="1:24" ht="15" customHeight="1" x14ac:dyDescent="0.2">
      <c r="A4" s="338" t="s">
        <v>141</v>
      </c>
      <c r="B4" s="339"/>
      <c r="C4" s="339"/>
      <c r="D4" s="340"/>
      <c r="E4" s="224"/>
      <c r="F4" s="338" t="s">
        <v>142</v>
      </c>
      <c r="G4" s="339"/>
      <c r="H4" s="339"/>
      <c r="I4" s="340"/>
      <c r="J4" s="224"/>
      <c r="K4" s="338" t="s">
        <v>143</v>
      </c>
      <c r="L4" s="339"/>
      <c r="M4" s="339"/>
      <c r="N4" s="340"/>
      <c r="O4" s="224"/>
      <c r="P4" s="338" t="s">
        <v>144</v>
      </c>
      <c r="Q4" s="339"/>
      <c r="R4" s="339"/>
      <c r="S4" s="340"/>
      <c r="T4" s="224"/>
      <c r="U4" s="341" t="s">
        <v>145</v>
      </c>
      <c r="V4" s="342"/>
      <c r="W4" s="342"/>
      <c r="X4" s="343"/>
    </row>
    <row r="5" spans="1:24" ht="36" customHeight="1" x14ac:dyDescent="0.2">
      <c r="A5" s="225" t="s">
        <v>5</v>
      </c>
      <c r="B5" s="225" t="s">
        <v>19</v>
      </c>
      <c r="C5" s="225" t="s">
        <v>20</v>
      </c>
      <c r="D5" s="226" t="s">
        <v>146</v>
      </c>
      <c r="E5" s="226"/>
      <c r="F5" s="225" t="s">
        <v>5</v>
      </c>
      <c r="G5" s="225" t="s">
        <v>19</v>
      </c>
      <c r="H5" s="225" t="s">
        <v>20</v>
      </c>
      <c r="I5" s="226" t="s">
        <v>146</v>
      </c>
      <c r="J5" s="226"/>
      <c r="K5" s="225" t="s">
        <v>5</v>
      </c>
      <c r="L5" s="225" t="s">
        <v>19</v>
      </c>
      <c r="M5" s="225" t="s">
        <v>20</v>
      </c>
      <c r="N5" s="226" t="s">
        <v>146</v>
      </c>
      <c r="O5" s="226"/>
      <c r="P5" s="225" t="s">
        <v>5</v>
      </c>
      <c r="Q5" s="225" t="s">
        <v>19</v>
      </c>
      <c r="R5" s="225" t="s">
        <v>20</v>
      </c>
      <c r="S5" s="226" t="s">
        <v>146</v>
      </c>
      <c r="T5" s="226"/>
      <c r="U5" s="227" t="s">
        <v>42</v>
      </c>
      <c r="V5" s="228" t="s">
        <v>13</v>
      </c>
      <c r="W5" s="229" t="s">
        <v>147</v>
      </c>
      <c r="X5" s="227" t="s">
        <v>91</v>
      </c>
    </row>
    <row r="6" spans="1:24" ht="15" customHeight="1" x14ac:dyDescent="0.2">
      <c r="A6" s="230">
        <v>1</v>
      </c>
      <c r="B6" s="231">
        <v>0</v>
      </c>
      <c r="C6" s="231">
        <v>0</v>
      </c>
      <c r="D6" s="232">
        <f>C6-B6</f>
        <v>0</v>
      </c>
      <c r="E6" s="233"/>
      <c r="F6" s="230">
        <v>1</v>
      </c>
      <c r="G6" s="234">
        <v>834</v>
      </c>
      <c r="H6" s="231">
        <v>907</v>
      </c>
      <c r="I6" s="232">
        <f>H6-G6</f>
        <v>73</v>
      </c>
      <c r="J6" s="233"/>
      <c r="K6" s="230">
        <v>1</v>
      </c>
      <c r="L6" s="231">
        <v>708651</v>
      </c>
      <c r="M6" s="231">
        <v>708897</v>
      </c>
      <c r="N6" s="232">
        <f>M6-L6</f>
        <v>246</v>
      </c>
      <c r="O6" s="235"/>
      <c r="P6" s="230">
        <v>1</v>
      </c>
      <c r="Q6" s="231">
        <v>191812</v>
      </c>
      <c r="R6" s="231">
        <v>191908</v>
      </c>
      <c r="S6" s="232">
        <f>R6-Q6</f>
        <v>96</v>
      </c>
      <c r="T6" s="233"/>
      <c r="U6" s="236">
        <v>1</v>
      </c>
      <c r="V6" s="237">
        <f>SUM(S6+N6+I6+D6)</f>
        <v>415</v>
      </c>
      <c r="W6" s="238">
        <v>97.09</v>
      </c>
      <c r="X6" s="239"/>
    </row>
    <row r="7" spans="1:24" ht="15" customHeight="1" x14ac:dyDescent="0.2">
      <c r="A7" s="230">
        <v>2</v>
      </c>
      <c r="B7" s="240">
        <f t="shared" ref="B7:B34" si="0">C6</f>
        <v>0</v>
      </c>
      <c r="C7" s="241">
        <v>0</v>
      </c>
      <c r="D7" s="242">
        <f t="shared" ref="D7:D33" si="1">C7-B7</f>
        <v>0</v>
      </c>
      <c r="E7" s="233"/>
      <c r="F7" s="230">
        <v>2</v>
      </c>
      <c r="G7" s="240">
        <f t="shared" ref="G7:G34" si="2">H6</f>
        <v>907</v>
      </c>
      <c r="H7" s="241">
        <v>954</v>
      </c>
      <c r="I7" s="242">
        <f t="shared" ref="I7:I10" si="3">H7-G7</f>
        <v>47</v>
      </c>
      <c r="J7" s="233"/>
      <c r="K7" s="230">
        <v>2</v>
      </c>
      <c r="L7" s="240">
        <f t="shared" ref="L7:L34" si="4">M6</f>
        <v>708897</v>
      </c>
      <c r="M7" s="241">
        <v>709136</v>
      </c>
      <c r="N7" s="242">
        <f t="shared" ref="N7:N10" si="5">M7-L7</f>
        <v>239</v>
      </c>
      <c r="O7" s="235"/>
      <c r="P7" s="230">
        <v>2</v>
      </c>
      <c r="Q7" s="240">
        <f t="shared" ref="Q7:Q34" si="6">R6</f>
        <v>191908</v>
      </c>
      <c r="R7" s="241">
        <v>191990</v>
      </c>
      <c r="S7" s="242">
        <f t="shared" ref="S7:S10" si="7">R7-Q7</f>
        <v>82</v>
      </c>
      <c r="T7" s="233"/>
      <c r="U7" s="243">
        <v>2</v>
      </c>
      <c r="V7" s="105">
        <f t="shared" ref="V7:V36" si="8">SUM(S7+N7+I7+D7)</f>
        <v>368</v>
      </c>
      <c r="W7" s="244">
        <v>95.15</v>
      </c>
      <c r="X7" s="245"/>
    </row>
    <row r="8" spans="1:24" ht="15" customHeight="1" x14ac:dyDescent="0.2">
      <c r="A8" s="230">
        <v>3</v>
      </c>
      <c r="B8" s="236">
        <f t="shared" si="0"/>
        <v>0</v>
      </c>
      <c r="C8" s="241">
        <v>0</v>
      </c>
      <c r="D8" s="242">
        <f t="shared" si="1"/>
        <v>0</v>
      </c>
      <c r="E8" s="233"/>
      <c r="F8" s="230">
        <v>3</v>
      </c>
      <c r="G8" s="236">
        <f t="shared" si="2"/>
        <v>954</v>
      </c>
      <c r="H8" s="241">
        <v>1036</v>
      </c>
      <c r="I8" s="242">
        <f t="shared" si="3"/>
        <v>82</v>
      </c>
      <c r="J8" s="233"/>
      <c r="K8" s="230">
        <v>3</v>
      </c>
      <c r="L8" s="236">
        <f t="shared" si="4"/>
        <v>709136</v>
      </c>
      <c r="M8" s="241">
        <v>709343</v>
      </c>
      <c r="N8" s="242">
        <f t="shared" si="5"/>
        <v>207</v>
      </c>
      <c r="O8" s="235"/>
      <c r="P8" s="230">
        <v>3</v>
      </c>
      <c r="Q8" s="236">
        <f t="shared" si="6"/>
        <v>191990</v>
      </c>
      <c r="R8" s="241">
        <v>192094</v>
      </c>
      <c r="S8" s="242">
        <f t="shared" si="7"/>
        <v>104</v>
      </c>
      <c r="T8" s="233"/>
      <c r="U8" s="236">
        <v>3</v>
      </c>
      <c r="V8" s="105">
        <f t="shared" si="8"/>
        <v>393</v>
      </c>
      <c r="W8" s="244">
        <v>99.03</v>
      </c>
      <c r="X8" s="245"/>
    </row>
    <row r="9" spans="1:24" ht="15" customHeight="1" x14ac:dyDescent="0.2">
      <c r="A9" s="230">
        <v>4</v>
      </c>
      <c r="B9" s="236">
        <f t="shared" si="0"/>
        <v>0</v>
      </c>
      <c r="C9" s="241">
        <v>0</v>
      </c>
      <c r="D9" s="242">
        <f t="shared" si="1"/>
        <v>0</v>
      </c>
      <c r="E9" s="233"/>
      <c r="F9" s="230">
        <v>4</v>
      </c>
      <c r="G9" s="236">
        <f t="shared" si="2"/>
        <v>1036</v>
      </c>
      <c r="H9" s="241">
        <v>1114</v>
      </c>
      <c r="I9" s="242">
        <f t="shared" si="3"/>
        <v>78</v>
      </c>
      <c r="J9" s="233"/>
      <c r="K9" s="230">
        <v>4</v>
      </c>
      <c r="L9" s="236">
        <f t="shared" si="4"/>
        <v>709343</v>
      </c>
      <c r="M9" s="241">
        <v>709605</v>
      </c>
      <c r="N9" s="242">
        <f t="shared" si="5"/>
        <v>262</v>
      </c>
      <c r="O9" s="235"/>
      <c r="P9" s="230">
        <v>4</v>
      </c>
      <c r="Q9" s="236">
        <f t="shared" si="6"/>
        <v>192094</v>
      </c>
      <c r="R9" s="241">
        <v>192205</v>
      </c>
      <c r="S9" s="242">
        <f t="shared" si="7"/>
        <v>111</v>
      </c>
      <c r="T9" s="233"/>
      <c r="U9" s="236">
        <v>4</v>
      </c>
      <c r="V9" s="105">
        <f t="shared" si="8"/>
        <v>451</v>
      </c>
      <c r="W9" s="244">
        <v>98.06</v>
      </c>
      <c r="X9" s="245"/>
    </row>
    <row r="10" spans="1:24" ht="15" customHeight="1" x14ac:dyDescent="0.2">
      <c r="A10" s="230">
        <v>5</v>
      </c>
      <c r="B10" s="236">
        <f t="shared" si="0"/>
        <v>0</v>
      </c>
      <c r="C10" s="241">
        <v>0</v>
      </c>
      <c r="D10" s="242">
        <f t="shared" si="1"/>
        <v>0</v>
      </c>
      <c r="E10" s="233"/>
      <c r="F10" s="230">
        <v>5</v>
      </c>
      <c r="G10" s="236">
        <f t="shared" si="2"/>
        <v>1114</v>
      </c>
      <c r="H10" s="241">
        <v>1177</v>
      </c>
      <c r="I10" s="242">
        <f t="shared" si="3"/>
        <v>63</v>
      </c>
      <c r="J10" s="233"/>
      <c r="K10" s="230">
        <v>5</v>
      </c>
      <c r="L10" s="236">
        <f t="shared" si="4"/>
        <v>709605</v>
      </c>
      <c r="M10" s="241">
        <v>709849</v>
      </c>
      <c r="N10" s="242">
        <f t="shared" si="5"/>
        <v>244</v>
      </c>
      <c r="O10" s="235"/>
      <c r="P10" s="230">
        <v>5</v>
      </c>
      <c r="Q10" s="236">
        <f t="shared" si="6"/>
        <v>192205</v>
      </c>
      <c r="R10" s="241">
        <v>192304</v>
      </c>
      <c r="S10" s="242">
        <f t="shared" si="7"/>
        <v>99</v>
      </c>
      <c r="T10" s="233"/>
      <c r="U10" s="243">
        <v>5</v>
      </c>
      <c r="V10" s="105">
        <f t="shared" si="8"/>
        <v>406</v>
      </c>
      <c r="W10" s="244">
        <v>98.06</v>
      </c>
      <c r="X10" s="245"/>
    </row>
    <row r="11" spans="1:24" ht="15" customHeight="1" x14ac:dyDescent="0.2">
      <c r="A11" s="230">
        <v>6</v>
      </c>
      <c r="B11" s="236">
        <f t="shared" si="0"/>
        <v>0</v>
      </c>
      <c r="C11" s="241">
        <v>0</v>
      </c>
      <c r="D11" s="242">
        <f>C11-B11</f>
        <v>0</v>
      </c>
      <c r="E11" s="233"/>
      <c r="F11" s="230">
        <v>6</v>
      </c>
      <c r="G11" s="236">
        <f t="shared" si="2"/>
        <v>1177</v>
      </c>
      <c r="H11" s="241">
        <v>1247</v>
      </c>
      <c r="I11" s="242">
        <f>H11-G11</f>
        <v>70</v>
      </c>
      <c r="J11" s="233"/>
      <c r="K11" s="230">
        <v>6</v>
      </c>
      <c r="L11" s="236">
        <f t="shared" si="4"/>
        <v>709849</v>
      </c>
      <c r="M11" s="241">
        <v>710060</v>
      </c>
      <c r="N11" s="242">
        <f>M11-L11</f>
        <v>211</v>
      </c>
      <c r="O11" s="235"/>
      <c r="P11" s="230">
        <v>6</v>
      </c>
      <c r="Q11" s="236">
        <f t="shared" si="6"/>
        <v>192304</v>
      </c>
      <c r="R11" s="241">
        <v>192379</v>
      </c>
      <c r="S11" s="242">
        <f>R11-Q11</f>
        <v>75</v>
      </c>
      <c r="T11" s="233"/>
      <c r="U11" s="236">
        <v>6</v>
      </c>
      <c r="V11" s="105">
        <f t="shared" si="8"/>
        <v>356</v>
      </c>
      <c r="W11" s="244"/>
      <c r="X11" s="245"/>
    </row>
    <row r="12" spans="1:24" ht="15" customHeight="1" x14ac:dyDescent="0.2">
      <c r="A12" s="230">
        <v>7</v>
      </c>
      <c r="B12" s="236">
        <f t="shared" si="0"/>
        <v>0</v>
      </c>
      <c r="C12" s="241"/>
      <c r="D12" s="242">
        <f t="shared" si="1"/>
        <v>0</v>
      </c>
      <c r="E12" s="233"/>
      <c r="F12" s="230">
        <v>7</v>
      </c>
      <c r="G12" s="236">
        <f t="shared" si="2"/>
        <v>1247</v>
      </c>
      <c r="H12" s="241"/>
      <c r="I12" s="242">
        <f t="shared" ref="I12:I24" si="9">H12-G12</f>
        <v>-1247</v>
      </c>
      <c r="J12" s="233"/>
      <c r="K12" s="230">
        <v>7</v>
      </c>
      <c r="L12" s="236">
        <f t="shared" si="4"/>
        <v>710060</v>
      </c>
      <c r="M12" s="241"/>
      <c r="N12" s="242">
        <f t="shared" ref="N12:N24" si="10">M12-L12</f>
        <v>-710060</v>
      </c>
      <c r="O12" s="235"/>
      <c r="P12" s="230">
        <v>7</v>
      </c>
      <c r="Q12" s="236">
        <f t="shared" si="6"/>
        <v>192379</v>
      </c>
      <c r="R12" s="241"/>
      <c r="S12" s="242">
        <f t="shared" ref="S12:S24" si="11">R12-Q12</f>
        <v>-192379</v>
      </c>
      <c r="T12" s="233"/>
      <c r="U12" s="236">
        <v>7</v>
      </c>
      <c r="V12" s="105">
        <f t="shared" si="8"/>
        <v>-903686</v>
      </c>
      <c r="W12" s="244"/>
      <c r="X12" s="245"/>
    </row>
    <row r="13" spans="1:24" ht="15" customHeight="1" x14ac:dyDescent="0.2">
      <c r="A13" s="230">
        <v>8</v>
      </c>
      <c r="B13" s="236">
        <f t="shared" si="0"/>
        <v>0</v>
      </c>
      <c r="C13" s="241"/>
      <c r="D13" s="242">
        <f t="shared" si="1"/>
        <v>0</v>
      </c>
      <c r="E13" s="233"/>
      <c r="F13" s="230">
        <v>8</v>
      </c>
      <c r="G13" s="236">
        <f t="shared" si="2"/>
        <v>0</v>
      </c>
      <c r="H13" s="241"/>
      <c r="I13" s="242">
        <f t="shared" si="9"/>
        <v>0</v>
      </c>
      <c r="J13" s="233"/>
      <c r="K13" s="230">
        <v>8</v>
      </c>
      <c r="L13" s="236">
        <f t="shared" si="4"/>
        <v>0</v>
      </c>
      <c r="M13" s="241"/>
      <c r="N13" s="242">
        <f t="shared" si="10"/>
        <v>0</v>
      </c>
      <c r="O13" s="235"/>
      <c r="P13" s="230">
        <v>8</v>
      </c>
      <c r="Q13" s="236">
        <f t="shared" si="6"/>
        <v>0</v>
      </c>
      <c r="R13" s="241"/>
      <c r="S13" s="242">
        <f t="shared" si="11"/>
        <v>0</v>
      </c>
      <c r="T13" s="233"/>
      <c r="U13" s="243">
        <v>8</v>
      </c>
      <c r="V13" s="105">
        <f t="shared" si="8"/>
        <v>0</v>
      </c>
      <c r="W13" s="244"/>
      <c r="X13" s="245"/>
    </row>
    <row r="14" spans="1:24" ht="15" customHeight="1" x14ac:dyDescent="0.2">
      <c r="A14" s="230">
        <v>9</v>
      </c>
      <c r="B14" s="236">
        <f t="shared" si="0"/>
        <v>0</v>
      </c>
      <c r="C14" s="241"/>
      <c r="D14" s="242">
        <f t="shared" si="1"/>
        <v>0</v>
      </c>
      <c r="E14" s="233"/>
      <c r="F14" s="230">
        <v>9</v>
      </c>
      <c r="G14" s="236">
        <f t="shared" si="2"/>
        <v>0</v>
      </c>
      <c r="H14" s="241"/>
      <c r="I14" s="242">
        <f t="shared" si="9"/>
        <v>0</v>
      </c>
      <c r="J14" s="233"/>
      <c r="K14" s="230">
        <v>9</v>
      </c>
      <c r="L14" s="236">
        <f t="shared" si="4"/>
        <v>0</v>
      </c>
      <c r="M14" s="241"/>
      <c r="N14" s="242">
        <f t="shared" si="10"/>
        <v>0</v>
      </c>
      <c r="O14" s="235"/>
      <c r="P14" s="230">
        <v>9</v>
      </c>
      <c r="Q14" s="236">
        <f t="shared" si="6"/>
        <v>0</v>
      </c>
      <c r="R14" s="241"/>
      <c r="S14" s="242">
        <f t="shared" si="11"/>
        <v>0</v>
      </c>
      <c r="T14" s="233"/>
      <c r="U14" s="236">
        <v>9</v>
      </c>
      <c r="V14" s="105">
        <f t="shared" si="8"/>
        <v>0</v>
      </c>
      <c r="W14" s="244"/>
      <c r="X14" s="245"/>
    </row>
    <row r="15" spans="1:24" ht="15" customHeight="1" x14ac:dyDescent="0.2">
      <c r="A15" s="230">
        <v>10</v>
      </c>
      <c r="B15" s="236">
        <f t="shared" si="0"/>
        <v>0</v>
      </c>
      <c r="C15" s="241"/>
      <c r="D15" s="242">
        <f t="shared" si="1"/>
        <v>0</v>
      </c>
      <c r="E15" s="233"/>
      <c r="F15" s="230">
        <v>10</v>
      </c>
      <c r="G15" s="236">
        <f t="shared" si="2"/>
        <v>0</v>
      </c>
      <c r="H15" s="241"/>
      <c r="I15" s="242">
        <f t="shared" si="9"/>
        <v>0</v>
      </c>
      <c r="J15" s="233"/>
      <c r="K15" s="230">
        <v>10</v>
      </c>
      <c r="L15" s="236">
        <f t="shared" si="4"/>
        <v>0</v>
      </c>
      <c r="M15" s="241"/>
      <c r="N15" s="242">
        <f t="shared" si="10"/>
        <v>0</v>
      </c>
      <c r="O15" s="235"/>
      <c r="P15" s="230">
        <v>10</v>
      </c>
      <c r="Q15" s="236">
        <f t="shared" si="6"/>
        <v>0</v>
      </c>
      <c r="R15" s="241"/>
      <c r="S15" s="242">
        <f t="shared" si="11"/>
        <v>0</v>
      </c>
      <c r="T15" s="233"/>
      <c r="U15" s="236">
        <v>10</v>
      </c>
      <c r="V15" s="105">
        <f t="shared" si="8"/>
        <v>0</v>
      </c>
      <c r="W15" s="244"/>
      <c r="X15" s="245"/>
    </row>
    <row r="16" spans="1:24" ht="15" customHeight="1" x14ac:dyDescent="0.2">
      <c r="A16" s="230">
        <v>11</v>
      </c>
      <c r="B16" s="236">
        <f t="shared" si="0"/>
        <v>0</v>
      </c>
      <c r="C16" s="241"/>
      <c r="D16" s="242">
        <f t="shared" si="1"/>
        <v>0</v>
      </c>
      <c r="E16" s="233"/>
      <c r="F16" s="230">
        <v>11</v>
      </c>
      <c r="G16" s="236">
        <f t="shared" si="2"/>
        <v>0</v>
      </c>
      <c r="H16" s="241"/>
      <c r="I16" s="242">
        <f t="shared" si="9"/>
        <v>0</v>
      </c>
      <c r="J16" s="233"/>
      <c r="K16" s="230">
        <v>11</v>
      </c>
      <c r="L16" s="236">
        <f t="shared" si="4"/>
        <v>0</v>
      </c>
      <c r="M16" s="241"/>
      <c r="N16" s="242">
        <f t="shared" si="10"/>
        <v>0</v>
      </c>
      <c r="O16" s="235"/>
      <c r="P16" s="230">
        <v>11</v>
      </c>
      <c r="Q16" s="236">
        <f t="shared" si="6"/>
        <v>0</v>
      </c>
      <c r="R16" s="241"/>
      <c r="S16" s="242">
        <f t="shared" si="11"/>
        <v>0</v>
      </c>
      <c r="T16" s="233"/>
      <c r="U16" s="243">
        <v>11</v>
      </c>
      <c r="V16" s="105">
        <f t="shared" si="8"/>
        <v>0</v>
      </c>
      <c r="W16" s="244"/>
      <c r="X16" s="245"/>
    </row>
    <row r="17" spans="1:24" ht="15" customHeight="1" x14ac:dyDescent="0.2">
      <c r="A17" s="230">
        <v>12</v>
      </c>
      <c r="B17" s="236">
        <f t="shared" si="0"/>
        <v>0</v>
      </c>
      <c r="C17" s="241"/>
      <c r="D17" s="242">
        <f t="shared" si="1"/>
        <v>0</v>
      </c>
      <c r="E17" s="233"/>
      <c r="F17" s="230">
        <v>12</v>
      </c>
      <c r="G17" s="236">
        <f t="shared" si="2"/>
        <v>0</v>
      </c>
      <c r="H17" s="241"/>
      <c r="I17" s="242">
        <f t="shared" si="9"/>
        <v>0</v>
      </c>
      <c r="J17" s="233"/>
      <c r="K17" s="230">
        <v>12</v>
      </c>
      <c r="L17" s="236">
        <f t="shared" si="4"/>
        <v>0</v>
      </c>
      <c r="M17" s="241"/>
      <c r="N17" s="242">
        <f t="shared" si="10"/>
        <v>0</v>
      </c>
      <c r="O17" s="235"/>
      <c r="P17" s="230">
        <v>12</v>
      </c>
      <c r="Q17" s="236">
        <f t="shared" si="6"/>
        <v>0</v>
      </c>
      <c r="R17" s="241"/>
      <c r="S17" s="242">
        <f t="shared" si="11"/>
        <v>0</v>
      </c>
      <c r="T17" s="233"/>
      <c r="U17" s="236">
        <v>12</v>
      </c>
      <c r="V17" s="105">
        <f t="shared" si="8"/>
        <v>0</v>
      </c>
      <c r="W17" s="244"/>
      <c r="X17" s="245"/>
    </row>
    <row r="18" spans="1:24" ht="15" customHeight="1" x14ac:dyDescent="0.2">
      <c r="A18" s="230">
        <v>13</v>
      </c>
      <c r="B18" s="236">
        <f t="shared" si="0"/>
        <v>0</v>
      </c>
      <c r="C18" s="241"/>
      <c r="D18" s="242">
        <f t="shared" si="1"/>
        <v>0</v>
      </c>
      <c r="E18" s="233"/>
      <c r="F18" s="230">
        <v>13</v>
      </c>
      <c r="G18" s="236">
        <f t="shared" si="2"/>
        <v>0</v>
      </c>
      <c r="H18" s="241"/>
      <c r="I18" s="242">
        <f t="shared" si="9"/>
        <v>0</v>
      </c>
      <c r="J18" s="233"/>
      <c r="K18" s="230">
        <v>13</v>
      </c>
      <c r="L18" s="236">
        <f t="shared" si="4"/>
        <v>0</v>
      </c>
      <c r="M18" s="241"/>
      <c r="N18" s="242">
        <f t="shared" si="10"/>
        <v>0</v>
      </c>
      <c r="O18" s="235"/>
      <c r="P18" s="230">
        <v>13</v>
      </c>
      <c r="Q18" s="236">
        <f t="shared" si="6"/>
        <v>0</v>
      </c>
      <c r="R18" s="241"/>
      <c r="S18" s="242">
        <f t="shared" si="11"/>
        <v>0</v>
      </c>
      <c r="T18" s="233"/>
      <c r="U18" s="236">
        <v>13</v>
      </c>
      <c r="V18" s="105">
        <f t="shared" si="8"/>
        <v>0</v>
      </c>
      <c r="W18" s="244"/>
      <c r="X18" s="245"/>
    </row>
    <row r="19" spans="1:24" ht="15" customHeight="1" x14ac:dyDescent="0.2">
      <c r="A19" s="230">
        <v>14</v>
      </c>
      <c r="B19" s="236">
        <f t="shared" si="0"/>
        <v>0</v>
      </c>
      <c r="C19" s="241"/>
      <c r="D19" s="242">
        <f t="shared" si="1"/>
        <v>0</v>
      </c>
      <c r="E19" s="233"/>
      <c r="F19" s="230">
        <v>14</v>
      </c>
      <c r="G19" s="236">
        <f t="shared" si="2"/>
        <v>0</v>
      </c>
      <c r="H19" s="241"/>
      <c r="I19" s="242">
        <f t="shared" si="9"/>
        <v>0</v>
      </c>
      <c r="J19" s="233"/>
      <c r="K19" s="230">
        <v>14</v>
      </c>
      <c r="L19" s="236">
        <f t="shared" si="4"/>
        <v>0</v>
      </c>
      <c r="M19" s="241"/>
      <c r="N19" s="242">
        <f t="shared" si="10"/>
        <v>0</v>
      </c>
      <c r="O19" s="235"/>
      <c r="P19" s="230">
        <v>14</v>
      </c>
      <c r="Q19" s="236">
        <f t="shared" si="6"/>
        <v>0</v>
      </c>
      <c r="R19" s="241"/>
      <c r="S19" s="242">
        <f t="shared" si="11"/>
        <v>0</v>
      </c>
      <c r="T19" s="233"/>
      <c r="U19" s="243">
        <v>14</v>
      </c>
      <c r="V19" s="105">
        <f t="shared" si="8"/>
        <v>0</v>
      </c>
      <c r="W19" s="244"/>
      <c r="X19" s="245"/>
    </row>
    <row r="20" spans="1:24" ht="15" customHeight="1" x14ac:dyDescent="0.2">
      <c r="A20" s="230">
        <v>15</v>
      </c>
      <c r="B20" s="236">
        <f t="shared" si="0"/>
        <v>0</v>
      </c>
      <c r="C20" s="241"/>
      <c r="D20" s="242">
        <f t="shared" si="1"/>
        <v>0</v>
      </c>
      <c r="E20" s="233"/>
      <c r="F20" s="230">
        <v>15</v>
      </c>
      <c r="G20" s="236">
        <f t="shared" si="2"/>
        <v>0</v>
      </c>
      <c r="H20" s="241"/>
      <c r="I20" s="242">
        <f t="shared" si="9"/>
        <v>0</v>
      </c>
      <c r="J20" s="233"/>
      <c r="K20" s="230">
        <v>15</v>
      </c>
      <c r="L20" s="236">
        <f t="shared" si="4"/>
        <v>0</v>
      </c>
      <c r="M20" s="241"/>
      <c r="N20" s="242">
        <f t="shared" si="10"/>
        <v>0</v>
      </c>
      <c r="O20" s="235"/>
      <c r="P20" s="230">
        <v>15</v>
      </c>
      <c r="Q20" s="236">
        <f t="shared" si="6"/>
        <v>0</v>
      </c>
      <c r="R20" s="241"/>
      <c r="S20" s="242">
        <f t="shared" si="11"/>
        <v>0</v>
      </c>
      <c r="T20" s="233"/>
      <c r="U20" s="236">
        <v>15</v>
      </c>
      <c r="V20" s="105">
        <f t="shared" si="8"/>
        <v>0</v>
      </c>
      <c r="W20" s="244"/>
      <c r="X20" s="245"/>
    </row>
    <row r="21" spans="1:24" ht="15" customHeight="1" x14ac:dyDescent="0.2">
      <c r="A21" s="230">
        <v>16</v>
      </c>
      <c r="B21" s="236">
        <f t="shared" si="0"/>
        <v>0</v>
      </c>
      <c r="C21" s="241"/>
      <c r="D21" s="242">
        <f t="shared" si="1"/>
        <v>0</v>
      </c>
      <c r="E21" s="233"/>
      <c r="F21" s="230">
        <v>16</v>
      </c>
      <c r="G21" s="236">
        <f t="shared" si="2"/>
        <v>0</v>
      </c>
      <c r="H21" s="241"/>
      <c r="I21" s="242">
        <f t="shared" si="9"/>
        <v>0</v>
      </c>
      <c r="J21" s="233"/>
      <c r="K21" s="230">
        <v>16</v>
      </c>
      <c r="L21" s="236">
        <f t="shared" si="4"/>
        <v>0</v>
      </c>
      <c r="M21" s="241"/>
      <c r="N21" s="242">
        <f t="shared" si="10"/>
        <v>0</v>
      </c>
      <c r="O21" s="235"/>
      <c r="P21" s="230">
        <v>16</v>
      </c>
      <c r="Q21" s="236">
        <f t="shared" si="6"/>
        <v>0</v>
      </c>
      <c r="R21" s="241"/>
      <c r="S21" s="242">
        <f t="shared" si="11"/>
        <v>0</v>
      </c>
      <c r="T21" s="233"/>
      <c r="U21" s="236">
        <v>16</v>
      </c>
      <c r="V21" s="105">
        <f t="shared" si="8"/>
        <v>0</v>
      </c>
      <c r="W21" s="244"/>
      <c r="X21" s="246"/>
    </row>
    <row r="22" spans="1:24" ht="15" customHeight="1" x14ac:dyDescent="0.2">
      <c r="A22" s="230">
        <v>17</v>
      </c>
      <c r="B22" s="236">
        <f t="shared" si="0"/>
        <v>0</v>
      </c>
      <c r="C22" s="241"/>
      <c r="D22" s="242">
        <f t="shared" si="1"/>
        <v>0</v>
      </c>
      <c r="E22" s="233"/>
      <c r="F22" s="230">
        <v>17</v>
      </c>
      <c r="G22" s="236">
        <f t="shared" si="2"/>
        <v>0</v>
      </c>
      <c r="H22" s="241"/>
      <c r="I22" s="242">
        <f t="shared" si="9"/>
        <v>0</v>
      </c>
      <c r="J22" s="233"/>
      <c r="K22" s="230">
        <v>17</v>
      </c>
      <c r="L22" s="236">
        <f t="shared" si="4"/>
        <v>0</v>
      </c>
      <c r="M22" s="241"/>
      <c r="N22" s="242">
        <f t="shared" si="10"/>
        <v>0</v>
      </c>
      <c r="O22" s="235"/>
      <c r="P22" s="230">
        <v>17</v>
      </c>
      <c r="Q22" s="236">
        <f t="shared" si="6"/>
        <v>0</v>
      </c>
      <c r="R22" s="241"/>
      <c r="S22" s="242">
        <f t="shared" si="11"/>
        <v>0</v>
      </c>
      <c r="T22" s="233"/>
      <c r="U22" s="243">
        <v>17</v>
      </c>
      <c r="V22" s="105">
        <f t="shared" si="8"/>
        <v>0</v>
      </c>
      <c r="W22" s="244"/>
      <c r="X22" s="246"/>
    </row>
    <row r="23" spans="1:24" ht="15" customHeight="1" x14ac:dyDescent="0.2">
      <c r="A23" s="230">
        <v>18</v>
      </c>
      <c r="B23" s="236">
        <f t="shared" si="0"/>
        <v>0</v>
      </c>
      <c r="C23" s="241"/>
      <c r="D23" s="242">
        <f t="shared" si="1"/>
        <v>0</v>
      </c>
      <c r="E23" s="233"/>
      <c r="F23" s="230">
        <v>18</v>
      </c>
      <c r="G23" s="236">
        <f t="shared" si="2"/>
        <v>0</v>
      </c>
      <c r="H23" s="241"/>
      <c r="I23" s="242">
        <f t="shared" si="9"/>
        <v>0</v>
      </c>
      <c r="J23" s="233"/>
      <c r="K23" s="230">
        <v>18</v>
      </c>
      <c r="L23" s="236">
        <f t="shared" si="4"/>
        <v>0</v>
      </c>
      <c r="M23" s="241"/>
      <c r="N23" s="242">
        <f t="shared" si="10"/>
        <v>0</v>
      </c>
      <c r="O23" s="235"/>
      <c r="P23" s="230">
        <v>18</v>
      </c>
      <c r="Q23" s="236">
        <f t="shared" si="6"/>
        <v>0</v>
      </c>
      <c r="R23" s="241"/>
      <c r="S23" s="242">
        <f t="shared" si="11"/>
        <v>0</v>
      </c>
      <c r="T23" s="233"/>
      <c r="U23" s="236">
        <v>18</v>
      </c>
      <c r="V23" s="105">
        <f t="shared" si="8"/>
        <v>0</v>
      </c>
      <c r="W23" s="244"/>
      <c r="X23" s="246"/>
    </row>
    <row r="24" spans="1:24" ht="15" customHeight="1" x14ac:dyDescent="0.2">
      <c r="A24" s="230">
        <v>19</v>
      </c>
      <c r="B24" s="236">
        <f t="shared" si="0"/>
        <v>0</v>
      </c>
      <c r="C24" s="241"/>
      <c r="D24" s="242">
        <f t="shared" si="1"/>
        <v>0</v>
      </c>
      <c r="E24" s="233"/>
      <c r="F24" s="230">
        <v>19</v>
      </c>
      <c r="G24" s="236">
        <f t="shared" si="2"/>
        <v>0</v>
      </c>
      <c r="H24" s="241"/>
      <c r="I24" s="242">
        <f t="shared" si="9"/>
        <v>0</v>
      </c>
      <c r="J24" s="233"/>
      <c r="K24" s="230">
        <v>19</v>
      </c>
      <c r="L24" s="236">
        <f t="shared" si="4"/>
        <v>0</v>
      </c>
      <c r="M24" s="241"/>
      <c r="N24" s="242">
        <f t="shared" si="10"/>
        <v>0</v>
      </c>
      <c r="O24" s="235"/>
      <c r="P24" s="230">
        <v>19</v>
      </c>
      <c r="Q24" s="236">
        <f t="shared" si="6"/>
        <v>0</v>
      </c>
      <c r="R24" s="241"/>
      <c r="S24" s="242">
        <f t="shared" si="11"/>
        <v>0</v>
      </c>
      <c r="T24" s="233"/>
      <c r="U24" s="236">
        <v>19</v>
      </c>
      <c r="V24" s="105">
        <f t="shared" si="8"/>
        <v>0</v>
      </c>
      <c r="W24" s="247"/>
      <c r="X24" s="246"/>
    </row>
    <row r="25" spans="1:24" ht="15" customHeight="1" x14ac:dyDescent="0.2">
      <c r="A25" s="230">
        <v>20</v>
      </c>
      <c r="B25" s="236">
        <f t="shared" si="0"/>
        <v>0</v>
      </c>
      <c r="C25" s="241"/>
      <c r="D25" s="242">
        <f>C25-B25</f>
        <v>0</v>
      </c>
      <c r="E25" s="233"/>
      <c r="F25" s="230">
        <v>20</v>
      </c>
      <c r="G25" s="236">
        <f t="shared" si="2"/>
        <v>0</v>
      </c>
      <c r="H25" s="241"/>
      <c r="I25" s="242">
        <f>H25-G25</f>
        <v>0</v>
      </c>
      <c r="J25" s="233"/>
      <c r="K25" s="230">
        <v>20</v>
      </c>
      <c r="L25" s="236">
        <f t="shared" si="4"/>
        <v>0</v>
      </c>
      <c r="M25" s="241"/>
      <c r="N25" s="242">
        <f>M25-L25</f>
        <v>0</v>
      </c>
      <c r="O25" s="235"/>
      <c r="P25" s="230">
        <v>20</v>
      </c>
      <c r="Q25" s="236">
        <f t="shared" si="6"/>
        <v>0</v>
      </c>
      <c r="R25" s="241"/>
      <c r="S25" s="242">
        <f>R25-Q25</f>
        <v>0</v>
      </c>
      <c r="T25" s="233"/>
      <c r="U25" s="243">
        <v>20</v>
      </c>
      <c r="V25" s="105">
        <f t="shared" si="8"/>
        <v>0</v>
      </c>
      <c r="W25" s="247"/>
      <c r="X25" s="246"/>
    </row>
    <row r="26" spans="1:24" ht="15" customHeight="1" x14ac:dyDescent="0.2">
      <c r="A26" s="230">
        <v>21</v>
      </c>
      <c r="B26" s="236">
        <f t="shared" si="0"/>
        <v>0</v>
      </c>
      <c r="C26" s="241"/>
      <c r="D26" s="242">
        <f t="shared" si="1"/>
        <v>0</v>
      </c>
      <c r="E26" s="233"/>
      <c r="F26" s="230">
        <v>21</v>
      </c>
      <c r="G26" s="236">
        <f t="shared" si="2"/>
        <v>0</v>
      </c>
      <c r="H26" s="241"/>
      <c r="I26" s="242">
        <f t="shared" ref="I26:I29" si="12">H26-G26</f>
        <v>0</v>
      </c>
      <c r="J26" s="233"/>
      <c r="K26" s="230">
        <v>21</v>
      </c>
      <c r="L26" s="236">
        <f t="shared" si="4"/>
        <v>0</v>
      </c>
      <c r="M26" s="241"/>
      <c r="N26" s="242">
        <f t="shared" ref="N26:N29" si="13">M26-L26</f>
        <v>0</v>
      </c>
      <c r="O26" s="235"/>
      <c r="P26" s="230">
        <v>21</v>
      </c>
      <c r="Q26" s="236">
        <f t="shared" si="6"/>
        <v>0</v>
      </c>
      <c r="R26" s="241"/>
      <c r="S26" s="242">
        <f t="shared" ref="S26:S29" si="14">R26-Q26</f>
        <v>0</v>
      </c>
      <c r="T26" s="233"/>
      <c r="U26" s="236">
        <v>21</v>
      </c>
      <c r="V26" s="105">
        <f t="shared" si="8"/>
        <v>0</v>
      </c>
      <c r="W26" s="247"/>
      <c r="X26" s="246"/>
    </row>
    <row r="27" spans="1:24" ht="15" customHeight="1" x14ac:dyDescent="0.2">
      <c r="A27" s="230">
        <v>22</v>
      </c>
      <c r="B27" s="236">
        <f t="shared" si="0"/>
        <v>0</v>
      </c>
      <c r="C27" s="241"/>
      <c r="D27" s="242">
        <f t="shared" si="1"/>
        <v>0</v>
      </c>
      <c r="E27" s="233"/>
      <c r="F27" s="230">
        <v>22</v>
      </c>
      <c r="G27" s="236">
        <f t="shared" si="2"/>
        <v>0</v>
      </c>
      <c r="H27" s="241"/>
      <c r="I27" s="242">
        <f t="shared" si="12"/>
        <v>0</v>
      </c>
      <c r="J27" s="233"/>
      <c r="K27" s="230">
        <v>22</v>
      </c>
      <c r="L27" s="236">
        <f t="shared" si="4"/>
        <v>0</v>
      </c>
      <c r="M27" s="241"/>
      <c r="N27" s="242">
        <f t="shared" si="13"/>
        <v>0</v>
      </c>
      <c r="O27" s="235"/>
      <c r="P27" s="230">
        <v>22</v>
      </c>
      <c r="Q27" s="236">
        <f t="shared" si="6"/>
        <v>0</v>
      </c>
      <c r="R27" s="241"/>
      <c r="S27" s="242">
        <f t="shared" si="14"/>
        <v>0</v>
      </c>
      <c r="T27" s="233"/>
      <c r="U27" s="236">
        <v>22</v>
      </c>
      <c r="V27" s="105">
        <f t="shared" si="8"/>
        <v>0</v>
      </c>
      <c r="W27" s="247"/>
      <c r="X27" s="246"/>
    </row>
    <row r="28" spans="1:24" ht="15" customHeight="1" x14ac:dyDescent="0.2">
      <c r="A28" s="230">
        <v>23</v>
      </c>
      <c r="B28" s="236">
        <f t="shared" si="0"/>
        <v>0</v>
      </c>
      <c r="C28" s="241"/>
      <c r="D28" s="242">
        <f t="shared" si="1"/>
        <v>0</v>
      </c>
      <c r="E28" s="233"/>
      <c r="F28" s="230">
        <v>23</v>
      </c>
      <c r="G28" s="236">
        <f t="shared" si="2"/>
        <v>0</v>
      </c>
      <c r="H28" s="241"/>
      <c r="I28" s="242">
        <f t="shared" si="12"/>
        <v>0</v>
      </c>
      <c r="J28" s="233"/>
      <c r="K28" s="230">
        <v>23</v>
      </c>
      <c r="L28" s="236">
        <f t="shared" si="4"/>
        <v>0</v>
      </c>
      <c r="M28" s="241"/>
      <c r="N28" s="242">
        <f t="shared" si="13"/>
        <v>0</v>
      </c>
      <c r="O28" s="235"/>
      <c r="P28" s="230">
        <v>23</v>
      </c>
      <c r="Q28" s="236">
        <f t="shared" si="6"/>
        <v>0</v>
      </c>
      <c r="R28" s="241"/>
      <c r="S28" s="242">
        <f t="shared" si="14"/>
        <v>0</v>
      </c>
      <c r="T28" s="233"/>
      <c r="U28" s="243">
        <v>23</v>
      </c>
      <c r="V28" s="105">
        <f t="shared" si="8"/>
        <v>0</v>
      </c>
      <c r="W28" s="247"/>
      <c r="X28" s="246"/>
    </row>
    <row r="29" spans="1:24" ht="15" customHeight="1" x14ac:dyDescent="0.2">
      <c r="A29" s="230">
        <v>24</v>
      </c>
      <c r="B29" s="236">
        <f t="shared" si="0"/>
        <v>0</v>
      </c>
      <c r="C29" s="241"/>
      <c r="D29" s="242">
        <f t="shared" si="1"/>
        <v>0</v>
      </c>
      <c r="E29" s="233"/>
      <c r="F29" s="230">
        <v>24</v>
      </c>
      <c r="G29" s="236">
        <f t="shared" si="2"/>
        <v>0</v>
      </c>
      <c r="H29" s="241"/>
      <c r="I29" s="242">
        <f t="shared" si="12"/>
        <v>0</v>
      </c>
      <c r="J29" s="233"/>
      <c r="K29" s="230">
        <v>24</v>
      </c>
      <c r="L29" s="236">
        <f t="shared" si="4"/>
        <v>0</v>
      </c>
      <c r="M29" s="241"/>
      <c r="N29" s="242">
        <f t="shared" si="13"/>
        <v>0</v>
      </c>
      <c r="O29" s="235"/>
      <c r="P29" s="230">
        <v>24</v>
      </c>
      <c r="Q29" s="236">
        <f t="shared" si="6"/>
        <v>0</v>
      </c>
      <c r="R29" s="241"/>
      <c r="S29" s="242">
        <f t="shared" si="14"/>
        <v>0</v>
      </c>
      <c r="T29" s="233"/>
      <c r="U29" s="236">
        <v>24</v>
      </c>
      <c r="V29" s="105">
        <f t="shared" si="8"/>
        <v>0</v>
      </c>
      <c r="W29" s="247"/>
      <c r="X29" s="246"/>
    </row>
    <row r="30" spans="1:24" ht="15" customHeight="1" x14ac:dyDescent="0.2">
      <c r="A30" s="230">
        <v>25</v>
      </c>
      <c r="B30" s="236">
        <f t="shared" si="0"/>
        <v>0</v>
      </c>
      <c r="C30" s="248"/>
      <c r="D30" s="242">
        <f>C30-B30</f>
        <v>0</v>
      </c>
      <c r="E30" s="233"/>
      <c r="F30" s="230">
        <v>25</v>
      </c>
      <c r="G30" s="236">
        <f t="shared" si="2"/>
        <v>0</v>
      </c>
      <c r="H30" s="248"/>
      <c r="I30" s="242">
        <f>H30-G30</f>
        <v>0</v>
      </c>
      <c r="J30" s="233"/>
      <c r="K30" s="230">
        <v>25</v>
      </c>
      <c r="L30" s="236">
        <f t="shared" si="4"/>
        <v>0</v>
      </c>
      <c r="M30" s="248"/>
      <c r="N30" s="242">
        <f>M30-L30</f>
        <v>0</v>
      </c>
      <c r="O30" s="235"/>
      <c r="P30" s="230">
        <v>25</v>
      </c>
      <c r="Q30" s="236">
        <f t="shared" si="6"/>
        <v>0</v>
      </c>
      <c r="R30" s="248"/>
      <c r="S30" s="242">
        <f>R30-Q30</f>
        <v>0</v>
      </c>
      <c r="T30" s="233"/>
      <c r="U30" s="236">
        <v>25</v>
      </c>
      <c r="V30" s="105">
        <f t="shared" si="8"/>
        <v>0</v>
      </c>
      <c r="W30" s="247"/>
      <c r="X30" s="246"/>
    </row>
    <row r="31" spans="1:24" ht="15" customHeight="1" x14ac:dyDescent="0.2">
      <c r="A31" s="249">
        <v>26</v>
      </c>
      <c r="B31" s="250">
        <f t="shared" si="0"/>
        <v>0</v>
      </c>
      <c r="C31" s="251"/>
      <c r="D31" s="252">
        <f t="shared" si="1"/>
        <v>0</v>
      </c>
      <c r="E31" s="253"/>
      <c r="F31" s="249">
        <v>26</v>
      </c>
      <c r="G31" s="250">
        <f t="shared" si="2"/>
        <v>0</v>
      </c>
      <c r="H31" s="251"/>
      <c r="I31" s="252">
        <f t="shared" ref="I31:I33" si="15">H31-G31</f>
        <v>0</v>
      </c>
      <c r="J31" s="253"/>
      <c r="K31" s="249">
        <v>26</v>
      </c>
      <c r="L31" s="250">
        <f t="shared" si="4"/>
        <v>0</v>
      </c>
      <c r="M31" s="251"/>
      <c r="N31" s="252">
        <f t="shared" ref="N31:N33" si="16">M31-L31</f>
        <v>0</v>
      </c>
      <c r="O31" s="254"/>
      <c r="P31" s="249">
        <v>26</v>
      </c>
      <c r="Q31" s="250">
        <f t="shared" si="6"/>
        <v>0</v>
      </c>
      <c r="R31" s="251"/>
      <c r="S31" s="252">
        <f t="shared" ref="S31:S33" si="17">R31-Q31</f>
        <v>0</v>
      </c>
      <c r="T31" s="253"/>
      <c r="U31" s="243">
        <v>26</v>
      </c>
      <c r="V31" s="105">
        <f t="shared" si="8"/>
        <v>0</v>
      </c>
      <c r="W31" s="247"/>
      <c r="X31" s="246"/>
    </row>
    <row r="32" spans="1:24" ht="15" customHeight="1" x14ac:dyDescent="0.2">
      <c r="A32" s="230">
        <v>27</v>
      </c>
      <c r="B32" s="236">
        <f t="shared" si="0"/>
        <v>0</v>
      </c>
      <c r="C32" s="241"/>
      <c r="D32" s="242">
        <f t="shared" si="1"/>
        <v>0</v>
      </c>
      <c r="E32" s="233"/>
      <c r="F32" s="230">
        <v>27</v>
      </c>
      <c r="G32" s="236">
        <f t="shared" si="2"/>
        <v>0</v>
      </c>
      <c r="H32" s="241"/>
      <c r="I32" s="242">
        <f t="shared" si="15"/>
        <v>0</v>
      </c>
      <c r="J32" s="233"/>
      <c r="K32" s="230">
        <v>27</v>
      </c>
      <c r="L32" s="236">
        <f t="shared" si="4"/>
        <v>0</v>
      </c>
      <c r="M32" s="241"/>
      <c r="N32" s="242">
        <f t="shared" si="16"/>
        <v>0</v>
      </c>
      <c r="O32" s="235"/>
      <c r="P32" s="230">
        <v>27</v>
      </c>
      <c r="Q32" s="236">
        <f t="shared" si="6"/>
        <v>0</v>
      </c>
      <c r="R32" s="241"/>
      <c r="S32" s="242">
        <f t="shared" si="17"/>
        <v>0</v>
      </c>
      <c r="T32" s="233"/>
      <c r="U32" s="236">
        <v>27</v>
      </c>
      <c r="V32" s="105">
        <f t="shared" si="8"/>
        <v>0</v>
      </c>
      <c r="W32" s="247"/>
      <c r="X32" s="246"/>
    </row>
    <row r="33" spans="1:26" ht="15" customHeight="1" x14ac:dyDescent="0.2">
      <c r="A33" s="230">
        <v>28</v>
      </c>
      <c r="B33" s="236">
        <f t="shared" si="0"/>
        <v>0</v>
      </c>
      <c r="C33" s="241"/>
      <c r="D33" s="242">
        <f t="shared" si="1"/>
        <v>0</v>
      </c>
      <c r="E33" s="233"/>
      <c r="F33" s="230">
        <v>28</v>
      </c>
      <c r="G33" s="236">
        <f t="shared" si="2"/>
        <v>0</v>
      </c>
      <c r="H33" s="241"/>
      <c r="I33" s="242">
        <f t="shared" si="15"/>
        <v>0</v>
      </c>
      <c r="J33" s="233"/>
      <c r="K33" s="230">
        <v>28</v>
      </c>
      <c r="L33" s="236">
        <f t="shared" si="4"/>
        <v>0</v>
      </c>
      <c r="M33" s="241"/>
      <c r="N33" s="242">
        <f t="shared" si="16"/>
        <v>0</v>
      </c>
      <c r="O33" s="235"/>
      <c r="P33" s="230">
        <v>28</v>
      </c>
      <c r="Q33" s="236">
        <f t="shared" si="6"/>
        <v>0</v>
      </c>
      <c r="R33" s="241"/>
      <c r="S33" s="242">
        <f t="shared" si="17"/>
        <v>0</v>
      </c>
      <c r="T33" s="233"/>
      <c r="U33" s="236">
        <v>28</v>
      </c>
      <c r="V33" s="105">
        <f t="shared" si="8"/>
        <v>0</v>
      </c>
      <c r="W33" s="247"/>
      <c r="X33" s="246"/>
    </row>
    <row r="34" spans="1:26" x14ac:dyDescent="0.2">
      <c r="A34" s="230">
        <v>29</v>
      </c>
      <c r="B34" s="236">
        <f t="shared" si="0"/>
        <v>0</v>
      </c>
      <c r="C34" s="241"/>
      <c r="D34" s="242">
        <f>C34-B34</f>
        <v>0</v>
      </c>
      <c r="E34" s="235"/>
      <c r="F34" s="230">
        <v>29</v>
      </c>
      <c r="G34" s="236">
        <f t="shared" si="2"/>
        <v>0</v>
      </c>
      <c r="H34" s="241"/>
      <c r="I34" s="242">
        <f>H34-G34</f>
        <v>0</v>
      </c>
      <c r="J34" s="235"/>
      <c r="K34" s="230">
        <v>29</v>
      </c>
      <c r="L34" s="236">
        <f t="shared" si="4"/>
        <v>0</v>
      </c>
      <c r="M34" s="241"/>
      <c r="N34" s="242">
        <f>M34-L34</f>
        <v>0</v>
      </c>
      <c r="O34" s="235"/>
      <c r="P34" s="230">
        <v>29</v>
      </c>
      <c r="Q34" s="236">
        <f t="shared" si="6"/>
        <v>0</v>
      </c>
      <c r="R34" s="241"/>
      <c r="S34" s="242">
        <f>R34-Q34</f>
        <v>0</v>
      </c>
      <c r="T34" s="233"/>
      <c r="U34" s="243">
        <v>29</v>
      </c>
      <c r="V34" s="105">
        <f t="shared" si="8"/>
        <v>0</v>
      </c>
      <c r="W34" s="247"/>
      <c r="X34" s="246"/>
      <c r="Z34" s="255">
        <f>SUM(W23:W32)</f>
        <v>0</v>
      </c>
    </row>
    <row r="35" spans="1:26" x14ac:dyDescent="0.2">
      <c r="A35" s="230">
        <v>30</v>
      </c>
      <c r="B35" s="236">
        <f>C34</f>
        <v>0</v>
      </c>
      <c r="C35" s="241"/>
      <c r="D35" s="242">
        <f>C35-B35</f>
        <v>0</v>
      </c>
      <c r="E35" s="235"/>
      <c r="F35" s="230">
        <v>30</v>
      </c>
      <c r="G35" s="236">
        <f>H34</f>
        <v>0</v>
      </c>
      <c r="H35" s="241"/>
      <c r="I35" s="242">
        <f>H35-G35</f>
        <v>0</v>
      </c>
      <c r="J35" s="235"/>
      <c r="K35" s="230">
        <v>30</v>
      </c>
      <c r="L35" s="236">
        <f>M34</f>
        <v>0</v>
      </c>
      <c r="M35" s="241"/>
      <c r="N35" s="242">
        <f>M35-L35</f>
        <v>0</v>
      </c>
      <c r="O35" s="235"/>
      <c r="P35" s="230">
        <v>30</v>
      </c>
      <c r="Q35" s="236">
        <f>R34</f>
        <v>0</v>
      </c>
      <c r="R35" s="241"/>
      <c r="S35" s="242">
        <f>R35-Q35</f>
        <v>0</v>
      </c>
      <c r="T35" s="233"/>
      <c r="U35" s="236">
        <v>30</v>
      </c>
      <c r="V35" s="105">
        <f t="shared" si="8"/>
        <v>0</v>
      </c>
      <c r="W35" s="247"/>
      <c r="X35" s="246"/>
      <c r="Z35" s="219">
        <f>Z34/11</f>
        <v>0</v>
      </c>
    </row>
    <row r="36" spans="1:26" x14ac:dyDescent="0.2">
      <c r="A36" s="230">
        <v>31</v>
      </c>
      <c r="B36" s="236">
        <f>C35</f>
        <v>0</v>
      </c>
      <c r="C36" s="241"/>
      <c r="D36" s="242">
        <f>C36-B36</f>
        <v>0</v>
      </c>
      <c r="E36" s="235"/>
      <c r="F36" s="230">
        <v>31</v>
      </c>
      <c r="G36" s="236">
        <f>H35</f>
        <v>0</v>
      </c>
      <c r="H36" s="241"/>
      <c r="I36" s="242">
        <f>H36-G36</f>
        <v>0</v>
      </c>
      <c r="J36" s="235"/>
      <c r="K36" s="230">
        <v>31</v>
      </c>
      <c r="L36" s="236">
        <f>M35</f>
        <v>0</v>
      </c>
      <c r="M36" s="241"/>
      <c r="N36" s="242">
        <f>M36-L36</f>
        <v>0</v>
      </c>
      <c r="O36" s="235"/>
      <c r="P36" s="230">
        <v>31</v>
      </c>
      <c r="Q36" s="236">
        <f>R35</f>
        <v>0</v>
      </c>
      <c r="R36" s="241"/>
      <c r="S36" s="242">
        <f>R36-Q36</f>
        <v>0</v>
      </c>
      <c r="T36" s="256"/>
      <c r="U36" s="236">
        <v>31</v>
      </c>
      <c r="V36" s="105">
        <f t="shared" si="8"/>
        <v>0</v>
      </c>
      <c r="W36" s="247"/>
      <c r="X36" s="246"/>
    </row>
    <row r="37" spans="1:26" ht="13.5" thickBot="1" x14ac:dyDescent="0.25">
      <c r="A37" s="257" t="s">
        <v>7</v>
      </c>
      <c r="D37" s="258">
        <f>SUM(D6:D36)</f>
        <v>0</v>
      </c>
      <c r="E37" s="259"/>
      <c r="F37" s="257" t="s">
        <v>7</v>
      </c>
      <c r="I37" s="258">
        <f>SUM(I6:I36)</f>
        <v>-834</v>
      </c>
      <c r="J37" s="259"/>
      <c r="K37" s="257" t="s">
        <v>7</v>
      </c>
      <c r="N37" s="258">
        <f>SUM(N6:N36)</f>
        <v>-708651</v>
      </c>
      <c r="O37" s="259"/>
      <c r="P37" s="257" t="s">
        <v>7</v>
      </c>
      <c r="S37" s="258">
        <f>SUM(S6:S36)</f>
        <v>-191812</v>
      </c>
      <c r="T37" s="259"/>
    </row>
    <row r="38" spans="1:26" ht="13.5" thickTop="1" x14ac:dyDescent="0.2"/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E11" sqref="E11"/>
    </sheetView>
  </sheetViews>
  <sheetFormatPr defaultRowHeight="12.75" x14ac:dyDescent="0.2"/>
  <cols>
    <col min="1" max="1" width="7" style="282" customWidth="1"/>
    <col min="2" max="2" width="17.7109375" style="257" customWidth="1"/>
    <col min="3" max="3" width="15.7109375" style="257" customWidth="1"/>
    <col min="4" max="5" width="16.140625" style="257" customWidth="1"/>
    <col min="6" max="6" width="16.140625" style="283" customWidth="1"/>
    <col min="7" max="7" width="14.5703125" style="283" customWidth="1"/>
    <col min="8" max="8" width="13" style="219" customWidth="1"/>
    <col min="9" max="16384" width="9.140625" style="219"/>
  </cols>
  <sheetData>
    <row r="1" spans="1:20" s="220" customFormat="1" x14ac:dyDescent="0.2">
      <c r="A1" s="344"/>
      <c r="B1" s="344"/>
      <c r="C1" s="263"/>
      <c r="D1" s="263"/>
      <c r="E1" s="263"/>
      <c r="F1" s="264"/>
      <c r="G1" s="264"/>
    </row>
    <row r="2" spans="1:20" ht="24.75" customHeight="1" x14ac:dyDescent="0.2">
      <c r="A2" s="345" t="s">
        <v>36</v>
      </c>
      <c r="B2" s="345"/>
      <c r="C2" s="345"/>
      <c r="D2" s="345"/>
      <c r="E2" s="345"/>
      <c r="F2" s="345"/>
      <c r="G2" s="345"/>
      <c r="H2" s="345"/>
    </row>
    <row r="3" spans="1:20" ht="26.25" customHeight="1" x14ac:dyDescent="0.2">
      <c r="A3" s="265" t="s">
        <v>148</v>
      </c>
      <c r="B3" s="266">
        <v>44197</v>
      </c>
      <c r="C3" s="267"/>
      <c r="D3" s="265"/>
      <c r="E3" s="265"/>
      <c r="F3" s="265"/>
      <c r="G3" s="268"/>
      <c r="H3" s="269"/>
    </row>
    <row r="4" spans="1:20" ht="42" customHeight="1" x14ac:dyDescent="0.2">
      <c r="A4" s="270" t="s">
        <v>5</v>
      </c>
      <c r="B4" s="271" t="s">
        <v>149</v>
      </c>
      <c r="C4" s="271" t="s">
        <v>150</v>
      </c>
      <c r="D4" s="271" t="s">
        <v>151</v>
      </c>
      <c r="E4" s="271" t="s">
        <v>152</v>
      </c>
      <c r="F4" s="272" t="s">
        <v>7</v>
      </c>
      <c r="G4" s="273" t="s">
        <v>37</v>
      </c>
      <c r="H4" s="273" t="s">
        <v>153</v>
      </c>
    </row>
    <row r="5" spans="1:20" ht="24" customHeight="1" x14ac:dyDescent="0.2">
      <c r="A5" s="346">
        <v>44561</v>
      </c>
      <c r="B5" s="347"/>
      <c r="C5" s="347"/>
      <c r="D5" s="347"/>
      <c r="E5" s="347"/>
      <c r="F5" s="348"/>
      <c r="G5" s="274">
        <v>225</v>
      </c>
      <c r="H5" s="274"/>
    </row>
    <row r="6" spans="1:20" ht="21.75" customHeight="1" x14ac:dyDescent="0.2">
      <c r="A6" s="275">
        <v>1</v>
      </c>
      <c r="B6" s="243">
        <v>2</v>
      </c>
      <c r="C6" s="243">
        <v>0</v>
      </c>
      <c r="D6" s="243">
        <v>1</v>
      </c>
      <c r="E6" s="166">
        <v>0</v>
      </c>
      <c r="F6" s="276">
        <f>SUM(B6:E6)</f>
        <v>3</v>
      </c>
      <c r="G6" s="277">
        <f>F6*45</f>
        <v>135</v>
      </c>
      <c r="H6" s="278">
        <f>WATER!W6</f>
        <v>97.09</v>
      </c>
    </row>
    <row r="7" spans="1:20" ht="21.75" customHeight="1" x14ac:dyDescent="0.2">
      <c r="A7" s="275">
        <v>2</v>
      </c>
      <c r="B7" s="240">
        <v>2</v>
      </c>
      <c r="C7" s="240">
        <v>1</v>
      </c>
      <c r="D7" s="240">
        <v>1</v>
      </c>
      <c r="E7" s="166">
        <v>5</v>
      </c>
      <c r="F7" s="276">
        <f t="shared" ref="F7:F36" si="0">SUM(B7:E7)</f>
        <v>9</v>
      </c>
      <c r="G7" s="277">
        <f t="shared" ref="G7:G36" si="1">F7*45</f>
        <v>405</v>
      </c>
      <c r="H7" s="278">
        <f>WATER!W7</f>
        <v>95.15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75">
        <v>3</v>
      </c>
      <c r="B8" s="240">
        <v>2</v>
      </c>
      <c r="C8" s="240">
        <v>1</v>
      </c>
      <c r="D8" s="240">
        <v>1</v>
      </c>
      <c r="E8" s="166">
        <v>5</v>
      </c>
      <c r="F8" s="276">
        <f t="shared" si="0"/>
        <v>9</v>
      </c>
      <c r="G8" s="277">
        <f t="shared" si="1"/>
        <v>405</v>
      </c>
      <c r="H8" s="278">
        <f>WATER!W8</f>
        <v>99.03</v>
      </c>
    </row>
    <row r="9" spans="1:20" ht="21.75" customHeight="1" x14ac:dyDescent="0.2">
      <c r="A9" s="275">
        <v>4</v>
      </c>
      <c r="B9" s="240">
        <v>2</v>
      </c>
      <c r="C9" s="243">
        <v>1</v>
      </c>
      <c r="D9" s="240">
        <v>1</v>
      </c>
      <c r="E9" s="166">
        <v>0</v>
      </c>
      <c r="F9" s="276">
        <f t="shared" si="0"/>
        <v>4</v>
      </c>
      <c r="G9" s="277">
        <f t="shared" si="1"/>
        <v>180</v>
      </c>
      <c r="H9" s="278">
        <f>WATER!W9</f>
        <v>98.06</v>
      </c>
    </row>
    <row r="10" spans="1:20" ht="21.75" customHeight="1" x14ac:dyDescent="0.2">
      <c r="A10" s="275">
        <v>5</v>
      </c>
      <c r="B10" s="240">
        <v>2</v>
      </c>
      <c r="C10" s="240">
        <v>1</v>
      </c>
      <c r="D10" s="240">
        <v>1</v>
      </c>
      <c r="E10" s="166">
        <v>0</v>
      </c>
      <c r="F10" s="276">
        <f t="shared" si="0"/>
        <v>4</v>
      </c>
      <c r="G10" s="277">
        <f t="shared" si="1"/>
        <v>180</v>
      </c>
      <c r="H10" s="278">
        <f>WATER!W10</f>
        <v>98.06</v>
      </c>
    </row>
    <row r="11" spans="1:20" ht="21.75" customHeight="1" x14ac:dyDescent="0.2">
      <c r="A11" s="275">
        <v>6</v>
      </c>
      <c r="B11" s="240"/>
      <c r="C11" s="240"/>
      <c r="D11" s="240"/>
      <c r="E11" s="166"/>
      <c r="F11" s="276">
        <f t="shared" si="0"/>
        <v>0</v>
      </c>
      <c r="G11" s="277">
        <f t="shared" si="1"/>
        <v>0</v>
      </c>
      <c r="H11" s="278">
        <f>WATER!W11</f>
        <v>0</v>
      </c>
    </row>
    <row r="12" spans="1:20" ht="21.75" customHeight="1" x14ac:dyDescent="0.2">
      <c r="A12" s="275">
        <v>7</v>
      </c>
      <c r="B12" s="240"/>
      <c r="C12" s="243"/>
      <c r="D12" s="240"/>
      <c r="E12" s="166"/>
      <c r="F12" s="276">
        <f t="shared" si="0"/>
        <v>0</v>
      </c>
      <c r="G12" s="277">
        <f t="shared" si="1"/>
        <v>0</v>
      </c>
      <c r="H12" s="278">
        <f>WATER!W12</f>
        <v>0</v>
      </c>
    </row>
    <row r="13" spans="1:20" ht="21.75" customHeight="1" x14ac:dyDescent="0.2">
      <c r="A13" s="275">
        <v>8</v>
      </c>
      <c r="B13" s="240"/>
      <c r="C13" s="240"/>
      <c r="D13" s="240"/>
      <c r="E13" s="166"/>
      <c r="F13" s="276">
        <f t="shared" si="0"/>
        <v>0</v>
      </c>
      <c r="G13" s="277">
        <f t="shared" si="1"/>
        <v>0</v>
      </c>
      <c r="H13" s="278">
        <f>WATER!W13</f>
        <v>0</v>
      </c>
    </row>
    <row r="14" spans="1:20" ht="21.75" customHeight="1" x14ac:dyDescent="0.2">
      <c r="A14" s="275">
        <v>9</v>
      </c>
      <c r="B14" s="240"/>
      <c r="C14" s="240"/>
      <c r="D14" s="240"/>
      <c r="E14" s="166"/>
      <c r="F14" s="276">
        <f t="shared" si="0"/>
        <v>0</v>
      </c>
      <c r="G14" s="277">
        <f t="shared" si="1"/>
        <v>0</v>
      </c>
      <c r="H14" s="278">
        <f>WATER!W14</f>
        <v>0</v>
      </c>
    </row>
    <row r="15" spans="1:20" ht="21.75" customHeight="1" x14ac:dyDescent="0.2">
      <c r="A15" s="275">
        <v>10</v>
      </c>
      <c r="B15" s="243"/>
      <c r="C15" s="243"/>
      <c r="D15" s="243"/>
      <c r="E15" s="166"/>
      <c r="F15" s="276">
        <f t="shared" si="0"/>
        <v>0</v>
      </c>
      <c r="G15" s="277">
        <f t="shared" si="1"/>
        <v>0</v>
      </c>
      <c r="H15" s="278">
        <f>WATER!W15</f>
        <v>0</v>
      </c>
    </row>
    <row r="16" spans="1:20" ht="21.75" customHeight="1" x14ac:dyDescent="0.2">
      <c r="A16" s="275">
        <v>11</v>
      </c>
      <c r="B16" s="240"/>
      <c r="C16" s="240"/>
      <c r="D16" s="240"/>
      <c r="E16" s="166"/>
      <c r="F16" s="276">
        <f t="shared" si="0"/>
        <v>0</v>
      </c>
      <c r="G16" s="277">
        <f t="shared" si="1"/>
        <v>0</v>
      </c>
      <c r="H16" s="278">
        <f>WATER!W16</f>
        <v>0</v>
      </c>
    </row>
    <row r="17" spans="1:8" ht="21.75" customHeight="1" x14ac:dyDescent="0.2">
      <c r="A17" s="275">
        <v>12</v>
      </c>
      <c r="B17" s="240"/>
      <c r="C17" s="240"/>
      <c r="D17" s="240"/>
      <c r="E17" s="166"/>
      <c r="F17" s="276">
        <f t="shared" si="0"/>
        <v>0</v>
      </c>
      <c r="G17" s="277">
        <f t="shared" si="1"/>
        <v>0</v>
      </c>
      <c r="H17" s="278">
        <f>WATER!W17</f>
        <v>0</v>
      </c>
    </row>
    <row r="18" spans="1:8" ht="21.75" customHeight="1" x14ac:dyDescent="0.2">
      <c r="A18" s="275">
        <v>13</v>
      </c>
      <c r="B18" s="240"/>
      <c r="C18" s="243"/>
      <c r="D18" s="240"/>
      <c r="E18" s="166"/>
      <c r="F18" s="276">
        <f t="shared" si="0"/>
        <v>0</v>
      </c>
      <c r="G18" s="277">
        <f t="shared" si="1"/>
        <v>0</v>
      </c>
      <c r="H18" s="278">
        <f>WATER!W18</f>
        <v>0</v>
      </c>
    </row>
    <row r="19" spans="1:8" ht="21.75" customHeight="1" x14ac:dyDescent="0.2">
      <c r="A19" s="275">
        <v>14</v>
      </c>
      <c r="B19" s="240"/>
      <c r="C19" s="240"/>
      <c r="D19" s="240"/>
      <c r="E19" s="166"/>
      <c r="F19" s="276">
        <f t="shared" si="0"/>
        <v>0</v>
      </c>
      <c r="G19" s="277">
        <f t="shared" si="1"/>
        <v>0</v>
      </c>
      <c r="H19" s="278">
        <f>WATER!W19</f>
        <v>0</v>
      </c>
    </row>
    <row r="20" spans="1:8" ht="21.75" customHeight="1" x14ac:dyDescent="0.2">
      <c r="A20" s="275">
        <v>15</v>
      </c>
      <c r="B20" s="240"/>
      <c r="C20" s="240"/>
      <c r="D20" s="240"/>
      <c r="E20" s="166"/>
      <c r="F20" s="276">
        <f t="shared" si="0"/>
        <v>0</v>
      </c>
      <c r="G20" s="277">
        <f t="shared" si="1"/>
        <v>0</v>
      </c>
      <c r="H20" s="278">
        <f>WATER!W20</f>
        <v>0</v>
      </c>
    </row>
    <row r="21" spans="1:8" ht="21.75" customHeight="1" x14ac:dyDescent="0.2">
      <c r="A21" s="275">
        <v>16</v>
      </c>
      <c r="B21" s="240"/>
      <c r="C21" s="243"/>
      <c r="D21" s="240"/>
      <c r="E21" s="166"/>
      <c r="F21" s="276">
        <f t="shared" si="0"/>
        <v>0</v>
      </c>
      <c r="G21" s="277">
        <f t="shared" si="1"/>
        <v>0</v>
      </c>
      <c r="H21" s="278">
        <f>WATER!W21</f>
        <v>0</v>
      </c>
    </row>
    <row r="22" spans="1:8" ht="21.75" customHeight="1" x14ac:dyDescent="0.2">
      <c r="A22" s="275">
        <v>17</v>
      </c>
      <c r="B22" s="240"/>
      <c r="C22" s="240"/>
      <c r="D22" s="240"/>
      <c r="E22" s="166"/>
      <c r="F22" s="276">
        <f t="shared" si="0"/>
        <v>0</v>
      </c>
      <c r="G22" s="277">
        <f t="shared" si="1"/>
        <v>0</v>
      </c>
      <c r="H22" s="278">
        <f>WATER!W22</f>
        <v>0</v>
      </c>
    </row>
    <row r="23" spans="1:8" ht="21.75" customHeight="1" x14ac:dyDescent="0.2">
      <c r="A23" s="275">
        <v>18</v>
      </c>
      <c r="B23" s="240"/>
      <c r="C23" s="240"/>
      <c r="D23" s="240"/>
      <c r="E23" s="166"/>
      <c r="F23" s="276">
        <f t="shared" si="0"/>
        <v>0</v>
      </c>
      <c r="G23" s="277">
        <f t="shared" si="1"/>
        <v>0</v>
      </c>
      <c r="H23" s="278">
        <f>WATER!W23</f>
        <v>0</v>
      </c>
    </row>
    <row r="24" spans="1:8" ht="21.75" customHeight="1" x14ac:dyDescent="0.2">
      <c r="A24" s="275">
        <v>19</v>
      </c>
      <c r="B24" s="240"/>
      <c r="C24" s="243"/>
      <c r="D24" s="240"/>
      <c r="E24" s="166"/>
      <c r="F24" s="276">
        <f t="shared" si="0"/>
        <v>0</v>
      </c>
      <c r="G24" s="277">
        <f t="shared" si="1"/>
        <v>0</v>
      </c>
      <c r="H24" s="278">
        <f>WATER!W24</f>
        <v>0</v>
      </c>
    </row>
    <row r="25" spans="1:8" ht="21.75" customHeight="1" x14ac:dyDescent="0.2">
      <c r="A25" s="275">
        <v>20</v>
      </c>
      <c r="B25" s="240"/>
      <c r="C25" s="240"/>
      <c r="D25" s="240"/>
      <c r="E25" s="166"/>
      <c r="F25" s="276">
        <f t="shared" si="0"/>
        <v>0</v>
      </c>
      <c r="G25" s="277">
        <f t="shared" si="1"/>
        <v>0</v>
      </c>
      <c r="H25" s="278">
        <f>WATER!W25</f>
        <v>0</v>
      </c>
    </row>
    <row r="26" spans="1:8" ht="21.75" customHeight="1" x14ac:dyDescent="0.2">
      <c r="A26" s="275">
        <v>21</v>
      </c>
      <c r="B26" s="240"/>
      <c r="C26" s="240"/>
      <c r="D26" s="240"/>
      <c r="E26" s="166"/>
      <c r="F26" s="276">
        <f t="shared" si="0"/>
        <v>0</v>
      </c>
      <c r="G26" s="277">
        <f t="shared" si="1"/>
        <v>0</v>
      </c>
      <c r="H26" s="278">
        <f>WATER!W26</f>
        <v>0</v>
      </c>
    </row>
    <row r="27" spans="1:8" ht="21.75" customHeight="1" x14ac:dyDescent="0.2">
      <c r="A27" s="275">
        <v>22</v>
      </c>
      <c r="B27" s="240"/>
      <c r="C27" s="243"/>
      <c r="D27" s="240"/>
      <c r="E27" s="166"/>
      <c r="F27" s="276">
        <f t="shared" si="0"/>
        <v>0</v>
      </c>
      <c r="G27" s="277">
        <f t="shared" si="1"/>
        <v>0</v>
      </c>
      <c r="H27" s="278">
        <f>WATER!W27</f>
        <v>0</v>
      </c>
    </row>
    <row r="28" spans="1:8" ht="21.75" customHeight="1" x14ac:dyDescent="0.2">
      <c r="A28" s="275">
        <v>23</v>
      </c>
      <c r="B28" s="240"/>
      <c r="C28" s="240"/>
      <c r="D28" s="240"/>
      <c r="E28" s="166"/>
      <c r="F28" s="276">
        <f t="shared" si="0"/>
        <v>0</v>
      </c>
      <c r="G28" s="277">
        <f t="shared" si="1"/>
        <v>0</v>
      </c>
      <c r="H28" s="278">
        <f>WATER!W28</f>
        <v>0</v>
      </c>
    </row>
    <row r="29" spans="1:8" ht="21.75" customHeight="1" x14ac:dyDescent="0.2">
      <c r="A29" s="275">
        <v>24</v>
      </c>
      <c r="B29" s="240"/>
      <c r="C29" s="240"/>
      <c r="D29" s="240"/>
      <c r="E29" s="166"/>
      <c r="F29" s="276">
        <f t="shared" si="0"/>
        <v>0</v>
      </c>
      <c r="G29" s="277">
        <f t="shared" si="1"/>
        <v>0</v>
      </c>
      <c r="H29" s="278">
        <f>WATER!W29</f>
        <v>0</v>
      </c>
    </row>
    <row r="30" spans="1:8" ht="21.75" customHeight="1" x14ac:dyDescent="0.2">
      <c r="A30" s="275">
        <v>25</v>
      </c>
      <c r="B30" s="240"/>
      <c r="C30" s="243"/>
      <c r="D30" s="240"/>
      <c r="E30" s="166"/>
      <c r="F30" s="276">
        <f t="shared" si="0"/>
        <v>0</v>
      </c>
      <c r="G30" s="277">
        <f t="shared" si="1"/>
        <v>0</v>
      </c>
      <c r="H30" s="278">
        <f>WATER!W30</f>
        <v>0</v>
      </c>
    </row>
    <row r="31" spans="1:8" ht="21.75" customHeight="1" x14ac:dyDescent="0.2">
      <c r="A31" s="275">
        <v>26</v>
      </c>
      <c r="B31" s="240"/>
      <c r="C31" s="240"/>
      <c r="D31" s="240"/>
      <c r="E31" s="166"/>
      <c r="F31" s="276">
        <f t="shared" si="0"/>
        <v>0</v>
      </c>
      <c r="G31" s="277">
        <f t="shared" si="1"/>
        <v>0</v>
      </c>
      <c r="H31" s="278">
        <f>WATER!W31</f>
        <v>0</v>
      </c>
    </row>
    <row r="32" spans="1:8" ht="21.75" customHeight="1" x14ac:dyDescent="0.2">
      <c r="A32" s="275">
        <v>27</v>
      </c>
      <c r="B32" s="240"/>
      <c r="C32" s="240"/>
      <c r="D32" s="240"/>
      <c r="E32" s="166"/>
      <c r="F32" s="276">
        <f t="shared" si="0"/>
        <v>0</v>
      </c>
      <c r="G32" s="277">
        <f t="shared" si="1"/>
        <v>0</v>
      </c>
      <c r="H32" s="278">
        <f>WATER!W32</f>
        <v>0</v>
      </c>
    </row>
    <row r="33" spans="1:8" ht="21.75" customHeight="1" x14ac:dyDescent="0.2">
      <c r="A33" s="275">
        <v>28</v>
      </c>
      <c r="B33" s="240"/>
      <c r="C33" s="243"/>
      <c r="D33" s="240"/>
      <c r="E33" s="166"/>
      <c r="F33" s="276">
        <f t="shared" si="0"/>
        <v>0</v>
      </c>
      <c r="G33" s="277">
        <f t="shared" si="1"/>
        <v>0</v>
      </c>
      <c r="H33" s="278">
        <f>WATER!W33</f>
        <v>0</v>
      </c>
    </row>
    <row r="34" spans="1:8" ht="21.75" customHeight="1" x14ac:dyDescent="0.2">
      <c r="A34" s="275">
        <v>29</v>
      </c>
      <c r="B34" s="240"/>
      <c r="C34" s="240"/>
      <c r="D34" s="240"/>
      <c r="E34" s="166"/>
      <c r="F34" s="276">
        <f t="shared" si="0"/>
        <v>0</v>
      </c>
      <c r="G34" s="277">
        <f t="shared" si="1"/>
        <v>0</v>
      </c>
      <c r="H34" s="278">
        <f>WATER!W34</f>
        <v>0</v>
      </c>
    </row>
    <row r="35" spans="1:8" ht="21.75" customHeight="1" x14ac:dyDescent="0.2">
      <c r="A35" s="275">
        <v>30</v>
      </c>
      <c r="B35" s="240"/>
      <c r="C35" s="240"/>
      <c r="D35" s="240"/>
      <c r="E35" s="166"/>
      <c r="F35" s="276">
        <f t="shared" si="0"/>
        <v>0</v>
      </c>
      <c r="G35" s="277">
        <f t="shared" si="1"/>
        <v>0</v>
      </c>
      <c r="H35" s="278">
        <f>WATER!W35</f>
        <v>0</v>
      </c>
    </row>
    <row r="36" spans="1:8" ht="21.75" customHeight="1" x14ac:dyDescent="0.2">
      <c r="A36" s="275">
        <v>31</v>
      </c>
      <c r="B36" s="240"/>
      <c r="C36" s="240"/>
      <c r="D36" s="240"/>
      <c r="E36" s="166"/>
      <c r="F36" s="276">
        <f t="shared" si="0"/>
        <v>0</v>
      </c>
      <c r="G36" s="277">
        <f t="shared" si="1"/>
        <v>0</v>
      </c>
      <c r="H36" s="278">
        <f>WATER!W36</f>
        <v>0</v>
      </c>
    </row>
    <row r="37" spans="1:8" ht="21" customHeight="1" x14ac:dyDescent="0.2">
      <c r="A37" s="279" t="s">
        <v>7</v>
      </c>
      <c r="B37" s="279"/>
      <c r="C37" s="279"/>
      <c r="D37" s="280"/>
      <c r="E37" s="280">
        <f>SUM(E6:E36)</f>
        <v>10</v>
      </c>
      <c r="F37" s="281">
        <f>SUM(F6:F36)</f>
        <v>29</v>
      </c>
      <c r="G37" s="277">
        <f>SUM(G6:G36)</f>
        <v>1305</v>
      </c>
      <c r="H37" s="278">
        <f>WATER!W37</f>
        <v>0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50">
        <v>44197</v>
      </c>
      <c r="C1" s="350"/>
      <c r="D1" s="350"/>
      <c r="E1" s="350"/>
      <c r="F1" s="350"/>
      <c r="G1" s="350"/>
      <c r="H1" s="350"/>
    </row>
    <row r="2" spans="2:14" ht="15.75" customHeight="1" x14ac:dyDescent="0.2">
      <c r="B2" s="350"/>
      <c r="C2" s="350"/>
      <c r="D2" s="350"/>
      <c r="E2" s="350"/>
      <c r="F2" s="350"/>
      <c r="G2" s="350"/>
      <c r="H2" s="350"/>
    </row>
    <row r="3" spans="2:14" ht="28.5" customHeight="1" x14ac:dyDescent="0.2">
      <c r="B3" s="351" t="s">
        <v>103</v>
      </c>
      <c r="C3" s="351"/>
      <c r="D3" s="351"/>
      <c r="E3" s="351"/>
      <c r="F3" s="351"/>
      <c r="G3" s="351"/>
      <c r="H3" s="351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8310</v>
      </c>
      <c r="D9" s="161">
        <f>'GENSET #2'!D14</f>
        <v>5489</v>
      </c>
      <c r="E9" s="161">
        <f>'GENSET #3'!D14</f>
        <v>6067</v>
      </c>
      <c r="F9" s="161">
        <f>'GENSET #4'!D14</f>
        <v>1836</v>
      </c>
      <c r="G9" s="161">
        <f>'GENSET #5'!D14</f>
        <v>7580</v>
      </c>
      <c r="H9" s="165">
        <f t="shared" si="0"/>
        <v>29282</v>
      </c>
    </row>
    <row r="10" spans="2:14" x14ac:dyDescent="0.2">
      <c r="B10" s="155">
        <v>6</v>
      </c>
      <c r="C10" s="18">
        <f>'GENSET #1'!D15</f>
        <v>-16790551</v>
      </c>
      <c r="D10" s="18">
        <f>'GENSET #2'!D15</f>
        <v>-28339386</v>
      </c>
      <c r="E10" s="18">
        <f>'GENSET #3'!D15</f>
        <v>-12307055</v>
      </c>
      <c r="F10" s="18">
        <f>'GENSET #4'!D15</f>
        <v>-11352858</v>
      </c>
      <c r="G10" s="18">
        <f>'GENSET #5'!D15</f>
        <v>-17425128</v>
      </c>
      <c r="H10" s="165">
        <f t="shared" si="0"/>
        <v>-86214978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0</v>
      </c>
      <c r="D11" s="161">
        <f>'GENSET #2'!D16</f>
        <v>0</v>
      </c>
      <c r="E11" s="161">
        <f>'GENSET #3'!D16</f>
        <v>0</v>
      </c>
      <c r="F11" s="161">
        <f>'GENSET #4'!D16</f>
        <v>0</v>
      </c>
      <c r="G11" s="161">
        <f>'GENSET #5'!D16</f>
        <v>0</v>
      </c>
      <c r="H11" s="165">
        <f t="shared" si="0"/>
        <v>0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65">
        <f t="shared" si="0"/>
        <v>0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0</v>
      </c>
      <c r="D13" s="161">
        <f>'GENSET #2'!D18</f>
        <v>0</v>
      </c>
      <c r="E13" s="161">
        <f>'GENSET #3'!D18</f>
        <v>0</v>
      </c>
      <c r="F13" s="161">
        <f>'GENSET #4'!D18</f>
        <v>0</v>
      </c>
      <c r="G13" s="161">
        <f>'GENSET #5'!D18</f>
        <v>0</v>
      </c>
      <c r="H13" s="165">
        <f t="shared" si="0"/>
        <v>0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65">
        <f t="shared" si="0"/>
        <v>0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0</v>
      </c>
      <c r="D15" s="161">
        <f>'GENSET #2'!D20</f>
        <v>0</v>
      </c>
      <c r="E15" s="161">
        <f>'GENSET #3'!D20</f>
        <v>0</v>
      </c>
      <c r="F15" s="161">
        <f>'GENSET #4'!D20</f>
        <v>0</v>
      </c>
      <c r="G15" s="161">
        <f>'GENSET #5'!D20</f>
        <v>0</v>
      </c>
      <c r="H15" s="165">
        <f t="shared" si="0"/>
        <v>0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65">
        <f t="shared" si="0"/>
        <v>0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0</v>
      </c>
      <c r="D17" s="161">
        <f>'GENSET #2'!D22</f>
        <v>0</v>
      </c>
      <c r="E17" s="161">
        <f>'GENSET #3'!D22</f>
        <v>0</v>
      </c>
      <c r="F17" s="161">
        <f>'GENSET #4'!D22</f>
        <v>0</v>
      </c>
      <c r="G17" s="161">
        <f>'GENSET #5'!D22</f>
        <v>0</v>
      </c>
      <c r="H17" s="165">
        <f t="shared" si="0"/>
        <v>0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65">
        <f t="shared" si="0"/>
        <v>0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0</v>
      </c>
      <c r="D19" s="161">
        <f>'GENSET #2'!D24</f>
        <v>0</v>
      </c>
      <c r="E19" s="161">
        <f>'GENSET #3'!D24</f>
        <v>0</v>
      </c>
      <c r="F19" s="161">
        <f>'GENSET #4'!D24</f>
        <v>0</v>
      </c>
      <c r="G19" s="161">
        <f>'GENSET #5'!D24</f>
        <v>0</v>
      </c>
      <c r="H19" s="165">
        <f t="shared" si="0"/>
        <v>0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65">
        <f t="shared" si="0"/>
        <v>0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0</v>
      </c>
      <c r="D21" s="161">
        <f>'GENSET #2'!D26</f>
        <v>0</v>
      </c>
      <c r="E21" s="161">
        <f>'GENSET #3'!D26</f>
        <v>0</v>
      </c>
      <c r="F21" s="161">
        <f>'GENSET #4'!D26</f>
        <v>0</v>
      </c>
      <c r="G21" s="161">
        <f>'GENSET #5'!D26</f>
        <v>0</v>
      </c>
      <c r="H21" s="165">
        <f t="shared" si="0"/>
        <v>0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65">
        <f t="shared" si="0"/>
        <v>0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49" t="s">
        <v>104</v>
      </c>
      <c r="B36" s="349"/>
      <c r="C36" s="163">
        <f>SUM(C5:C35)</f>
        <v>-16755350</v>
      </c>
      <c r="D36" s="163">
        <f>SUM(D5:D35)</f>
        <v>-28298713</v>
      </c>
      <c r="E36" s="163">
        <f>SUM(E5:E35)</f>
        <v>-12278846</v>
      </c>
      <c r="F36" s="163">
        <f>SUM(F5:F35)</f>
        <v>-11340369</v>
      </c>
      <c r="G36" s="163">
        <f>SUM(G5:G35)</f>
        <v>-17391172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33">
        <v>44201</v>
      </c>
      <c r="C4" s="333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135</v>
      </c>
      <c r="F9" s="157">
        <f>WATER!V6</f>
        <v>415</v>
      </c>
      <c r="G9" s="159">
        <f>WATER!W6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405</v>
      </c>
      <c r="F10" s="157">
        <f>WATER!V7</f>
        <v>368</v>
      </c>
      <c r="G10" s="159">
        <f>WATER!W7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405</v>
      </c>
      <c r="F11" s="157">
        <f>WATER!V8</f>
        <v>393</v>
      </c>
      <c r="G11" s="159">
        <f>WATER!W8</f>
        <v>99.03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180</v>
      </c>
      <c r="F12" s="157">
        <f>WATER!V9</f>
        <v>451</v>
      </c>
      <c r="G12" s="159">
        <f>WATER!W9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29282</v>
      </c>
      <c r="C13" s="7">
        <f>'Diesel consumption'!D9</f>
        <v>8190</v>
      </c>
      <c r="D13" s="2">
        <f>'SOLAR METER READING'!D13</f>
        <v>1694</v>
      </c>
      <c r="E13" s="7">
        <f>'Gas-2'!G10</f>
        <v>180</v>
      </c>
      <c r="F13" s="157">
        <f>WATER!V10</f>
        <v>406</v>
      </c>
      <c r="G13" s="159">
        <f>WATER!W10</f>
        <v>98.06</v>
      </c>
      <c r="H13" s="15">
        <f t="shared" si="0"/>
        <v>3.5753357753357755</v>
      </c>
      <c r="I13" s="15">
        <f t="shared" si="1"/>
        <v>30976</v>
      </c>
    </row>
    <row r="14" spans="1:10" x14ac:dyDescent="0.2">
      <c r="A14" s="6">
        <v>6</v>
      </c>
      <c r="B14" s="7">
        <f>SUM('GENSET #1:GENSET #5'!D15)</f>
        <v>-86214978</v>
      </c>
      <c r="C14" s="7">
        <f>'Diesel consumption'!D10</f>
        <v>-42919360</v>
      </c>
      <c r="D14" s="2">
        <f>'SOLAR METER READING'!D14</f>
        <v>-2258519</v>
      </c>
      <c r="E14" s="7">
        <f>'Gas-2'!G11</f>
        <v>0</v>
      </c>
      <c r="F14" s="157">
        <f>WATER!V11</f>
        <v>356</v>
      </c>
      <c r="G14" s="159">
        <f>WATER!W11</f>
        <v>0</v>
      </c>
      <c r="H14" s="15">
        <f t="shared" si="0"/>
        <v>2.0087666265293795</v>
      </c>
      <c r="I14" s="15">
        <f t="shared" si="1"/>
        <v>-88473497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57">
        <f>WATER!V12</f>
        <v>-903686</v>
      </c>
      <c r="G15" s="159">
        <f>WATER!W12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57">
        <f>WATER!V13</f>
        <v>0</v>
      </c>
      <c r="G16" s="159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57">
        <f>WATER!V14</f>
        <v>0</v>
      </c>
      <c r="G17" s="159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57">
        <f>WATER!V15</f>
        <v>0</v>
      </c>
      <c r="G18" s="159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57">
        <f>WATER!V16</f>
        <v>0</v>
      </c>
      <c r="G19" s="159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57">
        <f>WATER!V17</f>
        <v>0</v>
      </c>
      <c r="G20" s="159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57">
        <f>WATER!V18</f>
        <v>0</v>
      </c>
      <c r="G21" s="159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57">
        <f>WATER!V19</f>
        <v>0</v>
      </c>
      <c r="G22" s="159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57">
        <f>WATER!V20</f>
        <v>0</v>
      </c>
      <c r="G23" s="159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57">
        <f>WATER!V21</f>
        <v>0</v>
      </c>
      <c r="G24" s="159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57">
        <f>WATER!V22</f>
        <v>0</v>
      </c>
      <c r="G25" s="159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57">
        <f>WATER!V23</f>
        <v>0</v>
      </c>
      <c r="G26" s="159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57">
        <f>WATER!V24</f>
        <v>0</v>
      </c>
      <c r="G27" s="159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57">
        <f>WATER!V25</f>
        <v>0</v>
      </c>
      <c r="G28" s="159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57">
        <f>WATER!V26</f>
        <v>0</v>
      </c>
      <c r="G29" s="159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0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>
        <f t="shared" ref="C40:D40" si="2">SUM(C9:C39)</f>
        <v>-42877600</v>
      </c>
      <c r="D40" s="17">
        <f t="shared" si="2"/>
        <v>-2248317</v>
      </c>
      <c r="E40" s="17">
        <f>SUM(E9:E39)</f>
        <v>1305</v>
      </c>
      <c r="F40" s="158">
        <f>SUM(F9:F39)</f>
        <v>-901297</v>
      </c>
      <c r="G40" s="6"/>
      <c r="I40" s="15">
        <f t="shared" si="1"/>
        <v>-88312767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54">
        <v>44170</v>
      </c>
      <c r="B1" s="354"/>
      <c r="C1" s="354"/>
    </row>
    <row r="2" spans="1:3" x14ac:dyDescent="0.2">
      <c r="A2" s="352" t="s">
        <v>78</v>
      </c>
      <c r="B2" s="353"/>
      <c r="C2" s="353"/>
    </row>
    <row r="3" spans="1:3" ht="26.25" customHeight="1" x14ac:dyDescent="0.2">
      <c r="A3" s="353"/>
      <c r="B3" s="353"/>
      <c r="C3" s="353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1162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2067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2173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-538143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0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0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0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0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0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0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0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0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0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0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0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-531503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4111</v>
      </c>
      <c r="C11" s="85">
        <f>'FEEDER Consumption '!G11</f>
        <v>4460</v>
      </c>
      <c r="D11" s="85">
        <f>'FEEDER Consumption '!J11</f>
        <v>13883</v>
      </c>
      <c r="E11" s="85">
        <f>'FEEDER Consumption '!M11</f>
        <v>2200</v>
      </c>
      <c r="F11" s="85">
        <f>'FEEDER Consumption '!P11</f>
        <v>2790</v>
      </c>
      <c r="G11" s="85">
        <f>'FEEDER Consumption '!S11</f>
        <v>2000</v>
      </c>
      <c r="H11" s="85">
        <f>'FEEDER Consumption '!V11</f>
        <v>688</v>
      </c>
      <c r="I11" s="85">
        <f>'FEEDER Consumption '!Y11</f>
        <v>6400</v>
      </c>
      <c r="J11" s="62">
        <f>'FEEDER Consumption '!AB11</f>
        <v>2700</v>
      </c>
      <c r="K11" s="85">
        <f>'FEEDER Consumption '!AE11</f>
        <v>412</v>
      </c>
      <c r="L11" s="92">
        <f t="shared" si="0"/>
        <v>4990</v>
      </c>
      <c r="M11" s="92">
        <f t="shared" si="1"/>
        <v>9100</v>
      </c>
      <c r="N11" s="92">
        <f t="shared" si="2"/>
        <v>2688</v>
      </c>
      <c r="O11" s="92">
        <f>'Focus Data'!I11</f>
        <v>32517</v>
      </c>
      <c r="P11" s="92">
        <f t="shared" si="3"/>
        <v>15.345819110003998</v>
      </c>
      <c r="Q11" s="92">
        <f t="shared" si="4"/>
        <v>27.985361503213703</v>
      </c>
      <c r="R11" s="92">
        <f t="shared" si="5"/>
        <v>8.2664452440262011</v>
      </c>
    </row>
    <row r="12" spans="1:18" ht="13.5" customHeight="1" x14ac:dyDescent="0.2">
      <c r="A12" s="82">
        <v>4</v>
      </c>
      <c r="B12" s="87">
        <f>'FEEDER Consumption '!D12</f>
        <v>4244</v>
      </c>
      <c r="C12" s="85">
        <f>'FEEDER Consumption '!G12</f>
        <v>4883</v>
      </c>
      <c r="D12" s="85">
        <f>'FEEDER Consumption '!J12</f>
        <v>14856</v>
      </c>
      <c r="E12" s="85">
        <f>'FEEDER Consumption '!M12</f>
        <v>2200</v>
      </c>
      <c r="F12" s="85">
        <f>'FEEDER Consumption '!P12</f>
        <v>2846</v>
      </c>
      <c r="G12" s="85">
        <f>'FEEDER Consumption '!S12</f>
        <v>2000</v>
      </c>
      <c r="H12" s="85">
        <f>'FEEDER Consumption '!V12</f>
        <v>693</v>
      </c>
      <c r="I12" s="85">
        <f>'FEEDER Consumption '!Y12</f>
        <v>5800</v>
      </c>
      <c r="J12" s="62">
        <f>'FEEDER Consumption '!AB12</f>
        <v>6000</v>
      </c>
      <c r="K12" s="85">
        <f>'FEEDER Consumption '!AE12</f>
        <v>418</v>
      </c>
      <c r="L12" s="92">
        <f t="shared" si="0"/>
        <v>5046</v>
      </c>
      <c r="M12" s="92">
        <f t="shared" si="1"/>
        <v>11800</v>
      </c>
      <c r="N12" s="92">
        <f t="shared" si="2"/>
        <v>2693</v>
      </c>
      <c r="O12" s="92">
        <f>'Focus Data'!I12</f>
        <v>33732</v>
      </c>
      <c r="P12" s="92">
        <f t="shared" si="3"/>
        <v>14.95908929206688</v>
      </c>
      <c r="Q12" s="92">
        <f t="shared" si="4"/>
        <v>34.981619826870627</v>
      </c>
      <c r="R12" s="92">
        <f t="shared" si="5"/>
        <v>7.983517135064627</v>
      </c>
    </row>
    <row r="13" spans="1:18" ht="13.5" customHeight="1" x14ac:dyDescent="0.2">
      <c r="A13" s="82">
        <v>5</v>
      </c>
      <c r="B13" s="87">
        <f>'FEEDER Consumption '!D13</f>
        <v>3644</v>
      </c>
      <c r="C13" s="85">
        <f>'FEEDER Consumption '!G13</f>
        <v>4070</v>
      </c>
      <c r="D13" s="85">
        <f>'FEEDER Consumption '!J13</f>
        <v>14068</v>
      </c>
      <c r="E13" s="85">
        <f>'FEEDER Consumption '!M13</f>
        <v>2100</v>
      </c>
      <c r="F13" s="85">
        <f>'FEEDER Consumption '!P13</f>
        <v>2792</v>
      </c>
      <c r="G13" s="85">
        <f>'FEEDER Consumption '!S13</f>
        <v>1700</v>
      </c>
      <c r="H13" s="85">
        <f>'FEEDER Consumption '!V13</f>
        <v>700</v>
      </c>
      <c r="I13" s="85">
        <f>'FEEDER Consumption '!Y13</f>
        <v>5800</v>
      </c>
      <c r="J13" s="62">
        <f>'FEEDER Consumption '!AB13</f>
        <v>-1500900</v>
      </c>
      <c r="K13" s="85">
        <f>'FEEDER Consumption '!AE13</f>
        <v>441</v>
      </c>
      <c r="L13" s="92">
        <f t="shared" si="0"/>
        <v>4892</v>
      </c>
      <c r="M13" s="92">
        <f t="shared" si="1"/>
        <v>-1495100</v>
      </c>
      <c r="N13" s="92">
        <f t="shared" si="2"/>
        <v>2400</v>
      </c>
      <c r="O13" s="92">
        <f>'Focus Data'!I13</f>
        <v>30976</v>
      </c>
      <c r="P13" s="92">
        <f t="shared" si="3"/>
        <v>15.792871900826446</v>
      </c>
      <c r="Q13" s="92">
        <f t="shared" si="4"/>
        <v>-4826.6399793388427</v>
      </c>
      <c r="R13" s="92">
        <f t="shared" si="5"/>
        <v>7.7479338842975212</v>
      </c>
    </row>
    <row r="14" spans="1:18" ht="13.5" customHeight="1" x14ac:dyDescent="0.2">
      <c r="A14" s="82">
        <v>6</v>
      </c>
      <c r="B14" s="87">
        <f>'FEEDER Consumption '!D14</f>
        <v>-25107536</v>
      </c>
      <c r="C14" s="85">
        <f>'FEEDER Consumption '!G14</f>
        <v>-22003536</v>
      </c>
      <c r="D14" s="85">
        <f>'FEEDER Consumption '!J14</f>
        <v>-83790362</v>
      </c>
      <c r="E14" s="85">
        <f>'FEEDER Consumption '!M14</f>
        <v>-1733200</v>
      </c>
      <c r="F14" s="85">
        <f>'FEEDER Consumption '!P14</f>
        <v>-2344743</v>
      </c>
      <c r="G14" s="85">
        <f>'FEEDER Consumption '!S14</f>
        <v>-1413500</v>
      </c>
      <c r="H14" s="85">
        <f>'FEEDER Consumption '!V14</f>
        <v>-663179</v>
      </c>
      <c r="I14" s="85">
        <f>'FEEDER Consumption '!Y14</f>
        <v>-6858600</v>
      </c>
      <c r="J14" s="62">
        <f>'FEEDER Consumption '!AB14</f>
        <v>0</v>
      </c>
      <c r="K14" s="85">
        <f>'FEEDER Consumption '!AE14</f>
        <v>-445195</v>
      </c>
      <c r="L14" s="92">
        <f t="shared" si="0"/>
        <v>-4077943</v>
      </c>
      <c r="M14" s="92">
        <f t="shared" si="1"/>
        <v>-6858600</v>
      </c>
      <c r="N14" s="92">
        <f t="shared" si="2"/>
        <v>-2076679</v>
      </c>
      <c r="O14" s="92">
        <f>'Focus Data'!I14</f>
        <v>-88473497</v>
      </c>
      <c r="P14" s="92">
        <f t="shared" si="3"/>
        <v>4.6092255175580998</v>
      </c>
      <c r="Q14" s="92">
        <f t="shared" si="4"/>
        <v>7.752152037123615</v>
      </c>
      <c r="R14" s="92">
        <f t="shared" si="5"/>
        <v>2.3472328668098199</v>
      </c>
    </row>
    <row r="15" spans="1:18" ht="13.5" customHeight="1" x14ac:dyDescent="0.2">
      <c r="A15" s="82">
        <v>7</v>
      </c>
      <c r="B15" s="87">
        <f>'FEEDER Consumption '!D15</f>
        <v>0</v>
      </c>
      <c r="C15" s="85">
        <f>'FEEDER Consumption '!G15</f>
        <v>0</v>
      </c>
      <c r="D15" s="85">
        <f>'FEEDER Consumption '!J15</f>
        <v>0</v>
      </c>
      <c r="E15" s="85">
        <f>'FEEDER Consumption '!M15</f>
        <v>0</v>
      </c>
      <c r="F15" s="85">
        <f>'FEEDER Consumption '!P15</f>
        <v>0</v>
      </c>
      <c r="G15" s="85">
        <f>'FEEDER Consumption '!S15</f>
        <v>0</v>
      </c>
      <c r="H15" s="85">
        <f>'FEEDER Consumption '!V15</f>
        <v>0</v>
      </c>
      <c r="I15" s="85">
        <f>'FEEDER Consumption '!Y15</f>
        <v>0</v>
      </c>
      <c r="J15" s="62">
        <f>'FEEDER Consumption '!AB15</f>
        <v>0</v>
      </c>
      <c r="K15" s="85">
        <f>'FEEDER Consumption '!AE15</f>
        <v>0</v>
      </c>
      <c r="L15" s="92">
        <f t="shared" si="0"/>
        <v>0</v>
      </c>
      <c r="M15" s="92">
        <f t="shared" si="1"/>
        <v>0</v>
      </c>
      <c r="N15" s="92">
        <f t="shared" si="2"/>
        <v>0</v>
      </c>
      <c r="O15" s="92">
        <f>'Focus Data'!I15</f>
        <v>0</v>
      </c>
      <c r="P15" s="92" t="e">
        <f t="shared" si="3"/>
        <v>#DIV/0!</v>
      </c>
      <c r="Q15" s="92" t="e">
        <f t="shared" si="4"/>
        <v>#DIV/0!</v>
      </c>
      <c r="R15" s="92" t="e">
        <f t="shared" si="5"/>
        <v>#DIV/0!</v>
      </c>
    </row>
    <row r="16" spans="1:18" ht="13.5" customHeight="1" x14ac:dyDescent="0.2">
      <c r="A16" s="82">
        <v>8</v>
      </c>
      <c r="B16" s="87">
        <f>'FEEDER Consumption '!D16</f>
        <v>0</v>
      </c>
      <c r="C16" s="85">
        <f>'FEEDER Consumption '!G16</f>
        <v>0</v>
      </c>
      <c r="D16" s="85">
        <f>'FEEDER Consumption '!J16</f>
        <v>0</v>
      </c>
      <c r="E16" s="85">
        <f>'FEEDER Consumption '!M16</f>
        <v>0</v>
      </c>
      <c r="F16" s="85">
        <f>'FEEDER Consumption '!P16</f>
        <v>0</v>
      </c>
      <c r="G16" s="85">
        <f>'FEEDER Consumption '!S16</f>
        <v>0</v>
      </c>
      <c r="H16" s="85">
        <f>'FEEDER Consumption '!V16</f>
        <v>0</v>
      </c>
      <c r="I16" s="85">
        <f>'FEEDER Consumption '!Y16</f>
        <v>0</v>
      </c>
      <c r="J16" s="62">
        <f>'FEEDER Consumption '!AB16</f>
        <v>0</v>
      </c>
      <c r="K16" s="85">
        <f>'FEEDER Consumption '!AE16</f>
        <v>0</v>
      </c>
      <c r="L16" s="92">
        <f t="shared" si="0"/>
        <v>0</v>
      </c>
      <c r="M16" s="92">
        <f t="shared" si="1"/>
        <v>0</v>
      </c>
      <c r="N16" s="92">
        <f t="shared" si="2"/>
        <v>0</v>
      </c>
      <c r="O16" s="92">
        <f>'Focus Data'!I16</f>
        <v>0</v>
      </c>
      <c r="P16" s="92" t="e">
        <f t="shared" si="3"/>
        <v>#DIV/0!</v>
      </c>
      <c r="Q16" s="92" t="e">
        <f t="shared" si="4"/>
        <v>#DIV/0!</v>
      </c>
      <c r="R16" s="92" t="e">
        <f t="shared" si="5"/>
        <v>#DIV/0!</v>
      </c>
    </row>
    <row r="17" spans="1:18" ht="13.5" customHeight="1" x14ac:dyDescent="0.2">
      <c r="A17" s="82">
        <v>9</v>
      </c>
      <c r="B17" s="87">
        <f>'FEEDER Consumption '!D17</f>
        <v>0</v>
      </c>
      <c r="C17" s="85">
        <f>'FEEDER Consumption '!G17</f>
        <v>0</v>
      </c>
      <c r="D17" s="85">
        <f>'FEEDER Consumption '!J17</f>
        <v>0</v>
      </c>
      <c r="E17" s="85">
        <f>'FEEDER Consumption '!M17</f>
        <v>0</v>
      </c>
      <c r="F17" s="85">
        <f>'FEEDER Consumption '!P17</f>
        <v>0</v>
      </c>
      <c r="G17" s="85">
        <f>'FEEDER Consumption '!S17</f>
        <v>0</v>
      </c>
      <c r="H17" s="85">
        <f>'FEEDER Consumption '!V17</f>
        <v>0</v>
      </c>
      <c r="I17" s="85">
        <f>'FEEDER Consumption '!Y17</f>
        <v>0</v>
      </c>
      <c r="J17" s="62">
        <f>'FEEDER Consumption '!AB17</f>
        <v>0</v>
      </c>
      <c r="K17" s="85">
        <f>'FEEDER Consumption '!AE17</f>
        <v>0</v>
      </c>
      <c r="L17" s="92">
        <f t="shared" si="0"/>
        <v>0</v>
      </c>
      <c r="M17" s="92">
        <f t="shared" si="1"/>
        <v>0</v>
      </c>
      <c r="N17" s="92">
        <f t="shared" si="2"/>
        <v>0</v>
      </c>
      <c r="O17" s="92">
        <f>'Focus Data'!I17</f>
        <v>0</v>
      </c>
      <c r="P17" s="92" t="e">
        <f t="shared" si="3"/>
        <v>#DIV/0!</v>
      </c>
      <c r="Q17" s="92" t="e">
        <f t="shared" si="4"/>
        <v>#DIV/0!</v>
      </c>
      <c r="R17" s="92" t="e">
        <f t="shared" si="5"/>
        <v>#DIV/0!</v>
      </c>
    </row>
    <row r="18" spans="1:18" ht="13.5" customHeight="1" x14ac:dyDescent="0.2">
      <c r="A18" s="82">
        <v>10</v>
      </c>
      <c r="B18" s="87">
        <f>'FEEDER Consumption '!D18</f>
        <v>0</v>
      </c>
      <c r="C18" s="85">
        <f>'FEEDER Consumption '!G18</f>
        <v>0</v>
      </c>
      <c r="D18" s="85">
        <f>'FEEDER Consumption '!J18</f>
        <v>0</v>
      </c>
      <c r="E18" s="85">
        <f>'FEEDER Consumption '!M18</f>
        <v>0</v>
      </c>
      <c r="F18" s="85">
        <f>'FEEDER Consumption '!P18</f>
        <v>0</v>
      </c>
      <c r="G18" s="85">
        <f>'FEEDER Consumption '!S18</f>
        <v>0</v>
      </c>
      <c r="H18" s="85">
        <f>'FEEDER Consumption '!V18</f>
        <v>0</v>
      </c>
      <c r="I18" s="85">
        <f>'FEEDER Consumption '!Y18</f>
        <v>0</v>
      </c>
      <c r="J18" s="62">
        <f>'FEEDER Consumption '!AB18</f>
        <v>0</v>
      </c>
      <c r="K18" s="85">
        <f>'FEEDER Consumption '!AE18</f>
        <v>0</v>
      </c>
      <c r="L18" s="92">
        <f t="shared" si="0"/>
        <v>0</v>
      </c>
      <c r="M18" s="92">
        <f t="shared" si="1"/>
        <v>0</v>
      </c>
      <c r="N18" s="92">
        <f t="shared" si="2"/>
        <v>0</v>
      </c>
      <c r="O18" s="92">
        <f>'Focus Data'!I18</f>
        <v>0</v>
      </c>
      <c r="P18" s="92" t="e">
        <f t="shared" si="3"/>
        <v>#DIV/0!</v>
      </c>
      <c r="Q18" s="92" t="e">
        <f t="shared" si="4"/>
        <v>#DIV/0!</v>
      </c>
      <c r="R18" s="92" t="e">
        <f t="shared" si="5"/>
        <v>#DIV/0!</v>
      </c>
    </row>
    <row r="19" spans="1:18" ht="13.5" customHeight="1" x14ac:dyDescent="0.2">
      <c r="A19" s="82">
        <v>11</v>
      </c>
      <c r="B19" s="87">
        <f>'FEEDER Consumption '!D19</f>
        <v>0</v>
      </c>
      <c r="C19" s="85">
        <f>'FEEDER Consumption '!G19</f>
        <v>0</v>
      </c>
      <c r="D19" s="85">
        <f>'FEEDER Consumption '!J19</f>
        <v>0</v>
      </c>
      <c r="E19" s="85">
        <f>'FEEDER Consumption '!M19</f>
        <v>0</v>
      </c>
      <c r="F19" s="85">
        <f>'FEEDER Consumption '!P19</f>
        <v>0</v>
      </c>
      <c r="G19" s="85">
        <f>'FEEDER Consumption '!S19</f>
        <v>0</v>
      </c>
      <c r="H19" s="85">
        <f>'FEEDER Consumption '!V19</f>
        <v>0</v>
      </c>
      <c r="I19" s="85">
        <f>'FEEDER Consumption '!Y19</f>
        <v>0</v>
      </c>
      <c r="J19" s="62">
        <f>'FEEDER Consumption '!AB19</f>
        <v>0</v>
      </c>
      <c r="K19" s="85">
        <f>'FEEDER Consumption '!AE19</f>
        <v>0</v>
      </c>
      <c r="L19" s="92">
        <f t="shared" si="0"/>
        <v>0</v>
      </c>
      <c r="M19" s="92">
        <f t="shared" si="1"/>
        <v>0</v>
      </c>
      <c r="N19" s="92">
        <f t="shared" si="2"/>
        <v>0</v>
      </c>
      <c r="O19" s="92">
        <f>'Focus Data'!I19</f>
        <v>0</v>
      </c>
      <c r="P19" s="92" t="e">
        <f t="shared" si="3"/>
        <v>#DIV/0!</v>
      </c>
      <c r="Q19" s="92" t="e">
        <f t="shared" si="4"/>
        <v>#DIV/0!</v>
      </c>
      <c r="R19" s="92" t="e">
        <f t="shared" si="5"/>
        <v>#DIV/0!</v>
      </c>
    </row>
    <row r="20" spans="1:18" ht="13.5" customHeight="1" x14ac:dyDescent="0.2">
      <c r="A20" s="82">
        <v>12</v>
      </c>
      <c r="B20" s="87">
        <f>'FEEDER Consumption '!D20</f>
        <v>0</v>
      </c>
      <c r="C20" s="85">
        <f>'FEEDER Consumption '!G20</f>
        <v>0</v>
      </c>
      <c r="D20" s="85">
        <f>'FEEDER Consumption '!J20</f>
        <v>0</v>
      </c>
      <c r="E20" s="85">
        <f>'FEEDER Consumption '!M20</f>
        <v>0</v>
      </c>
      <c r="F20" s="85">
        <f>'FEEDER Consumption '!P20</f>
        <v>0</v>
      </c>
      <c r="G20" s="85">
        <f>'FEEDER Consumption '!S20</f>
        <v>0</v>
      </c>
      <c r="H20" s="85">
        <f>'FEEDER Consumption '!V20</f>
        <v>0</v>
      </c>
      <c r="I20" s="85">
        <f>'FEEDER Consumption '!Y20</f>
        <v>0</v>
      </c>
      <c r="J20" s="62">
        <f>'FEEDER Consumption '!AB20</f>
        <v>0</v>
      </c>
      <c r="K20" s="85">
        <f>'FEEDER Consumption '!AE20</f>
        <v>0</v>
      </c>
      <c r="L20" s="92">
        <f t="shared" si="0"/>
        <v>0</v>
      </c>
      <c r="M20" s="92">
        <f t="shared" si="1"/>
        <v>0</v>
      </c>
      <c r="N20" s="92">
        <f t="shared" si="2"/>
        <v>0</v>
      </c>
      <c r="O20" s="92">
        <f>'Focus Data'!I20</f>
        <v>0</v>
      </c>
      <c r="P20" s="92" t="e">
        <f t="shared" si="3"/>
        <v>#DIV/0!</v>
      </c>
      <c r="Q20" s="92" t="e">
        <f t="shared" si="4"/>
        <v>#DIV/0!</v>
      </c>
      <c r="R20" s="92" t="e">
        <f t="shared" si="5"/>
        <v>#DIV/0!</v>
      </c>
    </row>
    <row r="21" spans="1:18" ht="13.5" customHeight="1" x14ac:dyDescent="0.2">
      <c r="A21" s="82">
        <v>13</v>
      </c>
      <c r="B21" s="87">
        <f>'FEEDER Consumption '!D21</f>
        <v>0</v>
      </c>
      <c r="C21" s="85">
        <f>'FEEDER Consumption '!G21</f>
        <v>0</v>
      </c>
      <c r="D21" s="85">
        <f>'FEEDER Consumption '!J21</f>
        <v>0</v>
      </c>
      <c r="E21" s="85">
        <f>'FEEDER Consumption '!M21</f>
        <v>0</v>
      </c>
      <c r="F21" s="85">
        <f>'FEEDER Consumption '!P21</f>
        <v>0</v>
      </c>
      <c r="G21" s="85">
        <f>'FEEDER Consumption '!S21</f>
        <v>0</v>
      </c>
      <c r="H21" s="85">
        <f>'FEEDER Consumption '!V21</f>
        <v>0</v>
      </c>
      <c r="I21" s="85">
        <f>'FEEDER Consumption '!Y21</f>
        <v>0</v>
      </c>
      <c r="J21" s="62">
        <f>'FEEDER Consumption '!AB21</f>
        <v>0</v>
      </c>
      <c r="K21" s="85">
        <f>'FEEDER Consumption '!AE21</f>
        <v>0</v>
      </c>
      <c r="L21" s="92">
        <f t="shared" si="0"/>
        <v>0</v>
      </c>
      <c r="M21" s="92">
        <f t="shared" si="1"/>
        <v>0</v>
      </c>
      <c r="N21" s="92">
        <f t="shared" si="2"/>
        <v>0</v>
      </c>
      <c r="O21" s="92">
        <f>'Focus Data'!I21</f>
        <v>0</v>
      </c>
      <c r="P21" s="92" t="e">
        <f t="shared" si="3"/>
        <v>#DIV/0!</v>
      </c>
      <c r="Q21" s="92" t="e">
        <f t="shared" si="4"/>
        <v>#DIV/0!</v>
      </c>
      <c r="R21" s="92" t="e">
        <f t="shared" si="5"/>
        <v>#DIV/0!</v>
      </c>
    </row>
    <row r="22" spans="1:18" ht="13.5" customHeight="1" x14ac:dyDescent="0.2">
      <c r="A22" s="82">
        <v>14</v>
      </c>
      <c r="B22" s="87">
        <f>'FEEDER Consumption '!D22</f>
        <v>0</v>
      </c>
      <c r="C22" s="85">
        <f>'FEEDER Consumption '!G22</f>
        <v>0</v>
      </c>
      <c r="D22" s="85">
        <f>'FEEDER Consumption '!J22</f>
        <v>0</v>
      </c>
      <c r="E22" s="85">
        <f>'FEEDER Consumption '!M22</f>
        <v>0</v>
      </c>
      <c r="F22" s="85">
        <f>'FEEDER Consumption '!P22</f>
        <v>0</v>
      </c>
      <c r="G22" s="85">
        <f>'FEEDER Consumption '!S22</f>
        <v>0</v>
      </c>
      <c r="H22" s="85">
        <f>'FEEDER Consumption '!V22</f>
        <v>0</v>
      </c>
      <c r="I22" s="85">
        <f>'FEEDER Consumption '!Y22</f>
        <v>0</v>
      </c>
      <c r="J22" s="62">
        <f>'FEEDER Consumption '!AB22</f>
        <v>0</v>
      </c>
      <c r="K22" s="85">
        <f>'FEEDER Consumption '!AE22</f>
        <v>0</v>
      </c>
      <c r="L22" s="92">
        <f t="shared" si="0"/>
        <v>0</v>
      </c>
      <c r="M22" s="92">
        <f t="shared" si="1"/>
        <v>0</v>
      </c>
      <c r="N22" s="92">
        <f t="shared" si="2"/>
        <v>0</v>
      </c>
      <c r="O22" s="92">
        <f>'Focus Data'!I22</f>
        <v>0</v>
      </c>
      <c r="P22" s="92" t="e">
        <f t="shared" si="3"/>
        <v>#DIV/0!</v>
      </c>
      <c r="Q22" s="92" t="e">
        <f t="shared" si="4"/>
        <v>#DIV/0!</v>
      </c>
      <c r="R22" s="92" t="e">
        <f t="shared" si="5"/>
        <v>#DIV/0!</v>
      </c>
    </row>
    <row r="23" spans="1:18" ht="13.5" customHeight="1" x14ac:dyDescent="0.2">
      <c r="A23" s="82">
        <v>15</v>
      </c>
      <c r="B23" s="87">
        <f>'FEEDER Consumption '!D23</f>
        <v>0</v>
      </c>
      <c r="C23" s="85">
        <f>'FEEDER Consumption '!G23</f>
        <v>0</v>
      </c>
      <c r="D23" s="85">
        <f>'FEEDER Consumption '!J23</f>
        <v>0</v>
      </c>
      <c r="E23" s="85">
        <f>'FEEDER Consumption '!M23</f>
        <v>0</v>
      </c>
      <c r="F23" s="85">
        <f>'FEEDER Consumption '!P23</f>
        <v>0</v>
      </c>
      <c r="G23" s="85">
        <f>'FEEDER Consumption '!S23</f>
        <v>0</v>
      </c>
      <c r="H23" s="85">
        <f>'FEEDER Consumption '!V23</f>
        <v>0</v>
      </c>
      <c r="I23" s="85">
        <f>'FEEDER Consumption '!Y23</f>
        <v>0</v>
      </c>
      <c r="J23" s="62">
        <f>'FEEDER Consumption '!AB23</f>
        <v>0</v>
      </c>
      <c r="K23" s="85">
        <f>'FEEDER Consumption '!AE23</f>
        <v>0</v>
      </c>
      <c r="L23" s="92">
        <f t="shared" si="0"/>
        <v>0</v>
      </c>
      <c r="M23" s="92">
        <f t="shared" si="1"/>
        <v>0</v>
      </c>
      <c r="N23" s="92">
        <f t="shared" si="2"/>
        <v>0</v>
      </c>
      <c r="O23" s="92">
        <f>'Focus Data'!I23</f>
        <v>0</v>
      </c>
      <c r="P23" s="92" t="e">
        <f t="shared" si="3"/>
        <v>#DIV/0!</v>
      </c>
      <c r="Q23" s="92" t="e">
        <f t="shared" si="4"/>
        <v>#DIV/0!</v>
      </c>
      <c r="R23" s="92" t="e">
        <f t="shared" si="5"/>
        <v>#DIV/0!</v>
      </c>
    </row>
    <row r="24" spans="1:18" ht="13.5" customHeight="1" x14ac:dyDescent="0.2">
      <c r="A24" s="82">
        <v>16</v>
      </c>
      <c r="B24" s="87">
        <f>'FEEDER Consumption '!D24</f>
        <v>0</v>
      </c>
      <c r="C24" s="85">
        <f>'FEEDER Consumption '!G24</f>
        <v>0</v>
      </c>
      <c r="D24" s="85">
        <f>'FEEDER Consumption '!J24</f>
        <v>0</v>
      </c>
      <c r="E24" s="85">
        <f>'FEEDER Consumption '!M24</f>
        <v>0</v>
      </c>
      <c r="F24" s="85">
        <f>'FEEDER Consumption '!P24</f>
        <v>0</v>
      </c>
      <c r="G24" s="85">
        <f>'FEEDER Consumption '!S24</f>
        <v>0</v>
      </c>
      <c r="H24" s="85">
        <f>'FEEDER Consumption '!V24</f>
        <v>0</v>
      </c>
      <c r="I24" s="85">
        <f>'FEEDER Consumption '!Y24</f>
        <v>0</v>
      </c>
      <c r="J24" s="62">
        <f>'FEEDER Consumption '!AB24</f>
        <v>0</v>
      </c>
      <c r="K24" s="85">
        <f>'FEEDER Consumption '!AE24</f>
        <v>0</v>
      </c>
      <c r="L24" s="92">
        <f t="shared" si="0"/>
        <v>0</v>
      </c>
      <c r="M24" s="92">
        <f t="shared" si="1"/>
        <v>0</v>
      </c>
      <c r="N24" s="92">
        <f t="shared" si="2"/>
        <v>0</v>
      </c>
      <c r="O24" s="92">
        <f>'Focus Data'!I24</f>
        <v>0</v>
      </c>
      <c r="P24" s="92" t="e">
        <f t="shared" si="3"/>
        <v>#DIV/0!</v>
      </c>
      <c r="Q24" s="92" t="e">
        <f t="shared" si="4"/>
        <v>#DIV/0!</v>
      </c>
      <c r="R24" s="92" t="e">
        <f t="shared" si="5"/>
        <v>#DIV/0!</v>
      </c>
    </row>
    <row r="25" spans="1:18" ht="13.5" customHeight="1" x14ac:dyDescent="0.2">
      <c r="A25" s="82">
        <v>17</v>
      </c>
      <c r="B25" s="87">
        <f>'FEEDER Consumption '!D25</f>
        <v>0</v>
      </c>
      <c r="C25" s="85">
        <f>'FEEDER Consumption '!G25</f>
        <v>0</v>
      </c>
      <c r="D25" s="85">
        <f>'FEEDER Consumption '!J25</f>
        <v>0</v>
      </c>
      <c r="E25" s="85">
        <f>'FEEDER Consumption '!M25</f>
        <v>0</v>
      </c>
      <c r="F25" s="85">
        <f>'FEEDER Consumption '!P25</f>
        <v>0</v>
      </c>
      <c r="G25" s="85">
        <f>'FEEDER Consumption '!S25</f>
        <v>0</v>
      </c>
      <c r="H25" s="85">
        <f>'FEEDER Consumption '!V25</f>
        <v>0</v>
      </c>
      <c r="I25" s="85">
        <f>'FEEDER Consumption '!Y25</f>
        <v>0</v>
      </c>
      <c r="J25" s="62">
        <f>'FEEDER Consumption '!AB25</f>
        <v>0</v>
      </c>
      <c r="K25" s="85">
        <f>'FEEDER Consumption '!AE25</f>
        <v>0</v>
      </c>
      <c r="L25" s="92">
        <f t="shared" si="0"/>
        <v>0</v>
      </c>
      <c r="M25" s="92">
        <f t="shared" si="1"/>
        <v>0</v>
      </c>
      <c r="N25" s="92">
        <f t="shared" si="2"/>
        <v>0</v>
      </c>
      <c r="O25" s="92">
        <f>'Focus Data'!I25</f>
        <v>0</v>
      </c>
      <c r="P25" s="92" t="e">
        <f t="shared" si="3"/>
        <v>#DIV/0!</v>
      </c>
      <c r="Q25" s="92" t="e">
        <f t="shared" si="4"/>
        <v>#DIV/0!</v>
      </c>
      <c r="R25" s="92" t="e">
        <f t="shared" si="5"/>
        <v>#DIV/0!</v>
      </c>
    </row>
    <row r="26" spans="1:18" ht="13.5" customHeight="1" x14ac:dyDescent="0.2">
      <c r="A26" s="82">
        <v>18</v>
      </c>
      <c r="B26" s="87">
        <f>'FEEDER Consumption '!D26</f>
        <v>0</v>
      </c>
      <c r="C26" s="85">
        <f>'FEEDER Consumption '!G26</f>
        <v>0</v>
      </c>
      <c r="D26" s="85">
        <f>'FEEDER Consumption '!J26</f>
        <v>0</v>
      </c>
      <c r="E26" s="85">
        <f>'FEEDER Consumption '!M26</f>
        <v>0</v>
      </c>
      <c r="F26" s="85">
        <f>'FEEDER Consumption '!P26</f>
        <v>0</v>
      </c>
      <c r="G26" s="85">
        <f>'FEEDER Consumption '!S26</f>
        <v>0</v>
      </c>
      <c r="H26" s="85">
        <f>'FEEDER Consumption '!V26</f>
        <v>0</v>
      </c>
      <c r="I26" s="85">
        <f>'FEEDER Consumption '!Y26</f>
        <v>0</v>
      </c>
      <c r="J26" s="62">
        <f>'FEEDER Consumption '!AB26</f>
        <v>0</v>
      </c>
      <c r="K26" s="85">
        <f>'FEEDER Consumption '!AE26</f>
        <v>0</v>
      </c>
      <c r="L26" s="92">
        <f t="shared" si="0"/>
        <v>0</v>
      </c>
      <c r="M26" s="92">
        <f t="shared" si="1"/>
        <v>0</v>
      </c>
      <c r="N26" s="92">
        <f t="shared" si="2"/>
        <v>0</v>
      </c>
      <c r="O26" s="92">
        <f>'Focus Data'!I26</f>
        <v>0</v>
      </c>
      <c r="P26" s="92" t="e">
        <f t="shared" si="3"/>
        <v>#DIV/0!</v>
      </c>
      <c r="Q26" s="92" t="e">
        <f t="shared" si="4"/>
        <v>#DIV/0!</v>
      </c>
      <c r="R26" s="92" t="e">
        <f t="shared" si="5"/>
        <v>#DIV/0!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-88312767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95">
        <f t="shared" si="6"/>
        <v>-1722220</v>
      </c>
      <c r="F40" s="95">
        <f t="shared" si="6"/>
        <v>-2330923</v>
      </c>
      <c r="G40" s="95">
        <f t="shared" si="6"/>
        <v>-1403900</v>
      </c>
      <c r="H40" s="95">
        <f t="shared" si="6"/>
        <v>-659727</v>
      </c>
      <c r="I40" s="95">
        <f t="shared" si="6"/>
        <v>-6827800</v>
      </c>
      <c r="J40" s="95">
        <f t="shared" si="6"/>
        <v>-1485900</v>
      </c>
      <c r="K40" s="95">
        <f t="shared" si="6"/>
        <v>-443008</v>
      </c>
      <c r="L40" s="95">
        <f t="shared" si="6"/>
        <v>-4053143</v>
      </c>
      <c r="M40" s="95">
        <f t="shared" si="6"/>
        <v>-8313700</v>
      </c>
      <c r="N40" s="95">
        <f t="shared" si="6"/>
        <v>-2063627</v>
      </c>
      <c r="O40" s="95">
        <f t="shared" si="6"/>
        <v>-88312767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2021-01-06T12:00:13Z</dcterms:modified>
</cp:coreProperties>
</file>