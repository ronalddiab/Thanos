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<sst xmlns="http://schemas.openxmlformats.org/spreadsheetml/2006/main" count="313" uniqueCount="148">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</sst>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4540.0000000005575</v>
      </c>
      <c r="F12" s="11">
        <f t="shared" si="1"/>
        <v>0.58765030286592534</v>
      </c>
      <c r="G12" s="12">
        <f>(Submetering!AX12+Submetering!AY12+Submetering!AZ12+Submetering!BA12+Submetering!BB12)</f>
        <v>10.988999999999999</v>
      </c>
      <c r="H12" s="11">
        <f t="shared" si="2"/>
        <v>0.99</v>
      </c>
      <c r="I12" s="12">
        <f>'FS Desroches Daily'!CM14</f>
        <v>27.800000000000068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4459.9999999994388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20.799999999999955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3750.0000000004138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18.399999999999977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3969.9999999998208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16.900000000000091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3899.9999999996917</v>
      </c>
      <c r="F16" s="11">
        <f t="shared" si="1"/>
        <v>0.58765030286592534</v>
      </c>
      <c r="G16" s="12">
        <f>(Submetering!AX16+Submetering!AY16+Submetering!AZ16+Submetering!BA16+Submetering!BB16)</f>
        <v>3.6629999999999998</v>
      </c>
      <c r="H16" s="11">
        <f t="shared" si="2"/>
        <v>0.99</v>
      </c>
      <c r="I16" s="12">
        <f>'FS Desroches Daily'!CM18</f>
        <v>14.199999999999932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3980.0000000002556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13.100000000000023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4150.0000000003693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3959.9999999997162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14.899999999999977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 t="e">
        <f>Submetering!E20+Submetering!F20+Submetering!G20+Submetering!H20+Submetering!J20-Submetering!AV20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 t="e">
        <f>'FS Desroches Daily'!CM22</f>
        <v>#VALUE!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1600.0000000000459</v>
      </c>
      <c r="F12" s="32">
        <f>'FS Desroches Daily'!F14</f>
        <v>600.00000000037801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1700.0000000000348</v>
      </c>
      <c r="J12" s="32">
        <f>'FS Desroches Daily'!N14</f>
        <v>400.00000000017798</v>
      </c>
      <c r="K12" s="13">
        <f>'FS Desroches Daily'!P14</f>
        <v>1</v>
      </c>
      <c r="L12" s="31">
        <f>'FS Desroches Daily'!R14</f>
        <v>3</v>
      </c>
      <c r="M12" s="31">
        <f>'FS Desroches Daily'!T14</f>
        <v>207</v>
      </c>
      <c r="N12" s="31">
        <f>'FS Desroches Daily'!V14</f>
        <v>81.5</v>
      </c>
      <c r="O12" s="31">
        <f>'FS Desroches Daily'!X14</f>
        <v>89.999999999974989</v>
      </c>
      <c r="P12" s="31">
        <f>'FS Desroches Daily'!Z14</f>
        <v>399.99999999995595</v>
      </c>
      <c r="Q12" s="31">
        <f>'FS Desroches Daily'!AB14</f>
        <v>69.999999999993179</v>
      </c>
      <c r="R12" s="31">
        <f>'FS Desroches Daily'!AD14</f>
        <v>110.00000000001364</v>
      </c>
      <c r="S12" s="31">
        <f>'FS Desroches Daily'!AF14</f>
        <v>150.00000000003411</v>
      </c>
      <c r="T12" s="31">
        <f>'FS Desroches Daily'!AH14</f>
        <v>1.5</v>
      </c>
      <c r="U12" s="35">
        <f>'FS Desroches Daily'!AJ14</f>
        <v>899.99999999997726</v>
      </c>
      <c r="V12" s="35">
        <f>'FS Desroches Daily'!AL14</f>
        <v>99.999999999994316</v>
      </c>
      <c r="W12" s="35">
        <f>'FS Desroches Daily'!AN14</f>
        <v>99.999999999994316</v>
      </c>
      <c r="X12" s="35">
        <f>'FS Desroches Daily'!AP14</f>
        <v>79.999999999984084</v>
      </c>
      <c r="Y12" s="35">
        <f>'FS Desroches Daily'!AR14</f>
        <v>30.000000000001137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9.9999999999909051</v>
      </c>
      <c r="AF12" s="31">
        <f>'FS Desroches Daily'!BF14</f>
        <v>24</v>
      </c>
      <c r="AG12" s="32">
        <f>'FS Desroches Daily'!BH14</f>
        <v>20.000000000010232</v>
      </c>
      <c r="AH12" s="32">
        <f>'FS Desroches Daily'!BJ14</f>
        <v>20.000000000038654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19.99999999998181</v>
      </c>
      <c r="AL12" s="32">
        <f>'FS Desroches Daily'!BR14</f>
        <v>8</v>
      </c>
      <c r="AM12" s="32">
        <f>'FS Desroches Daily'!BT14</f>
        <v>20.000000000010232</v>
      </c>
      <c r="AN12" s="32">
        <f>'FS Desroches Daily'!BV14</f>
        <v>12</v>
      </c>
      <c r="AO12" s="32">
        <f>'FS Desroches Daily'!BX14</f>
        <v>9.9999999999909051</v>
      </c>
      <c r="AP12" s="32">
        <f>'FS Desroches Daily'!BZ14</f>
        <v>26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34.30000000000291</v>
      </c>
      <c r="AU12" s="31">
        <f>'FS Desroches Daily'!CJ14</f>
        <v>191</v>
      </c>
      <c r="AV12" s="31">
        <f>'FS Desroches Daily'!CL14</f>
        <v>360.00000000001364</v>
      </c>
      <c r="AW12" s="31">
        <f>'FS Desroches Daily'!CM14</f>
        <v>27.800000000000068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1199.9999999998679</v>
      </c>
      <c r="F13" s="32">
        <f>'FS Desroches Daily'!F15</f>
        <v>599.99999999993395</v>
      </c>
      <c r="G13" s="31">
        <f>'FS Desroches Daily'!H15</f>
        <v>1599.9999999998238</v>
      </c>
      <c r="H13" s="32">
        <f>'FS Desroches Daily'!J15</f>
        <v>899.99999999990087</v>
      </c>
      <c r="I13" s="31">
        <f>'FS Desroches Daily'!L15</f>
        <v>1600.0000000002678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3</v>
      </c>
      <c r="M13" s="31">
        <f>'FS Desroches Daily'!T15</f>
        <v>313.80000000004657</v>
      </c>
      <c r="N13" s="31">
        <f>'FS Desroches Daily'!V15</f>
        <v>133.29999999998836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89.999999999974989</v>
      </c>
      <c r="S13" s="31">
        <f>'FS Desroches Daily'!AF15</f>
        <v>169.99999999995907</v>
      </c>
      <c r="T13" s="31">
        <f>'FS Desroches Daily'!AH15</f>
        <v>1.4000000000000909</v>
      </c>
      <c r="U13" s="35">
        <f>'FS Desroches Daily'!AJ15</f>
        <v>379.99999999999545</v>
      </c>
      <c r="V13" s="35">
        <f>'FS Desroches Daily'!AL15</f>
        <v>129.99999999999545</v>
      </c>
      <c r="W13" s="35">
        <f>'FS Desroches Daily'!AN15</f>
        <v>109.99999999998522</v>
      </c>
      <c r="X13" s="35">
        <f>'FS Desroches Daily'!AP15</f>
        <v>90.000000000003411</v>
      </c>
      <c r="Y13" s="35">
        <f>'FS Desroches Daily'!AR15</f>
        <v>39.999999999992042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20.000000000038654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17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9.9999999999909051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20.000000000010232</v>
      </c>
      <c r="AN13" s="32">
        <f>'FS Desroches Daily'!BV15</f>
        <v>7</v>
      </c>
      <c r="AO13" s="32">
        <f>'FS Desroches Daily'!BX15</f>
        <v>20.000000000010232</v>
      </c>
      <c r="AP13" s="32">
        <f>'FS Desroches Daily'!BZ15</f>
        <v>32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33.5</v>
      </c>
      <c r="AU13" s="31">
        <f>'FS Desroches Daily'!CJ15</f>
        <v>214</v>
      </c>
      <c r="AV13" s="31">
        <f>'FS Desroches Daily'!CL15</f>
        <v>340.00000000003183</v>
      </c>
      <c r="AW13" s="31">
        <f>'FS Desroches Daily'!CM15</f>
        <v>20.799999999999955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900.0000000001229</v>
      </c>
      <c r="F14" s="32">
        <f>'FS Desroches Daily'!F16</f>
        <v>599.99999999993395</v>
      </c>
      <c r="G14" s="31">
        <f>'FS Desroches Daily'!H16</f>
        <v>1400.0000000002899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4</v>
      </c>
      <c r="M14" s="31">
        <f>'FS Desroches Daily'!T16</f>
        <v>75.599999999976717</v>
      </c>
      <c r="N14" s="31">
        <f>'FS Desroches Daily'!V16</f>
        <v>51</v>
      </c>
      <c r="O14" s="31">
        <f>'FS Desroches Daily'!X16</f>
        <v>90.000000000031832</v>
      </c>
      <c r="P14" s="31">
        <f>'FS Desroches Daily'!Z16</f>
        <v>399.99999999995595</v>
      </c>
      <c r="Q14" s="31">
        <f>'FS Desroches Daily'!AB16</f>
        <v>90.000000000031832</v>
      </c>
      <c r="R14" s="31">
        <f>'FS Desroches Daily'!AD16</f>
        <v>89.999999999974989</v>
      </c>
      <c r="S14" s="31">
        <f>'FS Desroches Daily'!AF16</f>
        <v>129.99999999999545</v>
      </c>
      <c r="T14" s="31">
        <f>'FS Desroches Daily'!AH16</f>
        <v>1.2999999999999545</v>
      </c>
      <c r="U14" s="35">
        <f>'FS Desroches Daily'!AJ16</f>
        <v>250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39.999999999992042</v>
      </c>
      <c r="Y14" s="35">
        <f>'FS Desroches Daily'!AR16</f>
        <v>40.000000000020464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9.9999999999909051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38</v>
      </c>
      <c r="AG14" s="32">
        <f>'FS Desroches Daily'!BH16</f>
        <v>9.9999999999909051</v>
      </c>
      <c r="AH14" s="32">
        <f>'FS Desroches Daily'!BJ16</f>
        <v>19.99999999998181</v>
      </c>
      <c r="AI14" s="32">
        <f>'FS Desroches Daily'!BL16</f>
        <v>9.9999999999909051</v>
      </c>
      <c r="AJ14" s="32">
        <f>'FS Desroches Daily'!BN16</f>
        <v>20.000000000010232</v>
      </c>
      <c r="AK14" s="32">
        <f>'FS Desroches Daily'!BP16</f>
        <v>20.000000000038654</v>
      </c>
      <c r="AL14" s="32">
        <f>'FS Desroches Daily'!BR16</f>
        <v>8</v>
      </c>
      <c r="AM14" s="32">
        <f>'FS Desroches Daily'!BT16</f>
        <v>19.99999999998181</v>
      </c>
      <c r="AN14" s="32">
        <f>'FS Desroches Daily'!BV16</f>
        <v>9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</v>
      </c>
      <c r="AU14" s="31">
        <f>'FS Desroches Daily'!CJ16</f>
        <v>201</v>
      </c>
      <c r="AV14" s="31">
        <f>'FS Desroches Daily'!CL16</f>
        <v>350.00000000002274</v>
      </c>
      <c r="AW14" s="31">
        <f>'FS Desroches Daily'!CM16</f>
        <v>18.399999999999977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899.99999999990087</v>
      </c>
      <c r="F15" s="32">
        <f>'FS Desroches Daily'!F17</f>
        <v>599.99999999993395</v>
      </c>
      <c r="G15" s="31">
        <f>'FS Desroches Daily'!H17</f>
        <v>1500.0000000000568</v>
      </c>
      <c r="H15" s="32">
        <f>'FS Desroches Daily'!J17</f>
        <v>799.99999999991189</v>
      </c>
      <c r="I15" s="31">
        <f>'FS Desroches Daily'!L17</f>
        <v>1599.9999999998238</v>
      </c>
      <c r="J15" s="32">
        <f>'FS Desroches Daily'!N17</f>
        <v>499.99999999994492</v>
      </c>
      <c r="K15" s="13">
        <f>'FS Desroches Daily'!P17</f>
        <v>1</v>
      </c>
      <c r="L15" s="31">
        <f>'FS Desroches Daily'!R17</f>
        <v>2</v>
      </c>
      <c r="M15" s="31">
        <f>'FS Desroches Daily'!T17</f>
        <v>281.19999999995343</v>
      </c>
      <c r="N15" s="31">
        <f>'FS Desroches Daily'!V17</f>
        <v>138.29999999998836</v>
      </c>
      <c r="O15" s="31">
        <f>'FS Desroches Daily'!X17</f>
        <v>79.999999999984084</v>
      </c>
      <c r="P15" s="31">
        <f>'FS Desroches Daily'!Z17</f>
        <v>500.00000000016701</v>
      </c>
      <c r="Q15" s="31">
        <f>'FS Desroches Daily'!AB17</f>
        <v>69.999999999993179</v>
      </c>
      <c r="R15" s="31">
        <f>'FS Desroches Daily'!AD17</f>
        <v>90.000000000031832</v>
      </c>
      <c r="S15" s="31">
        <f>'FS Desroches Daily'!AF17</f>
        <v>189.99999999999773</v>
      </c>
      <c r="T15" s="31">
        <f>'FS Desroches Daily'!AH17</f>
        <v>1.5</v>
      </c>
      <c r="U15" s="35">
        <f>'FS Desroches Daily'!AJ17</f>
        <v>210.00000000003638</v>
      </c>
      <c r="V15" s="35">
        <f>'FS Desroches Daily'!AL17</f>
        <v>50.000000000011369</v>
      </c>
      <c r="W15" s="35">
        <f>'FS Desroches Daily'!AN17</f>
        <v>120.00000000000455</v>
      </c>
      <c r="X15" s="35">
        <f>'FS Desroches Daily'!AP17</f>
        <v>90.000000000003411</v>
      </c>
      <c r="Y15" s="35">
        <f>'FS Desroches Daily'!AR17</f>
        <v>30.000000000001137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20.000000000038654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0</v>
      </c>
      <c r="AH15" s="32">
        <f>'FS Desroches Daily'!BJ17</f>
        <v>19.99999999998181</v>
      </c>
      <c r="AI15" s="32">
        <f>'FS Desroches Daily'!BL17</f>
        <v>0</v>
      </c>
      <c r="AJ15" s="32">
        <f>'FS Desroches Daily'!BN17</f>
        <v>9.9999999999909051</v>
      </c>
      <c r="AK15" s="32">
        <f>'FS Desroches Daily'!BP17</f>
        <v>19.99999999998181</v>
      </c>
      <c r="AL15" s="32">
        <f>'FS Desroches Daily'!BR17</f>
        <v>7</v>
      </c>
      <c r="AM15" s="32">
        <f>'FS Desroches Daily'!BT17</f>
        <v>30.000000000001137</v>
      </c>
      <c r="AN15" s="32">
        <f>'FS Desroches Daily'!BV17</f>
        <v>8</v>
      </c>
      <c r="AO15" s="32">
        <f>'FS Desroches Daily'!BX17</f>
        <v>19.99999999998181</v>
      </c>
      <c r="AP15" s="32">
        <f>'FS Desroches Daily'!BZ17</f>
        <v>27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29.099999999998545</v>
      </c>
      <c r="AU15" s="31">
        <f>'FS Desroches Daily'!CJ17</f>
        <v>198</v>
      </c>
      <c r="AV15" s="31">
        <f>'FS Desroches Daily'!CL17</f>
        <v>329.99999999992724</v>
      </c>
      <c r="AW15" s="31">
        <f>'FS Desroches Daily'!CM17</f>
        <v>16.900000000000091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999.99999999988984</v>
      </c>
      <c r="F16" s="32">
        <f>'FS Desroches Daily'!F18</f>
        <v>599.99999999993395</v>
      </c>
      <c r="G16" s="31">
        <f>'FS Desroches Daily'!H18</f>
        <v>1499.9999999996128</v>
      </c>
      <c r="H16" s="32">
        <f>'FS Desroches Daily'!J18</f>
        <v>700.00000000014495</v>
      </c>
      <c r="I16" s="31">
        <f>'FS Desroches Daily'!L18</f>
        <v>1600.0000000002678</v>
      </c>
      <c r="J16" s="32">
        <f>'FS Desroches Daily'!N18</f>
        <v>400.00000000017798</v>
      </c>
      <c r="K16" s="13">
        <f>'FS Desroches Daily'!P18</f>
        <v>1</v>
      </c>
      <c r="L16" s="31">
        <f>'FS Desroches Daily'!R18</f>
        <v>3</v>
      </c>
      <c r="M16" s="31">
        <f>'FS Desroches Daily'!T18</f>
        <v>217.40000000002328</v>
      </c>
      <c r="N16" s="31">
        <f>'FS Desroches Daily'!V18</f>
        <v>110.40000000002328</v>
      </c>
      <c r="O16" s="31">
        <f>'FS Desroches Daily'!X18</f>
        <v>90.000000000031832</v>
      </c>
      <c r="P16" s="31">
        <f>'FS Desroches Daily'!Z18</f>
        <v>399.99999999995595</v>
      </c>
      <c r="Q16" s="31">
        <f>'FS Desroches Daily'!AB18</f>
        <v>69.999999999993179</v>
      </c>
      <c r="R16" s="31">
        <f>'FS Desroches Daily'!AD18</f>
        <v>89.999999999974989</v>
      </c>
      <c r="S16" s="31">
        <f>'FS Desroches Daily'!AF18</f>
        <v>170.00000000001592</v>
      </c>
      <c r="T16" s="31">
        <f>'FS Desroches Daily'!AH18</f>
        <v>1.5</v>
      </c>
      <c r="U16" s="35">
        <f>'FS Desroches Daily'!AJ18</f>
        <v>229.99999999996135</v>
      </c>
      <c r="V16" s="35">
        <f>'FS Desroches Daily'!AL18</f>
        <v>179.9999999999784</v>
      </c>
      <c r="W16" s="35">
        <f>'FS Desroches Daily'!AN18</f>
        <v>109.99999999998522</v>
      </c>
      <c r="X16" s="35">
        <f>'FS Desroches Daily'!AP18</f>
        <v>80.000000000012506</v>
      </c>
      <c r="Y16" s="35">
        <f>'FS Desroches Daily'!AR18</f>
        <v>39.999999999992042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29.999999999972715</v>
      </c>
      <c r="AC16" s="35">
        <f>'FS Desroches Daily'!AZ18</f>
        <v>19.99999999998181</v>
      </c>
      <c r="AD16" s="35">
        <f>'FS Desroches Daily'!BB18</f>
        <v>9.9999999999909051</v>
      </c>
      <c r="AE16" s="35">
        <f>'FS Desroches Daily'!BD18</f>
        <v>20.000000000010232</v>
      </c>
      <c r="AF16" s="31">
        <f>'FS Desroches Daily'!BF18</f>
        <v>27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20.000000000010232</v>
      </c>
      <c r="AK16" s="32">
        <f>'FS Desroches Daily'!BP18</f>
        <v>29.999999999972715</v>
      </c>
      <c r="AL16" s="32">
        <f>'FS Desroches Daily'!BR18</f>
        <v>8</v>
      </c>
      <c r="AM16" s="32">
        <f>'FS Desroches Daily'!BT18</f>
        <v>9.9999999999909051</v>
      </c>
      <c r="AN16" s="32">
        <f>'FS Desroches Daily'!BV18</f>
        <v>6</v>
      </c>
      <c r="AO16" s="32">
        <f>'FS Desroches Daily'!BX18</f>
        <v>20.000000000010232</v>
      </c>
      <c r="AP16" s="32">
        <f>'FS Desroches Daily'!BZ18</f>
        <v>27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25.80000000000291</v>
      </c>
      <c r="AU16" s="31">
        <f>'FS Desroches Daily'!CJ18</f>
        <v>199</v>
      </c>
      <c r="AV16" s="31">
        <f>'FS Desroches Daily'!CL18</f>
        <v>300.00000000006821</v>
      </c>
      <c r="AW16" s="31">
        <f>'FS Desroches Daily'!CM18</f>
        <v>14.199999999999932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1000.0000000001119</v>
      </c>
      <c r="F17" s="32">
        <f>'FS Desroches Daily'!F19</f>
        <v>599.99999999993395</v>
      </c>
      <c r="G17" s="31">
        <f>'FS Desroches Daily'!H19</f>
        <v>1400.0000000002899</v>
      </c>
      <c r="H17" s="32">
        <f>'FS Desroches Daily'!J19</f>
        <v>799.99999999991189</v>
      </c>
      <c r="I17" s="31">
        <f>'FS Desroches Daily'!L19</f>
        <v>1599.9999999998238</v>
      </c>
      <c r="J17" s="32">
        <f>'FS Desroches Daily'!N19</f>
        <v>499.99999999994492</v>
      </c>
      <c r="K17" s="13">
        <f>'FS Desroches Daily'!P19</f>
        <v>1</v>
      </c>
      <c r="L17" s="31">
        <f>'FS Desroches Daily'!R19</f>
        <v>3</v>
      </c>
      <c r="M17" s="31">
        <f>'FS Desroches Daily'!T19</f>
        <v>212.80000000004657</v>
      </c>
      <c r="N17" s="31">
        <f>'FS Desroches Daily'!V19</f>
        <v>117</v>
      </c>
      <c r="O17" s="31">
        <f>'FS Desroches Daily'!X19</f>
        <v>79.999999999984084</v>
      </c>
      <c r="P17" s="31">
        <f>'FS Desroches Daily'!Z19</f>
        <v>399.99999999995595</v>
      </c>
      <c r="Q17" s="31">
        <f>'FS Desroches Daily'!AB19</f>
        <v>79.999999999984084</v>
      </c>
      <c r="R17" s="31">
        <f>'FS Desroches Daily'!AD19</f>
        <v>100.00000000002274</v>
      </c>
      <c r="S17" s="31">
        <f>'FS Desroches Daily'!AF19</f>
        <v>189.99999999999773</v>
      </c>
      <c r="T17" s="31">
        <f>'FS Desroches Daily'!AH19</f>
        <v>1.7000000000000455</v>
      </c>
      <c r="U17" s="35">
        <f>'FS Desroches Daily'!AJ19</f>
        <v>270.00000000003865</v>
      </c>
      <c r="V17" s="35">
        <f>'FS Desroches Daily'!AL19</f>
        <v>130.00000000002387</v>
      </c>
      <c r="W17" s="35">
        <f>'FS Desroches Daily'!AN19</f>
        <v>120.00000000000455</v>
      </c>
      <c r="X17" s="35">
        <f>'FS Desroches Daily'!AP19</f>
        <v>109.99999999998522</v>
      </c>
      <c r="Y17" s="35">
        <f>'FS Desroches Daily'!AR19</f>
        <v>39.999999999992042</v>
      </c>
      <c r="Z17" s="35">
        <f>'FS Desroches Daily'!AU20</f>
        <v>267.42</v>
      </c>
      <c r="AA17" s="35">
        <f>'FS Desroches Daily'!AU20</f>
        <v>267.42</v>
      </c>
      <c r="AB17" s="35">
        <f>'FS Desroches Daily'!AV19</f>
        <v>19.99999999998181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19.99999999998181</v>
      </c>
      <c r="AF17" s="31">
        <f>'FS Desroches Daily'!BF19</f>
        <v>29</v>
      </c>
      <c r="AG17" s="32">
        <f>'FS Desroches Daily'!BH19</f>
        <v>20.000000000010232</v>
      </c>
      <c r="AH17" s="32">
        <f>'FS Desroches Daily'!BJ19</f>
        <v>10.000000000047748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8</v>
      </c>
      <c r="AM17" s="32">
        <f>'FS Desroches Daily'!BT19</f>
        <v>10.000000000019327</v>
      </c>
      <c r="AN17" s="32">
        <f>'FS Desroches Daily'!BV19</f>
        <v>29</v>
      </c>
      <c r="AO17" s="32">
        <f>'FS Desroches Daily'!BX19</f>
        <v>20.000000000010232</v>
      </c>
      <c r="AP17" s="32">
        <f>'FS Desroches Daily'!BZ19</f>
        <v>30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29.799999999995634</v>
      </c>
      <c r="AU17" s="31">
        <f>'FS Desroches Daily'!CJ19</f>
        <v>196</v>
      </c>
      <c r="AV17" s="31">
        <f>'FS Desroches Daily'!CL19</f>
        <v>319.99999999993634</v>
      </c>
      <c r="AW17" s="31">
        <f>'FS Desroches Daily'!CM19</f>
        <v>13.100000000000023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1100.000000000101</v>
      </c>
      <c r="F18" s="32">
        <f>'FS Desroches Daily'!F20</f>
        <v>600.00000000037801</v>
      </c>
      <c r="G18" s="31">
        <f>'FS Desroches Daily'!H20</f>
        <v>1500.0000000000568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499.99999999994492</v>
      </c>
      <c r="K18" s="13">
        <f>'FS Desroches Daily'!P20</f>
        <v>0</v>
      </c>
      <c r="L18" s="31">
        <f>'FS Desroches Daily'!R20</f>
        <v>3</v>
      </c>
      <c r="M18" s="31">
        <f>'FS Desroches Daily'!T20</f>
        <v>157.40000000002328</v>
      </c>
      <c r="N18" s="31">
        <f>'FS Desroches Daily'!V20</f>
        <v>85.899999999965075</v>
      </c>
      <c r="O18" s="31">
        <f>'FS Desroches Daily'!X20</f>
        <v>89.999999999974989</v>
      </c>
      <c r="P18" s="31">
        <f>'FS Desroches Daily'!Z20</f>
        <v>399.99999999995595</v>
      </c>
      <c r="Q18" s="31">
        <f>'FS Desroches Daily'!AB20</f>
        <v>80.000000000040927</v>
      </c>
      <c r="R18" s="31">
        <f>'FS Desroches Daily'!AD20</f>
        <v>110.00000000001364</v>
      </c>
      <c r="S18" s="31">
        <f>'FS Desroches Daily'!AF20</f>
        <v>199.99999999998863</v>
      </c>
      <c r="T18" s="31">
        <f>'FS Desroches Daily'!AH20</f>
        <v>1.2000000000000455</v>
      </c>
      <c r="U18" s="35">
        <f>'FS Desroches Daily'!AJ20</f>
        <v>259.99999999999091</v>
      </c>
      <c r="V18" s="35">
        <f>'FS Desroches Daily'!AL20</f>
        <v>139.99999999998636</v>
      </c>
      <c r="W18" s="35">
        <f>'FS Desroches Daily'!AN20</f>
        <v>129.99999999999545</v>
      </c>
      <c r="X18" s="35">
        <f>'FS Desroches Daily'!AP20</f>
        <v>150.00000000000568</v>
      </c>
      <c r="Y18" s="35">
        <f>'FS Desroches Daily'!AR20</f>
        <v>40.000000000020464</v>
      </c>
      <c r="Z18" s="35">
        <f>'FS Desroches Daily'!AT20</f>
        <v>30.000000000029559</v>
      </c>
      <c r="AA18" s="35">
        <f>'FS Desroches Daily'!AT20</f>
        <v>30.000000000029559</v>
      </c>
      <c r="AB18" s="35">
        <f>'FS Desroches Daily'!AV20</f>
        <v>20.000000000038654</v>
      </c>
      <c r="AC18" s="35">
        <f>'FS Desroches Daily'!AZ20</f>
        <v>19.99999999998181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33</v>
      </c>
      <c r="AG18" s="32">
        <f>'FS Desroches Daily'!BH20</f>
        <v>9.9999999999909051</v>
      </c>
      <c r="AH18" s="32">
        <f>'FS Desroches Daily'!BJ20</f>
        <v>0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7</v>
      </c>
      <c r="AM18" s="32">
        <f>'FS Desroches Daily'!BT20</f>
        <v>19.99999999998181</v>
      </c>
      <c r="AN18" s="32">
        <f>'FS Desroches Daily'!BV20</f>
        <v>28</v>
      </c>
      <c r="AO18" s="32">
        <f>'FS Desroches Daily'!BX20</f>
        <v>30.000000000001137</v>
      </c>
      <c r="AP18" s="32">
        <f>'FS Desroches Daily'!BZ20</f>
        <v>28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24.80000000000291</v>
      </c>
      <c r="AU18" s="31">
        <f>'FS Desroches Daily'!CJ20</f>
        <v>196</v>
      </c>
      <c r="AV18" s="31">
        <f>'FS Desroches Daily'!CL20</f>
        <v>350.00000000002274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999.99999999988984</v>
      </c>
      <c r="F19" s="32">
        <f>'FS Desroches Daily'!F21</f>
        <v>599.99999999993395</v>
      </c>
      <c r="G19" s="31">
        <f>'FS Desroches Daily'!H21</f>
        <v>1399.9999999998458</v>
      </c>
      <c r="H19" s="32">
        <f>'FS Desroches Daily'!J21</f>
        <v>800.00000000013392</v>
      </c>
      <c r="I19" s="31">
        <f>'FS Desroches Daily'!L21</f>
        <v>1600.0000000002678</v>
      </c>
      <c r="J19" s="32">
        <f>'FS Desroches Daily'!N21</f>
        <v>499.99999999994492</v>
      </c>
      <c r="K19" s="13" t="str">
        <f>'FS Desroches Daily'!P21</f>
        <v/>
      </c>
      <c r="L19" s="31">
        <f>'FS Desroches Daily'!R21</f>
        <v>3</v>
      </c>
      <c r="M19" s="31">
        <f>'FS Desroches Daily'!T21</f>
        <v>145.19999999995343</v>
      </c>
      <c r="N19" s="31">
        <f>'FS Desroches Daily'!V21</f>
        <v>92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120.00000000000455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259.99999999999091</v>
      </c>
      <c r="V19" s="35">
        <f>'FS Desroches Daily'!AL21</f>
        <v>150.00000000000568</v>
      </c>
      <c r="W19" s="35">
        <f>'FS Desroches Daily'!AN21</f>
        <v>129.99999999999545</v>
      </c>
      <c r="X19" s="35">
        <f>'FS Desroches Daily'!AP21</f>
        <v>120.00000000000455</v>
      </c>
      <c r="Y19" s="35">
        <f>'FS Desroches Daily'!AR21</f>
        <v>49.999999999982947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38</v>
      </c>
      <c r="AG19" s="32">
        <f>'FS Desroches Daily'!BH21</f>
        <v>0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7</v>
      </c>
      <c r="AM19" s="32">
        <f>'FS Desroches Daily'!BT21</f>
        <v>10.000000000019327</v>
      </c>
      <c r="AN19" s="32">
        <f>'FS Desroches Daily'!BV21</f>
        <v>29</v>
      </c>
      <c r="AO19" s="32">
        <f>'FS Desroches Daily'!BX21</f>
        <v>30.000000000001137</v>
      </c>
      <c r="AP19" s="32">
        <f>'FS Desroches Daily'!BZ21</f>
        <v>29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28.30000000000291</v>
      </c>
      <c r="AU19" s="31">
        <f>'FS Desroches Daily'!CJ21</f>
        <v>196</v>
      </c>
      <c r="AV19" s="31">
        <f>'FS Desroches Daily'!CL21</f>
        <v>340.00000000003183</v>
      </c>
      <c r="AW19" s="31">
        <f>'FS Desroches Daily'!CM21</f>
        <v>14.899999999999977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>
        <f>'FS Desroches Daily'!P22</f>
        <v>0</v>
      </c>
      <c r="L20" s="31" t="str">
        <f>'FS Desroches Daily'!R22</f>
        <v/>
      </c>
      <c r="M20" s="31" t="str">
        <f>'FS Desroches Daily'!T22</f>
        <v/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24899.999999999927</v>
      </c>
      <c r="F33" s="17">
        <f t="shared" ref="F33:BC33" si="1">SUM(F2:F32)</f>
        <v>10499.999999999955</v>
      </c>
      <c r="G33" s="17">
        <f t="shared" si="1"/>
        <v>28099.9999999998</v>
      </c>
      <c r="H33" s="17">
        <f t="shared" si="1"/>
        <v>14399.999999999971</v>
      </c>
      <c r="I33" s="17">
        <f t="shared" si="1"/>
        <v>28300.000000000222</v>
      </c>
      <c r="J33" s="17">
        <f t="shared" si="1"/>
        <v>8000.0000000000055</v>
      </c>
      <c r="K33" s="17">
        <f t="shared" si="1"/>
        <v>14</v>
      </c>
      <c r="L33" s="17">
        <f t="shared" si="1"/>
        <v>45</v>
      </c>
      <c r="M33" s="17">
        <f t="shared" si="1"/>
        <v>4687.8000000000466</v>
      </c>
      <c r="N33" s="17">
        <f t="shared" si="1"/>
        <v>2128.7999999999884</v>
      </c>
      <c r="O33" s="17">
        <f t="shared" si="1"/>
        <v>1630.0000000000523</v>
      </c>
      <c r="P33" s="17">
        <f t="shared" si="1"/>
        <v>6999.9999999996762</v>
      </c>
      <c r="Q33" s="17">
        <f t="shared" si="1"/>
        <v>1259.9999999999909</v>
      </c>
      <c r="R33" s="17">
        <f t="shared" si="1"/>
        <v>1890.0000000000432</v>
      </c>
      <c r="S33" s="17">
        <f t="shared" si="1"/>
        <v>2899.9999999999773</v>
      </c>
      <c r="T33" s="17">
        <f t="shared" si="1"/>
        <v>23.799999999999955</v>
      </c>
      <c r="U33" s="35">
        <f t="shared" si="1"/>
        <v>11819.999999999993</v>
      </c>
      <c r="V33" s="35">
        <f t="shared" si="1"/>
        <v>2819.9999999999927</v>
      </c>
      <c r="W33" s="35">
        <f t="shared" si="1"/>
        <v>1699.9999999999886</v>
      </c>
      <c r="X33" s="35">
        <f t="shared" si="1"/>
        <v>1509.9999999999909</v>
      </c>
      <c r="Y33" s="35">
        <f t="shared" si="1"/>
        <v>629.99999999999545</v>
      </c>
      <c r="Z33" s="35">
        <f t="shared" si="1"/>
        <v>687.42000000001599</v>
      </c>
      <c r="AA33" s="35">
        <f t="shared" si="1"/>
        <v>687.42000000001599</v>
      </c>
      <c r="AB33" s="35">
        <f t="shared" si="1"/>
        <v>360.00000000001364</v>
      </c>
      <c r="AC33" s="35">
        <f t="shared" si="1"/>
        <v>319.99999999999318</v>
      </c>
      <c r="AD33" s="35">
        <f t="shared" si="1"/>
        <v>329.99999999998408</v>
      </c>
      <c r="AE33" s="35">
        <f t="shared" si="1"/>
        <v>290.00000000002046</v>
      </c>
      <c r="AF33" s="17">
        <f t="shared" si="1"/>
        <v>427</v>
      </c>
      <c r="AG33" s="32">
        <f t="shared" si="1"/>
        <v>270.00000000001023</v>
      </c>
      <c r="AH33" s="32">
        <f t="shared" si="1"/>
        <v>220.00000000002728</v>
      </c>
      <c r="AI33" s="32">
        <f t="shared" si="1"/>
        <v>169.99999999998749</v>
      </c>
      <c r="AJ33" s="32">
        <f t="shared" si="1"/>
        <v>260.00000000001933</v>
      </c>
      <c r="AK33" s="32">
        <f t="shared" si="1"/>
        <v>429.99999999994998</v>
      </c>
      <c r="AL33" s="32">
        <f t="shared" si="1"/>
        <v>198</v>
      </c>
      <c r="AM33" s="32">
        <f t="shared" si="1"/>
        <v>319.99999999999318</v>
      </c>
      <c r="AN33" s="32">
        <f t="shared" si="1"/>
        <v>306</v>
      </c>
      <c r="AO33" s="32">
        <f t="shared" si="1"/>
        <v>340.00000000000341</v>
      </c>
      <c r="AP33" s="32">
        <f t="shared" si="1"/>
        <v>432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576.20000000000437</v>
      </c>
      <c r="AU33" s="17">
        <f t="shared" si="1"/>
        <v>3489</v>
      </c>
      <c r="AV33" s="17">
        <f t="shared" si="1"/>
        <v>6629.9999999999955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89.743499999999983</v>
      </c>
      <c r="BC33" s="17">
        <f t="shared" si="1"/>
        <v>16</v>
      </c>
    </row>
    <row r="35" spans="5:55" x14ac:dyDescent="0.25">
      <c r="E35" s="38">
        <f>E33/E37</f>
        <v>0.32321711363223399</v>
      </c>
      <c r="G35" s="29">
        <f>G33-M36</f>
        <v>21283.399999999765</v>
      </c>
      <c r="AE35" s="35">
        <f>SUM(U33:AE33)</f>
        <v>21154.840000000007</v>
      </c>
      <c r="AG35" s="32">
        <f>SUM(AG33:AP33)</f>
        <v>2945.9999999999909</v>
      </c>
    </row>
    <row r="36" spans="5:55" x14ac:dyDescent="0.25">
      <c r="G36" s="29">
        <f>G35-633*14</f>
        <v>12421.399999999765</v>
      </c>
      <c r="M36" s="29">
        <f>M33+N33</f>
        <v>6816.6000000000349</v>
      </c>
    </row>
    <row r="37" spans="5:55" x14ac:dyDescent="0.25">
      <c r="E37" s="17">
        <f>E33+F33+G33+H33+J33-633*14</f>
        <v>77037.999999999651</v>
      </c>
      <c r="G37" s="37">
        <f>M36/E37</f>
        <v>8.8483605493393722E-2</v>
      </c>
      <c r="M37" s="35">
        <f>AE35</f>
        <v>21154.840000000007</v>
      </c>
    </row>
    <row r="38" spans="5:55" x14ac:dyDescent="0.25">
      <c r="L38" s="27">
        <f>M38/E37</f>
        <v>3.8240868142994419E-2</v>
      </c>
      <c r="M38" s="29">
        <f>AG35</f>
        <v>2945.9999999999909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W1" zoomScale="80" zoomScaleNormal="80" workbookViewId="0">
      <pane ySplit="1" topLeftCell="A2" activePane="bottomLeft" state="frozen"/>
      <selection pane="bottomLeft" activeCell="BG22" sqref="BG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>
        <v>1.8236000000000001</v>
      </c>
      <c r="D14" s="64">
        <f t="shared" si="0"/>
        <v>1600.0000000000459</v>
      </c>
      <c r="E14" s="58">
        <v>2.7667000000000002</v>
      </c>
      <c r="F14" s="64">
        <f t="shared" si="1"/>
        <v>600.00000000037801</v>
      </c>
      <c r="G14" s="58">
        <v>2.7115</v>
      </c>
      <c r="H14" s="64">
        <f t="shared" si="2"/>
        <v>1500.0000000000568</v>
      </c>
      <c r="I14" s="58">
        <v>1.3126</v>
      </c>
      <c r="J14" s="64">
        <f t="shared" si="3"/>
        <v>799.99999999991189</v>
      </c>
      <c r="K14" s="58">
        <v>2.073</v>
      </c>
      <c r="L14" s="64">
        <f t="shared" si="4"/>
        <v>1700.0000000000348</v>
      </c>
      <c r="M14" s="58">
        <v>1.2452000000000001</v>
      </c>
      <c r="N14" s="64">
        <f t="shared" si="5"/>
        <v>400.00000000017798</v>
      </c>
      <c r="O14" s="58">
        <v>12648</v>
      </c>
      <c r="P14" s="67">
        <f t="shared" si="44"/>
        <v>1</v>
      </c>
      <c r="Q14" s="58">
        <v>5723</v>
      </c>
      <c r="R14" s="67">
        <f t="shared" si="6"/>
        <v>3</v>
      </c>
      <c r="S14" s="58">
        <v>853545.6</v>
      </c>
      <c r="T14" s="67">
        <f t="shared" si="7"/>
        <v>207</v>
      </c>
      <c r="U14" s="58">
        <v>348039.2</v>
      </c>
      <c r="V14" s="67">
        <f t="shared" si="8"/>
        <v>81.5</v>
      </c>
      <c r="W14" s="58">
        <v>340.76</v>
      </c>
      <c r="X14" s="65">
        <f t="shared" si="9"/>
        <v>89.999999999974989</v>
      </c>
      <c r="Y14" s="58">
        <v>2.4283999999999999</v>
      </c>
      <c r="Z14" s="65">
        <f t="shared" si="10"/>
        <v>399.99999999995595</v>
      </c>
      <c r="AA14" s="58">
        <v>332.82</v>
      </c>
      <c r="AB14" s="65">
        <f t="shared" si="11"/>
        <v>69.999999999993179</v>
      </c>
      <c r="AC14" s="58">
        <v>319.22000000000003</v>
      </c>
      <c r="AD14" s="65">
        <f t="shared" si="12"/>
        <v>110.00000000001364</v>
      </c>
      <c r="AE14" s="58">
        <v>499.22</v>
      </c>
      <c r="AF14" s="65">
        <f t="shared" si="13"/>
        <v>150.00000000003411</v>
      </c>
      <c r="AG14" s="58">
        <v>1362.3</v>
      </c>
      <c r="AH14" s="67">
        <f t="shared" si="14"/>
        <v>1.5</v>
      </c>
      <c r="AI14" s="58">
        <v>470.14</v>
      </c>
      <c r="AJ14" s="65">
        <f t="shared" si="15"/>
        <v>899.99999999997726</v>
      </c>
      <c r="AK14" s="58">
        <v>160.69</v>
      </c>
      <c r="AL14" s="65">
        <f t="shared" si="15"/>
        <v>99.999999999994316</v>
      </c>
      <c r="AM14" s="58">
        <v>157.78</v>
      </c>
      <c r="AN14" s="65">
        <f t="shared" si="15"/>
        <v>99.999999999994316</v>
      </c>
      <c r="AO14" s="58">
        <v>153.38</v>
      </c>
      <c r="AP14" s="65">
        <f t="shared" si="15"/>
        <v>79.999999999984084</v>
      </c>
      <c r="AQ14" s="58">
        <v>220.88</v>
      </c>
      <c r="AR14" s="65">
        <f t="shared" si="16"/>
        <v>30.000000000001137</v>
      </c>
      <c r="AS14" s="58">
        <v>346.45</v>
      </c>
      <c r="AT14" s="65">
        <f t="shared" si="17"/>
        <v>0</v>
      </c>
      <c r="AU14" s="58">
        <v>267.27999999999997</v>
      </c>
      <c r="AV14" s="65">
        <f t="shared" si="18"/>
        <v>9.9999999999909051</v>
      </c>
      <c r="AW14" s="58">
        <v>294.86</v>
      </c>
      <c r="AX14" s="65">
        <f t="shared" si="19"/>
        <v>20.000000000038654</v>
      </c>
      <c r="AY14" s="58">
        <v>346.08</v>
      </c>
      <c r="AZ14" s="65">
        <f t="shared" si="20"/>
        <v>19.99999999998181</v>
      </c>
      <c r="BA14" s="58">
        <v>365.8</v>
      </c>
      <c r="BB14" s="65">
        <f t="shared" si="21"/>
        <v>20.000000000038654</v>
      </c>
      <c r="BC14" s="58">
        <v>232.45</v>
      </c>
      <c r="BD14" s="65">
        <f t="shared" si="22"/>
        <v>9.9999999999909051</v>
      </c>
      <c r="BE14" s="59">
        <v>31105</v>
      </c>
      <c r="BF14" s="67">
        <f t="shared" si="39"/>
        <v>24</v>
      </c>
      <c r="BG14" s="60">
        <v>225.99</v>
      </c>
      <c r="BH14" s="65">
        <f t="shared" si="23"/>
        <v>20.000000000010232</v>
      </c>
      <c r="BI14" s="60">
        <v>283.97000000000003</v>
      </c>
      <c r="BJ14" s="65">
        <f t="shared" si="40"/>
        <v>20.000000000038654</v>
      </c>
      <c r="BK14" s="60">
        <v>231.33</v>
      </c>
      <c r="BL14" s="65">
        <f t="shared" si="24"/>
        <v>0</v>
      </c>
      <c r="BM14" s="60">
        <v>215.09</v>
      </c>
      <c r="BN14" s="65">
        <f t="shared" si="25"/>
        <v>20.000000000010232</v>
      </c>
      <c r="BO14" s="60">
        <v>280.19</v>
      </c>
      <c r="BP14" s="65">
        <f t="shared" si="26"/>
        <v>19.99999999998181</v>
      </c>
      <c r="BQ14" s="60">
        <v>39883</v>
      </c>
      <c r="BR14" s="65">
        <f t="shared" si="27"/>
        <v>8</v>
      </c>
      <c r="BS14" s="60">
        <v>194.06</v>
      </c>
      <c r="BT14" s="65">
        <f t="shared" si="42"/>
        <v>20.000000000010232</v>
      </c>
      <c r="BU14" s="60">
        <v>31488</v>
      </c>
      <c r="BV14" s="65">
        <f t="shared" si="29"/>
        <v>12</v>
      </c>
      <c r="BW14" s="60">
        <v>225.2</v>
      </c>
      <c r="BX14" s="65">
        <f t="shared" si="30"/>
        <v>9.9999999999909051</v>
      </c>
      <c r="BY14" s="60">
        <v>50013</v>
      </c>
      <c r="BZ14" s="67">
        <f t="shared" si="31"/>
        <v>26</v>
      </c>
      <c r="CA14" s="60">
        <v>27512.1</v>
      </c>
      <c r="CB14" s="67">
        <f t="shared" si="32"/>
        <v>0</v>
      </c>
      <c r="CC14" s="60">
        <v>11253.1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49882</v>
      </c>
      <c r="CH14" s="67">
        <f t="shared" si="35"/>
        <v>34.30000000000291</v>
      </c>
      <c r="CI14" s="60">
        <v>876258</v>
      </c>
      <c r="CJ14" s="67">
        <f t="shared" si="36"/>
        <v>191</v>
      </c>
      <c r="CK14" s="60">
        <v>606.01</v>
      </c>
      <c r="CL14" s="64">
        <f t="shared" si="37"/>
        <v>360.00000000001364</v>
      </c>
      <c r="CM14" s="65">
        <f t="shared" si="41"/>
        <v>27.800000000000068</v>
      </c>
      <c r="CN14" s="62">
        <v>0</v>
      </c>
      <c r="CO14" s="62">
        <v>0</v>
      </c>
      <c r="CP14" s="68">
        <v>903.6</v>
      </c>
      <c r="CQ14" s="67">
        <f t="shared" si="38"/>
        <v>18.800000000000068</v>
      </c>
      <c r="CR14" s="68">
        <v>10435</v>
      </c>
      <c r="CS14" s="67">
        <f t="shared" si="38"/>
        <v>9</v>
      </c>
      <c r="CT14" s="75">
        <v>2908</v>
      </c>
      <c r="CU14" s="67">
        <f t="shared" si="38"/>
        <v>11</v>
      </c>
      <c r="CV14" s="68">
        <v>8846</v>
      </c>
      <c r="CW14" s="67">
        <f t="shared" si="38"/>
        <v>67</v>
      </c>
    </row>
    <row r="15" spans="1:102" ht="25.5" customHeight="1" thickBot="1" x14ac:dyDescent="0.45">
      <c r="A15" s="63">
        <v>44086</v>
      </c>
      <c r="B15" s="44"/>
      <c r="C15" s="58">
        <v>1.8248</v>
      </c>
      <c r="D15" s="64">
        <f t="shared" si="0"/>
        <v>1199.9999999998679</v>
      </c>
      <c r="E15" s="58">
        <v>2.7673000000000001</v>
      </c>
      <c r="F15" s="64">
        <f t="shared" si="1"/>
        <v>599.99999999993395</v>
      </c>
      <c r="G15" s="58">
        <v>2.7130999999999998</v>
      </c>
      <c r="H15" s="64">
        <f t="shared" si="2"/>
        <v>1599.9999999998238</v>
      </c>
      <c r="I15" s="58">
        <v>1.3134999999999999</v>
      </c>
      <c r="J15" s="64">
        <f t="shared" si="3"/>
        <v>899.99999999990087</v>
      </c>
      <c r="K15" s="58">
        <v>2.0746000000000002</v>
      </c>
      <c r="L15" s="64">
        <f t="shared" si="4"/>
        <v>1600.0000000002678</v>
      </c>
      <c r="M15" s="58">
        <v>1.2457</v>
      </c>
      <c r="N15" s="64">
        <f t="shared" si="5"/>
        <v>499.99999999994492</v>
      </c>
      <c r="O15" s="58">
        <v>12649</v>
      </c>
      <c r="P15" s="67">
        <f t="shared" si="44"/>
        <v>1</v>
      </c>
      <c r="Q15" s="58">
        <v>5726</v>
      </c>
      <c r="R15" s="67">
        <f t="shared" si="6"/>
        <v>3</v>
      </c>
      <c r="S15" s="58">
        <v>853859.4</v>
      </c>
      <c r="T15" s="67">
        <f t="shared" si="7"/>
        <v>313.80000000004657</v>
      </c>
      <c r="U15" s="58">
        <v>348172.5</v>
      </c>
      <c r="V15" s="67">
        <f t="shared" si="8"/>
        <v>133.29999999998836</v>
      </c>
      <c r="W15" s="58">
        <v>340.84</v>
      </c>
      <c r="X15" s="65">
        <f t="shared" si="9"/>
        <v>79.999999999984084</v>
      </c>
      <c r="Y15" s="58">
        <v>2.4287999999999998</v>
      </c>
      <c r="Z15" s="65">
        <f t="shared" si="10"/>
        <v>399.99999999995595</v>
      </c>
      <c r="AA15" s="58">
        <v>332.9</v>
      </c>
      <c r="AB15" s="65">
        <f t="shared" si="11"/>
        <v>79.999999999984084</v>
      </c>
      <c r="AC15" s="58">
        <v>319.31</v>
      </c>
      <c r="AD15" s="65">
        <f t="shared" si="12"/>
        <v>89.999999999974989</v>
      </c>
      <c r="AE15" s="58">
        <v>499.39</v>
      </c>
      <c r="AF15" s="65">
        <f t="shared" si="13"/>
        <v>169.99999999995907</v>
      </c>
      <c r="AG15" s="58">
        <v>1363.7</v>
      </c>
      <c r="AH15" s="67">
        <f t="shared" si="14"/>
        <v>1.4000000000000909</v>
      </c>
      <c r="AI15" s="58">
        <v>470.52</v>
      </c>
      <c r="AJ15" s="65">
        <f t="shared" si="15"/>
        <v>379.99999999999545</v>
      </c>
      <c r="AK15" s="58">
        <v>160.82</v>
      </c>
      <c r="AL15" s="65">
        <f t="shared" si="15"/>
        <v>129.99999999999545</v>
      </c>
      <c r="AM15" s="58">
        <v>157.88999999999999</v>
      </c>
      <c r="AN15" s="65">
        <f t="shared" si="15"/>
        <v>109.99999999998522</v>
      </c>
      <c r="AO15" s="58">
        <v>153.47</v>
      </c>
      <c r="AP15" s="65">
        <f t="shared" si="15"/>
        <v>90.000000000003411</v>
      </c>
      <c r="AQ15" s="58">
        <v>220.92</v>
      </c>
      <c r="AR15" s="65">
        <f t="shared" si="16"/>
        <v>39.999999999992042</v>
      </c>
      <c r="AS15" s="58">
        <v>346.49</v>
      </c>
      <c r="AT15" s="65">
        <f t="shared" si="17"/>
        <v>40.000000000020464</v>
      </c>
      <c r="AU15" s="58">
        <v>267.31</v>
      </c>
      <c r="AV15" s="65">
        <f t="shared" si="18"/>
        <v>30.000000000029559</v>
      </c>
      <c r="AW15" s="58">
        <v>294.88</v>
      </c>
      <c r="AX15" s="65">
        <f t="shared" si="19"/>
        <v>19.99999999998181</v>
      </c>
      <c r="AY15" s="58">
        <v>346.1</v>
      </c>
      <c r="AZ15" s="65">
        <f t="shared" si="20"/>
        <v>20.000000000038654</v>
      </c>
      <c r="BA15" s="58">
        <v>365.82</v>
      </c>
      <c r="BB15" s="65">
        <f t="shared" si="21"/>
        <v>19.99999999998181</v>
      </c>
      <c r="BC15" s="58">
        <v>232.47</v>
      </c>
      <c r="BD15" s="65">
        <f t="shared" si="22"/>
        <v>20.000000000010232</v>
      </c>
      <c r="BE15" s="59">
        <v>31122</v>
      </c>
      <c r="BF15" s="67">
        <f t="shared" si="39"/>
        <v>17</v>
      </c>
      <c r="BG15" s="60">
        <v>226</v>
      </c>
      <c r="BH15" s="65">
        <f t="shared" si="23"/>
        <v>9.9999999999909051</v>
      </c>
      <c r="BI15" s="60">
        <v>283.98</v>
      </c>
      <c r="BJ15" s="65">
        <f t="shared" si="40"/>
        <v>9.9999999999909051</v>
      </c>
      <c r="BK15" s="60">
        <v>231.34</v>
      </c>
      <c r="BL15" s="65">
        <f t="shared" si="24"/>
        <v>9.9999999999909051</v>
      </c>
      <c r="BM15" s="60">
        <v>215.1</v>
      </c>
      <c r="BN15" s="65">
        <f t="shared" si="25"/>
        <v>9.9999999999909051</v>
      </c>
      <c r="BO15" s="60">
        <v>280.20999999999998</v>
      </c>
      <c r="BP15" s="65">
        <f t="shared" si="26"/>
        <v>19.99999999998181</v>
      </c>
      <c r="BQ15" s="60">
        <v>39891</v>
      </c>
      <c r="BR15" s="65">
        <f t="shared" si="27"/>
        <v>8</v>
      </c>
      <c r="BS15" s="60">
        <v>194.08</v>
      </c>
      <c r="BT15" s="65">
        <f t="shared" si="42"/>
        <v>20.000000000010232</v>
      </c>
      <c r="BU15" s="60">
        <v>31495</v>
      </c>
      <c r="BV15" s="65">
        <f t="shared" si="29"/>
        <v>7</v>
      </c>
      <c r="BW15" s="60">
        <v>225.22</v>
      </c>
      <c r="BX15" s="65">
        <f t="shared" si="30"/>
        <v>20.000000000010232</v>
      </c>
      <c r="BY15" s="60">
        <v>50045</v>
      </c>
      <c r="BZ15" s="67">
        <f t="shared" si="31"/>
        <v>32</v>
      </c>
      <c r="CA15" s="60">
        <v>27512.1</v>
      </c>
      <c r="CB15" s="67">
        <f t="shared" si="32"/>
        <v>0</v>
      </c>
      <c r="CC15" s="60">
        <v>11253.1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49915.5</v>
      </c>
      <c r="CH15" s="67">
        <f t="shared" si="35"/>
        <v>33.5</v>
      </c>
      <c r="CI15" s="60">
        <v>876472</v>
      </c>
      <c r="CJ15" s="67">
        <f t="shared" si="36"/>
        <v>214</v>
      </c>
      <c r="CK15" s="60">
        <v>606.35</v>
      </c>
      <c r="CL15" s="64">
        <f t="shared" si="37"/>
        <v>340.00000000003183</v>
      </c>
      <c r="CM15" s="65">
        <f t="shared" si="41"/>
        <v>20.799999999999955</v>
      </c>
      <c r="CN15" s="62">
        <v>0</v>
      </c>
      <c r="CO15" s="62">
        <v>0</v>
      </c>
      <c r="CP15" s="68">
        <v>916.4</v>
      </c>
      <c r="CQ15" s="67">
        <f t="shared" si="38"/>
        <v>12.799999999999955</v>
      </c>
      <c r="CR15" s="68">
        <v>10443</v>
      </c>
      <c r="CS15" s="67">
        <f t="shared" si="38"/>
        <v>8</v>
      </c>
      <c r="CT15" s="75">
        <v>2921</v>
      </c>
      <c r="CU15" s="67">
        <f t="shared" si="38"/>
        <v>13</v>
      </c>
      <c r="CV15" s="68">
        <v>8893</v>
      </c>
      <c r="CW15" s="67">
        <f t="shared" si="38"/>
        <v>47</v>
      </c>
    </row>
    <row r="16" spans="1:102" ht="25.5" customHeight="1" thickBot="1" x14ac:dyDescent="0.45">
      <c r="A16" s="63">
        <v>44087</v>
      </c>
      <c r="B16" s="44"/>
      <c r="C16" s="58">
        <v>1.8257000000000001</v>
      </c>
      <c r="D16" s="64">
        <f t="shared" si="0"/>
        <v>900.0000000001229</v>
      </c>
      <c r="E16" s="58">
        <v>2.7679</v>
      </c>
      <c r="F16" s="64">
        <f t="shared" si="1"/>
        <v>599.99999999993395</v>
      </c>
      <c r="G16" s="58">
        <v>2.7145000000000001</v>
      </c>
      <c r="H16" s="64">
        <f t="shared" si="2"/>
        <v>1400.0000000002899</v>
      </c>
      <c r="I16" s="58">
        <v>1.3143</v>
      </c>
      <c r="J16" s="64">
        <f t="shared" si="3"/>
        <v>800.00000000013392</v>
      </c>
      <c r="K16" s="58">
        <v>2.0762</v>
      </c>
      <c r="L16" s="64">
        <f t="shared" si="4"/>
        <v>1599.9999999998238</v>
      </c>
      <c r="M16" s="58">
        <v>1.2461</v>
      </c>
      <c r="N16" s="64">
        <f t="shared" si="5"/>
        <v>399.99999999995595</v>
      </c>
      <c r="O16" s="58">
        <v>12649</v>
      </c>
      <c r="P16" s="67">
        <f t="shared" si="44"/>
        <v>0</v>
      </c>
      <c r="Q16" s="58">
        <v>5730</v>
      </c>
      <c r="R16" s="67">
        <f t="shared" si="6"/>
        <v>4</v>
      </c>
      <c r="S16" s="58">
        <v>853935</v>
      </c>
      <c r="T16" s="67">
        <f t="shared" si="7"/>
        <v>75.599999999976717</v>
      </c>
      <c r="U16" s="58">
        <v>348223.5</v>
      </c>
      <c r="V16" s="67">
        <f t="shared" si="8"/>
        <v>51</v>
      </c>
      <c r="W16" s="58">
        <v>340.93</v>
      </c>
      <c r="X16" s="65">
        <f t="shared" si="9"/>
        <v>90.000000000031832</v>
      </c>
      <c r="Y16" s="58">
        <v>2.4291999999999998</v>
      </c>
      <c r="Z16" s="65">
        <f t="shared" si="10"/>
        <v>399.99999999995595</v>
      </c>
      <c r="AA16" s="58">
        <v>332.99</v>
      </c>
      <c r="AB16" s="65">
        <f t="shared" si="11"/>
        <v>90.000000000031832</v>
      </c>
      <c r="AC16" s="58">
        <v>319.39999999999998</v>
      </c>
      <c r="AD16" s="65">
        <f t="shared" si="12"/>
        <v>89.999999999974989</v>
      </c>
      <c r="AE16" s="58">
        <v>499.52</v>
      </c>
      <c r="AF16" s="65">
        <f t="shared" si="13"/>
        <v>129.99999999999545</v>
      </c>
      <c r="AG16" s="58">
        <v>1365</v>
      </c>
      <c r="AH16" s="67">
        <f t="shared" si="14"/>
        <v>1.2999999999999545</v>
      </c>
      <c r="AI16" s="58">
        <v>470.77</v>
      </c>
      <c r="AJ16" s="65">
        <f t="shared" si="15"/>
        <v>250</v>
      </c>
      <c r="AK16" s="58">
        <v>160.94</v>
      </c>
      <c r="AL16" s="65">
        <f t="shared" si="15"/>
        <v>120.00000000000455</v>
      </c>
      <c r="AM16" s="58">
        <v>157.99</v>
      </c>
      <c r="AN16" s="65">
        <f t="shared" si="15"/>
        <v>100.00000000002274</v>
      </c>
      <c r="AO16" s="58">
        <v>153.51</v>
      </c>
      <c r="AP16" s="65">
        <f t="shared" si="15"/>
        <v>39.999999999992042</v>
      </c>
      <c r="AQ16" s="58">
        <v>220.96</v>
      </c>
      <c r="AR16" s="65">
        <f t="shared" si="16"/>
        <v>40.000000000020464</v>
      </c>
      <c r="AS16" s="58">
        <v>346.51</v>
      </c>
      <c r="AT16" s="65">
        <f t="shared" si="17"/>
        <v>19.99999999998181</v>
      </c>
      <c r="AU16" s="58">
        <v>267.33</v>
      </c>
      <c r="AV16" s="65">
        <f t="shared" si="18"/>
        <v>19.99999999998181</v>
      </c>
      <c r="AW16" s="58">
        <v>294.89999999999998</v>
      </c>
      <c r="AX16" s="65">
        <f t="shared" si="19"/>
        <v>19.99999999998181</v>
      </c>
      <c r="AY16" s="58">
        <v>346.11</v>
      </c>
      <c r="AZ16" s="65">
        <f t="shared" si="20"/>
        <v>9.9999999999909051</v>
      </c>
      <c r="BA16" s="58">
        <v>365.84</v>
      </c>
      <c r="BB16" s="65">
        <f t="shared" si="21"/>
        <v>19.99999999998181</v>
      </c>
      <c r="BC16" s="58">
        <v>232.48</v>
      </c>
      <c r="BD16" s="65">
        <f t="shared" si="22"/>
        <v>9.9999999999909051</v>
      </c>
      <c r="BE16" s="59">
        <v>31160</v>
      </c>
      <c r="BF16" s="67">
        <f t="shared" si="39"/>
        <v>38</v>
      </c>
      <c r="BG16" s="60">
        <v>226.01</v>
      </c>
      <c r="BH16" s="65">
        <f t="shared" si="23"/>
        <v>9.9999999999909051</v>
      </c>
      <c r="BI16" s="60">
        <v>284</v>
      </c>
      <c r="BJ16" s="65">
        <f t="shared" si="40"/>
        <v>19.99999999998181</v>
      </c>
      <c r="BK16" s="60">
        <v>231.35</v>
      </c>
      <c r="BL16" s="65">
        <f t="shared" si="24"/>
        <v>9.9999999999909051</v>
      </c>
      <c r="BM16" s="60">
        <v>215.12</v>
      </c>
      <c r="BN16" s="65">
        <f t="shared" si="25"/>
        <v>20.000000000010232</v>
      </c>
      <c r="BO16" s="60">
        <v>280.23</v>
      </c>
      <c r="BP16" s="65">
        <f t="shared" si="26"/>
        <v>20.000000000038654</v>
      </c>
      <c r="BQ16" s="60">
        <v>39899</v>
      </c>
      <c r="BR16" s="65">
        <f t="shared" si="27"/>
        <v>8</v>
      </c>
      <c r="BS16" s="60">
        <v>194.1</v>
      </c>
      <c r="BT16" s="65">
        <f t="shared" si="42"/>
        <v>19.99999999998181</v>
      </c>
      <c r="BU16" s="60">
        <v>31504</v>
      </c>
      <c r="BV16" s="65">
        <f t="shared" si="29"/>
        <v>9</v>
      </c>
      <c r="BW16" s="60">
        <v>225.24</v>
      </c>
      <c r="BX16" s="65">
        <f t="shared" si="30"/>
        <v>20.000000000010232</v>
      </c>
      <c r="BY16" s="60">
        <v>50077</v>
      </c>
      <c r="BZ16" s="67">
        <f t="shared" si="31"/>
        <v>32</v>
      </c>
      <c r="CA16" s="60">
        <v>27512.1</v>
      </c>
      <c r="CB16" s="67">
        <f t="shared" si="32"/>
        <v>0</v>
      </c>
      <c r="CC16" s="60">
        <v>11253.1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49939.5</v>
      </c>
      <c r="CH16" s="67">
        <f t="shared" si="35"/>
        <v>24</v>
      </c>
      <c r="CI16" s="60">
        <v>876673</v>
      </c>
      <c r="CJ16" s="67">
        <f t="shared" si="36"/>
        <v>201</v>
      </c>
      <c r="CK16" s="60">
        <v>606.70000000000005</v>
      </c>
      <c r="CL16" s="64">
        <f t="shared" si="37"/>
        <v>350.00000000002274</v>
      </c>
      <c r="CM16" s="65">
        <f t="shared" si="41"/>
        <v>18.399999999999977</v>
      </c>
      <c r="CN16" s="62">
        <v>0</v>
      </c>
      <c r="CO16" s="62">
        <v>0</v>
      </c>
      <c r="CP16" s="68">
        <v>929.8</v>
      </c>
      <c r="CQ16" s="67">
        <f t="shared" si="38"/>
        <v>13.399999999999977</v>
      </c>
      <c r="CR16" s="68">
        <v>10448</v>
      </c>
      <c r="CS16" s="67">
        <f t="shared" si="38"/>
        <v>5</v>
      </c>
      <c r="CT16" s="75">
        <v>2932</v>
      </c>
      <c r="CU16" s="67">
        <f t="shared" si="38"/>
        <v>11</v>
      </c>
      <c r="CV16" s="68">
        <v>8939</v>
      </c>
      <c r="CW16" s="67">
        <f t="shared" si="38"/>
        <v>46</v>
      </c>
    </row>
    <row r="17" spans="1:101" ht="25.5" customHeight="1" thickBot="1" x14ac:dyDescent="0.45">
      <c r="A17" s="63">
        <v>44088</v>
      </c>
      <c r="B17" s="44"/>
      <c r="C17" s="58">
        <v>1.8266</v>
      </c>
      <c r="D17" s="64">
        <f t="shared" si="0"/>
        <v>899.99999999990087</v>
      </c>
      <c r="E17" s="58">
        <v>2.7685</v>
      </c>
      <c r="F17" s="64">
        <f t="shared" si="1"/>
        <v>599.99999999993395</v>
      </c>
      <c r="G17" s="58">
        <v>2.7160000000000002</v>
      </c>
      <c r="H17" s="64">
        <f t="shared" si="2"/>
        <v>1500.0000000000568</v>
      </c>
      <c r="I17" s="58">
        <v>1.3150999999999999</v>
      </c>
      <c r="J17" s="64">
        <f t="shared" si="3"/>
        <v>799.99999999991189</v>
      </c>
      <c r="K17" s="58">
        <v>2.0777999999999999</v>
      </c>
      <c r="L17" s="64">
        <f t="shared" si="4"/>
        <v>1599.9999999998238</v>
      </c>
      <c r="M17" s="58">
        <v>1.2465999999999999</v>
      </c>
      <c r="N17" s="64">
        <f t="shared" si="5"/>
        <v>499.99999999994492</v>
      </c>
      <c r="O17" s="58">
        <v>12650</v>
      </c>
      <c r="P17" s="67">
        <f t="shared" si="44"/>
        <v>1</v>
      </c>
      <c r="Q17" s="58">
        <v>5732</v>
      </c>
      <c r="R17" s="67">
        <f t="shared" si="6"/>
        <v>2</v>
      </c>
      <c r="S17" s="58">
        <v>854216.2</v>
      </c>
      <c r="T17" s="67">
        <f t="shared" si="7"/>
        <v>281.19999999995343</v>
      </c>
      <c r="U17" s="58">
        <v>348361.8</v>
      </c>
      <c r="V17" s="67">
        <f t="shared" si="8"/>
        <v>138.29999999998836</v>
      </c>
      <c r="W17" s="58">
        <v>341.01</v>
      </c>
      <c r="X17" s="65">
        <f t="shared" si="9"/>
        <v>79.999999999984084</v>
      </c>
      <c r="Y17" s="58">
        <v>2.4297</v>
      </c>
      <c r="Z17" s="65">
        <f t="shared" si="10"/>
        <v>500.00000000016701</v>
      </c>
      <c r="AA17" s="58">
        <v>333.06</v>
      </c>
      <c r="AB17" s="65">
        <f t="shared" si="11"/>
        <v>69.999999999993179</v>
      </c>
      <c r="AC17" s="58">
        <v>319.49</v>
      </c>
      <c r="AD17" s="65">
        <f t="shared" si="12"/>
        <v>90.000000000031832</v>
      </c>
      <c r="AE17" s="58">
        <v>499.71</v>
      </c>
      <c r="AF17" s="65">
        <f t="shared" si="13"/>
        <v>189.99999999999773</v>
      </c>
      <c r="AG17" s="58">
        <v>1366.5</v>
      </c>
      <c r="AH17" s="67">
        <f t="shared" si="14"/>
        <v>1.5</v>
      </c>
      <c r="AI17" s="58">
        <v>470.98</v>
      </c>
      <c r="AJ17" s="65">
        <f t="shared" si="15"/>
        <v>210.00000000003638</v>
      </c>
      <c r="AK17" s="58">
        <v>160.99</v>
      </c>
      <c r="AL17" s="65">
        <f t="shared" si="15"/>
        <v>50.000000000011369</v>
      </c>
      <c r="AM17" s="58">
        <v>158.11000000000001</v>
      </c>
      <c r="AN17" s="65">
        <f t="shared" si="15"/>
        <v>120.00000000000455</v>
      </c>
      <c r="AO17" s="58">
        <v>153.6</v>
      </c>
      <c r="AP17" s="65">
        <f t="shared" si="15"/>
        <v>90.000000000003411</v>
      </c>
      <c r="AQ17" s="58">
        <v>220.99</v>
      </c>
      <c r="AR17" s="65">
        <f t="shared" si="16"/>
        <v>30.000000000001137</v>
      </c>
      <c r="AS17" s="58">
        <v>346.54</v>
      </c>
      <c r="AT17" s="65">
        <f t="shared" si="17"/>
        <v>30.000000000029559</v>
      </c>
      <c r="AU17" s="58">
        <v>267.35000000000002</v>
      </c>
      <c r="AV17" s="65">
        <f t="shared" si="18"/>
        <v>20.000000000038654</v>
      </c>
      <c r="AW17" s="58">
        <v>294.92</v>
      </c>
      <c r="AX17" s="65">
        <f t="shared" si="19"/>
        <v>20.000000000038654</v>
      </c>
      <c r="AY17" s="58">
        <v>346.13</v>
      </c>
      <c r="AZ17" s="65">
        <f t="shared" si="20"/>
        <v>19.99999999998181</v>
      </c>
      <c r="BA17" s="58">
        <v>365.86</v>
      </c>
      <c r="BB17" s="65">
        <f t="shared" si="21"/>
        <v>20.000000000038654</v>
      </c>
      <c r="BC17" s="58">
        <v>232.5</v>
      </c>
      <c r="BD17" s="65">
        <f t="shared" si="22"/>
        <v>20.000000000010232</v>
      </c>
      <c r="BE17" s="59">
        <v>31182</v>
      </c>
      <c r="BF17" s="67">
        <f t="shared" si="39"/>
        <v>22</v>
      </c>
      <c r="BG17" s="60">
        <v>226.01</v>
      </c>
      <c r="BH17" s="65">
        <f t="shared" si="23"/>
        <v>0</v>
      </c>
      <c r="BI17" s="60">
        <v>284.02</v>
      </c>
      <c r="BJ17" s="65">
        <f t="shared" si="40"/>
        <v>19.99999999998181</v>
      </c>
      <c r="BK17" s="60">
        <v>231.35</v>
      </c>
      <c r="BL17" s="65">
        <f t="shared" si="24"/>
        <v>0</v>
      </c>
      <c r="BM17" s="60">
        <v>215.13</v>
      </c>
      <c r="BN17" s="65">
        <f t="shared" si="25"/>
        <v>9.9999999999909051</v>
      </c>
      <c r="BO17" s="60">
        <v>280.25</v>
      </c>
      <c r="BP17" s="65">
        <f t="shared" si="26"/>
        <v>19.99999999998181</v>
      </c>
      <c r="BQ17" s="60">
        <v>39906</v>
      </c>
      <c r="BR17" s="65">
        <f t="shared" si="27"/>
        <v>7</v>
      </c>
      <c r="BS17" s="60">
        <v>194.13</v>
      </c>
      <c r="BT17" s="65">
        <f t="shared" si="42"/>
        <v>30.000000000001137</v>
      </c>
      <c r="BU17" s="60">
        <v>31512</v>
      </c>
      <c r="BV17" s="65">
        <f t="shared" si="29"/>
        <v>8</v>
      </c>
      <c r="BW17" s="60">
        <v>225.26</v>
      </c>
      <c r="BX17" s="65">
        <f t="shared" si="30"/>
        <v>19.99999999998181</v>
      </c>
      <c r="BY17" s="60">
        <v>50104</v>
      </c>
      <c r="BZ17" s="67">
        <f t="shared" si="31"/>
        <v>27</v>
      </c>
      <c r="CA17" s="60">
        <v>27512.1</v>
      </c>
      <c r="CB17" s="67">
        <f t="shared" si="32"/>
        <v>0</v>
      </c>
      <c r="CC17" s="60">
        <v>11253.1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49968.6</v>
      </c>
      <c r="CH17" s="67">
        <f t="shared" si="35"/>
        <v>29.099999999998545</v>
      </c>
      <c r="CI17" s="60">
        <v>876871</v>
      </c>
      <c r="CJ17" s="67">
        <f t="shared" si="36"/>
        <v>198</v>
      </c>
      <c r="CK17" s="60">
        <v>607.03</v>
      </c>
      <c r="CL17" s="64">
        <f t="shared" si="37"/>
        <v>329.99999999992724</v>
      </c>
      <c r="CM17" s="65">
        <f t="shared" si="41"/>
        <v>16.900000000000091</v>
      </c>
      <c r="CN17" s="62">
        <v>0</v>
      </c>
      <c r="CO17" s="62">
        <v>0</v>
      </c>
      <c r="CP17" s="68">
        <v>942.7</v>
      </c>
      <c r="CQ17" s="67">
        <f t="shared" si="38"/>
        <v>12.900000000000091</v>
      </c>
      <c r="CR17" s="68">
        <v>10452</v>
      </c>
      <c r="CS17" s="67">
        <f t="shared" si="38"/>
        <v>4</v>
      </c>
      <c r="CT17" s="75">
        <v>2945</v>
      </c>
      <c r="CU17" s="67">
        <f t="shared" si="38"/>
        <v>13</v>
      </c>
      <c r="CV17" s="68">
        <v>8977</v>
      </c>
      <c r="CW17" s="67">
        <f t="shared" si="38"/>
        <v>38</v>
      </c>
    </row>
    <row r="18" spans="1:101" ht="25.5" customHeight="1" thickBot="1" x14ac:dyDescent="0.45">
      <c r="A18" s="63">
        <v>44089</v>
      </c>
      <c r="B18" s="44"/>
      <c r="C18" s="58">
        <v>1.8275999999999999</v>
      </c>
      <c r="D18" s="64">
        <f t="shared" si="0"/>
        <v>999.99999999988984</v>
      </c>
      <c r="E18" s="58">
        <v>2.7690999999999999</v>
      </c>
      <c r="F18" s="64">
        <f t="shared" si="1"/>
        <v>599.99999999993395</v>
      </c>
      <c r="G18" s="58">
        <v>2.7174999999999998</v>
      </c>
      <c r="H18" s="64">
        <f t="shared" si="2"/>
        <v>1499.9999999996128</v>
      </c>
      <c r="I18" s="58">
        <v>1.3158000000000001</v>
      </c>
      <c r="J18" s="64">
        <f t="shared" si="3"/>
        <v>700.00000000014495</v>
      </c>
      <c r="K18" s="58">
        <v>2.0794000000000001</v>
      </c>
      <c r="L18" s="64">
        <f t="shared" si="4"/>
        <v>1600.0000000002678</v>
      </c>
      <c r="M18" s="58">
        <v>1.2470000000000001</v>
      </c>
      <c r="N18" s="64">
        <f t="shared" si="5"/>
        <v>400.00000000017798</v>
      </c>
      <c r="O18" s="58">
        <v>12651</v>
      </c>
      <c r="P18" s="67">
        <f t="shared" si="44"/>
        <v>1</v>
      </c>
      <c r="Q18" s="58">
        <v>5735</v>
      </c>
      <c r="R18" s="67">
        <f t="shared" si="6"/>
        <v>3</v>
      </c>
      <c r="S18" s="58">
        <v>854433.6</v>
      </c>
      <c r="T18" s="67">
        <f t="shared" si="7"/>
        <v>217.40000000002328</v>
      </c>
      <c r="U18" s="58">
        <v>348472.2</v>
      </c>
      <c r="V18" s="67">
        <f t="shared" si="8"/>
        <v>110.40000000002328</v>
      </c>
      <c r="W18" s="58">
        <v>341.1</v>
      </c>
      <c r="X18" s="65">
        <f t="shared" si="9"/>
        <v>90.000000000031832</v>
      </c>
      <c r="Y18" s="58">
        <v>2.4300999999999999</v>
      </c>
      <c r="Z18" s="65">
        <f t="shared" si="10"/>
        <v>399.99999999995595</v>
      </c>
      <c r="AA18" s="58">
        <v>333.13</v>
      </c>
      <c r="AB18" s="65">
        <f t="shared" si="11"/>
        <v>69.999999999993179</v>
      </c>
      <c r="AC18" s="58">
        <v>319.58</v>
      </c>
      <c r="AD18" s="65">
        <f t="shared" si="12"/>
        <v>89.999999999974989</v>
      </c>
      <c r="AE18" s="58">
        <v>499.88</v>
      </c>
      <c r="AF18" s="65">
        <f t="shared" si="13"/>
        <v>170.00000000001592</v>
      </c>
      <c r="AG18" s="58">
        <v>1368</v>
      </c>
      <c r="AH18" s="67">
        <f t="shared" si="14"/>
        <v>1.5</v>
      </c>
      <c r="AI18" s="58">
        <v>471.21</v>
      </c>
      <c r="AJ18" s="65">
        <f t="shared" si="15"/>
        <v>229.99999999996135</v>
      </c>
      <c r="AK18" s="58">
        <v>161.16999999999999</v>
      </c>
      <c r="AL18" s="65">
        <f t="shared" si="15"/>
        <v>179.9999999999784</v>
      </c>
      <c r="AM18" s="58">
        <v>158.22</v>
      </c>
      <c r="AN18" s="65">
        <f t="shared" si="15"/>
        <v>109.99999999998522</v>
      </c>
      <c r="AO18" s="58">
        <v>153.68</v>
      </c>
      <c r="AP18" s="65">
        <f t="shared" si="15"/>
        <v>80.000000000012506</v>
      </c>
      <c r="AQ18" s="58">
        <v>221.03</v>
      </c>
      <c r="AR18" s="65">
        <f t="shared" si="16"/>
        <v>39.999999999992042</v>
      </c>
      <c r="AS18" s="58">
        <v>346.56</v>
      </c>
      <c r="AT18" s="65">
        <f t="shared" si="17"/>
        <v>19.99999999998181</v>
      </c>
      <c r="AU18" s="58">
        <v>267.38</v>
      </c>
      <c r="AV18" s="65">
        <f t="shared" si="18"/>
        <v>29.999999999972715</v>
      </c>
      <c r="AW18" s="58">
        <v>294.94</v>
      </c>
      <c r="AX18" s="65">
        <f t="shared" si="19"/>
        <v>19.99999999998181</v>
      </c>
      <c r="AY18" s="58">
        <v>346.15</v>
      </c>
      <c r="AZ18" s="65">
        <f t="shared" si="20"/>
        <v>19.99999999998181</v>
      </c>
      <c r="BA18" s="58">
        <v>365.87</v>
      </c>
      <c r="BB18" s="65">
        <f t="shared" si="21"/>
        <v>9.9999999999909051</v>
      </c>
      <c r="BC18" s="58">
        <v>232.52</v>
      </c>
      <c r="BD18" s="65">
        <f t="shared" si="22"/>
        <v>20.000000000010232</v>
      </c>
      <c r="BE18" s="59">
        <v>31209</v>
      </c>
      <c r="BF18" s="67">
        <f t="shared" si="39"/>
        <v>27</v>
      </c>
      <c r="BG18" s="60">
        <v>226.03</v>
      </c>
      <c r="BH18" s="65">
        <f t="shared" si="23"/>
        <v>20.000000000010232</v>
      </c>
      <c r="BI18" s="60">
        <v>284.02999999999997</v>
      </c>
      <c r="BJ18" s="65">
        <f t="shared" si="40"/>
        <v>9.9999999999909051</v>
      </c>
      <c r="BK18" s="60">
        <v>231.36</v>
      </c>
      <c r="BL18" s="65">
        <f t="shared" si="24"/>
        <v>10.000000000019327</v>
      </c>
      <c r="BM18" s="60">
        <v>215.15</v>
      </c>
      <c r="BN18" s="65">
        <f t="shared" si="25"/>
        <v>20.000000000010232</v>
      </c>
      <c r="BO18" s="60">
        <v>280.27999999999997</v>
      </c>
      <c r="BP18" s="65">
        <f t="shared" si="26"/>
        <v>29.999999999972715</v>
      </c>
      <c r="BQ18" s="60">
        <v>39914</v>
      </c>
      <c r="BR18" s="65">
        <f t="shared" si="27"/>
        <v>8</v>
      </c>
      <c r="BS18" s="60">
        <v>194.14</v>
      </c>
      <c r="BT18" s="65">
        <f t="shared" si="42"/>
        <v>9.9999999999909051</v>
      </c>
      <c r="BU18" s="60">
        <v>31518</v>
      </c>
      <c r="BV18" s="65">
        <f t="shared" si="29"/>
        <v>6</v>
      </c>
      <c r="BW18" s="60">
        <v>225.28</v>
      </c>
      <c r="BX18" s="65">
        <f t="shared" si="30"/>
        <v>20.000000000010232</v>
      </c>
      <c r="BY18" s="60">
        <v>50131</v>
      </c>
      <c r="BZ18" s="67">
        <f t="shared" si="31"/>
        <v>27</v>
      </c>
      <c r="CA18" s="60">
        <v>27512.1</v>
      </c>
      <c r="CB18" s="67">
        <f t="shared" si="32"/>
        <v>0</v>
      </c>
      <c r="CC18" s="60">
        <v>11253.1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49994.400000000001</v>
      </c>
      <c r="CH18" s="67">
        <f t="shared" si="35"/>
        <v>25.80000000000291</v>
      </c>
      <c r="CI18" s="60">
        <v>877070</v>
      </c>
      <c r="CJ18" s="67">
        <f t="shared" si="36"/>
        <v>199</v>
      </c>
      <c r="CK18" s="60">
        <v>607.33000000000004</v>
      </c>
      <c r="CL18" s="64">
        <f t="shared" si="37"/>
        <v>300.00000000006821</v>
      </c>
      <c r="CM18" s="65">
        <f t="shared" si="41"/>
        <v>14.199999999999932</v>
      </c>
      <c r="CN18" s="62">
        <v>0</v>
      </c>
      <c r="CO18" s="62">
        <v>0</v>
      </c>
      <c r="CP18" s="68">
        <v>952.9</v>
      </c>
      <c r="CQ18" s="67">
        <f t="shared" si="38"/>
        <v>10.199999999999932</v>
      </c>
      <c r="CR18" s="68">
        <v>10456</v>
      </c>
      <c r="CS18" s="67">
        <f t="shared" si="38"/>
        <v>4</v>
      </c>
      <c r="CT18" s="75">
        <v>2961</v>
      </c>
      <c r="CU18" s="67">
        <f t="shared" si="38"/>
        <v>16</v>
      </c>
      <c r="CV18" s="68">
        <v>9016</v>
      </c>
      <c r="CW18" s="67">
        <f t="shared" si="38"/>
        <v>39</v>
      </c>
    </row>
    <row r="19" spans="1:101" ht="25.5" customHeight="1" thickBot="1" x14ac:dyDescent="0.45">
      <c r="A19" s="63">
        <v>44090</v>
      </c>
      <c r="B19" s="44"/>
      <c r="C19" s="58">
        <v>1.8286</v>
      </c>
      <c r="D19" s="64">
        <f t="shared" si="0"/>
        <v>1000.0000000001119</v>
      </c>
      <c r="E19" s="58">
        <v>2.7696999999999998</v>
      </c>
      <c r="F19" s="64">
        <f t="shared" si="1"/>
        <v>599.99999999993395</v>
      </c>
      <c r="G19" s="58">
        <v>2.7189000000000001</v>
      </c>
      <c r="H19" s="64">
        <f t="shared" si="2"/>
        <v>1400.0000000002899</v>
      </c>
      <c r="I19" s="58">
        <v>1.3166</v>
      </c>
      <c r="J19" s="64">
        <f t="shared" si="3"/>
        <v>799.99999999991189</v>
      </c>
      <c r="K19" s="58">
        <v>2.081</v>
      </c>
      <c r="L19" s="64">
        <f t="shared" si="4"/>
        <v>1599.9999999998238</v>
      </c>
      <c r="M19" s="58">
        <v>1.2475000000000001</v>
      </c>
      <c r="N19" s="64">
        <f t="shared" si="5"/>
        <v>499.99999999994492</v>
      </c>
      <c r="O19" s="58">
        <v>12652</v>
      </c>
      <c r="P19" s="67">
        <f t="shared" si="44"/>
        <v>1</v>
      </c>
      <c r="Q19" s="58">
        <v>5738</v>
      </c>
      <c r="R19" s="67">
        <f t="shared" si="6"/>
        <v>3</v>
      </c>
      <c r="S19" s="58">
        <v>854646.4</v>
      </c>
      <c r="T19" s="67">
        <f t="shared" si="7"/>
        <v>212.80000000004657</v>
      </c>
      <c r="U19" s="58">
        <v>348589.2</v>
      </c>
      <c r="V19" s="67">
        <f t="shared" si="8"/>
        <v>117</v>
      </c>
      <c r="W19" s="58">
        <v>341.18</v>
      </c>
      <c r="X19" s="65">
        <f t="shared" si="9"/>
        <v>79.999999999984084</v>
      </c>
      <c r="Y19" s="58">
        <v>2.4304999999999999</v>
      </c>
      <c r="Z19" s="65">
        <f t="shared" si="10"/>
        <v>399.99999999995595</v>
      </c>
      <c r="AA19" s="58">
        <v>333.21</v>
      </c>
      <c r="AB19" s="65">
        <f t="shared" si="11"/>
        <v>79.999999999984084</v>
      </c>
      <c r="AC19" s="58">
        <v>319.68</v>
      </c>
      <c r="AD19" s="65">
        <f t="shared" si="12"/>
        <v>100.00000000002274</v>
      </c>
      <c r="AE19" s="58">
        <v>500.07</v>
      </c>
      <c r="AF19" s="65">
        <f t="shared" si="13"/>
        <v>189.99999999999773</v>
      </c>
      <c r="AG19" s="58">
        <v>1369.7</v>
      </c>
      <c r="AH19" s="67">
        <f t="shared" si="14"/>
        <v>1.7000000000000455</v>
      </c>
      <c r="AI19" s="58">
        <v>471.48</v>
      </c>
      <c r="AJ19" s="65">
        <f t="shared" si="15"/>
        <v>270.00000000003865</v>
      </c>
      <c r="AK19" s="58">
        <v>161.30000000000001</v>
      </c>
      <c r="AL19" s="65">
        <f t="shared" si="15"/>
        <v>130.00000000002387</v>
      </c>
      <c r="AM19" s="58">
        <v>158.34</v>
      </c>
      <c r="AN19" s="65">
        <f t="shared" si="15"/>
        <v>120.00000000000455</v>
      </c>
      <c r="AO19" s="58">
        <v>153.79</v>
      </c>
      <c r="AP19" s="65">
        <f t="shared" si="15"/>
        <v>109.99999999998522</v>
      </c>
      <c r="AQ19" s="58">
        <v>221.07</v>
      </c>
      <c r="AR19" s="65">
        <f t="shared" si="16"/>
        <v>39.999999999992042</v>
      </c>
      <c r="AS19" s="58">
        <v>346.59</v>
      </c>
      <c r="AT19" s="65">
        <f t="shared" si="17"/>
        <v>29.999999999972715</v>
      </c>
      <c r="AU19" s="58">
        <v>267.39999999999998</v>
      </c>
      <c r="AV19" s="65">
        <f t="shared" si="18"/>
        <v>19.99999999998181</v>
      </c>
      <c r="AW19" s="58">
        <v>294.95999999999998</v>
      </c>
      <c r="AX19" s="65">
        <f t="shared" si="19"/>
        <v>19.99999999998181</v>
      </c>
      <c r="AY19" s="58">
        <v>346.17</v>
      </c>
      <c r="AZ19" s="65">
        <f t="shared" si="20"/>
        <v>20.000000000038654</v>
      </c>
      <c r="BA19" s="58">
        <v>365.89</v>
      </c>
      <c r="BB19" s="65">
        <f t="shared" si="21"/>
        <v>19.99999999998181</v>
      </c>
      <c r="BC19" s="58">
        <v>232.54</v>
      </c>
      <c r="BD19" s="65">
        <f t="shared" si="22"/>
        <v>19.99999999998181</v>
      </c>
      <c r="BE19" s="59">
        <v>31238</v>
      </c>
      <c r="BF19" s="67">
        <f t="shared" si="39"/>
        <v>29</v>
      </c>
      <c r="BG19" s="60">
        <v>226.05</v>
      </c>
      <c r="BH19" s="65">
        <f t="shared" si="23"/>
        <v>20.000000000010232</v>
      </c>
      <c r="BI19" s="60">
        <v>284.04000000000002</v>
      </c>
      <c r="BJ19" s="65">
        <f t="shared" si="40"/>
        <v>10.000000000047748</v>
      </c>
      <c r="BK19" s="60">
        <v>231.36</v>
      </c>
      <c r="BL19" s="65">
        <f t="shared" si="24"/>
        <v>0</v>
      </c>
      <c r="BM19" s="60">
        <v>215.17</v>
      </c>
      <c r="BN19" s="65">
        <f t="shared" si="25"/>
        <v>19.99999999998181</v>
      </c>
      <c r="BO19" s="60">
        <v>280.3</v>
      </c>
      <c r="BP19" s="65">
        <f t="shared" si="26"/>
        <v>20.000000000038654</v>
      </c>
      <c r="BQ19" s="60">
        <v>39922</v>
      </c>
      <c r="BR19" s="65">
        <f t="shared" si="27"/>
        <v>8</v>
      </c>
      <c r="BS19" s="60">
        <v>194.15</v>
      </c>
      <c r="BT19" s="65">
        <f t="shared" si="42"/>
        <v>10.000000000019327</v>
      </c>
      <c r="BU19" s="60">
        <v>31547</v>
      </c>
      <c r="BV19" s="65">
        <f t="shared" si="29"/>
        <v>29</v>
      </c>
      <c r="BW19" s="60">
        <v>225.3</v>
      </c>
      <c r="BX19" s="65">
        <f t="shared" si="30"/>
        <v>20.000000000010232</v>
      </c>
      <c r="BY19" s="60">
        <v>50161</v>
      </c>
      <c r="BZ19" s="67">
        <f t="shared" si="31"/>
        <v>30</v>
      </c>
      <c r="CA19" s="60">
        <v>27512.1</v>
      </c>
      <c r="CB19" s="67">
        <f t="shared" si="32"/>
        <v>0</v>
      </c>
      <c r="CC19" s="60">
        <v>11253.1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50024.2</v>
      </c>
      <c r="CH19" s="67">
        <f t="shared" si="35"/>
        <v>29.799999999995634</v>
      </c>
      <c r="CI19" s="60">
        <v>877266</v>
      </c>
      <c r="CJ19" s="67">
        <f t="shared" si="36"/>
        <v>196</v>
      </c>
      <c r="CK19" s="60">
        <v>607.65</v>
      </c>
      <c r="CL19" s="64">
        <f t="shared" si="37"/>
        <v>319.99999999993634</v>
      </c>
      <c r="CM19" s="65">
        <f t="shared" si="41"/>
        <v>13.100000000000023</v>
      </c>
      <c r="CN19" s="62">
        <v>0</v>
      </c>
      <c r="CO19" s="62">
        <v>0</v>
      </c>
      <c r="CP19" s="68">
        <v>960</v>
      </c>
      <c r="CQ19" s="67">
        <f t="shared" si="38"/>
        <v>7.1000000000000227</v>
      </c>
      <c r="CR19" s="68">
        <v>10462</v>
      </c>
      <c r="CS19" s="67">
        <f t="shared" si="38"/>
        <v>6</v>
      </c>
      <c r="CT19" s="75">
        <v>2972</v>
      </c>
      <c r="CU19" s="67">
        <f t="shared" si="38"/>
        <v>11</v>
      </c>
      <c r="CV19" s="68">
        <v>9054</v>
      </c>
      <c r="CW19" s="67">
        <f t="shared" si="38"/>
        <v>38</v>
      </c>
    </row>
    <row r="20" spans="1:101" ht="25.5" customHeight="1" thickBot="1" x14ac:dyDescent="0.45">
      <c r="A20" s="63">
        <v>44091</v>
      </c>
      <c r="B20" s="44"/>
      <c r="C20" s="58">
        <v>1.8297000000000001</v>
      </c>
      <c r="D20" s="64">
        <f t="shared" si="0"/>
        <v>1100.000000000101</v>
      </c>
      <c r="E20" s="58">
        <v>2.7703000000000002</v>
      </c>
      <c r="F20" s="64">
        <f t="shared" si="1"/>
        <v>600.00000000037801</v>
      </c>
      <c r="G20" s="58">
        <v>2.7204000000000002</v>
      </c>
      <c r="H20" s="64">
        <f t="shared" si="2"/>
        <v>1500.0000000000568</v>
      </c>
      <c r="I20" s="58">
        <v>1.3173999999999999</v>
      </c>
      <c r="J20" s="64">
        <f t="shared" si="3"/>
        <v>799.99999999991189</v>
      </c>
      <c r="K20" s="58">
        <v>2.0825999999999998</v>
      </c>
      <c r="L20" s="64">
        <f t="shared" si="4"/>
        <v>1599.9999999998238</v>
      </c>
      <c r="M20" s="58">
        <v>1.248</v>
      </c>
      <c r="N20" s="64">
        <f t="shared" si="5"/>
        <v>499.99999999994492</v>
      </c>
      <c r="O20" s="58">
        <v>12652</v>
      </c>
      <c r="P20" s="67">
        <f t="shared" si="44"/>
        <v>0</v>
      </c>
      <c r="Q20" s="58">
        <v>5741</v>
      </c>
      <c r="R20" s="67">
        <f t="shared" si="6"/>
        <v>3</v>
      </c>
      <c r="S20" s="58">
        <v>854803.8</v>
      </c>
      <c r="T20" s="67">
        <f t="shared" si="7"/>
        <v>157.40000000002328</v>
      </c>
      <c r="U20" s="58">
        <v>348675.1</v>
      </c>
      <c r="V20" s="67">
        <f t="shared" si="8"/>
        <v>85.899999999965075</v>
      </c>
      <c r="W20" s="58">
        <v>341.27</v>
      </c>
      <c r="X20" s="65">
        <f t="shared" si="9"/>
        <v>89.999999999974989</v>
      </c>
      <c r="Y20" s="58">
        <v>2.4308999999999998</v>
      </c>
      <c r="Z20" s="65">
        <f t="shared" si="10"/>
        <v>399.99999999995595</v>
      </c>
      <c r="AA20" s="58">
        <v>333.29</v>
      </c>
      <c r="AB20" s="65">
        <f t="shared" si="11"/>
        <v>80.000000000040927</v>
      </c>
      <c r="AC20" s="58">
        <v>319.79000000000002</v>
      </c>
      <c r="AD20" s="65">
        <f t="shared" si="12"/>
        <v>110.00000000001364</v>
      </c>
      <c r="AE20" s="58">
        <v>500.27</v>
      </c>
      <c r="AF20" s="65">
        <f t="shared" si="13"/>
        <v>199.99999999998863</v>
      </c>
      <c r="AG20" s="58">
        <v>1370.9</v>
      </c>
      <c r="AH20" s="67">
        <f t="shared" si="14"/>
        <v>1.2000000000000455</v>
      </c>
      <c r="AI20" s="58">
        <v>471.74</v>
      </c>
      <c r="AJ20" s="65">
        <f t="shared" si="15"/>
        <v>259.99999999999091</v>
      </c>
      <c r="AK20" s="58">
        <v>161.44</v>
      </c>
      <c r="AL20" s="65">
        <f t="shared" si="15"/>
        <v>139.99999999998636</v>
      </c>
      <c r="AM20" s="58">
        <v>158.47</v>
      </c>
      <c r="AN20" s="65">
        <f t="shared" si="15"/>
        <v>129.99999999999545</v>
      </c>
      <c r="AO20" s="58">
        <v>153.94</v>
      </c>
      <c r="AP20" s="65">
        <f t="shared" si="15"/>
        <v>150.00000000000568</v>
      </c>
      <c r="AQ20" s="58">
        <v>221.11</v>
      </c>
      <c r="AR20" s="65">
        <f t="shared" si="16"/>
        <v>40.000000000020464</v>
      </c>
      <c r="AS20" s="58">
        <v>346.62</v>
      </c>
      <c r="AT20" s="65">
        <f t="shared" si="17"/>
        <v>30.000000000029559</v>
      </c>
      <c r="AU20" s="58">
        <v>267.42</v>
      </c>
      <c r="AV20" s="65">
        <f t="shared" si="18"/>
        <v>20.000000000038654</v>
      </c>
      <c r="AW20" s="58">
        <v>294.98</v>
      </c>
      <c r="AX20" s="65">
        <f t="shared" si="19"/>
        <v>20.000000000038654</v>
      </c>
      <c r="AY20" s="58">
        <v>346.19</v>
      </c>
      <c r="AZ20" s="65">
        <f t="shared" si="20"/>
        <v>19.99999999998181</v>
      </c>
      <c r="BA20" s="58">
        <v>365.91</v>
      </c>
      <c r="BB20" s="65">
        <f t="shared" si="21"/>
        <v>20.000000000038654</v>
      </c>
      <c r="BC20" s="58">
        <v>232.56</v>
      </c>
      <c r="BD20" s="65">
        <f t="shared" si="22"/>
        <v>20.000000000010232</v>
      </c>
      <c r="BE20" s="59">
        <v>31271</v>
      </c>
      <c r="BF20" s="67">
        <f t="shared" si="39"/>
        <v>33</v>
      </c>
      <c r="BG20" s="60">
        <v>226.06</v>
      </c>
      <c r="BH20" s="65">
        <f t="shared" si="23"/>
        <v>9.9999999999909051</v>
      </c>
      <c r="BI20" s="60">
        <v>284.04000000000002</v>
      </c>
      <c r="BJ20" s="65">
        <f t="shared" si="40"/>
        <v>0</v>
      </c>
      <c r="BK20" s="60">
        <v>231.37</v>
      </c>
      <c r="BL20" s="65">
        <f t="shared" si="24"/>
        <v>9.9999999999909051</v>
      </c>
      <c r="BM20" s="60">
        <v>215.19</v>
      </c>
      <c r="BN20" s="65">
        <f t="shared" si="25"/>
        <v>20.000000000010232</v>
      </c>
      <c r="BO20" s="60">
        <v>280.32</v>
      </c>
      <c r="BP20" s="65">
        <f t="shared" si="26"/>
        <v>19.99999999998181</v>
      </c>
      <c r="BQ20" s="60">
        <v>39929</v>
      </c>
      <c r="BR20" s="65">
        <f t="shared" si="27"/>
        <v>7</v>
      </c>
      <c r="BS20" s="60">
        <v>194.17</v>
      </c>
      <c r="BT20" s="65">
        <f t="shared" si="42"/>
        <v>19.99999999998181</v>
      </c>
      <c r="BU20" s="60">
        <v>31575</v>
      </c>
      <c r="BV20" s="65">
        <f t="shared" si="29"/>
        <v>28</v>
      </c>
      <c r="BW20" s="60">
        <v>225.33</v>
      </c>
      <c r="BX20" s="65">
        <f t="shared" si="30"/>
        <v>30.000000000001137</v>
      </c>
      <c r="BY20" s="60">
        <v>50189</v>
      </c>
      <c r="BZ20" s="67">
        <f t="shared" si="31"/>
        <v>28</v>
      </c>
      <c r="CA20" s="60">
        <v>27512.1</v>
      </c>
      <c r="CB20" s="67">
        <f t="shared" si="32"/>
        <v>0</v>
      </c>
      <c r="CC20" s="60">
        <v>11253.1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50049</v>
      </c>
      <c r="CH20" s="67">
        <f t="shared" si="35"/>
        <v>24.80000000000291</v>
      </c>
      <c r="CI20" s="60">
        <v>877462</v>
      </c>
      <c r="CJ20" s="67">
        <f t="shared" si="36"/>
        <v>196</v>
      </c>
      <c r="CK20" s="60">
        <v>608</v>
      </c>
      <c r="CL20" s="64">
        <f t="shared" si="37"/>
        <v>350.00000000002274</v>
      </c>
      <c r="CM20" s="65">
        <f t="shared" si="41"/>
        <v>16.200000000000045</v>
      </c>
      <c r="CN20" s="62">
        <v>0</v>
      </c>
      <c r="CO20" s="62">
        <v>0</v>
      </c>
      <c r="CP20" s="68">
        <v>970.2</v>
      </c>
      <c r="CQ20" s="67">
        <f t="shared" si="38"/>
        <v>10.200000000000045</v>
      </c>
      <c r="CR20" s="68">
        <v>10468</v>
      </c>
      <c r="CS20" s="67">
        <f t="shared" si="38"/>
        <v>6</v>
      </c>
      <c r="CT20" s="75">
        <v>2983</v>
      </c>
      <c r="CU20" s="67">
        <f t="shared" si="38"/>
        <v>11</v>
      </c>
      <c r="CV20" s="68">
        <v>9077</v>
      </c>
      <c r="CW20" s="67">
        <f t="shared" si="38"/>
        <v>23</v>
      </c>
    </row>
    <row r="21" spans="1:101" ht="25.5" customHeight="1" thickBot="1" x14ac:dyDescent="0.45">
      <c r="A21" s="63">
        <v>44092</v>
      </c>
      <c r="B21" s="44"/>
      <c r="C21" s="58">
        <v>1.8307</v>
      </c>
      <c r="D21" s="64">
        <f t="shared" si="0"/>
        <v>999.99999999988984</v>
      </c>
      <c r="E21" s="58">
        <v>2.7709000000000001</v>
      </c>
      <c r="F21" s="64">
        <f t="shared" si="1"/>
        <v>599.99999999993395</v>
      </c>
      <c r="G21" s="58">
        <v>2.7218</v>
      </c>
      <c r="H21" s="64">
        <f t="shared" si="2"/>
        <v>1399.9999999998458</v>
      </c>
      <c r="I21" s="58">
        <v>1.3182</v>
      </c>
      <c r="J21" s="64">
        <f t="shared" si="3"/>
        <v>800.00000000013392</v>
      </c>
      <c r="K21" s="58">
        <v>2.0842000000000001</v>
      </c>
      <c r="L21" s="64">
        <f t="shared" si="4"/>
        <v>1600.0000000002678</v>
      </c>
      <c r="M21" s="58">
        <v>1.2484999999999999</v>
      </c>
      <c r="N21" s="64">
        <f t="shared" si="5"/>
        <v>499.99999999994492</v>
      </c>
      <c r="O21" s="58"/>
      <c r="P21" s="67" t="str">
        <f t="shared" si="44"/>
        <v/>
      </c>
      <c r="Q21" s="58">
        <v>5744</v>
      </c>
      <c r="R21" s="67">
        <f t="shared" si="6"/>
        <v>3</v>
      </c>
      <c r="S21" s="58">
        <v>854949</v>
      </c>
      <c r="T21" s="67">
        <f t="shared" si="7"/>
        <v>145.19999999995343</v>
      </c>
      <c r="U21" s="58">
        <v>348767.1</v>
      </c>
      <c r="V21" s="67">
        <f t="shared" si="8"/>
        <v>92</v>
      </c>
      <c r="W21" s="58">
        <v>341.36</v>
      </c>
      <c r="X21" s="65">
        <f t="shared" si="9"/>
        <v>90.000000000031832</v>
      </c>
      <c r="Y21" s="58">
        <v>2.4312999999999998</v>
      </c>
      <c r="Z21" s="65">
        <f t="shared" si="10"/>
        <v>399.99999999995595</v>
      </c>
      <c r="AA21" s="58">
        <v>333.36</v>
      </c>
      <c r="AB21" s="65">
        <f t="shared" si="11"/>
        <v>69.999999999993179</v>
      </c>
      <c r="AC21" s="58">
        <v>319.91000000000003</v>
      </c>
      <c r="AD21" s="65">
        <f t="shared" si="12"/>
        <v>120.00000000000455</v>
      </c>
      <c r="AE21" s="58">
        <v>500.46</v>
      </c>
      <c r="AF21" s="65">
        <f t="shared" si="13"/>
        <v>189.99999999999773</v>
      </c>
      <c r="AG21" s="58">
        <v>1372.2</v>
      </c>
      <c r="AH21" s="67">
        <f t="shared" si="14"/>
        <v>1.2999999999999545</v>
      </c>
      <c r="AI21" s="58">
        <v>472</v>
      </c>
      <c r="AJ21" s="65">
        <f t="shared" si="15"/>
        <v>259.99999999999091</v>
      </c>
      <c r="AK21" s="58">
        <v>161.59</v>
      </c>
      <c r="AL21" s="65">
        <f t="shared" si="15"/>
        <v>150.00000000000568</v>
      </c>
      <c r="AM21" s="58">
        <v>158.6</v>
      </c>
      <c r="AN21" s="65">
        <f t="shared" si="15"/>
        <v>129.99999999999545</v>
      </c>
      <c r="AO21" s="58">
        <v>154.06</v>
      </c>
      <c r="AP21" s="65">
        <f t="shared" si="15"/>
        <v>120.00000000000455</v>
      </c>
      <c r="AQ21" s="58">
        <v>221.16</v>
      </c>
      <c r="AR21" s="65">
        <f t="shared" si="16"/>
        <v>49.999999999982947</v>
      </c>
      <c r="AS21" s="58">
        <v>346.64</v>
      </c>
      <c r="AT21" s="65">
        <f t="shared" si="17"/>
        <v>19.99999999998181</v>
      </c>
      <c r="AU21" s="58">
        <v>267.44</v>
      </c>
      <c r="AV21" s="65">
        <f t="shared" si="18"/>
        <v>19.99999999998181</v>
      </c>
      <c r="AW21" s="58">
        <v>294.99</v>
      </c>
      <c r="AX21" s="65">
        <f t="shared" si="19"/>
        <v>9.9999999999909051</v>
      </c>
      <c r="AY21" s="58">
        <v>346.21</v>
      </c>
      <c r="AZ21" s="65">
        <f t="shared" si="20"/>
        <v>19.99999999998181</v>
      </c>
      <c r="BA21" s="58">
        <v>365.94</v>
      </c>
      <c r="BB21" s="65">
        <f t="shared" si="21"/>
        <v>29.999999999972715</v>
      </c>
      <c r="BC21" s="58">
        <v>232.58</v>
      </c>
      <c r="BD21" s="65">
        <f t="shared" si="22"/>
        <v>20.000000000010232</v>
      </c>
      <c r="BE21" s="59">
        <v>31309</v>
      </c>
      <c r="BF21" s="67">
        <f t="shared" si="39"/>
        <v>38</v>
      </c>
      <c r="BG21" s="60">
        <v>226.06</v>
      </c>
      <c r="BH21" s="65">
        <f t="shared" si="23"/>
        <v>0</v>
      </c>
      <c r="BI21" s="60">
        <v>284.05</v>
      </c>
      <c r="BJ21" s="65">
        <f t="shared" si="40"/>
        <v>9.9999999999909051</v>
      </c>
      <c r="BK21" s="60">
        <v>231.38</v>
      </c>
      <c r="BL21" s="65">
        <f t="shared" si="24"/>
        <v>9.9999999999909051</v>
      </c>
      <c r="BM21" s="60">
        <v>215.21</v>
      </c>
      <c r="BN21" s="65">
        <f t="shared" si="25"/>
        <v>20.000000000010232</v>
      </c>
      <c r="BO21" s="60">
        <v>280.33999999999997</v>
      </c>
      <c r="BP21" s="65">
        <f t="shared" si="26"/>
        <v>19.99999999998181</v>
      </c>
      <c r="BQ21" s="60">
        <v>39936</v>
      </c>
      <c r="BR21" s="65">
        <f t="shared" si="27"/>
        <v>7</v>
      </c>
      <c r="BS21" s="60">
        <v>194.18</v>
      </c>
      <c r="BT21" s="65">
        <f t="shared" si="42"/>
        <v>10.000000000019327</v>
      </c>
      <c r="BU21" s="60">
        <v>31604</v>
      </c>
      <c r="BV21" s="65">
        <f t="shared" si="29"/>
        <v>29</v>
      </c>
      <c r="BW21" s="60">
        <v>225.36</v>
      </c>
      <c r="BX21" s="65">
        <f t="shared" si="30"/>
        <v>30.000000000001137</v>
      </c>
      <c r="BY21" s="60">
        <v>50218</v>
      </c>
      <c r="BZ21" s="67">
        <f t="shared" si="31"/>
        <v>29</v>
      </c>
      <c r="CA21" s="60">
        <v>27512.1</v>
      </c>
      <c r="CB21" s="67">
        <f t="shared" si="32"/>
        <v>0</v>
      </c>
      <c r="CC21" s="60">
        <v>11253.1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50077.3</v>
      </c>
      <c r="CH21" s="67">
        <f t="shared" si="35"/>
        <v>28.30000000000291</v>
      </c>
      <c r="CI21" s="60">
        <v>877658</v>
      </c>
      <c r="CJ21" s="67">
        <f t="shared" si="36"/>
        <v>196</v>
      </c>
      <c r="CK21" s="60">
        <v>608.34</v>
      </c>
      <c r="CL21" s="64">
        <f t="shared" si="37"/>
        <v>340.00000000003183</v>
      </c>
      <c r="CM21" s="65">
        <f t="shared" si="41"/>
        <v>14.899999999999977</v>
      </c>
      <c r="CN21" s="62">
        <v>0</v>
      </c>
      <c r="CO21" s="62">
        <v>0</v>
      </c>
      <c r="CP21" s="68">
        <v>980.1</v>
      </c>
      <c r="CQ21" s="67">
        <f t="shared" si="38"/>
        <v>9.8999999999999773</v>
      </c>
      <c r="CR21" s="68">
        <v>10473</v>
      </c>
      <c r="CS21" s="67">
        <f t="shared" si="38"/>
        <v>5</v>
      </c>
      <c r="CT21" s="75">
        <v>2994</v>
      </c>
      <c r="CU21" s="67">
        <f t="shared" si="38"/>
        <v>11</v>
      </c>
      <c r="CV21" s="68">
        <v>9091</v>
      </c>
      <c r="CW21" s="67">
        <f t="shared" si="38"/>
        <v>14</v>
      </c>
    </row>
    <row r="22" spans="1:101" ht="25.5" customHeight="1" thickBot="1" x14ac:dyDescent="0.45">
      <c r="A22" s="63">
        <v>44093</v>
      </c>
      <c r="B22" s="44"/>
      <c r="C22" s="58"/>
      <c r="D22" s="64" t="str">
        <f t="shared" si="0"/>
        <v>0</v>
      </c>
      <c r="E22" s="58"/>
      <c r="F22" s="64" t="str">
        <f t="shared" si="1"/>
        <v>0</v>
      </c>
      <c r="G22" s="58"/>
      <c r="H22" s="64" t="str">
        <f t="shared" si="2"/>
        <v>0</v>
      </c>
      <c r="I22" s="58"/>
      <c r="J22" s="64" t="str">
        <f t="shared" si="3"/>
        <v>0</v>
      </c>
      <c r="K22" s="58"/>
      <c r="L22" s="64" t="str">
        <f t="shared" si="4"/>
        <v>0</v>
      </c>
      <c r="M22" s="58"/>
      <c r="N22" s="64" t="str">
        <f t="shared" si="5"/>
        <v/>
      </c>
      <c r="O22" s="58"/>
      <c r="P22" s="67">
        <f t="shared" si="44"/>
        <v>0</v>
      </c>
      <c r="Q22" s="58"/>
      <c r="R22" s="67" t="str">
        <f t="shared" si="6"/>
        <v/>
      </c>
      <c r="S22" s="58"/>
      <c r="T22" s="67" t="str">
        <f t="shared" si="7"/>
        <v/>
      </c>
      <c r="U22" s="58"/>
      <c r="V22" s="67" t="str">
        <f t="shared" si="8"/>
        <v/>
      </c>
      <c r="W22" s="58"/>
      <c r="X22" s="65" t="str">
        <f t="shared" si="9"/>
        <v/>
      </c>
      <c r="Y22" s="58"/>
      <c r="Z22" s="65" t="str">
        <f t="shared" si="10"/>
        <v/>
      </c>
      <c r="AA22" s="58"/>
      <c r="AB22" s="65" t="str">
        <f t="shared" si="11"/>
        <v/>
      </c>
      <c r="AC22" s="58"/>
      <c r="AD22" s="65" t="str">
        <f t="shared" si="12"/>
        <v/>
      </c>
      <c r="AE22" s="58"/>
      <c r="AF22" s="65" t="str">
        <f t="shared" si="13"/>
        <v/>
      </c>
      <c r="AG22" s="58"/>
      <c r="AH22" s="67" t="str">
        <f t="shared" si="14"/>
        <v/>
      </c>
      <c r="AI22" s="58"/>
      <c r="AJ22" s="65" t="str">
        <f t="shared" si="15"/>
        <v/>
      </c>
      <c r="AK22" s="58"/>
      <c r="AL22" s="65" t="str">
        <f t="shared" si="15"/>
        <v/>
      </c>
      <c r="AM22" s="58"/>
      <c r="AN22" s="65" t="str">
        <f t="shared" si="15"/>
        <v/>
      </c>
      <c r="AO22" s="58"/>
      <c r="AP22" s="65" t="str">
        <f t="shared" si="15"/>
        <v/>
      </c>
      <c r="AQ22" s="58"/>
      <c r="AR22" s="65" t="str">
        <f t="shared" si="16"/>
        <v/>
      </c>
      <c r="AS22" s="58"/>
      <c r="AT22" s="65" t="str">
        <f t="shared" si="17"/>
        <v/>
      </c>
      <c r="AU22" s="58"/>
      <c r="AV22" s="65" t="str">
        <f t="shared" si="18"/>
        <v/>
      </c>
      <c r="AW22" s="58"/>
      <c r="AX22" s="65" t="str">
        <f t="shared" si="19"/>
        <v/>
      </c>
      <c r="AY22" s="58"/>
      <c r="AZ22" s="65" t="str">
        <f t="shared" si="20"/>
        <v/>
      </c>
      <c r="BA22" s="58"/>
      <c r="BB22" s="65" t="str">
        <f t="shared" si="21"/>
        <v/>
      </c>
      <c r="BC22" s="58"/>
      <c r="BD22" s="65" t="str">
        <f t="shared" si="22"/>
        <v/>
      </c>
      <c r="BE22" s="59"/>
      <c r="BF22" s="67" t="str">
        <f t="shared" si="39"/>
        <v/>
      </c>
      <c r="BG22" s="60"/>
      <c r="BH22" s="65" t="str">
        <f t="shared" si="23"/>
        <v/>
      </c>
      <c r="BI22" s="60"/>
      <c r="BJ22" s="65" t="str">
        <f t="shared" si="40"/>
        <v/>
      </c>
      <c r="BK22" s="60"/>
      <c r="BL22" s="65" t="str">
        <f t="shared" si="24"/>
        <v/>
      </c>
      <c r="BM22" s="60"/>
      <c r="BN22" s="65" t="str">
        <f t="shared" si="25"/>
        <v/>
      </c>
      <c r="BO22" s="60"/>
      <c r="BP22" s="65" t="str">
        <f t="shared" si="26"/>
        <v/>
      </c>
      <c r="BQ22" s="60"/>
      <c r="BR22" s="65" t="str">
        <f t="shared" si="27"/>
        <v/>
      </c>
      <c r="BS22" s="60"/>
      <c r="BT22" s="65" t="str">
        <f t="shared" si="42"/>
        <v/>
      </c>
      <c r="BU22" s="60"/>
      <c r="BV22" s="65" t="str">
        <f t="shared" si="29"/>
        <v/>
      </c>
      <c r="BW22" s="60"/>
      <c r="BX22" s="65" t="str">
        <f t="shared" si="30"/>
        <v/>
      </c>
      <c r="BY22" s="60"/>
      <c r="BZ22" s="67" t="str">
        <f t="shared" si="31"/>
        <v/>
      </c>
      <c r="CA22" s="60"/>
      <c r="CB22" s="67" t="str">
        <f t="shared" si="32"/>
        <v/>
      </c>
      <c r="CC22" s="60"/>
      <c r="CD22" s="67" t="str">
        <f t="shared" si="33"/>
        <v/>
      </c>
      <c r="CE22" s="60"/>
      <c r="CF22" s="67" t="str">
        <f t="shared" si="34"/>
        <v/>
      </c>
      <c r="CG22" s="60"/>
      <c r="CH22" s="67" t="str">
        <f t="shared" si="35"/>
        <v/>
      </c>
      <c r="CI22" s="60"/>
      <c r="CJ22" s="67" t="str">
        <f t="shared" si="36"/>
        <v/>
      </c>
      <c r="CK22" s="60"/>
      <c r="CL22" s="64" t="str">
        <f t="shared" si="37"/>
        <v/>
      </c>
      <c r="CM22" s="65" t="e">
        <f t="shared" si="41"/>
        <v>#VALUE!</v>
      </c>
      <c r="CN22" s="62">
        <v>0</v>
      </c>
      <c r="CO22" s="62">
        <v>0</v>
      </c>
      <c r="CP22" s="68"/>
      <c r="CQ22" s="67" t="str">
        <f t="shared" si="38"/>
        <v/>
      </c>
      <c r="CR22" s="68"/>
      <c r="CS22" s="67" t="str">
        <f t="shared" si="38"/>
        <v/>
      </c>
      <c r="CT22" s="75"/>
      <c r="CU22" s="67" t="str">
        <f t="shared" si="38"/>
        <v/>
      </c>
      <c r="CV22" s="68"/>
      <c r="CW22" s="67" t="str">
        <f t="shared" si="38"/>
        <v/>
      </c>
    </row>
    <row r="23" spans="1:101" ht="25.5" customHeight="1" thickBot="1" x14ac:dyDescent="0.45">
      <c r="A23" s="63">
        <v>44094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44095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44096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S27" sqref="S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10</v>
      </c>
      <c r="P19" s="39">
        <v>1</v>
      </c>
      <c r="Q19" s="39">
        <v>2823</v>
      </c>
      <c r="R19" s="78">
        <v>21</v>
      </c>
      <c r="S19" s="78">
        <v>196</v>
      </c>
      <c r="T19">
        <f t="shared" si="0"/>
        <v>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</v>
      </c>
      <c r="P20" s="39">
        <v>1</v>
      </c>
      <c r="Q20" s="39">
        <v>2826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6</v>
      </c>
      <c r="P21" s="39">
        <v>1</v>
      </c>
      <c r="Q21" s="39">
        <v>2828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6</v>
      </c>
      <c r="P22" s="39">
        <v>1</v>
      </c>
      <c r="Q22" s="39">
        <v>2830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4</v>
      </c>
      <c r="P23" s="39">
        <v>1</v>
      </c>
      <c r="Q23" s="39">
        <v>2832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3</v>
      </c>
      <c r="P24" s="39">
        <v>1</v>
      </c>
      <c r="Q24" s="39">
        <v>2834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3</v>
      </c>
      <c r="P25" s="39">
        <v>1</v>
      </c>
      <c r="Q25" s="39">
        <v>2836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2</v>
      </c>
      <c r="P26" s="39">
        <v>1</v>
      </c>
      <c r="Q26" s="39">
        <v>2839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-196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2020-09-19T13:08:12Z</dcterms:modified>
</cp:coreProperties>
</file>