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8" i="3" l="1"/>
  <c r="AQ37" i="3"/>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R37" i="4" l="1"/>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D41" i="9" l="1"/>
  <c r="E41" i="9"/>
  <c r="C41" i="9"/>
  <c r="L31" i="8" l="1"/>
  <c r="L32" i="8"/>
  <c r="L33" i="8"/>
  <c r="K31" i="8"/>
  <c r="K32" i="8"/>
  <c r="K33" i="8"/>
  <c r="I30" i="8"/>
  <c r="I31" i="8"/>
  <c r="I32" i="8"/>
  <c r="I33" i="8"/>
  <c r="H30" i="8"/>
  <c r="H31" i="8"/>
  <c r="H32" i="8"/>
  <c r="H33" i="8"/>
  <c r="BI40" i="5" l="1"/>
  <c r="Z34" i="5" l="1"/>
  <c r="BF38" i="5"/>
  <c r="BF37" i="5"/>
  <c r="BF36" i="5"/>
  <c r="BF35" i="5"/>
  <c r="BF34" i="5"/>
  <c r="BF33" i="5"/>
  <c r="BF32" i="5"/>
  <c r="BF31" i="5"/>
  <c r="BF30" i="5"/>
  <c r="BF29" i="5"/>
  <c r="BF28" i="5"/>
  <c r="BF27" i="5"/>
  <c r="BF26" i="5"/>
  <c r="BF25" i="5"/>
  <c r="Z38" i="5"/>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P37" i="4"/>
  <c r="L37" i="4"/>
  <c r="N37" i="4" s="1"/>
  <c r="J37" i="4"/>
  <c r="H37" i="4"/>
  <c r="F37" i="4"/>
  <c r="D37" i="4"/>
  <c r="AN38" i="3"/>
  <c r="AL38" i="3"/>
  <c r="AJ38" i="3"/>
  <c r="AH38" i="3"/>
  <c r="AF38" i="3"/>
  <c r="AB38" i="3"/>
  <c r="X38" i="3"/>
  <c r="T38" i="3"/>
  <c r="P38" i="3"/>
  <c r="N38" i="3"/>
  <c r="L38" i="3"/>
  <c r="H38" i="3"/>
  <c r="F38" i="3"/>
  <c r="D38" i="3"/>
  <c r="S37" i="4" l="1"/>
  <c r="F39" i="5"/>
  <c r="BI39" i="5" s="1"/>
  <c r="E33" i="8"/>
  <c r="BH39" i="5"/>
  <c r="M37" i="4"/>
  <c r="F33" i="8"/>
  <c r="J32" i="5" l="1"/>
  <c r="H21" i="4" l="1"/>
  <c r="H20" i="4"/>
  <c r="J15" i="5" l="1"/>
  <c r="H12" i="4"/>
  <c r="AN33" i="3" l="1"/>
  <c r="AJ35" i="5"/>
  <c r="BB30" i="5" l="1"/>
  <c r="L9" i="5" l="1"/>
  <c r="N6" i="4" l="1"/>
  <c r="M6" i="4"/>
  <c r="T33" i="3" l="1"/>
  <c r="T32" i="3"/>
  <c r="T31" i="3"/>
  <c r="T30" i="3"/>
  <c r="T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E13" i="8"/>
  <c r="E21" i="8"/>
  <c r="E25" i="8"/>
  <c r="F14" i="8"/>
  <c r="F18" i="8"/>
  <c r="F22" i="8"/>
  <c r="F26" i="8"/>
  <c r="F30" i="8"/>
  <c r="M10" i="4"/>
  <c r="M24" i="4"/>
  <c r="M30" i="4"/>
  <c r="E17" i="8"/>
  <c r="E29" i="8"/>
  <c r="M20" i="4"/>
  <c r="M36" i="4"/>
  <c r="M16" i="4"/>
  <c r="F10" i="8"/>
  <c r="E9" i="8"/>
  <c r="M14" i="4"/>
  <c r="N39" i="3"/>
  <c r="F39" i="3"/>
  <c r="F38" i="4"/>
  <c r="F6" i="8"/>
  <c r="E6" i="8"/>
  <c r="AL39" i="3"/>
  <c r="AB39" i="3"/>
  <c r="D38" i="4"/>
  <c r="J38" i="4"/>
  <c r="F20" i="8"/>
  <c r="E10" i="8"/>
  <c r="E18" i="8"/>
  <c r="E26" i="8"/>
  <c r="F11" i="8"/>
  <c r="F15" i="8"/>
  <c r="F19" i="8"/>
  <c r="F23" i="8"/>
  <c r="F27" i="8"/>
  <c r="F31" i="8"/>
  <c r="F8" i="8"/>
  <c r="F24" i="8"/>
  <c r="F4" i="8"/>
  <c r="E14" i="8"/>
  <c r="E22" i="8"/>
  <c r="E30" i="8"/>
  <c r="F7" i="8"/>
  <c r="E7" i="8"/>
  <c r="E11" i="8"/>
  <c r="E15" i="8"/>
  <c r="E19" i="8"/>
  <c r="E23" i="8"/>
  <c r="E27" i="8"/>
  <c r="E31" i="8"/>
  <c r="F12" i="8"/>
  <c r="F28" i="8"/>
  <c r="E4" i="8"/>
  <c r="E8" i="8"/>
  <c r="E12" i="8"/>
  <c r="E16" i="8"/>
  <c r="E20" i="8"/>
  <c r="E24" i="8"/>
  <c r="E28" i="8"/>
  <c r="E32" i="8"/>
  <c r="F9" i="8"/>
  <c r="F13" i="8"/>
  <c r="F17" i="8"/>
  <c r="F21" i="8"/>
  <c r="F25" i="8"/>
  <c r="F29" i="8"/>
  <c r="F16" i="8"/>
  <c r="F32" i="8"/>
  <c r="P39" i="3"/>
  <c r="X39" i="3"/>
  <c r="AF39" i="3"/>
  <c r="AN39" i="3"/>
  <c r="P38" i="4"/>
  <c r="D39" i="3"/>
  <c r="H39" i="3"/>
  <c r="T39" i="3"/>
  <c r="AJ39" i="3"/>
  <c r="L38" i="4"/>
  <c r="M9" i="4"/>
  <c r="M11" i="4"/>
  <c r="M13" i="4"/>
  <c r="M15" i="4"/>
  <c r="M17" i="4"/>
  <c r="M19" i="4"/>
  <c r="M21" i="4"/>
  <c r="M23" i="4"/>
  <c r="M25" i="4"/>
  <c r="M27" i="4"/>
  <c r="M29" i="4"/>
  <c r="M31" i="4"/>
  <c r="M33" i="4"/>
  <c r="M35" i="4"/>
  <c r="L39" i="3"/>
  <c r="AH39" i="3"/>
  <c r="F3" i="8"/>
  <c r="H38" i="4"/>
  <c r="N9" i="4"/>
  <c r="AZ11" i="5"/>
  <c r="AT12" i="5"/>
  <c r="AJ11" i="5"/>
  <c r="AN11" i="5"/>
  <c r="AP11" i="5"/>
  <c r="AV12" i="5"/>
  <c r="F5" i="8" l="1"/>
  <c r="E5" i="8"/>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S8" i="4" l="1"/>
  <c r="I4" i="8" s="1"/>
  <c r="S10" i="4"/>
  <c r="I6" i="8" s="1"/>
  <c r="S12" i="4"/>
  <c r="I8" i="8" s="1"/>
  <c r="S14" i="4"/>
  <c r="I10"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BI10" i="5"/>
  <c r="L4" i="8" s="1"/>
  <c r="BH10" i="5"/>
  <c r="K4" i="8" s="1"/>
  <c r="AZ22" i="5"/>
  <c r="AZ21" i="5"/>
  <c r="AZ20" i="5"/>
  <c r="AZ19" i="5"/>
  <c r="AZ18" i="5"/>
  <c r="AZ23" i="5"/>
  <c r="AD19" i="5"/>
  <c r="AR17" i="5" l="1"/>
  <c r="AR16" i="5"/>
  <c r="AT36" i="5" l="1"/>
  <c r="AJ33" i="5" l="1"/>
  <c r="AT30" i="5" l="1"/>
  <c r="V11" i="5" l="1"/>
  <c r="V9" i="5"/>
  <c r="BD38" i="5" l="1"/>
  <c r="BB38" i="5"/>
  <c r="AZ38" i="5"/>
  <c r="AX38" i="5"/>
  <c r="AV38" i="5"/>
  <c r="AT38" i="5"/>
  <c r="AR38" i="5"/>
  <c r="AP38" i="5"/>
  <c r="AN38" i="5"/>
  <c r="AL38" i="5"/>
  <c r="AJ38" i="5"/>
  <c r="AH38" i="5"/>
  <c r="AF38" i="5"/>
  <c r="AD38" i="5"/>
  <c r="AB38" i="5"/>
  <c r="X38" i="5"/>
  <c r="V38" i="5"/>
  <c r="R38" i="5"/>
  <c r="P38" i="5"/>
  <c r="H38" i="5"/>
  <c r="D38" i="5"/>
  <c r="BD37" i="5"/>
  <c r="BB37" i="5"/>
  <c r="AZ37" i="5"/>
  <c r="AX37" i="5"/>
  <c r="AV37" i="5"/>
  <c r="AT37" i="5"/>
  <c r="AR37" i="5"/>
  <c r="AP37" i="5"/>
  <c r="AN37" i="5"/>
  <c r="AL37" i="5"/>
  <c r="AJ37" i="5"/>
  <c r="AH37" i="5"/>
  <c r="AF37" i="5"/>
  <c r="AD37" i="5"/>
  <c r="AB37" i="5"/>
  <c r="Z37" i="5"/>
  <c r="X37" i="5"/>
  <c r="V37" i="5"/>
  <c r="R37" i="5"/>
  <c r="P37" i="5"/>
  <c r="H37" i="5"/>
  <c r="D37" i="5"/>
  <c r="BD36" i="5"/>
  <c r="BB36" i="5"/>
  <c r="AZ36" i="5"/>
  <c r="AX36" i="5"/>
  <c r="AV36" i="5"/>
  <c r="AR36" i="5"/>
  <c r="AP36" i="5"/>
  <c r="AN36" i="5"/>
  <c r="AL36" i="5"/>
  <c r="AJ36" i="5"/>
  <c r="AH36" i="5"/>
  <c r="AF36" i="5"/>
  <c r="AD36" i="5"/>
  <c r="AB36" i="5"/>
  <c r="Z36" i="5"/>
  <c r="X36" i="5"/>
  <c r="V36" i="5"/>
  <c r="R36" i="5"/>
  <c r="P36" i="5"/>
  <c r="H36" i="5"/>
  <c r="D36" i="5"/>
  <c r="BD35" i="5"/>
  <c r="BB35" i="5"/>
  <c r="AZ35" i="5"/>
  <c r="AV35" i="5"/>
  <c r="AT35" i="5"/>
  <c r="AR35" i="5"/>
  <c r="AP35" i="5"/>
  <c r="AN35" i="5"/>
  <c r="AL35" i="5"/>
  <c r="AH35" i="5"/>
  <c r="AF35" i="5"/>
  <c r="AD35" i="5"/>
  <c r="AB35" i="5"/>
  <c r="Z35" i="5"/>
  <c r="X35" i="5"/>
  <c r="V35" i="5"/>
  <c r="R35" i="5"/>
  <c r="P35" i="5"/>
  <c r="H35" i="5"/>
  <c r="D35" i="5"/>
  <c r="BD34" i="5"/>
  <c r="BB34" i="5"/>
  <c r="AZ34" i="5"/>
  <c r="AV34" i="5"/>
  <c r="AT34" i="5"/>
  <c r="AR34" i="5"/>
  <c r="AP34" i="5"/>
  <c r="AN34" i="5"/>
  <c r="AL34" i="5"/>
  <c r="AJ34" i="5"/>
  <c r="AH34" i="5"/>
  <c r="AF34" i="5"/>
  <c r="AD34" i="5"/>
  <c r="AB34" i="5"/>
  <c r="X34" i="5"/>
  <c r="V34" i="5"/>
  <c r="R34" i="5"/>
  <c r="P34" i="5"/>
  <c r="D34" i="5"/>
  <c r="BD33" i="5"/>
  <c r="BB33" i="5"/>
  <c r="AZ33" i="5"/>
  <c r="AX33" i="5"/>
  <c r="AV33" i="5"/>
  <c r="AT33" i="5"/>
  <c r="AR33" i="5"/>
  <c r="AP33" i="5"/>
  <c r="AN33" i="5"/>
  <c r="AL33" i="5"/>
  <c r="AH33" i="5"/>
  <c r="AF33" i="5"/>
  <c r="AD33" i="5"/>
  <c r="AB33" i="5"/>
  <c r="Z33" i="5"/>
  <c r="X33" i="5"/>
  <c r="V33" i="5"/>
  <c r="R33" i="5"/>
  <c r="P33" i="5"/>
  <c r="H33" i="5"/>
  <c r="D33" i="5"/>
  <c r="BD32" i="5"/>
  <c r="BB32" i="5"/>
  <c r="AZ32" i="5"/>
  <c r="AX32" i="5"/>
  <c r="AV32" i="5"/>
  <c r="AT32" i="5"/>
  <c r="AR32" i="5"/>
  <c r="AP32" i="5"/>
  <c r="AN32" i="5"/>
  <c r="AL32" i="5"/>
  <c r="AJ32" i="5"/>
  <c r="AH32" i="5"/>
  <c r="AF32" i="5"/>
  <c r="AD32" i="5"/>
  <c r="AB32" i="5"/>
  <c r="Z32" i="5"/>
  <c r="X32" i="5"/>
  <c r="V32" i="5"/>
  <c r="R32" i="5"/>
  <c r="P32" i="5"/>
  <c r="H32" i="5"/>
  <c r="D32" i="5"/>
  <c r="BD31" i="5"/>
  <c r="BB31" i="5"/>
  <c r="AZ31" i="5"/>
  <c r="AX31" i="5"/>
  <c r="AV31" i="5"/>
  <c r="AT31" i="5"/>
  <c r="AR31" i="5"/>
  <c r="AP31" i="5"/>
  <c r="AN31" i="5"/>
  <c r="AL31" i="5"/>
  <c r="AJ31" i="5"/>
  <c r="AH31" i="5"/>
  <c r="AF31" i="5"/>
  <c r="AD31" i="5"/>
  <c r="AB31" i="5"/>
  <c r="Z31" i="5"/>
  <c r="V31" i="5"/>
  <c r="R31" i="5"/>
  <c r="P31" i="5"/>
  <c r="H31" i="5"/>
  <c r="D31" i="5"/>
  <c r="BD30" i="5"/>
  <c r="AZ30" i="5"/>
  <c r="AX30" i="5"/>
  <c r="AV30" i="5"/>
  <c r="AR30" i="5"/>
  <c r="AP30" i="5"/>
  <c r="AN30" i="5"/>
  <c r="AL30" i="5"/>
  <c r="AJ30" i="5"/>
  <c r="AH30" i="5"/>
  <c r="AF30" i="5"/>
  <c r="AD30" i="5"/>
  <c r="AB30" i="5"/>
  <c r="Z30" i="5"/>
  <c r="X30" i="5"/>
  <c r="V30" i="5"/>
  <c r="R30" i="5"/>
  <c r="P30" i="5"/>
  <c r="H30" i="5"/>
  <c r="D30" i="5"/>
  <c r="BD29" i="5"/>
  <c r="BB29" i="5"/>
  <c r="AZ29" i="5"/>
  <c r="AX29" i="5"/>
  <c r="AV29" i="5"/>
  <c r="AT29" i="5"/>
  <c r="AR29" i="5"/>
  <c r="AP29" i="5"/>
  <c r="AN29" i="5"/>
  <c r="AL29" i="5"/>
  <c r="AJ29" i="5"/>
  <c r="AH29" i="5"/>
  <c r="AF29" i="5"/>
  <c r="AD29" i="5"/>
  <c r="AB29" i="5"/>
  <c r="Z29" i="5"/>
  <c r="X29" i="5"/>
  <c r="V29" i="5"/>
  <c r="R29" i="5"/>
  <c r="P29" i="5"/>
  <c r="H29" i="5"/>
  <c r="D29" i="5"/>
  <c r="BD28" i="5"/>
  <c r="BB28" i="5"/>
  <c r="AZ28" i="5"/>
  <c r="AX28" i="5"/>
  <c r="AV28" i="5"/>
  <c r="AT28" i="5"/>
  <c r="AR28" i="5"/>
  <c r="AP28" i="5"/>
  <c r="AN28" i="5"/>
  <c r="AL28" i="5"/>
  <c r="AJ28" i="5"/>
  <c r="AH28" i="5"/>
  <c r="AF28" i="5"/>
  <c r="AD28" i="5"/>
  <c r="AB28" i="5"/>
  <c r="Z28" i="5"/>
  <c r="X28" i="5"/>
  <c r="V28" i="5"/>
  <c r="R28" i="5"/>
  <c r="P28" i="5"/>
  <c r="H28" i="5"/>
  <c r="D28" i="5"/>
  <c r="BD27" i="5"/>
  <c r="BB27" i="5"/>
  <c r="AZ27" i="5"/>
  <c r="AX27" i="5"/>
  <c r="AV27" i="5"/>
  <c r="AT27" i="5"/>
  <c r="AR27" i="5"/>
  <c r="AP27" i="5"/>
  <c r="AN27" i="5"/>
  <c r="AL27" i="5"/>
  <c r="AJ27" i="5"/>
  <c r="AH27" i="5"/>
  <c r="AF27" i="5"/>
  <c r="AB27" i="5"/>
  <c r="Z27" i="5"/>
  <c r="X27" i="5"/>
  <c r="V27" i="5"/>
  <c r="R27" i="5"/>
  <c r="P27" i="5"/>
  <c r="H27" i="5"/>
  <c r="D27" i="5"/>
  <c r="BD26" i="5"/>
  <c r="BB26" i="5"/>
  <c r="AZ26" i="5"/>
  <c r="AX26" i="5"/>
  <c r="AV26" i="5"/>
  <c r="AT26" i="5"/>
  <c r="AR26" i="5"/>
  <c r="AP26" i="5"/>
  <c r="AN26" i="5"/>
  <c r="AL26" i="5"/>
  <c r="AJ26" i="5"/>
  <c r="AH26" i="5"/>
  <c r="AF26" i="5"/>
  <c r="AD26" i="5"/>
  <c r="AB26" i="5"/>
  <c r="Z26" i="5"/>
  <c r="X26" i="5"/>
  <c r="V26" i="5"/>
  <c r="R26" i="5"/>
  <c r="P26" i="5"/>
  <c r="D26"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F37" i="5"/>
  <c r="BI37" i="5" s="1"/>
  <c r="E37" i="5"/>
  <c r="BH37" i="5"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E38" i="5"/>
  <c r="F38" i="5"/>
  <c r="BI38" i="5" s="1"/>
  <c r="BI9" i="5"/>
  <c r="L3" i="8" s="1"/>
  <c r="BH9" i="5"/>
  <c r="BH25" i="5"/>
  <c r="K19" i="8" s="1"/>
  <c r="S32" i="4"/>
  <c r="I28" i="8" s="1"/>
  <c r="S36" i="4"/>
  <c r="S33" i="4"/>
  <c r="I29" i="8" s="1"/>
  <c r="S31" i="4"/>
  <c r="I27" i="8" s="1"/>
  <c r="S28" i="4"/>
  <c r="I24" i="8" s="1"/>
  <c r="S26" i="4"/>
  <c r="I22" i="8" s="1"/>
  <c r="S18" i="4"/>
  <c r="I14" i="8" s="1"/>
  <c r="S23" i="4"/>
  <c r="I19" i="8" s="1"/>
  <c r="S25" i="4"/>
  <c r="I21" i="8" s="1"/>
  <c r="S30" i="4"/>
  <c r="I26" i="8" s="1"/>
  <c r="S34" i="4"/>
  <c r="H29" i="8"/>
  <c r="S29" i="4"/>
  <c r="I25" i="8" s="1"/>
  <c r="S27" i="4"/>
  <c r="I23" i="8" s="1"/>
  <c r="S24" i="4"/>
  <c r="I20" i="8" s="1"/>
  <c r="S21" i="4"/>
  <c r="I17" i="8" s="1"/>
  <c r="S22" i="4"/>
  <c r="I18" i="8" s="1"/>
  <c r="S20" i="4"/>
  <c r="I16" i="8" s="1"/>
  <c r="S19" i="4"/>
  <c r="I15" i="8" s="1"/>
  <c r="BH23" i="5"/>
  <c r="K17" i="8" s="1"/>
  <c r="S17" i="4"/>
  <c r="I13" i="8" s="1"/>
  <c r="BI11" i="5"/>
  <c r="L5" i="8" s="1"/>
  <c r="BH11" i="5"/>
  <c r="K5" i="8" s="1"/>
  <c r="BH28" i="5"/>
  <c r="K22" i="8" s="1"/>
  <c r="S16" i="4"/>
  <c r="I12" i="8" s="1"/>
  <c r="K29" i="8" l="1"/>
  <c r="BH40"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BH38" i="5"/>
  <c r="G30" i="1" s="1"/>
  <c r="H30" i="1" s="1"/>
  <c r="M32" i="8" l="1"/>
  <c r="G31" i="10" s="1"/>
</calcChain>
</file>

<file path=xl/sharedStrings.xml><?xml version="1.0" encoding="utf-8"?>
<sst xmlns="http://schemas.openxmlformats.org/spreadsheetml/2006/main" count="1416" uniqueCount="405">
  <si>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</si>
  <si>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</si>
  <si>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</si>
  <si>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</si>
  <si>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</si>
  <si>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</si>
  <si>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</si>
  <si>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</si>
  <si>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</si>
  <si>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</si>
  <si>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</si>
  <si>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</si>
  <si>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</si>
  <si>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</si>
  <si>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</si>
  <si>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</si>
  <si>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</si>
  <si>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</si>
  <si>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</si>
  <si>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</si>
  <si>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</si>
  <si>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</si>
  <si>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</si>
  <si>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</si>
  <si>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</si>
  <si>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</si>
  <si>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</si>
  <si>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</si>
  <si>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</si>
  <si>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</si>
  <si>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</si>
  <si>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</si>
  <si>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</si>
  <si>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</si>
  <si>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</si>
  <si>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</si>
  <si>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</si>
  <si>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</si>
  <si>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</si>
  <si>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</si>
  <si>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</si>
  <si>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</si>
  <si>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</si>
  <si>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</si>
  <si>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</si>
  <si>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</si>
  <si>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</si>
  <si>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</si>
  <si>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</si>
  <si>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</si>
  <si>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</si>
  <si>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</si>
  <si>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</si>
  <si>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</si>
  <si>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</si>
  <si>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</si>
  <si>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</si>
  <si>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</si>
  <si>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</si>
  <si>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</si>
  <si>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</si>
  <si>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</si>
  <si>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</si>
  <si>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</si>
  <si>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</si>
  <si>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</si>
  <si>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</si>
  <si>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</si>
  <si>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</si>
  <si>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</si>
  <si>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</si>
  <si>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</si>
  <si>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</si>
  <si>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</si>
  <si>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</si>
  <si>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</si>
  <si>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</si>
  <si>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</si>
  <si>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</si>
  <si>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</si>
  <si>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</si>
  <si>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</si>
  <si>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</si>
  <si>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</si>
  <si>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</si>
  <si>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</si>
  <si>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</si>
  <si>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</si>
  <si>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</si>
  <si>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</si>
  <si>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</si>
  <si>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</si>
  <si>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</si>
  <si>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</si>
  <si>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</si>
  <si>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</si>
  <si>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</si>
  <si>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</si>
  <si>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</si>
  <si>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</si>
  <si>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</si>
  <si>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</si>
  <si>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</si>
  <si>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</si>
  <si>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</si>
  <si>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</si>
  <si>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</si>
  <si>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</si>
  <si>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</si>
  <si>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</si>
  <si>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</si>
  <si>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</si>
  <si>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</si>
  <si>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</si>
  <si>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</si>
  <si>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</si>
  <si>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</si>
  <si>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</si>
  <si>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</si>
  <si>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</si>
  <si>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</si>
  <si>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</si>
  <si>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</si>
  <si>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</si>
  <si>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</si>
  <si>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</si>
  <si>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</si>
  <si>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</si>
  <si>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</si>
  <si>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</si>
  <si>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</si>
  <si>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</si>
  <si>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</si>
  <si>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</si>
  <si>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</si>
  <si>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</si>
  <si>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</si>
  <si>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</si>
  <si>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</si>
  <si>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</si>
  <si>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</si>
  <si>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</si>
  <si>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</si>
  <si>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</si>
  <si>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</si>
  <si>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</si>
  <si>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</si>
  <si>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</si>
  <si>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</si>
  <si>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</si>
  <si>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</si>
  <si>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</si>
  <si>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</si>
  <si>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</si>
  <si>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</si>
  <si>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</si>
  <si>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</si>
  <si>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</si>
  <si>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</si>
  <si>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</si>
  <si>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</si>
  <si>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</si>
  <si>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</si>
  <si>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</si>
  <si>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</si>
  <si>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</si>
  <si>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</si>
  <si>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</si>
  <si>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</si>
  <si>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</si>
  <si>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</si>
  <si>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</si>
  <si>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</si>
  <si>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</si>
  <si>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</si>
  <si>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</si>
  <si>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</si>
  <si>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</si>
  <si>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</si>
  <si>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</si>
  <si>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</si>
  <si>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</si>
  <si>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</si>
  <si>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</si>
  <si>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</si>
  <si>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</si>
  <si>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</si>
  <si>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</si>
  <si>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</si>
  <si>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</si>
  <si>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</si>
  <si>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</si>
  <si>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</si>
  <si>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</si>
  <si>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</si>
  <si>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</si>
  <si>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</si>
  <si>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</si>
  <si>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</si>
  <si>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</si>
  <si>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</si>
  <si>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</si>
  <si>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</si>
  <si>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</si>
  <si>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</si>
  <si>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</si>
  <si>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</si>
  <si>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</si>
  <si>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</si>
  <si>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</si>
  <si>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</si>
  <si>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</si>
  <si>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</si>
  <si>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</si>
  <si>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</si>
  <si>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</si>
  <si>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</si>
  <si>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</si>
  <si>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</si>
  <si>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</si>
  <si>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</si>
  <si>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</si>
  <si>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</si>
  <si>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</si>
  <si>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</si>
  <si>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</si>
  <si>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</si>
  <si>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</si>
  <si>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</si>
  <si>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</si>
  <si>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</si>
  <si>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</si>
  <si>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</si>
  <si>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</si>
  <si>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</si>
  <si>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</si>
  <si>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</si>
  <si>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</si>
  <si>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</si>
  <si>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</si>
  <si>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</si>
  <si>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</si>
  <si>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</si>
  <si>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</si>
  <si>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</si>
  <si>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</si>
  <si>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</si>
  <si>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</si>
  <si>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</si>
  <si>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</si>
  <si>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</si>
  <si>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</si>
  <si>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</si>
  <si>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</si>
  <si>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</si>
  <si>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</si>
  <si>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</si>
  <si>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</si>
  <si>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</si>
  <si>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</si>
  <si>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</si>
  <si>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</si>
  <si>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</si>
  <si>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</si>
  <si>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</si>
  <si>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</si>
  <si>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</si>
  <si>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</si>
  <si>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</si>
  <si>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</si>
  <si>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</si>
  <si>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</si>
  <si>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</si>
  <si>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</si>
  <si>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</si>
  <si>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</si>
  <si>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</si>
  <si>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</si>
  <si>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</si>
  <si>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</si>
  <si>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</si>
  <si>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</si>
  <si>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</si>
  <si>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</si>
  <si>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</si>
  <si>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</si>
  <si>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</si>
  <si>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</si>
  <si>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</si>
  <si>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</si>
  <si>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</si>
  <si>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</si>
  <si>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</si>
  <si>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</si>
  <si>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</si>
  <si>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</si>
  <si>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</si>
  <si>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</si>
  <si>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</si>
  <si>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</si>
  <si>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</si>
  <si>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</si>
  <si>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</si>
  <si>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</si>
  <si>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</si>
  <si>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</si>
  <si>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</si>
  <si>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</si>
  <si>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</si>
  <si>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</si>
  <si>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</si>
  <si>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</si>
  <si>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</si>
  <si>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</si>
  <si>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</si>
  <si>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</si>
  <si>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</si>
  <si>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</si>
  <si>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</si>
  <si>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</si>
  <si>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</si>
  <si>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</si>
  <si>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</si>
  <si>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</si>
  <si>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</si>
  <si>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</si>
  <si>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</si>
  <si>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</si>
  <si>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</si>
  <si>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</si>
  <si>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</si>
  <si>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</si>
  <si>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</si>
  <si>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</si>
  <si>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</si>
  <si>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</si>
  <si>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</si>
  <si>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</si>
  <si>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</si>
  <si>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</si>
  <si>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</si>
  <si>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</si>
  <si>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</si>
  <si>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</si>
  <si>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</si>
  <si>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</si>
  <si>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</si>
  <si>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</si>
  <si>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</si>
  <si>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</si>
  <si>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</si>
  <si>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</si>
  <si>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</si>
  <si>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</si>
  <si>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</si>
  <si>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</si>
  <si>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</si>
  <si>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</si>
  <si>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</si>
  <si>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</si>
  <si>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</si>
  <si>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</si>
  <si>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</si>
  <si>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</si>
  <si>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</si>
  <si>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</si>
  <si>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</si>
  <si>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</si>
  <si>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</si>
  <si>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</si>
  <si>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</si>
  <si>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</si>
  <si>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</si>
  <si>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</si>
  <si>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</si>
  <si>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</si>
  <si>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</si>
  <si>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</si>
  <si>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</si>
  <si>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</si>
  <si>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</si>
  <si>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</si>
  <si>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</si>
  <si>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</si>
  <si>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</si>
  <si>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</si>
  <si>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</si>
  <si>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</si>
  <si>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</si>
  <si>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</si>
  <si>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</si>
  <si>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</si>
  <si>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</si>
  <si>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</si>
  <si>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</si>
  <si>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</si>
  <si>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</si>
  <si>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</si>
  <si>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</si>
  <si>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</si>
  <si>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</si>
  <si>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</si>
  <si>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</si>
  <si>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Jan 2023</t>
  </si>
  <si>
    <t>Town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</si>
</sst>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43" fontId="8" fillId="0" borderId="0" xfId="1" applyFont="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H23" sqref="H23"/>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394</v>
      </c>
      <c r="F1" s="171" t="s">
        <v>395</v>
      </c>
      <c r="G1" s="170" t="s">
        <v>401</v>
      </c>
      <c r="H1" s="171" t="s">
        <v>396</v>
      </c>
      <c r="I1" s="170" t="s">
        <v>397</v>
      </c>
      <c r="J1" s="172" t="s">
        <v>398</v>
      </c>
      <c r="K1" s="170" t="s">
        <v>399</v>
      </c>
      <c r="L1" s="170" t="s">
        <v>63</v>
      </c>
    </row>
    <row r="2" spans="1:12">
      <c r="A2" s="173" t="s">
        <v>400</v>
      </c>
      <c r="B2" s="174">
        <v>1</v>
      </c>
      <c r="C2" s="175">
        <v>1</v>
      </c>
      <c r="D2" s="174">
        <v>2023</v>
      </c>
      <c r="E2" s="114">
        <f>Combine!G3</f>
        <v>61720</v>
      </c>
      <c r="F2" s="176">
        <v>1.8924351574814853</v>
      </c>
      <c r="G2" s="114">
        <f>Combine!M3</f>
        <v>5834.8458948458956</v>
      </c>
      <c r="H2" s="177">
        <v>9.4525541387733796</v>
      </c>
      <c r="I2" s="114">
        <f>Combine!J3</f>
        <v>676</v>
      </c>
      <c r="J2" s="176">
        <v>8.3787077622729171</v>
      </c>
      <c r="K2" s="114">
        <f>Combine!N3</f>
        <v>539</v>
      </c>
      <c r="L2" s="114">
        <f>Combine!O3</f>
        <v>1215</v>
      </c>
    </row>
    <row r="3" spans="1:12">
      <c r="A3" s="173" t="s">
        <v>400</v>
      </c>
      <c r="B3" s="174">
        <v>2</v>
      </c>
      <c r="C3" s="175">
        <v>1</v>
      </c>
      <c r="D3" s="174">
        <v>2023</v>
      </c>
      <c r="E3" s="114">
        <f>Combine!G4</f>
        <v>59650</v>
      </c>
      <c r="F3" s="176">
        <v>1.8924351574814853</v>
      </c>
      <c r="G3" s="114">
        <f>Combine!M4</f>
        <v>7410.7226107226106</v>
      </c>
      <c r="H3" s="177">
        <v>9.4525541387733796</v>
      </c>
      <c r="I3" s="114">
        <f>Combine!J4</f>
        <v>1058</v>
      </c>
      <c r="J3" s="176">
        <v>8.3787077622729171</v>
      </c>
      <c r="K3" s="114">
        <f>Combine!N4</f>
        <v>517</v>
      </c>
      <c r="L3" s="114">
        <f>Combine!O4</f>
        <v>1144</v>
      </c>
    </row>
    <row r="4" spans="1:12">
      <c r="A4" s="173" t="s">
        <v>400</v>
      </c>
      <c r="B4" s="174">
        <v>3</v>
      </c>
      <c r="C4" s="175">
        <v>1</v>
      </c>
      <c r="D4" s="174">
        <v>2023</v>
      </c>
      <c r="E4" s="114">
        <f>Combine!G5</f>
        <v>61070</v>
      </c>
      <c r="F4" s="176">
        <v>1.8924351574814853</v>
      </c>
      <c r="G4" s="114">
        <f>Combine!M5</f>
        <v>8462.4708624708619</v>
      </c>
      <c r="H4" s="177">
        <v>9.4525541387733796</v>
      </c>
      <c r="I4" s="114">
        <f>Combine!J5</f>
        <v>705</v>
      </c>
      <c r="J4" s="176">
        <v>8.3787077622729171</v>
      </c>
      <c r="K4" s="114">
        <f>Combine!N5</f>
        <v>537</v>
      </c>
      <c r="L4" s="114">
        <f>Combine!O5</f>
        <v>1180</v>
      </c>
    </row>
    <row r="5" spans="1:12">
      <c r="A5" s="173" t="s">
        <v>400</v>
      </c>
      <c r="B5" s="174">
        <v>4</v>
      </c>
      <c r="C5" s="175">
        <v>1</v>
      </c>
      <c r="D5" s="174">
        <v>2023</v>
      </c>
      <c r="E5" s="114">
        <f>Combine!G6</f>
        <v>59970</v>
      </c>
      <c r="F5" s="176">
        <v>1.8924351574814853</v>
      </c>
      <c r="G5" s="114">
        <f>Combine!M6</f>
        <v>6917.1717171717173</v>
      </c>
      <c r="H5" s="177">
        <v>9.4525541387733796</v>
      </c>
      <c r="I5" s="114">
        <f>Combine!J6</f>
        <v>794</v>
      </c>
      <c r="J5" s="176">
        <v>8.3787077622729171</v>
      </c>
      <c r="K5" s="114">
        <f>Combine!N6</f>
        <v>536</v>
      </c>
      <c r="L5" s="114">
        <f>Combine!O6</f>
        <v>1172</v>
      </c>
    </row>
    <row r="6" spans="1:12">
      <c r="A6" s="173" t="s">
        <v>400</v>
      </c>
      <c r="B6" s="174">
        <v>5</v>
      </c>
      <c r="C6" s="175">
        <v>1</v>
      </c>
      <c r="D6" s="174">
        <v>2023</v>
      </c>
      <c r="E6" s="114">
        <f>Combine!G7</f>
        <v>62730</v>
      </c>
      <c r="F6" s="176">
        <v>1.8924351574814853</v>
      </c>
      <c r="G6" s="114">
        <f>Combine!M7</f>
        <v>7045.2214452214457</v>
      </c>
      <c r="H6" s="177">
        <v>9.4525541387733796</v>
      </c>
      <c r="I6" s="114">
        <f>Combine!J7</f>
        <v>794</v>
      </c>
      <c r="J6" s="176">
        <v>8.3787077622729171</v>
      </c>
      <c r="K6" s="114">
        <f>Combine!N7</f>
        <v>554</v>
      </c>
      <c r="L6" s="114">
        <f>Combine!O7</f>
        <v>1201</v>
      </c>
    </row>
    <row r="7" spans="1:12">
      <c r="A7" s="173" t="s">
        <v>400</v>
      </c>
      <c r="B7" s="174">
        <v>6</v>
      </c>
      <c r="C7" s="175">
        <v>1</v>
      </c>
      <c r="D7" s="174">
        <v>2023</v>
      </c>
      <c r="E7" s="114">
        <f>Combine!G8</f>
        <v>63990</v>
      </c>
      <c r="F7" s="176">
        <v>1.8924351574814853</v>
      </c>
      <c r="G7" s="114">
        <f>Combine!M8</f>
        <v>6631.235431235431</v>
      </c>
      <c r="H7" s="177">
        <v>9.4525541387733796</v>
      </c>
      <c r="I7" s="114">
        <f>Combine!J8</f>
        <v>775</v>
      </c>
      <c r="J7" s="176">
        <v>8.3787077622729171</v>
      </c>
      <c r="K7" s="114">
        <f>Combine!N8</f>
        <v>558</v>
      </c>
      <c r="L7" s="114">
        <f>Combine!O8</f>
        <v>1212</v>
      </c>
    </row>
    <row r="8" spans="1:12">
      <c r="A8" s="173" t="s">
        <v>400</v>
      </c>
      <c r="B8" s="174">
        <v>7</v>
      </c>
      <c r="C8" s="175">
        <v>1</v>
      </c>
      <c r="D8" s="174">
        <v>2023</v>
      </c>
      <c r="E8" s="114">
        <f>Combine!G9</f>
        <v>64570</v>
      </c>
      <c r="F8" s="176">
        <v>1.8924351574814853</v>
      </c>
      <c r="G8" s="114">
        <f>Combine!M9</f>
        <v>6303.030303030303</v>
      </c>
      <c r="H8" s="177">
        <v>9.4525541387733796</v>
      </c>
      <c r="I8" s="114">
        <f>Combine!J9</f>
        <v>769</v>
      </c>
      <c r="J8" s="176">
        <v>8.3787077622729171</v>
      </c>
      <c r="K8" s="114">
        <f>Combine!N9</f>
        <v>569</v>
      </c>
      <c r="L8" s="114">
        <f>Combine!O9</f>
        <v>1216</v>
      </c>
    </row>
    <row r="9" spans="1:12">
      <c r="A9" s="173" t="s">
        <v>400</v>
      </c>
      <c r="B9" s="174">
        <v>8</v>
      </c>
      <c r="C9" s="175">
        <v>1</v>
      </c>
      <c r="D9" s="174">
        <v>2023</v>
      </c>
      <c r="E9" s="114">
        <f>Combine!G10</f>
        <v>61520</v>
      </c>
      <c r="F9" s="176">
        <v>1.8924351574814853</v>
      </c>
      <c r="G9" s="114">
        <f>Combine!M10</f>
        <v>6802.373271173271</v>
      </c>
      <c r="H9" s="177">
        <v>9.4525541387733796</v>
      </c>
      <c r="I9" s="114">
        <f>Combine!J10</f>
        <v>908.11837000000003</v>
      </c>
      <c r="J9" s="176">
        <v>8.3787077622729171</v>
      </c>
      <c r="K9" s="114">
        <f>Combine!N10</f>
        <v>591</v>
      </c>
      <c r="L9" s="114">
        <f>Combine!O10</f>
        <v>1211</v>
      </c>
    </row>
    <row r="10" spans="1:12">
      <c r="A10" s="173" t="s">
        <v>400</v>
      </c>
      <c r="B10" s="174">
        <v>9</v>
      </c>
      <c r="C10" s="175">
        <v>1</v>
      </c>
      <c r="D10" s="174">
        <v>2023</v>
      </c>
      <c r="E10" s="114">
        <f>Combine!G11</f>
        <v>62030</v>
      </c>
      <c r="F10" s="176">
        <v>1.8924351574814853</v>
      </c>
      <c r="G10" s="114">
        <f>Combine!M11</f>
        <v>6454.4857808857823</v>
      </c>
      <c r="H10" s="177">
        <v>9.4525541387733796</v>
      </c>
      <c r="I10" s="114">
        <f>Combine!J11</f>
        <v>840.23325</v>
      </c>
      <c r="J10" s="176">
        <v>8.3787077622729171</v>
      </c>
      <c r="K10" s="114">
        <f>Combine!N11</f>
        <v>640</v>
      </c>
      <c r="L10" s="114">
        <f>Combine!O11</f>
        <v>1274</v>
      </c>
    </row>
    <row r="11" spans="1:12">
      <c r="A11" s="173" t="s">
        <v>400</v>
      </c>
      <c r="B11" s="174">
        <v>10</v>
      </c>
      <c r="C11" s="175">
        <v>1</v>
      </c>
      <c r="D11" s="174">
        <v>2023</v>
      </c>
      <c r="E11" s="114">
        <f>Combine!G12</f>
        <v>65170</v>
      </c>
      <c r="F11" s="176">
        <v>1.8924351574814853</v>
      </c>
      <c r="G11" s="114">
        <f>Combine!M12</f>
        <v>6632.4662004662005</v>
      </c>
      <c r="H11" s="177">
        <v>9.4525541387733796</v>
      </c>
      <c r="I11" s="114">
        <f>Combine!J12</f>
        <v>811.64837999999997</v>
      </c>
      <c r="J11" s="176">
        <v>8.3787077622729171</v>
      </c>
      <c r="K11" s="114">
        <f>Combine!N12</f>
        <v>658</v>
      </c>
      <c r="L11" s="114">
        <f>Combine!O12</f>
        <v>1302</v>
      </c>
    </row>
    <row r="12" spans="1:12">
      <c r="A12" s="173" t="s">
        <v>400</v>
      </c>
      <c r="B12" s="174">
        <v>11</v>
      </c>
      <c r="C12" s="175">
        <v>1</v>
      </c>
      <c r="D12" s="174">
        <v>2023</v>
      </c>
      <c r="E12" s="114">
        <f>Combine!G13</f>
        <v>65100</v>
      </c>
      <c r="F12" s="176">
        <v>1.8924351574814853</v>
      </c>
      <c r="G12" s="114">
        <f>Combine!M13</f>
        <v>6705.8212898212878</v>
      </c>
      <c r="H12" s="177">
        <v>9.4525541387733796</v>
      </c>
      <c r="I12" s="114">
        <f>Combine!J13</f>
        <v>811.23</v>
      </c>
      <c r="J12" s="176">
        <v>8.3787077622729171</v>
      </c>
      <c r="K12" s="114">
        <f>Combine!N13</f>
        <v>651</v>
      </c>
      <c r="L12" s="114">
        <f>Combine!O13</f>
        <v>1298</v>
      </c>
    </row>
    <row r="13" spans="1:12">
      <c r="A13" s="173" t="s">
        <v>400</v>
      </c>
      <c r="B13" s="174">
        <v>12</v>
      </c>
      <c r="C13" s="175">
        <v>1</v>
      </c>
      <c r="D13" s="174">
        <v>2023</v>
      </c>
      <c r="E13" s="114">
        <f>Combine!G14</f>
        <v>64600</v>
      </c>
      <c r="F13" s="176">
        <v>1.8924351574814853</v>
      </c>
      <c r="G13" s="114">
        <f>Combine!M14</f>
        <v>7023.1384615384632</v>
      </c>
      <c r="H13" s="177">
        <v>9.4525541387733796</v>
      </c>
      <c r="I13" s="114">
        <f>Combine!J14</f>
        <v>855.24</v>
      </c>
      <c r="J13" s="176">
        <v>8.3787077622729171</v>
      </c>
      <c r="K13" s="114">
        <f>Combine!N14</f>
        <v>634</v>
      </c>
      <c r="L13" s="114">
        <f>Combine!O14</f>
        <v>1261</v>
      </c>
    </row>
    <row r="14" spans="1:12">
      <c r="A14" s="173" t="s">
        <v>400</v>
      </c>
      <c r="B14" s="174">
        <v>13</v>
      </c>
      <c r="C14" s="175">
        <v>1</v>
      </c>
      <c r="D14" s="174">
        <v>2023</v>
      </c>
      <c r="E14" s="114">
        <f>Combine!G15</f>
        <v>70550</v>
      </c>
      <c r="F14" s="176">
        <v>1.8924351574814853</v>
      </c>
      <c r="G14" s="114">
        <f>Combine!M15</f>
        <v>7051.0060606060615</v>
      </c>
      <c r="H14" s="177">
        <v>9.4525541387733796</v>
      </c>
      <c r="I14" s="114">
        <f>Combine!J15</f>
        <v>834.79199999999992</v>
      </c>
      <c r="J14" s="176">
        <v>8.3787077622729171</v>
      </c>
      <c r="K14" s="114">
        <f>Combine!N15</f>
        <v>602</v>
      </c>
      <c r="L14" s="114">
        <f>Combine!O15</f>
        <v>1234</v>
      </c>
    </row>
    <row r="15" spans="1:12">
      <c r="A15" s="173" t="s">
        <v>400</v>
      </c>
      <c r="B15" s="174">
        <v>14</v>
      </c>
      <c r="C15" s="175">
        <v>1</v>
      </c>
      <c r="D15" s="174">
        <v>2023</v>
      </c>
      <c r="E15" s="114">
        <f>Combine!G16</f>
        <v>68760</v>
      </c>
      <c r="F15" s="176">
        <v>1.8924351574814853</v>
      </c>
      <c r="G15" s="114">
        <f>Combine!M16</f>
        <v>7090.8432012432013</v>
      </c>
      <c r="H15" s="177">
        <v>9.4525541387733796</v>
      </c>
      <c r="I15" s="114">
        <f>Combine!J16</f>
        <v>897.36500000000001</v>
      </c>
      <c r="J15" s="176">
        <v>8.3787077622729171</v>
      </c>
      <c r="K15" s="114">
        <f>Combine!N16</f>
        <v>598</v>
      </c>
      <c r="L15" s="114">
        <f>Combine!O16</f>
        <v>1240</v>
      </c>
    </row>
    <row r="16" spans="1:12">
      <c r="A16" s="173" t="s">
        <v>400</v>
      </c>
      <c r="B16" s="174">
        <v>15</v>
      </c>
      <c r="C16" s="175">
        <v>1</v>
      </c>
      <c r="D16" s="174">
        <v>2023</v>
      </c>
      <c r="E16" s="114">
        <f>Combine!G17</f>
        <v>66720</v>
      </c>
      <c r="F16" s="176">
        <v>1.8924351574814853</v>
      </c>
      <c r="G16" s="114">
        <f>Combine!M17</f>
        <v>6382.5230769230757</v>
      </c>
      <c r="H16" s="177">
        <v>9.4525541387733796</v>
      </c>
      <c r="I16" s="114">
        <f>Combine!J17</f>
        <v>850.47300000000007</v>
      </c>
      <c r="J16" s="176">
        <v>8.3787077622729171</v>
      </c>
      <c r="K16" s="114">
        <f>Combine!N17</f>
        <v>615</v>
      </c>
      <c r="L16" s="114">
        <f>Combine!O17</f>
        <v>1254</v>
      </c>
    </row>
    <row r="17" spans="1:12">
      <c r="A17" s="173" t="s">
        <v>400</v>
      </c>
      <c r="B17" s="174">
        <v>16</v>
      </c>
      <c r="C17" s="175">
        <v>1</v>
      </c>
      <c r="D17" s="174">
        <v>2023</v>
      </c>
      <c r="E17" s="114">
        <f>Combine!G18</f>
        <v>59070</v>
      </c>
      <c r="F17" s="176">
        <v>1.8924351574814853</v>
      </c>
      <c r="G17" s="114">
        <f>Combine!M18</f>
        <v>7236.5066045066051</v>
      </c>
      <c r="H17" s="177">
        <v>9.4525541387733796</v>
      </c>
      <c r="I17" s="114">
        <f>Combine!J18</f>
        <v>854.75099999999998</v>
      </c>
      <c r="J17" s="176">
        <v>8.3787077622729171</v>
      </c>
      <c r="K17" s="114">
        <f>Combine!N18</f>
        <v>612</v>
      </c>
      <c r="L17" s="114">
        <f>Combine!O18</f>
        <v>1232</v>
      </c>
    </row>
    <row r="18" spans="1:12">
      <c r="A18" s="173" t="s">
        <v>400</v>
      </c>
      <c r="B18" s="174">
        <v>17</v>
      </c>
      <c r="C18" s="175">
        <v>1</v>
      </c>
      <c r="D18" s="174">
        <v>2023</v>
      </c>
      <c r="E18" s="114">
        <f>Combine!G19</f>
        <v>60920</v>
      </c>
      <c r="F18" s="176">
        <v>1.8924351574814853</v>
      </c>
      <c r="G18" s="114">
        <f>Combine!M19</f>
        <v>7950.2968142968148</v>
      </c>
      <c r="H18" s="177">
        <v>9.4525541387733796</v>
      </c>
      <c r="I18" s="114">
        <f>Combine!J19</f>
        <v>816.26600000000008</v>
      </c>
      <c r="J18" s="176">
        <v>8.3787077622729171</v>
      </c>
      <c r="K18" s="114">
        <f>Combine!N19</f>
        <v>607</v>
      </c>
      <c r="L18" s="114">
        <f>Combine!O19</f>
        <v>1211</v>
      </c>
    </row>
    <row r="19" spans="1:12">
      <c r="A19" s="173" t="s">
        <v>400</v>
      </c>
      <c r="B19" s="174">
        <v>18</v>
      </c>
      <c r="C19" s="175">
        <v>1</v>
      </c>
      <c r="D19" s="174">
        <v>2023</v>
      </c>
      <c r="E19" s="114">
        <f>Combine!G20</f>
        <v>60030</v>
      </c>
      <c r="F19" s="176">
        <v>1.8924351574814853</v>
      </c>
      <c r="G19" s="114">
        <f>Combine!M20</f>
        <v>8258.7288267288259</v>
      </c>
      <c r="H19" s="177">
        <v>9.4525541387733796</v>
      </c>
      <c r="I19" s="114">
        <f>Combine!J20</f>
        <v>845.88299999999992</v>
      </c>
      <c r="J19" s="176">
        <v>8.3787077622729171</v>
      </c>
      <c r="K19" s="114">
        <f>Combine!N20</f>
        <v>572</v>
      </c>
      <c r="L19" s="114">
        <f>Combine!O20</f>
        <v>1177</v>
      </c>
    </row>
    <row r="20" spans="1:12">
      <c r="A20" s="173" t="s">
        <v>400</v>
      </c>
      <c r="B20" s="174">
        <v>19</v>
      </c>
      <c r="C20" s="175">
        <v>1</v>
      </c>
      <c r="D20" s="174">
        <v>2023</v>
      </c>
      <c r="E20" s="114">
        <f>Combine!G21</f>
        <v>63970</v>
      </c>
      <c r="F20" s="176">
        <v>1.8924351574814853</v>
      </c>
      <c r="G20" s="114">
        <f>Combine!M21</f>
        <v>7728.9821289821293</v>
      </c>
      <c r="H20" s="177">
        <v>9.4525541387733796</v>
      </c>
      <c r="I20" s="114">
        <f>Combine!J21</f>
        <v>740</v>
      </c>
      <c r="J20" s="176">
        <v>8.3787077622729171</v>
      </c>
      <c r="K20" s="114">
        <f>Combine!N21</f>
        <v>541</v>
      </c>
      <c r="L20" s="114">
        <f>Combine!O21</f>
        <v>1140</v>
      </c>
    </row>
    <row r="21" spans="1:12">
      <c r="A21" s="173" t="s">
        <v>400</v>
      </c>
      <c r="B21" s="174">
        <v>20</v>
      </c>
      <c r="C21" s="175">
        <v>1</v>
      </c>
      <c r="D21" s="174">
        <v>2023</v>
      </c>
      <c r="E21" s="114">
        <f>Combine!G22</f>
        <v>59400</v>
      </c>
      <c r="F21" s="176">
        <v>1.8924351574814853</v>
      </c>
      <c r="G21" s="114">
        <f>Combine!M22</f>
        <v>7562.3931623931621</v>
      </c>
      <c r="H21" s="177">
        <v>9.4525541387733796</v>
      </c>
      <c r="I21" s="114">
        <f>Combine!J22</f>
        <v>849</v>
      </c>
      <c r="J21" s="176">
        <v>8.3787077622729171</v>
      </c>
      <c r="K21" s="114">
        <f>Combine!N22</f>
        <v>529</v>
      </c>
      <c r="L21" s="114">
        <f>Combine!O22</f>
        <v>1151</v>
      </c>
    </row>
    <row r="22" spans="1:12">
      <c r="A22" s="173" t="s">
        <v>400</v>
      </c>
      <c r="B22" s="174">
        <v>21</v>
      </c>
      <c r="C22" s="175">
        <v>1</v>
      </c>
      <c r="D22" s="174">
        <v>2023</v>
      </c>
      <c r="E22" s="114">
        <f>Combine!G23</f>
        <v>60500</v>
      </c>
      <c r="F22" s="176">
        <v>1.8924351574814853</v>
      </c>
      <c r="G22" s="114">
        <f>Combine!M23</f>
        <v>6859.98445998446</v>
      </c>
      <c r="H22" s="177">
        <v>9.4525541387733796</v>
      </c>
      <c r="I22" s="114">
        <f>Combine!J23</f>
        <v>773</v>
      </c>
      <c r="J22" s="176">
        <v>8.3787077622729171</v>
      </c>
      <c r="K22" s="114">
        <f>Combine!N23</f>
        <v>545</v>
      </c>
      <c r="L22" s="114">
        <f>Combine!O23</f>
        <v>1196</v>
      </c>
    </row>
    <row r="23" spans="1:12">
      <c r="A23" s="173" t="s">
        <v>400</v>
      </c>
      <c r="B23" s="174">
        <v>22</v>
      </c>
      <c r="C23" s="175">
        <v>1</v>
      </c>
      <c r="D23" s="174">
        <v>2023</v>
      </c>
      <c r="E23" s="114">
        <f>Combine!G24</f>
        <v>59610</v>
      </c>
      <c r="F23" s="176">
        <v>1.8924351574814853</v>
      </c>
      <c r="G23" s="114">
        <f>Combine!M24</f>
        <v>7629.5260295260296</v>
      </c>
      <c r="H23" s="177">
        <v>9.4525541387733796</v>
      </c>
      <c r="I23" s="114">
        <f>Combine!J24</f>
        <v>830</v>
      </c>
      <c r="J23" s="176">
        <v>8.3787077622729171</v>
      </c>
      <c r="K23" s="114">
        <f>Combine!N24</f>
        <v>551</v>
      </c>
      <c r="L23" s="114">
        <f>Combine!O24</f>
        <v>1208</v>
      </c>
    </row>
    <row r="24" spans="1:12">
      <c r="A24" s="173" t="s">
        <v>400</v>
      </c>
      <c r="B24" s="174">
        <v>23</v>
      </c>
      <c r="C24" s="175">
        <v>1</v>
      </c>
      <c r="D24" s="174">
        <v>2023</v>
      </c>
      <c r="E24" s="114">
        <f>Combine!G25</f>
        <v>58050</v>
      </c>
      <c r="F24" s="176">
        <v>1.8924351574814853</v>
      </c>
      <c r="G24" s="114">
        <f>Combine!M25</f>
        <v>6735.6643356643353</v>
      </c>
      <c r="H24" s="177">
        <v>9.4525541387733796</v>
      </c>
      <c r="I24" s="114">
        <f>Combine!J25</f>
        <v>770</v>
      </c>
      <c r="J24" s="176">
        <v>8.3787077622729171</v>
      </c>
      <c r="K24" s="114">
        <f>Combine!N25</f>
        <v>578</v>
      </c>
      <c r="L24" s="114">
        <f>Combine!O25</f>
        <v>1277</v>
      </c>
    </row>
    <row r="25" spans="1:12">
      <c r="A25" s="173" t="s">
        <v>400</v>
      </c>
      <c r="B25" s="174">
        <v>24</v>
      </c>
      <c r="C25" s="175">
        <v>1</v>
      </c>
      <c r="D25" s="174">
        <v>2023</v>
      </c>
      <c r="E25" s="114">
        <f>Combine!G26</f>
        <v>59410</v>
      </c>
      <c r="F25" s="176">
        <v>1.8924351574814853</v>
      </c>
      <c r="G25" s="114">
        <f>Combine!M26</f>
        <v>6214.7630147630152</v>
      </c>
      <c r="H25" s="177">
        <v>9.4525541387733796</v>
      </c>
      <c r="I25" s="114">
        <f>Combine!J26</f>
        <v>719</v>
      </c>
      <c r="J25" s="176">
        <v>8.3787077622729171</v>
      </c>
      <c r="K25" s="114">
        <f>Combine!N26</f>
        <v>600</v>
      </c>
      <c r="L25" s="114">
        <f>Combine!O26</f>
        <v>1308</v>
      </c>
    </row>
    <row r="26" spans="1:12">
      <c r="A26" s="173" t="s">
        <v>400</v>
      </c>
      <c r="B26" s="174">
        <v>25</v>
      </c>
      <c r="C26" s="175">
        <v>1</v>
      </c>
      <c r="D26" s="174">
        <v>2023</v>
      </c>
      <c r="E26" s="114">
        <f>Combine!G27</f>
        <v>56550</v>
      </c>
      <c r="F26" s="176">
        <v>1.8924351574814853</v>
      </c>
      <c r="G26" s="114">
        <f>Combine!M27</f>
        <v>7640.7148407148406</v>
      </c>
      <c r="H26" s="177">
        <v>9.4525541387733796</v>
      </c>
      <c r="I26" s="114">
        <f>Combine!J27</f>
        <v>838</v>
      </c>
      <c r="J26" s="176">
        <v>8.3787077622729171</v>
      </c>
      <c r="K26" s="114">
        <f>Combine!N27</f>
        <v>623</v>
      </c>
      <c r="L26" s="114">
        <f>Combine!O27</f>
        <v>1354</v>
      </c>
    </row>
    <row r="27" spans="1:12">
      <c r="A27" s="173" t="s">
        <v>400</v>
      </c>
      <c r="B27" s="174">
        <v>26</v>
      </c>
      <c r="C27" s="175">
        <v>1</v>
      </c>
      <c r="D27" s="174">
        <v>2023</v>
      </c>
      <c r="E27" s="114">
        <f>Combine!G28</f>
        <v>59570</v>
      </c>
      <c r="F27" s="176">
        <v>1.8924351574814853</v>
      </c>
      <c r="G27" s="114">
        <f>Combine!M28</f>
        <v>7922.9215229215233</v>
      </c>
      <c r="H27" s="177">
        <v>9.4525541387733796</v>
      </c>
      <c r="I27" s="114">
        <f>Combine!J28</f>
        <v>807</v>
      </c>
      <c r="J27" s="176">
        <v>8.3787077622729171</v>
      </c>
      <c r="K27" s="114">
        <f>Combine!N28</f>
        <v>656</v>
      </c>
      <c r="L27" s="114">
        <f>Combine!O28</f>
        <v>1434</v>
      </c>
    </row>
    <row r="28" spans="1:12">
      <c r="A28" s="173" t="s">
        <v>400</v>
      </c>
      <c r="B28" s="174">
        <v>27</v>
      </c>
      <c r="C28" s="175">
        <v>1</v>
      </c>
      <c r="D28" s="174">
        <v>2023</v>
      </c>
      <c r="E28" s="114">
        <f>Combine!G29</f>
        <v>58280</v>
      </c>
      <c r="F28" s="176">
        <v>1.8924351574814853</v>
      </c>
      <c r="G28" s="114">
        <f>Combine!M29</f>
        <v>8019.8912198912203</v>
      </c>
      <c r="H28" s="177">
        <v>9.4525541387733796</v>
      </c>
      <c r="I28" s="114">
        <f>Combine!J29</f>
        <v>860</v>
      </c>
      <c r="J28" s="176">
        <v>8.3787077622729171</v>
      </c>
      <c r="K28" s="114">
        <f>Combine!N29</f>
        <v>638</v>
      </c>
      <c r="L28" s="114">
        <f>Combine!O29</f>
        <v>1388</v>
      </c>
    </row>
    <row r="29" spans="1:12">
      <c r="A29" s="173" t="s">
        <v>400</v>
      </c>
      <c r="B29" s="174">
        <v>28</v>
      </c>
      <c r="C29" s="175">
        <v>1</v>
      </c>
      <c r="D29" s="174">
        <v>2023</v>
      </c>
      <c r="E29" s="114">
        <f>Combine!G30</f>
        <v>61610</v>
      </c>
      <c r="F29" s="176">
        <v>1.8924351574814853</v>
      </c>
      <c r="G29" s="114">
        <f>Combine!M30</f>
        <v>7746.3869463869469</v>
      </c>
      <c r="H29" s="177">
        <v>9.4525541387733796</v>
      </c>
      <c r="I29" s="114">
        <f>Combine!J30</f>
        <v>894</v>
      </c>
      <c r="J29" s="176">
        <v>8.3787077622729171</v>
      </c>
      <c r="K29" s="114">
        <f>Combine!N30</f>
        <v>574</v>
      </c>
      <c r="L29" s="114">
        <f>Combine!O30</f>
        <v>1246</v>
      </c>
    </row>
    <row r="30" spans="1:12">
      <c r="A30" s="173" t="s">
        <v>400</v>
      </c>
      <c r="B30" s="174">
        <v>29</v>
      </c>
      <c r="C30" s="175">
        <v>1</v>
      </c>
      <c r="D30" s="174">
        <v>2023</v>
      </c>
      <c r="E30" s="114">
        <f>Combine!G31</f>
        <v>64370</v>
      </c>
      <c r="F30" s="176">
        <v>1.8924351574814853</v>
      </c>
      <c r="G30" s="114">
        <f>Combine!M31</f>
        <v>8514.6853146853155</v>
      </c>
      <c r="H30" s="177">
        <v>9.4525541387733796</v>
      </c>
      <c r="I30" s="114">
        <f>Combine!J31</f>
        <v>925</v>
      </c>
      <c r="J30" s="176">
        <v>8.3787077622729171</v>
      </c>
      <c r="K30" s="114">
        <f>Combine!N31</f>
        <v>551</v>
      </c>
      <c r="L30" s="114">
        <f>Combine!O31</f>
        <v>1147</v>
      </c>
    </row>
    <row r="31" spans="1:12">
      <c r="A31" s="173" t="s">
        <v>400</v>
      </c>
      <c r="B31" s="174">
        <v>30</v>
      </c>
      <c r="C31" s="175">
        <v>1</v>
      </c>
      <c r="D31" s="174">
        <v>2023</v>
      </c>
      <c r="E31" s="114">
        <f>Combine!G32</f>
        <v>64430</v>
      </c>
      <c r="F31" s="176">
        <v>1.8924351574814853</v>
      </c>
      <c r="G31" s="114">
        <f>Combine!M32</f>
        <v>8264.6763014763019</v>
      </c>
      <c r="H31" s="177">
        <v>9.4525541387733796</v>
      </c>
      <c r="I31" s="114">
        <f>Combine!J32</f>
        <v>1749.31818</v>
      </c>
      <c r="J31" s="176">
        <v>8.3787077622729171</v>
      </c>
      <c r="K31" s="114">
        <f>Combine!N32</f>
        <v>568</v>
      </c>
      <c r="L31" s="114">
        <f>Combine!O32</f>
        <v>1147</v>
      </c>
    </row>
    <row r="32" spans="1:12">
      <c r="A32" s="173" t="s">
        <v>400</v>
      </c>
      <c r="B32" s="174">
        <v>31</v>
      </c>
      <c r="C32" s="175">
        <v>1</v>
      </c>
      <c r="D32" s="174">
        <v>2023</v>
      </c>
      <c r="E32" s="114">
        <f>Combine!G33</f>
        <v>65190</v>
      </c>
      <c r="F32" s="176">
        <v>1.8924351574814853</v>
      </c>
      <c r="G32" s="114">
        <f>Combine!M33</f>
        <v>7635.2832944832962</v>
      </c>
      <c r="H32" s="177">
        <v>9.4525541387733796</v>
      </c>
      <c r="I32" s="114">
        <f>Combine!J33</f>
        <v>1594.634</v>
      </c>
      <c r="J32" s="176">
        <v>8.3787077622729171</v>
      </c>
      <c r="K32" s="114">
        <f>Combine!N33</f>
        <v>587</v>
      </c>
      <c r="L32" s="114">
        <f>Combine!O33</f>
        <v>1157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6" sqref="L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1" t="s">
        <v>66</v>
      </c>
      <c r="O1" s="202"/>
      <c r="P1" s="203"/>
    </row>
    <row r="2" spans="1:17" s="2" customFormat="1" ht="60" customHeight="1">
      <c r="A2" s="4" t="s">
        <v>3</v>
      </c>
      <c r="B2" s="5" t="s">
        <v>4</v>
      </c>
      <c r="C2" s="5" t="s">
        <v>5</v>
      </c>
      <c r="D2" s="112"/>
      <c r="E2" s="117" t="s">
        <v>6</v>
      </c>
      <c r="F2" s="137" t="s">
        <v>6</v>
      </c>
      <c r="G2" s="141" t="s">
        <v>6</v>
      </c>
      <c r="H2" s="142" t="s">
        <v>9</v>
      </c>
      <c r="I2" s="138" t="s">
        <v>9</v>
      </c>
      <c r="J2" s="141" t="s">
        <v>9</v>
      </c>
      <c r="K2" s="117" t="s">
        <v>7</v>
      </c>
      <c r="L2" s="104" t="s">
        <v>404</v>
      </c>
      <c r="M2" s="122" t="s">
        <v>8</v>
      </c>
      <c r="N2" s="148" t="s">
        <v>10</v>
      </c>
      <c r="O2" s="5" t="s">
        <v>11</v>
      </c>
      <c r="P2" s="147" t="s">
        <v>12</v>
      </c>
      <c r="Q2" s="139" t="s">
        <v>393</v>
      </c>
    </row>
    <row r="3" spans="1:17" ht="15.75">
      <c r="A3" s="7" t="s">
        <v>14</v>
      </c>
      <c r="B3" s="7">
        <v>1</v>
      </c>
      <c r="C3" s="7">
        <v>1</v>
      </c>
      <c r="D3" s="113">
        <v>2023</v>
      </c>
      <c r="E3" s="140">
        <f>'Athens Daily - EL'!AP8</f>
        <v>35450</v>
      </c>
      <c r="F3" s="140">
        <f>'Athens Daily - EL'!AQ8</f>
        <v>26270</v>
      </c>
      <c r="G3" s="123">
        <f>SUM(E3,F3)</f>
        <v>61720</v>
      </c>
      <c r="H3" s="140">
        <f>'Athens Daily - Water'!R7</f>
        <v>463.6</v>
      </c>
      <c r="I3" s="140">
        <f>'Athens Daily - Water'!S7</f>
        <v>212.4</v>
      </c>
      <c r="J3" s="119">
        <f t="shared" ref="J3:J33" si="0">SUM(H3,I3)</f>
        <v>676</v>
      </c>
      <c r="K3" s="140">
        <f>'Athens Daily - Gas'!BH9</f>
        <v>119405</v>
      </c>
      <c r="L3" s="140">
        <f>'Athens Daily - Gas'!BI9</f>
        <v>105878.40000000001</v>
      </c>
      <c r="M3" s="123">
        <f>SUM(K3,L3)/38.61</f>
        <v>5834.8458948458956</v>
      </c>
      <c r="N3" s="146">
        <f>Occ!G10</f>
        <v>539</v>
      </c>
      <c r="O3" s="97">
        <f>Occ!H10</f>
        <v>1215</v>
      </c>
      <c r="P3" s="145">
        <v>918</v>
      </c>
      <c r="Q3" s="154"/>
    </row>
    <row r="4" spans="1:17" ht="15.75">
      <c r="A4" s="7" t="s">
        <v>14</v>
      </c>
      <c r="B4" s="7">
        <v>2</v>
      </c>
      <c r="C4" s="7">
        <v>1</v>
      </c>
      <c r="D4" s="113">
        <v>2023</v>
      </c>
      <c r="E4" s="140">
        <f>'Athens Daily - EL'!AP9</f>
        <v>33155</v>
      </c>
      <c r="F4" s="140">
        <f>'Athens Daily - EL'!AQ9</f>
        <v>26495</v>
      </c>
      <c r="G4" s="123">
        <f t="shared" ref="G4:G33" si="1">SUM(E4,F4)</f>
        <v>59650</v>
      </c>
      <c r="H4" s="140">
        <f>'Athens Daily - Water'!R8</f>
        <v>857</v>
      </c>
      <c r="I4" s="140">
        <f>'Athens Daily - Water'!S8</f>
        <v>201</v>
      </c>
      <c r="J4" s="119">
        <f t="shared" si="0"/>
        <v>1058</v>
      </c>
      <c r="K4" s="140">
        <f>'Athens Daily - Gas'!BH10</f>
        <v>195004.79999999999</v>
      </c>
      <c r="L4" s="140">
        <f>'Athens Daily - Gas'!BI10</f>
        <v>91123.200000000012</v>
      </c>
      <c r="M4" s="123">
        <f t="shared" ref="M4:M33" si="2">SUM(K4,L4)/38.61</f>
        <v>7410.7226107226106</v>
      </c>
      <c r="N4" s="146">
        <f>Occ!G11</f>
        <v>517</v>
      </c>
      <c r="O4" s="97">
        <f>Occ!H11</f>
        <v>1144</v>
      </c>
      <c r="P4" s="145">
        <v>918</v>
      </c>
      <c r="Q4" s="154"/>
    </row>
    <row r="5" spans="1:17" ht="15.75">
      <c r="A5" s="7" t="s">
        <v>14</v>
      </c>
      <c r="B5" s="7">
        <v>3</v>
      </c>
      <c r="C5" s="7">
        <v>1</v>
      </c>
      <c r="D5" s="113">
        <v>2023</v>
      </c>
      <c r="E5" s="140">
        <f>'Athens Daily - EL'!AP10</f>
        <v>34795</v>
      </c>
      <c r="F5" s="140">
        <f>'Athens Daily - EL'!AQ10</f>
        <v>26275</v>
      </c>
      <c r="G5" s="123">
        <f t="shared" si="1"/>
        <v>61070</v>
      </c>
      <c r="H5" s="140">
        <f>'Athens Daily - Water'!R9</f>
        <v>526.75</v>
      </c>
      <c r="I5" s="140">
        <f>'Athens Daily - Water'!S9</f>
        <v>178.25</v>
      </c>
      <c r="J5" s="119">
        <f t="shared" si="0"/>
        <v>705</v>
      </c>
      <c r="K5" s="140">
        <f>'Athens Daily - Gas'!BH11</f>
        <v>233049.59999999998</v>
      </c>
      <c r="L5" s="140">
        <f>'Athens Daily - Gas'!BI11</f>
        <v>93686.399999999994</v>
      </c>
      <c r="M5" s="123">
        <f t="shared" si="2"/>
        <v>8462.4708624708619</v>
      </c>
      <c r="N5" s="146">
        <f>Occ!G12</f>
        <v>537</v>
      </c>
      <c r="O5" s="97">
        <f>Occ!H12</f>
        <v>1180</v>
      </c>
      <c r="P5" s="145">
        <v>918</v>
      </c>
      <c r="Q5" s="154"/>
    </row>
    <row r="6" spans="1:17" ht="15.75">
      <c r="A6" s="7" t="s">
        <v>14</v>
      </c>
      <c r="B6" s="7">
        <v>4</v>
      </c>
      <c r="C6" s="7">
        <v>1</v>
      </c>
      <c r="D6" s="113">
        <v>2023</v>
      </c>
      <c r="E6" s="140">
        <f>'Athens Daily - EL'!AP11</f>
        <v>34275</v>
      </c>
      <c r="F6" s="140">
        <f>'Athens Daily - EL'!AQ11</f>
        <v>25695</v>
      </c>
      <c r="G6" s="123">
        <f t="shared" si="1"/>
        <v>59970</v>
      </c>
      <c r="H6" s="140">
        <f>'Athens Daily - Water'!R10</f>
        <v>579.70000000000005</v>
      </c>
      <c r="I6" s="140">
        <f>'Athens Daily - Water'!S10</f>
        <v>214.3</v>
      </c>
      <c r="J6" s="119">
        <f t="shared" si="0"/>
        <v>794</v>
      </c>
      <c r="K6" s="140">
        <f>'Athens Daily - Gas'!BH12</f>
        <v>171561.59999999998</v>
      </c>
      <c r="L6" s="140">
        <f>'Athens Daily - Gas'!BI12</f>
        <v>95510.400000000009</v>
      </c>
      <c r="M6" s="123">
        <f t="shared" si="2"/>
        <v>6917.1717171717173</v>
      </c>
      <c r="N6" s="146">
        <f>Occ!G13</f>
        <v>536</v>
      </c>
      <c r="O6" s="97">
        <f>Occ!H13</f>
        <v>1172</v>
      </c>
      <c r="P6" s="145">
        <v>918</v>
      </c>
      <c r="Q6" s="154"/>
    </row>
    <row r="7" spans="1:17" ht="15.75">
      <c r="A7" s="7" t="s">
        <v>14</v>
      </c>
      <c r="B7" s="7">
        <v>5</v>
      </c>
      <c r="C7" s="7">
        <v>1</v>
      </c>
      <c r="D7" s="113">
        <v>2023</v>
      </c>
      <c r="E7" s="140">
        <f>'Athens Daily - EL'!AP12</f>
        <v>35695</v>
      </c>
      <c r="F7" s="140">
        <f>'Athens Daily - EL'!AQ12</f>
        <v>27035</v>
      </c>
      <c r="G7" s="123">
        <f t="shared" si="1"/>
        <v>62730</v>
      </c>
      <c r="H7" s="140">
        <f>'Athens Daily - Water'!R11</f>
        <v>592.5</v>
      </c>
      <c r="I7" s="140">
        <f>'Athens Daily - Water'!S11</f>
        <v>201.5</v>
      </c>
      <c r="J7" s="119">
        <f t="shared" si="0"/>
        <v>794</v>
      </c>
      <c r="K7" s="140">
        <f>'Athens Daily - Gas'!BH13</f>
        <v>173923.20000000001</v>
      </c>
      <c r="L7" s="140">
        <f>'Athens Daily - Gas'!BI13</f>
        <v>98092.800000000003</v>
      </c>
      <c r="M7" s="123">
        <f t="shared" si="2"/>
        <v>7045.2214452214457</v>
      </c>
      <c r="N7" s="146">
        <f>Occ!G14</f>
        <v>554</v>
      </c>
      <c r="O7" s="97">
        <f>Occ!H14</f>
        <v>1201</v>
      </c>
      <c r="P7" s="145">
        <v>918</v>
      </c>
      <c r="Q7" s="154"/>
    </row>
    <row r="8" spans="1:17" ht="15.75">
      <c r="A8" s="7" t="s">
        <v>14</v>
      </c>
      <c r="B8" s="7">
        <v>6</v>
      </c>
      <c r="C8" s="7">
        <v>1</v>
      </c>
      <c r="D8" s="113">
        <v>2023</v>
      </c>
      <c r="E8" s="140">
        <f>'Athens Daily - EL'!AP13</f>
        <v>36745</v>
      </c>
      <c r="F8" s="140">
        <f>'Athens Daily - EL'!AQ13</f>
        <v>27245</v>
      </c>
      <c r="G8" s="123">
        <f t="shared" si="1"/>
        <v>63990</v>
      </c>
      <c r="H8" s="140">
        <f>'Athens Daily - Water'!R12</f>
        <v>569.75</v>
      </c>
      <c r="I8" s="140">
        <f>'Athens Daily - Water'!S12</f>
        <v>205.25</v>
      </c>
      <c r="J8" s="119">
        <f t="shared" si="0"/>
        <v>775</v>
      </c>
      <c r="K8" s="140">
        <f>'Athens Daily - Gas'!BH14</f>
        <v>163286.39999999999</v>
      </c>
      <c r="L8" s="140">
        <f>'Athens Daily - Gas'!BI14</f>
        <v>92745.600000000006</v>
      </c>
      <c r="M8" s="123">
        <f t="shared" si="2"/>
        <v>6631.235431235431</v>
      </c>
      <c r="N8" s="146">
        <f>Occ!G15</f>
        <v>558</v>
      </c>
      <c r="O8" s="97">
        <f>Occ!H15</f>
        <v>1212</v>
      </c>
      <c r="P8" s="145">
        <v>918</v>
      </c>
      <c r="Q8" s="154"/>
    </row>
    <row r="9" spans="1:17" ht="15.75">
      <c r="A9" s="7" t="s">
        <v>14</v>
      </c>
      <c r="B9" s="7">
        <v>7</v>
      </c>
      <c r="C9" s="7">
        <v>1</v>
      </c>
      <c r="D9" s="113">
        <v>2023</v>
      </c>
      <c r="E9" s="140">
        <f>'Athens Daily - EL'!AP14</f>
        <v>37390</v>
      </c>
      <c r="F9" s="140">
        <f>'Athens Daily - EL'!AQ14</f>
        <v>27180</v>
      </c>
      <c r="G9" s="123">
        <f t="shared" si="1"/>
        <v>64570</v>
      </c>
      <c r="H9" s="140">
        <f>'Athens Daily - Water'!R13</f>
        <v>577.45000000000005</v>
      </c>
      <c r="I9" s="140">
        <f>'Athens Daily - Water'!S13</f>
        <v>191.55</v>
      </c>
      <c r="J9" s="119">
        <f t="shared" si="0"/>
        <v>769</v>
      </c>
      <c r="K9" s="140">
        <f>'Athens Daily - Gas'!BH15</f>
        <v>159734.39999999999</v>
      </c>
      <c r="L9" s="140">
        <f>'Athens Daily - Gas'!BI15</f>
        <v>83625.600000000006</v>
      </c>
      <c r="M9" s="123">
        <f t="shared" si="2"/>
        <v>6303.030303030303</v>
      </c>
      <c r="N9" s="146">
        <f>Occ!G16</f>
        <v>569</v>
      </c>
      <c r="O9" s="97">
        <f>Occ!H16</f>
        <v>1216</v>
      </c>
      <c r="P9" s="145">
        <v>918</v>
      </c>
      <c r="Q9" s="154"/>
    </row>
    <row r="10" spans="1:17">
      <c r="A10" s="7" t="s">
        <v>14</v>
      </c>
      <c r="B10" s="7">
        <v>8</v>
      </c>
      <c r="C10" s="7">
        <v>1</v>
      </c>
      <c r="D10" s="113">
        <v>2023</v>
      </c>
      <c r="E10" s="140">
        <f>'Athens Daily - EL'!AP15</f>
        <v>35780</v>
      </c>
      <c r="F10" s="140">
        <f>'Athens Daily - EL'!AQ15</f>
        <v>25740</v>
      </c>
      <c r="G10" s="123">
        <f t="shared" si="1"/>
        <v>61520</v>
      </c>
      <c r="H10" s="140">
        <f>'Athens Daily - Water'!R14</f>
        <v>686.46837000000005</v>
      </c>
      <c r="I10" s="140">
        <f>'Athens Daily - Water'!S14</f>
        <v>221.65</v>
      </c>
      <c r="J10" s="119">
        <f t="shared" si="0"/>
        <v>908.11837000000003</v>
      </c>
      <c r="K10" s="140">
        <f>'Athens Daily - Gas'!BH16</f>
        <v>170441.23199999996</v>
      </c>
      <c r="L10" s="140">
        <f>'Athens Daily - Gas'!BI16</f>
        <v>92198.399999999994</v>
      </c>
      <c r="M10" s="123">
        <f t="shared" si="2"/>
        <v>6802.373271173271</v>
      </c>
      <c r="N10" s="146">
        <f>Occ!G17</f>
        <v>591</v>
      </c>
      <c r="O10" s="97">
        <f>Occ!H17</f>
        <v>1211</v>
      </c>
      <c r="P10" s="145">
        <v>918</v>
      </c>
      <c r="Q10" s="95"/>
    </row>
    <row r="11" spans="1:17">
      <c r="A11" s="7" t="s">
        <v>14</v>
      </c>
      <c r="B11" s="7">
        <v>9</v>
      </c>
      <c r="C11" s="7">
        <v>1</v>
      </c>
      <c r="D11" s="113">
        <v>2023</v>
      </c>
      <c r="E11" s="140">
        <f>'Athens Daily - EL'!AP16</f>
        <v>35505</v>
      </c>
      <c r="F11" s="140">
        <f>'Athens Daily - EL'!AQ16</f>
        <v>26525</v>
      </c>
      <c r="G11" s="123">
        <f t="shared" si="1"/>
        <v>62030</v>
      </c>
      <c r="H11" s="140">
        <f>'Athens Daily - Water'!R15</f>
        <v>656.33325000000002</v>
      </c>
      <c r="I11" s="140">
        <f>'Athens Daily - Water'!S15</f>
        <v>183.9</v>
      </c>
      <c r="J11" s="119">
        <f t="shared" si="0"/>
        <v>840.23325</v>
      </c>
      <c r="K11" s="140">
        <f>'Athens Daily - Gas'!BH17</f>
        <v>163172.49600000004</v>
      </c>
      <c r="L11" s="140">
        <f>'Athens Daily - Gas'!BI17</f>
        <v>86035.200000000012</v>
      </c>
      <c r="M11" s="123">
        <f t="shared" si="2"/>
        <v>6454.4857808857823</v>
      </c>
      <c r="N11" s="146">
        <f>Occ!G18</f>
        <v>640</v>
      </c>
      <c r="O11" s="97">
        <f>Occ!H18</f>
        <v>1274</v>
      </c>
      <c r="P11" s="145">
        <v>918</v>
      </c>
      <c r="Q11" s="95"/>
    </row>
    <row r="12" spans="1:17" ht="15.75">
      <c r="A12" s="7" t="s">
        <v>14</v>
      </c>
      <c r="B12" s="7">
        <v>10</v>
      </c>
      <c r="C12" s="7">
        <v>1</v>
      </c>
      <c r="D12" s="113">
        <v>2023</v>
      </c>
      <c r="E12" s="140">
        <f>'Athens Daily - EL'!AP17</f>
        <v>37630</v>
      </c>
      <c r="F12" s="140">
        <f>'Athens Daily - EL'!AQ17</f>
        <v>27540</v>
      </c>
      <c r="G12" s="123">
        <f t="shared" si="1"/>
        <v>65170</v>
      </c>
      <c r="H12" s="140">
        <f>'Athens Daily - Water'!R16</f>
        <v>595.79837999999995</v>
      </c>
      <c r="I12" s="140">
        <f>'Athens Daily - Water'!S16</f>
        <v>215.85000000000002</v>
      </c>
      <c r="J12" s="119">
        <f t="shared" si="0"/>
        <v>811.64837999999997</v>
      </c>
      <c r="K12" s="140">
        <f>'Athens Daily - Gas'!BH18</f>
        <v>163669.91999999998</v>
      </c>
      <c r="L12" s="140">
        <f>'Athens Daily - Gas'!BI18</f>
        <v>92409.600000000006</v>
      </c>
      <c r="M12" s="123">
        <f t="shared" si="2"/>
        <v>6632.4662004662005</v>
      </c>
      <c r="N12" s="146">
        <f>Occ!G19</f>
        <v>658</v>
      </c>
      <c r="O12" s="97">
        <f>Occ!H19</f>
        <v>1302</v>
      </c>
      <c r="P12" s="145">
        <v>918</v>
      </c>
      <c r="Q12" s="154"/>
    </row>
    <row r="13" spans="1:17" ht="15.75">
      <c r="A13" s="7" t="s">
        <v>14</v>
      </c>
      <c r="B13" s="7">
        <v>11</v>
      </c>
      <c r="C13" s="7">
        <v>1</v>
      </c>
      <c r="D13" s="113">
        <v>2023</v>
      </c>
      <c r="E13" s="140">
        <f>'Athens Daily - EL'!AP18</f>
        <v>38030</v>
      </c>
      <c r="F13" s="140">
        <f>'Athens Daily - EL'!AQ18</f>
        <v>27070</v>
      </c>
      <c r="G13" s="123">
        <f t="shared" si="1"/>
        <v>65100</v>
      </c>
      <c r="H13" s="140">
        <f>'Athens Daily - Water'!R17</f>
        <v>621.48</v>
      </c>
      <c r="I13" s="140">
        <f>'Athens Daily - Water'!S17</f>
        <v>189.75</v>
      </c>
      <c r="J13" s="119">
        <f t="shared" si="0"/>
        <v>811.23</v>
      </c>
      <c r="K13" s="140">
        <f>'Athens Daily - Gas'!BH19</f>
        <v>165081.35999999993</v>
      </c>
      <c r="L13" s="140">
        <f>'Athens Daily - Gas'!BI19</f>
        <v>93830.399999999994</v>
      </c>
      <c r="M13" s="123">
        <f t="shared" si="2"/>
        <v>6705.8212898212878</v>
      </c>
      <c r="N13" s="146">
        <f>Occ!G20</f>
        <v>651</v>
      </c>
      <c r="O13" s="97">
        <f>Occ!H20</f>
        <v>1298</v>
      </c>
      <c r="P13" s="145">
        <v>918</v>
      </c>
      <c r="Q13" s="154"/>
    </row>
    <row r="14" spans="1:17" ht="15.75">
      <c r="A14" s="7" t="s">
        <v>14</v>
      </c>
      <c r="B14" s="7">
        <v>12</v>
      </c>
      <c r="C14" s="7">
        <v>1</v>
      </c>
      <c r="D14" s="113">
        <v>2023</v>
      </c>
      <c r="E14" s="140">
        <f>'Athens Daily - EL'!AP19</f>
        <v>37775</v>
      </c>
      <c r="F14" s="140">
        <f>'Athens Daily - EL'!AQ19</f>
        <v>26825</v>
      </c>
      <c r="G14" s="123">
        <f t="shared" si="1"/>
        <v>64600</v>
      </c>
      <c r="H14" s="140">
        <f>'Athens Daily - Water'!R18</f>
        <v>661.69</v>
      </c>
      <c r="I14" s="140">
        <f>'Athens Daily - Water'!S18</f>
        <v>193.55</v>
      </c>
      <c r="J14" s="119">
        <f t="shared" si="0"/>
        <v>855.24</v>
      </c>
      <c r="K14" s="140">
        <f>'Athens Daily - Gas'!BH20</f>
        <v>169902.57600000006</v>
      </c>
      <c r="L14" s="140">
        <f>'Athens Daily - Gas'!BI20</f>
        <v>101260.8</v>
      </c>
      <c r="M14" s="123">
        <f t="shared" si="2"/>
        <v>7023.1384615384632</v>
      </c>
      <c r="N14" s="146">
        <f>Occ!G21</f>
        <v>634</v>
      </c>
      <c r="O14" s="97">
        <f>Occ!H21</f>
        <v>1261</v>
      </c>
      <c r="P14" s="145">
        <v>918</v>
      </c>
      <c r="Q14" s="154"/>
    </row>
    <row r="15" spans="1:17">
      <c r="A15" s="7" t="s">
        <v>14</v>
      </c>
      <c r="B15" s="7">
        <v>13</v>
      </c>
      <c r="C15" s="7">
        <v>1</v>
      </c>
      <c r="D15" s="113">
        <v>2023</v>
      </c>
      <c r="E15" s="140">
        <f>'Athens Daily - EL'!AP20</f>
        <v>40770</v>
      </c>
      <c r="F15" s="140">
        <f>'Athens Daily - EL'!AQ20</f>
        <v>29780</v>
      </c>
      <c r="G15" s="123">
        <f t="shared" si="1"/>
        <v>70550</v>
      </c>
      <c r="H15" s="140">
        <f>'Athens Daily - Water'!R19</f>
        <v>628.19199999999989</v>
      </c>
      <c r="I15" s="140">
        <f>'Athens Daily - Water'!S19</f>
        <v>206.60000000000002</v>
      </c>
      <c r="J15" s="119">
        <f t="shared" si="0"/>
        <v>834.79199999999992</v>
      </c>
      <c r="K15" s="140">
        <f>'Athens Daily - Gas'!BH21</f>
        <v>173301.74400000001</v>
      </c>
      <c r="L15" s="140">
        <f>'Athens Daily - Gas'!BI21</f>
        <v>98937.600000000006</v>
      </c>
      <c r="M15" s="123">
        <f t="shared" si="2"/>
        <v>7051.0060606060615</v>
      </c>
      <c r="N15" s="146">
        <f>Occ!G22</f>
        <v>602</v>
      </c>
      <c r="O15" s="97">
        <f>Occ!H22</f>
        <v>1234</v>
      </c>
      <c r="P15" s="145">
        <v>918</v>
      </c>
      <c r="Q15" s="151"/>
    </row>
    <row r="16" spans="1:17">
      <c r="A16" s="7" t="s">
        <v>14</v>
      </c>
      <c r="B16" s="7">
        <v>14</v>
      </c>
      <c r="C16" s="7">
        <v>1</v>
      </c>
      <c r="D16" s="113">
        <v>2023</v>
      </c>
      <c r="E16" s="140">
        <f>'Athens Daily - EL'!AP21</f>
        <v>39280</v>
      </c>
      <c r="F16" s="140">
        <f>'Athens Daily - EL'!AQ21</f>
        <v>29480</v>
      </c>
      <c r="G16" s="123">
        <f t="shared" si="1"/>
        <v>68760</v>
      </c>
      <c r="H16" s="140">
        <f>'Athens Daily - Water'!R20</f>
        <v>704.56500000000005</v>
      </c>
      <c r="I16" s="140">
        <f>'Athens Daily - Water'!S20</f>
        <v>192.8</v>
      </c>
      <c r="J16" s="119">
        <f t="shared" si="0"/>
        <v>897.36500000000001</v>
      </c>
      <c r="K16" s="140">
        <f>'Athens Daily - Gas'!BH22</f>
        <v>171988.65600000002</v>
      </c>
      <c r="L16" s="140">
        <f>'Athens Daily - Gas'!BI22</f>
        <v>101788.8</v>
      </c>
      <c r="M16" s="123">
        <f t="shared" si="2"/>
        <v>7090.8432012432013</v>
      </c>
      <c r="N16" s="146">
        <f>Occ!G23</f>
        <v>598</v>
      </c>
      <c r="O16" s="97">
        <f>Occ!H23</f>
        <v>1240</v>
      </c>
      <c r="P16" s="145">
        <v>918</v>
      </c>
      <c r="Q16" s="151"/>
    </row>
    <row r="17" spans="1:17">
      <c r="A17" s="7" t="s">
        <v>14</v>
      </c>
      <c r="B17" s="7">
        <v>15</v>
      </c>
      <c r="C17" s="7">
        <v>1</v>
      </c>
      <c r="D17" s="113">
        <v>2023</v>
      </c>
      <c r="E17" s="140">
        <f>'Athens Daily - EL'!AP22</f>
        <v>38700</v>
      </c>
      <c r="F17" s="140">
        <f>'Athens Daily - EL'!AQ22</f>
        <v>28020</v>
      </c>
      <c r="G17" s="123">
        <f t="shared" si="1"/>
        <v>66720</v>
      </c>
      <c r="H17" s="140">
        <f>'Athens Daily - Water'!R21</f>
        <v>664.72300000000007</v>
      </c>
      <c r="I17" s="140">
        <f>'Athens Daily - Water'!S21</f>
        <v>185.75</v>
      </c>
      <c r="J17" s="119">
        <f t="shared" si="0"/>
        <v>850.47300000000007</v>
      </c>
      <c r="K17" s="140">
        <f>'Athens Daily - Gas'!BH23</f>
        <v>157072.41599999997</v>
      </c>
      <c r="L17" s="140">
        <f>'Athens Daily - Gas'!BI23</f>
        <v>89356.800000000003</v>
      </c>
      <c r="M17" s="123">
        <f t="shared" si="2"/>
        <v>6382.5230769230757</v>
      </c>
      <c r="N17" s="146">
        <f>Occ!G24</f>
        <v>615</v>
      </c>
      <c r="O17" s="97">
        <f>Occ!H24</f>
        <v>1254</v>
      </c>
      <c r="P17" s="145">
        <v>918</v>
      </c>
      <c r="Q17" s="151"/>
    </row>
    <row r="18" spans="1:17">
      <c r="A18" s="7" t="s">
        <v>14</v>
      </c>
      <c r="B18" s="7">
        <v>16</v>
      </c>
      <c r="C18" s="7">
        <v>1</v>
      </c>
      <c r="D18" s="113">
        <v>2023</v>
      </c>
      <c r="E18" s="140">
        <f>'Athens Daily - EL'!AP23</f>
        <v>33515</v>
      </c>
      <c r="F18" s="140">
        <f>'Athens Daily - EL'!AQ23</f>
        <v>25555</v>
      </c>
      <c r="G18" s="123">
        <f t="shared" si="1"/>
        <v>59070</v>
      </c>
      <c r="H18" s="140">
        <f>'Athens Daily - Water'!R22</f>
        <v>664.351</v>
      </c>
      <c r="I18" s="140">
        <f>'Athens Daily - Water'!S22</f>
        <v>190.4</v>
      </c>
      <c r="J18" s="119">
        <f t="shared" si="0"/>
        <v>854.75099999999998</v>
      </c>
      <c r="K18" s="140">
        <f>'Athens Daily - Gas'!BH24</f>
        <v>178793.52</v>
      </c>
      <c r="L18" s="140">
        <f>'Athens Daily - Gas'!BI24</f>
        <v>100608</v>
      </c>
      <c r="M18" s="123">
        <f t="shared" si="2"/>
        <v>7236.5066045066051</v>
      </c>
      <c r="N18" s="146">
        <f>Occ!G25</f>
        <v>612</v>
      </c>
      <c r="O18" s="97">
        <f>Occ!H25</f>
        <v>1232</v>
      </c>
      <c r="P18" s="145">
        <v>918</v>
      </c>
      <c r="Q18" s="150"/>
    </row>
    <row r="19" spans="1:17">
      <c r="A19" s="7" t="s">
        <v>14</v>
      </c>
      <c r="B19" s="7">
        <v>17</v>
      </c>
      <c r="C19" s="7">
        <v>1</v>
      </c>
      <c r="D19" s="113">
        <v>2023</v>
      </c>
      <c r="E19" s="140">
        <f>'Athens Daily - EL'!AP24</f>
        <v>35385</v>
      </c>
      <c r="F19" s="140">
        <f>'Athens Daily - EL'!AQ24</f>
        <v>25535</v>
      </c>
      <c r="G19" s="123">
        <f t="shared" si="1"/>
        <v>60920</v>
      </c>
      <c r="H19" s="140">
        <f>'Athens Daily - Water'!R23</f>
        <v>619.06600000000003</v>
      </c>
      <c r="I19" s="140">
        <f>'Athens Daily - Water'!S23</f>
        <v>197.2</v>
      </c>
      <c r="J19" s="119">
        <f t="shared" si="0"/>
        <v>816.26600000000008</v>
      </c>
      <c r="K19" s="140">
        <f>'Athens Daily - Gas'!BH25</f>
        <v>191501.76</v>
      </c>
      <c r="L19" s="140">
        <f>'Athens Daily - Gas'!BI25</f>
        <v>115459.20000000001</v>
      </c>
      <c r="M19" s="123">
        <f t="shared" si="2"/>
        <v>7950.2968142968148</v>
      </c>
      <c r="N19" s="146">
        <f>Occ!G26</f>
        <v>607</v>
      </c>
      <c r="O19" s="97">
        <f>Occ!H26</f>
        <v>1211</v>
      </c>
      <c r="P19" s="145">
        <v>918</v>
      </c>
      <c r="Q19" s="150"/>
    </row>
    <row r="20" spans="1:17">
      <c r="A20" s="7" t="s">
        <v>14</v>
      </c>
      <c r="B20" s="7">
        <v>18</v>
      </c>
      <c r="C20" s="7">
        <v>1</v>
      </c>
      <c r="D20" s="113">
        <v>2023</v>
      </c>
      <c r="E20" s="140">
        <f>'Athens Daily - EL'!AP25</f>
        <v>34545</v>
      </c>
      <c r="F20" s="140">
        <f>'Athens Daily - EL'!AQ25</f>
        <v>25485</v>
      </c>
      <c r="G20" s="123">
        <f t="shared" si="1"/>
        <v>60030</v>
      </c>
      <c r="H20" s="140">
        <f>'Athens Daily - Water'!R24</f>
        <v>650.63299999999992</v>
      </c>
      <c r="I20" s="140">
        <f>'Athens Daily - Water'!S24</f>
        <v>195.25</v>
      </c>
      <c r="J20" s="119">
        <f t="shared" si="0"/>
        <v>845.88299999999992</v>
      </c>
      <c r="K20" s="140">
        <f>'Athens Daily - Gas'!BH26</f>
        <v>204735.11999999997</v>
      </c>
      <c r="L20" s="140">
        <f>'Athens Daily - Gas'!BI26</f>
        <v>114134.40000000001</v>
      </c>
      <c r="M20" s="123">
        <f t="shared" si="2"/>
        <v>8258.7288267288259</v>
      </c>
      <c r="N20" s="146">
        <f>Occ!G27</f>
        <v>572</v>
      </c>
      <c r="O20" s="97">
        <f>Occ!H27</f>
        <v>1177</v>
      </c>
      <c r="P20" s="145">
        <v>918</v>
      </c>
      <c r="Q20" s="150"/>
    </row>
    <row r="21" spans="1:17">
      <c r="A21" s="7" t="s">
        <v>14</v>
      </c>
      <c r="B21" s="7">
        <v>19</v>
      </c>
      <c r="C21" s="7">
        <v>1</v>
      </c>
      <c r="D21" s="113">
        <v>2023</v>
      </c>
      <c r="E21" s="140">
        <f>'Athens Daily - EL'!AP26</f>
        <v>37355</v>
      </c>
      <c r="F21" s="140">
        <f>'Athens Daily - EL'!AQ26</f>
        <v>26615</v>
      </c>
      <c r="G21" s="123">
        <f t="shared" si="1"/>
        <v>63970</v>
      </c>
      <c r="H21" s="140">
        <f>'Athens Daily - Water'!R25</f>
        <v>550.35</v>
      </c>
      <c r="I21" s="140">
        <f>'Athens Daily - Water'!S25</f>
        <v>189.65</v>
      </c>
      <c r="J21" s="119">
        <f t="shared" si="0"/>
        <v>740</v>
      </c>
      <c r="K21" s="140">
        <f>'Athens Daily - Gas'!BH27</f>
        <v>192105.59999999998</v>
      </c>
      <c r="L21" s="140">
        <f>'Athens Daily - Gas'!BI27</f>
        <v>106310.40000000001</v>
      </c>
      <c r="M21" s="123">
        <f t="shared" si="2"/>
        <v>7728.9821289821293</v>
      </c>
      <c r="N21" s="146">
        <f>Occ!G28</f>
        <v>541</v>
      </c>
      <c r="O21" s="97">
        <f>Occ!H28</f>
        <v>1140</v>
      </c>
      <c r="P21" s="145">
        <v>918</v>
      </c>
      <c r="Q21" s="150"/>
    </row>
    <row r="22" spans="1:17">
      <c r="A22" s="7" t="s">
        <v>14</v>
      </c>
      <c r="B22" s="7">
        <v>20</v>
      </c>
      <c r="C22" s="7">
        <v>1</v>
      </c>
      <c r="D22" s="113">
        <v>2023</v>
      </c>
      <c r="E22" s="140">
        <f>'Athens Daily - EL'!AP27</f>
        <v>33220</v>
      </c>
      <c r="F22" s="140">
        <f>'Athens Daily - EL'!AQ27</f>
        <v>26180</v>
      </c>
      <c r="G22" s="123">
        <f t="shared" si="1"/>
        <v>59400</v>
      </c>
      <c r="H22" s="140">
        <f>'Athens Daily - Water'!R26</f>
        <v>655.7</v>
      </c>
      <c r="I22" s="140">
        <f>'Athens Daily - Water'!S26</f>
        <v>193.3</v>
      </c>
      <c r="J22" s="119">
        <f t="shared" si="0"/>
        <v>849</v>
      </c>
      <c r="K22" s="140">
        <f>'Athens Daily - Gas'!BH28</f>
        <v>186700.79999999999</v>
      </c>
      <c r="L22" s="140">
        <f>'Athens Daily - Gas'!BI28</f>
        <v>105283.2</v>
      </c>
      <c r="M22" s="123">
        <f t="shared" si="2"/>
        <v>7562.3931623931621</v>
      </c>
      <c r="N22" s="146">
        <f>Occ!G29</f>
        <v>529</v>
      </c>
      <c r="O22" s="97">
        <f>Occ!H29</f>
        <v>1151</v>
      </c>
      <c r="P22" s="145">
        <v>918</v>
      </c>
      <c r="Q22" s="151"/>
    </row>
    <row r="23" spans="1:17">
      <c r="A23" s="7" t="s">
        <v>14</v>
      </c>
      <c r="B23" s="7">
        <v>21</v>
      </c>
      <c r="C23" s="7">
        <v>1</v>
      </c>
      <c r="D23" s="113">
        <v>2023</v>
      </c>
      <c r="E23" s="140">
        <f>'Athens Daily - EL'!AP28</f>
        <v>34635</v>
      </c>
      <c r="F23" s="140">
        <f>'Athens Daily - EL'!AQ28</f>
        <v>25865</v>
      </c>
      <c r="G23" s="123">
        <f t="shared" si="1"/>
        <v>60500</v>
      </c>
      <c r="H23" s="156">
        <f>'Athens Daily - Water'!R27</f>
        <v>592.65</v>
      </c>
      <c r="I23" s="140">
        <f>'Athens Daily - Water'!S27</f>
        <v>180.35000000000002</v>
      </c>
      <c r="J23" s="119">
        <f t="shared" si="0"/>
        <v>773</v>
      </c>
      <c r="K23" s="140">
        <f>'Athens Daily - Gas'!BH29</f>
        <v>167894.39999999999</v>
      </c>
      <c r="L23" s="140">
        <f>'Athens Daily - Gas'!BI29</f>
        <v>96969.600000000006</v>
      </c>
      <c r="M23" s="123">
        <f t="shared" si="2"/>
        <v>6859.98445998446</v>
      </c>
      <c r="N23" s="146">
        <f>Occ!G30</f>
        <v>545</v>
      </c>
      <c r="O23" s="97">
        <f>Occ!H30</f>
        <v>1196</v>
      </c>
      <c r="P23" s="145">
        <v>918</v>
      </c>
      <c r="Q23" s="151"/>
    </row>
    <row r="24" spans="1:17">
      <c r="A24" s="7" t="s">
        <v>14</v>
      </c>
      <c r="B24" s="7">
        <v>22</v>
      </c>
      <c r="C24" s="7">
        <v>1</v>
      </c>
      <c r="D24" s="113">
        <v>2023</v>
      </c>
      <c r="E24" s="140">
        <f>'Athens Daily - EL'!AP29</f>
        <v>33730</v>
      </c>
      <c r="F24" s="140">
        <f>'Athens Daily - EL'!AQ29</f>
        <v>25880</v>
      </c>
      <c r="G24" s="123">
        <f t="shared" si="1"/>
        <v>59610</v>
      </c>
      <c r="H24" s="156">
        <f>'Athens Daily - Water'!R28</f>
        <v>634.4</v>
      </c>
      <c r="I24" s="140">
        <f>'Athens Daily - Water'!S28</f>
        <v>195.60000000000002</v>
      </c>
      <c r="J24" s="119">
        <f t="shared" si="0"/>
        <v>830</v>
      </c>
      <c r="K24" s="140">
        <f>'Athens Daily - Gas'!BH30</f>
        <v>186278.39999999999</v>
      </c>
      <c r="L24" s="140">
        <f>'Athens Daily - Gas'!BI30</f>
        <v>108297.60000000001</v>
      </c>
      <c r="M24" s="123">
        <f t="shared" si="2"/>
        <v>7629.5260295260296</v>
      </c>
      <c r="N24" s="146">
        <f>Occ!G31</f>
        <v>551</v>
      </c>
      <c r="O24" s="97">
        <f>Occ!H31</f>
        <v>1208</v>
      </c>
      <c r="P24" s="145">
        <v>918</v>
      </c>
      <c r="Q24" s="151"/>
    </row>
    <row r="25" spans="1:17">
      <c r="A25" s="7" t="s">
        <v>14</v>
      </c>
      <c r="B25" s="7">
        <v>23</v>
      </c>
      <c r="C25" s="7">
        <v>1</v>
      </c>
      <c r="D25" s="113">
        <v>2023</v>
      </c>
      <c r="E25" s="140">
        <f>'Athens Daily - EL'!AP30</f>
        <v>32965</v>
      </c>
      <c r="F25" s="140">
        <f>'Athens Daily - EL'!AQ30</f>
        <v>25085</v>
      </c>
      <c r="G25" s="123">
        <f t="shared" si="1"/>
        <v>58050</v>
      </c>
      <c r="H25" s="156">
        <f>'Athens Daily - Water'!R29</f>
        <v>604.35</v>
      </c>
      <c r="I25" s="140">
        <f>'Athens Daily - Water'!S29</f>
        <v>165.65</v>
      </c>
      <c r="J25" s="119">
        <f t="shared" si="0"/>
        <v>770</v>
      </c>
      <c r="K25" s="140">
        <f>'Athens Daily - Gas'!BH31</f>
        <v>169536</v>
      </c>
      <c r="L25" s="140">
        <f>'Athens Daily - Gas'!BI31</f>
        <v>90528</v>
      </c>
      <c r="M25" s="123">
        <f t="shared" si="2"/>
        <v>6735.6643356643353</v>
      </c>
      <c r="N25" s="146">
        <f>Occ!G32</f>
        <v>578</v>
      </c>
      <c r="O25" s="97">
        <f>Occ!H32</f>
        <v>1277</v>
      </c>
      <c r="P25" s="145">
        <v>918</v>
      </c>
      <c r="Q25" s="151"/>
    </row>
    <row r="26" spans="1:17">
      <c r="A26" s="7" t="s">
        <v>14</v>
      </c>
      <c r="B26" s="7">
        <v>24</v>
      </c>
      <c r="C26" s="7">
        <v>1</v>
      </c>
      <c r="D26" s="113">
        <v>2023</v>
      </c>
      <c r="E26" s="140">
        <f>'Athens Daily - EL'!AP31</f>
        <v>34260</v>
      </c>
      <c r="F26" s="140">
        <f>'Athens Daily - EL'!AQ31</f>
        <v>25150</v>
      </c>
      <c r="G26" s="123">
        <f t="shared" si="1"/>
        <v>59410</v>
      </c>
      <c r="H26" s="156">
        <f>'Athens Daily - Water'!R30</f>
        <v>559.6</v>
      </c>
      <c r="I26" s="140">
        <f>'Athens Daily - Water'!S30</f>
        <v>159.4</v>
      </c>
      <c r="J26" s="119">
        <f t="shared" si="0"/>
        <v>719</v>
      </c>
      <c r="K26" s="140">
        <f>'Athens Daily - Gas'!BH32</f>
        <v>153484.79999999999</v>
      </c>
      <c r="L26" s="140">
        <f>'Athens Daily - Gas'!BI32</f>
        <v>86467.200000000012</v>
      </c>
      <c r="M26" s="123">
        <f t="shared" si="2"/>
        <v>6214.7630147630152</v>
      </c>
      <c r="N26" s="146">
        <f>Occ!G33</f>
        <v>600</v>
      </c>
      <c r="O26" s="97">
        <f>Occ!H33</f>
        <v>1308</v>
      </c>
      <c r="P26" s="145">
        <v>918</v>
      </c>
      <c r="Q26" s="151"/>
    </row>
    <row r="27" spans="1:17">
      <c r="A27" s="7" t="s">
        <v>14</v>
      </c>
      <c r="B27" s="7">
        <v>25</v>
      </c>
      <c r="C27" s="7">
        <v>1</v>
      </c>
      <c r="D27" s="113">
        <v>2023</v>
      </c>
      <c r="E27" s="140">
        <f>'Athens Daily - EL'!AP32</f>
        <v>33010</v>
      </c>
      <c r="F27" s="140">
        <f>'Athens Daily - EL'!AQ32</f>
        <v>23540</v>
      </c>
      <c r="G27" s="123">
        <f t="shared" si="1"/>
        <v>56550</v>
      </c>
      <c r="H27" s="140">
        <f>'Athens Daily - Water'!R31</f>
        <v>649.04999999999995</v>
      </c>
      <c r="I27" s="140">
        <f>'Athens Daily - Water'!S31</f>
        <v>188.95</v>
      </c>
      <c r="J27" s="119">
        <f t="shared" si="0"/>
        <v>838</v>
      </c>
      <c r="K27" s="140">
        <f>'Athens Daily - Gas'!BH33</f>
        <v>187699.20000000001</v>
      </c>
      <c r="L27" s="140">
        <f>'Athens Daily - Gas'!BI33</f>
        <v>107308.8</v>
      </c>
      <c r="M27" s="123">
        <f t="shared" si="2"/>
        <v>7640.7148407148406</v>
      </c>
      <c r="N27" s="146">
        <f>Occ!G34</f>
        <v>623</v>
      </c>
      <c r="O27" s="97">
        <f>Occ!H34</f>
        <v>1354</v>
      </c>
      <c r="P27" s="145">
        <v>918</v>
      </c>
      <c r="Q27" s="149"/>
    </row>
    <row r="28" spans="1:17">
      <c r="A28" s="7" t="s">
        <v>14</v>
      </c>
      <c r="B28" s="7">
        <v>26</v>
      </c>
      <c r="C28" s="7">
        <v>1</v>
      </c>
      <c r="D28" s="113">
        <v>2023</v>
      </c>
      <c r="E28" s="140">
        <f>'Athens Daily - EL'!AP33</f>
        <v>34320</v>
      </c>
      <c r="F28" s="140">
        <f>'Athens Daily - EL'!AQ33</f>
        <v>25250</v>
      </c>
      <c r="G28" s="123">
        <f t="shared" si="1"/>
        <v>59570</v>
      </c>
      <c r="H28" s="140">
        <f>'Athens Daily - Water'!R32</f>
        <v>632.9</v>
      </c>
      <c r="I28" s="140">
        <f>'Athens Daily - Water'!S32</f>
        <v>174.1</v>
      </c>
      <c r="J28" s="119">
        <f t="shared" si="0"/>
        <v>807</v>
      </c>
      <c r="K28" s="140">
        <f>'Athens Daily - Gas'!BH34</f>
        <v>196195.20000000001</v>
      </c>
      <c r="L28" s="140">
        <f>'Athens Daily - Gas'!BI34</f>
        <v>109708.8</v>
      </c>
      <c r="M28" s="123">
        <f t="shared" si="2"/>
        <v>7922.9215229215233</v>
      </c>
      <c r="N28" s="146">
        <f>Occ!G35</f>
        <v>656</v>
      </c>
      <c r="O28" s="97">
        <f>Occ!H35</f>
        <v>1434</v>
      </c>
      <c r="P28" s="145">
        <v>918</v>
      </c>
      <c r="Q28" s="149"/>
    </row>
    <row r="29" spans="1:17">
      <c r="A29" s="7" t="s">
        <v>14</v>
      </c>
      <c r="B29" s="7">
        <v>27</v>
      </c>
      <c r="C29" s="7">
        <v>1</v>
      </c>
      <c r="D29" s="113">
        <v>2023</v>
      </c>
      <c r="E29" s="140">
        <f>'Athens Daily - EL'!AP34</f>
        <v>33240</v>
      </c>
      <c r="F29" s="140">
        <f>'Athens Daily - EL'!AQ34</f>
        <v>25040</v>
      </c>
      <c r="G29" s="123">
        <f t="shared" si="1"/>
        <v>58280</v>
      </c>
      <c r="H29" s="140">
        <f>'Athens Daily - Water'!R33</f>
        <v>673.2</v>
      </c>
      <c r="I29" s="140">
        <f>'Athens Daily - Water'!S33</f>
        <v>186.8</v>
      </c>
      <c r="J29" s="119">
        <f t="shared" si="0"/>
        <v>860</v>
      </c>
      <c r="K29" s="140">
        <f>'Athens Daily - Gas'!BH35</f>
        <v>190752</v>
      </c>
      <c r="L29" s="140">
        <f>'Athens Daily - Gas'!BI35</f>
        <v>118896</v>
      </c>
      <c r="M29" s="123">
        <f t="shared" si="2"/>
        <v>8019.8912198912203</v>
      </c>
      <c r="N29" s="146">
        <f>Occ!G36</f>
        <v>638</v>
      </c>
      <c r="O29" s="97">
        <f>Occ!H36</f>
        <v>1388</v>
      </c>
      <c r="P29" s="145">
        <v>918</v>
      </c>
      <c r="Q29" s="149"/>
    </row>
    <row r="30" spans="1:17">
      <c r="A30" s="7" t="s">
        <v>14</v>
      </c>
      <c r="B30" s="7">
        <v>28</v>
      </c>
      <c r="C30" s="7">
        <v>1</v>
      </c>
      <c r="D30" s="113">
        <v>2023</v>
      </c>
      <c r="E30" s="140">
        <f>'Athens Daily - EL'!AP35</f>
        <v>35700</v>
      </c>
      <c r="F30" s="140">
        <f>'Athens Daily - EL'!AQ35</f>
        <v>25910</v>
      </c>
      <c r="G30" s="123">
        <f t="shared" si="1"/>
        <v>61610</v>
      </c>
      <c r="H30" s="140">
        <f>'Athens Daily - Water'!R34</f>
        <v>704.7</v>
      </c>
      <c r="I30" s="140">
        <f>'Athens Daily - Water'!S34</f>
        <v>189.3</v>
      </c>
      <c r="J30" s="119">
        <f t="shared" si="0"/>
        <v>894</v>
      </c>
      <c r="K30" s="140">
        <f>'Athens Daily - Gas'!BH36</f>
        <v>186998.39999999999</v>
      </c>
      <c r="L30" s="140">
        <f>'Athens Daily - Gas'!BI36</f>
        <v>112089.60000000001</v>
      </c>
      <c r="M30" s="123">
        <f t="shared" si="2"/>
        <v>7746.3869463869469</v>
      </c>
      <c r="N30" s="146">
        <f>Occ!G37</f>
        <v>574</v>
      </c>
      <c r="O30" s="97">
        <f>Occ!H37</f>
        <v>1246</v>
      </c>
      <c r="P30" s="145">
        <v>918</v>
      </c>
      <c r="Q30" s="149"/>
    </row>
    <row r="31" spans="1:17">
      <c r="A31" s="7" t="s">
        <v>14</v>
      </c>
      <c r="B31" s="7">
        <v>29</v>
      </c>
      <c r="C31" s="7">
        <v>1</v>
      </c>
      <c r="D31" s="113">
        <v>2023</v>
      </c>
      <c r="E31" s="140">
        <f>'Athens Daily - EL'!AP36</f>
        <v>36625</v>
      </c>
      <c r="F31" s="140">
        <f>'Athens Daily - EL'!AQ36</f>
        <v>27745</v>
      </c>
      <c r="G31" s="123">
        <f t="shared" si="1"/>
        <v>64370</v>
      </c>
      <c r="H31" s="140">
        <f>'Athens Daily - Water'!R35</f>
        <v>736.85</v>
      </c>
      <c r="I31" s="140">
        <f>'Athens Daily - Water'!S35</f>
        <v>188.15</v>
      </c>
      <c r="J31" s="119">
        <f t="shared" si="0"/>
        <v>925</v>
      </c>
      <c r="K31" s="140">
        <f>'Athens Daily - Gas'!BH37</f>
        <v>204604.79999999999</v>
      </c>
      <c r="L31" s="140">
        <f>'Athens Daily - Gas'!BI37</f>
        <v>124147.20000000001</v>
      </c>
      <c r="M31" s="123">
        <f t="shared" si="2"/>
        <v>8514.6853146853155</v>
      </c>
      <c r="N31" s="146">
        <f>Occ!G38</f>
        <v>551</v>
      </c>
      <c r="O31" s="97">
        <f>Occ!H38</f>
        <v>1147</v>
      </c>
      <c r="P31" s="145">
        <v>918</v>
      </c>
      <c r="Q31" s="149"/>
    </row>
    <row r="32" spans="1:17">
      <c r="A32" s="7" t="s">
        <v>14</v>
      </c>
      <c r="B32" s="7">
        <v>30</v>
      </c>
      <c r="C32" s="7">
        <v>1</v>
      </c>
      <c r="D32" s="113">
        <v>2023</v>
      </c>
      <c r="E32" s="140">
        <f>'Athens Daily - EL'!AP37</f>
        <v>36145</v>
      </c>
      <c r="F32" s="140">
        <f>'Athens Daily - EL'!AQ37</f>
        <v>28285</v>
      </c>
      <c r="G32" s="123">
        <f t="shared" si="1"/>
        <v>64430</v>
      </c>
      <c r="H32" s="140">
        <f>'Athens Daily - Water'!R36</f>
        <v>1379.26818</v>
      </c>
      <c r="I32" s="140">
        <f>'Athens Daily - Water'!S36</f>
        <v>370.05</v>
      </c>
      <c r="J32" s="119">
        <f t="shared" si="0"/>
        <v>1749.31818</v>
      </c>
      <c r="K32" s="140">
        <f>'Athens Daily - Gas'!BH38</f>
        <v>199444.75199999998</v>
      </c>
      <c r="L32" s="140">
        <f>'Athens Daily - Gas'!BI38</f>
        <v>119654.40000000001</v>
      </c>
      <c r="M32" s="123">
        <f t="shared" si="2"/>
        <v>8264.6763014763019</v>
      </c>
      <c r="N32" s="146">
        <f>Occ!G39</f>
        <v>568</v>
      </c>
      <c r="O32" s="97">
        <f>Occ!H39</f>
        <v>1147</v>
      </c>
      <c r="P32" s="145">
        <v>918</v>
      </c>
      <c r="Q32" s="149"/>
    </row>
    <row r="33" spans="1:17" ht="15.75" thickBot="1">
      <c r="A33" s="7" t="s">
        <v>14</v>
      </c>
      <c r="B33" s="7">
        <v>31</v>
      </c>
      <c r="C33" s="7">
        <v>1</v>
      </c>
      <c r="D33" s="113">
        <v>2023</v>
      </c>
      <c r="E33" s="140">
        <f>'Athens Daily - EL'!AP38</f>
        <v>37145</v>
      </c>
      <c r="F33" s="140">
        <f>'Athens Daily - EL'!AQ38</f>
        <v>28045</v>
      </c>
      <c r="G33" s="124">
        <f t="shared" si="1"/>
        <v>65190</v>
      </c>
      <c r="H33" s="140">
        <f>'Athens Daily - Water'!R37</f>
        <v>1218.134</v>
      </c>
      <c r="I33" s="140">
        <f>'Athens Daily - Water'!S37</f>
        <v>376.5</v>
      </c>
      <c r="J33" s="120">
        <f t="shared" si="0"/>
        <v>1594.634</v>
      </c>
      <c r="K33" s="140">
        <f>'Athens Daily - Gas'!BH39</f>
        <v>181719.88800000004</v>
      </c>
      <c r="L33" s="140">
        <f>'Athens Daily - Gas'!BI39</f>
        <v>113078.40000000001</v>
      </c>
      <c r="M33" s="124">
        <f t="shared" si="2"/>
        <v>7635.2832944832962</v>
      </c>
      <c r="N33" s="153">
        <f>Occ!G40</f>
        <v>587</v>
      </c>
      <c r="O33" s="144">
        <f>Occ!H40</f>
        <v>1157</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37" activePane="bottomRight" state="frozen"/>
      <selection activeCell="A4" sqref="A4"/>
      <selection pane="topRight" activeCell="C4" sqref="C4"/>
      <selection pane="bottomLeft" activeCell="A10" sqref="A10"/>
      <selection pane="bottomRight" activeCell="D41" sqref="D4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4" t="s">
        <v>22</v>
      </c>
      <c r="H8" s="205"/>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150</v>
      </c>
      <c r="D10" s="160">
        <v>308</v>
      </c>
      <c r="E10" s="135">
        <v>389</v>
      </c>
      <c r="F10" s="136">
        <v>907</v>
      </c>
      <c r="G10" s="152">
        <f>SUM(C10+E10)</f>
        <v>539</v>
      </c>
      <c r="H10" s="136">
        <f>D10+F10</f>
        <v>1215</v>
      </c>
      <c r="I10" s="133">
        <v>918</v>
      </c>
      <c r="J10" s="125"/>
      <c r="K10" s="125"/>
      <c r="L10" s="125"/>
      <c r="M10" s="125"/>
      <c r="N10" s="125"/>
    </row>
    <row r="11" spans="1:14">
      <c r="A11" s="125"/>
      <c r="B11" s="134" t="s">
        <v>29</v>
      </c>
      <c r="C11" s="159">
        <v>129</v>
      </c>
      <c r="D11" s="160">
        <v>240</v>
      </c>
      <c r="E11" s="135">
        <v>388</v>
      </c>
      <c r="F11" s="136">
        <v>904</v>
      </c>
      <c r="G11" s="152">
        <f t="shared" ref="G11:G40" si="0">SUM(C11+E11)</f>
        <v>517</v>
      </c>
      <c r="H11" s="136">
        <f t="shared" ref="H11:H14" si="1">D11+F11</f>
        <v>1144</v>
      </c>
      <c r="I11" s="133">
        <v>918</v>
      </c>
      <c r="J11" s="125"/>
      <c r="K11" s="125"/>
      <c r="L11" s="125"/>
      <c r="M11" s="125"/>
      <c r="N11" s="125"/>
    </row>
    <row r="12" spans="1:14">
      <c r="A12" s="125"/>
      <c r="B12" s="134" t="s">
        <v>30</v>
      </c>
      <c r="C12" s="159">
        <v>151</v>
      </c>
      <c r="D12" s="160">
        <v>280</v>
      </c>
      <c r="E12" s="135">
        <v>386</v>
      </c>
      <c r="F12" s="136">
        <v>900</v>
      </c>
      <c r="G12" s="152">
        <f t="shared" si="0"/>
        <v>537</v>
      </c>
      <c r="H12" s="136">
        <f t="shared" si="1"/>
        <v>1180</v>
      </c>
      <c r="I12" s="133">
        <v>918</v>
      </c>
      <c r="J12" s="125"/>
      <c r="K12" s="125"/>
      <c r="L12" s="125"/>
      <c r="M12" s="125"/>
      <c r="N12" s="125"/>
    </row>
    <row r="13" spans="1:14">
      <c r="A13" s="125"/>
      <c r="B13" s="134" t="s">
        <v>31</v>
      </c>
      <c r="C13" s="159">
        <v>150</v>
      </c>
      <c r="D13" s="160">
        <v>272</v>
      </c>
      <c r="E13" s="135">
        <v>386</v>
      </c>
      <c r="F13" s="136">
        <v>900</v>
      </c>
      <c r="G13" s="152">
        <f t="shared" si="0"/>
        <v>536</v>
      </c>
      <c r="H13" s="136">
        <f t="shared" si="1"/>
        <v>1172</v>
      </c>
      <c r="I13" s="133">
        <v>918</v>
      </c>
      <c r="J13" s="125"/>
      <c r="K13" s="125"/>
      <c r="L13" s="125"/>
      <c r="M13" s="125"/>
      <c r="N13" s="125"/>
    </row>
    <row r="14" spans="1:14">
      <c r="A14" s="125"/>
      <c r="B14" s="134" t="s">
        <v>32</v>
      </c>
      <c r="C14" s="159">
        <v>167</v>
      </c>
      <c r="D14" s="160">
        <v>297</v>
      </c>
      <c r="E14" s="135">
        <v>387</v>
      </c>
      <c r="F14" s="136">
        <v>904</v>
      </c>
      <c r="G14" s="152">
        <f t="shared" si="0"/>
        <v>554</v>
      </c>
      <c r="H14" s="136">
        <f t="shared" si="1"/>
        <v>1201</v>
      </c>
      <c r="I14" s="133">
        <v>918</v>
      </c>
      <c r="J14" s="125"/>
      <c r="K14" s="125"/>
      <c r="L14" s="125"/>
      <c r="M14" s="125"/>
      <c r="N14" s="125"/>
    </row>
    <row r="15" spans="1:14">
      <c r="A15" s="125"/>
      <c r="B15" s="134" t="s">
        <v>33</v>
      </c>
      <c r="C15" s="159">
        <v>172</v>
      </c>
      <c r="D15" s="160">
        <v>311</v>
      </c>
      <c r="E15" s="135">
        <v>386</v>
      </c>
      <c r="F15" s="136">
        <v>901</v>
      </c>
      <c r="G15" s="152">
        <f t="shared" si="0"/>
        <v>558</v>
      </c>
      <c r="H15" s="136">
        <f t="shared" ref="H15:H40" si="2">D15+F15</f>
        <v>1212</v>
      </c>
      <c r="I15" s="133">
        <v>918</v>
      </c>
      <c r="J15" s="125"/>
      <c r="K15" s="125"/>
      <c r="L15" s="125"/>
      <c r="M15" s="125"/>
      <c r="N15" s="125"/>
    </row>
    <row r="16" spans="1:14">
      <c r="A16" s="125"/>
      <c r="B16" s="134" t="s">
        <v>34</v>
      </c>
      <c r="C16" s="159">
        <v>184</v>
      </c>
      <c r="D16" s="160">
        <v>316</v>
      </c>
      <c r="E16" s="135">
        <v>385</v>
      </c>
      <c r="F16" s="136">
        <v>900</v>
      </c>
      <c r="G16" s="152">
        <f t="shared" si="0"/>
        <v>569</v>
      </c>
      <c r="H16" s="136">
        <f t="shared" si="2"/>
        <v>1216</v>
      </c>
      <c r="I16" s="133">
        <v>918</v>
      </c>
      <c r="J16" s="125"/>
      <c r="K16" s="125"/>
      <c r="L16" s="125"/>
      <c r="M16" s="125"/>
      <c r="N16" s="125"/>
    </row>
    <row r="17" spans="1:14">
      <c r="A17" s="125"/>
      <c r="B17" s="134" t="s">
        <v>35</v>
      </c>
      <c r="C17" s="159">
        <v>206</v>
      </c>
      <c r="D17" s="160">
        <v>315</v>
      </c>
      <c r="E17" s="135">
        <v>385</v>
      </c>
      <c r="F17" s="136">
        <v>896</v>
      </c>
      <c r="G17" s="152">
        <f t="shared" si="0"/>
        <v>591</v>
      </c>
      <c r="H17" s="136">
        <f t="shared" si="2"/>
        <v>1211</v>
      </c>
      <c r="I17" s="133">
        <v>918</v>
      </c>
      <c r="J17" s="125"/>
      <c r="K17" s="125"/>
      <c r="L17" s="125"/>
      <c r="M17" s="125"/>
      <c r="N17" s="125"/>
    </row>
    <row r="18" spans="1:14">
      <c r="A18" s="125"/>
      <c r="B18" s="134" t="s">
        <v>36</v>
      </c>
      <c r="C18" s="159">
        <v>259</v>
      </c>
      <c r="D18" s="160">
        <v>384</v>
      </c>
      <c r="E18" s="135">
        <v>381</v>
      </c>
      <c r="F18" s="136">
        <v>890</v>
      </c>
      <c r="G18" s="152">
        <f t="shared" si="0"/>
        <v>640</v>
      </c>
      <c r="H18" s="136">
        <f t="shared" si="2"/>
        <v>1274</v>
      </c>
      <c r="I18" s="133">
        <v>918</v>
      </c>
      <c r="J18" s="125"/>
      <c r="K18" s="125"/>
      <c r="L18" s="125"/>
      <c r="M18" s="125"/>
      <c r="N18" s="125"/>
    </row>
    <row r="19" spans="1:14">
      <c r="A19" s="125"/>
      <c r="B19" s="134" t="s">
        <v>37</v>
      </c>
      <c r="C19" s="159">
        <v>278</v>
      </c>
      <c r="D19" s="160">
        <v>414</v>
      </c>
      <c r="E19" s="135">
        <v>380</v>
      </c>
      <c r="F19" s="136">
        <v>888</v>
      </c>
      <c r="G19" s="152">
        <f t="shared" si="0"/>
        <v>658</v>
      </c>
      <c r="H19" s="136">
        <f t="shared" si="2"/>
        <v>1302</v>
      </c>
      <c r="I19" s="133">
        <v>918</v>
      </c>
      <c r="J19" s="125"/>
      <c r="K19" s="125"/>
      <c r="L19" s="125"/>
      <c r="M19" s="125"/>
      <c r="N19" s="125"/>
    </row>
    <row r="20" spans="1:14">
      <c r="A20" s="125"/>
      <c r="B20" s="134" t="s">
        <v>38</v>
      </c>
      <c r="C20" s="159">
        <v>271</v>
      </c>
      <c r="D20" s="160">
        <v>409</v>
      </c>
      <c r="E20" s="135">
        <v>380</v>
      </c>
      <c r="F20" s="136">
        <v>889</v>
      </c>
      <c r="G20" s="152">
        <f t="shared" si="0"/>
        <v>651</v>
      </c>
      <c r="H20" s="136">
        <f t="shared" si="2"/>
        <v>1298</v>
      </c>
      <c r="I20" s="133">
        <v>918</v>
      </c>
      <c r="J20" s="125"/>
      <c r="K20" s="125"/>
      <c r="L20" s="125"/>
      <c r="M20" s="125"/>
      <c r="N20" s="125"/>
    </row>
    <row r="21" spans="1:14">
      <c r="A21" s="125"/>
      <c r="B21" s="134" t="s">
        <v>39</v>
      </c>
      <c r="C21" s="159">
        <v>257</v>
      </c>
      <c r="D21" s="160">
        <v>387</v>
      </c>
      <c r="E21" s="152">
        <v>377</v>
      </c>
      <c r="F21" s="136">
        <v>874</v>
      </c>
      <c r="G21" s="152">
        <f t="shared" ref="G21:G34" si="3">SUM(C21+E21)</f>
        <v>634</v>
      </c>
      <c r="H21" s="136">
        <f t="shared" ref="H21:H34" si="4">D21+F21</f>
        <v>1261</v>
      </c>
      <c r="I21" s="133">
        <v>918</v>
      </c>
      <c r="J21" s="125"/>
      <c r="K21" s="125"/>
      <c r="L21" s="125"/>
      <c r="M21" s="125"/>
      <c r="N21" s="125"/>
    </row>
    <row r="22" spans="1:14">
      <c r="A22" s="125"/>
      <c r="B22" s="134" t="s">
        <v>40</v>
      </c>
      <c r="C22" s="159">
        <v>229</v>
      </c>
      <c r="D22" s="160">
        <v>368</v>
      </c>
      <c r="E22" s="152">
        <v>373</v>
      </c>
      <c r="F22" s="136">
        <v>866</v>
      </c>
      <c r="G22" s="152">
        <f t="shared" si="3"/>
        <v>602</v>
      </c>
      <c r="H22" s="136">
        <f t="shared" si="4"/>
        <v>1234</v>
      </c>
      <c r="I22" s="133">
        <v>918</v>
      </c>
      <c r="J22" s="125"/>
      <c r="K22" s="125"/>
      <c r="L22" s="125"/>
      <c r="M22" s="125"/>
      <c r="N22" s="125"/>
    </row>
    <row r="23" spans="1:14">
      <c r="A23" s="125"/>
      <c r="B23" s="134" t="s">
        <v>41</v>
      </c>
      <c r="C23" s="159">
        <v>228</v>
      </c>
      <c r="D23" s="160">
        <v>379</v>
      </c>
      <c r="E23" s="152">
        <v>370</v>
      </c>
      <c r="F23" s="136">
        <v>861</v>
      </c>
      <c r="G23" s="152">
        <f t="shared" si="3"/>
        <v>598</v>
      </c>
      <c r="H23" s="136">
        <f t="shared" si="4"/>
        <v>1240</v>
      </c>
      <c r="I23" s="133">
        <v>918</v>
      </c>
      <c r="J23" s="125"/>
      <c r="K23" s="125"/>
      <c r="L23" s="125"/>
      <c r="M23" s="125"/>
      <c r="N23" s="125"/>
    </row>
    <row r="24" spans="1:14">
      <c r="A24" s="125"/>
      <c r="B24" s="134" t="s">
        <v>42</v>
      </c>
      <c r="C24" s="159">
        <v>244</v>
      </c>
      <c r="D24" s="160">
        <v>390</v>
      </c>
      <c r="E24" s="152">
        <v>371</v>
      </c>
      <c r="F24" s="136">
        <v>864</v>
      </c>
      <c r="G24" s="152">
        <f t="shared" si="3"/>
        <v>615</v>
      </c>
      <c r="H24" s="136">
        <f t="shared" si="4"/>
        <v>1254</v>
      </c>
      <c r="I24" s="133">
        <v>918</v>
      </c>
      <c r="J24" s="125"/>
      <c r="K24" s="125"/>
      <c r="L24" s="125"/>
      <c r="M24" s="125"/>
      <c r="N24" s="125"/>
    </row>
    <row r="25" spans="1:14">
      <c r="A25" s="125"/>
      <c r="B25" s="134" t="s">
        <v>43</v>
      </c>
      <c r="C25" s="159">
        <v>241</v>
      </c>
      <c r="D25" s="160">
        <v>367</v>
      </c>
      <c r="E25" s="152">
        <v>371</v>
      </c>
      <c r="F25" s="136">
        <v>865</v>
      </c>
      <c r="G25" s="152">
        <f t="shared" si="3"/>
        <v>612</v>
      </c>
      <c r="H25" s="136">
        <f t="shared" si="4"/>
        <v>1232</v>
      </c>
      <c r="I25" s="133">
        <v>918</v>
      </c>
      <c r="J25" s="125"/>
      <c r="K25" s="125"/>
      <c r="L25" s="125"/>
      <c r="M25" s="125"/>
      <c r="N25" s="125"/>
    </row>
    <row r="26" spans="1:14">
      <c r="A26" s="125"/>
      <c r="B26" s="134" t="s">
        <v>44</v>
      </c>
      <c r="C26" s="159">
        <v>236</v>
      </c>
      <c r="D26" s="160">
        <v>348</v>
      </c>
      <c r="E26" s="152">
        <v>371</v>
      </c>
      <c r="F26" s="136">
        <v>863</v>
      </c>
      <c r="G26" s="152">
        <f t="shared" si="3"/>
        <v>607</v>
      </c>
      <c r="H26" s="136">
        <f t="shared" si="4"/>
        <v>1211</v>
      </c>
      <c r="I26" s="133">
        <v>918</v>
      </c>
      <c r="J26" s="125"/>
      <c r="K26" s="125"/>
      <c r="L26" s="125"/>
      <c r="M26" s="125"/>
      <c r="N26" s="125"/>
    </row>
    <row r="27" spans="1:14">
      <c r="A27" s="125"/>
      <c r="B27" s="134" t="s">
        <v>45</v>
      </c>
      <c r="C27" s="159">
        <v>202</v>
      </c>
      <c r="D27" s="160">
        <v>318</v>
      </c>
      <c r="E27" s="152">
        <v>370</v>
      </c>
      <c r="F27" s="136">
        <v>859</v>
      </c>
      <c r="G27" s="152">
        <f t="shared" si="3"/>
        <v>572</v>
      </c>
      <c r="H27" s="136">
        <f t="shared" si="4"/>
        <v>1177</v>
      </c>
      <c r="I27" s="133">
        <v>918</v>
      </c>
      <c r="J27" s="125"/>
      <c r="K27" s="125"/>
      <c r="L27" s="125"/>
      <c r="M27" s="125"/>
      <c r="N27" s="125"/>
    </row>
    <row r="28" spans="1:14">
      <c r="A28" s="125"/>
      <c r="B28" s="134" t="s">
        <v>46</v>
      </c>
      <c r="C28" s="159">
        <v>171</v>
      </c>
      <c r="D28" s="160">
        <v>279</v>
      </c>
      <c r="E28" s="152">
        <v>370</v>
      </c>
      <c r="F28" s="136">
        <v>861</v>
      </c>
      <c r="G28" s="152">
        <f t="shared" si="3"/>
        <v>541</v>
      </c>
      <c r="H28" s="136">
        <f t="shared" si="4"/>
        <v>1140</v>
      </c>
      <c r="I28" s="133">
        <v>918</v>
      </c>
      <c r="J28" s="125"/>
      <c r="K28" s="125"/>
      <c r="L28" s="125"/>
      <c r="M28" s="125"/>
      <c r="N28" s="125"/>
    </row>
    <row r="29" spans="1:14">
      <c r="A29" s="125"/>
      <c r="B29" s="134" t="s">
        <v>47</v>
      </c>
      <c r="C29" s="135">
        <v>156</v>
      </c>
      <c r="D29" s="136">
        <v>286</v>
      </c>
      <c r="E29" s="152">
        <v>373</v>
      </c>
      <c r="F29" s="136">
        <v>865</v>
      </c>
      <c r="G29" s="152">
        <f t="shared" si="3"/>
        <v>529</v>
      </c>
      <c r="H29" s="136">
        <f t="shared" si="4"/>
        <v>1151</v>
      </c>
      <c r="I29" s="133">
        <v>918</v>
      </c>
      <c r="J29" s="125"/>
      <c r="K29" s="125"/>
      <c r="L29" s="125"/>
      <c r="M29" s="125"/>
      <c r="N29" s="125"/>
    </row>
    <row r="30" spans="1:14">
      <c r="A30" s="125"/>
      <c r="B30" s="134" t="s">
        <v>48</v>
      </c>
      <c r="C30" s="135">
        <v>173</v>
      </c>
      <c r="D30" s="136">
        <v>338</v>
      </c>
      <c r="E30" s="152">
        <v>372</v>
      </c>
      <c r="F30" s="136">
        <v>858</v>
      </c>
      <c r="G30" s="152">
        <f t="shared" si="3"/>
        <v>545</v>
      </c>
      <c r="H30" s="136">
        <f t="shared" si="4"/>
        <v>1196</v>
      </c>
      <c r="I30" s="133">
        <v>918</v>
      </c>
      <c r="J30" s="125"/>
      <c r="K30" s="125"/>
      <c r="L30" s="125"/>
      <c r="M30" s="125"/>
      <c r="N30" s="125"/>
    </row>
    <row r="31" spans="1:14">
      <c r="A31" s="125"/>
      <c r="B31" s="134" t="s">
        <v>49</v>
      </c>
      <c r="C31" s="135">
        <v>182</v>
      </c>
      <c r="D31" s="136">
        <v>359</v>
      </c>
      <c r="E31" s="152">
        <v>369</v>
      </c>
      <c r="F31" s="136">
        <v>849</v>
      </c>
      <c r="G31" s="152">
        <f t="shared" si="3"/>
        <v>551</v>
      </c>
      <c r="H31" s="136">
        <f t="shared" si="4"/>
        <v>1208</v>
      </c>
      <c r="I31" s="133">
        <v>918</v>
      </c>
      <c r="J31" s="125"/>
      <c r="K31" s="125"/>
      <c r="L31" s="125"/>
      <c r="M31" s="125"/>
      <c r="N31" s="125"/>
    </row>
    <row r="32" spans="1:14">
      <c r="A32" s="125"/>
      <c r="B32" s="134" t="s">
        <v>50</v>
      </c>
      <c r="C32" s="135">
        <v>208</v>
      </c>
      <c r="D32" s="136">
        <v>425</v>
      </c>
      <c r="E32" s="152">
        <v>370</v>
      </c>
      <c r="F32" s="136">
        <v>852</v>
      </c>
      <c r="G32" s="152">
        <f t="shared" si="3"/>
        <v>578</v>
      </c>
      <c r="H32" s="136">
        <f t="shared" si="4"/>
        <v>1277</v>
      </c>
      <c r="I32" s="133">
        <v>918</v>
      </c>
      <c r="J32" s="125"/>
      <c r="K32" s="125"/>
      <c r="L32" s="125"/>
      <c r="M32" s="125"/>
      <c r="N32" s="125"/>
    </row>
    <row r="33" spans="1:14">
      <c r="A33" s="125"/>
      <c r="B33" s="134" t="s">
        <v>51</v>
      </c>
      <c r="C33" s="135">
        <v>228</v>
      </c>
      <c r="D33" s="136">
        <v>457</v>
      </c>
      <c r="E33" s="152">
        <v>372</v>
      </c>
      <c r="F33" s="136">
        <v>851</v>
      </c>
      <c r="G33" s="152">
        <f t="shared" si="3"/>
        <v>600</v>
      </c>
      <c r="H33" s="136">
        <f t="shared" si="4"/>
        <v>1308</v>
      </c>
      <c r="I33" s="133">
        <v>918</v>
      </c>
      <c r="J33" s="125"/>
      <c r="K33" s="125"/>
      <c r="L33" s="125"/>
      <c r="M33" s="125"/>
      <c r="N33" s="125"/>
    </row>
    <row r="34" spans="1:14">
      <c r="A34" s="125"/>
      <c r="B34" s="134" t="s">
        <v>52</v>
      </c>
      <c r="C34" s="135">
        <v>255</v>
      </c>
      <c r="D34" s="136">
        <v>513</v>
      </c>
      <c r="E34" s="152">
        <v>368</v>
      </c>
      <c r="F34" s="136">
        <v>841</v>
      </c>
      <c r="G34" s="152">
        <f t="shared" si="3"/>
        <v>623</v>
      </c>
      <c r="H34" s="136">
        <f t="shared" si="4"/>
        <v>1354</v>
      </c>
      <c r="I34" s="133">
        <v>918</v>
      </c>
      <c r="J34" s="125"/>
      <c r="K34" s="125"/>
      <c r="L34" s="125"/>
      <c r="M34" s="125"/>
      <c r="N34" s="125"/>
    </row>
    <row r="35" spans="1:14">
      <c r="A35" s="125"/>
      <c r="B35" s="134" t="s">
        <v>53</v>
      </c>
      <c r="C35" s="135">
        <v>289</v>
      </c>
      <c r="D35" s="136">
        <v>598</v>
      </c>
      <c r="E35" s="135">
        <v>367</v>
      </c>
      <c r="F35" s="136">
        <v>836</v>
      </c>
      <c r="G35" s="152">
        <f t="shared" si="0"/>
        <v>656</v>
      </c>
      <c r="H35" s="136">
        <f t="shared" si="2"/>
        <v>1434</v>
      </c>
      <c r="I35" s="133">
        <v>918</v>
      </c>
      <c r="J35" s="125"/>
      <c r="K35" s="125"/>
      <c r="L35" s="125"/>
      <c r="M35" s="125"/>
      <c r="N35" s="125"/>
    </row>
    <row r="36" spans="1:14">
      <c r="A36" s="125"/>
      <c r="B36" s="134" t="s">
        <v>54</v>
      </c>
      <c r="C36" s="135">
        <v>271</v>
      </c>
      <c r="D36" s="136">
        <v>554</v>
      </c>
      <c r="E36" s="135">
        <v>367</v>
      </c>
      <c r="F36" s="136">
        <v>834</v>
      </c>
      <c r="G36" s="152">
        <f t="shared" si="0"/>
        <v>638</v>
      </c>
      <c r="H36" s="136">
        <f t="shared" si="2"/>
        <v>1388</v>
      </c>
      <c r="I36" s="133">
        <v>918</v>
      </c>
      <c r="J36" s="125"/>
      <c r="K36" s="125"/>
      <c r="L36" s="125"/>
      <c r="M36" s="125"/>
      <c r="N36" s="125"/>
    </row>
    <row r="37" spans="1:14">
      <c r="A37" s="125"/>
      <c r="B37" s="134" t="s">
        <v>55</v>
      </c>
      <c r="C37" s="135">
        <v>208</v>
      </c>
      <c r="D37" s="136">
        <v>417</v>
      </c>
      <c r="E37" s="135">
        <v>366</v>
      </c>
      <c r="F37" s="136">
        <v>829</v>
      </c>
      <c r="G37" s="152">
        <f t="shared" si="0"/>
        <v>574</v>
      </c>
      <c r="H37" s="136">
        <f t="shared" si="2"/>
        <v>1246</v>
      </c>
      <c r="I37" s="133">
        <v>918</v>
      </c>
      <c r="J37" s="125"/>
      <c r="K37" s="125"/>
      <c r="L37" s="125"/>
      <c r="M37" s="125"/>
      <c r="N37" s="125"/>
    </row>
    <row r="38" spans="1:14" s="163" customFormat="1">
      <c r="A38" s="157"/>
      <c r="B38" s="158" t="s">
        <v>56</v>
      </c>
      <c r="C38" s="159">
        <v>184</v>
      </c>
      <c r="D38" s="136">
        <v>316</v>
      </c>
      <c r="E38" s="159">
        <v>367</v>
      </c>
      <c r="F38" s="160">
        <v>831</v>
      </c>
      <c r="G38" s="161">
        <f t="shared" si="0"/>
        <v>551</v>
      </c>
      <c r="H38" s="160">
        <f t="shared" si="2"/>
        <v>1147</v>
      </c>
      <c r="I38" s="162">
        <v>918</v>
      </c>
      <c r="J38" s="157"/>
      <c r="K38" s="157"/>
      <c r="L38" s="157"/>
      <c r="M38" s="157"/>
      <c r="N38" s="157"/>
    </row>
    <row r="39" spans="1:14" s="163" customFormat="1">
      <c r="A39" s="157"/>
      <c r="B39" s="158" t="s">
        <v>57</v>
      </c>
      <c r="C39" s="159">
        <v>196</v>
      </c>
      <c r="D39" s="160">
        <v>307</v>
      </c>
      <c r="E39" s="159">
        <v>372</v>
      </c>
      <c r="F39" s="160">
        <v>840</v>
      </c>
      <c r="G39" s="161">
        <f t="shared" si="0"/>
        <v>568</v>
      </c>
      <c r="H39" s="160">
        <f t="shared" si="2"/>
        <v>1147</v>
      </c>
      <c r="I39" s="162">
        <v>918</v>
      </c>
      <c r="J39" s="157"/>
      <c r="K39" s="157"/>
      <c r="L39" s="157"/>
      <c r="M39" s="157"/>
      <c r="N39" s="157"/>
    </row>
    <row r="40" spans="1:14" s="163" customFormat="1" ht="15.75" thickBot="1">
      <c r="A40" s="157"/>
      <c r="B40" s="158" t="s">
        <v>58</v>
      </c>
      <c r="C40" s="164">
        <v>226</v>
      </c>
      <c r="D40" s="165">
        <v>342</v>
      </c>
      <c r="E40" s="164">
        <v>361</v>
      </c>
      <c r="F40" s="165">
        <v>815</v>
      </c>
      <c r="G40" s="166">
        <f t="shared" si="0"/>
        <v>587</v>
      </c>
      <c r="H40" s="165">
        <f t="shared" si="2"/>
        <v>1157</v>
      </c>
      <c r="I40" s="162">
        <v>918</v>
      </c>
      <c r="J40" s="157"/>
      <c r="K40" s="157"/>
      <c r="L40" s="157"/>
      <c r="M40" s="157"/>
      <c r="N40" s="157"/>
    </row>
    <row r="41" spans="1:14">
      <c r="C41" s="3">
        <f>SUM(C10:C40)</f>
        <v>6501</v>
      </c>
      <c r="D41" s="111">
        <f>SUM(D10:D40)</f>
        <v>11294</v>
      </c>
      <c r="E41" s="111">
        <f>SUM(E10:E40)</f>
        <v>11630</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35450</v>
      </c>
      <c r="F2" s="97"/>
      <c r="G2" s="97">
        <f>'Athens Daily - Gas'!BH9</f>
        <v>119405</v>
      </c>
      <c r="H2" s="97">
        <f>G2/38.3</f>
        <v>3117.6240208877289</v>
      </c>
      <c r="I2" s="97"/>
      <c r="J2" s="97">
        <f>'Athens Daily - Water'!R7</f>
        <v>463.6</v>
      </c>
      <c r="K2" s="97"/>
      <c r="L2" s="98">
        <v>142</v>
      </c>
      <c r="M2" s="97">
        <f>L2*2</f>
        <v>284</v>
      </c>
      <c r="N2" s="95">
        <v>10</v>
      </c>
    </row>
    <row r="3" spans="1:14">
      <c r="A3" s="7" t="s">
        <v>14</v>
      </c>
      <c r="B3" s="7">
        <v>2</v>
      </c>
      <c r="C3" s="7">
        <v>1</v>
      </c>
      <c r="D3" s="7">
        <v>2021</v>
      </c>
      <c r="E3" s="97">
        <f>'Athens Daily - EL'!AP9</f>
        <v>33155</v>
      </c>
      <c r="F3" s="97"/>
      <c r="G3" s="97">
        <f>'Athens Daily - Gas'!BH11</f>
        <v>233049.59999999998</v>
      </c>
      <c r="H3" s="97">
        <f t="shared" ref="H3:H32" si="0">G3/38.3</f>
        <v>6084.8459530026112</v>
      </c>
      <c r="I3" s="97"/>
      <c r="J3" s="97">
        <f>'Athens Daily - Water'!R8</f>
        <v>857</v>
      </c>
      <c r="K3" s="97"/>
      <c r="L3" s="98">
        <v>102</v>
      </c>
      <c r="M3" s="97">
        <f t="shared" ref="M3:M32" si="1">L3*2</f>
        <v>204</v>
      </c>
      <c r="N3" s="95">
        <v>12</v>
      </c>
    </row>
    <row r="4" spans="1:14">
      <c r="A4" s="7" t="s">
        <v>14</v>
      </c>
      <c r="B4" s="7">
        <v>3</v>
      </c>
      <c r="C4" s="7">
        <v>1</v>
      </c>
      <c r="D4" s="7">
        <v>2021</v>
      </c>
      <c r="E4" s="97">
        <f>'Athens Daily - EL'!AP10</f>
        <v>34795</v>
      </c>
      <c r="F4" s="97"/>
      <c r="G4" s="97">
        <f>'Athens Daily - Gas'!BH12</f>
        <v>171561.59999999998</v>
      </c>
      <c r="H4" s="97">
        <f t="shared" si="0"/>
        <v>4479.4151436031325</v>
      </c>
      <c r="I4" s="97"/>
      <c r="J4" s="97">
        <f>'Athens Daily - Water'!R9</f>
        <v>526.75</v>
      </c>
      <c r="K4" s="97"/>
      <c r="L4" s="98">
        <v>55</v>
      </c>
      <c r="M4" s="97">
        <f t="shared" si="1"/>
        <v>110</v>
      </c>
      <c r="N4" s="95">
        <v>15</v>
      </c>
    </row>
    <row r="5" spans="1:14">
      <c r="A5" s="7" t="s">
        <v>14</v>
      </c>
      <c r="B5" s="7">
        <v>4</v>
      </c>
      <c r="C5" s="7">
        <v>1</v>
      </c>
      <c r="D5" s="7">
        <v>2021</v>
      </c>
      <c r="E5" s="97">
        <f>'Athens Daily - EL'!AP11</f>
        <v>34275</v>
      </c>
      <c r="F5" s="97"/>
      <c r="G5" s="97">
        <f>'Athens Daily - Gas'!BH13</f>
        <v>173923.20000000001</v>
      </c>
      <c r="H5" s="97">
        <f t="shared" si="0"/>
        <v>4541.0757180156661</v>
      </c>
      <c r="I5" s="97"/>
      <c r="J5" s="97">
        <f>'Athens Daily - Water'!R10</f>
        <v>579.70000000000005</v>
      </c>
      <c r="K5" s="97"/>
      <c r="L5" s="98">
        <v>45</v>
      </c>
      <c r="M5" s="97">
        <f t="shared" si="1"/>
        <v>90</v>
      </c>
      <c r="N5" s="95">
        <v>17</v>
      </c>
    </row>
    <row r="6" spans="1:14">
      <c r="A6" s="7" t="s">
        <v>14</v>
      </c>
      <c r="B6" s="7">
        <v>5</v>
      </c>
      <c r="C6" s="7">
        <v>1</v>
      </c>
      <c r="D6" s="7">
        <v>2021</v>
      </c>
      <c r="E6" s="97">
        <f>'Athens Daily - EL'!AP12</f>
        <v>35695</v>
      </c>
      <c r="F6" s="97"/>
      <c r="G6" s="97">
        <f>'Athens Daily - Gas'!BH14</f>
        <v>163286.39999999999</v>
      </c>
      <c r="H6" s="97">
        <f t="shared" si="0"/>
        <v>4263.352480417755</v>
      </c>
      <c r="I6" s="97"/>
      <c r="J6" s="97">
        <f>'Athens Daily - Water'!R11</f>
        <v>592.5</v>
      </c>
      <c r="K6" s="97"/>
      <c r="L6" s="98">
        <v>34</v>
      </c>
      <c r="M6" s="97">
        <f t="shared" si="1"/>
        <v>68</v>
      </c>
      <c r="N6" s="95">
        <v>15</v>
      </c>
    </row>
    <row r="7" spans="1:14">
      <c r="A7" s="7" t="s">
        <v>14</v>
      </c>
      <c r="B7" s="7">
        <v>6</v>
      </c>
      <c r="C7" s="7">
        <v>1</v>
      </c>
      <c r="D7" s="7">
        <v>2021</v>
      </c>
      <c r="E7" s="97">
        <f>'Athens Daily - EL'!AP13</f>
        <v>36745</v>
      </c>
      <c r="F7" s="97"/>
      <c r="G7" s="97">
        <f>'Athens Daily - Gas'!BH15</f>
        <v>159734.39999999999</v>
      </c>
      <c r="H7" s="97">
        <f t="shared" si="0"/>
        <v>4170.6109660574411</v>
      </c>
      <c r="I7" s="97"/>
      <c r="J7" s="97">
        <f>'Athens Daily - Water'!R12</f>
        <v>569.75</v>
      </c>
      <c r="K7" s="97"/>
      <c r="L7" s="98">
        <v>36</v>
      </c>
      <c r="M7" s="97">
        <f t="shared" si="1"/>
        <v>72</v>
      </c>
      <c r="N7" s="95"/>
    </row>
    <row r="8" spans="1:14">
      <c r="A8" s="7" t="s">
        <v>14</v>
      </c>
      <c r="B8" s="7">
        <v>7</v>
      </c>
      <c r="C8" s="7">
        <v>1</v>
      </c>
      <c r="D8" s="7">
        <v>2021</v>
      </c>
      <c r="E8" s="97">
        <f>'Athens Daily - EL'!AP14</f>
        <v>37390</v>
      </c>
      <c r="F8" s="97"/>
      <c r="G8" s="97">
        <f>'Athens Daily - Gas'!BH16</f>
        <v>170441.23199999996</v>
      </c>
      <c r="H8" s="97">
        <f t="shared" si="0"/>
        <v>4450.1627154046992</v>
      </c>
      <c r="I8" s="97"/>
      <c r="J8" s="97">
        <f>'Athens Daily - Water'!R13</f>
        <v>577.45000000000005</v>
      </c>
      <c r="K8" s="97"/>
      <c r="L8" s="98">
        <v>60</v>
      </c>
      <c r="M8" s="97">
        <f t="shared" si="1"/>
        <v>120</v>
      </c>
      <c r="N8" s="95"/>
    </row>
    <row r="9" spans="1:14">
      <c r="A9" s="7" t="s">
        <v>14</v>
      </c>
      <c r="B9" s="7">
        <v>8</v>
      </c>
      <c r="C9" s="7">
        <v>1</v>
      </c>
      <c r="D9" s="7">
        <v>2021</v>
      </c>
      <c r="E9" s="97">
        <f>'Athens Daily - EL'!AP15</f>
        <v>35780</v>
      </c>
      <c r="F9" s="97"/>
      <c r="G9" s="97">
        <f>'Athens Daily - Gas'!BH17</f>
        <v>163172.49600000004</v>
      </c>
      <c r="H9" s="97">
        <f t="shared" si="0"/>
        <v>4260.3784856396878</v>
      </c>
      <c r="I9" s="97"/>
      <c r="J9" s="97">
        <f>'Athens Daily - Water'!R14</f>
        <v>686.46837000000005</v>
      </c>
      <c r="K9" s="97"/>
      <c r="L9" s="98">
        <v>64</v>
      </c>
      <c r="M9" s="97">
        <f t="shared" si="1"/>
        <v>128</v>
      </c>
      <c r="N9" s="95"/>
    </row>
    <row r="10" spans="1:14">
      <c r="A10" s="7" t="s">
        <v>14</v>
      </c>
      <c r="B10" s="7">
        <v>9</v>
      </c>
      <c r="C10" s="7">
        <v>1</v>
      </c>
      <c r="D10" s="7">
        <v>2021</v>
      </c>
      <c r="E10" s="97">
        <f>'Athens Daily - EL'!AP16</f>
        <v>35505</v>
      </c>
      <c r="F10" s="97"/>
      <c r="G10" s="97">
        <f>'Athens Daily - Gas'!BH18</f>
        <v>163669.91999999998</v>
      </c>
      <c r="H10" s="97">
        <f t="shared" si="0"/>
        <v>4273.3660574412534</v>
      </c>
      <c r="I10" s="97"/>
      <c r="J10" s="97">
        <f>'Athens Daily - Water'!R15</f>
        <v>656.33325000000002</v>
      </c>
      <c r="K10" s="97"/>
      <c r="L10" s="98">
        <v>100</v>
      </c>
      <c r="M10" s="97">
        <f t="shared" si="1"/>
        <v>200</v>
      </c>
      <c r="N10" s="95">
        <v>9</v>
      </c>
    </row>
    <row r="11" spans="1:14">
      <c r="A11" s="7" t="s">
        <v>14</v>
      </c>
      <c r="B11" s="7">
        <v>10</v>
      </c>
      <c r="C11" s="7">
        <v>1</v>
      </c>
      <c r="D11" s="7">
        <v>2021</v>
      </c>
      <c r="E11" s="97">
        <f>'Athens Daily - EL'!AP17</f>
        <v>37630</v>
      </c>
      <c r="F11" s="97"/>
      <c r="G11" s="97">
        <f>'Athens Daily - Gas'!BH19</f>
        <v>165081.35999999993</v>
      </c>
      <c r="H11" s="97">
        <f t="shared" si="0"/>
        <v>4310.2182767624008</v>
      </c>
      <c r="I11" s="97"/>
      <c r="J11" s="97">
        <f>'Athens Daily - Water'!R16</f>
        <v>595.79837999999995</v>
      </c>
      <c r="K11" s="97"/>
      <c r="L11" s="98">
        <v>63</v>
      </c>
      <c r="M11" s="97">
        <f t="shared" si="1"/>
        <v>126</v>
      </c>
      <c r="N11" s="95">
        <v>12</v>
      </c>
    </row>
    <row r="12" spans="1:14">
      <c r="A12" s="7" t="s">
        <v>14</v>
      </c>
      <c r="B12" s="7">
        <v>11</v>
      </c>
      <c r="C12" s="7">
        <v>1</v>
      </c>
      <c r="D12" s="7">
        <v>2021</v>
      </c>
      <c r="E12" s="97">
        <f>'Athens Daily - EL'!AP18</f>
        <v>38030</v>
      </c>
      <c r="F12" s="97"/>
      <c r="G12" s="97">
        <f>'Athens Daily - Gas'!BH20</f>
        <v>169902.57600000006</v>
      </c>
      <c r="H12" s="97">
        <f t="shared" si="0"/>
        <v>4436.0985900783307</v>
      </c>
      <c r="I12" s="97"/>
      <c r="J12" s="97">
        <f>'Athens Daily - Water'!R17</f>
        <v>621.48</v>
      </c>
      <c r="K12" s="97"/>
      <c r="L12" s="98">
        <v>39</v>
      </c>
      <c r="M12" s="97">
        <f t="shared" si="1"/>
        <v>78</v>
      </c>
      <c r="N12" s="95">
        <v>12</v>
      </c>
    </row>
    <row r="13" spans="1:14">
      <c r="A13" s="7" t="s">
        <v>14</v>
      </c>
      <c r="B13" s="7">
        <v>12</v>
      </c>
      <c r="C13" s="7">
        <v>1</v>
      </c>
      <c r="D13" s="7">
        <v>2021</v>
      </c>
      <c r="E13" s="97">
        <f>'Athens Daily - EL'!AP19</f>
        <v>37775</v>
      </c>
      <c r="F13" s="97"/>
      <c r="G13" s="97">
        <f>'Athens Daily - Gas'!BH21</f>
        <v>173301.74400000001</v>
      </c>
      <c r="H13" s="97">
        <f t="shared" si="0"/>
        <v>4524.8497127937344</v>
      </c>
      <c r="I13" s="97"/>
      <c r="J13" s="97">
        <f>'Athens Daily - Water'!R18</f>
        <v>661.69</v>
      </c>
      <c r="K13" s="97"/>
      <c r="L13" s="98">
        <v>43</v>
      </c>
      <c r="M13" s="97">
        <f t="shared" si="1"/>
        <v>86</v>
      </c>
      <c r="N13" s="95">
        <v>10</v>
      </c>
    </row>
    <row r="14" spans="1:14">
      <c r="A14" s="7" t="s">
        <v>14</v>
      </c>
      <c r="B14" s="7">
        <v>13</v>
      </c>
      <c r="C14" s="7">
        <v>1</v>
      </c>
      <c r="D14" s="7">
        <v>2021</v>
      </c>
      <c r="E14" s="97">
        <f>'Athens Daily - EL'!AP20</f>
        <v>40770</v>
      </c>
      <c r="F14" s="97"/>
      <c r="G14" s="97">
        <f>'Athens Daily - Gas'!BH22</f>
        <v>171988.65600000002</v>
      </c>
      <c r="H14" s="97">
        <f t="shared" si="0"/>
        <v>4490.5654308093999</v>
      </c>
      <c r="I14" s="97"/>
      <c r="J14" s="97">
        <f>'Athens Daily - Water'!R19</f>
        <v>628.19199999999989</v>
      </c>
      <c r="K14" s="97"/>
      <c r="L14" s="98">
        <v>46</v>
      </c>
      <c r="M14" s="97">
        <f t="shared" si="1"/>
        <v>92</v>
      </c>
      <c r="N14" s="95">
        <v>12</v>
      </c>
    </row>
    <row r="15" spans="1:14">
      <c r="A15" s="7" t="s">
        <v>14</v>
      </c>
      <c r="B15" s="7">
        <v>14</v>
      </c>
      <c r="C15" s="7">
        <v>1</v>
      </c>
      <c r="D15" s="7">
        <v>2021</v>
      </c>
      <c r="E15" s="97">
        <f>'Athens Daily - EL'!AP21</f>
        <v>39280</v>
      </c>
      <c r="F15" s="97"/>
      <c r="G15" s="97">
        <f>'Athens Daily - Gas'!BH23</f>
        <v>157072.41599999997</v>
      </c>
      <c r="H15" s="97">
        <f t="shared" si="0"/>
        <v>4101.1074673629237</v>
      </c>
      <c r="I15" s="97"/>
      <c r="J15" s="97">
        <f>'Athens Daily - Water'!R20</f>
        <v>704.56500000000005</v>
      </c>
      <c r="K15" s="97"/>
      <c r="L15" s="98">
        <v>55</v>
      </c>
      <c r="M15" s="97">
        <f t="shared" si="1"/>
        <v>110</v>
      </c>
      <c r="N15" s="95">
        <v>13</v>
      </c>
    </row>
    <row r="16" spans="1:14">
      <c r="A16" s="7" t="s">
        <v>14</v>
      </c>
      <c r="B16" s="7">
        <v>15</v>
      </c>
      <c r="C16" s="7">
        <v>1</v>
      </c>
      <c r="D16" s="7">
        <v>2021</v>
      </c>
      <c r="E16" s="97">
        <f>'Athens Daily - EL'!AP22</f>
        <v>38700</v>
      </c>
      <c r="F16" s="97"/>
      <c r="G16" s="97">
        <f>'Athens Daily - Gas'!BH24</f>
        <v>178793.52</v>
      </c>
      <c r="H16" s="97">
        <f t="shared" si="0"/>
        <v>4668.2381201044391</v>
      </c>
      <c r="I16" s="97"/>
      <c r="J16" s="97">
        <f>'Athens Daily - Water'!R21</f>
        <v>664.72300000000007</v>
      </c>
      <c r="K16" s="97"/>
      <c r="L16" s="98">
        <v>74</v>
      </c>
      <c r="M16" s="97">
        <f t="shared" si="1"/>
        <v>148</v>
      </c>
      <c r="N16" s="95">
        <v>13</v>
      </c>
    </row>
    <row r="17" spans="1:14">
      <c r="A17" s="7" t="s">
        <v>14</v>
      </c>
      <c r="B17" s="7">
        <v>16</v>
      </c>
      <c r="C17" s="7">
        <v>1</v>
      </c>
      <c r="D17" s="7">
        <v>2021</v>
      </c>
      <c r="E17" s="97">
        <f>'Athens Daily - EL'!AP23</f>
        <v>33515</v>
      </c>
      <c r="F17" s="97"/>
      <c r="G17" s="97">
        <f>'Athens Daily - Gas'!BH25</f>
        <v>191501.76</v>
      </c>
      <c r="H17" s="97">
        <f t="shared" si="0"/>
        <v>5000.0459530026119</v>
      </c>
      <c r="I17" s="97"/>
      <c r="J17" s="97">
        <f>'Athens Daily - Water'!R22</f>
        <v>664.351</v>
      </c>
      <c r="K17" s="97"/>
      <c r="L17" s="98">
        <v>149</v>
      </c>
      <c r="M17" s="97">
        <f t="shared" si="1"/>
        <v>298</v>
      </c>
      <c r="N17" s="99"/>
    </row>
    <row r="18" spans="1:14">
      <c r="A18" s="7" t="s">
        <v>14</v>
      </c>
      <c r="B18" s="7">
        <v>17</v>
      </c>
      <c r="C18" s="7">
        <v>1</v>
      </c>
      <c r="D18" s="7">
        <v>2021</v>
      </c>
      <c r="E18" s="97">
        <f>'Athens Daily - EL'!AP24</f>
        <v>35385</v>
      </c>
      <c r="F18" s="97"/>
      <c r="G18" s="97">
        <f>'Athens Daily - Gas'!BH26</f>
        <v>204735.11999999997</v>
      </c>
      <c r="H18" s="97">
        <f t="shared" si="0"/>
        <v>5345.5644908616187</v>
      </c>
      <c r="I18" s="97"/>
      <c r="J18" s="97">
        <f>'Athens Daily - Water'!R23</f>
        <v>619.06600000000003</v>
      </c>
      <c r="K18" s="97"/>
      <c r="L18" s="98">
        <v>64</v>
      </c>
      <c r="M18" s="97">
        <f t="shared" si="1"/>
        <v>128</v>
      </c>
      <c r="N18" s="99"/>
    </row>
    <row r="19" spans="1:14">
      <c r="A19" s="7" t="s">
        <v>14</v>
      </c>
      <c r="B19" s="7">
        <v>18</v>
      </c>
      <c r="C19" s="7">
        <v>1</v>
      </c>
      <c r="D19" s="7">
        <v>2021</v>
      </c>
      <c r="E19" s="97">
        <f>'Athens Daily - EL'!AP25</f>
        <v>34545</v>
      </c>
      <c r="F19" s="97"/>
      <c r="G19" s="97">
        <f>'Athens Daily - Gas'!BH27</f>
        <v>192105.59999999998</v>
      </c>
      <c r="H19" s="97">
        <f t="shared" si="0"/>
        <v>5015.812010443864</v>
      </c>
      <c r="I19" s="97"/>
      <c r="J19" s="97">
        <f>'Athens Daily - Water'!R24</f>
        <v>650.63299999999992</v>
      </c>
      <c r="K19" s="97"/>
      <c r="L19" s="98">
        <v>58</v>
      </c>
      <c r="M19" s="97">
        <f t="shared" si="1"/>
        <v>116</v>
      </c>
      <c r="N19" s="99"/>
    </row>
    <row r="20" spans="1:14">
      <c r="A20" s="7" t="s">
        <v>14</v>
      </c>
      <c r="B20" s="7">
        <v>19</v>
      </c>
      <c r="C20" s="7">
        <v>1</v>
      </c>
      <c r="D20" s="7">
        <v>2021</v>
      </c>
      <c r="E20" s="97">
        <f>'Athens Daily - EL'!AP26</f>
        <v>37355</v>
      </c>
      <c r="F20" s="97"/>
      <c r="G20" s="97">
        <f>'Athens Daily - Gas'!BH28</f>
        <v>186700.79999999999</v>
      </c>
      <c r="H20" s="97">
        <f t="shared" si="0"/>
        <v>4874.6945169712799</v>
      </c>
      <c r="I20" s="97"/>
      <c r="J20" s="97">
        <f>'Athens Daily - Water'!R25</f>
        <v>550.35</v>
      </c>
      <c r="K20" s="97"/>
      <c r="L20" s="98">
        <v>69</v>
      </c>
      <c r="M20" s="97">
        <f t="shared" si="1"/>
        <v>138</v>
      </c>
      <c r="N20" s="99"/>
    </row>
    <row r="21" spans="1:14">
      <c r="A21" s="7" t="s">
        <v>14</v>
      </c>
      <c r="B21" s="7">
        <v>20</v>
      </c>
      <c r="C21" s="7">
        <v>1</v>
      </c>
      <c r="D21" s="7">
        <v>2021</v>
      </c>
      <c r="E21" s="97">
        <f>'Athens Daily - EL'!AP27</f>
        <v>33220</v>
      </c>
      <c r="F21" s="97"/>
      <c r="G21" s="97">
        <f>'Athens Daily - Gas'!BH29</f>
        <v>167894.39999999999</v>
      </c>
      <c r="H21" s="97">
        <f t="shared" si="0"/>
        <v>4383.6657963446478</v>
      </c>
      <c r="I21" s="97"/>
      <c r="J21" s="97">
        <f>'Athens Daily - Water'!R26</f>
        <v>655.7</v>
      </c>
      <c r="K21" s="97"/>
      <c r="L21" s="98">
        <v>42</v>
      </c>
      <c r="M21" s="97">
        <f t="shared" si="1"/>
        <v>84</v>
      </c>
      <c r="N21" s="95"/>
    </row>
    <row r="22" spans="1:14">
      <c r="A22" s="7" t="s">
        <v>14</v>
      </c>
      <c r="B22" s="7">
        <v>21</v>
      </c>
      <c r="C22" s="7">
        <v>1</v>
      </c>
      <c r="D22" s="7">
        <v>2021</v>
      </c>
      <c r="E22" s="97">
        <f>'Athens Daily - EL'!AP28</f>
        <v>34635</v>
      </c>
      <c r="F22" s="97"/>
      <c r="G22" s="97">
        <f>'Athens Daily - Gas'!BH30</f>
        <v>186278.39999999999</v>
      </c>
      <c r="H22" s="97">
        <f t="shared" si="0"/>
        <v>4863.6657963446478</v>
      </c>
      <c r="I22" s="97"/>
      <c r="J22" s="97">
        <f>'Athens Daily - Water'!R27</f>
        <v>592.65</v>
      </c>
      <c r="K22" s="97"/>
      <c r="L22" s="98">
        <v>45</v>
      </c>
      <c r="M22" s="97">
        <f t="shared" si="1"/>
        <v>90</v>
      </c>
      <c r="N22" s="95"/>
    </row>
    <row r="23" spans="1:14">
      <c r="A23" s="7" t="s">
        <v>14</v>
      </c>
      <c r="B23" s="7">
        <v>22</v>
      </c>
      <c r="C23" s="7">
        <v>1</v>
      </c>
      <c r="D23" s="7">
        <v>2021</v>
      </c>
      <c r="E23" s="97">
        <f>'Athens Daily - EL'!AP29</f>
        <v>33730</v>
      </c>
      <c r="F23" s="97"/>
      <c r="G23" s="97">
        <f>'Athens Daily - Gas'!BH31</f>
        <v>169536</v>
      </c>
      <c r="H23" s="97">
        <f t="shared" si="0"/>
        <v>4426.5274151436033</v>
      </c>
      <c r="I23" s="97"/>
      <c r="J23" s="97">
        <f>'Athens Daily - Water'!R28</f>
        <v>634.4</v>
      </c>
      <c r="K23" s="97"/>
      <c r="L23" s="98">
        <v>82</v>
      </c>
      <c r="M23" s="97">
        <f t="shared" si="1"/>
        <v>164</v>
      </c>
      <c r="N23" s="95">
        <v>19</v>
      </c>
    </row>
    <row r="24" spans="1:14">
      <c r="A24" s="7" t="s">
        <v>14</v>
      </c>
      <c r="B24" s="7">
        <v>23</v>
      </c>
      <c r="C24" s="7">
        <v>1</v>
      </c>
      <c r="D24" s="7">
        <v>2021</v>
      </c>
      <c r="E24" s="97">
        <f>'Athens Daily - EL'!AP30</f>
        <v>32965</v>
      </c>
      <c r="F24" s="97"/>
      <c r="G24" s="97">
        <f>'Athens Daily - Gas'!BH32</f>
        <v>153484.79999999999</v>
      </c>
      <c r="H24" s="97">
        <f t="shared" si="0"/>
        <v>4007.4360313315929</v>
      </c>
      <c r="I24" s="97"/>
      <c r="J24" s="97">
        <f>'Athens Daily - Water'!R29</f>
        <v>604.35</v>
      </c>
      <c r="K24" s="97"/>
      <c r="L24" s="98">
        <v>170</v>
      </c>
      <c r="M24" s="97">
        <f t="shared" si="1"/>
        <v>340</v>
      </c>
      <c r="N24" s="95">
        <v>20</v>
      </c>
    </row>
    <row r="25" spans="1:14">
      <c r="A25" s="7" t="s">
        <v>14</v>
      </c>
      <c r="B25" s="7">
        <v>24</v>
      </c>
      <c r="C25" s="7">
        <v>1</v>
      </c>
      <c r="D25" s="7">
        <v>2021</v>
      </c>
      <c r="E25" s="97">
        <f>'Athens Daily - EL'!AP31</f>
        <v>34260</v>
      </c>
      <c r="F25" s="97"/>
      <c r="G25" s="97">
        <f>'Athens Daily - Gas'!BH33</f>
        <v>187699.20000000001</v>
      </c>
      <c r="H25" s="97">
        <f t="shared" si="0"/>
        <v>4900.7624020887733</v>
      </c>
      <c r="I25" s="97"/>
      <c r="J25" s="97">
        <f>'Athens Daily - Water'!R30</f>
        <v>559.6</v>
      </c>
      <c r="K25" s="97"/>
      <c r="L25" s="98">
        <v>91</v>
      </c>
      <c r="M25" s="97">
        <f t="shared" si="1"/>
        <v>182</v>
      </c>
      <c r="N25" s="95">
        <v>19</v>
      </c>
    </row>
    <row r="26" spans="1:14">
      <c r="A26" s="7" t="s">
        <v>14</v>
      </c>
      <c r="B26" s="7">
        <v>25</v>
      </c>
      <c r="C26" s="7">
        <v>1</v>
      </c>
      <c r="D26" s="7">
        <v>2021</v>
      </c>
      <c r="E26" s="97">
        <f>'Athens Daily - EL'!AP32</f>
        <v>33010</v>
      </c>
      <c r="F26" s="97"/>
      <c r="G26" s="97">
        <f>'Athens Daily - Gas'!BH34</f>
        <v>196195.20000000001</v>
      </c>
      <c r="H26" s="97">
        <f t="shared" si="0"/>
        <v>5122.5900783289826</v>
      </c>
      <c r="I26" s="97"/>
      <c r="J26" s="97">
        <f>'Athens Daily - Water'!R31</f>
        <v>649.04999999999995</v>
      </c>
      <c r="K26" s="97"/>
      <c r="L26" s="98">
        <v>56</v>
      </c>
      <c r="M26" s="97">
        <f t="shared" si="1"/>
        <v>112</v>
      </c>
      <c r="N26" s="96"/>
    </row>
    <row r="27" spans="1:14">
      <c r="A27" s="7" t="s">
        <v>14</v>
      </c>
      <c r="B27" s="7">
        <v>26</v>
      </c>
      <c r="C27" s="7">
        <v>1</v>
      </c>
      <c r="D27" s="7">
        <v>2021</v>
      </c>
      <c r="E27" s="97">
        <f>'Athens Daily - EL'!AP33</f>
        <v>34320</v>
      </c>
      <c r="F27" s="97"/>
      <c r="G27" s="97">
        <f>'Athens Daily - Gas'!BH35</f>
        <v>190752</v>
      </c>
      <c r="H27" s="97">
        <f t="shared" si="0"/>
        <v>4980.46997389034</v>
      </c>
      <c r="I27" s="97"/>
      <c r="J27" s="97">
        <f>'Athens Daily - Water'!R32</f>
        <v>632.9</v>
      </c>
      <c r="K27" s="97"/>
      <c r="L27" s="97"/>
      <c r="M27" s="97">
        <f t="shared" si="1"/>
        <v>0</v>
      </c>
      <c r="N27" s="96"/>
    </row>
    <row r="28" spans="1:14">
      <c r="A28" s="7" t="s">
        <v>14</v>
      </c>
      <c r="B28" s="7">
        <v>27</v>
      </c>
      <c r="C28" s="7">
        <v>1</v>
      </c>
      <c r="D28" s="7">
        <v>2021</v>
      </c>
      <c r="E28" s="97">
        <f>'Athens Daily - EL'!AP34</f>
        <v>33240</v>
      </c>
      <c r="F28" s="97"/>
      <c r="G28" s="97">
        <f>'Athens Daily - Gas'!BH36</f>
        <v>186998.39999999999</v>
      </c>
      <c r="H28" s="97">
        <f t="shared" si="0"/>
        <v>4882.464751958225</v>
      </c>
      <c r="I28" s="97"/>
      <c r="J28" s="97">
        <f>'Athens Daily - Water'!R33</f>
        <v>673.2</v>
      </c>
      <c r="K28" s="97"/>
      <c r="L28" s="97"/>
      <c r="M28" s="97">
        <f t="shared" si="1"/>
        <v>0</v>
      </c>
      <c r="N28" s="96"/>
    </row>
    <row r="29" spans="1:14">
      <c r="A29" s="7" t="s">
        <v>14</v>
      </c>
      <c r="B29" s="7">
        <v>28</v>
      </c>
      <c r="C29" s="7">
        <v>1</v>
      </c>
      <c r="D29" s="7">
        <v>2021</v>
      </c>
      <c r="E29" s="97">
        <f>'Athens Daily - EL'!AP35</f>
        <v>35700</v>
      </c>
      <c r="F29" s="97"/>
      <c r="G29" s="97">
        <f>'Athens Daily - Gas'!BH37</f>
        <v>204604.79999999999</v>
      </c>
      <c r="H29" s="97">
        <f t="shared" si="0"/>
        <v>5342.1618798955615</v>
      </c>
      <c r="I29" s="97"/>
      <c r="J29" s="97">
        <f>'Athens Daily - Water'!R34</f>
        <v>704.7</v>
      </c>
      <c r="K29" s="97"/>
      <c r="L29" s="97"/>
      <c r="M29" s="97">
        <f t="shared" si="1"/>
        <v>0</v>
      </c>
      <c r="N29" s="96"/>
    </row>
    <row r="30" spans="1:14">
      <c r="A30" s="7" t="s">
        <v>14</v>
      </c>
      <c r="B30" s="7">
        <v>29</v>
      </c>
      <c r="C30" s="7">
        <v>1</v>
      </c>
      <c r="D30" s="7">
        <v>2021</v>
      </c>
      <c r="E30" s="97">
        <f>'Athens Daily - EL'!AP36</f>
        <v>36625</v>
      </c>
      <c r="F30" s="97"/>
      <c r="G30" s="97">
        <f>'Athens Daily - Gas'!BH38</f>
        <v>199444.75199999998</v>
      </c>
      <c r="H30" s="97">
        <f t="shared" si="0"/>
        <v>5207.4347780678845</v>
      </c>
      <c r="I30" s="97"/>
      <c r="J30" s="97">
        <f>'Athens Daily - Water'!R36</f>
        <v>1379.26818</v>
      </c>
      <c r="K30" s="97"/>
      <c r="L30" s="97"/>
      <c r="M30" s="97">
        <f t="shared" si="1"/>
        <v>0</v>
      </c>
      <c r="N30" s="96"/>
    </row>
    <row r="31" spans="1:14">
      <c r="A31" s="7" t="s">
        <v>14</v>
      </c>
      <c r="B31" s="7">
        <v>30</v>
      </c>
      <c r="C31" s="7">
        <v>1</v>
      </c>
      <c r="D31" s="7">
        <v>2021</v>
      </c>
      <c r="E31" s="97">
        <f>'Athens Daily - EL'!AP37</f>
        <v>36145</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5529040.04</v>
      </c>
      <c r="H32" s="97">
        <f t="shared" si="0"/>
        <v>144361.35874673631</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26270</v>
      </c>
      <c r="F2" s="7"/>
      <c r="G2" s="37">
        <f>'Athens Daily - Gas'!BI9</f>
        <v>105878.40000000001</v>
      </c>
      <c r="H2" s="7"/>
      <c r="I2" s="38">
        <f>'Athens Daily - Water'!S7</f>
        <v>212.4</v>
      </c>
      <c r="J2" s="7"/>
      <c r="K2" s="7">
        <v>286</v>
      </c>
      <c r="L2" s="7">
        <v>2</v>
      </c>
    </row>
    <row r="3" spans="1:12">
      <c r="A3" s="7" t="s">
        <v>14</v>
      </c>
      <c r="B3" s="7">
        <v>2</v>
      </c>
      <c r="C3" s="7">
        <v>1</v>
      </c>
      <c r="D3" s="7">
        <v>2021</v>
      </c>
      <c r="E3" s="7">
        <f>'Athens Daily - EL'!AQ9</f>
        <v>26495</v>
      </c>
      <c r="F3" s="7"/>
      <c r="G3" s="37">
        <f>'Athens Daily - Gas'!BI11</f>
        <v>93686.399999999994</v>
      </c>
      <c r="H3" s="7"/>
      <c r="I3" s="38">
        <f>'Athens Daily - Water'!S8</f>
        <v>201</v>
      </c>
      <c r="J3" s="7"/>
      <c r="K3" s="7">
        <v>285</v>
      </c>
      <c r="L3" s="7">
        <v>2</v>
      </c>
    </row>
    <row r="4" spans="1:12">
      <c r="A4" s="7" t="s">
        <v>14</v>
      </c>
      <c r="B4" s="7">
        <v>3</v>
      </c>
      <c r="C4" s="7">
        <v>1</v>
      </c>
      <c r="D4" s="7">
        <v>2021</v>
      </c>
      <c r="E4" s="7">
        <f>'Athens Daily - EL'!AQ10</f>
        <v>26275</v>
      </c>
      <c r="F4" s="7"/>
      <c r="G4" s="37">
        <f>'Athens Daily - Gas'!BI12</f>
        <v>95510.400000000009</v>
      </c>
      <c r="H4" s="7"/>
      <c r="I4" s="38">
        <f>'Athens Daily - Water'!S9</f>
        <v>178.25</v>
      </c>
      <c r="J4" s="7"/>
      <c r="K4" s="7">
        <v>282</v>
      </c>
      <c r="L4" s="7">
        <v>2</v>
      </c>
    </row>
    <row r="5" spans="1:12">
      <c r="A5" s="7" t="s">
        <v>14</v>
      </c>
      <c r="B5" s="7">
        <v>4</v>
      </c>
      <c r="C5" s="7">
        <v>1</v>
      </c>
      <c r="D5" s="7">
        <v>2021</v>
      </c>
      <c r="E5" s="7">
        <f>'Athens Daily - EL'!AQ11</f>
        <v>25695</v>
      </c>
      <c r="F5" s="7"/>
      <c r="G5" s="37">
        <f>'Athens Daily - Gas'!BI13</f>
        <v>98092.800000000003</v>
      </c>
      <c r="H5" s="7"/>
      <c r="I5" s="38">
        <f>'Athens Daily - Water'!S10</f>
        <v>214.3</v>
      </c>
      <c r="J5" s="7"/>
      <c r="K5" s="7">
        <v>284</v>
      </c>
      <c r="L5" s="7">
        <v>2</v>
      </c>
    </row>
    <row r="6" spans="1:12">
      <c r="A6" s="7" t="s">
        <v>14</v>
      </c>
      <c r="B6" s="7">
        <v>5</v>
      </c>
      <c r="C6" s="7">
        <v>1</v>
      </c>
      <c r="D6" s="7">
        <v>2021</v>
      </c>
      <c r="E6" s="7">
        <f>'Athens Daily - EL'!AQ12</f>
        <v>27035</v>
      </c>
      <c r="F6" s="7"/>
      <c r="G6" s="37">
        <f>'Athens Daily - Gas'!BI14</f>
        <v>92745.600000000006</v>
      </c>
      <c r="H6" s="7"/>
      <c r="I6" s="38">
        <f>'Athens Daily - Water'!S11</f>
        <v>201.5</v>
      </c>
      <c r="J6" s="7"/>
      <c r="K6" s="7">
        <v>286</v>
      </c>
      <c r="L6" s="7">
        <v>2</v>
      </c>
    </row>
    <row r="7" spans="1:12">
      <c r="A7" s="7" t="s">
        <v>14</v>
      </c>
      <c r="B7" s="7">
        <v>6</v>
      </c>
      <c r="C7" s="7">
        <v>1</v>
      </c>
      <c r="D7" s="7">
        <v>2021</v>
      </c>
      <c r="E7" s="7">
        <f>'Athens Daily - EL'!AQ13</f>
        <v>27245</v>
      </c>
      <c r="F7" s="7"/>
      <c r="G7" s="37">
        <f>'Athens Daily - Gas'!BI15</f>
        <v>83625.600000000006</v>
      </c>
      <c r="H7" s="7"/>
      <c r="I7" s="38">
        <f>'Athens Daily - Water'!S12</f>
        <v>205.25</v>
      </c>
      <c r="J7" s="7"/>
      <c r="K7" s="7">
        <v>288</v>
      </c>
      <c r="L7" s="7">
        <v>2</v>
      </c>
    </row>
    <row r="8" spans="1:12">
      <c r="A8" s="7" t="s">
        <v>14</v>
      </c>
      <c r="B8" s="7">
        <v>7</v>
      </c>
      <c r="C8" s="7">
        <v>1</v>
      </c>
      <c r="D8" s="7">
        <v>2021</v>
      </c>
      <c r="E8" s="7">
        <f>'Athens Daily - EL'!AQ14</f>
        <v>27180</v>
      </c>
      <c r="F8" s="7"/>
      <c r="G8" s="37">
        <f>'Athens Daily - Gas'!BI16</f>
        <v>92198.399999999994</v>
      </c>
      <c r="H8" s="7"/>
      <c r="I8" s="38">
        <f>'Athens Daily - Water'!S13</f>
        <v>191.55</v>
      </c>
      <c r="J8" s="7"/>
      <c r="K8" s="7">
        <v>286</v>
      </c>
      <c r="L8" s="7">
        <v>2</v>
      </c>
    </row>
    <row r="9" spans="1:12">
      <c r="A9" s="7" t="s">
        <v>14</v>
      </c>
      <c r="B9" s="7">
        <v>8</v>
      </c>
      <c r="C9" s="7">
        <v>1</v>
      </c>
      <c r="D9" s="7">
        <v>2021</v>
      </c>
      <c r="E9" s="7">
        <f>'Athens Daily - EL'!AQ15</f>
        <v>25740</v>
      </c>
      <c r="F9" s="7"/>
      <c r="G9" s="37">
        <f>'Athens Daily - Gas'!BI17</f>
        <v>86035.200000000012</v>
      </c>
      <c r="H9" s="7"/>
      <c r="I9" s="38">
        <f>'Athens Daily - Water'!S14</f>
        <v>221.65</v>
      </c>
      <c r="J9" s="7"/>
      <c r="K9" s="7">
        <v>287</v>
      </c>
      <c r="L9" s="7">
        <v>2</v>
      </c>
    </row>
    <row r="10" spans="1:12">
      <c r="A10" s="7" t="s">
        <v>14</v>
      </c>
      <c r="B10" s="7">
        <v>9</v>
      </c>
      <c r="C10" s="7">
        <v>1</v>
      </c>
      <c r="D10" s="7">
        <v>2021</v>
      </c>
      <c r="E10" s="7">
        <f>'Athens Daily - EL'!AQ16</f>
        <v>26525</v>
      </c>
      <c r="F10" s="7"/>
      <c r="G10" s="37">
        <f>'Athens Daily - Gas'!BI18</f>
        <v>92409.600000000006</v>
      </c>
      <c r="H10" s="7"/>
      <c r="I10" s="38">
        <f>'Athens Daily - Water'!S15</f>
        <v>183.9</v>
      </c>
      <c r="J10" s="7"/>
      <c r="K10" s="7">
        <v>284</v>
      </c>
      <c r="L10" s="7">
        <v>2</v>
      </c>
    </row>
    <row r="11" spans="1:12">
      <c r="A11" s="7" t="s">
        <v>14</v>
      </c>
      <c r="B11" s="7">
        <v>10</v>
      </c>
      <c r="C11" s="7">
        <v>1</v>
      </c>
      <c r="D11" s="7">
        <v>2021</v>
      </c>
      <c r="E11" s="7">
        <f>'Athens Daily - EL'!AQ17</f>
        <v>27540</v>
      </c>
      <c r="F11" s="7"/>
      <c r="G11" s="37">
        <f>'Athens Daily - Gas'!BI19</f>
        <v>93830.399999999994</v>
      </c>
      <c r="H11" s="7"/>
      <c r="I11" s="38">
        <f>'Athens Daily - Water'!S16</f>
        <v>215.85000000000002</v>
      </c>
      <c r="J11" s="7"/>
      <c r="K11" s="7">
        <v>284</v>
      </c>
      <c r="L11" s="7">
        <v>2</v>
      </c>
    </row>
    <row r="12" spans="1:12">
      <c r="A12" s="7" t="s">
        <v>14</v>
      </c>
      <c r="B12" s="7">
        <v>11</v>
      </c>
      <c r="C12" s="7">
        <v>1</v>
      </c>
      <c r="D12" s="7">
        <v>2021</v>
      </c>
      <c r="E12" s="7">
        <f>'Athens Daily - EL'!AQ18</f>
        <v>27070</v>
      </c>
      <c r="F12" s="7"/>
      <c r="G12" s="37">
        <f>'Athens Daily - Gas'!BI20</f>
        <v>101260.8</v>
      </c>
      <c r="H12" s="7"/>
      <c r="I12" s="38">
        <f>'Athens Daily - Water'!S17</f>
        <v>189.75</v>
      </c>
      <c r="J12" s="7"/>
      <c r="K12" s="7">
        <v>284</v>
      </c>
      <c r="L12" s="7">
        <v>2</v>
      </c>
    </row>
    <row r="13" spans="1:12">
      <c r="A13" s="7" t="s">
        <v>14</v>
      </c>
      <c r="B13" s="7">
        <v>12</v>
      </c>
      <c r="C13" s="7">
        <v>1</v>
      </c>
      <c r="D13" s="7">
        <v>2021</v>
      </c>
      <c r="E13" s="7">
        <f>'Athens Daily - EL'!AQ19</f>
        <v>26825</v>
      </c>
      <c r="F13" s="7"/>
      <c r="G13" s="37">
        <f>'Athens Daily - Gas'!BI21</f>
        <v>98937.600000000006</v>
      </c>
      <c r="H13" s="7"/>
      <c r="I13" s="38">
        <f>'Athens Daily - Water'!S18</f>
        <v>193.55</v>
      </c>
      <c r="J13" s="7"/>
      <c r="K13" s="7">
        <v>286</v>
      </c>
      <c r="L13" s="7">
        <v>2</v>
      </c>
    </row>
    <row r="14" spans="1:12">
      <c r="A14" s="7" t="s">
        <v>14</v>
      </c>
      <c r="B14" s="7">
        <v>13</v>
      </c>
      <c r="C14" s="7">
        <v>1</v>
      </c>
      <c r="D14" s="7">
        <v>2021</v>
      </c>
      <c r="E14" s="7">
        <f>'Athens Daily - EL'!AQ20</f>
        <v>29780</v>
      </c>
      <c r="F14" s="7"/>
      <c r="G14" s="37">
        <f>'Athens Daily - Gas'!BI22</f>
        <v>101788.8</v>
      </c>
      <c r="H14" s="7"/>
      <c r="I14" s="38">
        <f>'Athens Daily - Water'!S19</f>
        <v>206.60000000000002</v>
      </c>
      <c r="J14" s="7"/>
      <c r="K14" s="7">
        <v>287</v>
      </c>
      <c r="L14" s="7">
        <v>2</v>
      </c>
    </row>
    <row r="15" spans="1:12">
      <c r="A15" s="7" t="s">
        <v>14</v>
      </c>
      <c r="B15" s="7">
        <v>14</v>
      </c>
      <c r="C15" s="7">
        <v>1</v>
      </c>
      <c r="D15" s="7">
        <v>2021</v>
      </c>
      <c r="E15" s="7">
        <f>'Athens Daily - EL'!AQ21</f>
        <v>29480</v>
      </c>
      <c r="F15" s="7"/>
      <c r="G15" s="37">
        <f>'Athens Daily - Gas'!BI23</f>
        <v>89356.800000000003</v>
      </c>
      <c r="H15" s="7"/>
      <c r="I15" s="38">
        <f>'Athens Daily - Water'!S20</f>
        <v>192.8</v>
      </c>
      <c r="J15" s="7"/>
      <c r="K15" s="7">
        <v>287</v>
      </c>
      <c r="L15" s="7">
        <v>2</v>
      </c>
    </row>
    <row r="16" spans="1:12">
      <c r="A16" s="7" t="s">
        <v>14</v>
      </c>
      <c r="B16" s="7">
        <v>15</v>
      </c>
      <c r="C16" s="7">
        <v>1</v>
      </c>
      <c r="D16" s="7">
        <v>2021</v>
      </c>
      <c r="E16" s="7">
        <f>'Athens Daily - EL'!AQ22</f>
        <v>28020</v>
      </c>
      <c r="F16" s="7"/>
      <c r="G16" s="37">
        <f>'Athens Daily - Gas'!BI24</f>
        <v>100608</v>
      </c>
      <c r="H16" s="7"/>
      <c r="I16" s="38">
        <f>'Athens Daily - Water'!S21</f>
        <v>185.75</v>
      </c>
      <c r="J16" s="7"/>
      <c r="K16" s="7">
        <v>288</v>
      </c>
      <c r="L16" s="7">
        <v>2</v>
      </c>
    </row>
    <row r="17" spans="1:12">
      <c r="A17" s="7" t="s">
        <v>14</v>
      </c>
      <c r="B17" s="7">
        <v>16</v>
      </c>
      <c r="C17" s="7">
        <v>1</v>
      </c>
      <c r="D17" s="7">
        <v>2021</v>
      </c>
      <c r="E17" s="7">
        <f>'Athens Daily - EL'!AQ23</f>
        <v>25555</v>
      </c>
      <c r="F17" s="7"/>
      <c r="G17" s="37">
        <f>'Athens Daily - Gas'!BI25</f>
        <v>115459.20000000001</v>
      </c>
      <c r="H17" s="7"/>
      <c r="I17" s="38">
        <f>'Athens Daily - Water'!S22</f>
        <v>190.4</v>
      </c>
      <c r="J17" s="7"/>
      <c r="K17" s="7">
        <v>288</v>
      </c>
      <c r="L17" s="7">
        <v>2</v>
      </c>
    </row>
    <row r="18" spans="1:12">
      <c r="A18" s="7" t="s">
        <v>14</v>
      </c>
      <c r="B18" s="7">
        <v>17</v>
      </c>
      <c r="C18" s="7">
        <v>1</v>
      </c>
      <c r="D18" s="7">
        <v>2021</v>
      </c>
      <c r="E18" s="7">
        <f>'Athens Daily - EL'!AQ24</f>
        <v>25535</v>
      </c>
      <c r="F18" s="7"/>
      <c r="G18" s="37">
        <f>'Athens Daily - Gas'!BI26</f>
        <v>114134.40000000001</v>
      </c>
      <c r="H18" s="7"/>
      <c r="I18" s="38">
        <f>'Athens Daily - Water'!S23</f>
        <v>197.2</v>
      </c>
      <c r="J18" s="7"/>
      <c r="K18" s="7">
        <v>288</v>
      </c>
      <c r="L18" s="7">
        <v>2</v>
      </c>
    </row>
    <row r="19" spans="1:12">
      <c r="A19" s="7" t="s">
        <v>14</v>
      </c>
      <c r="B19" s="7">
        <v>18</v>
      </c>
      <c r="C19" s="7">
        <v>1</v>
      </c>
      <c r="D19" s="7">
        <v>2021</v>
      </c>
      <c r="E19" s="7">
        <f>'Athens Daily - EL'!AQ25</f>
        <v>25485</v>
      </c>
      <c r="F19" s="7"/>
      <c r="G19" s="37">
        <f>'Athens Daily - Gas'!BI27</f>
        <v>106310.40000000001</v>
      </c>
      <c r="H19" s="7"/>
      <c r="I19" s="38">
        <f>'Athens Daily - Water'!S24</f>
        <v>195.25</v>
      </c>
      <c r="J19" s="7"/>
      <c r="K19" s="7">
        <v>291</v>
      </c>
      <c r="L19" s="7">
        <v>2</v>
      </c>
    </row>
    <row r="20" spans="1:12">
      <c r="A20" s="7" t="s">
        <v>14</v>
      </c>
      <c r="B20" s="7">
        <v>19</v>
      </c>
      <c r="C20" s="7">
        <v>1</v>
      </c>
      <c r="D20" s="7">
        <v>2021</v>
      </c>
      <c r="E20" s="7">
        <f>'Athens Daily - EL'!AQ26</f>
        <v>26615</v>
      </c>
      <c r="F20" s="7"/>
      <c r="G20" s="37">
        <f>'Athens Daily - Gas'!BI28</f>
        <v>105283.2</v>
      </c>
      <c r="H20" s="7"/>
      <c r="I20" s="38">
        <f>'Athens Daily - Water'!S25</f>
        <v>189.65</v>
      </c>
      <c r="J20" s="7"/>
      <c r="K20" s="7">
        <v>290</v>
      </c>
      <c r="L20" s="7">
        <v>2</v>
      </c>
    </row>
    <row r="21" spans="1:12">
      <c r="A21" s="7" t="s">
        <v>14</v>
      </c>
      <c r="B21" s="7">
        <v>20</v>
      </c>
      <c r="C21" s="7">
        <v>1</v>
      </c>
      <c r="D21" s="7">
        <v>2021</v>
      </c>
      <c r="E21" s="7">
        <f>'Athens Daily - EL'!AQ27</f>
        <v>26180</v>
      </c>
      <c r="F21" s="7"/>
      <c r="G21" s="37">
        <f>'Athens Daily - Gas'!BI29</f>
        <v>96969.600000000006</v>
      </c>
      <c r="H21" s="7"/>
      <c r="I21" s="38">
        <f>'Athens Daily - Water'!S26</f>
        <v>193.3</v>
      </c>
      <c r="J21" s="7"/>
      <c r="K21" s="7">
        <v>292</v>
      </c>
      <c r="L21" s="7">
        <v>2</v>
      </c>
    </row>
    <row r="22" spans="1:12">
      <c r="A22" s="7" t="s">
        <v>14</v>
      </c>
      <c r="B22" s="7">
        <v>21</v>
      </c>
      <c r="C22" s="7">
        <v>1</v>
      </c>
      <c r="D22" s="7">
        <v>2021</v>
      </c>
      <c r="E22" s="7">
        <f>'Athens Daily - EL'!AQ28</f>
        <v>25865</v>
      </c>
      <c r="F22" s="7"/>
      <c r="G22" s="37">
        <f>'Athens Daily - Gas'!BI30</f>
        <v>108297.60000000001</v>
      </c>
      <c r="H22" s="7"/>
      <c r="I22" s="38">
        <f>'Athens Daily - Water'!S27</f>
        <v>180.35000000000002</v>
      </c>
      <c r="J22" s="7"/>
      <c r="K22" s="7">
        <v>293</v>
      </c>
      <c r="L22" s="7">
        <v>2</v>
      </c>
    </row>
    <row r="23" spans="1:12">
      <c r="A23" s="7" t="s">
        <v>14</v>
      </c>
      <c r="B23" s="7">
        <v>22</v>
      </c>
      <c r="C23" s="7">
        <v>1</v>
      </c>
      <c r="D23" s="7">
        <v>2021</v>
      </c>
      <c r="E23" s="7">
        <f>'Athens Daily - EL'!AQ29</f>
        <v>25880</v>
      </c>
      <c r="F23" s="7"/>
      <c r="G23" s="37">
        <f>'Athens Daily - Gas'!BI31</f>
        <v>90528</v>
      </c>
      <c r="H23" s="7"/>
      <c r="I23" s="38">
        <f>'Athens Daily - Water'!S28</f>
        <v>195.60000000000002</v>
      </c>
      <c r="J23" s="7"/>
      <c r="K23" s="7">
        <v>293</v>
      </c>
      <c r="L23" s="7">
        <v>2</v>
      </c>
    </row>
    <row r="24" spans="1:12">
      <c r="A24" s="7" t="s">
        <v>14</v>
      </c>
      <c r="B24" s="7">
        <v>23</v>
      </c>
      <c r="C24" s="7">
        <v>1</v>
      </c>
      <c r="D24" s="7">
        <v>2021</v>
      </c>
      <c r="E24" s="7">
        <f>'Athens Daily - EL'!AQ30</f>
        <v>25085</v>
      </c>
      <c r="F24" s="7"/>
      <c r="G24" s="37">
        <f>'Athens Daily - Gas'!BI32</f>
        <v>86467.200000000012</v>
      </c>
      <c r="H24" s="7"/>
      <c r="I24" s="38">
        <f>'Athens Daily - Water'!S29</f>
        <v>165.65</v>
      </c>
      <c r="J24" s="7"/>
      <c r="K24" s="7">
        <v>294</v>
      </c>
      <c r="L24" s="7">
        <v>2</v>
      </c>
    </row>
    <row r="25" spans="1:12">
      <c r="A25" s="7" t="s">
        <v>14</v>
      </c>
      <c r="B25" s="7">
        <v>24</v>
      </c>
      <c r="C25" s="7">
        <v>1</v>
      </c>
      <c r="D25" s="7">
        <v>2021</v>
      </c>
      <c r="E25" s="7">
        <f>'Athens Daily - EL'!AQ31</f>
        <v>25150</v>
      </c>
      <c r="F25" s="7"/>
      <c r="G25" s="37">
        <f>'Athens Daily - Gas'!BI33</f>
        <v>107308.8</v>
      </c>
      <c r="H25" s="7"/>
      <c r="I25" s="38">
        <f>'Athens Daily - Water'!S30</f>
        <v>159.4</v>
      </c>
      <c r="J25" s="7"/>
      <c r="K25" s="7">
        <v>294</v>
      </c>
      <c r="L25" s="7">
        <v>2</v>
      </c>
    </row>
    <row r="26" spans="1:12">
      <c r="A26" s="7" t="s">
        <v>14</v>
      </c>
      <c r="B26" s="7">
        <v>25</v>
      </c>
      <c r="C26" s="7">
        <v>1</v>
      </c>
      <c r="D26" s="7">
        <v>2021</v>
      </c>
      <c r="E26" s="7">
        <f>'Athens Daily - EL'!AQ32</f>
        <v>23540</v>
      </c>
      <c r="F26" s="7"/>
      <c r="G26" s="37">
        <f>'Athens Daily - Gas'!BI34</f>
        <v>109708.8</v>
      </c>
      <c r="H26" s="7"/>
      <c r="I26" s="38">
        <f>'Athens Daily - Water'!S31</f>
        <v>188.95</v>
      </c>
      <c r="J26" s="7"/>
      <c r="K26" s="7">
        <v>291</v>
      </c>
      <c r="L26" s="7">
        <v>2</v>
      </c>
    </row>
    <row r="27" spans="1:12">
      <c r="A27" s="7" t="s">
        <v>14</v>
      </c>
      <c r="B27" s="7">
        <v>26</v>
      </c>
      <c r="C27" s="7">
        <v>1</v>
      </c>
      <c r="D27" s="7">
        <v>2021</v>
      </c>
      <c r="E27" s="7">
        <f>'Athens Daily - EL'!AQ33</f>
        <v>25250</v>
      </c>
      <c r="F27" s="7"/>
      <c r="G27" s="37">
        <f>'Athens Daily - Gas'!BI35</f>
        <v>118896</v>
      </c>
      <c r="H27" s="7"/>
      <c r="I27" s="38">
        <f>'Athens Daily - Water'!S32</f>
        <v>174.1</v>
      </c>
      <c r="J27" s="7"/>
      <c r="K27" s="7">
        <v>291</v>
      </c>
      <c r="L27" s="7">
        <v>2</v>
      </c>
    </row>
    <row r="28" spans="1:12">
      <c r="A28" s="7" t="s">
        <v>14</v>
      </c>
      <c r="B28" s="7">
        <v>27</v>
      </c>
      <c r="C28" s="7">
        <v>1</v>
      </c>
      <c r="D28" s="7">
        <v>2021</v>
      </c>
      <c r="E28" s="7">
        <f>'Athens Daily - EL'!AQ34</f>
        <v>25040</v>
      </c>
      <c r="F28" s="7"/>
      <c r="G28" s="37">
        <f>'Athens Daily - Gas'!BI36</f>
        <v>112089.60000000001</v>
      </c>
      <c r="H28" s="7"/>
      <c r="I28" s="38">
        <f>'Athens Daily - Water'!S33</f>
        <v>186.8</v>
      </c>
      <c r="J28" s="7"/>
      <c r="K28" s="7">
        <v>288</v>
      </c>
      <c r="L28" s="7">
        <v>2</v>
      </c>
    </row>
    <row r="29" spans="1:12">
      <c r="A29" s="7" t="s">
        <v>14</v>
      </c>
      <c r="B29" s="7">
        <v>28</v>
      </c>
      <c r="C29" s="7">
        <v>1</v>
      </c>
      <c r="D29" s="7">
        <v>2021</v>
      </c>
      <c r="E29" s="7">
        <f>'Athens Daily - EL'!AQ35</f>
        <v>25910</v>
      </c>
      <c r="F29" s="7"/>
      <c r="G29" s="37">
        <f>'Athens Daily - Gas'!BI37</f>
        <v>124147.20000000001</v>
      </c>
      <c r="H29" s="7"/>
      <c r="I29" s="38">
        <f>'Athens Daily - Water'!S34</f>
        <v>189.3</v>
      </c>
      <c r="J29" s="7"/>
      <c r="K29" s="7">
        <v>290</v>
      </c>
      <c r="L29" s="7">
        <v>2</v>
      </c>
    </row>
    <row r="30" spans="1:12">
      <c r="A30" s="7" t="s">
        <v>14</v>
      </c>
      <c r="B30" s="7">
        <v>29</v>
      </c>
      <c r="C30" s="7">
        <v>1</v>
      </c>
      <c r="D30" s="7">
        <v>2021</v>
      </c>
      <c r="E30" s="7">
        <f>'Athens Daily - EL'!AQ36</f>
        <v>27745</v>
      </c>
      <c r="F30" s="7"/>
      <c r="G30" s="37">
        <f>'Athens Daily - Gas'!BI38</f>
        <v>119654.40000000001</v>
      </c>
      <c r="H30" s="7"/>
      <c r="I30" s="38">
        <f>'Athens Daily - Water'!S36</f>
        <v>370.05</v>
      </c>
      <c r="J30" s="7"/>
      <c r="K30" s="7">
        <v>291</v>
      </c>
      <c r="L30" s="7">
        <v>2</v>
      </c>
    </row>
    <row r="31" spans="1:12">
      <c r="A31" s="7" t="s">
        <v>14</v>
      </c>
      <c r="B31" s="7">
        <v>30</v>
      </c>
      <c r="C31" s="7">
        <v>1</v>
      </c>
      <c r="D31" s="7">
        <v>2021</v>
      </c>
      <c r="E31" s="7">
        <f>'Athens Daily - EL'!AQ37</f>
        <v>28285</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3145420.7999999998</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9"/>
  <sheetViews>
    <sheetView tabSelected="1" topLeftCell="A2" zoomScale="70" zoomScaleNormal="70" zoomScaleSheetLayoutView="50" workbookViewId="0">
      <pane xSplit="2" ySplit="5" topLeftCell="AG7" activePane="bottomRight" state="frozen"/>
      <selection pane="topRight" activeCell="C2" sqref="C2"/>
      <selection pane="bottomLeft" activeCell="A7" sqref="A7"/>
      <selection pane="bottomRight" activeCell="AP8" sqref="AP8"/>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0"/>
      <c r="B1" s="180"/>
      <c r="C1" s="208" t="s">
        <v>65</v>
      </c>
      <c r="D1" s="208"/>
      <c r="E1" s="208" t="s">
        <v>65</v>
      </c>
      <c r="F1" s="208"/>
      <c r="G1" s="208" t="s">
        <v>65</v>
      </c>
      <c r="H1" s="208"/>
      <c r="I1" s="199"/>
      <c r="J1" s="180"/>
      <c r="K1" s="208" t="s">
        <v>65</v>
      </c>
      <c r="L1" s="208"/>
      <c r="M1" s="208" t="s">
        <v>65</v>
      </c>
      <c r="N1" s="208"/>
      <c r="O1" s="221" t="s">
        <v>66</v>
      </c>
      <c r="P1" s="222"/>
      <c r="Q1" s="222"/>
      <c r="R1" s="223"/>
      <c r="S1" s="221" t="s">
        <v>66</v>
      </c>
      <c r="T1" s="222"/>
      <c r="U1" s="222"/>
      <c r="V1" s="223"/>
      <c r="W1" s="221" t="s">
        <v>66</v>
      </c>
      <c r="X1" s="222"/>
      <c r="Y1" s="222"/>
      <c r="Z1" s="223"/>
      <c r="AA1" s="221" t="s">
        <v>66</v>
      </c>
      <c r="AB1" s="222"/>
      <c r="AC1" s="222"/>
      <c r="AD1" s="223"/>
      <c r="AE1" s="208" t="s">
        <v>67</v>
      </c>
      <c r="AF1" s="208"/>
      <c r="AG1" s="208" t="s">
        <v>67</v>
      </c>
      <c r="AH1" s="208"/>
      <c r="AI1" s="208" t="s">
        <v>67</v>
      </c>
      <c r="AJ1" s="208"/>
      <c r="AK1" s="208" t="s">
        <v>67</v>
      </c>
      <c r="AL1" s="208"/>
      <c r="AM1" s="208" t="s">
        <v>67</v>
      </c>
      <c r="AN1" s="208"/>
    </row>
    <row r="2" spans="1:43" s="111" customFormat="1" ht="113.25" customHeight="1">
      <c r="A2" s="13"/>
      <c r="B2" s="14"/>
      <c r="C2" s="207" t="s">
        <v>68</v>
      </c>
      <c r="D2" s="207"/>
      <c r="E2" s="207" t="s">
        <v>69</v>
      </c>
      <c r="F2" s="207"/>
      <c r="G2" s="212" t="s">
        <v>70</v>
      </c>
      <c r="H2" s="213"/>
      <c r="I2" s="213"/>
      <c r="J2" s="214"/>
      <c r="K2" s="207" t="s">
        <v>71</v>
      </c>
      <c r="L2" s="207"/>
      <c r="M2" s="207" t="s">
        <v>72</v>
      </c>
      <c r="N2" s="207"/>
      <c r="O2" s="212" t="s">
        <v>73</v>
      </c>
      <c r="P2" s="213"/>
      <c r="Q2" s="213"/>
      <c r="R2" s="214"/>
      <c r="S2" s="212" t="s">
        <v>74</v>
      </c>
      <c r="T2" s="213"/>
      <c r="U2" s="213"/>
      <c r="V2" s="214"/>
      <c r="W2" s="212" t="s">
        <v>75</v>
      </c>
      <c r="X2" s="213"/>
      <c r="Y2" s="213"/>
      <c r="Z2" s="214"/>
      <c r="AA2" s="212" t="s">
        <v>76</v>
      </c>
      <c r="AB2" s="213"/>
      <c r="AC2" s="213"/>
      <c r="AD2" s="214"/>
      <c r="AE2" s="207" t="s">
        <v>77</v>
      </c>
      <c r="AF2" s="207"/>
      <c r="AG2" s="207" t="s">
        <v>78</v>
      </c>
      <c r="AH2" s="207"/>
      <c r="AI2" s="207" t="s">
        <v>79</v>
      </c>
      <c r="AJ2" s="207"/>
      <c r="AK2" s="207" t="s">
        <v>78</v>
      </c>
      <c r="AL2" s="207"/>
      <c r="AM2" s="207" t="s">
        <v>80</v>
      </c>
      <c r="AN2" s="207"/>
    </row>
    <row r="3" spans="1:43" s="23" customFormat="1" ht="30" customHeight="1">
      <c r="A3" s="179"/>
      <c r="B3" s="47"/>
      <c r="C3" s="209">
        <v>5065546</v>
      </c>
      <c r="D3" s="211"/>
      <c r="E3" s="209">
        <v>5065547</v>
      </c>
      <c r="F3" s="211"/>
      <c r="G3" s="209">
        <v>5008272</v>
      </c>
      <c r="H3" s="210"/>
      <c r="I3" s="210"/>
      <c r="J3" s="211"/>
      <c r="K3" s="209">
        <v>5065548</v>
      </c>
      <c r="L3" s="211"/>
      <c r="M3" s="209">
        <v>5465545</v>
      </c>
      <c r="N3" s="211"/>
      <c r="O3" s="209">
        <v>5008273</v>
      </c>
      <c r="P3" s="210"/>
      <c r="Q3" s="210"/>
      <c r="R3" s="211"/>
      <c r="S3" s="209">
        <v>5018351</v>
      </c>
      <c r="T3" s="210"/>
      <c r="U3" s="210"/>
      <c r="V3" s="211"/>
      <c r="W3" s="209">
        <v>5018354</v>
      </c>
      <c r="X3" s="210"/>
      <c r="Y3" s="210"/>
      <c r="Z3" s="211"/>
      <c r="AA3" s="209">
        <v>5018350</v>
      </c>
      <c r="AB3" s="210"/>
      <c r="AC3" s="210"/>
      <c r="AD3" s="211"/>
      <c r="AE3" s="209">
        <v>5065543</v>
      </c>
      <c r="AF3" s="211"/>
      <c r="AG3" s="209">
        <v>5065544</v>
      </c>
      <c r="AH3" s="211"/>
      <c r="AI3" s="209">
        <v>5065541</v>
      </c>
      <c r="AJ3" s="211"/>
      <c r="AK3" s="209">
        <v>5065542</v>
      </c>
      <c r="AL3" s="211"/>
      <c r="AM3" s="209">
        <v>5065540</v>
      </c>
      <c r="AN3" s="211"/>
      <c r="AP3" s="206" t="s">
        <v>81</v>
      </c>
      <c r="AQ3" s="206"/>
    </row>
    <row r="4" spans="1:43" s="22" customFormat="1" ht="30" customHeight="1">
      <c r="A4" s="179"/>
      <c r="B4" s="182"/>
      <c r="C4" s="217" t="s">
        <v>82</v>
      </c>
      <c r="D4" s="218"/>
      <c r="E4" s="217" t="s">
        <v>83</v>
      </c>
      <c r="F4" s="218"/>
      <c r="G4" s="217" t="s">
        <v>84</v>
      </c>
      <c r="H4" s="219"/>
      <c r="I4" s="219"/>
      <c r="J4" s="218"/>
      <c r="K4" s="217" t="s">
        <v>85</v>
      </c>
      <c r="L4" s="218"/>
      <c r="M4" s="217" t="s">
        <v>86</v>
      </c>
      <c r="N4" s="218"/>
      <c r="O4" s="217" t="s">
        <v>87</v>
      </c>
      <c r="P4" s="219"/>
      <c r="Q4" s="219"/>
      <c r="R4" s="218"/>
      <c r="S4" s="217" t="s">
        <v>88</v>
      </c>
      <c r="T4" s="219"/>
      <c r="U4" s="219"/>
      <c r="V4" s="218"/>
      <c r="W4" s="217" t="s">
        <v>89</v>
      </c>
      <c r="X4" s="219"/>
      <c r="Y4" s="219"/>
      <c r="Z4" s="218"/>
      <c r="AA4" s="217" t="s">
        <v>90</v>
      </c>
      <c r="AB4" s="219"/>
      <c r="AC4" s="219"/>
      <c r="AD4" s="218"/>
      <c r="AE4" s="217" t="s">
        <v>91</v>
      </c>
      <c r="AF4" s="218"/>
      <c r="AG4" s="217" t="s">
        <v>92</v>
      </c>
      <c r="AH4" s="218"/>
      <c r="AI4" s="217" t="s">
        <v>93</v>
      </c>
      <c r="AJ4" s="218"/>
      <c r="AK4" s="217" t="s">
        <v>94</v>
      </c>
      <c r="AL4" s="218"/>
      <c r="AM4" s="217" t="s">
        <v>95</v>
      </c>
      <c r="AN4" s="218"/>
      <c r="AP4" s="206"/>
      <c r="AQ4" s="206"/>
    </row>
    <row r="5" spans="1:43" s="8" customFormat="1" ht="30" customHeight="1">
      <c r="A5" s="179" t="s">
        <v>96</v>
      </c>
      <c r="B5" s="48"/>
      <c r="C5" s="215" t="s">
        <v>97</v>
      </c>
      <c r="D5" s="216"/>
      <c r="E5" s="215" t="s">
        <v>97</v>
      </c>
      <c r="F5" s="216"/>
      <c r="G5" s="215" t="s">
        <v>97</v>
      </c>
      <c r="H5" s="220"/>
      <c r="I5" s="220"/>
      <c r="J5" s="216"/>
      <c r="K5" s="48" t="s">
        <v>97</v>
      </c>
      <c r="L5" s="48"/>
      <c r="M5" s="215" t="s">
        <v>97</v>
      </c>
      <c r="N5" s="216"/>
      <c r="O5" s="215" t="s">
        <v>97</v>
      </c>
      <c r="P5" s="220"/>
      <c r="Q5" s="220"/>
      <c r="R5" s="216"/>
      <c r="S5" s="215" t="s">
        <v>98</v>
      </c>
      <c r="T5" s="220"/>
      <c r="U5" s="220"/>
      <c r="V5" s="216"/>
      <c r="W5" s="215" t="s">
        <v>98</v>
      </c>
      <c r="X5" s="220"/>
      <c r="Y5" s="220"/>
      <c r="Z5" s="216"/>
      <c r="AA5" s="215" t="s">
        <v>98</v>
      </c>
      <c r="AB5" s="220"/>
      <c r="AC5" s="220"/>
      <c r="AD5" s="216"/>
      <c r="AE5" s="215" t="s">
        <v>97</v>
      </c>
      <c r="AF5" s="216"/>
      <c r="AG5" s="215" t="s">
        <v>97</v>
      </c>
      <c r="AH5" s="216"/>
      <c r="AI5" s="215" t="s">
        <v>97</v>
      </c>
      <c r="AJ5" s="216"/>
      <c r="AK5" s="215" t="s">
        <v>97</v>
      </c>
      <c r="AL5" s="216"/>
      <c r="AM5" s="215" t="s">
        <v>97</v>
      </c>
      <c r="AN5" s="216"/>
    </row>
    <row r="6" spans="1:43" s="10" customFormat="1" ht="50.1" customHeight="1">
      <c r="A6" s="179" t="s">
        <v>99</v>
      </c>
      <c r="B6" s="179"/>
      <c r="C6" s="179" t="s">
        <v>100</v>
      </c>
      <c r="D6" s="179" t="s">
        <v>101</v>
      </c>
      <c r="E6" s="179" t="s">
        <v>100</v>
      </c>
      <c r="F6" s="179" t="s">
        <v>101</v>
      </c>
      <c r="G6" s="179" t="s">
        <v>100</v>
      </c>
      <c r="H6" s="179" t="s">
        <v>101</v>
      </c>
      <c r="I6" s="200">
        <v>50</v>
      </c>
      <c r="J6" s="200">
        <v>50</v>
      </c>
      <c r="K6" s="179" t="s">
        <v>100</v>
      </c>
      <c r="L6" s="179" t="s">
        <v>101</v>
      </c>
      <c r="M6" s="179" t="s">
        <v>100</v>
      </c>
      <c r="N6" s="179" t="s">
        <v>101</v>
      </c>
      <c r="O6" s="179" t="s">
        <v>100</v>
      </c>
      <c r="P6" s="179" t="s">
        <v>101</v>
      </c>
      <c r="Q6" s="200">
        <v>50</v>
      </c>
      <c r="R6" s="200">
        <v>50</v>
      </c>
      <c r="S6" s="179" t="s">
        <v>100</v>
      </c>
      <c r="T6" s="179" t="s">
        <v>101</v>
      </c>
      <c r="U6" s="200">
        <v>50</v>
      </c>
      <c r="V6" s="200">
        <v>50</v>
      </c>
      <c r="W6" s="179" t="s">
        <v>100</v>
      </c>
      <c r="X6" s="179" t="s">
        <v>101</v>
      </c>
      <c r="Y6" s="200">
        <v>50</v>
      </c>
      <c r="Z6" s="179">
        <v>50</v>
      </c>
      <c r="AA6" s="179" t="s">
        <v>100</v>
      </c>
      <c r="AB6" s="179" t="s">
        <v>101</v>
      </c>
      <c r="AC6" s="200">
        <v>50</v>
      </c>
      <c r="AD6" s="200">
        <v>50</v>
      </c>
      <c r="AE6" s="179" t="s">
        <v>100</v>
      </c>
      <c r="AF6" s="179" t="s">
        <v>101</v>
      </c>
      <c r="AG6" s="179" t="s">
        <v>100</v>
      </c>
      <c r="AH6" s="179" t="s">
        <v>101</v>
      </c>
      <c r="AI6" s="179" t="s">
        <v>100</v>
      </c>
      <c r="AJ6" s="179" t="s">
        <v>101</v>
      </c>
      <c r="AK6" s="179" t="s">
        <v>100</v>
      </c>
      <c r="AL6" s="179" t="s">
        <v>101</v>
      </c>
      <c r="AM6" s="179" t="s">
        <v>100</v>
      </c>
      <c r="AN6" s="179" t="s">
        <v>101</v>
      </c>
      <c r="AP6" s="179" t="s">
        <v>65</v>
      </c>
      <c r="AQ6" s="179" t="s">
        <v>67</v>
      </c>
    </row>
    <row r="7" spans="1:43" s="187" customFormat="1" ht="39.950000000000003" customHeight="1">
      <c r="A7" s="178">
        <v>44926</v>
      </c>
      <c r="B7" s="184"/>
      <c r="C7" s="185">
        <v>351013</v>
      </c>
      <c r="D7" s="186"/>
      <c r="E7" s="185">
        <v>604302</v>
      </c>
      <c r="F7" s="186"/>
      <c r="G7" s="185">
        <v>401654</v>
      </c>
      <c r="H7" s="186"/>
      <c r="I7" s="186"/>
      <c r="J7" s="186"/>
      <c r="K7" s="185">
        <v>515059</v>
      </c>
      <c r="L7" s="186"/>
      <c r="M7" s="185">
        <v>829392</v>
      </c>
      <c r="N7" s="186"/>
      <c r="O7" s="185">
        <v>550410</v>
      </c>
      <c r="P7" s="186"/>
      <c r="Q7" s="186"/>
      <c r="R7" s="186"/>
      <c r="S7" s="185">
        <v>470664</v>
      </c>
      <c r="T7" s="186"/>
      <c r="U7" s="186"/>
      <c r="V7" s="186"/>
      <c r="W7" s="185">
        <v>240546</v>
      </c>
      <c r="X7" s="186"/>
      <c r="Y7" s="186"/>
      <c r="Z7" s="186"/>
      <c r="AA7" s="185">
        <v>314658</v>
      </c>
      <c r="AB7" s="186"/>
      <c r="AC7" s="186"/>
      <c r="AD7" s="186"/>
      <c r="AE7" s="185">
        <v>100416</v>
      </c>
      <c r="AF7" s="186"/>
      <c r="AG7" s="185">
        <v>189695</v>
      </c>
      <c r="AH7" s="186"/>
      <c r="AI7" s="185">
        <v>334605</v>
      </c>
      <c r="AJ7" s="186"/>
      <c r="AK7" s="185">
        <v>170396</v>
      </c>
      <c r="AL7" s="186"/>
      <c r="AM7" s="185">
        <v>887462</v>
      </c>
      <c r="AN7" s="186"/>
      <c r="AP7" s="188"/>
      <c r="AQ7" s="189"/>
    </row>
    <row r="8" spans="1:43" s="192" customFormat="1" ht="39.950000000000003" customHeight="1">
      <c r="A8" s="178">
        <v>44927</v>
      </c>
      <c r="B8" s="190"/>
      <c r="C8" s="191">
        <v>351437</v>
      </c>
      <c r="D8" s="186">
        <f>(C8-C7)*10</f>
        <v>4240</v>
      </c>
      <c r="E8" s="191">
        <v>605018</v>
      </c>
      <c r="F8" s="186">
        <f>(E8-E7)*10</f>
        <v>7160</v>
      </c>
      <c r="G8" s="191">
        <v>401952</v>
      </c>
      <c r="H8" s="186">
        <f>(G8-G7)*10</f>
        <v>2980</v>
      </c>
      <c r="I8" s="186">
        <f>H8*I6/100</f>
        <v>1490</v>
      </c>
      <c r="J8" s="186">
        <f>H8*J6/100</f>
        <v>1490</v>
      </c>
      <c r="K8" s="191">
        <v>515657</v>
      </c>
      <c r="L8" s="186">
        <f>(K8-K7)*10</f>
        <v>5980</v>
      </c>
      <c r="M8" s="191">
        <v>830497</v>
      </c>
      <c r="N8" s="186">
        <f>(M8-M7)*10</f>
        <v>11050</v>
      </c>
      <c r="O8" s="191">
        <v>550906</v>
      </c>
      <c r="P8" s="186">
        <f>(O8-O7)*10</f>
        <v>4960</v>
      </c>
      <c r="Q8" s="186">
        <f>P8*Q6/100</f>
        <v>2480</v>
      </c>
      <c r="R8" s="186">
        <f>P8*R6/100</f>
        <v>2480</v>
      </c>
      <c r="S8" s="191">
        <v>471269</v>
      </c>
      <c r="T8" s="186">
        <f>(S8-S7)*10</f>
        <v>6050</v>
      </c>
      <c r="U8" s="186">
        <f>T8*U6/100</f>
        <v>3025</v>
      </c>
      <c r="V8" s="186">
        <f>T8*V6/100</f>
        <v>3025</v>
      </c>
      <c r="W8" s="191">
        <v>240548</v>
      </c>
      <c r="X8" s="186">
        <f>(W8-W7)*10</f>
        <v>20</v>
      </c>
      <c r="Y8" s="186">
        <f>X8*Y6/100</f>
        <v>10</v>
      </c>
      <c r="Z8" s="186">
        <f>X8*Z6/100</f>
        <v>10</v>
      </c>
      <c r="AA8" s="191">
        <v>314661</v>
      </c>
      <c r="AB8" s="186">
        <f>(AA8-AA7)*10</f>
        <v>30</v>
      </c>
      <c r="AC8" s="186">
        <f>AB8*AC6/100</f>
        <v>15</v>
      </c>
      <c r="AD8" s="186">
        <f>AB8*AD6/100</f>
        <v>15</v>
      </c>
      <c r="AE8" s="191">
        <v>100540</v>
      </c>
      <c r="AF8" s="186">
        <f>(AE8-AE7)*10</f>
        <v>1240</v>
      </c>
      <c r="AG8" s="191">
        <v>189921</v>
      </c>
      <c r="AH8" s="186">
        <f>(AG8-AG7)*10</f>
        <v>2260</v>
      </c>
      <c r="AI8" s="191">
        <v>334977</v>
      </c>
      <c r="AJ8" s="186">
        <f>(AI8-AI7)*10</f>
        <v>3720</v>
      </c>
      <c r="AK8" s="191">
        <v>170630</v>
      </c>
      <c r="AL8" s="186">
        <f>(AK8-AK7)*10</f>
        <v>2340</v>
      </c>
      <c r="AM8" s="191">
        <v>888431</v>
      </c>
      <c r="AN8" s="186">
        <f>(AM8-AM7)*10</f>
        <v>9690</v>
      </c>
      <c r="AP8" s="188">
        <f>SUM(D8,F8,I8,L8,N8,Q8,U8,Y8,AC8)</f>
        <v>35450</v>
      </c>
      <c r="AQ8" s="189">
        <f>SUM(R8,V8,Z8,AD8,AF8,AH8,AJ8,AL8,AN8,J8)</f>
        <v>26270</v>
      </c>
    </row>
    <row r="9" spans="1:43" s="187" customFormat="1" ht="39.950000000000003" customHeight="1">
      <c r="A9" s="178">
        <f>SUM(A8+1)</f>
        <v>44928</v>
      </c>
      <c r="B9" s="184"/>
      <c r="C9" s="191">
        <v>351850</v>
      </c>
      <c r="D9" s="186">
        <f t="shared" ref="D9:D37" si="0">(C9-C8)*10</f>
        <v>4130</v>
      </c>
      <c r="E9" s="191">
        <v>605713</v>
      </c>
      <c r="F9" s="186">
        <f t="shared" ref="F9:F37" si="1">(E9-E8)*10</f>
        <v>6950</v>
      </c>
      <c r="G9" s="191">
        <v>402236</v>
      </c>
      <c r="H9" s="186">
        <f t="shared" ref="H9:H37" si="2">(G9-G8)*10</f>
        <v>2840</v>
      </c>
      <c r="I9" s="186">
        <f>H9*I6/100</f>
        <v>1420</v>
      </c>
      <c r="J9" s="186">
        <f>H9*J6/100</f>
        <v>1420</v>
      </c>
      <c r="K9" s="191">
        <v>516242</v>
      </c>
      <c r="L9" s="186">
        <f t="shared" ref="L9:L37" si="3">(K9-K8)*10</f>
        <v>5850</v>
      </c>
      <c r="M9" s="191">
        <v>831417</v>
      </c>
      <c r="N9" s="186">
        <f t="shared" ref="N9:N37" si="4">(M9-M8)*10</f>
        <v>9200</v>
      </c>
      <c r="O9" s="191">
        <v>551380</v>
      </c>
      <c r="P9" s="186">
        <f t="shared" ref="P9:P37" si="5">(O9-O8)*10</f>
        <v>4740</v>
      </c>
      <c r="Q9" s="186">
        <f>P9*Q6/100</f>
        <v>2370</v>
      </c>
      <c r="R9" s="186">
        <f>P9*R6/100</f>
        <v>2370</v>
      </c>
      <c r="S9" s="191">
        <v>471910</v>
      </c>
      <c r="T9" s="186">
        <f t="shared" ref="T9:T37" si="6">(S9-S8)*10</f>
        <v>6410</v>
      </c>
      <c r="U9" s="186">
        <f>T9*U6/100</f>
        <v>3205</v>
      </c>
      <c r="V9" s="186">
        <f>T9*V6/100</f>
        <v>3205</v>
      </c>
      <c r="W9" s="191">
        <v>240550</v>
      </c>
      <c r="X9" s="186">
        <f t="shared" ref="X9:X37" si="7">(W9-W8)*10</f>
        <v>20</v>
      </c>
      <c r="Y9" s="186">
        <f>X9*Y6/100</f>
        <v>10</v>
      </c>
      <c r="Z9" s="186">
        <f>X9*Z6/100</f>
        <v>10</v>
      </c>
      <c r="AA9" s="191">
        <v>314665</v>
      </c>
      <c r="AB9" s="186">
        <f t="shared" ref="AB9:AB37" si="8">(AA9-AA8)*10</f>
        <v>40</v>
      </c>
      <c r="AC9" s="186">
        <f>AB9*AC6/100</f>
        <v>20</v>
      </c>
      <c r="AD9" s="186">
        <f>AB9*AD6/100</f>
        <v>20</v>
      </c>
      <c r="AE9" s="191">
        <v>100663</v>
      </c>
      <c r="AF9" s="186">
        <f t="shared" ref="AF9:AF37" si="9">(AE9-AE8)*10</f>
        <v>1230</v>
      </c>
      <c r="AG9" s="191">
        <v>190148</v>
      </c>
      <c r="AH9" s="186">
        <f t="shared" ref="AH9:AH37" si="10">(AG9-AG8)*10</f>
        <v>2270</v>
      </c>
      <c r="AI9" s="191">
        <v>335353</v>
      </c>
      <c r="AJ9" s="186">
        <f t="shared" ref="AJ9:AJ37" si="11">(AI9-AI8)*10</f>
        <v>3760</v>
      </c>
      <c r="AK9" s="191">
        <v>170866</v>
      </c>
      <c r="AL9" s="186">
        <f t="shared" ref="AL9:AL37" si="12">(AK9-AK8)*10</f>
        <v>2360</v>
      </c>
      <c r="AM9" s="191">
        <v>889416</v>
      </c>
      <c r="AN9" s="186">
        <f t="shared" ref="AN9:AN37" si="13">(AM9-AM8)*10</f>
        <v>9850</v>
      </c>
      <c r="AP9" s="188">
        <f t="shared" ref="AP9:AP37" si="14">SUM(D9,F9,I9,L9,N9,Q9,U9,Y9,AC9)</f>
        <v>33155</v>
      </c>
      <c r="AQ9" s="189">
        <f t="shared" ref="AQ9:AQ38" si="15">SUM(R9,V9,Z9,AD9,AF9,AH9,AJ9,AL9,AN9,J9)</f>
        <v>26495</v>
      </c>
    </row>
    <row r="10" spans="1:43" s="187" customFormat="1" ht="39.950000000000003" customHeight="1">
      <c r="A10" s="178">
        <f t="shared" ref="A10:A38" si="16">SUM(A9+1)</f>
        <v>44929</v>
      </c>
      <c r="B10" s="184"/>
      <c r="C10" s="191">
        <v>352268</v>
      </c>
      <c r="D10" s="186">
        <f t="shared" si="0"/>
        <v>4180</v>
      </c>
      <c r="E10" s="191">
        <v>606416</v>
      </c>
      <c r="F10" s="186">
        <f t="shared" si="1"/>
        <v>7030</v>
      </c>
      <c r="G10" s="191">
        <v>402525</v>
      </c>
      <c r="H10" s="186">
        <f t="shared" si="2"/>
        <v>2890</v>
      </c>
      <c r="I10" s="186">
        <f>H10*I6/100</f>
        <v>1445</v>
      </c>
      <c r="J10" s="186">
        <f>H10*J6/100</f>
        <v>1445</v>
      </c>
      <c r="K10" s="191">
        <v>516814</v>
      </c>
      <c r="L10" s="186">
        <f t="shared" si="3"/>
        <v>5720</v>
      </c>
      <c r="M10" s="191">
        <v>832527</v>
      </c>
      <c r="N10" s="186">
        <f t="shared" si="4"/>
        <v>11100</v>
      </c>
      <c r="O10" s="191">
        <v>551894</v>
      </c>
      <c r="P10" s="186">
        <f t="shared" si="5"/>
        <v>5140</v>
      </c>
      <c r="Q10" s="186">
        <f>P10*Q6/100</f>
        <v>2570</v>
      </c>
      <c r="R10" s="186">
        <f>P10*R6/100</f>
        <v>2570</v>
      </c>
      <c r="S10" s="191">
        <v>472424</v>
      </c>
      <c r="T10" s="186">
        <f t="shared" si="6"/>
        <v>5140</v>
      </c>
      <c r="U10" s="186">
        <f>T10*U6/100</f>
        <v>2570</v>
      </c>
      <c r="V10" s="186">
        <f>T10*V6/100</f>
        <v>2570</v>
      </c>
      <c r="W10" s="191">
        <v>240554</v>
      </c>
      <c r="X10" s="186">
        <f t="shared" si="7"/>
        <v>40</v>
      </c>
      <c r="Y10" s="186">
        <f>X10*Y6/100</f>
        <v>20</v>
      </c>
      <c r="Z10" s="186">
        <f>X10*Z6/100</f>
        <v>20</v>
      </c>
      <c r="AA10" s="191">
        <v>314697</v>
      </c>
      <c r="AB10" s="186">
        <f t="shared" si="8"/>
        <v>320</v>
      </c>
      <c r="AC10" s="186">
        <f>AB10*AC6/100</f>
        <v>160</v>
      </c>
      <c r="AD10" s="186">
        <f>AB10*AD6/100</f>
        <v>160</v>
      </c>
      <c r="AE10" s="191">
        <v>100779</v>
      </c>
      <c r="AF10" s="186">
        <f t="shared" si="9"/>
        <v>1160</v>
      </c>
      <c r="AG10" s="193">
        <v>190383</v>
      </c>
      <c r="AH10" s="186">
        <f t="shared" si="10"/>
        <v>2350</v>
      </c>
      <c r="AI10" s="193">
        <v>335736</v>
      </c>
      <c r="AJ10" s="186">
        <f t="shared" si="11"/>
        <v>3830</v>
      </c>
      <c r="AK10" s="193">
        <v>171116</v>
      </c>
      <c r="AL10" s="188">
        <f t="shared" si="12"/>
        <v>2500</v>
      </c>
      <c r="AM10" s="193">
        <v>890383</v>
      </c>
      <c r="AN10" s="188">
        <f t="shared" si="13"/>
        <v>9670</v>
      </c>
      <c r="AP10" s="188">
        <f t="shared" si="14"/>
        <v>34795</v>
      </c>
      <c r="AQ10" s="189">
        <f t="shared" si="15"/>
        <v>26275</v>
      </c>
    </row>
    <row r="11" spans="1:43" s="187" customFormat="1" ht="39.950000000000003" customHeight="1">
      <c r="A11" s="178">
        <f t="shared" si="16"/>
        <v>44930</v>
      </c>
      <c r="B11" s="184"/>
      <c r="C11" s="193">
        <v>352687</v>
      </c>
      <c r="D11" s="188">
        <f t="shared" si="0"/>
        <v>4190</v>
      </c>
      <c r="E11" s="193">
        <v>607103</v>
      </c>
      <c r="F11" s="188">
        <f t="shared" si="1"/>
        <v>6870</v>
      </c>
      <c r="G11" s="193">
        <v>402762</v>
      </c>
      <c r="H11" s="188">
        <f t="shared" si="2"/>
        <v>2370</v>
      </c>
      <c r="I11" s="188">
        <f>H11*I6/100</f>
        <v>1185</v>
      </c>
      <c r="J11" s="188">
        <f>H11*J6/100</f>
        <v>1185</v>
      </c>
      <c r="K11" s="193">
        <v>517381</v>
      </c>
      <c r="L11" s="188">
        <f t="shared" si="3"/>
        <v>5670</v>
      </c>
      <c r="M11" s="193">
        <v>833608</v>
      </c>
      <c r="N11" s="188">
        <f t="shared" si="4"/>
        <v>10810</v>
      </c>
      <c r="O11" s="193">
        <v>552362</v>
      </c>
      <c r="P11" s="188">
        <f t="shared" si="5"/>
        <v>4680</v>
      </c>
      <c r="Q11" s="188">
        <f>P11*Q6/100</f>
        <v>2340</v>
      </c>
      <c r="R11" s="188">
        <f>P11*R6/100</f>
        <v>2340</v>
      </c>
      <c r="S11" s="193">
        <v>472638</v>
      </c>
      <c r="T11" s="188">
        <f t="shared" si="6"/>
        <v>2140</v>
      </c>
      <c r="U11" s="188">
        <f>T11*U6/100</f>
        <v>1070</v>
      </c>
      <c r="V11" s="188">
        <f>T11*V6/100</f>
        <v>1070</v>
      </c>
      <c r="W11" s="193">
        <v>240936</v>
      </c>
      <c r="X11" s="188">
        <f t="shared" si="7"/>
        <v>3820</v>
      </c>
      <c r="Y11" s="188">
        <f>X11*Y6/100</f>
        <v>1910</v>
      </c>
      <c r="Z11" s="188">
        <f>X11*Z6/100</f>
        <v>1910</v>
      </c>
      <c r="AA11" s="193">
        <v>314743</v>
      </c>
      <c r="AB11" s="188">
        <f t="shared" si="8"/>
        <v>460</v>
      </c>
      <c r="AC11" s="188">
        <f>AB11*AC6/100</f>
        <v>230</v>
      </c>
      <c r="AD11" s="188">
        <f>AB11*AD6/100</f>
        <v>230</v>
      </c>
      <c r="AE11" s="193">
        <v>100896</v>
      </c>
      <c r="AF11" s="188">
        <f t="shared" si="9"/>
        <v>1170</v>
      </c>
      <c r="AG11" s="193">
        <v>190608</v>
      </c>
      <c r="AH11" s="188">
        <f t="shared" si="10"/>
        <v>2250</v>
      </c>
      <c r="AI11" s="193">
        <v>336108</v>
      </c>
      <c r="AJ11" s="186">
        <f t="shared" si="11"/>
        <v>3720</v>
      </c>
      <c r="AK11" s="193">
        <v>171354</v>
      </c>
      <c r="AL11" s="188">
        <f t="shared" si="12"/>
        <v>2380</v>
      </c>
      <c r="AM11" s="193">
        <v>891327</v>
      </c>
      <c r="AN11" s="188">
        <f t="shared" si="13"/>
        <v>9440</v>
      </c>
      <c r="AP11" s="188">
        <f t="shared" si="14"/>
        <v>34275</v>
      </c>
      <c r="AQ11" s="189">
        <f t="shared" si="15"/>
        <v>25695</v>
      </c>
    </row>
    <row r="12" spans="1:43" s="187" customFormat="1" ht="39.950000000000003" customHeight="1">
      <c r="A12" s="178">
        <f t="shared" si="16"/>
        <v>44931</v>
      </c>
      <c r="B12" s="184"/>
      <c r="C12" s="193">
        <v>353113</v>
      </c>
      <c r="D12" s="188">
        <f t="shared" si="0"/>
        <v>4260</v>
      </c>
      <c r="E12" s="193">
        <v>607817</v>
      </c>
      <c r="F12" s="188">
        <f t="shared" si="1"/>
        <v>7140</v>
      </c>
      <c r="G12" s="193">
        <v>403009</v>
      </c>
      <c r="H12" s="188">
        <f t="shared" si="2"/>
        <v>2470</v>
      </c>
      <c r="I12" s="188">
        <f>H12*I6/100</f>
        <v>1235</v>
      </c>
      <c r="J12" s="188">
        <f>H12*J6/100</f>
        <v>1235</v>
      </c>
      <c r="K12" s="193">
        <v>517958</v>
      </c>
      <c r="L12" s="188">
        <f t="shared" si="3"/>
        <v>5770</v>
      </c>
      <c r="M12" s="193">
        <v>834727</v>
      </c>
      <c r="N12" s="188">
        <f t="shared" si="4"/>
        <v>11190</v>
      </c>
      <c r="O12" s="193">
        <v>552845</v>
      </c>
      <c r="P12" s="188">
        <f t="shared" si="5"/>
        <v>4830</v>
      </c>
      <c r="Q12" s="188">
        <f>P12*Q6/100</f>
        <v>2415</v>
      </c>
      <c r="R12" s="188">
        <f>P12*R6/100</f>
        <v>2415</v>
      </c>
      <c r="S12" s="193">
        <v>472913</v>
      </c>
      <c r="T12" s="188">
        <f t="shared" si="6"/>
        <v>2750</v>
      </c>
      <c r="U12" s="188">
        <f>T12*U6/100</f>
        <v>1375</v>
      </c>
      <c r="V12" s="188">
        <f>T12*V6/100</f>
        <v>1375</v>
      </c>
      <c r="W12" s="193">
        <v>241358</v>
      </c>
      <c r="X12" s="188">
        <f t="shared" si="7"/>
        <v>4220</v>
      </c>
      <c r="Y12" s="188">
        <f>X12*Y6/100</f>
        <v>2110</v>
      </c>
      <c r="Z12" s="188">
        <f>X12*Z6/100</f>
        <v>2110</v>
      </c>
      <c r="AA12" s="193">
        <v>314783</v>
      </c>
      <c r="AB12" s="188">
        <f t="shared" si="8"/>
        <v>400</v>
      </c>
      <c r="AC12" s="188">
        <f>AB12*AC6/100</f>
        <v>200</v>
      </c>
      <c r="AD12" s="188">
        <f>AB12*AD6/100</f>
        <v>200</v>
      </c>
      <c r="AE12" s="193">
        <v>101023</v>
      </c>
      <c r="AF12" s="188">
        <f t="shared" si="9"/>
        <v>1270</v>
      </c>
      <c r="AG12" s="193">
        <v>190840</v>
      </c>
      <c r="AH12" s="188">
        <f t="shared" si="10"/>
        <v>2320</v>
      </c>
      <c r="AI12" s="193">
        <v>336492</v>
      </c>
      <c r="AJ12" s="188">
        <f t="shared" si="11"/>
        <v>3840</v>
      </c>
      <c r="AK12" s="193">
        <v>171594</v>
      </c>
      <c r="AL12" s="188">
        <f t="shared" si="12"/>
        <v>2400</v>
      </c>
      <c r="AM12" s="193">
        <v>892314</v>
      </c>
      <c r="AN12" s="188">
        <f t="shared" si="13"/>
        <v>9870</v>
      </c>
      <c r="AP12" s="188">
        <f t="shared" si="14"/>
        <v>35695</v>
      </c>
      <c r="AQ12" s="189">
        <f t="shared" si="15"/>
        <v>27035</v>
      </c>
    </row>
    <row r="13" spans="1:43" s="187" customFormat="1" ht="39.950000000000003" customHeight="1">
      <c r="A13" s="178">
        <f t="shared" si="16"/>
        <v>44932</v>
      </c>
      <c r="B13" s="184"/>
      <c r="C13" s="193">
        <v>353545</v>
      </c>
      <c r="D13" s="188">
        <f t="shared" si="0"/>
        <v>4320</v>
      </c>
      <c r="E13" s="193">
        <v>608569</v>
      </c>
      <c r="F13" s="188">
        <f t="shared" si="1"/>
        <v>7520</v>
      </c>
      <c r="G13" s="193">
        <v>403303</v>
      </c>
      <c r="H13" s="188">
        <f t="shared" si="2"/>
        <v>2940</v>
      </c>
      <c r="I13" s="188">
        <f>H13*I6/100</f>
        <v>1470</v>
      </c>
      <c r="J13" s="188">
        <f>H13*J6/100</f>
        <v>1470</v>
      </c>
      <c r="K13" s="193">
        <v>518546</v>
      </c>
      <c r="L13" s="188">
        <f t="shared" si="3"/>
        <v>5880</v>
      </c>
      <c r="M13" s="193">
        <v>835854</v>
      </c>
      <c r="N13" s="188">
        <f t="shared" si="4"/>
        <v>11270</v>
      </c>
      <c r="O13" s="193">
        <v>553332</v>
      </c>
      <c r="P13" s="188">
        <f t="shared" si="5"/>
        <v>4870</v>
      </c>
      <c r="Q13" s="188">
        <f>P13*Q6/100</f>
        <v>2435</v>
      </c>
      <c r="R13" s="188">
        <f>P13*R6/100</f>
        <v>2435</v>
      </c>
      <c r="S13" s="193">
        <v>473677</v>
      </c>
      <c r="T13" s="188">
        <f t="shared" si="6"/>
        <v>7640</v>
      </c>
      <c r="U13" s="188">
        <f>T13*U6/100</f>
        <v>3820</v>
      </c>
      <c r="V13" s="188">
        <f>T13*V6/100</f>
        <v>3820</v>
      </c>
      <c r="W13" s="193">
        <v>241360</v>
      </c>
      <c r="X13" s="188">
        <f t="shared" si="7"/>
        <v>20</v>
      </c>
      <c r="Y13" s="188">
        <f>X13*Y6/100</f>
        <v>10</v>
      </c>
      <c r="Z13" s="188">
        <f>X13*Z6/100</f>
        <v>10</v>
      </c>
      <c r="AA13" s="193">
        <v>314787</v>
      </c>
      <c r="AB13" s="188">
        <f t="shared" si="8"/>
        <v>40</v>
      </c>
      <c r="AC13" s="188">
        <f>AB13*AC6/100</f>
        <v>20</v>
      </c>
      <c r="AD13" s="188">
        <f>AB13*AD6/100</f>
        <v>20</v>
      </c>
      <c r="AE13" s="193">
        <v>101151</v>
      </c>
      <c r="AF13" s="188">
        <f t="shared" si="9"/>
        <v>1280</v>
      </c>
      <c r="AG13" s="193">
        <v>191066</v>
      </c>
      <c r="AH13" s="188">
        <f t="shared" si="10"/>
        <v>2260</v>
      </c>
      <c r="AI13" s="191">
        <v>336874</v>
      </c>
      <c r="AJ13" s="188">
        <f t="shared" si="11"/>
        <v>3820</v>
      </c>
      <c r="AK13" s="191">
        <v>171827</v>
      </c>
      <c r="AL13" s="188">
        <f t="shared" si="12"/>
        <v>2330</v>
      </c>
      <c r="AM13" s="191">
        <v>893294</v>
      </c>
      <c r="AN13" s="188">
        <f t="shared" si="13"/>
        <v>9800</v>
      </c>
      <c r="AP13" s="188">
        <f t="shared" si="14"/>
        <v>36745</v>
      </c>
      <c r="AQ13" s="189">
        <f t="shared" si="15"/>
        <v>27245</v>
      </c>
    </row>
    <row r="14" spans="1:43" s="187" customFormat="1" ht="39.950000000000003" customHeight="1">
      <c r="A14" s="178">
        <f t="shared" si="16"/>
        <v>44933</v>
      </c>
      <c r="B14" s="184"/>
      <c r="C14" s="191">
        <v>353971</v>
      </c>
      <c r="D14" s="186">
        <f t="shared" si="0"/>
        <v>4260</v>
      </c>
      <c r="E14" s="191">
        <v>609326</v>
      </c>
      <c r="F14" s="186">
        <f t="shared" si="1"/>
        <v>7570</v>
      </c>
      <c r="G14" s="191">
        <v>403606</v>
      </c>
      <c r="H14" s="186">
        <f t="shared" si="2"/>
        <v>3030</v>
      </c>
      <c r="I14" s="186">
        <f>H14*I6/100</f>
        <v>1515</v>
      </c>
      <c r="J14" s="186">
        <f>H14*J6/100</f>
        <v>1515</v>
      </c>
      <c r="K14" s="191">
        <v>519161</v>
      </c>
      <c r="L14" s="186">
        <f t="shared" si="3"/>
        <v>6150</v>
      </c>
      <c r="M14" s="191">
        <v>837049</v>
      </c>
      <c r="N14" s="186">
        <f t="shared" si="4"/>
        <v>11950</v>
      </c>
      <c r="O14" s="191">
        <v>553825</v>
      </c>
      <c r="P14" s="186">
        <f t="shared" si="5"/>
        <v>4930</v>
      </c>
      <c r="Q14" s="186">
        <f>P14*Q6/100</f>
        <v>2465</v>
      </c>
      <c r="R14" s="186">
        <f>P14*R6/100</f>
        <v>2465</v>
      </c>
      <c r="S14" s="191">
        <v>474368</v>
      </c>
      <c r="T14" s="186">
        <f t="shared" si="6"/>
        <v>6910</v>
      </c>
      <c r="U14" s="186">
        <f>T14*U6/100</f>
        <v>3455</v>
      </c>
      <c r="V14" s="186">
        <f>T14*V6/100</f>
        <v>3455</v>
      </c>
      <c r="W14" s="191">
        <v>241362</v>
      </c>
      <c r="X14" s="186">
        <f t="shared" si="7"/>
        <v>20</v>
      </c>
      <c r="Y14" s="186">
        <f>X14*Y6/100</f>
        <v>10</v>
      </c>
      <c r="Z14" s="186">
        <f>X14*Z6/100</f>
        <v>10</v>
      </c>
      <c r="AA14" s="191">
        <v>314790</v>
      </c>
      <c r="AB14" s="186">
        <f t="shared" si="8"/>
        <v>30</v>
      </c>
      <c r="AC14" s="186">
        <f>AB14*AC6/100</f>
        <v>15</v>
      </c>
      <c r="AD14" s="186">
        <f>AB14*AD6/100</f>
        <v>15</v>
      </c>
      <c r="AE14" s="191">
        <v>101287</v>
      </c>
      <c r="AF14" s="186">
        <f t="shared" si="9"/>
        <v>1360</v>
      </c>
      <c r="AG14" s="191">
        <v>191293</v>
      </c>
      <c r="AH14" s="186">
        <f t="shared" si="10"/>
        <v>2270</v>
      </c>
      <c r="AI14" s="191">
        <v>337254</v>
      </c>
      <c r="AJ14" s="186">
        <f t="shared" si="11"/>
        <v>3800</v>
      </c>
      <c r="AK14" s="191">
        <v>172076</v>
      </c>
      <c r="AL14" s="186">
        <f t="shared" si="12"/>
        <v>2490</v>
      </c>
      <c r="AM14" s="191">
        <v>894274</v>
      </c>
      <c r="AN14" s="186">
        <f t="shared" si="13"/>
        <v>9800</v>
      </c>
      <c r="AP14" s="188">
        <f t="shared" si="14"/>
        <v>37390</v>
      </c>
      <c r="AQ14" s="189">
        <f t="shared" si="15"/>
        <v>27180</v>
      </c>
    </row>
    <row r="15" spans="1:43" s="187" customFormat="1" ht="39.950000000000003" customHeight="1">
      <c r="A15" s="178">
        <f t="shared" si="16"/>
        <v>44934</v>
      </c>
      <c r="B15" s="184"/>
      <c r="C15" s="191">
        <v>354400</v>
      </c>
      <c r="D15" s="186">
        <f t="shared" si="0"/>
        <v>4290</v>
      </c>
      <c r="E15" s="191">
        <v>610074</v>
      </c>
      <c r="F15" s="186">
        <f t="shared" si="1"/>
        <v>7480</v>
      </c>
      <c r="G15" s="191">
        <v>403888</v>
      </c>
      <c r="H15" s="186">
        <f t="shared" si="2"/>
        <v>2820</v>
      </c>
      <c r="I15" s="186">
        <f>H15*I6/100</f>
        <v>1410</v>
      </c>
      <c r="J15" s="186">
        <f>H15*J6/100</f>
        <v>1410</v>
      </c>
      <c r="K15" s="191">
        <v>519764</v>
      </c>
      <c r="L15" s="186">
        <f t="shared" si="3"/>
        <v>6030</v>
      </c>
      <c r="M15" s="191">
        <v>838156</v>
      </c>
      <c r="N15" s="186">
        <f t="shared" si="4"/>
        <v>11070</v>
      </c>
      <c r="O15" s="191">
        <v>554293</v>
      </c>
      <c r="P15" s="186">
        <f t="shared" si="5"/>
        <v>4680</v>
      </c>
      <c r="Q15" s="186">
        <f>P15*Q6/100</f>
        <v>2340</v>
      </c>
      <c r="R15" s="186">
        <f>P15*R6/100</f>
        <v>2340</v>
      </c>
      <c r="S15" s="191">
        <v>474993</v>
      </c>
      <c r="T15" s="186">
        <f t="shared" si="6"/>
        <v>6250</v>
      </c>
      <c r="U15" s="186">
        <f>T15*U6/100</f>
        <v>3125</v>
      </c>
      <c r="V15" s="186">
        <f>T15*V6/100</f>
        <v>3125</v>
      </c>
      <c r="W15" s="191">
        <v>241365</v>
      </c>
      <c r="X15" s="186">
        <f t="shared" si="7"/>
        <v>30</v>
      </c>
      <c r="Y15" s="186">
        <f>X15*Y6/100</f>
        <v>15</v>
      </c>
      <c r="Z15" s="186">
        <f>X15*Z6/100</f>
        <v>15</v>
      </c>
      <c r="AA15" s="191">
        <v>314794</v>
      </c>
      <c r="AB15" s="186">
        <f t="shared" si="8"/>
        <v>40</v>
      </c>
      <c r="AC15" s="186">
        <f>AB15*AC6/100</f>
        <v>20</v>
      </c>
      <c r="AD15" s="186">
        <f>AB15*AD6/100</f>
        <v>20</v>
      </c>
      <c r="AE15" s="191">
        <v>101423</v>
      </c>
      <c r="AF15" s="186">
        <f t="shared" si="9"/>
        <v>1360</v>
      </c>
      <c r="AG15" s="191">
        <v>191525</v>
      </c>
      <c r="AH15" s="186">
        <f t="shared" si="10"/>
        <v>2320</v>
      </c>
      <c r="AI15" s="191">
        <v>337617</v>
      </c>
      <c r="AJ15" s="186">
        <f t="shared" si="11"/>
        <v>3630</v>
      </c>
      <c r="AK15" s="191">
        <v>172326</v>
      </c>
      <c r="AL15" s="186">
        <f t="shared" si="12"/>
        <v>2500</v>
      </c>
      <c r="AM15" s="191">
        <v>895176</v>
      </c>
      <c r="AN15" s="186">
        <f t="shared" si="13"/>
        <v>9020</v>
      </c>
      <c r="AP15" s="188">
        <f t="shared" si="14"/>
        <v>35780</v>
      </c>
      <c r="AQ15" s="189">
        <f t="shared" si="15"/>
        <v>25740</v>
      </c>
    </row>
    <row r="16" spans="1:43" s="187" customFormat="1" ht="39.950000000000003" customHeight="1">
      <c r="A16" s="178">
        <f t="shared" si="16"/>
        <v>44935</v>
      </c>
      <c r="B16" s="184"/>
      <c r="C16" s="191">
        <v>354827</v>
      </c>
      <c r="D16" s="186">
        <f t="shared" si="0"/>
        <v>4270</v>
      </c>
      <c r="E16" s="191">
        <v>610845</v>
      </c>
      <c r="F16" s="186">
        <f t="shared" si="1"/>
        <v>7710</v>
      </c>
      <c r="G16" s="191">
        <v>404183</v>
      </c>
      <c r="H16" s="186">
        <f t="shared" si="2"/>
        <v>2950</v>
      </c>
      <c r="I16" s="186">
        <f>H16*I6/100</f>
        <v>1475</v>
      </c>
      <c r="J16" s="186">
        <f>H16*J6/100</f>
        <v>1475</v>
      </c>
      <c r="K16" s="191">
        <v>520370</v>
      </c>
      <c r="L16" s="186">
        <f t="shared" si="3"/>
        <v>6060</v>
      </c>
      <c r="M16" s="191">
        <v>839161</v>
      </c>
      <c r="N16" s="186">
        <f t="shared" si="4"/>
        <v>10050</v>
      </c>
      <c r="O16" s="191">
        <v>554769</v>
      </c>
      <c r="P16" s="186">
        <f t="shared" si="5"/>
        <v>4760</v>
      </c>
      <c r="Q16" s="186">
        <f>P16*Q6/100</f>
        <v>2380</v>
      </c>
      <c r="R16" s="186">
        <f>P16*R6/100</f>
        <v>2380</v>
      </c>
      <c r="S16" s="191">
        <v>475700</v>
      </c>
      <c r="T16" s="186">
        <f t="shared" si="6"/>
        <v>7070</v>
      </c>
      <c r="U16" s="186">
        <f>T16*U6/100</f>
        <v>3535</v>
      </c>
      <c r="V16" s="186">
        <f>T16*V6/100</f>
        <v>3535</v>
      </c>
      <c r="W16" s="191">
        <v>241367</v>
      </c>
      <c r="X16" s="186">
        <f t="shared" si="7"/>
        <v>20</v>
      </c>
      <c r="Y16" s="186">
        <f>X16*Y6/100</f>
        <v>10</v>
      </c>
      <c r="Z16" s="186">
        <f>X16*Z6/100</f>
        <v>10</v>
      </c>
      <c r="AA16" s="191">
        <v>314797</v>
      </c>
      <c r="AB16" s="186">
        <f t="shared" si="8"/>
        <v>30</v>
      </c>
      <c r="AC16" s="186">
        <f>AB16*AC6/100</f>
        <v>15</v>
      </c>
      <c r="AD16" s="186">
        <f>AB16*AD6/100</f>
        <v>15</v>
      </c>
      <c r="AE16" s="191">
        <v>101548</v>
      </c>
      <c r="AF16" s="186">
        <f t="shared" si="9"/>
        <v>1250</v>
      </c>
      <c r="AG16" s="191">
        <v>191760</v>
      </c>
      <c r="AH16" s="186">
        <f t="shared" si="10"/>
        <v>2350</v>
      </c>
      <c r="AI16" s="191">
        <v>337995</v>
      </c>
      <c r="AJ16" s="186">
        <f t="shared" si="11"/>
        <v>3780</v>
      </c>
      <c r="AK16" s="191">
        <v>172575</v>
      </c>
      <c r="AL16" s="186">
        <f t="shared" si="12"/>
        <v>2490</v>
      </c>
      <c r="AM16" s="191">
        <v>896100</v>
      </c>
      <c r="AN16" s="186">
        <f t="shared" si="13"/>
        <v>9240</v>
      </c>
      <c r="AP16" s="188">
        <f t="shared" si="14"/>
        <v>35505</v>
      </c>
      <c r="AQ16" s="189">
        <f t="shared" si="15"/>
        <v>26525</v>
      </c>
    </row>
    <row r="17" spans="1:43" s="187" customFormat="1" ht="39.950000000000003" customHeight="1">
      <c r="A17" s="178">
        <f t="shared" si="16"/>
        <v>44936</v>
      </c>
      <c r="B17" s="184"/>
      <c r="C17" s="191">
        <v>355262</v>
      </c>
      <c r="D17" s="186">
        <f t="shared" si="0"/>
        <v>4350</v>
      </c>
      <c r="E17" s="191">
        <v>611646</v>
      </c>
      <c r="F17" s="186">
        <f t="shared" si="1"/>
        <v>8010</v>
      </c>
      <c r="G17" s="191">
        <v>404444</v>
      </c>
      <c r="H17" s="186">
        <f t="shared" si="2"/>
        <v>2610</v>
      </c>
      <c r="I17" s="186">
        <f>H17*I6/100</f>
        <v>1305</v>
      </c>
      <c r="J17" s="186">
        <f>H17*J6/100</f>
        <v>1305</v>
      </c>
      <c r="K17" s="191">
        <v>520988</v>
      </c>
      <c r="L17" s="186">
        <f t="shared" si="3"/>
        <v>6180</v>
      </c>
      <c r="M17" s="191">
        <v>840315</v>
      </c>
      <c r="N17" s="186">
        <f t="shared" si="4"/>
        <v>11540</v>
      </c>
      <c r="O17" s="191">
        <v>555254</v>
      </c>
      <c r="P17" s="186">
        <f t="shared" si="5"/>
        <v>4850</v>
      </c>
      <c r="Q17" s="186">
        <f>P17*Q6/100</f>
        <v>2425</v>
      </c>
      <c r="R17" s="186">
        <f>P17*R6/100</f>
        <v>2425</v>
      </c>
      <c r="S17" s="191">
        <v>476151</v>
      </c>
      <c r="T17" s="186">
        <f t="shared" si="6"/>
        <v>4510</v>
      </c>
      <c r="U17" s="186">
        <f>T17*U6/100</f>
        <v>2255</v>
      </c>
      <c r="V17" s="186">
        <f>T17*V6/100</f>
        <v>2255</v>
      </c>
      <c r="W17" s="191">
        <v>241369</v>
      </c>
      <c r="X17" s="186">
        <f t="shared" si="7"/>
        <v>20</v>
      </c>
      <c r="Y17" s="186">
        <f>X17*Y6/100</f>
        <v>10</v>
      </c>
      <c r="Z17" s="186">
        <f>X17*Z6/100</f>
        <v>10</v>
      </c>
      <c r="AA17" s="191">
        <v>315108</v>
      </c>
      <c r="AB17" s="186">
        <f t="shared" si="8"/>
        <v>3110</v>
      </c>
      <c r="AC17" s="186">
        <f>AB17*AC6/100</f>
        <v>1555</v>
      </c>
      <c r="AD17" s="186">
        <f>AB17*AD6/100</f>
        <v>1555</v>
      </c>
      <c r="AE17" s="191">
        <v>101683</v>
      </c>
      <c r="AF17" s="186">
        <f t="shared" si="9"/>
        <v>1350</v>
      </c>
      <c r="AG17" s="191">
        <v>192003</v>
      </c>
      <c r="AH17" s="186">
        <f t="shared" si="10"/>
        <v>2430</v>
      </c>
      <c r="AI17" s="191">
        <v>338386</v>
      </c>
      <c r="AJ17" s="186">
        <f t="shared" si="11"/>
        <v>3910</v>
      </c>
      <c r="AK17" s="191">
        <v>172837</v>
      </c>
      <c r="AL17" s="186">
        <f t="shared" si="12"/>
        <v>2620</v>
      </c>
      <c r="AM17" s="191">
        <v>897068</v>
      </c>
      <c r="AN17" s="186">
        <f t="shared" si="13"/>
        <v>9680</v>
      </c>
      <c r="AP17" s="188">
        <f t="shared" si="14"/>
        <v>37630</v>
      </c>
      <c r="AQ17" s="189">
        <f t="shared" si="15"/>
        <v>27540</v>
      </c>
    </row>
    <row r="18" spans="1:43" s="187" customFormat="1" ht="39.950000000000003" customHeight="1">
      <c r="A18" s="178">
        <f t="shared" si="16"/>
        <v>44937</v>
      </c>
      <c r="B18" s="184"/>
      <c r="C18" s="191">
        <v>355712</v>
      </c>
      <c r="D18" s="186">
        <f t="shared" si="0"/>
        <v>4500</v>
      </c>
      <c r="E18" s="191">
        <v>612492</v>
      </c>
      <c r="F18" s="186">
        <f t="shared" si="1"/>
        <v>8460</v>
      </c>
      <c r="G18" s="191">
        <v>404704</v>
      </c>
      <c r="H18" s="186">
        <f t="shared" si="2"/>
        <v>2600</v>
      </c>
      <c r="I18" s="186">
        <f>H18*I6/100</f>
        <v>1300</v>
      </c>
      <c r="J18" s="186">
        <f>H18*J6/100</f>
        <v>1300</v>
      </c>
      <c r="K18" s="191">
        <v>521598</v>
      </c>
      <c r="L18" s="186">
        <f t="shared" si="3"/>
        <v>6100</v>
      </c>
      <c r="M18" s="191">
        <v>841477</v>
      </c>
      <c r="N18" s="186">
        <f t="shared" si="4"/>
        <v>11620</v>
      </c>
      <c r="O18" s="191">
        <v>555981</v>
      </c>
      <c r="P18" s="186">
        <f t="shared" si="5"/>
        <v>7270</v>
      </c>
      <c r="Q18" s="186">
        <f>P18*Q6/100</f>
        <v>3635</v>
      </c>
      <c r="R18" s="186">
        <f>P18*R6/100</f>
        <v>3635</v>
      </c>
      <c r="S18" s="191">
        <v>476153</v>
      </c>
      <c r="T18" s="186">
        <f t="shared" si="6"/>
        <v>20</v>
      </c>
      <c r="U18" s="186">
        <f>T18*U6/100</f>
        <v>10</v>
      </c>
      <c r="V18" s="186">
        <f>T18*V6/100</f>
        <v>10</v>
      </c>
      <c r="W18" s="191">
        <v>241371</v>
      </c>
      <c r="X18" s="186">
        <f t="shared" si="7"/>
        <v>20</v>
      </c>
      <c r="Y18" s="186">
        <f>X18*Y6/100</f>
        <v>10</v>
      </c>
      <c r="Z18" s="186">
        <f>X18*Z6/100</f>
        <v>10</v>
      </c>
      <c r="AA18" s="191">
        <v>315587</v>
      </c>
      <c r="AB18" s="186">
        <f t="shared" si="8"/>
        <v>4790</v>
      </c>
      <c r="AC18" s="186">
        <f>AB18*AC6/100</f>
        <v>2395</v>
      </c>
      <c r="AD18" s="186">
        <f>AB18*AD6/100</f>
        <v>2395</v>
      </c>
      <c r="AE18" s="191">
        <v>101809</v>
      </c>
      <c r="AF18" s="186">
        <f t="shared" si="9"/>
        <v>1260</v>
      </c>
      <c r="AG18" s="191">
        <v>192242</v>
      </c>
      <c r="AH18" s="186">
        <f t="shared" si="10"/>
        <v>2390</v>
      </c>
      <c r="AI18" s="191">
        <v>338781</v>
      </c>
      <c r="AJ18" s="186">
        <f t="shared" si="11"/>
        <v>3950</v>
      </c>
      <c r="AK18" s="191">
        <v>173083</v>
      </c>
      <c r="AL18" s="186">
        <f t="shared" si="12"/>
        <v>2460</v>
      </c>
      <c r="AM18" s="191">
        <v>898034</v>
      </c>
      <c r="AN18" s="186">
        <f t="shared" si="13"/>
        <v>9660</v>
      </c>
      <c r="AP18" s="188">
        <f t="shared" si="14"/>
        <v>38030</v>
      </c>
      <c r="AQ18" s="189">
        <f t="shared" si="15"/>
        <v>27070</v>
      </c>
    </row>
    <row r="19" spans="1:43" s="187" customFormat="1" ht="39.950000000000003" customHeight="1">
      <c r="A19" s="178">
        <f t="shared" si="16"/>
        <v>44938</v>
      </c>
      <c r="B19" s="184"/>
      <c r="C19" s="191">
        <v>356151</v>
      </c>
      <c r="D19" s="186">
        <f t="shared" si="0"/>
        <v>4390</v>
      </c>
      <c r="E19" s="191">
        <v>613291</v>
      </c>
      <c r="F19" s="186">
        <f t="shared" si="1"/>
        <v>7990</v>
      </c>
      <c r="G19" s="191">
        <v>404982</v>
      </c>
      <c r="H19" s="186">
        <f t="shared" si="2"/>
        <v>2780</v>
      </c>
      <c r="I19" s="186">
        <f>H19*I6/100</f>
        <v>1390</v>
      </c>
      <c r="J19" s="186">
        <f>H19*J6/100</f>
        <v>1390</v>
      </c>
      <c r="K19" s="191">
        <v>522223</v>
      </c>
      <c r="L19" s="186">
        <f t="shared" si="3"/>
        <v>6250</v>
      </c>
      <c r="M19" s="191">
        <v>842660</v>
      </c>
      <c r="N19" s="186">
        <f t="shared" si="4"/>
        <v>11830</v>
      </c>
      <c r="O19" s="191">
        <v>557159</v>
      </c>
      <c r="P19" s="186">
        <f t="shared" si="5"/>
        <v>11780</v>
      </c>
      <c r="Q19" s="186">
        <f>P19*Q6/100</f>
        <v>5890</v>
      </c>
      <c r="R19" s="186">
        <f>P19*R6/100</f>
        <v>5890</v>
      </c>
      <c r="S19" s="191">
        <v>476155</v>
      </c>
      <c r="T19" s="186">
        <f t="shared" si="6"/>
        <v>20</v>
      </c>
      <c r="U19" s="186">
        <f>T19*U6/100</f>
        <v>10</v>
      </c>
      <c r="V19" s="186">
        <f>T19*V6/100</f>
        <v>10</v>
      </c>
      <c r="W19" s="191">
        <v>241373</v>
      </c>
      <c r="X19" s="186">
        <f t="shared" si="7"/>
        <v>20</v>
      </c>
      <c r="Y19" s="186">
        <f>X19*Y6/100</f>
        <v>10</v>
      </c>
      <c r="Z19" s="186">
        <f>X19*Z6/100</f>
        <v>10</v>
      </c>
      <c r="AA19" s="191">
        <v>315590</v>
      </c>
      <c r="AB19" s="186">
        <f t="shared" si="8"/>
        <v>30</v>
      </c>
      <c r="AC19" s="186">
        <f>AB19*AC6/100</f>
        <v>15</v>
      </c>
      <c r="AD19" s="186">
        <f>AB19*AD6/100</f>
        <v>15</v>
      </c>
      <c r="AE19" s="191">
        <v>101944</v>
      </c>
      <c r="AF19" s="186">
        <f t="shared" si="9"/>
        <v>1350</v>
      </c>
      <c r="AG19" s="191">
        <v>192480</v>
      </c>
      <c r="AH19" s="186">
        <f t="shared" si="10"/>
        <v>2380</v>
      </c>
      <c r="AI19" s="191">
        <v>339168</v>
      </c>
      <c r="AJ19" s="186">
        <f t="shared" si="11"/>
        <v>3870</v>
      </c>
      <c r="AK19" s="191">
        <v>173331</v>
      </c>
      <c r="AL19" s="186">
        <f t="shared" si="12"/>
        <v>2480</v>
      </c>
      <c r="AM19" s="191">
        <v>898977</v>
      </c>
      <c r="AN19" s="186">
        <f t="shared" si="13"/>
        <v>9430</v>
      </c>
      <c r="AP19" s="188">
        <f t="shared" si="14"/>
        <v>37775</v>
      </c>
      <c r="AQ19" s="189">
        <f t="shared" si="15"/>
        <v>26825</v>
      </c>
    </row>
    <row r="20" spans="1:43" s="187" customFormat="1" ht="39.950000000000003" customHeight="1">
      <c r="A20" s="178">
        <f t="shared" si="16"/>
        <v>44939</v>
      </c>
      <c r="B20" s="184"/>
      <c r="C20" s="191">
        <v>356615</v>
      </c>
      <c r="D20" s="186">
        <f t="shared" si="0"/>
        <v>4640</v>
      </c>
      <c r="E20" s="191">
        <v>614109</v>
      </c>
      <c r="F20" s="186">
        <f t="shared" si="1"/>
        <v>8180</v>
      </c>
      <c r="G20" s="191">
        <v>405306</v>
      </c>
      <c r="H20" s="186">
        <f t="shared" si="2"/>
        <v>3240</v>
      </c>
      <c r="I20" s="186">
        <f>H20*I6/100</f>
        <v>1620</v>
      </c>
      <c r="J20" s="186">
        <f>H20*J6/100</f>
        <v>1620</v>
      </c>
      <c r="K20" s="191">
        <v>522838</v>
      </c>
      <c r="L20" s="186">
        <f t="shared" si="3"/>
        <v>6150</v>
      </c>
      <c r="M20" s="191">
        <v>843813</v>
      </c>
      <c r="N20" s="186">
        <f t="shared" si="4"/>
        <v>11530</v>
      </c>
      <c r="O20" s="191">
        <v>558478</v>
      </c>
      <c r="P20" s="186">
        <f t="shared" si="5"/>
        <v>13190</v>
      </c>
      <c r="Q20" s="186">
        <f>P20*Q6/100</f>
        <v>6595</v>
      </c>
      <c r="R20" s="186">
        <f>P20*R6/100</f>
        <v>6595</v>
      </c>
      <c r="S20" s="191">
        <v>476559</v>
      </c>
      <c r="T20" s="186">
        <f t="shared" si="6"/>
        <v>4040</v>
      </c>
      <c r="U20" s="186">
        <f>T20*U6/100</f>
        <v>2020</v>
      </c>
      <c r="V20" s="186">
        <f>T20*V6/100</f>
        <v>2020</v>
      </c>
      <c r="W20" s="191">
        <v>241376</v>
      </c>
      <c r="X20" s="186">
        <f t="shared" si="7"/>
        <v>30</v>
      </c>
      <c r="Y20" s="186">
        <f>X20*Y6/100</f>
        <v>15</v>
      </c>
      <c r="Z20" s="186">
        <f>X20*Z6/100</f>
        <v>15</v>
      </c>
      <c r="AA20" s="191">
        <v>315594</v>
      </c>
      <c r="AB20" s="186">
        <f t="shared" si="8"/>
        <v>40</v>
      </c>
      <c r="AC20" s="186">
        <f>AB20*AC6/100</f>
        <v>20</v>
      </c>
      <c r="AD20" s="186">
        <f>AB20*AD6/100</f>
        <v>20</v>
      </c>
      <c r="AE20" s="191">
        <v>102080</v>
      </c>
      <c r="AF20" s="186">
        <f t="shared" si="9"/>
        <v>1360</v>
      </c>
      <c r="AG20" s="191">
        <v>192722</v>
      </c>
      <c r="AH20" s="186">
        <f t="shared" si="10"/>
        <v>2420</v>
      </c>
      <c r="AI20" s="191">
        <v>339562</v>
      </c>
      <c r="AJ20" s="186">
        <f t="shared" si="11"/>
        <v>3940</v>
      </c>
      <c r="AK20" s="191">
        <v>173571</v>
      </c>
      <c r="AL20" s="186">
        <f t="shared" si="12"/>
        <v>2400</v>
      </c>
      <c r="AM20" s="191">
        <v>899916</v>
      </c>
      <c r="AN20" s="186">
        <f t="shared" si="13"/>
        <v>9390</v>
      </c>
      <c r="AP20" s="188">
        <f t="shared" si="14"/>
        <v>40770</v>
      </c>
      <c r="AQ20" s="189">
        <f t="shared" si="15"/>
        <v>29780</v>
      </c>
    </row>
    <row r="21" spans="1:43" s="187" customFormat="1" ht="39.950000000000003" customHeight="1">
      <c r="A21" s="178">
        <f t="shared" si="16"/>
        <v>44940</v>
      </c>
      <c r="B21" s="184"/>
      <c r="C21" s="191">
        <v>357035</v>
      </c>
      <c r="D21" s="186">
        <f t="shared" si="0"/>
        <v>4200</v>
      </c>
      <c r="E21" s="191">
        <v>614871</v>
      </c>
      <c r="F21" s="186">
        <f t="shared" si="1"/>
        <v>7620</v>
      </c>
      <c r="G21" s="191">
        <v>405639</v>
      </c>
      <c r="H21" s="186">
        <f t="shared" si="2"/>
        <v>3330</v>
      </c>
      <c r="I21" s="186">
        <f>H21*I6/100</f>
        <v>1665</v>
      </c>
      <c r="J21" s="186">
        <f>H21*J6/100</f>
        <v>1665</v>
      </c>
      <c r="K21" s="191">
        <v>523416</v>
      </c>
      <c r="L21" s="186">
        <f t="shared" si="3"/>
        <v>5780</v>
      </c>
      <c r="M21" s="191">
        <v>844944</v>
      </c>
      <c r="N21" s="186">
        <f t="shared" si="4"/>
        <v>11310</v>
      </c>
      <c r="O21" s="191">
        <v>559661</v>
      </c>
      <c r="P21" s="186">
        <f t="shared" si="5"/>
        <v>11830</v>
      </c>
      <c r="Q21" s="186">
        <f>P21*Q6/100</f>
        <v>5915</v>
      </c>
      <c r="R21" s="186">
        <f>P21*R6/100</f>
        <v>5915</v>
      </c>
      <c r="S21" s="193">
        <v>477112</v>
      </c>
      <c r="T21" s="186">
        <f t="shared" si="6"/>
        <v>5530</v>
      </c>
      <c r="U21" s="186">
        <f>T21*U6/100</f>
        <v>2765</v>
      </c>
      <c r="V21" s="186">
        <f>T21*V6/100</f>
        <v>2765</v>
      </c>
      <c r="W21" s="191">
        <v>241378</v>
      </c>
      <c r="X21" s="186">
        <f t="shared" si="7"/>
        <v>20</v>
      </c>
      <c r="Y21" s="186">
        <f>X21*Y6/100</f>
        <v>10</v>
      </c>
      <c r="Z21" s="186">
        <f>X21*Z6/100</f>
        <v>10</v>
      </c>
      <c r="AA21" s="191">
        <v>315597</v>
      </c>
      <c r="AB21" s="186">
        <f t="shared" si="8"/>
        <v>30</v>
      </c>
      <c r="AC21" s="186">
        <f>AB21*AC6/100</f>
        <v>15</v>
      </c>
      <c r="AD21" s="186">
        <f>AB21*AD6/100</f>
        <v>15</v>
      </c>
      <c r="AE21" s="191">
        <v>102211</v>
      </c>
      <c r="AF21" s="186">
        <f t="shared" si="9"/>
        <v>1310</v>
      </c>
      <c r="AG21" s="191">
        <v>192943</v>
      </c>
      <c r="AH21" s="186">
        <f t="shared" si="10"/>
        <v>2210</v>
      </c>
      <c r="AI21" s="191">
        <v>339944</v>
      </c>
      <c r="AJ21" s="186">
        <f t="shared" si="11"/>
        <v>3820</v>
      </c>
      <c r="AK21" s="191">
        <v>173804</v>
      </c>
      <c r="AL21" s="186">
        <f t="shared" si="12"/>
        <v>2330</v>
      </c>
      <c r="AM21" s="191">
        <v>900860</v>
      </c>
      <c r="AN21" s="186">
        <f t="shared" si="13"/>
        <v>9440</v>
      </c>
      <c r="AP21" s="188">
        <f t="shared" si="14"/>
        <v>39280</v>
      </c>
      <c r="AQ21" s="189">
        <f t="shared" si="15"/>
        <v>29480</v>
      </c>
    </row>
    <row r="22" spans="1:43" s="187" customFormat="1" ht="39.950000000000003" customHeight="1">
      <c r="A22" s="178">
        <f t="shared" si="16"/>
        <v>44941</v>
      </c>
      <c r="B22" s="184"/>
      <c r="C22" s="191">
        <v>357477</v>
      </c>
      <c r="D22" s="186">
        <f t="shared" si="0"/>
        <v>4420</v>
      </c>
      <c r="E22" s="191">
        <v>615660</v>
      </c>
      <c r="F22" s="186">
        <f t="shared" si="1"/>
        <v>7890</v>
      </c>
      <c r="G22" s="191">
        <v>405932</v>
      </c>
      <c r="H22" s="186">
        <f t="shared" si="2"/>
        <v>2930</v>
      </c>
      <c r="I22" s="186">
        <f>H22*I6/100</f>
        <v>1465</v>
      </c>
      <c r="J22" s="186">
        <f>H22*J6/100</f>
        <v>1465</v>
      </c>
      <c r="K22" s="191">
        <v>524059</v>
      </c>
      <c r="L22" s="186">
        <f t="shared" si="3"/>
        <v>6430</v>
      </c>
      <c r="M22" s="191">
        <v>846120</v>
      </c>
      <c r="N22" s="186">
        <f t="shared" si="4"/>
        <v>11760</v>
      </c>
      <c r="O22" s="191">
        <v>560965</v>
      </c>
      <c r="P22" s="186">
        <f t="shared" si="5"/>
        <v>13040</v>
      </c>
      <c r="Q22" s="186">
        <f>P22*Q6/100</f>
        <v>6520</v>
      </c>
      <c r="R22" s="186">
        <f>P22*R6/100</f>
        <v>6520</v>
      </c>
      <c r="S22" s="191">
        <v>477149</v>
      </c>
      <c r="T22" s="186">
        <f t="shared" si="6"/>
        <v>370</v>
      </c>
      <c r="U22" s="186">
        <f>T22*U6/100</f>
        <v>185</v>
      </c>
      <c r="V22" s="186">
        <f>T22*V6/100</f>
        <v>185</v>
      </c>
      <c r="W22" s="191">
        <v>241380</v>
      </c>
      <c r="X22" s="186">
        <f t="shared" si="7"/>
        <v>20</v>
      </c>
      <c r="Y22" s="186">
        <f>X22*Y6/100</f>
        <v>10</v>
      </c>
      <c r="Z22" s="186">
        <f>X22*Z6/100</f>
        <v>10</v>
      </c>
      <c r="AA22" s="191">
        <v>315601</v>
      </c>
      <c r="AB22" s="186">
        <f t="shared" si="8"/>
        <v>40</v>
      </c>
      <c r="AC22" s="186">
        <f>AB22*AC6/100</f>
        <v>20</v>
      </c>
      <c r="AD22" s="186">
        <f>AB22*AD6/100</f>
        <v>20</v>
      </c>
      <c r="AE22" s="191">
        <v>102352</v>
      </c>
      <c r="AF22" s="186">
        <f t="shared" si="9"/>
        <v>1410</v>
      </c>
      <c r="AG22" s="191">
        <v>193178</v>
      </c>
      <c r="AH22" s="186">
        <f t="shared" si="10"/>
        <v>2350</v>
      </c>
      <c r="AI22" s="191">
        <v>340324</v>
      </c>
      <c r="AJ22" s="186">
        <f t="shared" si="11"/>
        <v>3800</v>
      </c>
      <c r="AK22" s="191">
        <v>174050</v>
      </c>
      <c r="AL22" s="186">
        <f t="shared" si="12"/>
        <v>2460</v>
      </c>
      <c r="AM22" s="191">
        <v>901840</v>
      </c>
      <c r="AN22" s="186">
        <f t="shared" si="13"/>
        <v>9800</v>
      </c>
      <c r="AP22" s="188">
        <f t="shared" si="14"/>
        <v>38700</v>
      </c>
      <c r="AQ22" s="189">
        <f t="shared" si="15"/>
        <v>28020</v>
      </c>
    </row>
    <row r="23" spans="1:43" s="187" customFormat="1" ht="39.950000000000003" customHeight="1">
      <c r="A23" s="178">
        <f t="shared" si="16"/>
        <v>44942</v>
      </c>
      <c r="B23" s="184"/>
      <c r="C23" s="191">
        <v>357911</v>
      </c>
      <c r="D23" s="186">
        <f t="shared" si="0"/>
        <v>4340</v>
      </c>
      <c r="E23" s="191">
        <v>616408</v>
      </c>
      <c r="F23" s="186">
        <f t="shared" si="1"/>
        <v>7480</v>
      </c>
      <c r="G23" s="191">
        <v>406214</v>
      </c>
      <c r="H23" s="186">
        <f t="shared" si="2"/>
        <v>2820</v>
      </c>
      <c r="I23" s="186">
        <f>H23*I6/100</f>
        <v>1410</v>
      </c>
      <c r="J23" s="186">
        <f>H23*J6/100</f>
        <v>1410</v>
      </c>
      <c r="K23" s="191">
        <v>524667</v>
      </c>
      <c r="L23" s="186">
        <f t="shared" si="3"/>
        <v>6080</v>
      </c>
      <c r="M23" s="191">
        <v>847092</v>
      </c>
      <c r="N23" s="186">
        <f t="shared" si="4"/>
        <v>9720</v>
      </c>
      <c r="O23" s="191">
        <v>561855</v>
      </c>
      <c r="P23" s="186">
        <f t="shared" si="5"/>
        <v>8900</v>
      </c>
      <c r="Q23" s="186">
        <f>P23*Q6/100</f>
        <v>4450</v>
      </c>
      <c r="R23" s="186">
        <f>P23*R6/100</f>
        <v>4450</v>
      </c>
      <c r="S23" s="191">
        <v>477151</v>
      </c>
      <c r="T23" s="186">
        <f t="shared" si="6"/>
        <v>20</v>
      </c>
      <c r="U23" s="186">
        <f>T23*U6/100</f>
        <v>10</v>
      </c>
      <c r="V23" s="186">
        <f>T23*V6/100</f>
        <v>10</v>
      </c>
      <c r="W23" s="191">
        <v>241382</v>
      </c>
      <c r="X23" s="186">
        <f t="shared" si="7"/>
        <v>20</v>
      </c>
      <c r="Y23" s="186">
        <f>X23*Y6/100</f>
        <v>10</v>
      </c>
      <c r="Z23" s="186">
        <f>X23*Z6/100</f>
        <v>10</v>
      </c>
      <c r="AA23" s="191">
        <v>315604</v>
      </c>
      <c r="AB23" s="186">
        <f t="shared" si="8"/>
        <v>30</v>
      </c>
      <c r="AC23" s="186">
        <f>AB23*AC6/100</f>
        <v>15</v>
      </c>
      <c r="AD23" s="186">
        <f>AB23*AD6/100</f>
        <v>15</v>
      </c>
      <c r="AE23" s="191">
        <v>102486</v>
      </c>
      <c r="AF23" s="186">
        <f t="shared" si="9"/>
        <v>1340</v>
      </c>
      <c r="AG23" s="191">
        <v>193406</v>
      </c>
      <c r="AH23" s="186">
        <f t="shared" si="10"/>
        <v>2280</v>
      </c>
      <c r="AI23" s="191">
        <v>340705</v>
      </c>
      <c r="AJ23" s="186">
        <f t="shared" si="11"/>
        <v>3810</v>
      </c>
      <c r="AK23" s="191">
        <v>174299</v>
      </c>
      <c r="AL23" s="186">
        <f t="shared" si="12"/>
        <v>2490</v>
      </c>
      <c r="AM23" s="191">
        <v>902814</v>
      </c>
      <c r="AN23" s="186">
        <f t="shared" si="13"/>
        <v>9740</v>
      </c>
      <c r="AP23" s="188">
        <f t="shared" si="14"/>
        <v>33515</v>
      </c>
      <c r="AQ23" s="189">
        <f t="shared" si="15"/>
        <v>25555</v>
      </c>
    </row>
    <row r="24" spans="1:43" s="187" customFormat="1" ht="39.950000000000003" customHeight="1">
      <c r="A24" s="178">
        <f t="shared" si="16"/>
        <v>44943</v>
      </c>
      <c r="B24" s="184"/>
      <c r="C24" s="191">
        <v>358340</v>
      </c>
      <c r="D24" s="186">
        <f t="shared" si="0"/>
        <v>4290</v>
      </c>
      <c r="E24" s="191">
        <v>617170</v>
      </c>
      <c r="F24" s="186">
        <f t="shared" si="1"/>
        <v>7620</v>
      </c>
      <c r="G24" s="191">
        <v>406491</v>
      </c>
      <c r="H24" s="186">
        <f t="shared" si="2"/>
        <v>2770</v>
      </c>
      <c r="I24" s="186">
        <f>H24*I6/100</f>
        <v>1385</v>
      </c>
      <c r="J24" s="186">
        <f>H24*J6/100</f>
        <v>1385</v>
      </c>
      <c r="K24" s="191">
        <v>525276</v>
      </c>
      <c r="L24" s="186">
        <f t="shared" si="3"/>
        <v>6090</v>
      </c>
      <c r="M24" s="191">
        <v>848215</v>
      </c>
      <c r="N24" s="186">
        <f t="shared" si="4"/>
        <v>11230</v>
      </c>
      <c r="O24" s="191">
        <v>562430</v>
      </c>
      <c r="P24" s="186">
        <f t="shared" si="5"/>
        <v>5750</v>
      </c>
      <c r="Q24" s="186">
        <f>P24*Q6/100</f>
        <v>2875</v>
      </c>
      <c r="R24" s="186">
        <f>P24*R6/100</f>
        <v>2875</v>
      </c>
      <c r="S24" s="191">
        <v>477524</v>
      </c>
      <c r="T24" s="186">
        <f t="shared" si="6"/>
        <v>3730</v>
      </c>
      <c r="U24" s="186">
        <f>T24*U6/100</f>
        <v>1865</v>
      </c>
      <c r="V24" s="186">
        <f>T24*V6/100</f>
        <v>1865</v>
      </c>
      <c r="W24" s="191">
        <v>241385</v>
      </c>
      <c r="X24" s="186">
        <f t="shared" si="7"/>
        <v>30</v>
      </c>
      <c r="Y24" s="186">
        <f>X24*Y6/100</f>
        <v>15</v>
      </c>
      <c r="Z24" s="186">
        <f>X24*Z6/100</f>
        <v>15</v>
      </c>
      <c r="AA24" s="191">
        <v>315607</v>
      </c>
      <c r="AB24" s="186">
        <f t="shared" si="8"/>
        <v>30</v>
      </c>
      <c r="AC24" s="186">
        <f>AB24*AC6/100</f>
        <v>15</v>
      </c>
      <c r="AD24" s="186">
        <f>AB24*AD6/100</f>
        <v>15</v>
      </c>
      <c r="AE24" s="191">
        <v>102617</v>
      </c>
      <c r="AF24" s="186">
        <f t="shared" si="9"/>
        <v>1310</v>
      </c>
      <c r="AG24" s="191">
        <v>193630</v>
      </c>
      <c r="AH24" s="186">
        <f t="shared" si="10"/>
        <v>2240</v>
      </c>
      <c r="AI24" s="191">
        <v>341083</v>
      </c>
      <c r="AJ24" s="186">
        <f t="shared" si="11"/>
        <v>3780</v>
      </c>
      <c r="AK24" s="191">
        <v>174545</v>
      </c>
      <c r="AL24" s="186">
        <f t="shared" si="12"/>
        <v>2460</v>
      </c>
      <c r="AM24" s="191">
        <v>903773</v>
      </c>
      <c r="AN24" s="186">
        <f t="shared" si="13"/>
        <v>9590</v>
      </c>
      <c r="AP24" s="188">
        <f t="shared" si="14"/>
        <v>35385</v>
      </c>
      <c r="AQ24" s="189">
        <f t="shared" si="15"/>
        <v>25535</v>
      </c>
    </row>
    <row r="25" spans="1:43" s="187" customFormat="1" ht="39.950000000000003" customHeight="1">
      <c r="A25" s="178">
        <f t="shared" si="16"/>
        <v>44944</v>
      </c>
      <c r="B25" s="184"/>
      <c r="C25" s="191">
        <v>358769</v>
      </c>
      <c r="D25" s="186">
        <f t="shared" si="0"/>
        <v>4290</v>
      </c>
      <c r="E25" s="191">
        <v>617884</v>
      </c>
      <c r="F25" s="186">
        <f t="shared" si="1"/>
        <v>7140</v>
      </c>
      <c r="G25" s="191">
        <v>406762</v>
      </c>
      <c r="H25" s="186">
        <f t="shared" si="2"/>
        <v>2710</v>
      </c>
      <c r="I25" s="186">
        <f>H25*I6/100</f>
        <v>1355</v>
      </c>
      <c r="J25" s="186">
        <f>H25*J6/100</f>
        <v>1355</v>
      </c>
      <c r="K25" s="191">
        <v>525881</v>
      </c>
      <c r="L25" s="186">
        <f t="shared" si="3"/>
        <v>6050</v>
      </c>
      <c r="M25" s="191">
        <v>849325</v>
      </c>
      <c r="N25" s="186">
        <f t="shared" si="4"/>
        <v>11100</v>
      </c>
      <c r="O25" s="191">
        <v>563345</v>
      </c>
      <c r="P25" s="186">
        <f t="shared" si="5"/>
        <v>9150</v>
      </c>
      <c r="Q25" s="186">
        <f>P25*Q6/100</f>
        <v>4575</v>
      </c>
      <c r="R25" s="186">
        <f>P25*R6/100</f>
        <v>4575</v>
      </c>
      <c r="S25" s="191">
        <v>477526</v>
      </c>
      <c r="T25" s="186">
        <f t="shared" si="6"/>
        <v>20</v>
      </c>
      <c r="U25" s="186">
        <f>T25*U6/100</f>
        <v>10</v>
      </c>
      <c r="V25" s="186">
        <f>T25*V6/100</f>
        <v>10</v>
      </c>
      <c r="W25" s="191">
        <v>241387</v>
      </c>
      <c r="X25" s="186">
        <f t="shared" si="7"/>
        <v>20</v>
      </c>
      <c r="Y25" s="186">
        <f>X25*Y6/100</f>
        <v>10</v>
      </c>
      <c r="Z25" s="186">
        <f>X25*Z6/100</f>
        <v>10</v>
      </c>
      <c r="AA25" s="191">
        <v>315610</v>
      </c>
      <c r="AB25" s="186">
        <f t="shared" si="8"/>
        <v>30</v>
      </c>
      <c r="AC25" s="186">
        <f>AB25*AC6/100</f>
        <v>15</v>
      </c>
      <c r="AD25" s="186">
        <f>AB25*AD6/100</f>
        <v>15</v>
      </c>
      <c r="AE25" s="191">
        <v>102747</v>
      </c>
      <c r="AF25" s="186">
        <f t="shared" si="9"/>
        <v>1300</v>
      </c>
      <c r="AG25" s="191">
        <v>193858</v>
      </c>
      <c r="AH25" s="186">
        <f t="shared" si="10"/>
        <v>2280</v>
      </c>
      <c r="AI25" s="191">
        <v>341467</v>
      </c>
      <c r="AJ25" s="186">
        <f t="shared" si="11"/>
        <v>3840</v>
      </c>
      <c r="AK25" s="191">
        <v>174778</v>
      </c>
      <c r="AL25" s="186">
        <f t="shared" si="12"/>
        <v>2330</v>
      </c>
      <c r="AM25" s="191">
        <v>904750</v>
      </c>
      <c r="AN25" s="186">
        <f t="shared" si="13"/>
        <v>9770</v>
      </c>
      <c r="AP25" s="188">
        <f t="shared" si="14"/>
        <v>34545</v>
      </c>
      <c r="AQ25" s="189">
        <f t="shared" si="15"/>
        <v>25485</v>
      </c>
    </row>
    <row r="26" spans="1:43" s="187" customFormat="1" ht="39.950000000000003" customHeight="1">
      <c r="A26" s="178">
        <f t="shared" si="16"/>
        <v>44945</v>
      </c>
      <c r="B26" s="184"/>
      <c r="C26" s="191">
        <v>359203</v>
      </c>
      <c r="D26" s="186">
        <f t="shared" si="0"/>
        <v>4340</v>
      </c>
      <c r="E26" s="191">
        <v>618658</v>
      </c>
      <c r="F26" s="186">
        <f t="shared" si="1"/>
        <v>7740</v>
      </c>
      <c r="G26" s="191">
        <v>407040</v>
      </c>
      <c r="H26" s="186">
        <f t="shared" si="2"/>
        <v>2780</v>
      </c>
      <c r="I26" s="186">
        <f>H26*I6/100</f>
        <v>1390</v>
      </c>
      <c r="J26" s="186">
        <f>H26*J6/100</f>
        <v>1390</v>
      </c>
      <c r="K26" s="191">
        <v>526612</v>
      </c>
      <c r="L26" s="186">
        <f t="shared" si="3"/>
        <v>7310</v>
      </c>
      <c r="M26" s="191">
        <v>850483</v>
      </c>
      <c r="N26" s="186">
        <f t="shared" si="4"/>
        <v>11580</v>
      </c>
      <c r="O26" s="191">
        <v>564336</v>
      </c>
      <c r="P26" s="186">
        <f t="shared" si="5"/>
        <v>9910</v>
      </c>
      <c r="Q26" s="186">
        <f>P26*Q6/100</f>
        <v>4955</v>
      </c>
      <c r="R26" s="186">
        <f>P26*R6/100</f>
        <v>4955</v>
      </c>
      <c r="S26" s="191">
        <v>477528</v>
      </c>
      <c r="T26" s="186">
        <f t="shared" si="6"/>
        <v>20</v>
      </c>
      <c r="U26" s="186">
        <f>T26*U6/100</f>
        <v>10</v>
      </c>
      <c r="V26" s="186">
        <f>T26*V6/100</f>
        <v>10</v>
      </c>
      <c r="W26" s="191">
        <v>241389</v>
      </c>
      <c r="X26" s="186">
        <f t="shared" si="7"/>
        <v>20</v>
      </c>
      <c r="Y26" s="186">
        <f>X26*Y6/100</f>
        <v>10</v>
      </c>
      <c r="Z26" s="186">
        <f>X26*Z6/100</f>
        <v>10</v>
      </c>
      <c r="AA26" s="191">
        <v>315614</v>
      </c>
      <c r="AB26" s="186">
        <f t="shared" si="8"/>
        <v>40</v>
      </c>
      <c r="AC26" s="186">
        <f>AB26*AC6/100</f>
        <v>20</v>
      </c>
      <c r="AD26" s="186">
        <f>AB26*AD6/100</f>
        <v>20</v>
      </c>
      <c r="AE26" s="191">
        <v>102879</v>
      </c>
      <c r="AF26" s="186">
        <f t="shared" si="9"/>
        <v>1320</v>
      </c>
      <c r="AG26" s="191">
        <v>194096</v>
      </c>
      <c r="AH26" s="186">
        <f t="shared" si="10"/>
        <v>2380</v>
      </c>
      <c r="AI26" s="191">
        <v>341862</v>
      </c>
      <c r="AJ26" s="186">
        <f t="shared" si="11"/>
        <v>3950</v>
      </c>
      <c r="AK26" s="191">
        <v>175026</v>
      </c>
      <c r="AL26" s="186">
        <f t="shared" si="12"/>
        <v>2480</v>
      </c>
      <c r="AM26" s="191">
        <v>905760</v>
      </c>
      <c r="AN26" s="186">
        <f t="shared" si="13"/>
        <v>10100</v>
      </c>
      <c r="AP26" s="188">
        <f t="shared" si="14"/>
        <v>37355</v>
      </c>
      <c r="AQ26" s="189">
        <f t="shared" si="15"/>
        <v>26615</v>
      </c>
    </row>
    <row r="27" spans="1:43" s="187" customFormat="1" ht="39.950000000000003" customHeight="1">
      <c r="A27" s="178">
        <f t="shared" si="16"/>
        <v>44946</v>
      </c>
      <c r="B27" s="184"/>
      <c r="C27" s="191">
        <v>359597</v>
      </c>
      <c r="D27" s="186">
        <f t="shared" si="0"/>
        <v>3940</v>
      </c>
      <c r="E27" s="191">
        <v>619374</v>
      </c>
      <c r="F27" s="186">
        <f t="shared" si="1"/>
        <v>7160</v>
      </c>
      <c r="G27" s="191">
        <v>407323</v>
      </c>
      <c r="H27" s="186">
        <f t="shared" si="2"/>
        <v>2830</v>
      </c>
      <c r="I27" s="186">
        <f>H27*I6/100</f>
        <v>1415</v>
      </c>
      <c r="J27" s="186">
        <f>H27*J6/100</f>
        <v>1415</v>
      </c>
      <c r="K27" s="191">
        <v>527092</v>
      </c>
      <c r="L27" s="186">
        <f t="shared" si="3"/>
        <v>4800</v>
      </c>
      <c r="M27" s="191">
        <v>851559</v>
      </c>
      <c r="N27" s="186">
        <f t="shared" si="4"/>
        <v>10760</v>
      </c>
      <c r="O27" s="191">
        <v>565357</v>
      </c>
      <c r="P27" s="186">
        <f t="shared" si="5"/>
        <v>10210</v>
      </c>
      <c r="Q27" s="186">
        <f>P27*Q6/100</f>
        <v>5105</v>
      </c>
      <c r="R27" s="186">
        <f>P27*R6/100</f>
        <v>5105</v>
      </c>
      <c r="S27" s="191">
        <v>477531</v>
      </c>
      <c r="T27" s="186">
        <f t="shared" si="6"/>
        <v>30</v>
      </c>
      <c r="U27" s="186">
        <f>T27*U6/100</f>
        <v>15</v>
      </c>
      <c r="V27" s="186">
        <f>T27*V6/100</f>
        <v>15</v>
      </c>
      <c r="W27" s="191">
        <v>241391</v>
      </c>
      <c r="X27" s="186">
        <f t="shared" si="7"/>
        <v>20</v>
      </c>
      <c r="Y27" s="186">
        <f>X27*Y6/100</f>
        <v>10</v>
      </c>
      <c r="Z27" s="186">
        <f>X27*Z6/100</f>
        <v>10</v>
      </c>
      <c r="AA27" s="191">
        <v>315617</v>
      </c>
      <c r="AB27" s="186">
        <f t="shared" si="8"/>
        <v>30</v>
      </c>
      <c r="AC27" s="186">
        <f>AB27*AC6/100</f>
        <v>15</v>
      </c>
      <c r="AD27" s="186">
        <f>AB27*AD6/100</f>
        <v>15</v>
      </c>
      <c r="AE27" s="191">
        <v>103004</v>
      </c>
      <c r="AF27" s="186">
        <f t="shared" si="9"/>
        <v>1250</v>
      </c>
      <c r="AG27" s="191">
        <v>194320</v>
      </c>
      <c r="AH27" s="186">
        <f t="shared" si="10"/>
        <v>2240</v>
      </c>
      <c r="AI27" s="191">
        <v>342250</v>
      </c>
      <c r="AJ27" s="186">
        <f t="shared" si="11"/>
        <v>3880</v>
      </c>
      <c r="AK27" s="191">
        <v>175260</v>
      </c>
      <c r="AL27" s="186">
        <f t="shared" si="12"/>
        <v>2340</v>
      </c>
      <c r="AM27" s="191">
        <v>906751</v>
      </c>
      <c r="AN27" s="186">
        <f t="shared" si="13"/>
        <v>9910</v>
      </c>
      <c r="AP27" s="188">
        <f t="shared" si="14"/>
        <v>33220</v>
      </c>
      <c r="AQ27" s="189">
        <f t="shared" si="15"/>
        <v>26180</v>
      </c>
    </row>
    <row r="28" spans="1:43" s="187" customFormat="1" ht="39.950000000000003" customHeight="1">
      <c r="A28" s="178">
        <f t="shared" si="16"/>
        <v>44947</v>
      </c>
      <c r="B28" s="184"/>
      <c r="C28" s="191">
        <v>359966</v>
      </c>
      <c r="D28" s="186">
        <f t="shared" si="0"/>
        <v>3690</v>
      </c>
      <c r="E28" s="191">
        <v>620096</v>
      </c>
      <c r="F28" s="186">
        <f t="shared" si="1"/>
        <v>7220</v>
      </c>
      <c r="G28" s="191">
        <v>407614</v>
      </c>
      <c r="H28" s="186">
        <f t="shared" si="2"/>
        <v>2910</v>
      </c>
      <c r="I28" s="186">
        <f>H28*I6/100</f>
        <v>1455</v>
      </c>
      <c r="J28" s="186">
        <f>H28*J6/100</f>
        <v>1455</v>
      </c>
      <c r="K28" s="191">
        <v>527682</v>
      </c>
      <c r="L28" s="186">
        <f t="shared" si="3"/>
        <v>5900</v>
      </c>
      <c r="M28" s="191">
        <v>852690</v>
      </c>
      <c r="N28" s="186">
        <f t="shared" si="4"/>
        <v>11310</v>
      </c>
      <c r="O28" s="191">
        <v>566360</v>
      </c>
      <c r="P28" s="186">
        <f t="shared" si="5"/>
        <v>10030</v>
      </c>
      <c r="Q28" s="186">
        <f>P28*Q6/100</f>
        <v>5015</v>
      </c>
      <c r="R28" s="186">
        <f>P28*R6/100</f>
        <v>5015</v>
      </c>
      <c r="S28" s="191">
        <v>477533</v>
      </c>
      <c r="T28" s="186">
        <f t="shared" si="6"/>
        <v>20</v>
      </c>
      <c r="U28" s="186">
        <f>T28*U6/100</f>
        <v>10</v>
      </c>
      <c r="V28" s="186">
        <f>T28*V6/100</f>
        <v>10</v>
      </c>
      <c r="W28" s="191">
        <v>241394</v>
      </c>
      <c r="X28" s="186">
        <f t="shared" si="7"/>
        <v>30</v>
      </c>
      <c r="Y28" s="186">
        <f>X28*Y6/100</f>
        <v>15</v>
      </c>
      <c r="Z28" s="186">
        <f>X28*Z6/100</f>
        <v>15</v>
      </c>
      <c r="AA28" s="191">
        <v>315621</v>
      </c>
      <c r="AB28" s="186">
        <f t="shared" si="8"/>
        <v>40</v>
      </c>
      <c r="AC28" s="186">
        <f>AB28*AC6/100</f>
        <v>20</v>
      </c>
      <c r="AD28" s="186">
        <f>AB28*AD6/100</f>
        <v>20</v>
      </c>
      <c r="AE28" s="191">
        <v>103136</v>
      </c>
      <c r="AF28" s="186">
        <f t="shared" si="9"/>
        <v>1320</v>
      </c>
      <c r="AG28" s="191">
        <v>194545</v>
      </c>
      <c r="AH28" s="186">
        <f t="shared" si="10"/>
        <v>2250</v>
      </c>
      <c r="AI28" s="191">
        <v>342633</v>
      </c>
      <c r="AJ28" s="186">
        <f t="shared" si="11"/>
        <v>3830</v>
      </c>
      <c r="AK28" s="191">
        <v>175492</v>
      </c>
      <c r="AL28" s="186">
        <f t="shared" si="12"/>
        <v>2320</v>
      </c>
      <c r="AM28" s="191">
        <v>907714</v>
      </c>
      <c r="AN28" s="186">
        <f t="shared" si="13"/>
        <v>9630</v>
      </c>
      <c r="AP28" s="188">
        <f t="shared" si="14"/>
        <v>34635</v>
      </c>
      <c r="AQ28" s="189">
        <f t="shared" si="15"/>
        <v>25865</v>
      </c>
    </row>
    <row r="29" spans="1:43" s="187" customFormat="1" ht="39.950000000000003" customHeight="1">
      <c r="A29" s="178">
        <f t="shared" si="16"/>
        <v>44948</v>
      </c>
      <c r="B29" s="184"/>
      <c r="C29" s="191">
        <v>360333</v>
      </c>
      <c r="D29" s="186">
        <f t="shared" si="0"/>
        <v>3670</v>
      </c>
      <c r="E29" s="191">
        <v>620805</v>
      </c>
      <c r="F29" s="186">
        <f t="shared" si="1"/>
        <v>7090</v>
      </c>
      <c r="G29" s="191">
        <v>407890</v>
      </c>
      <c r="H29" s="186">
        <f t="shared" si="2"/>
        <v>2760</v>
      </c>
      <c r="I29" s="186">
        <f>H29*I6/100</f>
        <v>1380</v>
      </c>
      <c r="J29" s="186">
        <f>H29*J6/100</f>
        <v>1380</v>
      </c>
      <c r="K29" s="191">
        <v>528233</v>
      </c>
      <c r="L29" s="186">
        <f t="shared" si="3"/>
        <v>5510</v>
      </c>
      <c r="M29" s="191">
        <v>853718</v>
      </c>
      <c r="N29" s="186">
        <f t="shared" si="4"/>
        <v>10280</v>
      </c>
      <c r="O29" s="191">
        <v>567513</v>
      </c>
      <c r="P29" s="186">
        <f t="shared" si="5"/>
        <v>11530</v>
      </c>
      <c r="Q29" s="186">
        <f>P29*Q6/100</f>
        <v>5765</v>
      </c>
      <c r="R29" s="186">
        <f>P29*R6/100</f>
        <v>5765</v>
      </c>
      <c r="S29" s="191">
        <v>477535</v>
      </c>
      <c r="T29" s="186">
        <f t="shared" si="6"/>
        <v>20</v>
      </c>
      <c r="U29" s="186">
        <f>T29*U6/100</f>
        <v>10</v>
      </c>
      <c r="V29" s="186">
        <f>T29*V6/100</f>
        <v>10</v>
      </c>
      <c r="W29" s="191">
        <v>241396</v>
      </c>
      <c r="X29" s="186">
        <f t="shared" si="7"/>
        <v>20</v>
      </c>
      <c r="Y29" s="186">
        <f>X29*Y6/100</f>
        <v>10</v>
      </c>
      <c r="Z29" s="186">
        <f>X29*Z6/100</f>
        <v>10</v>
      </c>
      <c r="AA29" s="191">
        <v>315624</v>
      </c>
      <c r="AB29" s="186">
        <f t="shared" si="8"/>
        <v>30</v>
      </c>
      <c r="AC29" s="186">
        <f>AB29*AC6/100</f>
        <v>15</v>
      </c>
      <c r="AD29" s="186">
        <f>AB29*AD6/100</f>
        <v>15</v>
      </c>
      <c r="AE29" s="191">
        <v>103253</v>
      </c>
      <c r="AF29" s="186">
        <f t="shared" si="9"/>
        <v>1170</v>
      </c>
      <c r="AG29" s="191">
        <v>194763</v>
      </c>
      <c r="AH29" s="186">
        <f t="shared" si="10"/>
        <v>2180</v>
      </c>
      <c r="AI29" s="191">
        <v>342985</v>
      </c>
      <c r="AJ29" s="186">
        <f t="shared" si="11"/>
        <v>3520</v>
      </c>
      <c r="AK29" s="191">
        <v>175711</v>
      </c>
      <c r="AL29" s="186">
        <f t="shared" si="12"/>
        <v>2190</v>
      </c>
      <c r="AM29" s="191">
        <v>908678</v>
      </c>
      <c r="AN29" s="186">
        <f t="shared" si="13"/>
        <v>9640</v>
      </c>
      <c r="AP29" s="188">
        <f t="shared" si="14"/>
        <v>33730</v>
      </c>
      <c r="AQ29" s="189">
        <f t="shared" si="15"/>
        <v>25880</v>
      </c>
    </row>
    <row r="30" spans="1:43" s="187" customFormat="1" ht="39.950000000000003" customHeight="1">
      <c r="A30" s="178">
        <f t="shared" si="16"/>
        <v>44949</v>
      </c>
      <c r="B30" s="184"/>
      <c r="C30" s="191">
        <v>360694</v>
      </c>
      <c r="D30" s="186">
        <f t="shared" si="0"/>
        <v>3610</v>
      </c>
      <c r="E30" s="191">
        <v>621550</v>
      </c>
      <c r="F30" s="186">
        <f t="shared" si="1"/>
        <v>7450</v>
      </c>
      <c r="G30" s="191">
        <v>408166</v>
      </c>
      <c r="H30" s="186">
        <f t="shared" si="2"/>
        <v>2760</v>
      </c>
      <c r="I30" s="186">
        <f>H30*I6/100</f>
        <v>1380</v>
      </c>
      <c r="J30" s="186">
        <f>H30*J6/100</f>
        <v>1380</v>
      </c>
      <c r="K30" s="191">
        <v>528788</v>
      </c>
      <c r="L30" s="186">
        <f t="shared" si="3"/>
        <v>5550</v>
      </c>
      <c r="M30" s="191">
        <v>854659</v>
      </c>
      <c r="N30" s="186">
        <f t="shared" si="4"/>
        <v>9410</v>
      </c>
      <c r="O30" s="191">
        <v>568618</v>
      </c>
      <c r="P30" s="186">
        <f t="shared" si="5"/>
        <v>11050</v>
      </c>
      <c r="Q30" s="186">
        <f>P30*Q6/100</f>
        <v>5525</v>
      </c>
      <c r="R30" s="186">
        <f>P30*R6/100</f>
        <v>5525</v>
      </c>
      <c r="S30" s="191">
        <v>477537</v>
      </c>
      <c r="T30" s="186">
        <f t="shared" si="6"/>
        <v>20</v>
      </c>
      <c r="U30" s="186">
        <f>T30*U6/100</f>
        <v>10</v>
      </c>
      <c r="V30" s="186">
        <f>T30*V6/100</f>
        <v>10</v>
      </c>
      <c r="W30" s="191">
        <v>241398</v>
      </c>
      <c r="X30" s="186">
        <f t="shared" si="7"/>
        <v>20</v>
      </c>
      <c r="Y30" s="186">
        <f>X30*Y6/100</f>
        <v>10</v>
      </c>
      <c r="Z30" s="186">
        <f>X30*Z6/100</f>
        <v>10</v>
      </c>
      <c r="AA30" s="191">
        <v>315628</v>
      </c>
      <c r="AB30" s="186">
        <f t="shared" si="8"/>
        <v>40</v>
      </c>
      <c r="AC30" s="186">
        <f>AB30*AC6/100</f>
        <v>20</v>
      </c>
      <c r="AD30" s="186">
        <f>AB30*AD6/100</f>
        <v>20</v>
      </c>
      <c r="AE30" s="191">
        <v>103369</v>
      </c>
      <c r="AF30" s="186">
        <f t="shared" si="9"/>
        <v>1160</v>
      </c>
      <c r="AG30" s="191">
        <v>194976</v>
      </c>
      <c r="AH30" s="186">
        <f t="shared" si="10"/>
        <v>2130</v>
      </c>
      <c r="AI30" s="191">
        <v>343334</v>
      </c>
      <c r="AJ30" s="186">
        <f t="shared" si="11"/>
        <v>3490</v>
      </c>
      <c r="AK30" s="191">
        <v>175930</v>
      </c>
      <c r="AL30" s="186">
        <f t="shared" si="12"/>
        <v>2190</v>
      </c>
      <c r="AM30" s="191">
        <v>909595</v>
      </c>
      <c r="AN30" s="186">
        <f t="shared" si="13"/>
        <v>9170</v>
      </c>
      <c r="AP30" s="188">
        <f t="shared" si="14"/>
        <v>32965</v>
      </c>
      <c r="AQ30" s="189">
        <f t="shared" si="15"/>
        <v>25085</v>
      </c>
    </row>
    <row r="31" spans="1:43" s="187" customFormat="1" ht="39.950000000000003" customHeight="1">
      <c r="A31" s="178">
        <f t="shared" si="16"/>
        <v>44950</v>
      </c>
      <c r="B31" s="184"/>
      <c r="C31" s="191">
        <v>361086</v>
      </c>
      <c r="D31" s="186">
        <f t="shared" si="0"/>
        <v>3920</v>
      </c>
      <c r="E31" s="191">
        <v>622305</v>
      </c>
      <c r="F31" s="186">
        <f t="shared" si="1"/>
        <v>7550</v>
      </c>
      <c r="G31" s="191">
        <v>408445</v>
      </c>
      <c r="H31" s="186">
        <f t="shared" si="2"/>
        <v>2790</v>
      </c>
      <c r="I31" s="186">
        <f>H31*I6/100</f>
        <v>1395</v>
      </c>
      <c r="J31" s="186">
        <f>H31*J6/100</f>
        <v>1395</v>
      </c>
      <c r="K31" s="191">
        <v>529357</v>
      </c>
      <c r="L31" s="186">
        <f t="shared" si="3"/>
        <v>5690</v>
      </c>
      <c r="M31" s="191">
        <v>855725</v>
      </c>
      <c r="N31" s="186">
        <f t="shared" si="4"/>
        <v>10660</v>
      </c>
      <c r="O31" s="191">
        <v>569620</v>
      </c>
      <c r="P31" s="186">
        <f t="shared" si="5"/>
        <v>10020</v>
      </c>
      <c r="Q31" s="186">
        <f>P31*Q6/100</f>
        <v>5010</v>
      </c>
      <c r="R31" s="186">
        <f>P31*R6/100</f>
        <v>5010</v>
      </c>
      <c r="S31" s="191">
        <v>477539</v>
      </c>
      <c r="T31" s="186">
        <f t="shared" si="6"/>
        <v>20</v>
      </c>
      <c r="U31" s="186">
        <f>T31*U6/100</f>
        <v>10</v>
      </c>
      <c r="V31" s="186">
        <f>T31*V6/100</f>
        <v>10</v>
      </c>
      <c r="W31" s="191">
        <v>241400</v>
      </c>
      <c r="X31" s="186">
        <f t="shared" si="7"/>
        <v>20</v>
      </c>
      <c r="Y31" s="186">
        <f>X31*Y6/100</f>
        <v>10</v>
      </c>
      <c r="Z31" s="186">
        <f>X31*Z6/100</f>
        <v>10</v>
      </c>
      <c r="AA31" s="191">
        <v>315631</v>
      </c>
      <c r="AB31" s="186">
        <f t="shared" si="8"/>
        <v>30</v>
      </c>
      <c r="AC31" s="186">
        <f>AB31*AC6/100</f>
        <v>15</v>
      </c>
      <c r="AD31" s="186">
        <f>AB31*AD6/100</f>
        <v>15</v>
      </c>
      <c r="AE31" s="191">
        <v>103487</v>
      </c>
      <c r="AF31" s="186">
        <f t="shared" si="9"/>
        <v>1180</v>
      </c>
      <c r="AG31" s="191">
        <v>195190</v>
      </c>
      <c r="AH31" s="186">
        <f t="shared" si="10"/>
        <v>2140</v>
      </c>
      <c r="AI31" s="191">
        <v>343689</v>
      </c>
      <c r="AJ31" s="186">
        <f t="shared" si="11"/>
        <v>3550</v>
      </c>
      <c r="AK31" s="191">
        <v>176159</v>
      </c>
      <c r="AL31" s="186">
        <f t="shared" si="12"/>
        <v>2290</v>
      </c>
      <c r="AM31" s="191">
        <v>910550</v>
      </c>
      <c r="AN31" s="186">
        <f t="shared" si="13"/>
        <v>9550</v>
      </c>
      <c r="AP31" s="188">
        <f t="shared" si="14"/>
        <v>34260</v>
      </c>
      <c r="AQ31" s="189">
        <f t="shared" si="15"/>
        <v>25150</v>
      </c>
    </row>
    <row r="32" spans="1:43" s="187" customFormat="1" ht="39.950000000000003" customHeight="1">
      <c r="A32" s="178">
        <f t="shared" si="16"/>
        <v>44951</v>
      </c>
      <c r="B32" s="184"/>
      <c r="C32" s="185">
        <v>361456</v>
      </c>
      <c r="D32" s="186">
        <f t="shared" si="0"/>
        <v>3700</v>
      </c>
      <c r="E32" s="185">
        <v>623029</v>
      </c>
      <c r="F32" s="186">
        <f t="shared" si="1"/>
        <v>7240</v>
      </c>
      <c r="G32" s="185">
        <v>408692</v>
      </c>
      <c r="H32" s="186">
        <f t="shared" si="2"/>
        <v>2470</v>
      </c>
      <c r="I32" s="186">
        <f>H32*I6/100</f>
        <v>1235</v>
      </c>
      <c r="J32" s="186">
        <f>H32*J6/100</f>
        <v>1235</v>
      </c>
      <c r="K32" s="185">
        <v>529943</v>
      </c>
      <c r="L32" s="186">
        <f t="shared" si="3"/>
        <v>5860</v>
      </c>
      <c r="M32" s="185">
        <v>856814</v>
      </c>
      <c r="N32" s="186">
        <f t="shared" si="4"/>
        <v>10890</v>
      </c>
      <c r="O32" s="185">
        <v>570429</v>
      </c>
      <c r="P32" s="186">
        <f t="shared" si="5"/>
        <v>8090</v>
      </c>
      <c r="Q32" s="186">
        <f>P32*Q6/100</f>
        <v>4045</v>
      </c>
      <c r="R32" s="186">
        <f>P32*R6/100</f>
        <v>4045</v>
      </c>
      <c r="S32" s="185">
        <v>477541</v>
      </c>
      <c r="T32" s="186">
        <f t="shared" si="6"/>
        <v>20</v>
      </c>
      <c r="U32" s="186">
        <f>T32*U6/100</f>
        <v>10</v>
      </c>
      <c r="V32" s="186">
        <f>T32*V6/100</f>
        <v>10</v>
      </c>
      <c r="W32" s="185">
        <v>241403</v>
      </c>
      <c r="X32" s="186">
        <f t="shared" si="7"/>
        <v>30</v>
      </c>
      <c r="Y32" s="186">
        <f>X32*Y6/100</f>
        <v>15</v>
      </c>
      <c r="Z32" s="186">
        <f>X32*Z6/100</f>
        <v>15</v>
      </c>
      <c r="AA32" s="185">
        <v>315634</v>
      </c>
      <c r="AB32" s="186">
        <f t="shared" si="8"/>
        <v>30</v>
      </c>
      <c r="AC32" s="186">
        <f>AB32*AC6/100</f>
        <v>15</v>
      </c>
      <c r="AD32" s="186">
        <f>AB32*AD6/100</f>
        <v>15</v>
      </c>
      <c r="AE32" s="185">
        <v>103607</v>
      </c>
      <c r="AF32" s="186">
        <f t="shared" si="9"/>
        <v>1200</v>
      </c>
      <c r="AG32" s="185">
        <v>195401</v>
      </c>
      <c r="AH32" s="186">
        <f t="shared" si="10"/>
        <v>2110</v>
      </c>
      <c r="AI32" s="185">
        <v>344042</v>
      </c>
      <c r="AJ32" s="186">
        <f t="shared" si="11"/>
        <v>3530</v>
      </c>
      <c r="AK32" s="185">
        <v>176383</v>
      </c>
      <c r="AL32" s="186">
        <f t="shared" si="12"/>
        <v>2240</v>
      </c>
      <c r="AM32" s="185">
        <v>911464</v>
      </c>
      <c r="AN32" s="186">
        <f t="shared" si="13"/>
        <v>9140</v>
      </c>
      <c r="AP32" s="188">
        <f t="shared" si="14"/>
        <v>33010</v>
      </c>
      <c r="AQ32" s="189">
        <f t="shared" si="15"/>
        <v>23540</v>
      </c>
    </row>
    <row r="33" spans="1:43" s="187" customFormat="1" ht="39.950000000000003" customHeight="1">
      <c r="A33" s="178">
        <f t="shared" si="16"/>
        <v>44952</v>
      </c>
      <c r="B33" s="184"/>
      <c r="C33" s="185">
        <v>361859</v>
      </c>
      <c r="D33" s="186">
        <f t="shared" si="0"/>
        <v>4030</v>
      </c>
      <c r="E33" s="185">
        <v>623815</v>
      </c>
      <c r="F33" s="186">
        <f t="shared" si="1"/>
        <v>7860</v>
      </c>
      <c r="G33" s="185">
        <v>408971</v>
      </c>
      <c r="H33" s="186">
        <f t="shared" si="2"/>
        <v>2790</v>
      </c>
      <c r="I33" s="186">
        <f>H33*I6/100</f>
        <v>1395</v>
      </c>
      <c r="J33" s="186">
        <f>H33*J6/100</f>
        <v>1395</v>
      </c>
      <c r="K33" s="185">
        <v>530518</v>
      </c>
      <c r="L33" s="186">
        <f t="shared" si="3"/>
        <v>5750</v>
      </c>
      <c r="M33" s="185">
        <v>857863</v>
      </c>
      <c r="N33" s="186">
        <f t="shared" si="4"/>
        <v>10490</v>
      </c>
      <c r="O33" s="185">
        <v>571380</v>
      </c>
      <c r="P33" s="186">
        <f t="shared" si="5"/>
        <v>9510</v>
      </c>
      <c r="Q33" s="186">
        <f>P33*Q6/100</f>
        <v>4755</v>
      </c>
      <c r="R33" s="186">
        <f>P33*R6/100</f>
        <v>4755</v>
      </c>
      <c r="S33" s="185">
        <v>477543</v>
      </c>
      <c r="T33" s="186">
        <f t="shared" si="6"/>
        <v>20</v>
      </c>
      <c r="U33" s="186">
        <f>T33*U6/100</f>
        <v>10</v>
      </c>
      <c r="V33" s="186">
        <f>T33*V6/100</f>
        <v>10</v>
      </c>
      <c r="W33" s="185">
        <v>241405</v>
      </c>
      <c r="X33" s="186">
        <f t="shared" si="7"/>
        <v>20</v>
      </c>
      <c r="Y33" s="186">
        <f>X33*Y6/100</f>
        <v>10</v>
      </c>
      <c r="Z33" s="186">
        <f>X33*Z6/100</f>
        <v>10</v>
      </c>
      <c r="AA33" s="185">
        <v>315638</v>
      </c>
      <c r="AB33" s="186">
        <f t="shared" si="8"/>
        <v>40</v>
      </c>
      <c r="AC33" s="186">
        <f>AB33*AC6/100</f>
        <v>20</v>
      </c>
      <c r="AD33" s="186">
        <f>AB33*AD6/100</f>
        <v>20</v>
      </c>
      <c r="AE33" s="185">
        <v>103726</v>
      </c>
      <c r="AF33" s="186">
        <f t="shared" si="9"/>
        <v>1190</v>
      </c>
      <c r="AG33" s="185">
        <v>195627</v>
      </c>
      <c r="AH33" s="186">
        <f t="shared" si="10"/>
        <v>2260</v>
      </c>
      <c r="AI33" s="185">
        <v>344420</v>
      </c>
      <c r="AJ33" s="186">
        <f t="shared" si="11"/>
        <v>3780</v>
      </c>
      <c r="AK33" s="185">
        <v>176614</v>
      </c>
      <c r="AL33" s="186">
        <f t="shared" si="12"/>
        <v>2310</v>
      </c>
      <c r="AM33" s="185">
        <v>912416</v>
      </c>
      <c r="AN33" s="186">
        <f t="shared" si="13"/>
        <v>9520</v>
      </c>
      <c r="AP33" s="188">
        <f t="shared" si="14"/>
        <v>34320</v>
      </c>
      <c r="AQ33" s="189">
        <f t="shared" si="15"/>
        <v>25250</v>
      </c>
    </row>
    <row r="34" spans="1:43" s="187" customFormat="1" ht="39.950000000000003" customHeight="1">
      <c r="A34" s="178">
        <f t="shared" si="16"/>
        <v>44953</v>
      </c>
      <c r="B34" s="184"/>
      <c r="C34" s="185">
        <v>362246</v>
      </c>
      <c r="D34" s="186">
        <f t="shared" si="0"/>
        <v>3870</v>
      </c>
      <c r="E34" s="185">
        <v>624553</v>
      </c>
      <c r="F34" s="186">
        <f t="shared" si="1"/>
        <v>7380</v>
      </c>
      <c r="G34" s="185">
        <v>409244</v>
      </c>
      <c r="H34" s="186">
        <f t="shared" si="2"/>
        <v>2730</v>
      </c>
      <c r="I34" s="186">
        <f>H34*I6/100</f>
        <v>1365</v>
      </c>
      <c r="J34" s="186">
        <f>H34*J6/100</f>
        <v>1365</v>
      </c>
      <c r="K34" s="185">
        <v>531078</v>
      </c>
      <c r="L34" s="186">
        <f t="shared" si="3"/>
        <v>5600</v>
      </c>
      <c r="M34" s="185">
        <v>858925</v>
      </c>
      <c r="N34" s="186">
        <f t="shared" si="4"/>
        <v>10620</v>
      </c>
      <c r="O34" s="185">
        <v>572254</v>
      </c>
      <c r="P34" s="186">
        <f t="shared" si="5"/>
        <v>8740</v>
      </c>
      <c r="Q34" s="186">
        <f>P34*Q6/100</f>
        <v>4370</v>
      </c>
      <c r="R34" s="186">
        <f>P34*R6/100</f>
        <v>4370</v>
      </c>
      <c r="S34" s="185">
        <v>477545</v>
      </c>
      <c r="T34" s="186">
        <f t="shared" si="6"/>
        <v>20</v>
      </c>
      <c r="U34" s="186">
        <f>T34*U6/100</f>
        <v>10</v>
      </c>
      <c r="V34" s="186">
        <f>T34*V6/100</f>
        <v>10</v>
      </c>
      <c r="W34" s="185">
        <v>241407</v>
      </c>
      <c r="X34" s="186">
        <f t="shared" si="7"/>
        <v>20</v>
      </c>
      <c r="Y34" s="186">
        <f>X34*Y6/100</f>
        <v>10</v>
      </c>
      <c r="Z34" s="186">
        <f>X34*Z6/100</f>
        <v>10</v>
      </c>
      <c r="AA34" s="185">
        <v>315641</v>
      </c>
      <c r="AB34" s="186">
        <f t="shared" si="8"/>
        <v>30</v>
      </c>
      <c r="AC34" s="186">
        <f>AB34*AC6/100</f>
        <v>15</v>
      </c>
      <c r="AD34" s="186">
        <f>AB34*AD6/100</f>
        <v>15</v>
      </c>
      <c r="AE34" s="185">
        <v>103844</v>
      </c>
      <c r="AF34" s="186">
        <f t="shared" si="9"/>
        <v>1180</v>
      </c>
      <c r="AG34" s="185">
        <v>195852</v>
      </c>
      <c r="AH34" s="186">
        <f t="shared" si="10"/>
        <v>2250</v>
      </c>
      <c r="AI34" s="185">
        <v>344809</v>
      </c>
      <c r="AJ34" s="186">
        <f t="shared" si="11"/>
        <v>3890</v>
      </c>
      <c r="AK34" s="185">
        <v>176843</v>
      </c>
      <c r="AL34" s="186">
        <f t="shared" si="12"/>
        <v>2290</v>
      </c>
      <c r="AM34" s="185">
        <v>913382</v>
      </c>
      <c r="AN34" s="186">
        <f t="shared" si="13"/>
        <v>9660</v>
      </c>
      <c r="AP34" s="188">
        <f t="shared" si="14"/>
        <v>33240</v>
      </c>
      <c r="AQ34" s="189">
        <f t="shared" si="15"/>
        <v>25040</v>
      </c>
    </row>
    <row r="35" spans="1:43" s="187" customFormat="1" ht="39.950000000000003" customHeight="1">
      <c r="A35" s="178">
        <f t="shared" si="16"/>
        <v>44954</v>
      </c>
      <c r="B35" s="184"/>
      <c r="C35" s="185">
        <v>362777</v>
      </c>
      <c r="D35" s="186">
        <f t="shared" si="0"/>
        <v>5310</v>
      </c>
      <c r="E35" s="185">
        <v>625328</v>
      </c>
      <c r="F35" s="186">
        <f t="shared" si="1"/>
        <v>7750</v>
      </c>
      <c r="G35" s="185">
        <v>409511</v>
      </c>
      <c r="H35" s="186">
        <f t="shared" si="2"/>
        <v>2670</v>
      </c>
      <c r="I35" s="186">
        <f>H35*I6/100</f>
        <v>1335</v>
      </c>
      <c r="J35" s="186">
        <f>H35*J6/100</f>
        <v>1335</v>
      </c>
      <c r="K35" s="185">
        <v>531653</v>
      </c>
      <c r="L35" s="186">
        <f t="shared" si="3"/>
        <v>5750</v>
      </c>
      <c r="M35" s="185">
        <v>860038</v>
      </c>
      <c r="N35" s="186">
        <f t="shared" si="4"/>
        <v>11130</v>
      </c>
      <c r="O35" s="185">
        <v>572917</v>
      </c>
      <c r="P35" s="186">
        <f t="shared" si="5"/>
        <v>6630</v>
      </c>
      <c r="Q35" s="186">
        <f>P35*Q6/100</f>
        <v>3315</v>
      </c>
      <c r="R35" s="186">
        <f>P35*R6/100</f>
        <v>3315</v>
      </c>
      <c r="S35" s="185">
        <v>477762</v>
      </c>
      <c r="T35" s="186">
        <f t="shared" si="6"/>
        <v>2170</v>
      </c>
      <c r="U35" s="186">
        <f>T35*U6/100</f>
        <v>1085</v>
      </c>
      <c r="V35" s="186">
        <f>T35*V6/100</f>
        <v>1085</v>
      </c>
      <c r="W35" s="185">
        <v>241409</v>
      </c>
      <c r="X35" s="186">
        <f t="shared" si="7"/>
        <v>20</v>
      </c>
      <c r="Y35" s="186">
        <f>X35*Y6/100</f>
        <v>10</v>
      </c>
      <c r="Z35" s="186">
        <f>X35*Z6/100</f>
        <v>10</v>
      </c>
      <c r="AA35" s="185">
        <v>315644</v>
      </c>
      <c r="AB35" s="186">
        <f t="shared" si="8"/>
        <v>30</v>
      </c>
      <c r="AC35" s="186">
        <f>AB35*AC6/100</f>
        <v>15</v>
      </c>
      <c r="AD35" s="186">
        <f>AB35*AD6/100</f>
        <v>15</v>
      </c>
      <c r="AE35" s="185">
        <v>103911</v>
      </c>
      <c r="AF35" s="186">
        <f t="shared" si="9"/>
        <v>670</v>
      </c>
      <c r="AG35" s="185">
        <v>196071</v>
      </c>
      <c r="AH35" s="186">
        <f t="shared" si="10"/>
        <v>2190</v>
      </c>
      <c r="AI35" s="185">
        <v>345176</v>
      </c>
      <c r="AJ35" s="186">
        <f t="shared" si="11"/>
        <v>3670</v>
      </c>
      <c r="AK35" s="185">
        <v>177077</v>
      </c>
      <c r="AL35" s="186">
        <f t="shared" si="12"/>
        <v>2340</v>
      </c>
      <c r="AM35" s="185">
        <v>914510</v>
      </c>
      <c r="AN35" s="186">
        <f t="shared" si="13"/>
        <v>11280</v>
      </c>
      <c r="AP35" s="188">
        <f t="shared" si="14"/>
        <v>35700</v>
      </c>
      <c r="AQ35" s="189">
        <f t="shared" si="15"/>
        <v>25910</v>
      </c>
    </row>
    <row r="36" spans="1:43" s="187" customFormat="1" ht="39.950000000000003" customHeight="1">
      <c r="A36" s="178">
        <f t="shared" si="16"/>
        <v>44955</v>
      </c>
      <c r="B36" s="184"/>
      <c r="C36" s="185">
        <v>363348</v>
      </c>
      <c r="D36" s="186">
        <f t="shared" si="0"/>
        <v>5710</v>
      </c>
      <c r="E36" s="185">
        <v>626085</v>
      </c>
      <c r="F36" s="186">
        <f t="shared" si="1"/>
        <v>7570</v>
      </c>
      <c r="G36" s="185">
        <v>409788</v>
      </c>
      <c r="H36" s="186">
        <f t="shared" si="2"/>
        <v>2770</v>
      </c>
      <c r="I36" s="186">
        <f>H36*I6/100</f>
        <v>1385</v>
      </c>
      <c r="J36" s="186">
        <f>H36*J6/100</f>
        <v>1385</v>
      </c>
      <c r="K36" s="185">
        <v>532298</v>
      </c>
      <c r="L36" s="186">
        <f t="shared" si="3"/>
        <v>6450</v>
      </c>
      <c r="M36" s="185">
        <v>861145</v>
      </c>
      <c r="N36" s="186">
        <f t="shared" si="4"/>
        <v>11070</v>
      </c>
      <c r="O36" s="185">
        <v>573752</v>
      </c>
      <c r="P36" s="186">
        <f t="shared" si="5"/>
        <v>8350</v>
      </c>
      <c r="Q36" s="186">
        <f>P36*Q6/100</f>
        <v>4175</v>
      </c>
      <c r="R36" s="186">
        <f>P36*R6/100</f>
        <v>4175</v>
      </c>
      <c r="S36" s="185">
        <v>477808</v>
      </c>
      <c r="T36" s="186">
        <f t="shared" si="6"/>
        <v>460</v>
      </c>
      <c r="U36" s="186">
        <f>T36*U6/100</f>
        <v>230</v>
      </c>
      <c r="V36" s="186">
        <f>T36*V6/100</f>
        <v>230</v>
      </c>
      <c r="W36" s="185">
        <v>241412</v>
      </c>
      <c r="X36" s="186">
        <f t="shared" si="7"/>
        <v>30</v>
      </c>
      <c r="Y36" s="186">
        <f>X36*Y6/100</f>
        <v>15</v>
      </c>
      <c r="Z36" s="186">
        <f>X36*Z6/100</f>
        <v>15</v>
      </c>
      <c r="AA36" s="185">
        <v>315648</v>
      </c>
      <c r="AB36" s="186">
        <f t="shared" si="8"/>
        <v>40</v>
      </c>
      <c r="AC36" s="186">
        <f>AB36*AC6/100</f>
        <v>20</v>
      </c>
      <c r="AD36" s="186">
        <f>AB36*AD6/100</f>
        <v>20</v>
      </c>
      <c r="AE36" s="185">
        <v>104092</v>
      </c>
      <c r="AF36" s="186">
        <f t="shared" si="9"/>
        <v>1810</v>
      </c>
      <c r="AG36" s="185">
        <v>196296</v>
      </c>
      <c r="AH36" s="186">
        <f t="shared" si="10"/>
        <v>2250</v>
      </c>
      <c r="AI36" s="185">
        <v>345554</v>
      </c>
      <c r="AJ36" s="186">
        <f t="shared" si="11"/>
        <v>3780</v>
      </c>
      <c r="AK36" s="185">
        <v>177320</v>
      </c>
      <c r="AL36" s="186">
        <f t="shared" si="12"/>
        <v>2430</v>
      </c>
      <c r="AM36" s="185">
        <v>915675</v>
      </c>
      <c r="AN36" s="186">
        <f t="shared" si="13"/>
        <v>11650</v>
      </c>
      <c r="AP36" s="188">
        <f t="shared" si="14"/>
        <v>36625</v>
      </c>
      <c r="AQ36" s="189">
        <f t="shared" si="15"/>
        <v>27745</v>
      </c>
    </row>
    <row r="37" spans="1:43" s="187" customFormat="1" ht="39.950000000000003" customHeight="1">
      <c r="A37" s="178">
        <f t="shared" si="16"/>
        <v>44956</v>
      </c>
      <c r="B37" s="184"/>
      <c r="C37" s="185">
        <v>363946</v>
      </c>
      <c r="D37" s="186">
        <f t="shared" si="0"/>
        <v>5980</v>
      </c>
      <c r="E37" s="185">
        <v>626827</v>
      </c>
      <c r="F37" s="186">
        <f t="shared" si="1"/>
        <v>7420</v>
      </c>
      <c r="G37" s="185">
        <v>410060</v>
      </c>
      <c r="H37" s="186">
        <f t="shared" si="2"/>
        <v>2720</v>
      </c>
      <c r="I37" s="186">
        <f>H37*I6/100</f>
        <v>1360</v>
      </c>
      <c r="J37" s="186">
        <f>H37*J6/100</f>
        <v>1360</v>
      </c>
      <c r="K37" s="185">
        <v>532978</v>
      </c>
      <c r="L37" s="186">
        <f t="shared" si="3"/>
        <v>6800</v>
      </c>
      <c r="M37" s="185">
        <v>862134</v>
      </c>
      <c r="N37" s="186">
        <f t="shared" si="4"/>
        <v>9890</v>
      </c>
      <c r="O37" s="185">
        <v>574343</v>
      </c>
      <c r="P37" s="186">
        <f t="shared" si="5"/>
        <v>5910</v>
      </c>
      <c r="Q37" s="186">
        <f>P37*Q6/100</f>
        <v>2955</v>
      </c>
      <c r="R37" s="186">
        <f>P37*R6/100</f>
        <v>2955</v>
      </c>
      <c r="S37" s="185">
        <v>478151</v>
      </c>
      <c r="T37" s="186">
        <f t="shared" si="6"/>
        <v>3430</v>
      </c>
      <c r="U37" s="186">
        <f>T37*U6/100</f>
        <v>1715</v>
      </c>
      <c r="V37" s="186">
        <f>T37*V6/100</f>
        <v>1715</v>
      </c>
      <c r="W37" s="185">
        <v>241414</v>
      </c>
      <c r="X37" s="186">
        <f t="shared" si="7"/>
        <v>20</v>
      </c>
      <c r="Y37" s="186">
        <f>X37*Y6/100</f>
        <v>10</v>
      </c>
      <c r="Z37" s="186">
        <f>X37*Z6/100</f>
        <v>10</v>
      </c>
      <c r="AA37" s="185">
        <v>315651</v>
      </c>
      <c r="AB37" s="186">
        <f t="shared" si="8"/>
        <v>30</v>
      </c>
      <c r="AC37" s="186">
        <f>AB37*AC6/100</f>
        <v>15</v>
      </c>
      <c r="AD37" s="186">
        <f>AB37*AD6/100</f>
        <v>15</v>
      </c>
      <c r="AE37" s="185">
        <v>104221</v>
      </c>
      <c r="AF37" s="186">
        <f t="shared" si="9"/>
        <v>1290</v>
      </c>
      <c r="AG37" s="185">
        <v>196531</v>
      </c>
      <c r="AH37" s="186">
        <f t="shared" si="10"/>
        <v>2350</v>
      </c>
      <c r="AI37" s="185">
        <v>345946</v>
      </c>
      <c r="AJ37" s="186">
        <f t="shared" si="11"/>
        <v>3920</v>
      </c>
      <c r="AK37" s="185">
        <v>177568</v>
      </c>
      <c r="AL37" s="186">
        <f t="shared" si="12"/>
        <v>2480</v>
      </c>
      <c r="AM37" s="185">
        <v>916894</v>
      </c>
      <c r="AN37" s="186">
        <f t="shared" si="13"/>
        <v>12190</v>
      </c>
      <c r="AP37" s="188">
        <f t="shared" si="14"/>
        <v>36145</v>
      </c>
      <c r="AQ37" s="189">
        <f t="shared" si="15"/>
        <v>28285</v>
      </c>
    </row>
    <row r="38" spans="1:43" s="187" customFormat="1" ht="39.950000000000003" customHeight="1">
      <c r="A38" s="178">
        <f t="shared" si="16"/>
        <v>44957</v>
      </c>
      <c r="B38" s="184"/>
      <c r="C38" s="185">
        <v>364534</v>
      </c>
      <c r="D38" s="186">
        <f t="shared" ref="D38" si="17">(C38-C37)*10</f>
        <v>5880</v>
      </c>
      <c r="E38" s="185">
        <v>627557</v>
      </c>
      <c r="F38" s="186">
        <f t="shared" ref="F38" si="18">(E38-E37)*10</f>
        <v>7300</v>
      </c>
      <c r="G38" s="185">
        <v>410332</v>
      </c>
      <c r="H38" s="186">
        <f t="shared" ref="H38" si="19">(G38-G37)*10</f>
        <v>2720</v>
      </c>
      <c r="I38" s="186">
        <f>H38*I6/100</f>
        <v>1360</v>
      </c>
      <c r="J38" s="186">
        <f>H38*J6/100</f>
        <v>1360</v>
      </c>
      <c r="K38" s="185">
        <v>533662</v>
      </c>
      <c r="L38" s="186">
        <f t="shared" ref="L38" si="20">(K38-K37)*10</f>
        <v>6840</v>
      </c>
      <c r="M38" s="185">
        <v>863224</v>
      </c>
      <c r="N38" s="186">
        <f t="shared" ref="N38" si="21">(M38-M37)*10</f>
        <v>10900</v>
      </c>
      <c r="O38" s="185">
        <v>574895</v>
      </c>
      <c r="P38" s="186">
        <f t="shared" ref="P38" si="22">(O38-O37)*10</f>
        <v>5520</v>
      </c>
      <c r="Q38" s="186">
        <f>P38*Q6/100</f>
        <v>2760</v>
      </c>
      <c r="R38" s="186">
        <f>P38*R6/100</f>
        <v>2760</v>
      </c>
      <c r="S38" s="185">
        <v>478567</v>
      </c>
      <c r="T38" s="186">
        <f t="shared" ref="T38" si="23">(S38-S37)*10</f>
        <v>4160</v>
      </c>
      <c r="U38" s="186">
        <f>T38*U6/100</f>
        <v>2080</v>
      </c>
      <c r="V38" s="186">
        <f>T38*V6/100</f>
        <v>2080</v>
      </c>
      <c r="W38" s="185">
        <v>241416</v>
      </c>
      <c r="X38" s="186">
        <f t="shared" ref="X38" si="24">(W38-W37)*10</f>
        <v>20</v>
      </c>
      <c r="Y38" s="186">
        <f>X38*Y6/100</f>
        <v>10</v>
      </c>
      <c r="Z38" s="186">
        <f>X38*Z6/100</f>
        <v>10</v>
      </c>
      <c r="AA38" s="185">
        <v>315654</v>
      </c>
      <c r="AB38" s="186">
        <f t="shared" ref="AB38" si="25">(AA38-AA37)*10</f>
        <v>30</v>
      </c>
      <c r="AC38" s="186">
        <f>AB38*AC6/100</f>
        <v>15</v>
      </c>
      <c r="AD38" s="186">
        <f>AB38*AD6/100</f>
        <v>15</v>
      </c>
      <c r="AE38" s="185">
        <v>104346</v>
      </c>
      <c r="AF38" s="186">
        <f t="shared" ref="AF38" si="26">(AE38-AE37)*10</f>
        <v>1250</v>
      </c>
      <c r="AG38" s="185">
        <v>196762</v>
      </c>
      <c r="AH38" s="186">
        <f t="shared" ref="AH38" si="27">(AG38-AG37)*10</f>
        <v>2310</v>
      </c>
      <c r="AI38" s="185">
        <v>346333</v>
      </c>
      <c r="AJ38" s="186">
        <f t="shared" ref="AJ38" si="28">(AI38-AI37)*10</f>
        <v>3870</v>
      </c>
      <c r="AK38" s="185">
        <v>177816</v>
      </c>
      <c r="AL38" s="186">
        <f t="shared" ref="AL38" si="29">(AK38-AK37)*10</f>
        <v>2480</v>
      </c>
      <c r="AM38" s="185">
        <v>918085</v>
      </c>
      <c r="AN38" s="186">
        <f t="shared" ref="AN38" si="30">(AM38-AM37)*10</f>
        <v>11910</v>
      </c>
      <c r="AP38" s="188">
        <f>SUM(D38,F38,I38,L38,N38,Q38,U38,Y38,AC38)</f>
        <v>37145</v>
      </c>
      <c r="AQ38" s="189">
        <f t="shared" si="15"/>
        <v>28045</v>
      </c>
    </row>
    <row r="39" spans="1:43" s="18" customFormat="1" ht="39.950000000000003" customHeight="1">
      <c r="A39" s="17"/>
      <c r="D39" s="10">
        <f>SUM(D8:D37)</f>
        <v>129330</v>
      </c>
      <c r="F39" s="10">
        <f>SUM(F8:F37)</f>
        <v>225250</v>
      </c>
      <c r="H39" s="10">
        <f>SUM(H8:H37)</f>
        <v>84060</v>
      </c>
      <c r="I39" s="10"/>
      <c r="L39" s="10">
        <f>SUM(L8:L37)</f>
        <v>179190</v>
      </c>
      <c r="N39" s="10">
        <f>SUM(N8:N37)</f>
        <v>327420</v>
      </c>
      <c r="P39" s="10">
        <f>SUM(P8:P37)</f>
        <v>239330</v>
      </c>
      <c r="Q39" s="10"/>
      <c r="T39" s="10">
        <f>SUM(T8:T37)</f>
        <v>74870</v>
      </c>
      <c r="U39" s="10"/>
      <c r="X39" s="10">
        <f>SUM(X8:X37)</f>
        <v>8680</v>
      </c>
      <c r="Y39" s="10"/>
      <c r="AB39" s="10">
        <f>SUM(AB8:AB37)</f>
        <v>9930</v>
      </c>
      <c r="AC39" s="10"/>
      <c r="AF39" s="10">
        <f>SUM(AF8:AF37)</f>
        <v>38050</v>
      </c>
      <c r="AH39" s="10">
        <f>SUM(AH8:AH37)</f>
        <v>68360</v>
      </c>
      <c r="AJ39" s="10">
        <f>SUM(AJ8:AJ37)</f>
        <v>113410</v>
      </c>
      <c r="AL39" s="10">
        <f>SUM(AL8:AL37)</f>
        <v>71720</v>
      </c>
      <c r="AN39" s="10">
        <f>SUM(AN8:AN37)</f>
        <v>294320</v>
      </c>
    </row>
    <row r="40" spans="1:43" s="18" customFormat="1" ht="39.950000000000003" customHeight="1">
      <c r="A40" s="17"/>
      <c r="D40" s="19"/>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8" activePane="bottomRight" state="frozen"/>
      <selection pane="topRight" activeCell="C1" sqref="C1"/>
      <selection pane="bottomLeft" activeCell="A5" sqref="A5"/>
      <selection pane="bottomRight" activeCell="R27" sqref="R2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08" t="s">
        <v>65</v>
      </c>
      <c r="D1" s="208"/>
      <c r="E1" s="208" t="s">
        <v>65</v>
      </c>
      <c r="F1" s="208"/>
      <c r="G1" s="208" t="s">
        <v>65</v>
      </c>
      <c r="H1" s="208"/>
      <c r="I1" s="208" t="s">
        <v>65</v>
      </c>
      <c r="J1" s="208"/>
      <c r="K1" s="221" t="s">
        <v>66</v>
      </c>
      <c r="L1" s="222"/>
      <c r="M1" s="222"/>
      <c r="N1" s="223"/>
      <c r="O1" s="208" t="s">
        <v>67</v>
      </c>
      <c r="P1" s="208"/>
    </row>
    <row r="2" spans="1:19" s="25" customFormat="1" ht="113.25" customHeight="1">
      <c r="A2" s="24"/>
      <c r="B2" s="24"/>
      <c r="C2" s="224" t="s">
        <v>102</v>
      </c>
      <c r="D2" s="225"/>
      <c r="E2" s="224" t="s">
        <v>103</v>
      </c>
      <c r="F2" s="225"/>
      <c r="G2" s="224" t="s">
        <v>104</v>
      </c>
      <c r="H2" s="225"/>
      <c r="I2" s="224" t="s">
        <v>105</v>
      </c>
      <c r="J2" s="225"/>
      <c r="K2" s="233" t="s">
        <v>106</v>
      </c>
      <c r="L2" s="234"/>
      <c r="M2" s="234"/>
      <c r="N2" s="235"/>
      <c r="O2" s="224" t="s">
        <v>107</v>
      </c>
      <c r="P2" s="225"/>
    </row>
    <row r="3" spans="1:19" s="30" customFormat="1" ht="50.1" customHeight="1">
      <c r="A3" s="39"/>
      <c r="B3" s="39"/>
      <c r="C3" s="228" t="s">
        <v>108</v>
      </c>
      <c r="D3" s="229"/>
      <c r="E3" s="226" t="s">
        <v>109</v>
      </c>
      <c r="F3" s="227"/>
      <c r="G3" s="226" t="s">
        <v>110</v>
      </c>
      <c r="H3" s="227"/>
      <c r="I3" s="226" t="s">
        <v>402</v>
      </c>
      <c r="J3" s="227"/>
      <c r="K3" s="230" t="s">
        <v>112</v>
      </c>
      <c r="L3" s="231"/>
      <c r="M3" s="231"/>
      <c r="N3" s="232"/>
      <c r="O3" s="228" t="s">
        <v>113</v>
      </c>
      <c r="P3" s="229"/>
      <c r="R3" s="206" t="s">
        <v>81</v>
      </c>
      <c r="S3" s="206"/>
    </row>
    <row r="4" spans="1:19" s="8" customFormat="1" ht="30" customHeight="1">
      <c r="A4" s="179" t="s">
        <v>96</v>
      </c>
      <c r="B4" s="48"/>
      <c r="C4" s="215"/>
      <c r="D4" s="216"/>
      <c r="E4" s="215"/>
      <c r="F4" s="216"/>
      <c r="G4" s="215"/>
      <c r="H4" s="216"/>
      <c r="I4" s="215"/>
      <c r="J4" s="216"/>
      <c r="K4" s="215"/>
      <c r="L4" s="220"/>
      <c r="M4" s="220"/>
      <c r="N4" s="216"/>
      <c r="O4" s="48"/>
      <c r="P4" s="48"/>
      <c r="R4" s="206"/>
      <c r="S4" s="206"/>
    </row>
    <row r="5" spans="1:19" s="10" customFormat="1" ht="50.1" customHeight="1">
      <c r="A5" s="179" t="s">
        <v>99</v>
      </c>
      <c r="B5" s="179"/>
      <c r="C5" s="179" t="s">
        <v>114</v>
      </c>
      <c r="D5" s="179" t="s">
        <v>115</v>
      </c>
      <c r="E5" s="179" t="s">
        <v>114</v>
      </c>
      <c r="F5" s="179" t="s">
        <v>115</v>
      </c>
      <c r="G5" s="179" t="s">
        <v>114</v>
      </c>
      <c r="H5" s="179" t="s">
        <v>115</v>
      </c>
      <c r="I5" s="179" t="s">
        <v>114</v>
      </c>
      <c r="J5" s="179" t="s">
        <v>115</v>
      </c>
      <c r="K5" s="179" t="s">
        <v>114</v>
      </c>
      <c r="L5" s="179" t="s">
        <v>115</v>
      </c>
      <c r="M5" s="179" t="s">
        <v>65</v>
      </c>
      <c r="N5" s="179" t="s">
        <v>67</v>
      </c>
      <c r="O5" s="179" t="s">
        <v>114</v>
      </c>
      <c r="P5" s="179" t="s">
        <v>115</v>
      </c>
      <c r="R5" s="179"/>
      <c r="S5" s="179"/>
    </row>
    <row r="6" spans="1:19" ht="39.950000000000003" customHeight="1">
      <c r="A6" s="178">
        <v>45291</v>
      </c>
      <c r="B6" s="79"/>
      <c r="C6" s="72">
        <v>99343</v>
      </c>
      <c r="D6" s="73"/>
      <c r="E6" s="72">
        <v>165490</v>
      </c>
      <c r="F6" s="73"/>
      <c r="G6" s="80">
        <v>756</v>
      </c>
      <c r="H6" s="167"/>
      <c r="I6" s="196">
        <v>521</v>
      </c>
      <c r="J6" s="73"/>
      <c r="K6" s="72">
        <v>59865</v>
      </c>
      <c r="L6" s="73"/>
      <c r="M6" s="74">
        <f t="shared" ref="M6" si="0">L6*55%</f>
        <v>0</v>
      </c>
      <c r="N6" s="74">
        <f t="shared" ref="N6" si="1">L6*45%</f>
        <v>0</v>
      </c>
      <c r="O6" s="72">
        <v>59299</v>
      </c>
      <c r="P6" s="73"/>
      <c r="R6" s="103"/>
      <c r="S6" s="94"/>
    </row>
    <row r="7" spans="1:19" s="2" customFormat="1" ht="39.950000000000003" customHeight="1">
      <c r="A7" s="178">
        <v>44927</v>
      </c>
      <c r="B7" s="15"/>
      <c r="C7" s="71">
        <v>99501</v>
      </c>
      <c r="D7" s="73">
        <f>(C7-C6)</f>
        <v>158</v>
      </c>
      <c r="E7" s="71">
        <v>165623</v>
      </c>
      <c r="F7" s="73">
        <f>(E7-E6)</f>
        <v>133</v>
      </c>
      <c r="G7" s="81">
        <v>764</v>
      </c>
      <c r="H7" s="167">
        <f>(G7-G6)</f>
        <v>8</v>
      </c>
      <c r="I7" s="197">
        <v>580</v>
      </c>
      <c r="J7" s="73">
        <f>(I7-I6)</f>
        <v>59</v>
      </c>
      <c r="K7" s="71">
        <v>60057</v>
      </c>
      <c r="L7" s="73">
        <f t="shared" ref="L7:L35" si="2">(K7-K6)</f>
        <v>192</v>
      </c>
      <c r="M7" s="74">
        <f>L7*55%</f>
        <v>105.60000000000001</v>
      </c>
      <c r="N7" s="74">
        <f>L7*45%</f>
        <v>86.4</v>
      </c>
      <c r="O7" s="71">
        <v>59425</v>
      </c>
      <c r="P7" s="73">
        <f>(O7-O6)</f>
        <v>126</v>
      </c>
      <c r="R7" s="195">
        <f>SUM(D7,F7,M7,J7,H7)</f>
        <v>463.6</v>
      </c>
      <c r="S7" s="195">
        <f>SUM(N7,P7)</f>
        <v>212.4</v>
      </c>
    </row>
    <row r="8" spans="1:19" ht="39.950000000000003" customHeight="1">
      <c r="A8" s="178">
        <f>SUM(A7+1)</f>
        <v>44928</v>
      </c>
      <c r="B8" s="16"/>
      <c r="C8" s="71">
        <v>99663</v>
      </c>
      <c r="D8" s="73">
        <f t="shared" ref="D8:D35" si="3">(C8-C7)</f>
        <v>162</v>
      </c>
      <c r="E8" s="71">
        <v>166200</v>
      </c>
      <c r="F8" s="73">
        <f t="shared" ref="F8:F35" si="4">(E8-E7)</f>
        <v>577</v>
      </c>
      <c r="G8" s="81">
        <v>772</v>
      </c>
      <c r="H8" s="167">
        <f t="shared" ref="H8:H35" si="5">(G8-G7)</f>
        <v>8</v>
      </c>
      <c r="I8" s="197">
        <v>602</v>
      </c>
      <c r="J8" s="73">
        <f t="shared" ref="J8:J35" si="6">(I8-I7)</f>
        <v>22</v>
      </c>
      <c r="K8" s="71">
        <v>60217</v>
      </c>
      <c r="L8" s="73">
        <f t="shared" si="2"/>
        <v>160</v>
      </c>
      <c r="M8" s="74">
        <f t="shared" ref="M8:M36" si="7">L8*55%</f>
        <v>88</v>
      </c>
      <c r="N8" s="74">
        <f t="shared" ref="N8:N36" si="8">L8*45%</f>
        <v>72</v>
      </c>
      <c r="O8" s="71">
        <v>59554</v>
      </c>
      <c r="P8" s="73">
        <f t="shared" ref="P8:P35" si="9">(O8-O7)</f>
        <v>129</v>
      </c>
      <c r="R8" s="195">
        <f t="shared" ref="R8:R37" si="10">SUM(D8,F8,M8,J8,H8)</f>
        <v>857</v>
      </c>
      <c r="S8" s="195">
        <f t="shared" ref="S8:S36" si="11">SUM(N8,P8)</f>
        <v>201</v>
      </c>
    </row>
    <row r="9" spans="1:19" ht="39.950000000000003" customHeight="1">
      <c r="A9" s="178">
        <f t="shared" ref="A9:A37" si="12">SUM(A8+1)</f>
        <v>44929</v>
      </c>
      <c r="B9" s="16"/>
      <c r="C9" s="71">
        <v>99786</v>
      </c>
      <c r="D9" s="73">
        <f t="shared" si="3"/>
        <v>123</v>
      </c>
      <c r="E9" s="71">
        <v>166489</v>
      </c>
      <c r="F9" s="73">
        <f t="shared" si="4"/>
        <v>289</v>
      </c>
      <c r="G9" s="81">
        <v>780</v>
      </c>
      <c r="H9" s="167">
        <f t="shared" si="5"/>
        <v>8</v>
      </c>
      <c r="I9" s="197">
        <v>629</v>
      </c>
      <c r="J9" s="73">
        <f t="shared" si="6"/>
        <v>27</v>
      </c>
      <c r="K9" s="71">
        <v>60362</v>
      </c>
      <c r="L9" s="73">
        <f t="shared" si="2"/>
        <v>145</v>
      </c>
      <c r="M9" s="74">
        <f t="shared" si="7"/>
        <v>79.75</v>
      </c>
      <c r="N9" s="74">
        <f t="shared" si="8"/>
        <v>65.25</v>
      </c>
      <c r="O9" s="71">
        <v>59667</v>
      </c>
      <c r="P9" s="73">
        <f t="shared" si="9"/>
        <v>113</v>
      </c>
      <c r="R9" s="195">
        <f t="shared" si="10"/>
        <v>526.75</v>
      </c>
      <c r="S9" s="195">
        <f t="shared" si="11"/>
        <v>178.25</v>
      </c>
    </row>
    <row r="10" spans="1:19" ht="39.950000000000003" customHeight="1">
      <c r="A10" s="178">
        <f t="shared" si="12"/>
        <v>44930</v>
      </c>
      <c r="B10" s="16"/>
      <c r="C10" s="71">
        <v>99917</v>
      </c>
      <c r="D10" s="73">
        <f t="shared" si="3"/>
        <v>131</v>
      </c>
      <c r="E10" s="71">
        <v>166823</v>
      </c>
      <c r="F10" s="73">
        <f t="shared" si="4"/>
        <v>334</v>
      </c>
      <c r="G10" s="81">
        <v>786</v>
      </c>
      <c r="H10" s="167">
        <f t="shared" si="5"/>
        <v>6</v>
      </c>
      <c r="I10" s="197">
        <v>642</v>
      </c>
      <c r="J10" s="73">
        <f t="shared" si="6"/>
        <v>13</v>
      </c>
      <c r="K10" s="71">
        <v>60536</v>
      </c>
      <c r="L10" s="73">
        <f t="shared" si="2"/>
        <v>174</v>
      </c>
      <c r="M10" s="74">
        <f t="shared" si="7"/>
        <v>95.7</v>
      </c>
      <c r="N10" s="74">
        <f t="shared" si="8"/>
        <v>78.3</v>
      </c>
      <c r="O10" s="71">
        <v>59803</v>
      </c>
      <c r="P10" s="73">
        <f t="shared" si="9"/>
        <v>136</v>
      </c>
      <c r="R10" s="195">
        <f t="shared" si="10"/>
        <v>579.70000000000005</v>
      </c>
      <c r="S10" s="195">
        <f t="shared" si="11"/>
        <v>214.3</v>
      </c>
    </row>
    <row r="11" spans="1:19" ht="39.950000000000003" customHeight="1">
      <c r="A11" s="178">
        <f t="shared" si="12"/>
        <v>44931</v>
      </c>
      <c r="B11" s="16"/>
      <c r="C11" s="71">
        <v>100052</v>
      </c>
      <c r="D11" s="73">
        <f t="shared" si="3"/>
        <v>135</v>
      </c>
      <c r="E11" s="71">
        <v>167165</v>
      </c>
      <c r="F11" s="73">
        <f t="shared" si="4"/>
        <v>342</v>
      </c>
      <c r="G11" s="81">
        <v>794</v>
      </c>
      <c r="H11" s="167">
        <f t="shared" si="5"/>
        <v>8</v>
      </c>
      <c r="I11" s="197">
        <v>667</v>
      </c>
      <c r="J11" s="167">
        <f t="shared" si="6"/>
        <v>25</v>
      </c>
      <c r="K11" s="71">
        <v>60686</v>
      </c>
      <c r="L11" s="73">
        <f t="shared" si="2"/>
        <v>150</v>
      </c>
      <c r="M11" s="74">
        <f t="shared" si="7"/>
        <v>82.5</v>
      </c>
      <c r="N11" s="74">
        <f t="shared" si="8"/>
        <v>67.5</v>
      </c>
      <c r="O11" s="71">
        <v>59937</v>
      </c>
      <c r="P11" s="73">
        <f t="shared" si="9"/>
        <v>134</v>
      </c>
      <c r="R11" s="195">
        <f t="shared" si="10"/>
        <v>592.5</v>
      </c>
      <c r="S11" s="195">
        <f t="shared" si="11"/>
        <v>201.5</v>
      </c>
    </row>
    <row r="12" spans="1:19" ht="39.950000000000003" customHeight="1">
      <c r="A12" s="178">
        <f t="shared" si="12"/>
        <v>44932</v>
      </c>
      <c r="B12" s="16"/>
      <c r="C12" s="71">
        <v>100184</v>
      </c>
      <c r="D12" s="73">
        <f t="shared" si="3"/>
        <v>132</v>
      </c>
      <c r="E12" s="71">
        <v>167480</v>
      </c>
      <c r="F12" s="73">
        <f t="shared" si="4"/>
        <v>315</v>
      </c>
      <c r="G12" s="81">
        <v>809</v>
      </c>
      <c r="H12" s="167">
        <f t="shared" si="5"/>
        <v>15</v>
      </c>
      <c r="I12" s="197">
        <v>695</v>
      </c>
      <c r="J12" s="167">
        <f t="shared" si="6"/>
        <v>28</v>
      </c>
      <c r="K12" s="71">
        <v>60831</v>
      </c>
      <c r="L12" s="73">
        <f t="shared" si="2"/>
        <v>145</v>
      </c>
      <c r="M12" s="74">
        <f t="shared" si="7"/>
        <v>79.75</v>
      </c>
      <c r="N12" s="74">
        <f t="shared" si="8"/>
        <v>65.25</v>
      </c>
      <c r="O12" s="71">
        <v>60077</v>
      </c>
      <c r="P12" s="73">
        <f t="shared" si="9"/>
        <v>140</v>
      </c>
      <c r="R12" s="195">
        <f t="shared" si="10"/>
        <v>569.75</v>
      </c>
      <c r="S12" s="195">
        <f t="shared" si="11"/>
        <v>205.25</v>
      </c>
    </row>
    <row r="13" spans="1:19" ht="39.950000000000003" customHeight="1">
      <c r="A13" s="178">
        <f t="shared" si="12"/>
        <v>44933</v>
      </c>
      <c r="B13" s="16"/>
      <c r="C13" s="71">
        <v>100307</v>
      </c>
      <c r="D13" s="73">
        <f t="shared" si="3"/>
        <v>123</v>
      </c>
      <c r="E13" s="71">
        <v>167830</v>
      </c>
      <c r="F13" s="73">
        <f t="shared" si="4"/>
        <v>350</v>
      </c>
      <c r="G13" s="81">
        <v>818</v>
      </c>
      <c r="H13" s="167">
        <f t="shared" si="5"/>
        <v>9</v>
      </c>
      <c r="I13" s="197">
        <v>714</v>
      </c>
      <c r="J13" s="167">
        <f t="shared" si="6"/>
        <v>19</v>
      </c>
      <c r="K13" s="71">
        <v>60970</v>
      </c>
      <c r="L13" s="73">
        <f t="shared" si="2"/>
        <v>139</v>
      </c>
      <c r="M13" s="74">
        <f t="shared" si="7"/>
        <v>76.45</v>
      </c>
      <c r="N13" s="74">
        <f t="shared" si="8"/>
        <v>62.550000000000004</v>
      </c>
      <c r="O13" s="71">
        <v>60206</v>
      </c>
      <c r="P13" s="73">
        <f t="shared" si="9"/>
        <v>129</v>
      </c>
      <c r="R13" s="195">
        <f t="shared" si="10"/>
        <v>577.45000000000005</v>
      </c>
      <c r="S13" s="195">
        <f t="shared" si="11"/>
        <v>191.55</v>
      </c>
    </row>
    <row r="14" spans="1:19" ht="39.950000000000003" customHeight="1">
      <c r="A14" s="178">
        <f t="shared" si="12"/>
        <v>44934</v>
      </c>
      <c r="B14" s="16"/>
      <c r="C14" s="71">
        <v>100478</v>
      </c>
      <c r="D14" s="73">
        <f t="shared" si="3"/>
        <v>171</v>
      </c>
      <c r="E14" s="71">
        <v>168233</v>
      </c>
      <c r="F14" s="73">
        <f t="shared" si="4"/>
        <v>403</v>
      </c>
      <c r="G14" s="81">
        <v>822.51949999999999</v>
      </c>
      <c r="H14" s="167">
        <f t="shared" si="5"/>
        <v>4.5194999999999936</v>
      </c>
      <c r="I14" s="197">
        <v>724.59887000000003</v>
      </c>
      <c r="J14" s="167">
        <f t="shared" si="6"/>
        <v>10.598870000000034</v>
      </c>
      <c r="K14" s="71">
        <v>61147</v>
      </c>
      <c r="L14" s="73">
        <f t="shared" si="2"/>
        <v>177</v>
      </c>
      <c r="M14" s="74">
        <f t="shared" si="7"/>
        <v>97.350000000000009</v>
      </c>
      <c r="N14" s="74">
        <f t="shared" si="8"/>
        <v>79.650000000000006</v>
      </c>
      <c r="O14" s="71">
        <v>60348</v>
      </c>
      <c r="P14" s="73">
        <f t="shared" si="9"/>
        <v>142</v>
      </c>
      <c r="R14" s="195">
        <f t="shared" si="10"/>
        <v>686.46837000000005</v>
      </c>
      <c r="S14" s="195">
        <f t="shared" si="11"/>
        <v>221.65</v>
      </c>
    </row>
    <row r="15" spans="1:19" ht="39.950000000000003" customHeight="1">
      <c r="A15" s="178">
        <f t="shared" si="12"/>
        <v>44935</v>
      </c>
      <c r="B15" s="16"/>
      <c r="C15" s="71">
        <v>100623</v>
      </c>
      <c r="D15" s="73">
        <f t="shared" si="3"/>
        <v>145</v>
      </c>
      <c r="E15" s="71">
        <v>168612</v>
      </c>
      <c r="F15" s="73">
        <f t="shared" si="4"/>
        <v>379</v>
      </c>
      <c r="G15" s="81">
        <v>837.02499999999998</v>
      </c>
      <c r="H15" s="167">
        <f t="shared" si="5"/>
        <v>14.505499999999984</v>
      </c>
      <c r="I15" s="197">
        <v>764.32662000000005</v>
      </c>
      <c r="J15" s="167">
        <f t="shared" si="6"/>
        <v>39.727750000000015</v>
      </c>
      <c r="K15" s="71">
        <v>61289</v>
      </c>
      <c r="L15" s="73">
        <f t="shared" si="2"/>
        <v>142</v>
      </c>
      <c r="M15" s="74">
        <f t="shared" si="7"/>
        <v>78.100000000000009</v>
      </c>
      <c r="N15" s="74">
        <f t="shared" si="8"/>
        <v>63.9</v>
      </c>
      <c r="O15" s="71">
        <v>60468</v>
      </c>
      <c r="P15" s="73">
        <f t="shared" si="9"/>
        <v>120</v>
      </c>
      <c r="R15" s="195">
        <f t="shared" si="10"/>
        <v>656.33325000000002</v>
      </c>
      <c r="S15" s="195">
        <f t="shared" si="11"/>
        <v>183.9</v>
      </c>
    </row>
    <row r="16" spans="1:19" ht="39.950000000000003" customHeight="1">
      <c r="A16" s="178">
        <f t="shared" si="12"/>
        <v>44936</v>
      </c>
      <c r="B16" s="16"/>
      <c r="C16" s="81">
        <v>100757</v>
      </c>
      <c r="D16" s="73">
        <f t="shared" si="3"/>
        <v>134</v>
      </c>
      <c r="E16" s="81">
        <v>168965</v>
      </c>
      <c r="F16" s="73">
        <f t="shared" si="4"/>
        <v>353</v>
      </c>
      <c r="G16" s="81">
        <v>839</v>
      </c>
      <c r="H16" s="167">
        <f t="shared" si="5"/>
        <v>1.9750000000000227</v>
      </c>
      <c r="I16" s="197">
        <v>776</v>
      </c>
      <c r="J16" s="167">
        <f t="shared" si="6"/>
        <v>11.673379999999952</v>
      </c>
      <c r="K16" s="71">
        <v>61462</v>
      </c>
      <c r="L16" s="73">
        <f t="shared" si="2"/>
        <v>173</v>
      </c>
      <c r="M16" s="74">
        <f t="shared" si="7"/>
        <v>95.15</v>
      </c>
      <c r="N16" s="74">
        <f t="shared" si="8"/>
        <v>77.850000000000009</v>
      </c>
      <c r="O16" s="71">
        <v>60606</v>
      </c>
      <c r="P16" s="73">
        <f t="shared" si="9"/>
        <v>138</v>
      </c>
      <c r="R16" s="195">
        <f t="shared" si="10"/>
        <v>595.79837999999995</v>
      </c>
      <c r="S16" s="195">
        <f t="shared" si="11"/>
        <v>215.85000000000002</v>
      </c>
    </row>
    <row r="17" spans="1:19" ht="39.950000000000003" customHeight="1">
      <c r="A17" s="178">
        <f t="shared" si="12"/>
        <v>44937</v>
      </c>
      <c r="B17" s="16"/>
      <c r="C17" s="71">
        <v>100917</v>
      </c>
      <c r="D17" s="73">
        <f t="shared" si="3"/>
        <v>160</v>
      </c>
      <c r="E17" s="71">
        <v>169336</v>
      </c>
      <c r="F17" s="73">
        <f t="shared" si="4"/>
        <v>371</v>
      </c>
      <c r="G17" s="81">
        <v>842</v>
      </c>
      <c r="H17" s="167">
        <f t="shared" si="5"/>
        <v>3</v>
      </c>
      <c r="I17" s="197">
        <v>789.23</v>
      </c>
      <c r="J17" s="167">
        <f t="shared" si="6"/>
        <v>13.230000000000018</v>
      </c>
      <c r="K17" s="71">
        <v>61597</v>
      </c>
      <c r="L17" s="73">
        <f t="shared" si="2"/>
        <v>135</v>
      </c>
      <c r="M17" s="74">
        <f t="shared" si="7"/>
        <v>74.25</v>
      </c>
      <c r="N17" s="74">
        <f t="shared" si="8"/>
        <v>60.75</v>
      </c>
      <c r="O17" s="71">
        <v>60735</v>
      </c>
      <c r="P17" s="73">
        <f t="shared" si="9"/>
        <v>129</v>
      </c>
      <c r="R17" s="195">
        <f t="shared" si="10"/>
        <v>621.48</v>
      </c>
      <c r="S17" s="195">
        <f t="shared" si="11"/>
        <v>189.75</v>
      </c>
    </row>
    <row r="18" spans="1:19" ht="39.950000000000003" customHeight="1">
      <c r="A18" s="178">
        <f t="shared" si="12"/>
        <v>44938</v>
      </c>
      <c r="B18" s="16"/>
      <c r="C18" s="71">
        <v>101071</v>
      </c>
      <c r="D18" s="73">
        <f t="shared" si="3"/>
        <v>154</v>
      </c>
      <c r="E18" s="71">
        <v>169718</v>
      </c>
      <c r="F18" s="73">
        <f t="shared" si="4"/>
        <v>382</v>
      </c>
      <c r="G18" s="81">
        <v>845</v>
      </c>
      <c r="H18" s="167">
        <f t="shared" si="5"/>
        <v>3</v>
      </c>
      <c r="I18" s="197">
        <v>813.47</v>
      </c>
      <c r="J18" s="167">
        <f t="shared" si="6"/>
        <v>24.240000000000009</v>
      </c>
      <c r="K18" s="71">
        <v>61776</v>
      </c>
      <c r="L18" s="73">
        <f t="shared" si="2"/>
        <v>179</v>
      </c>
      <c r="M18" s="74">
        <f t="shared" si="7"/>
        <v>98.45</v>
      </c>
      <c r="N18" s="74">
        <f t="shared" si="8"/>
        <v>80.55</v>
      </c>
      <c r="O18" s="71">
        <v>60848</v>
      </c>
      <c r="P18" s="73">
        <f t="shared" si="9"/>
        <v>113</v>
      </c>
      <c r="R18" s="195">
        <f t="shared" si="10"/>
        <v>661.69</v>
      </c>
      <c r="S18" s="195">
        <f t="shared" si="11"/>
        <v>193.55</v>
      </c>
    </row>
    <row r="19" spans="1:19" s="77" customFormat="1" ht="39.950000000000003" customHeight="1">
      <c r="A19" s="178">
        <f t="shared" si="12"/>
        <v>44939</v>
      </c>
      <c r="B19" s="79"/>
      <c r="C19" s="71">
        <v>101233</v>
      </c>
      <c r="D19" s="73">
        <f t="shared" si="3"/>
        <v>162</v>
      </c>
      <c r="E19" s="71">
        <v>170094</v>
      </c>
      <c r="F19" s="73">
        <f t="shared" si="4"/>
        <v>376</v>
      </c>
      <c r="G19" s="81">
        <v>848.26199999999994</v>
      </c>
      <c r="H19" s="167">
        <f t="shared" si="5"/>
        <v>3.2619999999999436</v>
      </c>
      <c r="I19" s="197">
        <v>819</v>
      </c>
      <c r="J19" s="167">
        <f t="shared" si="6"/>
        <v>5.5299999999999727</v>
      </c>
      <c r="K19" s="71">
        <v>61924</v>
      </c>
      <c r="L19" s="73">
        <f t="shared" si="2"/>
        <v>148</v>
      </c>
      <c r="M19" s="74">
        <f t="shared" si="7"/>
        <v>81.400000000000006</v>
      </c>
      <c r="N19" s="74">
        <f t="shared" si="8"/>
        <v>66.600000000000009</v>
      </c>
      <c r="O19" s="71">
        <v>60988</v>
      </c>
      <c r="P19" s="73">
        <f t="shared" si="9"/>
        <v>140</v>
      </c>
      <c r="R19" s="195">
        <f t="shared" si="10"/>
        <v>628.19199999999989</v>
      </c>
      <c r="S19" s="195">
        <f t="shared" si="11"/>
        <v>206.60000000000002</v>
      </c>
    </row>
    <row r="20" spans="1:19" s="77" customFormat="1" ht="39.950000000000003" customHeight="1">
      <c r="A20" s="178">
        <f t="shared" si="12"/>
        <v>44940</v>
      </c>
      <c r="B20" s="79"/>
      <c r="C20" s="71">
        <v>101417</v>
      </c>
      <c r="D20" s="73">
        <f t="shared" si="3"/>
        <v>184</v>
      </c>
      <c r="E20" s="71">
        <v>170497</v>
      </c>
      <c r="F20" s="73">
        <f t="shared" si="4"/>
        <v>403</v>
      </c>
      <c r="G20" s="81">
        <v>851.72699999999998</v>
      </c>
      <c r="H20" s="167">
        <f t="shared" si="5"/>
        <v>3.4650000000000318</v>
      </c>
      <c r="I20" s="197">
        <v>842.9</v>
      </c>
      <c r="J20" s="167">
        <f t="shared" si="6"/>
        <v>23.899999999999977</v>
      </c>
      <c r="K20" s="71">
        <v>62088</v>
      </c>
      <c r="L20" s="73">
        <f t="shared" si="2"/>
        <v>164</v>
      </c>
      <c r="M20" s="74">
        <f t="shared" si="7"/>
        <v>90.2</v>
      </c>
      <c r="N20" s="74">
        <f t="shared" si="8"/>
        <v>73.8</v>
      </c>
      <c r="O20" s="71">
        <v>61107</v>
      </c>
      <c r="P20" s="73">
        <f t="shared" si="9"/>
        <v>119</v>
      </c>
      <c r="R20" s="195">
        <f t="shared" si="10"/>
        <v>704.56500000000005</v>
      </c>
      <c r="S20" s="195">
        <f t="shared" si="11"/>
        <v>192.8</v>
      </c>
    </row>
    <row r="21" spans="1:19" s="77" customFormat="1" ht="39.950000000000003" customHeight="1">
      <c r="A21" s="178">
        <f t="shared" si="12"/>
        <v>44941</v>
      </c>
      <c r="B21" s="79"/>
      <c r="C21" s="72">
        <v>101589</v>
      </c>
      <c r="D21" s="73">
        <f t="shared" si="3"/>
        <v>172</v>
      </c>
      <c r="E21" s="72">
        <v>170881</v>
      </c>
      <c r="F21" s="73">
        <f t="shared" si="4"/>
        <v>384</v>
      </c>
      <c r="G21" s="80">
        <v>855</v>
      </c>
      <c r="H21" s="167">
        <f t="shared" si="5"/>
        <v>3.2730000000000246</v>
      </c>
      <c r="I21" s="197">
        <v>852.1</v>
      </c>
      <c r="J21" s="167">
        <f t="shared" si="6"/>
        <v>9.2000000000000455</v>
      </c>
      <c r="K21" s="72">
        <v>62263</v>
      </c>
      <c r="L21" s="73">
        <f t="shared" si="2"/>
        <v>175</v>
      </c>
      <c r="M21" s="74">
        <f t="shared" si="7"/>
        <v>96.250000000000014</v>
      </c>
      <c r="N21" s="74">
        <f t="shared" si="8"/>
        <v>78.75</v>
      </c>
      <c r="O21" s="72">
        <v>61214</v>
      </c>
      <c r="P21" s="73">
        <f t="shared" si="9"/>
        <v>107</v>
      </c>
      <c r="R21" s="195">
        <f t="shared" si="10"/>
        <v>664.72300000000007</v>
      </c>
      <c r="S21" s="195">
        <f t="shared" si="11"/>
        <v>185.75</v>
      </c>
    </row>
    <row r="22" spans="1:19" s="77" customFormat="1" ht="39.950000000000003" customHeight="1">
      <c r="A22" s="178">
        <f t="shared" si="12"/>
        <v>44942</v>
      </c>
      <c r="B22" s="79"/>
      <c r="C22" s="72">
        <v>101748</v>
      </c>
      <c r="D22" s="73">
        <f t="shared" si="3"/>
        <v>159</v>
      </c>
      <c r="E22" s="72">
        <v>171283</v>
      </c>
      <c r="F22" s="73">
        <f t="shared" si="4"/>
        <v>402</v>
      </c>
      <c r="G22" s="80">
        <v>856.75099999999998</v>
      </c>
      <c r="H22" s="167">
        <f t="shared" si="5"/>
        <v>1.7509999999999764</v>
      </c>
      <c r="I22" s="197">
        <v>870.1</v>
      </c>
      <c r="J22" s="167">
        <f t="shared" si="6"/>
        <v>18</v>
      </c>
      <c r="K22" s="72">
        <v>62415</v>
      </c>
      <c r="L22" s="73">
        <f t="shared" si="2"/>
        <v>152</v>
      </c>
      <c r="M22" s="74">
        <f t="shared" si="7"/>
        <v>83.600000000000009</v>
      </c>
      <c r="N22" s="74">
        <f t="shared" si="8"/>
        <v>68.400000000000006</v>
      </c>
      <c r="O22" s="72">
        <v>61336</v>
      </c>
      <c r="P22" s="73">
        <f t="shared" si="9"/>
        <v>122</v>
      </c>
      <c r="R22" s="195">
        <f t="shared" si="10"/>
        <v>664.351</v>
      </c>
      <c r="S22" s="195">
        <f t="shared" si="11"/>
        <v>190.4</v>
      </c>
    </row>
    <row r="23" spans="1:19" s="77" customFormat="1" ht="39.950000000000003" customHeight="1">
      <c r="A23" s="178">
        <f t="shared" si="12"/>
        <v>44943</v>
      </c>
      <c r="B23" s="79"/>
      <c r="C23" s="72">
        <v>101908</v>
      </c>
      <c r="D23" s="73">
        <f t="shared" si="3"/>
        <v>160</v>
      </c>
      <c r="E23" s="72">
        <v>171631</v>
      </c>
      <c r="F23" s="73">
        <f t="shared" si="4"/>
        <v>348</v>
      </c>
      <c r="G23" s="80">
        <v>858.91700000000003</v>
      </c>
      <c r="H23" s="167">
        <f t="shared" si="5"/>
        <v>2.1660000000000537</v>
      </c>
      <c r="I23" s="197">
        <v>893.2</v>
      </c>
      <c r="J23" s="167">
        <f t="shared" si="6"/>
        <v>23.100000000000023</v>
      </c>
      <c r="K23" s="72">
        <v>62571</v>
      </c>
      <c r="L23" s="73">
        <f t="shared" si="2"/>
        <v>156</v>
      </c>
      <c r="M23" s="74">
        <f t="shared" si="7"/>
        <v>85.800000000000011</v>
      </c>
      <c r="N23" s="74">
        <f t="shared" si="8"/>
        <v>70.2</v>
      </c>
      <c r="O23" s="72">
        <v>61463</v>
      </c>
      <c r="P23" s="73">
        <f t="shared" si="9"/>
        <v>127</v>
      </c>
      <c r="R23" s="195">
        <f t="shared" si="10"/>
        <v>619.06600000000003</v>
      </c>
      <c r="S23" s="195">
        <f t="shared" si="11"/>
        <v>197.2</v>
      </c>
    </row>
    <row r="24" spans="1:19" s="77" customFormat="1" ht="39.950000000000003" customHeight="1">
      <c r="A24" s="178">
        <f t="shared" si="12"/>
        <v>44944</v>
      </c>
      <c r="B24" s="79"/>
      <c r="C24" s="72">
        <v>102070</v>
      </c>
      <c r="D24" s="73">
        <f t="shared" si="3"/>
        <v>162</v>
      </c>
      <c r="E24" s="72">
        <v>172016</v>
      </c>
      <c r="F24" s="73">
        <f t="shared" si="4"/>
        <v>385</v>
      </c>
      <c r="G24" s="80">
        <v>862</v>
      </c>
      <c r="H24" s="167">
        <f t="shared" si="5"/>
        <v>3.08299999999997</v>
      </c>
      <c r="I24" s="197">
        <v>914</v>
      </c>
      <c r="J24" s="167">
        <f t="shared" si="6"/>
        <v>20.799999999999955</v>
      </c>
      <c r="K24" s="72">
        <v>62716</v>
      </c>
      <c r="L24" s="73">
        <f t="shared" si="2"/>
        <v>145</v>
      </c>
      <c r="M24" s="74">
        <f t="shared" si="7"/>
        <v>79.75</v>
      </c>
      <c r="N24" s="74">
        <f t="shared" si="8"/>
        <v>65.25</v>
      </c>
      <c r="O24" s="72">
        <v>61593</v>
      </c>
      <c r="P24" s="73">
        <f t="shared" si="9"/>
        <v>130</v>
      </c>
      <c r="R24" s="195">
        <f t="shared" si="10"/>
        <v>650.63299999999992</v>
      </c>
      <c r="S24" s="195">
        <f t="shared" si="11"/>
        <v>195.25</v>
      </c>
    </row>
    <row r="25" spans="1:19" s="77" customFormat="1" ht="39.950000000000003" customHeight="1">
      <c r="A25" s="178">
        <f t="shared" si="12"/>
        <v>44945</v>
      </c>
      <c r="B25" s="79"/>
      <c r="C25" s="72">
        <v>102235</v>
      </c>
      <c r="D25" s="73">
        <f t="shared" si="3"/>
        <v>165</v>
      </c>
      <c r="E25" s="72">
        <v>172291</v>
      </c>
      <c r="F25" s="73">
        <f t="shared" si="4"/>
        <v>275</v>
      </c>
      <c r="G25" s="80">
        <v>868</v>
      </c>
      <c r="H25" s="167">
        <f t="shared" si="5"/>
        <v>6</v>
      </c>
      <c r="I25" s="197">
        <v>932</v>
      </c>
      <c r="J25" s="167">
        <f t="shared" si="6"/>
        <v>18</v>
      </c>
      <c r="K25" s="72">
        <v>62873</v>
      </c>
      <c r="L25" s="73">
        <f t="shared" si="2"/>
        <v>157</v>
      </c>
      <c r="M25" s="74">
        <f t="shared" si="7"/>
        <v>86.350000000000009</v>
      </c>
      <c r="N25" s="74">
        <f t="shared" si="8"/>
        <v>70.650000000000006</v>
      </c>
      <c r="O25" s="72">
        <v>61712</v>
      </c>
      <c r="P25" s="73">
        <f t="shared" si="9"/>
        <v>119</v>
      </c>
      <c r="R25" s="195">
        <f t="shared" si="10"/>
        <v>550.35</v>
      </c>
      <c r="S25" s="195">
        <f t="shared" si="11"/>
        <v>189.65</v>
      </c>
    </row>
    <row r="26" spans="1:19" ht="39.950000000000003" customHeight="1">
      <c r="A26" s="178">
        <f t="shared" si="12"/>
        <v>44946</v>
      </c>
      <c r="B26" s="79"/>
      <c r="C26" s="72">
        <v>102385</v>
      </c>
      <c r="D26" s="73">
        <f t="shared" si="3"/>
        <v>150</v>
      </c>
      <c r="E26" s="72">
        <v>172686</v>
      </c>
      <c r="F26" s="73">
        <f t="shared" si="4"/>
        <v>395</v>
      </c>
      <c r="G26" s="80">
        <v>874</v>
      </c>
      <c r="H26" s="167">
        <f t="shared" si="5"/>
        <v>6</v>
      </c>
      <c r="I26" s="197">
        <v>952</v>
      </c>
      <c r="J26" s="167">
        <f t="shared" si="6"/>
        <v>20</v>
      </c>
      <c r="K26" s="72">
        <v>63027</v>
      </c>
      <c r="L26" s="73">
        <f t="shared" si="2"/>
        <v>154</v>
      </c>
      <c r="M26" s="74">
        <f t="shared" si="7"/>
        <v>84.7</v>
      </c>
      <c r="N26" s="74">
        <f t="shared" si="8"/>
        <v>69.3</v>
      </c>
      <c r="O26" s="72">
        <v>61836</v>
      </c>
      <c r="P26" s="73">
        <f t="shared" si="9"/>
        <v>124</v>
      </c>
      <c r="R26" s="195">
        <f t="shared" si="10"/>
        <v>655.7</v>
      </c>
      <c r="S26" s="195">
        <f t="shared" si="11"/>
        <v>193.3</v>
      </c>
    </row>
    <row r="27" spans="1:19" ht="39.950000000000003" customHeight="1">
      <c r="A27" s="178">
        <f t="shared" si="12"/>
        <v>44947</v>
      </c>
      <c r="B27" s="79"/>
      <c r="C27" s="72">
        <v>102529</v>
      </c>
      <c r="D27" s="73">
        <f t="shared" si="3"/>
        <v>144</v>
      </c>
      <c r="E27" s="72">
        <v>173035</v>
      </c>
      <c r="F27" s="73">
        <f t="shared" si="4"/>
        <v>349</v>
      </c>
      <c r="G27" s="80">
        <v>878</v>
      </c>
      <c r="H27" s="167">
        <f t="shared" si="5"/>
        <v>4</v>
      </c>
      <c r="I27" s="197">
        <v>969</v>
      </c>
      <c r="J27" s="167">
        <f t="shared" si="6"/>
        <v>17</v>
      </c>
      <c r="K27" s="72">
        <v>63170</v>
      </c>
      <c r="L27" s="73">
        <f t="shared" si="2"/>
        <v>143</v>
      </c>
      <c r="M27" s="74">
        <f t="shared" si="7"/>
        <v>78.650000000000006</v>
      </c>
      <c r="N27" s="74">
        <f t="shared" si="8"/>
        <v>64.350000000000009</v>
      </c>
      <c r="O27" s="72">
        <v>61952</v>
      </c>
      <c r="P27" s="73">
        <f t="shared" si="9"/>
        <v>116</v>
      </c>
      <c r="R27" s="195">
        <f t="shared" si="10"/>
        <v>592.65</v>
      </c>
      <c r="S27" s="195">
        <f t="shared" si="11"/>
        <v>180.35000000000002</v>
      </c>
    </row>
    <row r="28" spans="1:19" ht="39.950000000000003" customHeight="1">
      <c r="A28" s="178">
        <f t="shared" si="12"/>
        <v>44948</v>
      </c>
      <c r="B28" s="79"/>
      <c r="C28" s="72">
        <v>102677</v>
      </c>
      <c r="D28" s="73">
        <f t="shared" si="3"/>
        <v>148</v>
      </c>
      <c r="E28" s="72">
        <v>173390</v>
      </c>
      <c r="F28" s="73">
        <f t="shared" si="4"/>
        <v>355</v>
      </c>
      <c r="G28" s="80">
        <v>895</v>
      </c>
      <c r="H28" s="167">
        <f t="shared" si="5"/>
        <v>17</v>
      </c>
      <c r="I28" s="197">
        <v>991</v>
      </c>
      <c r="J28" s="167">
        <f t="shared" si="6"/>
        <v>22</v>
      </c>
      <c r="K28" s="72">
        <v>63338</v>
      </c>
      <c r="L28" s="73">
        <f t="shared" si="2"/>
        <v>168</v>
      </c>
      <c r="M28" s="74">
        <f t="shared" si="7"/>
        <v>92.4</v>
      </c>
      <c r="N28" s="74">
        <f t="shared" si="8"/>
        <v>75.600000000000009</v>
      </c>
      <c r="O28" s="72">
        <v>62072</v>
      </c>
      <c r="P28" s="73">
        <f t="shared" si="9"/>
        <v>120</v>
      </c>
      <c r="R28" s="195">
        <f t="shared" si="10"/>
        <v>634.4</v>
      </c>
      <c r="S28" s="195">
        <f t="shared" si="11"/>
        <v>195.60000000000002</v>
      </c>
    </row>
    <row r="29" spans="1:19" ht="39.950000000000003" customHeight="1">
      <c r="A29" s="178">
        <f t="shared" si="12"/>
        <v>44949</v>
      </c>
      <c r="B29" s="79"/>
      <c r="C29" s="72">
        <v>102820</v>
      </c>
      <c r="D29" s="73">
        <f t="shared" si="3"/>
        <v>143</v>
      </c>
      <c r="E29" s="72">
        <v>173713</v>
      </c>
      <c r="F29" s="73">
        <f t="shared" si="4"/>
        <v>323</v>
      </c>
      <c r="G29" s="80">
        <v>911</v>
      </c>
      <c r="H29" s="167">
        <f t="shared" si="5"/>
        <v>16</v>
      </c>
      <c r="I29" s="197">
        <v>1038</v>
      </c>
      <c r="J29" s="167">
        <f t="shared" si="6"/>
        <v>47</v>
      </c>
      <c r="K29" s="72">
        <v>63475</v>
      </c>
      <c r="L29" s="73">
        <f t="shared" si="2"/>
        <v>137</v>
      </c>
      <c r="M29" s="74">
        <f t="shared" si="7"/>
        <v>75.350000000000009</v>
      </c>
      <c r="N29" s="74">
        <f t="shared" si="8"/>
        <v>61.65</v>
      </c>
      <c r="O29" s="72">
        <v>62176</v>
      </c>
      <c r="P29" s="73">
        <f t="shared" si="9"/>
        <v>104</v>
      </c>
      <c r="R29" s="195">
        <f t="shared" si="10"/>
        <v>604.35</v>
      </c>
      <c r="S29" s="195">
        <f t="shared" si="11"/>
        <v>165.65</v>
      </c>
    </row>
    <row r="30" spans="1:19" ht="39.950000000000003" customHeight="1">
      <c r="A30" s="178">
        <f t="shared" si="12"/>
        <v>44950</v>
      </c>
      <c r="B30" s="79"/>
      <c r="C30" s="72">
        <v>102975</v>
      </c>
      <c r="D30" s="73">
        <f t="shared" si="3"/>
        <v>155</v>
      </c>
      <c r="E30" s="72">
        <v>174012</v>
      </c>
      <c r="F30" s="73">
        <f t="shared" si="4"/>
        <v>299</v>
      </c>
      <c r="G30" s="80">
        <v>917</v>
      </c>
      <c r="H30" s="167">
        <f t="shared" si="5"/>
        <v>6</v>
      </c>
      <c r="I30" s="197">
        <v>1065</v>
      </c>
      <c r="J30" s="167">
        <f t="shared" si="6"/>
        <v>27</v>
      </c>
      <c r="K30" s="72">
        <v>63607</v>
      </c>
      <c r="L30" s="73">
        <f t="shared" si="2"/>
        <v>132</v>
      </c>
      <c r="M30" s="74">
        <f t="shared" si="7"/>
        <v>72.600000000000009</v>
      </c>
      <c r="N30" s="74">
        <f t="shared" si="8"/>
        <v>59.4</v>
      </c>
      <c r="O30" s="72">
        <v>62276</v>
      </c>
      <c r="P30" s="73">
        <f t="shared" si="9"/>
        <v>100</v>
      </c>
      <c r="R30" s="195">
        <f t="shared" si="10"/>
        <v>559.6</v>
      </c>
      <c r="S30" s="195">
        <f t="shared" si="11"/>
        <v>159.4</v>
      </c>
    </row>
    <row r="31" spans="1:19" ht="39.950000000000003" customHeight="1">
      <c r="A31" s="178">
        <f t="shared" si="12"/>
        <v>44951</v>
      </c>
      <c r="B31" s="79"/>
      <c r="C31" s="72">
        <v>103154</v>
      </c>
      <c r="D31" s="73">
        <f t="shared" si="3"/>
        <v>179</v>
      </c>
      <c r="E31" s="72">
        <v>174337</v>
      </c>
      <c r="F31" s="73">
        <f t="shared" si="4"/>
        <v>325</v>
      </c>
      <c r="G31" s="80">
        <v>934</v>
      </c>
      <c r="H31" s="167">
        <f t="shared" si="5"/>
        <v>17</v>
      </c>
      <c r="I31" s="197">
        <v>1099</v>
      </c>
      <c r="J31" s="167">
        <f t="shared" si="6"/>
        <v>34</v>
      </c>
      <c r="K31" s="72">
        <v>63778</v>
      </c>
      <c r="L31" s="73">
        <f t="shared" si="2"/>
        <v>171</v>
      </c>
      <c r="M31" s="74">
        <f t="shared" si="7"/>
        <v>94.050000000000011</v>
      </c>
      <c r="N31" s="74">
        <f t="shared" si="8"/>
        <v>76.95</v>
      </c>
      <c r="O31" s="72">
        <v>62388</v>
      </c>
      <c r="P31" s="73">
        <f t="shared" si="9"/>
        <v>112</v>
      </c>
      <c r="R31" s="195">
        <f t="shared" si="10"/>
        <v>649.04999999999995</v>
      </c>
      <c r="S31" s="195">
        <f t="shared" si="11"/>
        <v>188.95</v>
      </c>
    </row>
    <row r="32" spans="1:19" ht="39.950000000000003" customHeight="1">
      <c r="A32" s="178">
        <f t="shared" si="12"/>
        <v>44952</v>
      </c>
      <c r="B32" s="79"/>
      <c r="C32" s="72">
        <v>103338</v>
      </c>
      <c r="D32" s="73">
        <f t="shared" si="3"/>
        <v>184</v>
      </c>
      <c r="E32" s="72">
        <v>174663</v>
      </c>
      <c r="F32" s="73">
        <f t="shared" si="4"/>
        <v>326</v>
      </c>
      <c r="G32" s="80">
        <v>952</v>
      </c>
      <c r="H32" s="167">
        <f t="shared" si="5"/>
        <v>18</v>
      </c>
      <c r="I32" s="197">
        <v>1128</v>
      </c>
      <c r="J32" s="167">
        <f t="shared" si="6"/>
        <v>29</v>
      </c>
      <c r="K32" s="72">
        <v>63916</v>
      </c>
      <c r="L32" s="73">
        <f t="shared" si="2"/>
        <v>138</v>
      </c>
      <c r="M32" s="74">
        <f t="shared" si="7"/>
        <v>75.900000000000006</v>
      </c>
      <c r="N32" s="74">
        <f t="shared" si="8"/>
        <v>62.1</v>
      </c>
      <c r="O32" s="72">
        <v>62500</v>
      </c>
      <c r="P32" s="73">
        <f t="shared" si="9"/>
        <v>112</v>
      </c>
      <c r="R32" s="195">
        <f t="shared" si="10"/>
        <v>632.9</v>
      </c>
      <c r="S32" s="195">
        <f t="shared" si="11"/>
        <v>174.1</v>
      </c>
    </row>
    <row r="33" spans="1:19" ht="39.950000000000003" customHeight="1">
      <c r="A33" s="178">
        <f t="shared" si="12"/>
        <v>44953</v>
      </c>
      <c r="B33" s="79"/>
      <c r="C33" s="72">
        <v>103540</v>
      </c>
      <c r="D33" s="73">
        <f t="shared" si="3"/>
        <v>202</v>
      </c>
      <c r="E33" s="72">
        <v>175003</v>
      </c>
      <c r="F33" s="73">
        <f t="shared" si="4"/>
        <v>340</v>
      </c>
      <c r="G33" s="80">
        <v>969</v>
      </c>
      <c r="H33" s="167">
        <f t="shared" si="5"/>
        <v>17</v>
      </c>
      <c r="I33" s="197">
        <v>1152</v>
      </c>
      <c r="J33" s="167">
        <f t="shared" si="6"/>
        <v>24</v>
      </c>
      <c r="K33" s="72">
        <v>64080</v>
      </c>
      <c r="L33" s="73">
        <f t="shared" si="2"/>
        <v>164</v>
      </c>
      <c r="M33" s="74">
        <f t="shared" si="7"/>
        <v>90.2</v>
      </c>
      <c r="N33" s="74">
        <f t="shared" si="8"/>
        <v>73.8</v>
      </c>
      <c r="O33" s="72">
        <v>62613</v>
      </c>
      <c r="P33" s="73">
        <f t="shared" si="9"/>
        <v>113</v>
      </c>
      <c r="R33" s="195">
        <f t="shared" si="10"/>
        <v>673.2</v>
      </c>
      <c r="S33" s="195">
        <f t="shared" si="11"/>
        <v>186.8</v>
      </c>
    </row>
    <row r="34" spans="1:19" ht="39.950000000000003" customHeight="1">
      <c r="A34" s="178">
        <f t="shared" si="12"/>
        <v>44954</v>
      </c>
      <c r="B34" s="79"/>
      <c r="C34" s="72">
        <v>103745</v>
      </c>
      <c r="D34" s="167">
        <f t="shared" si="3"/>
        <v>205</v>
      </c>
      <c r="E34" s="72">
        <v>175380</v>
      </c>
      <c r="F34" s="167">
        <f t="shared" si="4"/>
        <v>377</v>
      </c>
      <c r="G34" s="80">
        <v>984</v>
      </c>
      <c r="H34" s="167">
        <f t="shared" si="5"/>
        <v>15</v>
      </c>
      <c r="I34" s="197">
        <v>1164</v>
      </c>
      <c r="J34" s="167">
        <f t="shared" si="6"/>
        <v>12</v>
      </c>
      <c r="K34" s="72">
        <v>64254</v>
      </c>
      <c r="L34" s="167">
        <f t="shared" si="2"/>
        <v>174</v>
      </c>
      <c r="M34" s="74">
        <f t="shared" si="7"/>
        <v>95.7</v>
      </c>
      <c r="N34" s="74">
        <f t="shared" si="8"/>
        <v>78.3</v>
      </c>
      <c r="O34" s="72">
        <v>62724</v>
      </c>
      <c r="P34" s="167">
        <f t="shared" si="9"/>
        <v>111</v>
      </c>
      <c r="R34" s="195">
        <f t="shared" si="10"/>
        <v>704.7</v>
      </c>
      <c r="S34" s="195">
        <f t="shared" si="11"/>
        <v>189.3</v>
      </c>
    </row>
    <row r="35" spans="1:19" ht="39.950000000000003" customHeight="1">
      <c r="A35" s="178">
        <f t="shared" si="12"/>
        <v>44955</v>
      </c>
      <c r="B35" s="79"/>
      <c r="C35" s="72">
        <v>103951</v>
      </c>
      <c r="D35" s="167">
        <f t="shared" si="3"/>
        <v>206</v>
      </c>
      <c r="E35" s="72">
        <v>175774</v>
      </c>
      <c r="F35" s="167">
        <f t="shared" si="4"/>
        <v>394</v>
      </c>
      <c r="G35" s="80">
        <v>1002</v>
      </c>
      <c r="H35" s="167">
        <f t="shared" si="5"/>
        <v>18</v>
      </c>
      <c r="I35" s="197">
        <v>1191</v>
      </c>
      <c r="J35" s="167">
        <f t="shared" si="6"/>
        <v>27</v>
      </c>
      <c r="K35" s="72">
        <v>64421</v>
      </c>
      <c r="L35" s="167">
        <f t="shared" si="2"/>
        <v>167</v>
      </c>
      <c r="M35" s="74">
        <f t="shared" si="7"/>
        <v>91.850000000000009</v>
      </c>
      <c r="N35" s="74">
        <f t="shared" si="8"/>
        <v>75.150000000000006</v>
      </c>
      <c r="O35" s="72">
        <v>62837</v>
      </c>
      <c r="P35" s="167">
        <f t="shared" si="9"/>
        <v>113</v>
      </c>
      <c r="R35" s="195">
        <f t="shared" si="10"/>
        <v>736.85</v>
      </c>
      <c r="S35" s="195">
        <f t="shared" ref="S35" si="13">SUM(N35,P35)</f>
        <v>188.15</v>
      </c>
    </row>
    <row r="36" spans="1:19" ht="39.950000000000003" customHeight="1">
      <c r="A36" s="178">
        <f t="shared" si="12"/>
        <v>44956</v>
      </c>
      <c r="B36" s="79"/>
      <c r="C36" s="80">
        <v>104116</v>
      </c>
      <c r="D36" s="167">
        <f>(C36-C34)</f>
        <v>371</v>
      </c>
      <c r="E36" s="80">
        <v>176126</v>
      </c>
      <c r="F36" s="167">
        <f>(E36-E34)</f>
        <v>746</v>
      </c>
      <c r="G36" s="80">
        <v>1019.8012</v>
      </c>
      <c r="H36" s="167">
        <f>(G36-G34)</f>
        <v>35.801199999999994</v>
      </c>
      <c r="I36" s="197">
        <v>1209.5169800000001</v>
      </c>
      <c r="J36" s="167">
        <f>(I36-I34)</f>
        <v>45.516980000000103</v>
      </c>
      <c r="K36" s="80">
        <v>64583</v>
      </c>
      <c r="L36" s="167">
        <f>(K36-K34)</f>
        <v>329</v>
      </c>
      <c r="M36" s="74">
        <f t="shared" si="7"/>
        <v>180.95000000000002</v>
      </c>
      <c r="N36" s="74">
        <f t="shared" si="8"/>
        <v>148.05000000000001</v>
      </c>
      <c r="O36" s="80">
        <v>62946</v>
      </c>
      <c r="P36" s="167">
        <f>(O36-O34)</f>
        <v>222</v>
      </c>
      <c r="R36" s="195">
        <f t="shared" si="10"/>
        <v>1379.26818</v>
      </c>
      <c r="S36" s="195">
        <f t="shared" si="11"/>
        <v>370.05</v>
      </c>
    </row>
    <row r="37" spans="1:19" ht="39.950000000000003" customHeight="1">
      <c r="A37" s="178">
        <f t="shared" si="12"/>
        <v>44957</v>
      </c>
      <c r="B37" s="79"/>
      <c r="C37" s="80">
        <v>104262</v>
      </c>
      <c r="D37" s="167">
        <f>(C37-C35)</f>
        <v>311</v>
      </c>
      <c r="E37" s="80">
        <v>176434</v>
      </c>
      <c r="F37" s="167">
        <f>(E37-E35)</f>
        <v>660</v>
      </c>
      <c r="G37" s="80">
        <v>1041.634</v>
      </c>
      <c r="H37" s="167">
        <f>(G37-G35)</f>
        <v>39.634000000000015</v>
      </c>
      <c r="I37" s="197">
        <v>1228</v>
      </c>
      <c r="J37" s="167">
        <f>(I37-I35)</f>
        <v>37</v>
      </c>
      <c r="K37" s="80">
        <v>64731</v>
      </c>
      <c r="L37" s="167">
        <f>(K37-K35)</f>
        <v>310</v>
      </c>
      <c r="M37" s="74">
        <f t="shared" ref="M37" si="14">L37*55%</f>
        <v>170.5</v>
      </c>
      <c r="N37" s="74">
        <f t="shared" ref="N37" si="15">L37*45%</f>
        <v>139.5</v>
      </c>
      <c r="O37" s="80">
        <v>63074</v>
      </c>
      <c r="P37" s="167">
        <f>(O37-O35)</f>
        <v>237</v>
      </c>
      <c r="R37" s="195">
        <f t="shared" si="10"/>
        <v>1218.134</v>
      </c>
      <c r="S37" s="195">
        <f t="shared" ref="S37" si="16">SUM(N37,P37)</f>
        <v>376.5</v>
      </c>
    </row>
    <row r="38" spans="1:19" s="20" customFormat="1" ht="39.950000000000003" customHeight="1">
      <c r="A38" s="17"/>
      <c r="D38" s="21">
        <f>SUM(D7:D36)</f>
        <v>4979</v>
      </c>
      <c r="F38" s="21">
        <f>SUM(F7:F36)</f>
        <v>11030</v>
      </c>
      <c r="H38" s="21">
        <f>SUM(H7:H36)</f>
        <v>281.80119999999999</v>
      </c>
      <c r="I38" s="194"/>
      <c r="J38" s="21">
        <f>SUM(J7:J36)</f>
        <v>715.5169800000001</v>
      </c>
      <c r="L38" s="21">
        <f>SUM(L7:L36)</f>
        <v>4885</v>
      </c>
      <c r="M38" s="21"/>
      <c r="N38" s="21"/>
      <c r="P38" s="21">
        <f>SUM(P7:P36)</f>
        <v>3760</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S8" activePane="bottomRight" state="frozen"/>
      <selection activeCell="V61" sqref="V61"/>
      <selection pane="topRight" activeCell="V61" sqref="V61"/>
      <selection pane="bottomLeft" activeCell="V61" sqref="V61"/>
      <selection pane="bottomRight" activeCell="BA17" sqref="BA17"/>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08" t="s">
        <v>66</v>
      </c>
      <c r="D1" s="208"/>
      <c r="E1" s="208"/>
      <c r="F1" s="208"/>
      <c r="G1" s="208" t="s">
        <v>65</v>
      </c>
      <c r="H1" s="208"/>
      <c r="I1" s="208" t="s">
        <v>65</v>
      </c>
      <c r="J1" s="208"/>
      <c r="K1" s="208" t="s">
        <v>65</v>
      </c>
      <c r="L1" s="208"/>
      <c r="M1" s="208" t="s">
        <v>65</v>
      </c>
      <c r="N1" s="208"/>
      <c r="O1" s="208" t="s">
        <v>65</v>
      </c>
      <c r="P1" s="208"/>
      <c r="Q1" s="221" t="s">
        <v>65</v>
      </c>
      <c r="R1" s="222"/>
      <c r="S1" s="221" t="s">
        <v>65</v>
      </c>
      <c r="T1" s="222"/>
      <c r="U1" s="221" t="s">
        <v>65</v>
      </c>
      <c r="V1" s="222"/>
      <c r="W1" s="221" t="s">
        <v>65</v>
      </c>
      <c r="X1" s="223"/>
      <c r="Y1" s="208" t="s">
        <v>65</v>
      </c>
      <c r="Z1" s="208"/>
      <c r="AA1" s="221" t="s">
        <v>65</v>
      </c>
      <c r="AB1" s="222"/>
      <c r="AC1" s="208" t="s">
        <v>65</v>
      </c>
      <c r="AD1" s="208"/>
      <c r="AE1" s="208" t="s">
        <v>65</v>
      </c>
      <c r="AF1" s="208"/>
      <c r="AG1" s="208" t="s">
        <v>65</v>
      </c>
      <c r="AH1" s="208"/>
      <c r="AI1" s="208" t="s">
        <v>65</v>
      </c>
      <c r="AJ1" s="208"/>
      <c r="AK1" s="208" t="s">
        <v>65</v>
      </c>
      <c r="AL1" s="208"/>
      <c r="AM1" s="208" t="s">
        <v>67</v>
      </c>
      <c r="AN1" s="208"/>
      <c r="AO1" s="208" t="s">
        <v>67</v>
      </c>
      <c r="AP1" s="208"/>
      <c r="AQ1" s="208" t="s">
        <v>67</v>
      </c>
      <c r="AR1" s="208"/>
      <c r="AS1" s="208" t="s">
        <v>67</v>
      </c>
      <c r="AT1" s="208"/>
      <c r="AU1" s="208" t="s">
        <v>67</v>
      </c>
      <c r="AV1" s="208"/>
      <c r="AW1" s="208" t="s">
        <v>67</v>
      </c>
      <c r="AX1" s="208"/>
      <c r="AY1" s="208" t="s">
        <v>67</v>
      </c>
      <c r="AZ1" s="208"/>
      <c r="BA1" s="208" t="s">
        <v>67</v>
      </c>
      <c r="BB1" s="208"/>
      <c r="BC1" s="208" t="s">
        <v>67</v>
      </c>
      <c r="BD1" s="208"/>
      <c r="BE1" s="208" t="s">
        <v>67</v>
      </c>
      <c r="BF1" s="208"/>
      <c r="BH1" s="31"/>
      <c r="BI1" s="31"/>
    </row>
    <row r="2" spans="1:61" s="23" customFormat="1" ht="75.75" customHeight="1">
      <c r="A2" s="47"/>
      <c r="B2" s="47"/>
      <c r="C2" s="243" t="s">
        <v>116</v>
      </c>
      <c r="D2" s="243"/>
      <c r="E2" s="243"/>
      <c r="F2" s="243"/>
      <c r="G2" s="243" t="s">
        <v>117</v>
      </c>
      <c r="H2" s="243"/>
      <c r="I2" s="243" t="s">
        <v>118</v>
      </c>
      <c r="J2" s="243"/>
      <c r="K2" s="243" t="s">
        <v>119</v>
      </c>
      <c r="L2" s="243"/>
      <c r="M2" s="243" t="s">
        <v>120</v>
      </c>
      <c r="N2" s="243"/>
      <c r="O2" s="248" t="s">
        <v>121</v>
      </c>
      <c r="P2" s="250"/>
      <c r="Q2" s="248" t="s">
        <v>122</v>
      </c>
      <c r="R2" s="250"/>
      <c r="S2" s="248" t="s">
        <v>123</v>
      </c>
      <c r="T2" s="250"/>
      <c r="U2" s="248" t="s">
        <v>124</v>
      </c>
      <c r="V2" s="250"/>
      <c r="W2" s="248" t="s">
        <v>125</v>
      </c>
      <c r="X2" s="249"/>
      <c r="Y2" s="243" t="s">
        <v>126</v>
      </c>
      <c r="Z2" s="243"/>
      <c r="AA2" s="248" t="s">
        <v>127</v>
      </c>
      <c r="AB2" s="250"/>
      <c r="AC2" s="243" t="s">
        <v>128</v>
      </c>
      <c r="AD2" s="243"/>
      <c r="AE2" s="243" t="s">
        <v>129</v>
      </c>
      <c r="AF2" s="243"/>
      <c r="AG2" s="243" t="s">
        <v>129</v>
      </c>
      <c r="AH2" s="243"/>
      <c r="AI2" s="243" t="s">
        <v>129</v>
      </c>
      <c r="AJ2" s="243"/>
      <c r="AK2" s="243" t="s">
        <v>129</v>
      </c>
      <c r="AL2" s="243"/>
      <c r="AM2" s="243" t="s">
        <v>130</v>
      </c>
      <c r="AN2" s="243"/>
      <c r="AO2" s="243" t="s">
        <v>131</v>
      </c>
      <c r="AP2" s="243"/>
      <c r="AQ2" s="243" t="s">
        <v>132</v>
      </c>
      <c r="AR2" s="243"/>
      <c r="AS2" s="243" t="s">
        <v>132</v>
      </c>
      <c r="AT2" s="243"/>
      <c r="AU2" s="243" t="s">
        <v>133</v>
      </c>
      <c r="AV2" s="243"/>
      <c r="AW2" s="243" t="s">
        <v>134</v>
      </c>
      <c r="AX2" s="243"/>
      <c r="AY2" s="243" t="s">
        <v>135</v>
      </c>
      <c r="AZ2" s="243"/>
      <c r="BA2" s="243" t="s">
        <v>135</v>
      </c>
      <c r="BB2" s="243"/>
      <c r="BC2" s="243" t="s">
        <v>136</v>
      </c>
      <c r="BD2" s="243"/>
      <c r="BE2" s="243" t="s">
        <v>136</v>
      </c>
      <c r="BF2" s="243"/>
      <c r="BH2" s="31"/>
      <c r="BI2" s="31"/>
    </row>
    <row r="3" spans="1:61" s="10" customFormat="1" ht="87.75" customHeight="1">
      <c r="A3" s="179"/>
      <c r="B3" s="179"/>
      <c r="C3" s="236" t="s">
        <v>137</v>
      </c>
      <c r="D3" s="237"/>
      <c r="E3" s="179" t="s">
        <v>65</v>
      </c>
      <c r="F3" s="180" t="s">
        <v>67</v>
      </c>
      <c r="G3" s="240" t="s">
        <v>138</v>
      </c>
      <c r="H3" s="241"/>
      <c r="I3" s="240" t="s">
        <v>138</v>
      </c>
      <c r="J3" s="241"/>
      <c r="K3" s="240" t="s">
        <v>138</v>
      </c>
      <c r="L3" s="241"/>
      <c r="M3" s="238" t="s">
        <v>139</v>
      </c>
      <c r="N3" s="239"/>
      <c r="O3" s="240" t="s">
        <v>138</v>
      </c>
      <c r="P3" s="241"/>
      <c r="Q3" s="240" t="s">
        <v>138</v>
      </c>
      <c r="R3" s="241"/>
      <c r="S3" s="246" t="s">
        <v>138</v>
      </c>
      <c r="T3" s="247"/>
      <c r="U3" s="240" t="s">
        <v>138</v>
      </c>
      <c r="V3" s="241"/>
      <c r="W3" s="240" t="s">
        <v>138</v>
      </c>
      <c r="X3" s="241"/>
      <c r="Y3" s="242" t="s">
        <v>140</v>
      </c>
      <c r="Z3" s="241"/>
      <c r="AA3" s="240" t="s">
        <v>141</v>
      </c>
      <c r="AB3" s="241"/>
      <c r="AC3" s="240" t="s">
        <v>142</v>
      </c>
      <c r="AD3" s="241"/>
      <c r="AE3" s="240" t="s">
        <v>142</v>
      </c>
      <c r="AF3" s="241"/>
      <c r="AG3" s="242" t="s">
        <v>143</v>
      </c>
      <c r="AH3" s="241"/>
      <c r="AI3" s="240" t="s">
        <v>144</v>
      </c>
      <c r="AJ3" s="241"/>
      <c r="AK3" s="242" t="s">
        <v>145</v>
      </c>
      <c r="AL3" s="241"/>
      <c r="AM3" s="240" t="s">
        <v>146</v>
      </c>
      <c r="AN3" s="241"/>
      <c r="AO3" s="240" t="s">
        <v>146</v>
      </c>
      <c r="AP3" s="241"/>
      <c r="AQ3" s="242" t="s">
        <v>147</v>
      </c>
      <c r="AR3" s="241"/>
      <c r="AS3" s="240" t="s">
        <v>148</v>
      </c>
      <c r="AT3" s="241"/>
      <c r="AU3" s="242" t="s">
        <v>149</v>
      </c>
      <c r="AV3" s="241"/>
      <c r="AW3" s="242" t="s">
        <v>149</v>
      </c>
      <c r="AX3" s="241"/>
      <c r="AY3" s="240" t="s">
        <v>144</v>
      </c>
      <c r="AZ3" s="241"/>
      <c r="BA3" s="242" t="s">
        <v>145</v>
      </c>
      <c r="BB3" s="241"/>
      <c r="BC3" s="240" t="s">
        <v>144</v>
      </c>
      <c r="BD3" s="241"/>
      <c r="BE3" s="242" t="s">
        <v>145</v>
      </c>
      <c r="BF3" s="241"/>
      <c r="BH3" s="31"/>
      <c r="BI3" s="31"/>
    </row>
    <row r="4" spans="1:61" s="23" customFormat="1" ht="50.1" customHeight="1">
      <c r="A4" s="179"/>
      <c r="B4" s="47"/>
      <c r="C4" s="209" t="s">
        <v>150</v>
      </c>
      <c r="D4" s="211"/>
      <c r="E4" s="244" t="s">
        <v>151</v>
      </c>
      <c r="F4" s="245"/>
      <c r="G4" s="209" t="s">
        <v>152</v>
      </c>
      <c r="H4" s="211"/>
      <c r="I4" s="209" t="s">
        <v>153</v>
      </c>
      <c r="J4" s="211"/>
      <c r="K4" s="209" t="s">
        <v>154</v>
      </c>
      <c r="L4" s="211"/>
      <c r="M4" s="209">
        <v>7092801222</v>
      </c>
      <c r="N4" s="211"/>
      <c r="O4" s="209" t="s">
        <v>155</v>
      </c>
      <c r="P4" s="210"/>
      <c r="Q4" s="209" t="s">
        <v>156</v>
      </c>
      <c r="R4" s="210"/>
      <c r="S4" s="209" t="s">
        <v>157</v>
      </c>
      <c r="T4" s="210"/>
      <c r="U4" s="209" t="s">
        <v>158</v>
      </c>
      <c r="V4" s="210"/>
      <c r="W4" s="209" t="s">
        <v>159</v>
      </c>
      <c r="X4" s="211"/>
      <c r="Y4" s="209" t="s">
        <v>160</v>
      </c>
      <c r="Z4" s="211"/>
      <c r="AA4" s="209" t="s">
        <v>161</v>
      </c>
      <c r="AB4" s="210"/>
      <c r="AC4" s="209" t="s">
        <v>162</v>
      </c>
      <c r="AD4" s="211"/>
      <c r="AE4" s="209" t="s">
        <v>163</v>
      </c>
      <c r="AF4" s="211"/>
      <c r="AG4" s="209" t="s">
        <v>164</v>
      </c>
      <c r="AH4" s="211"/>
      <c r="AI4" s="209">
        <v>7105826734</v>
      </c>
      <c r="AJ4" s="211"/>
      <c r="AK4" s="209">
        <v>7105825932</v>
      </c>
      <c r="AL4" s="211"/>
      <c r="AM4" s="209" t="s">
        <v>165</v>
      </c>
      <c r="AN4" s="211"/>
      <c r="AO4" s="209" t="s">
        <v>166</v>
      </c>
      <c r="AP4" s="211"/>
      <c r="AQ4" s="209" t="s">
        <v>167</v>
      </c>
      <c r="AR4" s="211"/>
      <c r="AS4" s="209" t="s">
        <v>168</v>
      </c>
      <c r="AT4" s="211"/>
      <c r="AU4" s="209" t="s">
        <v>169</v>
      </c>
      <c r="AV4" s="211"/>
      <c r="AW4" s="209" t="s">
        <v>170</v>
      </c>
      <c r="AX4" s="211"/>
      <c r="AY4" s="209">
        <v>7111912486</v>
      </c>
      <c r="AZ4" s="211"/>
      <c r="BA4" s="209">
        <v>7111911842</v>
      </c>
      <c r="BB4" s="211"/>
      <c r="BC4" s="209">
        <v>7111913281</v>
      </c>
      <c r="BD4" s="211"/>
      <c r="BE4" s="209">
        <v>7111912723</v>
      </c>
      <c r="BF4" s="211"/>
      <c r="BH4" s="206" t="s">
        <v>81</v>
      </c>
      <c r="BI4" s="206"/>
    </row>
    <row r="5" spans="1:61" s="23" customFormat="1" ht="50.1" customHeight="1">
      <c r="A5" s="47" t="s">
        <v>171</v>
      </c>
      <c r="B5" s="47"/>
      <c r="C5" s="209" t="s">
        <v>172</v>
      </c>
      <c r="D5" s="211"/>
      <c r="E5" s="29">
        <v>0.6</v>
      </c>
      <c r="F5" s="29">
        <v>0.4</v>
      </c>
      <c r="G5" s="209" t="s">
        <v>173</v>
      </c>
      <c r="H5" s="211"/>
      <c r="I5" s="209" t="s">
        <v>174</v>
      </c>
      <c r="J5" s="211"/>
      <c r="K5" s="209" t="s">
        <v>175</v>
      </c>
      <c r="L5" s="211"/>
      <c r="M5" s="209" t="s">
        <v>176</v>
      </c>
      <c r="N5" s="211"/>
      <c r="O5" s="209" t="s">
        <v>177</v>
      </c>
      <c r="P5" s="210"/>
      <c r="Q5" s="209" t="s">
        <v>178</v>
      </c>
      <c r="R5" s="210"/>
      <c r="S5" s="209" t="s">
        <v>179</v>
      </c>
      <c r="T5" s="210"/>
      <c r="U5" s="209" t="s">
        <v>180</v>
      </c>
      <c r="V5" s="210"/>
      <c r="W5" s="209" t="s">
        <v>181</v>
      </c>
      <c r="X5" s="211"/>
      <c r="Y5" s="209" t="s">
        <v>182</v>
      </c>
      <c r="Z5" s="211"/>
      <c r="AA5" s="209" t="s">
        <v>183</v>
      </c>
      <c r="AB5" s="210"/>
      <c r="AC5" s="209" t="s">
        <v>184</v>
      </c>
      <c r="AD5" s="211"/>
      <c r="AE5" s="209" t="s">
        <v>185</v>
      </c>
      <c r="AF5" s="211"/>
      <c r="AG5" s="209" t="s">
        <v>186</v>
      </c>
      <c r="AH5" s="211"/>
      <c r="AI5" s="209" t="s">
        <v>187</v>
      </c>
      <c r="AJ5" s="211"/>
      <c r="AK5" s="209" t="s">
        <v>188</v>
      </c>
      <c r="AL5" s="211"/>
      <c r="AM5" s="209" t="s">
        <v>189</v>
      </c>
      <c r="AN5" s="211"/>
      <c r="AO5" s="209" t="s">
        <v>190</v>
      </c>
      <c r="AP5" s="211"/>
      <c r="AQ5" s="209" t="s">
        <v>191</v>
      </c>
      <c r="AR5" s="211"/>
      <c r="AS5" s="209" t="s">
        <v>192</v>
      </c>
      <c r="AT5" s="211"/>
      <c r="AU5" s="209" t="s">
        <v>193</v>
      </c>
      <c r="AV5" s="211"/>
      <c r="AW5" s="209" t="s">
        <v>194</v>
      </c>
      <c r="AX5" s="211"/>
      <c r="AY5" s="209">
        <v>744483</v>
      </c>
      <c r="AZ5" s="211"/>
      <c r="BA5" s="209">
        <v>119314</v>
      </c>
      <c r="BB5" s="211"/>
      <c r="BC5" s="209">
        <v>1053229</v>
      </c>
      <c r="BD5" s="211"/>
      <c r="BE5" s="209">
        <v>1053215</v>
      </c>
      <c r="BF5" s="211"/>
      <c r="BH5" s="206"/>
      <c r="BI5" s="206"/>
    </row>
    <row r="6" spans="1:61" s="8" customFormat="1" ht="30" customHeight="1">
      <c r="A6" s="179" t="s">
        <v>96</v>
      </c>
      <c r="B6" s="48"/>
      <c r="C6" s="215"/>
      <c r="D6" s="216"/>
      <c r="E6" s="78"/>
      <c r="F6" s="181"/>
      <c r="G6" s="179"/>
      <c r="H6" s="48"/>
      <c r="I6" s="215"/>
      <c r="J6" s="216"/>
      <c r="K6" s="215"/>
      <c r="L6" s="216"/>
      <c r="M6" s="215"/>
      <c r="N6" s="216"/>
      <c r="O6" s="215"/>
      <c r="P6" s="220"/>
      <c r="Q6" s="215"/>
      <c r="R6" s="220"/>
      <c r="S6" s="215"/>
      <c r="T6" s="220"/>
      <c r="U6" s="215"/>
      <c r="V6" s="220"/>
      <c r="W6" s="215"/>
      <c r="X6" s="216"/>
      <c r="Y6" s="215"/>
      <c r="Z6" s="216"/>
      <c r="AA6" s="215"/>
      <c r="AB6" s="220"/>
      <c r="AC6" s="215"/>
      <c r="AD6" s="216"/>
      <c r="AE6" s="215"/>
      <c r="AF6" s="216"/>
      <c r="AG6" s="215"/>
      <c r="AH6" s="216"/>
      <c r="AI6" s="215"/>
      <c r="AJ6" s="216"/>
      <c r="AK6" s="215"/>
      <c r="AL6" s="216"/>
      <c r="AM6" s="215"/>
      <c r="AN6" s="216"/>
      <c r="AO6" s="215"/>
      <c r="AP6" s="216"/>
      <c r="AQ6" s="215"/>
      <c r="AR6" s="216"/>
      <c r="AS6" s="215"/>
      <c r="AT6" s="216"/>
      <c r="AU6" s="215"/>
      <c r="AV6" s="216"/>
      <c r="AW6" s="215"/>
      <c r="AX6" s="216"/>
      <c r="AY6" s="215"/>
      <c r="AZ6" s="216"/>
      <c r="BA6" s="215"/>
      <c r="BB6" s="216"/>
      <c r="BC6" s="215"/>
      <c r="BD6" s="216"/>
      <c r="BE6" s="215"/>
      <c r="BF6" s="216"/>
      <c r="BH6" s="31"/>
      <c r="BI6" s="31"/>
    </row>
    <row r="7" spans="1:61" s="10" customFormat="1" ht="50.1" customHeight="1">
      <c r="A7" s="179" t="s">
        <v>99</v>
      </c>
      <c r="B7" s="179"/>
      <c r="C7" s="183" t="s">
        <v>114</v>
      </c>
      <c r="D7" s="183" t="s">
        <v>195</v>
      </c>
      <c r="E7" s="183" t="s">
        <v>195</v>
      </c>
      <c r="F7" s="183" t="s">
        <v>195</v>
      </c>
      <c r="G7" s="183" t="s">
        <v>114</v>
      </c>
      <c r="H7" s="183" t="s">
        <v>195</v>
      </c>
      <c r="I7" s="183" t="s">
        <v>114</v>
      </c>
      <c r="J7" s="183" t="s">
        <v>195</v>
      </c>
      <c r="K7" s="183" t="s">
        <v>114</v>
      </c>
      <c r="L7" s="183" t="s">
        <v>195</v>
      </c>
      <c r="M7" s="183" t="s">
        <v>114</v>
      </c>
      <c r="N7" s="183" t="s">
        <v>195</v>
      </c>
      <c r="O7" s="183" t="s">
        <v>114</v>
      </c>
      <c r="P7" s="183" t="s">
        <v>195</v>
      </c>
      <c r="Q7" s="183" t="s">
        <v>114</v>
      </c>
      <c r="R7" s="183" t="s">
        <v>195</v>
      </c>
      <c r="S7" s="183" t="s">
        <v>114</v>
      </c>
      <c r="T7" s="183" t="s">
        <v>195</v>
      </c>
      <c r="U7" s="183" t="s">
        <v>114</v>
      </c>
      <c r="V7" s="183" t="s">
        <v>195</v>
      </c>
      <c r="W7" s="183" t="s">
        <v>114</v>
      </c>
      <c r="X7" s="183" t="s">
        <v>195</v>
      </c>
      <c r="Y7" s="183" t="s">
        <v>114</v>
      </c>
      <c r="Z7" s="183" t="s">
        <v>195</v>
      </c>
      <c r="AA7" s="183" t="s">
        <v>114</v>
      </c>
      <c r="AB7" s="183" t="s">
        <v>195</v>
      </c>
      <c r="AC7" s="183" t="s">
        <v>114</v>
      </c>
      <c r="AD7" s="183" t="s">
        <v>195</v>
      </c>
      <c r="AE7" s="13" t="s">
        <v>114</v>
      </c>
      <c r="AF7" s="183" t="s">
        <v>195</v>
      </c>
      <c r="AG7" s="13" t="s">
        <v>114</v>
      </c>
      <c r="AH7" s="183" t="s">
        <v>195</v>
      </c>
      <c r="AI7" s="13" t="s">
        <v>114</v>
      </c>
      <c r="AJ7" s="183" t="s">
        <v>195</v>
      </c>
      <c r="AK7" s="13" t="s">
        <v>114</v>
      </c>
      <c r="AL7" s="183" t="s">
        <v>195</v>
      </c>
      <c r="AM7" s="13" t="s">
        <v>114</v>
      </c>
      <c r="AN7" s="183" t="s">
        <v>195</v>
      </c>
      <c r="AO7" s="13" t="s">
        <v>114</v>
      </c>
      <c r="AP7" s="183" t="s">
        <v>195</v>
      </c>
      <c r="AQ7" s="13" t="s">
        <v>114</v>
      </c>
      <c r="AR7" s="183" t="s">
        <v>195</v>
      </c>
      <c r="AS7" s="13" t="s">
        <v>114</v>
      </c>
      <c r="AT7" s="183" t="s">
        <v>195</v>
      </c>
      <c r="AU7" s="13" t="s">
        <v>114</v>
      </c>
      <c r="AV7" s="183" t="s">
        <v>195</v>
      </c>
      <c r="AW7" s="13" t="s">
        <v>114</v>
      </c>
      <c r="AX7" s="183" t="s">
        <v>195</v>
      </c>
      <c r="AY7" s="13" t="s">
        <v>114</v>
      </c>
      <c r="AZ7" s="183" t="s">
        <v>195</v>
      </c>
      <c r="BA7" s="13" t="s">
        <v>114</v>
      </c>
      <c r="BB7" s="183" t="s">
        <v>195</v>
      </c>
      <c r="BC7" s="13" t="s">
        <v>114</v>
      </c>
      <c r="BD7" s="183" t="s">
        <v>195</v>
      </c>
      <c r="BE7" s="13" t="s">
        <v>114</v>
      </c>
      <c r="BF7" s="183" t="s">
        <v>195</v>
      </c>
      <c r="BH7" s="179" t="s">
        <v>65</v>
      </c>
      <c r="BI7" s="179" t="s">
        <v>67</v>
      </c>
    </row>
    <row r="8" spans="1:61" s="34" customFormat="1" ht="39.950000000000003" customHeight="1">
      <c r="A8" s="178">
        <v>44926</v>
      </c>
      <c r="B8" s="33"/>
      <c r="C8" s="76">
        <v>7462173</v>
      </c>
      <c r="D8" s="100"/>
      <c r="E8" s="101"/>
      <c r="F8" s="100"/>
      <c r="G8" s="76">
        <v>304969</v>
      </c>
      <c r="H8" s="100"/>
      <c r="I8" s="76">
        <v>224230</v>
      </c>
      <c r="J8" s="100"/>
      <c r="K8" s="76">
        <v>279197</v>
      </c>
      <c r="L8" s="100"/>
      <c r="M8" s="76">
        <v>25835</v>
      </c>
      <c r="N8" s="100"/>
      <c r="O8" s="76">
        <v>374253</v>
      </c>
      <c r="P8" s="100"/>
      <c r="Q8" s="76">
        <v>494472</v>
      </c>
      <c r="R8" s="100"/>
      <c r="S8" s="76">
        <v>794856</v>
      </c>
      <c r="T8" s="100"/>
      <c r="U8" s="80">
        <v>9324</v>
      </c>
      <c r="V8" s="100"/>
      <c r="W8" s="76">
        <v>88170</v>
      </c>
      <c r="X8" s="100"/>
      <c r="Y8" s="76">
        <v>1542655</v>
      </c>
      <c r="Z8" s="100"/>
      <c r="AA8" s="76">
        <v>14200</v>
      </c>
      <c r="AB8" s="100"/>
      <c r="AC8" s="76">
        <v>529175</v>
      </c>
      <c r="AD8" s="100"/>
      <c r="AE8" s="76">
        <v>600212</v>
      </c>
      <c r="AF8" s="100"/>
      <c r="AG8" s="76">
        <v>49813</v>
      </c>
      <c r="AH8" s="100"/>
      <c r="AI8" s="76">
        <v>468408</v>
      </c>
      <c r="AJ8" s="100"/>
      <c r="AK8" s="76">
        <v>102836</v>
      </c>
      <c r="AL8" s="100"/>
      <c r="AM8" s="76">
        <v>634557</v>
      </c>
      <c r="AN8" s="100"/>
      <c r="AO8" s="76">
        <v>26654</v>
      </c>
      <c r="AP8" s="100"/>
      <c r="AQ8" s="76">
        <v>7408</v>
      </c>
      <c r="AR8" s="100"/>
      <c r="AS8" s="76">
        <v>2526</v>
      </c>
      <c r="AT8" s="100"/>
      <c r="AU8" s="76">
        <v>939</v>
      </c>
      <c r="AV8" s="100"/>
      <c r="AW8" s="76">
        <v>3110</v>
      </c>
      <c r="AX8" s="100"/>
      <c r="AY8" s="76">
        <v>368782</v>
      </c>
      <c r="AZ8" s="100"/>
      <c r="BA8" s="75">
        <v>161101</v>
      </c>
      <c r="BB8" s="100"/>
      <c r="BC8" s="76">
        <v>248158</v>
      </c>
      <c r="BD8" s="100"/>
      <c r="BE8" s="76">
        <v>5350</v>
      </c>
      <c r="BF8" s="100"/>
      <c r="BH8" s="102"/>
      <c r="BI8" s="102"/>
    </row>
    <row r="9" spans="1:61" s="27" customFormat="1" ht="39.950000000000003" customHeight="1">
      <c r="A9" s="178">
        <v>44927</v>
      </c>
      <c r="B9" s="26"/>
      <c r="C9" s="76">
        <v>7466150</v>
      </c>
      <c r="D9" s="36">
        <f t="shared" ref="D9:D11" si="0">(+C9-+C8)*48</f>
        <v>190896</v>
      </c>
      <c r="E9" s="101">
        <v>70157</v>
      </c>
      <c r="F9" s="100">
        <f>D9*F5</f>
        <v>76358.400000000009</v>
      </c>
      <c r="G9" s="76">
        <v>305008</v>
      </c>
      <c r="H9" s="36">
        <f t="shared" ref="H9:N38" si="1">(+G9-+G8)*48</f>
        <v>1872</v>
      </c>
      <c r="I9" s="76">
        <v>224399</v>
      </c>
      <c r="J9" s="36">
        <f t="shared" si="1"/>
        <v>8112</v>
      </c>
      <c r="K9" s="76">
        <v>279210</v>
      </c>
      <c r="L9" s="36">
        <f t="shared" si="1"/>
        <v>624</v>
      </c>
      <c r="M9" s="76">
        <v>25836</v>
      </c>
      <c r="N9" s="36">
        <f>(+M9-+M8)*48</f>
        <v>48</v>
      </c>
      <c r="O9" s="76">
        <v>374485</v>
      </c>
      <c r="P9" s="36">
        <f>(+O9-+O8)*48</f>
        <v>11136</v>
      </c>
      <c r="Q9" s="76">
        <v>494541</v>
      </c>
      <c r="R9" s="36">
        <f>(+Q9-+Q8)*48</f>
        <v>3312</v>
      </c>
      <c r="S9" s="76">
        <v>794980</v>
      </c>
      <c r="T9" s="36">
        <f>(+S9-+S8)*48</f>
        <v>5952</v>
      </c>
      <c r="U9" s="80">
        <v>9359</v>
      </c>
      <c r="V9" s="100">
        <f>(+U9-+U8)*48</f>
        <v>1680</v>
      </c>
      <c r="W9" s="76">
        <v>88179</v>
      </c>
      <c r="X9" s="36">
        <f>(+W9-+W8)*48</f>
        <v>432</v>
      </c>
      <c r="Y9" s="76">
        <v>1542712</v>
      </c>
      <c r="Z9" s="36">
        <f>(+Y9-+Y8)*48</f>
        <v>2736</v>
      </c>
      <c r="AA9" s="76">
        <v>14205</v>
      </c>
      <c r="AB9" s="36">
        <f>(+AA9-+AA8)*48</f>
        <v>240</v>
      </c>
      <c r="AC9" s="76">
        <v>529284</v>
      </c>
      <c r="AD9" s="36">
        <f>(+AC9-+AC8)*48</f>
        <v>5232</v>
      </c>
      <c r="AE9" s="76">
        <v>600255</v>
      </c>
      <c r="AF9" s="36">
        <f>(+AE9-+AE8)*48</f>
        <v>2064</v>
      </c>
      <c r="AG9" s="76">
        <v>49813</v>
      </c>
      <c r="AH9" s="36">
        <f>(+AG9-+AG8)*48</f>
        <v>0</v>
      </c>
      <c r="AI9" s="76">
        <v>468527</v>
      </c>
      <c r="AJ9" s="36">
        <f>(+AI9-+AI8)*48</f>
        <v>5712</v>
      </c>
      <c r="AK9" s="76">
        <v>102838</v>
      </c>
      <c r="AL9" s="36">
        <f>(+AK9-+AK8)*48</f>
        <v>96</v>
      </c>
      <c r="AM9" s="76">
        <v>634652</v>
      </c>
      <c r="AN9" s="36">
        <f>(+AM9-+AM8)*48</f>
        <v>4560</v>
      </c>
      <c r="AO9" s="76">
        <v>26693</v>
      </c>
      <c r="AP9" s="36">
        <f>(+AO9-+AO8)*48</f>
        <v>1872</v>
      </c>
      <c r="AQ9" s="76">
        <v>7696</v>
      </c>
      <c r="AR9" s="36">
        <f>(+AQ9-+AQ8)*48</f>
        <v>13824</v>
      </c>
      <c r="AS9" s="76">
        <v>2526</v>
      </c>
      <c r="AT9" s="36">
        <f>(+AS9-+AS8)*48</f>
        <v>0</v>
      </c>
      <c r="AU9" s="76">
        <v>939</v>
      </c>
      <c r="AV9" s="36">
        <f>(+AU9-+AU8)*48</f>
        <v>0</v>
      </c>
      <c r="AW9" s="76">
        <v>3110</v>
      </c>
      <c r="AX9" s="36">
        <f>(+AW9-+AW8)*48</f>
        <v>0</v>
      </c>
      <c r="AY9" s="76">
        <v>368900</v>
      </c>
      <c r="AZ9" s="36">
        <f>(+AY9-+AY8)*48</f>
        <v>5664</v>
      </c>
      <c r="BA9" s="75">
        <v>161101</v>
      </c>
      <c r="BB9" s="36">
        <f>(+BA9-+BA8)*48</f>
        <v>0</v>
      </c>
      <c r="BC9" s="76">
        <v>248233</v>
      </c>
      <c r="BD9" s="36">
        <f>(+BC9-+BC8)*48</f>
        <v>3600</v>
      </c>
      <c r="BE9" s="76">
        <v>5350</v>
      </c>
      <c r="BF9" s="36">
        <f>(+BE9-+BE8)*48</f>
        <v>0</v>
      </c>
      <c r="BH9" s="102">
        <f t="shared" ref="BH9:BH38" si="2">SUM(E9,J9,P9,H9,L9,R9,T9,V9,X9,N9,AB9,Z9,AD9,AF9,AH9,AL9,AJ9)</f>
        <v>119405</v>
      </c>
      <c r="BI9" s="102">
        <f t="shared" ref="BI9:BI38" si="3">SUM(F9,AN9,AP9,AT9,AV9,AX9,AR9,AZ9,BB9,BD9,BF9)</f>
        <v>105878.40000000001</v>
      </c>
    </row>
    <row r="10" spans="1:61" s="27" customFormat="1" ht="39.950000000000003" customHeight="1">
      <c r="A10" s="178">
        <f>SUM(A9+1)</f>
        <v>44928</v>
      </c>
      <c r="B10" s="26"/>
      <c r="C10" s="76">
        <v>7469526</v>
      </c>
      <c r="D10" s="36">
        <f t="shared" si="0"/>
        <v>162048</v>
      </c>
      <c r="E10" s="101">
        <f>D10*E5</f>
        <v>97228.800000000003</v>
      </c>
      <c r="F10" s="100">
        <f>D10*F5</f>
        <v>64819.200000000004</v>
      </c>
      <c r="G10" s="76">
        <v>305043</v>
      </c>
      <c r="H10" s="36">
        <f t="shared" si="1"/>
        <v>1680</v>
      </c>
      <c r="I10" s="76">
        <v>224571</v>
      </c>
      <c r="J10" s="36">
        <f t="shared" si="1"/>
        <v>8256</v>
      </c>
      <c r="K10" s="76">
        <v>279224</v>
      </c>
      <c r="L10" s="36">
        <f t="shared" si="1"/>
        <v>672</v>
      </c>
      <c r="M10" s="76">
        <v>25836</v>
      </c>
      <c r="N10" s="36">
        <f t="shared" ref="N10" si="4">(+M10-+M8)*48</f>
        <v>48</v>
      </c>
      <c r="O10" s="76">
        <v>374693</v>
      </c>
      <c r="P10" s="36">
        <f>(+O10-+O9)*48</f>
        <v>9984</v>
      </c>
      <c r="Q10" s="76">
        <v>494623</v>
      </c>
      <c r="R10" s="36">
        <f>(+Q10-+Q9)*48</f>
        <v>3936</v>
      </c>
      <c r="S10" s="76">
        <v>795101</v>
      </c>
      <c r="T10" s="36">
        <f>(+S10-+S9)*48</f>
        <v>5808</v>
      </c>
      <c r="U10" s="80">
        <v>9380</v>
      </c>
      <c r="V10" s="100">
        <f>(+U10-+U9)*48</f>
        <v>1008</v>
      </c>
      <c r="W10" s="76">
        <v>88196</v>
      </c>
      <c r="X10" s="36">
        <f>(+W10-+W9)*48</f>
        <v>816</v>
      </c>
      <c r="Y10" s="76">
        <v>1543765</v>
      </c>
      <c r="Z10" s="36">
        <f>(+Y10-+Y9)*48</f>
        <v>50544</v>
      </c>
      <c r="AA10" s="76">
        <v>14219</v>
      </c>
      <c r="AB10" s="36">
        <f>(+AA10-+AA9)*48</f>
        <v>672</v>
      </c>
      <c r="AC10" s="76">
        <v>529406</v>
      </c>
      <c r="AD10" s="36">
        <f>(+AC10-+AC9)*48</f>
        <v>5856</v>
      </c>
      <c r="AE10" s="76">
        <v>600311</v>
      </c>
      <c r="AF10" s="36">
        <f>(+AE10-+AE9)*48</f>
        <v>2688</v>
      </c>
      <c r="AG10" s="76">
        <v>49813</v>
      </c>
      <c r="AH10" s="36">
        <f>(+AG10-+AG9)*48</f>
        <v>0</v>
      </c>
      <c r="AI10" s="76">
        <v>468642</v>
      </c>
      <c r="AJ10" s="36">
        <f>(+AI10-+AI9)*48</f>
        <v>5520</v>
      </c>
      <c r="AK10" s="76">
        <v>102844</v>
      </c>
      <c r="AL10" s="36">
        <f>(+AK10-+AK9)*48</f>
        <v>288</v>
      </c>
      <c r="AM10" s="76">
        <v>634740</v>
      </c>
      <c r="AN10" s="36">
        <f>(+AM10-+AM9)*48</f>
        <v>4224</v>
      </c>
      <c r="AO10" s="76">
        <v>26738</v>
      </c>
      <c r="AP10" s="36">
        <f>(+AO10-+AO9)*48</f>
        <v>2160</v>
      </c>
      <c r="AQ10" s="76">
        <v>7948</v>
      </c>
      <c r="AR10" s="36">
        <f>(+AQ10-+AQ9)*48</f>
        <v>12096</v>
      </c>
      <c r="AS10" s="76">
        <v>2527</v>
      </c>
      <c r="AT10" s="36">
        <f>(+AS10-+AS9)*48</f>
        <v>48</v>
      </c>
      <c r="AU10" s="76">
        <v>939</v>
      </c>
      <c r="AV10" s="36">
        <f>(+AU10-+AU9)*48</f>
        <v>0</v>
      </c>
      <c r="AW10" s="76">
        <v>3110</v>
      </c>
      <c r="AX10" s="36">
        <f>(+AW10-+AW9)*48</f>
        <v>0</v>
      </c>
      <c r="AY10" s="76">
        <v>369002</v>
      </c>
      <c r="AZ10" s="36">
        <f>(+AY10-+AY9)*48</f>
        <v>4896</v>
      </c>
      <c r="BA10" s="75">
        <v>161101</v>
      </c>
      <c r="BB10" s="36">
        <f>(+BA10-+BA9)*48</f>
        <v>0</v>
      </c>
      <c r="BC10" s="76">
        <v>248293</v>
      </c>
      <c r="BD10" s="36">
        <f>(+BC10-+BC9)*48</f>
        <v>2880</v>
      </c>
      <c r="BE10" s="76">
        <v>5350</v>
      </c>
      <c r="BF10" s="36">
        <f>(+BE10-+BE9)*48</f>
        <v>0</v>
      </c>
      <c r="BH10" s="102">
        <f t="shared" ref="BH10" si="5">SUM(E10,J10,P10,H10,L10,R10,T10,V10,X10,N10,AB10,Z10,AD10,AF10,AH10,AL10,AJ10)</f>
        <v>195004.79999999999</v>
      </c>
      <c r="BI10" s="102">
        <f t="shared" ref="BI10" si="6">SUM(F10,AN10,AP10,AT10,AV10,AX10,AR10,AZ10,BB10,BD10,BF10)</f>
        <v>91123.200000000012</v>
      </c>
    </row>
    <row r="11" spans="1:61" s="34" customFormat="1" ht="39.950000000000003" customHeight="1">
      <c r="A11" s="178">
        <f t="shared" ref="A11:A39" si="7">SUM(A10+1)</f>
        <v>44929</v>
      </c>
      <c r="B11" s="33"/>
      <c r="C11" s="75">
        <v>7472738</v>
      </c>
      <c r="D11" s="36">
        <f t="shared" si="0"/>
        <v>154176</v>
      </c>
      <c r="E11" s="101">
        <f>D11*E5</f>
        <v>92505.599999999991</v>
      </c>
      <c r="F11" s="100">
        <f>D11*F5</f>
        <v>61670.400000000001</v>
      </c>
      <c r="G11" s="75">
        <v>305082</v>
      </c>
      <c r="H11" s="36">
        <f t="shared" si="1"/>
        <v>1872</v>
      </c>
      <c r="I11" s="75">
        <v>224726</v>
      </c>
      <c r="J11" s="36">
        <f t="shared" si="1"/>
        <v>7440</v>
      </c>
      <c r="K11" s="75">
        <v>279236</v>
      </c>
      <c r="L11" s="36">
        <f t="shared" si="1"/>
        <v>576</v>
      </c>
      <c r="M11" s="76">
        <v>25836</v>
      </c>
      <c r="N11" s="36">
        <f>(+M11-+M9)*48</f>
        <v>0</v>
      </c>
      <c r="O11" s="75">
        <v>374895</v>
      </c>
      <c r="P11" s="36">
        <f>(+O11-+O9)*48</f>
        <v>19680</v>
      </c>
      <c r="Q11" s="75">
        <v>494686</v>
      </c>
      <c r="R11" s="36">
        <f>(+Q11-+Q9)*48</f>
        <v>6960</v>
      </c>
      <c r="S11" s="75">
        <v>795224</v>
      </c>
      <c r="T11" s="36">
        <f>(+S11-+S9)*48</f>
        <v>11712</v>
      </c>
      <c r="U11" s="75">
        <v>9403</v>
      </c>
      <c r="V11" s="100">
        <f>(+U11-+U9)*48</f>
        <v>2112</v>
      </c>
      <c r="W11" s="75">
        <v>88196</v>
      </c>
      <c r="X11" s="36">
        <f t="shared" ref="X11:X38" si="8">(+W11-+W10)*48</f>
        <v>0</v>
      </c>
      <c r="Y11" s="75">
        <v>1544216</v>
      </c>
      <c r="Z11" s="36">
        <f>(+Y11-+Y9)*48</f>
        <v>72192</v>
      </c>
      <c r="AA11" s="76">
        <v>14229</v>
      </c>
      <c r="AB11" s="36">
        <f>(+AA11-+AA9)*48</f>
        <v>1152</v>
      </c>
      <c r="AC11" s="75">
        <v>529539</v>
      </c>
      <c r="AD11" s="36">
        <f t="shared" ref="AD11:AF37" si="9">(+AC11-+AC10)*48</f>
        <v>6384</v>
      </c>
      <c r="AE11" s="75">
        <v>600391</v>
      </c>
      <c r="AF11" s="36">
        <f t="shared" si="9"/>
        <v>3840</v>
      </c>
      <c r="AG11" s="76">
        <v>49813</v>
      </c>
      <c r="AH11" s="36">
        <f>(+AG11-+AG9)*48</f>
        <v>0</v>
      </c>
      <c r="AI11" s="75">
        <v>468772</v>
      </c>
      <c r="AJ11" s="36">
        <f t="shared" ref="AJ11:AJ38" si="10">(+AI11-+AI10)*48</f>
        <v>6240</v>
      </c>
      <c r="AK11" s="76">
        <v>102846</v>
      </c>
      <c r="AL11" s="36">
        <f>(+AK11-+AK9)*48</f>
        <v>384</v>
      </c>
      <c r="AM11" s="75">
        <v>634840</v>
      </c>
      <c r="AN11" s="36">
        <f t="shared" ref="AN11:AN38" si="11">(+AM11-+AM10)*48</f>
        <v>4800</v>
      </c>
      <c r="AO11" s="75">
        <v>26802</v>
      </c>
      <c r="AP11" s="36">
        <f t="shared" ref="AP11:AP38" si="12">(+AO11-+AO10)*48</f>
        <v>3072</v>
      </c>
      <c r="AQ11" s="75">
        <v>8220</v>
      </c>
      <c r="AR11" s="36">
        <f t="shared" ref="AR11:AR14" si="13">(+AQ11-+AQ10)*48</f>
        <v>13056</v>
      </c>
      <c r="AS11" s="76">
        <v>2530</v>
      </c>
      <c r="AT11" s="36">
        <f>(+AS11-+AS9)*48</f>
        <v>192</v>
      </c>
      <c r="AU11" s="76">
        <v>939</v>
      </c>
      <c r="AV11" s="36">
        <f>(+AU11-+AU9)*48</f>
        <v>0</v>
      </c>
      <c r="AW11" s="76">
        <v>3110</v>
      </c>
      <c r="AX11" s="36">
        <f>(+AW11-+AW9)*48</f>
        <v>0</v>
      </c>
      <c r="AY11" s="75">
        <v>369106</v>
      </c>
      <c r="AZ11" s="36">
        <f t="shared" ref="AZ11:AZ26" si="14">(+AY11-+AY10)*48</f>
        <v>4992</v>
      </c>
      <c r="BA11" s="75">
        <v>161101</v>
      </c>
      <c r="BB11" s="36">
        <f>(+BA11-+BA9)*48</f>
        <v>0</v>
      </c>
      <c r="BC11" s="75">
        <v>248356</v>
      </c>
      <c r="BD11" s="36">
        <f>(+BC11-+BC9)*48</f>
        <v>5904</v>
      </c>
      <c r="BE11" s="76">
        <v>5350</v>
      </c>
      <c r="BF11" s="36">
        <f>(+BE11-+BE9)*48</f>
        <v>0</v>
      </c>
      <c r="BH11" s="102">
        <f t="shared" si="2"/>
        <v>233049.59999999998</v>
      </c>
      <c r="BI11" s="102">
        <f t="shared" si="3"/>
        <v>93686.399999999994</v>
      </c>
    </row>
    <row r="12" spans="1:61" s="34" customFormat="1" ht="39.950000000000003" customHeight="1">
      <c r="A12" s="178">
        <f t="shared" si="7"/>
        <v>44930</v>
      </c>
      <c r="B12" s="33"/>
      <c r="C12" s="76">
        <v>7476175</v>
      </c>
      <c r="D12" s="36">
        <f t="shared" ref="D12:D38" si="15">(+C12-+C11)*48</f>
        <v>164976</v>
      </c>
      <c r="E12" s="101">
        <f>D12*E5</f>
        <v>98985.599999999991</v>
      </c>
      <c r="F12" s="100">
        <f>D12*F5</f>
        <v>65990.400000000009</v>
      </c>
      <c r="G12" s="76">
        <v>305120</v>
      </c>
      <c r="H12" s="36">
        <f t="shared" si="1"/>
        <v>1824</v>
      </c>
      <c r="I12" s="76">
        <v>224886</v>
      </c>
      <c r="J12" s="36">
        <f t="shared" si="1"/>
        <v>7680</v>
      </c>
      <c r="K12" s="76">
        <v>279252</v>
      </c>
      <c r="L12" s="36">
        <f t="shared" si="1"/>
        <v>768</v>
      </c>
      <c r="M12" s="76">
        <v>25836</v>
      </c>
      <c r="N12" s="36">
        <f t="shared" si="1"/>
        <v>0</v>
      </c>
      <c r="O12" s="76">
        <v>375090</v>
      </c>
      <c r="P12" s="36">
        <f t="shared" ref="P12:P38" si="16">(+O12-+O11)*48</f>
        <v>9360</v>
      </c>
      <c r="Q12" s="76">
        <v>494753</v>
      </c>
      <c r="R12" s="36">
        <f t="shared" ref="R12:R38" si="17">(+Q12-+Q11)*48</f>
        <v>3216</v>
      </c>
      <c r="S12" s="76">
        <v>795371</v>
      </c>
      <c r="T12" s="36">
        <f t="shared" ref="T12:T38" si="18">(+S12-+S11)*48</f>
        <v>7056</v>
      </c>
      <c r="U12" s="80">
        <v>9422</v>
      </c>
      <c r="V12" s="100">
        <f t="shared" ref="V12:V14" si="19">(+U12-+U11)*48</f>
        <v>912</v>
      </c>
      <c r="W12" s="76">
        <v>88213</v>
      </c>
      <c r="X12" s="36">
        <f t="shared" si="8"/>
        <v>816</v>
      </c>
      <c r="Y12" s="75">
        <v>1544724</v>
      </c>
      <c r="Z12" s="36">
        <f t="shared" ref="Z12:Z35" si="20">(+Y12-+Y11)*48</f>
        <v>24384</v>
      </c>
      <c r="AA12" s="76">
        <v>14238</v>
      </c>
      <c r="AB12" s="36">
        <f t="shared" ref="AB12:AB38" si="21">(+AA12-+AA11)*48</f>
        <v>432</v>
      </c>
      <c r="AC12" s="76">
        <v>529684</v>
      </c>
      <c r="AD12" s="36">
        <f t="shared" si="9"/>
        <v>6960</v>
      </c>
      <c r="AE12" s="76">
        <v>600473</v>
      </c>
      <c r="AF12" s="36">
        <f t="shared" si="9"/>
        <v>3936</v>
      </c>
      <c r="AG12" s="76">
        <v>49813</v>
      </c>
      <c r="AH12" s="36">
        <f t="shared" ref="AH12:AH37" si="22">(+AG12-+AG11)*48</f>
        <v>0</v>
      </c>
      <c r="AI12" s="76">
        <v>468880</v>
      </c>
      <c r="AJ12" s="36">
        <f t="shared" si="10"/>
        <v>5184</v>
      </c>
      <c r="AK12" s="76">
        <v>102847</v>
      </c>
      <c r="AL12" s="36">
        <f t="shared" ref="AL12:AL38" si="23">(+AK12-+AK11)*48</f>
        <v>48</v>
      </c>
      <c r="AM12" s="76">
        <v>634950</v>
      </c>
      <c r="AN12" s="36">
        <f t="shared" si="11"/>
        <v>5280</v>
      </c>
      <c r="AO12" s="76">
        <v>26867</v>
      </c>
      <c r="AP12" s="36">
        <f t="shared" si="12"/>
        <v>3120</v>
      </c>
      <c r="AQ12" s="76">
        <v>8473</v>
      </c>
      <c r="AR12" s="36">
        <f t="shared" si="13"/>
        <v>12144</v>
      </c>
      <c r="AS12" s="76">
        <v>2530</v>
      </c>
      <c r="AT12" s="36">
        <f>(+AS12-+AS10)*48</f>
        <v>144</v>
      </c>
      <c r="AU12" s="76">
        <v>939</v>
      </c>
      <c r="AV12" s="36">
        <f>(+AU12-+AU11)*48</f>
        <v>0</v>
      </c>
      <c r="AW12" s="76">
        <v>3110</v>
      </c>
      <c r="AX12" s="36">
        <f t="shared" ref="AX12:AX33" si="24">(+AW12-+AW11)*48</f>
        <v>0</v>
      </c>
      <c r="AY12" s="76">
        <v>369216</v>
      </c>
      <c r="AZ12" s="36">
        <f t="shared" si="14"/>
        <v>5280</v>
      </c>
      <c r="BA12" s="75">
        <v>161101</v>
      </c>
      <c r="BB12" s="36">
        <f>(+BA12-+BA11)*48</f>
        <v>0</v>
      </c>
      <c r="BC12" s="76">
        <v>248430</v>
      </c>
      <c r="BD12" s="36">
        <f t="shared" ref="BD12:BD38" si="25">(+BC12-+BC11)*48</f>
        <v>3552</v>
      </c>
      <c r="BE12" s="76">
        <v>5350</v>
      </c>
      <c r="BF12" s="36">
        <f t="shared" ref="BF12:BF38" si="26">(+BE12-+BE11)*48</f>
        <v>0</v>
      </c>
      <c r="BH12" s="102">
        <f t="shared" si="2"/>
        <v>171561.59999999998</v>
      </c>
      <c r="BI12" s="102">
        <f t="shared" si="3"/>
        <v>95510.400000000009</v>
      </c>
    </row>
    <row r="13" spans="1:61" s="34" customFormat="1" ht="39.950000000000003" customHeight="1">
      <c r="A13" s="178">
        <f t="shared" si="7"/>
        <v>44931</v>
      </c>
      <c r="B13" s="33"/>
      <c r="C13" s="76">
        <v>7479559</v>
      </c>
      <c r="D13" s="36">
        <f t="shared" si="15"/>
        <v>162432</v>
      </c>
      <c r="E13" s="101">
        <f>D13*E5</f>
        <v>97459.199999999997</v>
      </c>
      <c r="F13" s="100">
        <f>D13*F5</f>
        <v>64972.800000000003</v>
      </c>
      <c r="G13" s="76">
        <v>305157</v>
      </c>
      <c r="H13" s="36">
        <f t="shared" si="1"/>
        <v>1776</v>
      </c>
      <c r="I13" s="76">
        <v>225061</v>
      </c>
      <c r="J13" s="36">
        <f t="shared" si="1"/>
        <v>8400</v>
      </c>
      <c r="K13" s="76">
        <v>279310</v>
      </c>
      <c r="L13" s="36">
        <f t="shared" si="1"/>
        <v>2784</v>
      </c>
      <c r="M13" s="76">
        <v>25836</v>
      </c>
      <c r="N13" s="36">
        <f t="shared" si="1"/>
        <v>0</v>
      </c>
      <c r="O13" s="76">
        <v>375289</v>
      </c>
      <c r="P13" s="36">
        <f t="shared" si="16"/>
        <v>9552</v>
      </c>
      <c r="Q13" s="76">
        <v>494838</v>
      </c>
      <c r="R13" s="36">
        <f t="shared" si="17"/>
        <v>4080</v>
      </c>
      <c r="S13" s="76">
        <v>795498</v>
      </c>
      <c r="T13" s="36">
        <f t="shared" si="18"/>
        <v>6096</v>
      </c>
      <c r="U13" s="80">
        <v>9443</v>
      </c>
      <c r="V13" s="100">
        <f t="shared" si="19"/>
        <v>1008</v>
      </c>
      <c r="W13" s="76">
        <v>88229</v>
      </c>
      <c r="X13" s="36">
        <f t="shared" si="8"/>
        <v>768</v>
      </c>
      <c r="Y13" s="76">
        <v>1545236</v>
      </c>
      <c r="Z13" s="36">
        <f t="shared" si="20"/>
        <v>24576</v>
      </c>
      <c r="AA13" s="76">
        <v>14248</v>
      </c>
      <c r="AB13" s="36">
        <f t="shared" si="21"/>
        <v>480</v>
      </c>
      <c r="AC13" s="76">
        <v>529852</v>
      </c>
      <c r="AD13" s="36">
        <f t="shared" si="9"/>
        <v>8064</v>
      </c>
      <c r="AE13" s="76">
        <v>600554</v>
      </c>
      <c r="AF13" s="36">
        <f t="shared" si="9"/>
        <v>3888</v>
      </c>
      <c r="AG13" s="76">
        <v>49813</v>
      </c>
      <c r="AH13" s="36">
        <f t="shared" si="22"/>
        <v>0</v>
      </c>
      <c r="AI13" s="76">
        <v>468983</v>
      </c>
      <c r="AJ13" s="36">
        <f t="shared" si="10"/>
        <v>4944</v>
      </c>
      <c r="AK13" s="76">
        <v>102848</v>
      </c>
      <c r="AL13" s="36">
        <f t="shared" si="23"/>
        <v>48</v>
      </c>
      <c r="AM13" s="76">
        <v>635092</v>
      </c>
      <c r="AN13" s="36">
        <f t="shared" si="11"/>
        <v>6816</v>
      </c>
      <c r="AO13" s="76">
        <v>26959</v>
      </c>
      <c r="AP13" s="36">
        <f t="shared" si="12"/>
        <v>4416</v>
      </c>
      <c r="AQ13" s="76">
        <v>8739</v>
      </c>
      <c r="AR13" s="36">
        <f t="shared" si="13"/>
        <v>12768</v>
      </c>
      <c r="AS13" s="76">
        <v>2537</v>
      </c>
      <c r="AT13" s="36">
        <f t="shared" ref="AT13:AT34" si="27">(+AS13-+AS12)*48</f>
        <v>336</v>
      </c>
      <c r="AU13" s="76">
        <v>939</v>
      </c>
      <c r="AV13" s="36">
        <f t="shared" ref="AV13:AV38" si="28">(+AU13-+AU12)*48</f>
        <v>0</v>
      </c>
      <c r="AW13" s="76">
        <v>3110</v>
      </c>
      <c r="AX13" s="36">
        <f t="shared" si="24"/>
        <v>0</v>
      </c>
      <c r="AY13" s="76">
        <v>369329</v>
      </c>
      <c r="AZ13" s="36">
        <f t="shared" si="14"/>
        <v>5424</v>
      </c>
      <c r="BA13" s="75">
        <v>161101</v>
      </c>
      <c r="BB13" s="36">
        <f t="shared" ref="BB13:BB22" si="29">(+BA13-+BA12)*48</f>
        <v>0</v>
      </c>
      <c r="BC13" s="76">
        <v>248500</v>
      </c>
      <c r="BD13" s="36">
        <f t="shared" si="25"/>
        <v>3360</v>
      </c>
      <c r="BE13" s="76">
        <v>5350</v>
      </c>
      <c r="BF13" s="36">
        <f t="shared" si="26"/>
        <v>0</v>
      </c>
      <c r="BH13" s="102">
        <f t="shared" si="2"/>
        <v>173923.20000000001</v>
      </c>
      <c r="BI13" s="102">
        <f t="shared" si="3"/>
        <v>98092.800000000003</v>
      </c>
    </row>
    <row r="14" spans="1:61" s="34" customFormat="1" ht="39.950000000000003" customHeight="1">
      <c r="A14" s="178">
        <f t="shared" si="7"/>
        <v>44932</v>
      </c>
      <c r="B14" s="33"/>
      <c r="C14" s="76">
        <v>7482727</v>
      </c>
      <c r="D14" s="36">
        <f t="shared" si="15"/>
        <v>152064</v>
      </c>
      <c r="E14" s="101">
        <f>D14*E5</f>
        <v>91238.399999999994</v>
      </c>
      <c r="F14" s="100">
        <f>D14*F5</f>
        <v>60825.600000000006</v>
      </c>
      <c r="G14" s="76">
        <v>305203</v>
      </c>
      <c r="H14" s="36">
        <f t="shared" si="1"/>
        <v>2208</v>
      </c>
      <c r="I14" s="76">
        <v>225227</v>
      </c>
      <c r="J14" s="36">
        <f t="shared" si="1"/>
        <v>7968</v>
      </c>
      <c r="K14" s="76">
        <v>279332</v>
      </c>
      <c r="L14" s="36">
        <f t="shared" si="1"/>
        <v>1056</v>
      </c>
      <c r="M14" s="76">
        <v>25836</v>
      </c>
      <c r="N14" s="36">
        <f t="shared" si="1"/>
        <v>0</v>
      </c>
      <c r="O14" s="76">
        <v>375484</v>
      </c>
      <c r="P14" s="36">
        <f t="shared" si="16"/>
        <v>9360</v>
      </c>
      <c r="Q14" s="76">
        <v>494903</v>
      </c>
      <c r="R14" s="36">
        <f t="shared" si="17"/>
        <v>3120</v>
      </c>
      <c r="S14" s="76">
        <v>795625</v>
      </c>
      <c r="T14" s="36">
        <f t="shared" si="18"/>
        <v>6096</v>
      </c>
      <c r="U14" s="80">
        <v>9465</v>
      </c>
      <c r="V14" s="100">
        <f t="shared" si="19"/>
        <v>1056</v>
      </c>
      <c r="W14" s="76">
        <v>88246</v>
      </c>
      <c r="X14" s="36">
        <f t="shared" si="8"/>
        <v>816</v>
      </c>
      <c r="Y14" s="76">
        <v>1545710</v>
      </c>
      <c r="Z14" s="36">
        <f>(+Y14-+Y13)*48</f>
        <v>22752</v>
      </c>
      <c r="AA14" s="76">
        <v>14249</v>
      </c>
      <c r="AB14" s="36">
        <f>(+AA14-+AA13)*48</f>
        <v>48</v>
      </c>
      <c r="AC14" s="76">
        <v>530026</v>
      </c>
      <c r="AD14" s="36">
        <f t="shared" si="9"/>
        <v>8352</v>
      </c>
      <c r="AE14" s="76">
        <v>600639</v>
      </c>
      <c r="AF14" s="36">
        <f t="shared" si="9"/>
        <v>4080</v>
      </c>
      <c r="AG14" s="76">
        <v>49813</v>
      </c>
      <c r="AH14" s="36">
        <f t="shared" si="22"/>
        <v>0</v>
      </c>
      <c r="AI14" s="76">
        <v>469088</v>
      </c>
      <c r="AJ14" s="36">
        <f t="shared" si="10"/>
        <v>5040</v>
      </c>
      <c r="AK14" s="76">
        <v>102850</v>
      </c>
      <c r="AL14" s="36">
        <f t="shared" si="23"/>
        <v>96</v>
      </c>
      <c r="AM14" s="76">
        <v>635228</v>
      </c>
      <c r="AN14" s="36">
        <f t="shared" si="11"/>
        <v>6528</v>
      </c>
      <c r="AO14" s="76">
        <v>27060</v>
      </c>
      <c r="AP14" s="36">
        <f t="shared" si="12"/>
        <v>4848</v>
      </c>
      <c r="AQ14" s="76">
        <v>8994</v>
      </c>
      <c r="AR14" s="36">
        <f t="shared" si="13"/>
        <v>12240</v>
      </c>
      <c r="AS14" s="76">
        <v>2537</v>
      </c>
      <c r="AT14" s="36">
        <f t="shared" si="27"/>
        <v>0</v>
      </c>
      <c r="AU14" s="76">
        <v>939</v>
      </c>
      <c r="AV14" s="36">
        <f>(+AU14-+AU13)*48</f>
        <v>0</v>
      </c>
      <c r="AW14" s="76">
        <v>3110</v>
      </c>
      <c r="AX14" s="36">
        <f t="shared" si="24"/>
        <v>0</v>
      </c>
      <c r="AY14" s="76">
        <v>369436</v>
      </c>
      <c r="AZ14" s="36">
        <f t="shared" si="14"/>
        <v>5136</v>
      </c>
      <c r="BA14" s="75">
        <v>161101</v>
      </c>
      <c r="BB14" s="36">
        <f t="shared" si="29"/>
        <v>0</v>
      </c>
      <c r="BC14" s="76">
        <v>248566</v>
      </c>
      <c r="BD14" s="36">
        <f t="shared" si="25"/>
        <v>3168</v>
      </c>
      <c r="BE14" s="76">
        <v>5350</v>
      </c>
      <c r="BF14" s="36">
        <f t="shared" si="26"/>
        <v>0</v>
      </c>
      <c r="BH14" s="102">
        <f>SUM(E14,J14,P14,H14,L14,R14,T14,V14,X14,N14,AB14,Z14,AD14,AF14,AH14,AL14,AJ14)</f>
        <v>163286.39999999999</v>
      </c>
      <c r="BI14" s="102">
        <f t="shared" si="3"/>
        <v>92745.600000000006</v>
      </c>
    </row>
    <row r="15" spans="1:61" s="34" customFormat="1" ht="39.950000000000003" customHeight="1">
      <c r="A15" s="178">
        <f t="shared" si="7"/>
        <v>44933</v>
      </c>
      <c r="B15" s="33"/>
      <c r="C15" s="76">
        <v>7485635</v>
      </c>
      <c r="D15" s="36">
        <f t="shared" si="15"/>
        <v>139584</v>
      </c>
      <c r="E15" s="101">
        <f>D15*E5</f>
        <v>83750.399999999994</v>
      </c>
      <c r="F15" s="100">
        <f>D15*F5</f>
        <v>55833.600000000006</v>
      </c>
      <c r="G15" s="76">
        <v>305259</v>
      </c>
      <c r="H15" s="36">
        <f t="shared" si="1"/>
        <v>2688</v>
      </c>
      <c r="I15" s="76">
        <v>225398</v>
      </c>
      <c r="J15" s="36">
        <f t="shared" si="1"/>
        <v>8208</v>
      </c>
      <c r="K15" s="76">
        <v>279382</v>
      </c>
      <c r="L15" s="36">
        <f t="shared" si="1"/>
        <v>2400</v>
      </c>
      <c r="M15" s="76">
        <v>25836</v>
      </c>
      <c r="N15" s="36">
        <f t="shared" si="1"/>
        <v>0</v>
      </c>
      <c r="O15" s="76">
        <v>375690</v>
      </c>
      <c r="P15" s="36">
        <f t="shared" si="16"/>
        <v>9888</v>
      </c>
      <c r="Q15" s="76">
        <v>494972</v>
      </c>
      <c r="R15" s="36">
        <f t="shared" si="17"/>
        <v>3312</v>
      </c>
      <c r="S15" s="76">
        <v>795753</v>
      </c>
      <c r="T15" s="36">
        <f t="shared" si="18"/>
        <v>6144</v>
      </c>
      <c r="U15" s="80">
        <v>9487</v>
      </c>
      <c r="V15" s="100">
        <f>(+U15-+U14)*48</f>
        <v>1056</v>
      </c>
      <c r="W15" s="76">
        <v>88263</v>
      </c>
      <c r="X15" s="36">
        <f t="shared" si="8"/>
        <v>816</v>
      </c>
      <c r="Y15" s="76">
        <v>1546201</v>
      </c>
      <c r="Z15" s="36">
        <f>(+Y15-+Y14)*48</f>
        <v>23568</v>
      </c>
      <c r="AA15" s="76">
        <v>14249</v>
      </c>
      <c r="AB15" s="36">
        <f>(+AA15-+AA14)*48</f>
        <v>0</v>
      </c>
      <c r="AC15" s="76">
        <v>530152</v>
      </c>
      <c r="AD15" s="36">
        <f t="shared" si="9"/>
        <v>6048</v>
      </c>
      <c r="AE15" s="76">
        <v>600775</v>
      </c>
      <c r="AF15" s="36">
        <f t="shared" si="9"/>
        <v>6528</v>
      </c>
      <c r="AG15" s="76">
        <v>49813</v>
      </c>
      <c r="AH15" s="36">
        <f t="shared" si="22"/>
        <v>0</v>
      </c>
      <c r="AI15" s="76">
        <v>469198</v>
      </c>
      <c r="AJ15" s="36">
        <f t="shared" si="10"/>
        <v>5280</v>
      </c>
      <c r="AK15" s="76">
        <v>102851</v>
      </c>
      <c r="AL15" s="36">
        <f t="shared" si="23"/>
        <v>48</v>
      </c>
      <c r="AM15" s="76">
        <v>635329</v>
      </c>
      <c r="AN15" s="36">
        <f t="shared" si="11"/>
        <v>4848</v>
      </c>
      <c r="AO15" s="76">
        <v>27117</v>
      </c>
      <c r="AP15" s="36">
        <f t="shared" si="12"/>
        <v>2736</v>
      </c>
      <c r="AQ15" s="76">
        <v>9228</v>
      </c>
      <c r="AR15" s="36">
        <f t="shared" ref="AR15:AR38" si="30">(+AQ15-+AQ14)*48</f>
        <v>11232</v>
      </c>
      <c r="AS15" s="76">
        <v>2540</v>
      </c>
      <c r="AT15" s="36">
        <f>(+AS15-+AS14)*48</f>
        <v>144</v>
      </c>
      <c r="AU15" s="76">
        <v>939</v>
      </c>
      <c r="AV15" s="36">
        <f>(+AU15-+AU14)*48</f>
        <v>0</v>
      </c>
      <c r="AW15" s="76">
        <v>3110</v>
      </c>
      <c r="AX15" s="36">
        <f t="shared" si="24"/>
        <v>0</v>
      </c>
      <c r="AY15" s="76">
        <v>369546</v>
      </c>
      <c r="AZ15" s="36">
        <f t="shared" si="14"/>
        <v>5280</v>
      </c>
      <c r="BA15" s="75">
        <v>161101</v>
      </c>
      <c r="BB15" s="36">
        <f t="shared" si="29"/>
        <v>0</v>
      </c>
      <c r="BC15" s="76">
        <v>248640</v>
      </c>
      <c r="BD15" s="36">
        <f t="shared" si="25"/>
        <v>3552</v>
      </c>
      <c r="BE15" s="76">
        <v>5350</v>
      </c>
      <c r="BF15" s="36">
        <f t="shared" si="26"/>
        <v>0</v>
      </c>
      <c r="BH15" s="102">
        <f t="shared" si="2"/>
        <v>159734.39999999999</v>
      </c>
      <c r="BI15" s="102">
        <f t="shared" si="3"/>
        <v>83625.600000000006</v>
      </c>
    </row>
    <row r="16" spans="1:61" s="34" customFormat="1" ht="39.950000000000003" customHeight="1">
      <c r="A16" s="178">
        <f t="shared" si="7"/>
        <v>44934</v>
      </c>
      <c r="B16" s="33"/>
      <c r="C16" s="76">
        <v>7488967</v>
      </c>
      <c r="D16" s="36">
        <f t="shared" si="15"/>
        <v>159936</v>
      </c>
      <c r="E16" s="101">
        <f>D16*E5</f>
        <v>95961.599999999991</v>
      </c>
      <c r="F16" s="100">
        <f>D16*F5</f>
        <v>63974.400000000001</v>
      </c>
      <c r="G16" s="76">
        <v>305334</v>
      </c>
      <c r="H16" s="36">
        <f t="shared" si="1"/>
        <v>3600</v>
      </c>
      <c r="I16" s="76">
        <v>225568</v>
      </c>
      <c r="J16" s="36">
        <f t="shared" si="1"/>
        <v>8160</v>
      </c>
      <c r="K16" s="76">
        <v>279476</v>
      </c>
      <c r="L16" s="36">
        <f t="shared" si="1"/>
        <v>4512</v>
      </c>
      <c r="M16" s="76">
        <v>25836</v>
      </c>
      <c r="N16" s="36">
        <f t="shared" si="1"/>
        <v>0</v>
      </c>
      <c r="O16" s="76">
        <v>375933</v>
      </c>
      <c r="P16" s="36">
        <f t="shared" si="16"/>
        <v>11664</v>
      </c>
      <c r="Q16" s="76">
        <v>495069</v>
      </c>
      <c r="R16" s="36">
        <f t="shared" si="17"/>
        <v>4656</v>
      </c>
      <c r="S16" s="76">
        <v>795905</v>
      </c>
      <c r="T16" s="36">
        <f t="shared" si="18"/>
        <v>7296</v>
      </c>
      <c r="U16" s="80">
        <v>9510.6589999999997</v>
      </c>
      <c r="V16" s="100">
        <f t="shared" ref="V16:V38" si="31">(+U16-+U15)*48</f>
        <v>1135.6319999999832</v>
      </c>
      <c r="W16" s="76">
        <v>88269</v>
      </c>
      <c r="X16" s="36">
        <f t="shared" si="8"/>
        <v>288</v>
      </c>
      <c r="Y16" s="76">
        <v>1546624</v>
      </c>
      <c r="Z16" s="36">
        <f>(+Y16-+Y15)*48</f>
        <v>20304</v>
      </c>
      <c r="AA16" s="76">
        <v>14253</v>
      </c>
      <c r="AB16" s="36">
        <f>(+AA16-+AA15)*48</f>
        <v>192</v>
      </c>
      <c r="AC16" s="80">
        <v>530265</v>
      </c>
      <c r="AD16" s="36">
        <f t="shared" si="9"/>
        <v>5424</v>
      </c>
      <c r="AE16" s="76">
        <v>600815</v>
      </c>
      <c r="AF16" s="36">
        <f t="shared" si="9"/>
        <v>1920</v>
      </c>
      <c r="AG16" s="76">
        <v>49813</v>
      </c>
      <c r="AH16" s="36">
        <f t="shared" si="22"/>
        <v>0</v>
      </c>
      <c r="AI16" s="76">
        <v>469306</v>
      </c>
      <c r="AJ16" s="36">
        <f t="shared" si="10"/>
        <v>5184</v>
      </c>
      <c r="AK16" s="76">
        <v>102854</v>
      </c>
      <c r="AL16" s="36">
        <f t="shared" si="23"/>
        <v>144</v>
      </c>
      <c r="AM16" s="76">
        <v>635408</v>
      </c>
      <c r="AN16" s="36">
        <f t="shared" si="11"/>
        <v>3792</v>
      </c>
      <c r="AO16" s="76">
        <v>27160</v>
      </c>
      <c r="AP16" s="36">
        <f t="shared" si="12"/>
        <v>2064</v>
      </c>
      <c r="AQ16" s="76">
        <v>9485</v>
      </c>
      <c r="AR16" s="36">
        <f t="shared" si="30"/>
        <v>12336</v>
      </c>
      <c r="AS16" s="76">
        <v>2546</v>
      </c>
      <c r="AT16" s="36">
        <f>(+AS16-+AS15)*48</f>
        <v>288</v>
      </c>
      <c r="AU16" s="76">
        <v>944</v>
      </c>
      <c r="AV16" s="36">
        <f>(+AU16-+AU15)*48</f>
        <v>240</v>
      </c>
      <c r="AW16" s="76">
        <v>3110</v>
      </c>
      <c r="AX16" s="36">
        <f t="shared" si="24"/>
        <v>0</v>
      </c>
      <c r="AY16" s="76">
        <v>369664</v>
      </c>
      <c r="AZ16" s="36">
        <f t="shared" si="14"/>
        <v>5664</v>
      </c>
      <c r="BA16" s="76">
        <v>161101</v>
      </c>
      <c r="BB16" s="36">
        <f t="shared" si="29"/>
        <v>0</v>
      </c>
      <c r="BC16" s="76">
        <v>248720</v>
      </c>
      <c r="BD16" s="36">
        <f t="shared" si="25"/>
        <v>3840</v>
      </c>
      <c r="BE16" s="76">
        <v>5350</v>
      </c>
      <c r="BF16" s="36">
        <f t="shared" si="26"/>
        <v>0</v>
      </c>
      <c r="BH16" s="102">
        <f t="shared" si="2"/>
        <v>170441.23199999996</v>
      </c>
      <c r="BI16" s="102">
        <f t="shared" si="3"/>
        <v>92198.399999999994</v>
      </c>
    </row>
    <row r="17" spans="1:61" s="34" customFormat="1" ht="39.950000000000003" customHeight="1">
      <c r="A17" s="178">
        <f t="shared" si="7"/>
        <v>44935</v>
      </c>
      <c r="B17" s="33"/>
      <c r="C17" s="76">
        <v>7491993</v>
      </c>
      <c r="D17" s="36">
        <f t="shared" si="15"/>
        <v>145248</v>
      </c>
      <c r="E17" s="101">
        <f>D17*E5</f>
        <v>87148.800000000003</v>
      </c>
      <c r="F17" s="100">
        <f>D17*F5</f>
        <v>58099.200000000004</v>
      </c>
      <c r="G17" s="76">
        <v>305397</v>
      </c>
      <c r="H17" s="36">
        <f t="shared" si="1"/>
        <v>3024</v>
      </c>
      <c r="I17" s="76">
        <v>225737</v>
      </c>
      <c r="J17" s="36">
        <f t="shared" si="1"/>
        <v>8112</v>
      </c>
      <c r="K17" s="76">
        <v>279551</v>
      </c>
      <c r="L17" s="36">
        <f t="shared" si="1"/>
        <v>3600</v>
      </c>
      <c r="M17" s="76">
        <v>25836</v>
      </c>
      <c r="N17" s="36">
        <f t="shared" si="1"/>
        <v>0</v>
      </c>
      <c r="O17" s="76">
        <v>376183</v>
      </c>
      <c r="P17" s="36">
        <f t="shared" si="16"/>
        <v>12000</v>
      </c>
      <c r="Q17" s="76">
        <v>495164</v>
      </c>
      <c r="R17" s="36">
        <f t="shared" si="17"/>
        <v>4560</v>
      </c>
      <c r="S17" s="76">
        <v>796081</v>
      </c>
      <c r="T17" s="36">
        <f t="shared" si="18"/>
        <v>8448</v>
      </c>
      <c r="U17" s="80">
        <v>9530.4860000000008</v>
      </c>
      <c r="V17" s="100">
        <f t="shared" si="31"/>
        <v>951.69600000005448</v>
      </c>
      <c r="W17" s="76">
        <v>88285</v>
      </c>
      <c r="X17" s="36">
        <f t="shared" si="8"/>
        <v>768</v>
      </c>
      <c r="Y17" s="76">
        <v>1547076</v>
      </c>
      <c r="Z17" s="100">
        <f t="shared" si="20"/>
        <v>21696</v>
      </c>
      <c r="AA17" s="76">
        <v>14258</v>
      </c>
      <c r="AB17" s="36">
        <f t="shared" si="21"/>
        <v>240</v>
      </c>
      <c r="AC17" s="80">
        <v>530374</v>
      </c>
      <c r="AD17" s="36">
        <f t="shared" si="9"/>
        <v>5232</v>
      </c>
      <c r="AE17" s="76">
        <v>600848</v>
      </c>
      <c r="AF17" s="36">
        <f t="shared" si="9"/>
        <v>1584</v>
      </c>
      <c r="AG17" s="76">
        <v>49813</v>
      </c>
      <c r="AH17" s="36">
        <f>(+AG17-+AG16)*48</f>
        <v>0</v>
      </c>
      <c r="AI17" s="76">
        <v>469420</v>
      </c>
      <c r="AJ17" s="36">
        <f t="shared" si="10"/>
        <v>5472</v>
      </c>
      <c r="AK17" s="76">
        <v>102861</v>
      </c>
      <c r="AL17" s="36">
        <f t="shared" si="23"/>
        <v>336</v>
      </c>
      <c r="AM17" s="76">
        <v>635487</v>
      </c>
      <c r="AN17" s="36">
        <f t="shared" si="11"/>
        <v>3792</v>
      </c>
      <c r="AO17" s="76">
        <v>27200</v>
      </c>
      <c r="AP17" s="36">
        <f t="shared" si="12"/>
        <v>1920</v>
      </c>
      <c r="AQ17" s="76">
        <v>9753</v>
      </c>
      <c r="AR17" s="36">
        <f t="shared" si="30"/>
        <v>12864</v>
      </c>
      <c r="AS17" s="76">
        <v>2554</v>
      </c>
      <c r="AT17" s="36">
        <f>(+AS17-+AS16)*48</f>
        <v>384</v>
      </c>
      <c r="AU17" s="76">
        <v>944</v>
      </c>
      <c r="AV17" s="36">
        <f t="shared" si="28"/>
        <v>0</v>
      </c>
      <c r="AW17" s="76">
        <v>3110</v>
      </c>
      <c r="AX17" s="36">
        <f t="shared" si="24"/>
        <v>0</v>
      </c>
      <c r="AY17" s="76">
        <v>369774</v>
      </c>
      <c r="AZ17" s="36">
        <f t="shared" si="14"/>
        <v>5280</v>
      </c>
      <c r="BA17" s="76">
        <v>161101</v>
      </c>
      <c r="BB17" s="36">
        <f t="shared" si="29"/>
        <v>0</v>
      </c>
      <c r="BC17" s="80">
        <v>248797</v>
      </c>
      <c r="BD17" s="100">
        <f t="shared" si="25"/>
        <v>3696</v>
      </c>
      <c r="BE17" s="76">
        <v>5350</v>
      </c>
      <c r="BF17" s="36">
        <f>(+BE17-+BE16)*48</f>
        <v>0</v>
      </c>
      <c r="BH17" s="102">
        <f>SUM(E17,J17,P17,H17,L17,R17,T17,V17,X17,N17,AB17,Z17,AD17,AF17,AH17,AL17,AJ17)</f>
        <v>163172.49600000004</v>
      </c>
      <c r="BI17" s="102">
        <f t="shared" si="3"/>
        <v>86035.200000000012</v>
      </c>
    </row>
    <row r="18" spans="1:61" s="34" customFormat="1" ht="39.950000000000003" customHeight="1">
      <c r="A18" s="178">
        <f t="shared" si="7"/>
        <v>44936</v>
      </c>
      <c r="B18" s="33"/>
      <c r="C18" s="76">
        <v>7495001</v>
      </c>
      <c r="D18" s="36">
        <f t="shared" si="15"/>
        <v>144384</v>
      </c>
      <c r="E18" s="101">
        <f>D18*E5</f>
        <v>86630.399999999994</v>
      </c>
      <c r="F18" s="100">
        <f>D18*F5</f>
        <v>57753.600000000006</v>
      </c>
      <c r="G18" s="76">
        <v>305444</v>
      </c>
      <c r="H18" s="36">
        <f t="shared" si="1"/>
        <v>2256</v>
      </c>
      <c r="I18" s="76">
        <v>225900</v>
      </c>
      <c r="J18" s="36">
        <f t="shared" si="1"/>
        <v>7824</v>
      </c>
      <c r="K18" s="76">
        <v>279617</v>
      </c>
      <c r="L18" s="36">
        <f t="shared" si="1"/>
        <v>3168</v>
      </c>
      <c r="M18" s="76">
        <v>25836</v>
      </c>
      <c r="N18" s="36">
        <f t="shared" si="1"/>
        <v>0</v>
      </c>
      <c r="O18" s="76">
        <v>376408</v>
      </c>
      <c r="P18" s="36">
        <f t="shared" si="16"/>
        <v>10800</v>
      </c>
      <c r="Q18" s="76">
        <v>495244</v>
      </c>
      <c r="R18" s="36">
        <f t="shared" si="17"/>
        <v>3840</v>
      </c>
      <c r="S18" s="76">
        <v>796260</v>
      </c>
      <c r="T18" s="36">
        <f t="shared" si="18"/>
        <v>8592</v>
      </c>
      <c r="U18" s="80">
        <v>9549.4760000000006</v>
      </c>
      <c r="V18" s="100">
        <f t="shared" si="31"/>
        <v>911.51999999998952</v>
      </c>
      <c r="W18" s="76">
        <v>88286</v>
      </c>
      <c r="X18" s="36">
        <f t="shared" si="8"/>
        <v>48</v>
      </c>
      <c r="Y18" s="76">
        <v>1547520</v>
      </c>
      <c r="Z18" s="100">
        <f t="shared" si="20"/>
        <v>21312</v>
      </c>
      <c r="AA18" s="76">
        <v>14260</v>
      </c>
      <c r="AB18" s="36">
        <f t="shared" si="21"/>
        <v>96</v>
      </c>
      <c r="AC18" s="76">
        <v>530534</v>
      </c>
      <c r="AD18" s="36">
        <f t="shared" si="9"/>
        <v>7680</v>
      </c>
      <c r="AE18" s="76">
        <v>600955</v>
      </c>
      <c r="AF18" s="36">
        <f t="shared" si="9"/>
        <v>5136</v>
      </c>
      <c r="AG18" s="76">
        <v>49813</v>
      </c>
      <c r="AH18" s="36">
        <f>(+AG18-+AG17)*48</f>
        <v>0</v>
      </c>
      <c r="AI18" s="76">
        <v>469526</v>
      </c>
      <c r="AJ18" s="36">
        <f t="shared" si="10"/>
        <v>5088</v>
      </c>
      <c r="AK18" s="76">
        <v>102867</v>
      </c>
      <c r="AL18" s="36">
        <f t="shared" si="23"/>
        <v>288</v>
      </c>
      <c r="AM18" s="76">
        <v>635614</v>
      </c>
      <c r="AN18" s="36">
        <f t="shared" si="11"/>
        <v>6096</v>
      </c>
      <c r="AO18" s="76">
        <v>27321</v>
      </c>
      <c r="AP18" s="36">
        <f t="shared" si="12"/>
        <v>5808</v>
      </c>
      <c r="AQ18" s="76">
        <v>10027</v>
      </c>
      <c r="AR18" s="36">
        <f t="shared" si="30"/>
        <v>13152</v>
      </c>
      <c r="AS18" s="76">
        <v>2559</v>
      </c>
      <c r="AT18" s="36">
        <f t="shared" si="27"/>
        <v>240</v>
      </c>
      <c r="AU18" s="76">
        <v>945</v>
      </c>
      <c r="AV18" s="36">
        <f t="shared" si="28"/>
        <v>48</v>
      </c>
      <c r="AW18" s="76">
        <v>3110</v>
      </c>
      <c r="AX18" s="36">
        <f t="shared" si="24"/>
        <v>0</v>
      </c>
      <c r="AY18" s="76">
        <v>369888</v>
      </c>
      <c r="AZ18" s="36">
        <f t="shared" si="14"/>
        <v>5472</v>
      </c>
      <c r="BA18" s="76">
        <v>161101</v>
      </c>
      <c r="BB18" s="36">
        <f t="shared" si="29"/>
        <v>0</v>
      </c>
      <c r="BC18" s="80">
        <v>248877</v>
      </c>
      <c r="BD18" s="100">
        <f t="shared" si="25"/>
        <v>3840</v>
      </c>
      <c r="BE18" s="76">
        <v>5350</v>
      </c>
      <c r="BF18" s="36">
        <f>(+BE18-+BE17)*48</f>
        <v>0</v>
      </c>
      <c r="BH18" s="102">
        <f t="shared" si="2"/>
        <v>163669.91999999998</v>
      </c>
      <c r="BI18" s="102">
        <f t="shared" si="3"/>
        <v>92409.600000000006</v>
      </c>
    </row>
    <row r="19" spans="1:61" s="34" customFormat="1" ht="39.950000000000003" customHeight="1">
      <c r="A19" s="178">
        <f t="shared" si="7"/>
        <v>44937</v>
      </c>
      <c r="B19" s="33"/>
      <c r="C19" s="76">
        <v>7497943</v>
      </c>
      <c r="D19" s="36">
        <f t="shared" si="15"/>
        <v>141216</v>
      </c>
      <c r="E19" s="101">
        <f>D19*E5</f>
        <v>84729.599999999991</v>
      </c>
      <c r="F19" s="100">
        <f>D19*F5</f>
        <v>56486.400000000001</v>
      </c>
      <c r="G19" s="76">
        <v>305492</v>
      </c>
      <c r="H19" s="36">
        <f t="shared" si="1"/>
        <v>2304</v>
      </c>
      <c r="I19" s="76">
        <v>226074</v>
      </c>
      <c r="J19" s="36">
        <f t="shared" si="1"/>
        <v>8352</v>
      </c>
      <c r="K19" s="76">
        <v>279680</v>
      </c>
      <c r="L19" s="36">
        <f t="shared" si="1"/>
        <v>3024</v>
      </c>
      <c r="M19" s="76">
        <v>25836</v>
      </c>
      <c r="N19" s="36">
        <f t="shared" si="1"/>
        <v>0</v>
      </c>
      <c r="O19" s="76">
        <v>376620</v>
      </c>
      <c r="P19" s="36">
        <f t="shared" si="16"/>
        <v>10176</v>
      </c>
      <c r="Q19" s="76">
        <v>495315</v>
      </c>
      <c r="R19" s="36">
        <f t="shared" si="17"/>
        <v>3408</v>
      </c>
      <c r="S19" s="76">
        <v>796425</v>
      </c>
      <c r="T19" s="36">
        <f t="shared" si="18"/>
        <v>7920</v>
      </c>
      <c r="U19" s="80">
        <v>9569.4709999999995</v>
      </c>
      <c r="V19" s="100">
        <f t="shared" si="31"/>
        <v>959.75999999995111</v>
      </c>
      <c r="W19" s="76">
        <v>88304</v>
      </c>
      <c r="X19" s="36">
        <f t="shared" si="8"/>
        <v>864</v>
      </c>
      <c r="Y19" s="76">
        <v>1547961</v>
      </c>
      <c r="Z19" s="36">
        <f t="shared" si="20"/>
        <v>21168</v>
      </c>
      <c r="AA19" s="76">
        <v>14260</v>
      </c>
      <c r="AB19" s="36">
        <f t="shared" si="21"/>
        <v>0</v>
      </c>
      <c r="AC19" s="76">
        <v>530727</v>
      </c>
      <c r="AD19" s="36">
        <f t="shared" si="9"/>
        <v>9264</v>
      </c>
      <c r="AE19" s="76">
        <v>601092</v>
      </c>
      <c r="AF19" s="36">
        <f t="shared" si="9"/>
        <v>6576</v>
      </c>
      <c r="AG19" s="76">
        <v>49813</v>
      </c>
      <c r="AH19" s="36">
        <f>(+AG19-+AG18)*48</f>
        <v>0</v>
      </c>
      <c r="AI19" s="76">
        <v>469646</v>
      </c>
      <c r="AJ19" s="36">
        <f t="shared" si="10"/>
        <v>5760</v>
      </c>
      <c r="AK19" s="76">
        <v>102879</v>
      </c>
      <c r="AL19" s="36">
        <f t="shared" si="23"/>
        <v>576</v>
      </c>
      <c r="AM19" s="76">
        <v>635769</v>
      </c>
      <c r="AN19" s="36">
        <f t="shared" si="11"/>
        <v>7440</v>
      </c>
      <c r="AO19" s="76">
        <v>27496</v>
      </c>
      <c r="AP19" s="36">
        <f t="shared" si="12"/>
        <v>8400</v>
      </c>
      <c r="AQ19" s="76">
        <v>10296</v>
      </c>
      <c r="AR19" s="36">
        <f t="shared" si="30"/>
        <v>12912</v>
      </c>
      <c r="AS19" s="76">
        <v>2560</v>
      </c>
      <c r="AT19" s="36">
        <f t="shared" si="27"/>
        <v>48</v>
      </c>
      <c r="AU19" s="76">
        <v>946</v>
      </c>
      <c r="AV19" s="36">
        <f t="shared" si="28"/>
        <v>48</v>
      </c>
      <c r="AW19" s="76">
        <v>3110</v>
      </c>
      <c r="AX19" s="36">
        <f>(+AW19-+AW18)*48</f>
        <v>0</v>
      </c>
      <c r="AY19" s="76">
        <v>369997</v>
      </c>
      <c r="AZ19" s="36">
        <f t="shared" si="14"/>
        <v>5232</v>
      </c>
      <c r="BA19" s="76">
        <v>161101</v>
      </c>
      <c r="BB19" s="36">
        <f t="shared" si="29"/>
        <v>0</v>
      </c>
      <c r="BC19" s="80">
        <v>248945</v>
      </c>
      <c r="BD19" s="36">
        <f t="shared" si="25"/>
        <v>3264</v>
      </c>
      <c r="BE19" s="76">
        <v>5350</v>
      </c>
      <c r="BF19" s="36">
        <f>(+BE19-+BE18)*48</f>
        <v>0</v>
      </c>
      <c r="BH19" s="102">
        <f t="shared" si="2"/>
        <v>165081.35999999993</v>
      </c>
      <c r="BI19" s="102">
        <f t="shared" si="3"/>
        <v>93830.399999999994</v>
      </c>
    </row>
    <row r="20" spans="1:61" s="34" customFormat="1" ht="39.950000000000003" customHeight="1">
      <c r="A20" s="178">
        <f t="shared" si="7"/>
        <v>44938</v>
      </c>
      <c r="B20" s="33"/>
      <c r="C20" s="76">
        <v>7501017</v>
      </c>
      <c r="D20" s="36">
        <f t="shared" si="15"/>
        <v>147552</v>
      </c>
      <c r="E20" s="101">
        <f>D20*E5</f>
        <v>88531.199999999997</v>
      </c>
      <c r="F20" s="100">
        <f>D20*F5</f>
        <v>59020.800000000003</v>
      </c>
      <c r="G20" s="76">
        <v>305539</v>
      </c>
      <c r="H20" s="36">
        <f t="shared" si="1"/>
        <v>2256</v>
      </c>
      <c r="I20" s="76">
        <v>226240</v>
      </c>
      <c r="J20" s="36">
        <f t="shared" si="1"/>
        <v>7968</v>
      </c>
      <c r="K20" s="76">
        <v>279761</v>
      </c>
      <c r="L20" s="36">
        <f t="shared" si="1"/>
        <v>3888</v>
      </c>
      <c r="M20" s="76">
        <v>25836</v>
      </c>
      <c r="N20" s="36">
        <f t="shared" si="1"/>
        <v>0</v>
      </c>
      <c r="O20" s="76">
        <v>376862</v>
      </c>
      <c r="P20" s="36">
        <f t="shared" si="16"/>
        <v>11616</v>
      </c>
      <c r="Q20" s="76">
        <v>495388</v>
      </c>
      <c r="R20" s="36">
        <f t="shared" si="17"/>
        <v>3504</v>
      </c>
      <c r="S20" s="76">
        <v>796565</v>
      </c>
      <c r="T20" s="36">
        <f t="shared" si="18"/>
        <v>6720</v>
      </c>
      <c r="U20" s="80">
        <v>9590.7080000000005</v>
      </c>
      <c r="V20" s="100">
        <f t="shared" si="31"/>
        <v>1019.3760000000475</v>
      </c>
      <c r="W20" s="76">
        <v>88322</v>
      </c>
      <c r="X20" s="36">
        <f t="shared" si="8"/>
        <v>864</v>
      </c>
      <c r="Y20" s="76">
        <v>1548417</v>
      </c>
      <c r="Z20" s="36">
        <f t="shared" si="20"/>
        <v>21888</v>
      </c>
      <c r="AA20" s="76">
        <v>14261</v>
      </c>
      <c r="AB20" s="36">
        <f t="shared" si="21"/>
        <v>48</v>
      </c>
      <c r="AC20" s="76">
        <v>530918</v>
      </c>
      <c r="AD20" s="36">
        <f t="shared" si="9"/>
        <v>9168</v>
      </c>
      <c r="AE20" s="76">
        <v>601229</v>
      </c>
      <c r="AF20" s="36">
        <f t="shared" si="9"/>
        <v>6576</v>
      </c>
      <c r="AG20" s="76">
        <v>49813</v>
      </c>
      <c r="AH20" s="36">
        <f>(+AG20-+AG19)*48</f>
        <v>0</v>
      </c>
      <c r="AI20" s="76">
        <v>469758</v>
      </c>
      <c r="AJ20" s="36">
        <f t="shared" si="10"/>
        <v>5376</v>
      </c>
      <c r="AK20" s="76">
        <v>102889</v>
      </c>
      <c r="AL20" s="36">
        <f t="shared" si="23"/>
        <v>480</v>
      </c>
      <c r="AM20" s="76">
        <v>635930</v>
      </c>
      <c r="AN20" s="36">
        <f t="shared" si="11"/>
        <v>7728</v>
      </c>
      <c r="AO20" s="76">
        <v>27745</v>
      </c>
      <c r="AP20" s="36">
        <f t="shared" si="12"/>
        <v>11952</v>
      </c>
      <c r="AQ20" s="76">
        <v>10565</v>
      </c>
      <c r="AR20" s="36">
        <f t="shared" si="30"/>
        <v>12912</v>
      </c>
      <c r="AS20" s="76">
        <v>2568</v>
      </c>
      <c r="AT20" s="36">
        <f t="shared" si="27"/>
        <v>384</v>
      </c>
      <c r="AU20" s="76">
        <v>955</v>
      </c>
      <c r="AV20" s="36">
        <f t="shared" si="28"/>
        <v>432</v>
      </c>
      <c r="AW20" s="76">
        <v>3110</v>
      </c>
      <c r="AX20" s="36">
        <f>(+AW20-+AW19)*48</f>
        <v>0</v>
      </c>
      <c r="AY20" s="76">
        <v>370111</v>
      </c>
      <c r="AZ20" s="36">
        <f t="shared" si="14"/>
        <v>5472</v>
      </c>
      <c r="BA20" s="76">
        <v>161101</v>
      </c>
      <c r="BB20" s="36">
        <f t="shared" si="29"/>
        <v>0</v>
      </c>
      <c r="BC20" s="80">
        <v>249015</v>
      </c>
      <c r="BD20" s="36">
        <f t="shared" si="25"/>
        <v>3360</v>
      </c>
      <c r="BE20" s="76">
        <v>5350</v>
      </c>
      <c r="BF20" s="36">
        <f t="shared" si="26"/>
        <v>0</v>
      </c>
      <c r="BH20" s="155">
        <f t="shared" si="2"/>
        <v>169902.57600000006</v>
      </c>
      <c r="BI20" s="155">
        <f t="shared" si="3"/>
        <v>101260.8</v>
      </c>
    </row>
    <row r="21" spans="1:61" s="34" customFormat="1" ht="39.950000000000003" customHeight="1">
      <c r="A21" s="178">
        <f t="shared" si="7"/>
        <v>44939</v>
      </c>
      <c r="B21" s="33"/>
      <c r="C21" s="76">
        <v>7504050</v>
      </c>
      <c r="D21" s="36">
        <f t="shared" si="15"/>
        <v>145584</v>
      </c>
      <c r="E21" s="101">
        <f>D21*E5</f>
        <v>87350.399999999994</v>
      </c>
      <c r="F21" s="100">
        <f>D21*F5</f>
        <v>58233.600000000006</v>
      </c>
      <c r="G21" s="76">
        <v>305579</v>
      </c>
      <c r="H21" s="36">
        <f t="shared" si="1"/>
        <v>1920</v>
      </c>
      <c r="I21" s="76">
        <v>226383</v>
      </c>
      <c r="J21" s="36">
        <f t="shared" si="1"/>
        <v>6864</v>
      </c>
      <c r="K21" s="76">
        <v>279848</v>
      </c>
      <c r="L21" s="36">
        <f t="shared" si="1"/>
        <v>4176</v>
      </c>
      <c r="M21" s="76">
        <v>25836</v>
      </c>
      <c r="N21" s="36">
        <f t="shared" si="1"/>
        <v>0</v>
      </c>
      <c r="O21" s="76">
        <v>377102</v>
      </c>
      <c r="P21" s="36">
        <f t="shared" si="16"/>
        <v>11520</v>
      </c>
      <c r="Q21" s="76">
        <v>495468</v>
      </c>
      <c r="R21" s="36">
        <f t="shared" si="17"/>
        <v>3840</v>
      </c>
      <c r="S21" s="76">
        <v>796713</v>
      </c>
      <c r="T21" s="36">
        <f t="shared" si="18"/>
        <v>7104</v>
      </c>
      <c r="U21" s="80">
        <v>9612.3610000000008</v>
      </c>
      <c r="V21" s="100">
        <f t="shared" si="31"/>
        <v>1039.3440000000119</v>
      </c>
      <c r="W21" s="76">
        <v>88340</v>
      </c>
      <c r="X21" s="36">
        <f t="shared" si="8"/>
        <v>864</v>
      </c>
      <c r="Y21" s="76">
        <v>1548881</v>
      </c>
      <c r="Z21" s="36">
        <f t="shared" si="20"/>
        <v>22272</v>
      </c>
      <c r="AA21" s="76">
        <v>14261</v>
      </c>
      <c r="AB21" s="36">
        <f t="shared" si="21"/>
        <v>0</v>
      </c>
      <c r="AC21" s="75">
        <v>531152</v>
      </c>
      <c r="AD21" s="36">
        <f t="shared" si="9"/>
        <v>11232</v>
      </c>
      <c r="AE21" s="75">
        <v>601392</v>
      </c>
      <c r="AF21" s="36">
        <f t="shared" si="9"/>
        <v>7824</v>
      </c>
      <c r="AG21" s="76">
        <v>49813</v>
      </c>
      <c r="AH21" s="36">
        <f t="shared" si="22"/>
        <v>0</v>
      </c>
      <c r="AI21" s="75">
        <v>469899</v>
      </c>
      <c r="AJ21" s="36">
        <f t="shared" si="10"/>
        <v>6768</v>
      </c>
      <c r="AK21" s="76">
        <v>102900</v>
      </c>
      <c r="AL21" s="36">
        <f t="shared" si="23"/>
        <v>528</v>
      </c>
      <c r="AM21" s="76">
        <v>636089</v>
      </c>
      <c r="AN21" s="36">
        <f t="shared" si="11"/>
        <v>7632</v>
      </c>
      <c r="AO21" s="76">
        <v>27975</v>
      </c>
      <c r="AP21" s="36">
        <f t="shared" si="12"/>
        <v>11040</v>
      </c>
      <c r="AQ21" s="76">
        <v>10843</v>
      </c>
      <c r="AR21" s="36">
        <f t="shared" si="30"/>
        <v>13344</v>
      </c>
      <c r="AS21" s="76">
        <v>2571</v>
      </c>
      <c r="AT21" s="36">
        <f t="shared" si="27"/>
        <v>144</v>
      </c>
      <c r="AU21" s="76">
        <v>945</v>
      </c>
      <c r="AV21" s="36">
        <f t="shared" si="28"/>
        <v>-480</v>
      </c>
      <c r="AW21" s="76">
        <v>3110</v>
      </c>
      <c r="AX21" s="36">
        <f>(+AW21-+AW20)*48</f>
        <v>0</v>
      </c>
      <c r="AY21" s="76">
        <v>370226</v>
      </c>
      <c r="AZ21" s="36">
        <f t="shared" si="14"/>
        <v>5520</v>
      </c>
      <c r="BA21" s="76">
        <v>161101</v>
      </c>
      <c r="BB21" s="36">
        <f t="shared" si="29"/>
        <v>0</v>
      </c>
      <c r="BC21" s="80">
        <v>249088</v>
      </c>
      <c r="BD21" s="36">
        <f t="shared" si="25"/>
        <v>3504</v>
      </c>
      <c r="BE21" s="76">
        <v>5350</v>
      </c>
      <c r="BF21" s="36">
        <f t="shared" si="26"/>
        <v>0</v>
      </c>
      <c r="BH21" s="155">
        <f t="shared" si="2"/>
        <v>173301.74400000001</v>
      </c>
      <c r="BI21" s="155">
        <f t="shared" si="3"/>
        <v>98937.600000000006</v>
      </c>
    </row>
    <row r="22" spans="1:61" s="34" customFormat="1" ht="39.950000000000003" customHeight="1">
      <c r="A22" s="178">
        <f t="shared" si="7"/>
        <v>44940</v>
      </c>
      <c r="B22" s="33"/>
      <c r="C22" s="76">
        <v>7507229</v>
      </c>
      <c r="D22" s="36">
        <f t="shared" si="15"/>
        <v>152592</v>
      </c>
      <c r="E22" s="101">
        <f>D22*E5</f>
        <v>91555.199999999997</v>
      </c>
      <c r="F22" s="100">
        <f>D22*F5</f>
        <v>61036.800000000003</v>
      </c>
      <c r="G22" s="76">
        <v>305621</v>
      </c>
      <c r="H22" s="36">
        <f t="shared" si="1"/>
        <v>2016</v>
      </c>
      <c r="I22" s="76">
        <v>226559</v>
      </c>
      <c r="J22" s="36">
        <f t="shared" si="1"/>
        <v>8448</v>
      </c>
      <c r="K22" s="76">
        <v>279933</v>
      </c>
      <c r="L22" s="36">
        <f t="shared" si="1"/>
        <v>4080</v>
      </c>
      <c r="M22" s="76">
        <v>25836</v>
      </c>
      <c r="N22" s="36">
        <f t="shared" si="1"/>
        <v>0</v>
      </c>
      <c r="O22" s="76">
        <v>377315</v>
      </c>
      <c r="P22" s="36">
        <f t="shared" si="16"/>
        <v>10224</v>
      </c>
      <c r="Q22" s="76">
        <v>495563</v>
      </c>
      <c r="R22" s="36">
        <f t="shared" si="17"/>
        <v>4560</v>
      </c>
      <c r="S22" s="76">
        <v>796891</v>
      </c>
      <c r="T22" s="36">
        <f t="shared" si="18"/>
        <v>8544</v>
      </c>
      <c r="U22" s="80">
        <v>9634.0580000000009</v>
      </c>
      <c r="V22" s="100">
        <f t="shared" si="31"/>
        <v>1041.4560000000056</v>
      </c>
      <c r="W22" s="76">
        <v>88359</v>
      </c>
      <c r="X22" s="36">
        <f t="shared" si="8"/>
        <v>912</v>
      </c>
      <c r="Y22" s="76">
        <v>1549328</v>
      </c>
      <c r="Z22" s="36">
        <f>(+Y22-+Y21)*48</f>
        <v>21456</v>
      </c>
      <c r="AA22" s="76">
        <v>14261</v>
      </c>
      <c r="AB22" s="36">
        <f t="shared" si="21"/>
        <v>0</v>
      </c>
      <c r="AC22" s="76">
        <v>531307</v>
      </c>
      <c r="AD22" s="36">
        <f t="shared" si="9"/>
        <v>7440</v>
      </c>
      <c r="AE22" s="76">
        <v>601507</v>
      </c>
      <c r="AF22" s="36">
        <f t="shared" si="9"/>
        <v>5520</v>
      </c>
      <c r="AG22" s="76">
        <v>49813</v>
      </c>
      <c r="AH22" s="36">
        <f t="shared" si="22"/>
        <v>0</v>
      </c>
      <c r="AI22" s="76">
        <v>470010</v>
      </c>
      <c r="AJ22" s="36">
        <f t="shared" si="10"/>
        <v>5328</v>
      </c>
      <c r="AK22" s="76">
        <v>102918</v>
      </c>
      <c r="AL22" s="36">
        <f t="shared" si="23"/>
        <v>864</v>
      </c>
      <c r="AM22" s="75">
        <v>636257</v>
      </c>
      <c r="AN22" s="36">
        <f t="shared" si="11"/>
        <v>8064</v>
      </c>
      <c r="AO22" s="75">
        <v>28181</v>
      </c>
      <c r="AP22" s="36">
        <f t="shared" si="12"/>
        <v>9888</v>
      </c>
      <c r="AQ22" s="76">
        <v>11104</v>
      </c>
      <c r="AR22" s="36">
        <f t="shared" si="30"/>
        <v>12528</v>
      </c>
      <c r="AS22" s="76">
        <v>2571</v>
      </c>
      <c r="AT22" s="36">
        <f t="shared" si="27"/>
        <v>0</v>
      </c>
      <c r="AU22" s="76">
        <v>945</v>
      </c>
      <c r="AV22" s="36">
        <f t="shared" si="28"/>
        <v>0</v>
      </c>
      <c r="AW22" s="76">
        <v>3110</v>
      </c>
      <c r="AX22" s="36">
        <f t="shared" si="24"/>
        <v>0</v>
      </c>
      <c r="AY22" s="76">
        <v>370352</v>
      </c>
      <c r="AZ22" s="36">
        <f t="shared" si="14"/>
        <v>6048</v>
      </c>
      <c r="BA22" s="76">
        <v>161101</v>
      </c>
      <c r="BB22" s="36">
        <f t="shared" si="29"/>
        <v>0</v>
      </c>
      <c r="BC22" s="76">
        <v>249176</v>
      </c>
      <c r="BD22" s="36">
        <f t="shared" si="25"/>
        <v>4224</v>
      </c>
      <c r="BE22" s="76">
        <v>5350</v>
      </c>
      <c r="BF22" s="36">
        <f t="shared" si="26"/>
        <v>0</v>
      </c>
      <c r="BH22" s="155">
        <f t="shared" si="2"/>
        <v>171988.65600000002</v>
      </c>
      <c r="BI22" s="155">
        <f t="shared" si="3"/>
        <v>101788.8</v>
      </c>
    </row>
    <row r="23" spans="1:61" s="34" customFormat="1" ht="39.950000000000003" customHeight="1">
      <c r="A23" s="178">
        <f t="shared" si="7"/>
        <v>44941</v>
      </c>
      <c r="B23" s="33"/>
      <c r="C23" s="76">
        <v>7510133</v>
      </c>
      <c r="D23" s="36">
        <f t="shared" si="15"/>
        <v>139392</v>
      </c>
      <c r="E23" s="101">
        <f>D23*E5</f>
        <v>83635.199999999997</v>
      </c>
      <c r="F23" s="100">
        <f>D23*F5</f>
        <v>55756.800000000003</v>
      </c>
      <c r="G23" s="76">
        <v>305688</v>
      </c>
      <c r="H23" s="36">
        <f t="shared" si="1"/>
        <v>3216</v>
      </c>
      <c r="I23" s="76">
        <v>226721</v>
      </c>
      <c r="J23" s="36">
        <f t="shared" si="1"/>
        <v>7776</v>
      </c>
      <c r="K23" s="76">
        <v>279999</v>
      </c>
      <c r="L23" s="36">
        <f t="shared" si="1"/>
        <v>3168</v>
      </c>
      <c r="M23" s="76">
        <v>25836</v>
      </c>
      <c r="N23" s="36">
        <f>(+M23-+M22)*48</f>
        <v>0</v>
      </c>
      <c r="O23" s="76">
        <v>377564</v>
      </c>
      <c r="P23" s="36">
        <f t="shared" si="16"/>
        <v>11952</v>
      </c>
      <c r="Q23" s="76">
        <v>495675</v>
      </c>
      <c r="R23" s="36">
        <f t="shared" si="17"/>
        <v>5376</v>
      </c>
      <c r="S23" s="76">
        <v>797079</v>
      </c>
      <c r="T23" s="36">
        <f t="shared" si="18"/>
        <v>9024</v>
      </c>
      <c r="U23" s="80">
        <v>9658</v>
      </c>
      <c r="V23" s="100">
        <f t="shared" si="31"/>
        <v>1149.2159999999567</v>
      </c>
      <c r="W23" s="76">
        <v>88388</v>
      </c>
      <c r="X23" s="36">
        <f t="shared" si="8"/>
        <v>1392</v>
      </c>
      <c r="Y23" s="76">
        <v>1549633</v>
      </c>
      <c r="Z23" s="36">
        <f>(+Y23-+Y22)*48</f>
        <v>14640</v>
      </c>
      <c r="AA23" s="76">
        <v>14261</v>
      </c>
      <c r="AB23" s="36">
        <f t="shared" si="21"/>
        <v>0</v>
      </c>
      <c r="AC23" s="76">
        <v>531440</v>
      </c>
      <c r="AD23" s="36">
        <f t="shared" si="9"/>
        <v>6384</v>
      </c>
      <c r="AE23" s="76">
        <v>601603</v>
      </c>
      <c r="AF23" s="36">
        <f t="shared" si="9"/>
        <v>4608</v>
      </c>
      <c r="AG23" s="76">
        <v>49814</v>
      </c>
      <c r="AH23" s="36">
        <f t="shared" si="22"/>
        <v>48</v>
      </c>
      <c r="AI23" s="76">
        <v>470097</v>
      </c>
      <c r="AJ23" s="36">
        <f t="shared" si="10"/>
        <v>4176</v>
      </c>
      <c r="AK23" s="76">
        <v>102929</v>
      </c>
      <c r="AL23" s="36">
        <f t="shared" si="23"/>
        <v>528</v>
      </c>
      <c r="AM23" s="76">
        <v>636382</v>
      </c>
      <c r="AN23" s="36">
        <f t="shared" si="11"/>
        <v>6000</v>
      </c>
      <c r="AO23" s="76">
        <v>28354</v>
      </c>
      <c r="AP23" s="36">
        <f t="shared" si="12"/>
        <v>8304</v>
      </c>
      <c r="AQ23" s="76">
        <v>11351</v>
      </c>
      <c r="AR23" s="36">
        <f t="shared" si="30"/>
        <v>11856</v>
      </c>
      <c r="AS23" s="76">
        <v>2572</v>
      </c>
      <c r="AT23" s="36">
        <f t="shared" si="27"/>
        <v>48</v>
      </c>
      <c r="AU23" s="76">
        <v>945</v>
      </c>
      <c r="AV23" s="36">
        <f t="shared" si="28"/>
        <v>0</v>
      </c>
      <c r="AW23" s="76">
        <v>3110</v>
      </c>
      <c r="AX23" s="36">
        <f t="shared" si="24"/>
        <v>0</v>
      </c>
      <c r="AY23" s="76">
        <v>370448</v>
      </c>
      <c r="AZ23" s="100">
        <f t="shared" si="14"/>
        <v>4608</v>
      </c>
      <c r="BA23" s="76">
        <v>161101</v>
      </c>
      <c r="BB23" s="36">
        <v>0</v>
      </c>
      <c r="BC23" s="76">
        <v>249234</v>
      </c>
      <c r="BD23" s="36">
        <f t="shared" si="25"/>
        <v>2784</v>
      </c>
      <c r="BE23" s="76">
        <v>5350</v>
      </c>
      <c r="BF23" s="36">
        <f t="shared" si="26"/>
        <v>0</v>
      </c>
      <c r="BH23" s="155">
        <f t="shared" si="2"/>
        <v>157072.41599999997</v>
      </c>
      <c r="BI23" s="155">
        <f t="shared" si="3"/>
        <v>89356.800000000003</v>
      </c>
    </row>
    <row r="24" spans="1:61" s="34" customFormat="1" ht="39.950000000000003" customHeight="1">
      <c r="A24" s="178">
        <f t="shared" si="7"/>
        <v>44942</v>
      </c>
      <c r="B24" s="33"/>
      <c r="C24" s="76">
        <v>7513473</v>
      </c>
      <c r="D24" s="36">
        <f t="shared" si="15"/>
        <v>160320</v>
      </c>
      <c r="E24" s="101">
        <f>D24*E5</f>
        <v>96192</v>
      </c>
      <c r="F24" s="100">
        <f>D24*F5</f>
        <v>64128</v>
      </c>
      <c r="G24" s="76">
        <v>305764</v>
      </c>
      <c r="H24" s="36">
        <f t="shared" si="1"/>
        <v>3648</v>
      </c>
      <c r="I24" s="76">
        <v>226894</v>
      </c>
      <c r="J24" s="36">
        <f t="shared" si="1"/>
        <v>8304</v>
      </c>
      <c r="K24" s="76">
        <v>280094</v>
      </c>
      <c r="L24" s="36">
        <f t="shared" si="1"/>
        <v>4560</v>
      </c>
      <c r="M24" s="76">
        <v>25836</v>
      </c>
      <c r="N24" s="36">
        <f>(+M24-+M23)*48</f>
        <v>0</v>
      </c>
      <c r="O24" s="76">
        <v>377821</v>
      </c>
      <c r="P24" s="36">
        <f t="shared" si="16"/>
        <v>12336</v>
      </c>
      <c r="Q24" s="76">
        <v>495786</v>
      </c>
      <c r="R24" s="36">
        <f t="shared" si="17"/>
        <v>5328</v>
      </c>
      <c r="S24" s="76">
        <v>797240</v>
      </c>
      <c r="T24" s="36">
        <f t="shared" si="18"/>
        <v>7728</v>
      </c>
      <c r="U24" s="80">
        <v>9677.8649999999998</v>
      </c>
      <c r="V24" s="100">
        <f t="shared" si="31"/>
        <v>953.51999999998952</v>
      </c>
      <c r="W24" s="76">
        <v>88399</v>
      </c>
      <c r="X24" s="36">
        <f t="shared" si="8"/>
        <v>528</v>
      </c>
      <c r="Y24" s="76">
        <v>1550056</v>
      </c>
      <c r="Z24" s="36">
        <f>(+Y24-+Y23)*48</f>
        <v>20304</v>
      </c>
      <c r="AA24" s="76">
        <v>14266</v>
      </c>
      <c r="AB24" s="36">
        <f t="shared" si="21"/>
        <v>240</v>
      </c>
      <c r="AC24" s="76">
        <v>531600</v>
      </c>
      <c r="AD24" s="36">
        <f t="shared" si="9"/>
        <v>7680</v>
      </c>
      <c r="AE24" s="76">
        <v>601708</v>
      </c>
      <c r="AF24" s="36">
        <f t="shared" si="9"/>
        <v>5040</v>
      </c>
      <c r="AG24" s="76">
        <v>49814</v>
      </c>
      <c r="AH24" s="36">
        <f t="shared" si="22"/>
        <v>0</v>
      </c>
      <c r="AI24" s="76">
        <v>470206</v>
      </c>
      <c r="AJ24" s="36">
        <f t="shared" si="10"/>
        <v>5232</v>
      </c>
      <c r="AK24" s="76">
        <v>102944</v>
      </c>
      <c r="AL24" s="36">
        <f t="shared" si="23"/>
        <v>720</v>
      </c>
      <c r="AM24" s="76">
        <v>636533</v>
      </c>
      <c r="AN24" s="36">
        <f t="shared" si="11"/>
        <v>7248</v>
      </c>
      <c r="AO24" s="76">
        <v>28533</v>
      </c>
      <c r="AP24" s="36">
        <f t="shared" si="12"/>
        <v>8592</v>
      </c>
      <c r="AQ24" s="76">
        <v>11608</v>
      </c>
      <c r="AR24" s="36">
        <f t="shared" si="30"/>
        <v>12336</v>
      </c>
      <c r="AS24" s="76">
        <v>2573</v>
      </c>
      <c r="AT24" s="36">
        <f t="shared" si="27"/>
        <v>48</v>
      </c>
      <c r="AU24" s="76">
        <v>945</v>
      </c>
      <c r="AV24" s="36">
        <f t="shared" si="28"/>
        <v>0</v>
      </c>
      <c r="AW24" s="76">
        <v>3110</v>
      </c>
      <c r="AX24" s="36">
        <f t="shared" si="24"/>
        <v>0</v>
      </c>
      <c r="AY24" s="76">
        <v>370553</v>
      </c>
      <c r="AZ24" s="36">
        <f t="shared" si="14"/>
        <v>5040</v>
      </c>
      <c r="BA24" s="76">
        <v>161101</v>
      </c>
      <c r="BB24" s="100">
        <f t="shared" ref="BB24:BB26" si="32">(+BA24-+BA23)*48</f>
        <v>0</v>
      </c>
      <c r="BC24" s="76">
        <v>249301</v>
      </c>
      <c r="BD24" s="36">
        <f t="shared" si="25"/>
        <v>3216</v>
      </c>
      <c r="BE24" s="76">
        <v>5350</v>
      </c>
      <c r="BF24" s="36">
        <f t="shared" si="26"/>
        <v>0</v>
      </c>
      <c r="BH24" s="102">
        <f t="shared" si="2"/>
        <v>178793.52</v>
      </c>
      <c r="BI24" s="102">
        <f t="shared" si="3"/>
        <v>100608</v>
      </c>
    </row>
    <row r="25" spans="1:61" s="34" customFormat="1" ht="39.950000000000003" customHeight="1">
      <c r="A25" s="178">
        <f t="shared" si="7"/>
        <v>44943</v>
      </c>
      <c r="B25" s="33"/>
      <c r="C25" s="76">
        <v>7517749</v>
      </c>
      <c r="D25" s="100">
        <f t="shared" si="15"/>
        <v>205248</v>
      </c>
      <c r="E25" s="101">
        <f>D25*E5</f>
        <v>123148.79999999999</v>
      </c>
      <c r="F25" s="100">
        <f>D25*F5</f>
        <v>82099.200000000012</v>
      </c>
      <c r="G25" s="76">
        <v>305805</v>
      </c>
      <c r="H25" s="100">
        <f t="shared" si="1"/>
        <v>1968</v>
      </c>
      <c r="I25" s="76">
        <v>227060</v>
      </c>
      <c r="J25" s="100">
        <f t="shared" si="1"/>
        <v>7968</v>
      </c>
      <c r="K25" s="76">
        <v>280137</v>
      </c>
      <c r="L25" s="100">
        <f t="shared" si="1"/>
        <v>2064</v>
      </c>
      <c r="M25" s="76">
        <v>25836</v>
      </c>
      <c r="N25" s="100">
        <f>(+M25-+M24)*48</f>
        <v>0</v>
      </c>
      <c r="O25" s="76">
        <v>378048</v>
      </c>
      <c r="P25" s="100">
        <f t="shared" si="16"/>
        <v>10896</v>
      </c>
      <c r="Q25" s="76">
        <v>495884</v>
      </c>
      <c r="R25" s="100">
        <f t="shared" si="17"/>
        <v>4704</v>
      </c>
      <c r="S25" s="76">
        <v>797340</v>
      </c>
      <c r="T25" s="100">
        <f t="shared" si="18"/>
        <v>4800</v>
      </c>
      <c r="U25" s="80">
        <v>9697.8850000000002</v>
      </c>
      <c r="V25" s="100">
        <f t="shared" si="31"/>
        <v>960.96000000002095</v>
      </c>
      <c r="W25" s="76">
        <v>88399</v>
      </c>
      <c r="X25" s="100">
        <f t="shared" si="8"/>
        <v>0</v>
      </c>
      <c r="Y25" s="76">
        <v>1550516</v>
      </c>
      <c r="Z25" s="100">
        <f t="shared" si="20"/>
        <v>22080</v>
      </c>
      <c r="AA25" s="76">
        <v>14283</v>
      </c>
      <c r="AB25" s="100">
        <f t="shared" si="21"/>
        <v>816</v>
      </c>
      <c r="AC25" s="76">
        <v>531688</v>
      </c>
      <c r="AD25" s="100">
        <f t="shared" si="9"/>
        <v>4224</v>
      </c>
      <c r="AE25" s="76">
        <v>601752</v>
      </c>
      <c r="AF25" s="100">
        <f t="shared" si="9"/>
        <v>2112</v>
      </c>
      <c r="AG25" s="76">
        <v>49814</v>
      </c>
      <c r="AH25" s="100">
        <f t="shared" si="22"/>
        <v>0</v>
      </c>
      <c r="AI25" s="76">
        <v>470318</v>
      </c>
      <c r="AJ25" s="100">
        <f t="shared" si="10"/>
        <v>5376</v>
      </c>
      <c r="AK25" s="76">
        <v>102952</v>
      </c>
      <c r="AL25" s="100">
        <f t="shared" si="23"/>
        <v>384</v>
      </c>
      <c r="AM25" s="76">
        <v>636661</v>
      </c>
      <c r="AN25" s="100">
        <f t="shared" si="11"/>
        <v>6144</v>
      </c>
      <c r="AO25" s="76">
        <v>28629</v>
      </c>
      <c r="AP25" s="100">
        <f t="shared" si="12"/>
        <v>4608</v>
      </c>
      <c r="AQ25" s="76">
        <v>11865</v>
      </c>
      <c r="AR25" s="100">
        <f t="shared" si="30"/>
        <v>12336</v>
      </c>
      <c r="AS25" s="76">
        <v>2573</v>
      </c>
      <c r="AT25" s="100">
        <f t="shared" si="27"/>
        <v>0</v>
      </c>
      <c r="AU25" s="76">
        <v>945</v>
      </c>
      <c r="AV25" s="100">
        <f t="shared" si="28"/>
        <v>0</v>
      </c>
      <c r="AW25" s="76">
        <v>3110</v>
      </c>
      <c r="AX25" s="100">
        <f t="shared" si="24"/>
        <v>0</v>
      </c>
      <c r="AY25" s="76">
        <v>370677</v>
      </c>
      <c r="AZ25" s="100">
        <f t="shared" si="14"/>
        <v>5952</v>
      </c>
      <c r="BA25" s="76">
        <v>161101</v>
      </c>
      <c r="BB25" s="100">
        <f t="shared" si="32"/>
        <v>0</v>
      </c>
      <c r="BC25" s="76">
        <v>249391</v>
      </c>
      <c r="BD25" s="100">
        <f t="shared" si="25"/>
        <v>4320</v>
      </c>
      <c r="BE25" s="76">
        <v>5350</v>
      </c>
      <c r="BF25" s="36">
        <f t="shared" si="26"/>
        <v>0</v>
      </c>
      <c r="BH25" s="102">
        <f t="shared" si="2"/>
        <v>191501.76</v>
      </c>
      <c r="BI25" s="102">
        <f t="shared" si="3"/>
        <v>115459.20000000001</v>
      </c>
    </row>
    <row r="26" spans="1:61" s="34" customFormat="1" ht="39.950000000000003" customHeight="1">
      <c r="A26" s="178">
        <f t="shared" si="7"/>
        <v>44944</v>
      </c>
      <c r="B26" s="33"/>
      <c r="C26" s="76">
        <v>7522091</v>
      </c>
      <c r="D26" s="100">
        <f t="shared" si="15"/>
        <v>208416</v>
      </c>
      <c r="E26" s="101">
        <f>D26*E5</f>
        <v>125049.59999999999</v>
      </c>
      <c r="F26" s="100">
        <f>D26*F5</f>
        <v>83366.400000000009</v>
      </c>
      <c r="G26" s="76">
        <v>305844</v>
      </c>
      <c r="H26" s="100">
        <f t="shared" si="1"/>
        <v>1872</v>
      </c>
      <c r="I26" s="76">
        <v>227226</v>
      </c>
      <c r="J26" s="100">
        <f t="shared" si="1"/>
        <v>7968</v>
      </c>
      <c r="K26" s="76">
        <v>280210</v>
      </c>
      <c r="L26" s="100">
        <f t="shared" si="1"/>
        <v>3504</v>
      </c>
      <c r="M26" s="76">
        <v>25836</v>
      </c>
      <c r="N26" s="100">
        <f t="shared" si="1"/>
        <v>0</v>
      </c>
      <c r="O26" s="76">
        <v>378277</v>
      </c>
      <c r="P26" s="100">
        <f t="shared" si="16"/>
        <v>10992</v>
      </c>
      <c r="Q26" s="76">
        <v>495991</v>
      </c>
      <c r="R26" s="100">
        <f t="shared" si="17"/>
        <v>5136</v>
      </c>
      <c r="S26" s="76">
        <v>797541</v>
      </c>
      <c r="T26" s="100">
        <f t="shared" si="18"/>
        <v>9648</v>
      </c>
      <c r="U26" s="80">
        <v>9718</v>
      </c>
      <c r="V26" s="100">
        <f t="shared" si="31"/>
        <v>965.51999999998952</v>
      </c>
      <c r="W26" s="76">
        <v>88416</v>
      </c>
      <c r="X26" s="100">
        <f t="shared" si="8"/>
        <v>816</v>
      </c>
      <c r="Y26" s="76">
        <v>1550989</v>
      </c>
      <c r="Z26" s="100">
        <f t="shared" si="20"/>
        <v>22704</v>
      </c>
      <c r="AA26" s="76">
        <v>14293</v>
      </c>
      <c r="AB26" s="100">
        <f t="shared" si="21"/>
        <v>480</v>
      </c>
      <c r="AC26" s="76">
        <v>531815</v>
      </c>
      <c r="AD26" s="100">
        <f t="shared" si="9"/>
        <v>6096</v>
      </c>
      <c r="AE26" s="76">
        <v>601823</v>
      </c>
      <c r="AF26" s="100">
        <f t="shared" si="9"/>
        <v>3408</v>
      </c>
      <c r="AG26" s="76">
        <v>49814</v>
      </c>
      <c r="AH26" s="100">
        <f t="shared" si="22"/>
        <v>0</v>
      </c>
      <c r="AI26" s="76">
        <v>470435</v>
      </c>
      <c r="AJ26" s="100">
        <f t="shared" si="10"/>
        <v>5616</v>
      </c>
      <c r="AK26" s="76">
        <v>102962</v>
      </c>
      <c r="AL26" s="100">
        <f t="shared" si="23"/>
        <v>480</v>
      </c>
      <c r="AM26" s="76">
        <v>636755</v>
      </c>
      <c r="AN26" s="100">
        <f t="shared" si="11"/>
        <v>4512</v>
      </c>
      <c r="AO26" s="76">
        <v>28698</v>
      </c>
      <c r="AP26" s="100">
        <f t="shared" si="12"/>
        <v>3312</v>
      </c>
      <c r="AQ26" s="76">
        <v>12167</v>
      </c>
      <c r="AR26" s="100">
        <f t="shared" si="30"/>
        <v>14496</v>
      </c>
      <c r="AS26" s="76">
        <v>2576</v>
      </c>
      <c r="AT26" s="100">
        <f t="shared" si="27"/>
        <v>144</v>
      </c>
      <c r="AU26" s="76">
        <v>946</v>
      </c>
      <c r="AV26" s="100">
        <f t="shared" si="28"/>
        <v>48</v>
      </c>
      <c r="AW26" s="76">
        <v>3110</v>
      </c>
      <c r="AX26" s="100">
        <f t="shared" si="24"/>
        <v>0</v>
      </c>
      <c r="AY26" s="76">
        <v>370793</v>
      </c>
      <c r="AZ26" s="100">
        <f t="shared" si="14"/>
        <v>5568</v>
      </c>
      <c r="BA26" s="76">
        <v>161101</v>
      </c>
      <c r="BB26" s="100">
        <f t="shared" si="32"/>
        <v>0</v>
      </c>
      <c r="BC26" s="76">
        <v>249447</v>
      </c>
      <c r="BD26" s="100">
        <f t="shared" si="25"/>
        <v>2688</v>
      </c>
      <c r="BE26" s="76">
        <v>5350</v>
      </c>
      <c r="BF26" s="36">
        <f t="shared" si="26"/>
        <v>0</v>
      </c>
      <c r="BH26" s="102">
        <f t="shared" si="2"/>
        <v>204735.11999999997</v>
      </c>
      <c r="BI26" s="102">
        <f t="shared" si="3"/>
        <v>114134.40000000001</v>
      </c>
    </row>
    <row r="27" spans="1:61" s="34" customFormat="1" ht="39.950000000000003" customHeight="1">
      <c r="A27" s="178">
        <f t="shared" si="7"/>
        <v>44945</v>
      </c>
      <c r="B27" s="33"/>
      <c r="C27" s="76">
        <v>7526278</v>
      </c>
      <c r="D27" s="100">
        <f t="shared" si="15"/>
        <v>200976</v>
      </c>
      <c r="E27" s="101">
        <f>D27*E5</f>
        <v>120585.59999999999</v>
      </c>
      <c r="F27" s="100">
        <f>D27*F5</f>
        <v>80390.400000000009</v>
      </c>
      <c r="G27" s="76">
        <v>305894</v>
      </c>
      <c r="H27" s="100">
        <f t="shared" si="1"/>
        <v>2400</v>
      </c>
      <c r="I27" s="76">
        <v>227400</v>
      </c>
      <c r="J27" s="100">
        <f t="shared" si="1"/>
        <v>8352</v>
      </c>
      <c r="K27" s="76">
        <v>280287</v>
      </c>
      <c r="L27" s="100">
        <f t="shared" si="1"/>
        <v>3696</v>
      </c>
      <c r="M27" s="76">
        <v>25836</v>
      </c>
      <c r="N27" s="100">
        <f t="shared" si="1"/>
        <v>0</v>
      </c>
      <c r="O27" s="76">
        <v>378504</v>
      </c>
      <c r="P27" s="100">
        <f t="shared" si="16"/>
        <v>10896</v>
      </c>
      <c r="Q27" s="76">
        <v>496097</v>
      </c>
      <c r="R27" s="100">
        <f t="shared" si="17"/>
        <v>5088</v>
      </c>
      <c r="S27" s="76">
        <v>797711</v>
      </c>
      <c r="T27" s="100">
        <f t="shared" si="18"/>
        <v>8160</v>
      </c>
      <c r="U27" s="80">
        <v>9738</v>
      </c>
      <c r="V27" s="100">
        <f t="shared" si="31"/>
        <v>960</v>
      </c>
      <c r="W27" s="76">
        <v>88427</v>
      </c>
      <c r="X27" s="100">
        <f t="shared" si="8"/>
        <v>528</v>
      </c>
      <c r="Y27" s="76">
        <v>1551458</v>
      </c>
      <c r="Z27" s="100">
        <f t="shared" si="20"/>
        <v>22512</v>
      </c>
      <c r="AA27" s="76">
        <v>14295</v>
      </c>
      <c r="AB27" s="100">
        <f t="shared" si="21"/>
        <v>96</v>
      </c>
      <c r="AC27" s="76">
        <v>531868</v>
      </c>
      <c r="AD27" s="100">
        <f t="shared" si="9"/>
        <v>2544</v>
      </c>
      <c r="AE27" s="76">
        <v>601838</v>
      </c>
      <c r="AF27" s="100">
        <f t="shared" si="9"/>
        <v>720</v>
      </c>
      <c r="AG27" s="76">
        <v>49814</v>
      </c>
      <c r="AH27" s="100">
        <f t="shared" si="22"/>
        <v>0</v>
      </c>
      <c r="AI27" s="76">
        <v>470546</v>
      </c>
      <c r="AJ27" s="100">
        <f t="shared" si="10"/>
        <v>5328</v>
      </c>
      <c r="AK27" s="76">
        <v>102967</v>
      </c>
      <c r="AL27" s="100">
        <f t="shared" si="23"/>
        <v>240</v>
      </c>
      <c r="AM27" s="76">
        <v>636825</v>
      </c>
      <c r="AN27" s="100">
        <f t="shared" si="11"/>
        <v>3360</v>
      </c>
      <c r="AO27" s="76">
        <v>28722</v>
      </c>
      <c r="AP27" s="100">
        <f t="shared" si="12"/>
        <v>1152</v>
      </c>
      <c r="AQ27" s="76">
        <v>12431</v>
      </c>
      <c r="AR27" s="100">
        <f t="shared" si="30"/>
        <v>12672</v>
      </c>
      <c r="AS27" s="76">
        <v>2580</v>
      </c>
      <c r="AT27" s="100">
        <f t="shared" si="27"/>
        <v>192</v>
      </c>
      <c r="AU27" s="76">
        <v>946</v>
      </c>
      <c r="AV27" s="100">
        <f t="shared" si="28"/>
        <v>0</v>
      </c>
      <c r="AW27" s="76">
        <v>3110</v>
      </c>
      <c r="AX27" s="100">
        <f t="shared" si="24"/>
        <v>0</v>
      </c>
      <c r="AY27" s="76">
        <v>370902</v>
      </c>
      <c r="AZ27" s="100">
        <f>(+AY27-+AY26)*48</f>
        <v>5232</v>
      </c>
      <c r="BA27" s="76">
        <v>161101</v>
      </c>
      <c r="BB27" s="100">
        <f>(+BA27-+BA26)*48</f>
        <v>0</v>
      </c>
      <c r="BC27" s="76">
        <v>249516</v>
      </c>
      <c r="BD27" s="100">
        <f t="shared" si="25"/>
        <v>3312</v>
      </c>
      <c r="BE27" s="76">
        <v>5350</v>
      </c>
      <c r="BF27" s="36">
        <f t="shared" si="26"/>
        <v>0</v>
      </c>
      <c r="BH27" s="102">
        <f t="shared" si="2"/>
        <v>192105.59999999998</v>
      </c>
      <c r="BI27" s="102">
        <f t="shared" si="3"/>
        <v>106310.40000000001</v>
      </c>
    </row>
    <row r="28" spans="1:61" s="34" customFormat="1" ht="39.950000000000003" customHeight="1">
      <c r="A28" s="178">
        <f t="shared" si="7"/>
        <v>44946</v>
      </c>
      <c r="B28" s="33"/>
      <c r="C28" s="76">
        <v>7530264</v>
      </c>
      <c r="D28" s="100">
        <f t="shared" si="15"/>
        <v>191328</v>
      </c>
      <c r="E28" s="101">
        <f>D28*E5</f>
        <v>114796.8</v>
      </c>
      <c r="F28" s="100">
        <f>D28*F5</f>
        <v>76531.199999999997</v>
      </c>
      <c r="G28" s="76">
        <v>305954</v>
      </c>
      <c r="H28" s="100">
        <f t="shared" si="1"/>
        <v>2880</v>
      </c>
      <c r="I28" s="76">
        <v>227564</v>
      </c>
      <c r="J28" s="100">
        <f t="shared" si="1"/>
        <v>7872</v>
      </c>
      <c r="K28" s="76">
        <v>280360</v>
      </c>
      <c r="L28" s="100">
        <f t="shared" si="1"/>
        <v>3504</v>
      </c>
      <c r="M28" s="76">
        <v>25836</v>
      </c>
      <c r="N28" s="100">
        <f t="shared" si="1"/>
        <v>0</v>
      </c>
      <c r="O28" s="76">
        <v>378723</v>
      </c>
      <c r="P28" s="100">
        <f t="shared" si="16"/>
        <v>10512</v>
      </c>
      <c r="Q28" s="76">
        <v>496186</v>
      </c>
      <c r="R28" s="100">
        <f t="shared" si="17"/>
        <v>4272</v>
      </c>
      <c r="S28" s="76">
        <v>797868</v>
      </c>
      <c r="T28" s="100">
        <f t="shared" si="18"/>
        <v>7536</v>
      </c>
      <c r="U28" s="80">
        <v>9758</v>
      </c>
      <c r="V28" s="100">
        <f t="shared" si="31"/>
        <v>960</v>
      </c>
      <c r="W28" s="76">
        <v>88446</v>
      </c>
      <c r="X28" s="100">
        <f t="shared" si="8"/>
        <v>912</v>
      </c>
      <c r="Y28" s="76">
        <v>1551921</v>
      </c>
      <c r="Z28" s="100">
        <f t="shared" si="20"/>
        <v>22224</v>
      </c>
      <c r="AA28" s="76">
        <v>14307</v>
      </c>
      <c r="AB28" s="100">
        <f t="shared" si="21"/>
        <v>576</v>
      </c>
      <c r="AC28" s="76">
        <v>531950</v>
      </c>
      <c r="AD28" s="100">
        <f t="shared" si="9"/>
        <v>3936</v>
      </c>
      <c r="AE28" s="76">
        <v>601871</v>
      </c>
      <c r="AF28" s="100">
        <f t="shared" si="9"/>
        <v>1584</v>
      </c>
      <c r="AG28" s="75">
        <v>49814</v>
      </c>
      <c r="AH28" s="100">
        <f t="shared" si="22"/>
        <v>0</v>
      </c>
      <c r="AI28" s="76">
        <v>470649</v>
      </c>
      <c r="AJ28" s="100">
        <f t="shared" si="10"/>
        <v>4944</v>
      </c>
      <c r="AK28" s="76">
        <v>102971</v>
      </c>
      <c r="AL28" s="100">
        <f t="shared" si="23"/>
        <v>192</v>
      </c>
      <c r="AM28" s="76">
        <v>636911</v>
      </c>
      <c r="AN28" s="100">
        <f t="shared" si="11"/>
        <v>4128</v>
      </c>
      <c r="AO28" s="76">
        <v>28773</v>
      </c>
      <c r="AP28" s="100">
        <f t="shared" si="12"/>
        <v>2448</v>
      </c>
      <c r="AQ28" s="76">
        <v>12710</v>
      </c>
      <c r="AR28" s="100">
        <f t="shared" si="30"/>
        <v>13392</v>
      </c>
      <c r="AS28" s="76">
        <v>2582</v>
      </c>
      <c r="AT28" s="100">
        <f t="shared" si="27"/>
        <v>96</v>
      </c>
      <c r="AU28" s="76">
        <v>946</v>
      </c>
      <c r="AV28" s="100">
        <f t="shared" si="28"/>
        <v>0</v>
      </c>
      <c r="AW28" s="76">
        <v>3110</v>
      </c>
      <c r="AX28" s="100">
        <f t="shared" si="24"/>
        <v>0</v>
      </c>
      <c r="AY28" s="76">
        <v>371016</v>
      </c>
      <c r="AZ28" s="100">
        <f t="shared" ref="AZ28:AZ38" si="33">(+AY28-+AY27)*48</f>
        <v>5472</v>
      </c>
      <c r="BA28" s="76">
        <v>161101</v>
      </c>
      <c r="BB28" s="100">
        <f>(+BA28-+BA27)*48</f>
        <v>0</v>
      </c>
      <c r="BC28" s="76">
        <v>249583</v>
      </c>
      <c r="BD28" s="100">
        <f t="shared" si="25"/>
        <v>3216</v>
      </c>
      <c r="BE28" s="76">
        <v>5350</v>
      </c>
      <c r="BF28" s="36">
        <f t="shared" si="26"/>
        <v>0</v>
      </c>
      <c r="BH28" s="102">
        <f t="shared" si="2"/>
        <v>186700.79999999999</v>
      </c>
      <c r="BI28" s="102">
        <f t="shared" si="3"/>
        <v>105283.2</v>
      </c>
    </row>
    <row r="29" spans="1:61" s="34" customFormat="1" ht="39.950000000000003" customHeight="1">
      <c r="A29" s="178">
        <f t="shared" si="7"/>
        <v>44947</v>
      </c>
      <c r="B29" s="33"/>
      <c r="C29" s="76">
        <v>7533862</v>
      </c>
      <c r="D29" s="100">
        <f t="shared" si="15"/>
        <v>172704</v>
      </c>
      <c r="E29" s="101">
        <f>D29*E5</f>
        <v>103622.39999999999</v>
      </c>
      <c r="F29" s="100">
        <f>D29*F5</f>
        <v>69081.600000000006</v>
      </c>
      <c r="G29" s="76">
        <v>306003</v>
      </c>
      <c r="H29" s="100">
        <f t="shared" si="1"/>
        <v>2352</v>
      </c>
      <c r="I29" s="76">
        <v>227727</v>
      </c>
      <c r="J29" s="100">
        <f t="shared" si="1"/>
        <v>7824</v>
      </c>
      <c r="K29" s="76">
        <v>280385</v>
      </c>
      <c r="L29" s="100">
        <f t="shared" si="1"/>
        <v>1200</v>
      </c>
      <c r="M29" s="76">
        <v>25836</v>
      </c>
      <c r="N29" s="100">
        <f t="shared" si="1"/>
        <v>0</v>
      </c>
      <c r="O29" s="76">
        <v>378926</v>
      </c>
      <c r="P29" s="100">
        <f t="shared" si="16"/>
        <v>9744</v>
      </c>
      <c r="Q29" s="76">
        <v>496274</v>
      </c>
      <c r="R29" s="100">
        <f t="shared" si="17"/>
        <v>4224</v>
      </c>
      <c r="S29" s="75">
        <v>798041</v>
      </c>
      <c r="T29" s="100">
        <f t="shared" si="18"/>
        <v>8304</v>
      </c>
      <c r="U29" s="81">
        <v>9780</v>
      </c>
      <c r="V29" s="100">
        <f t="shared" si="31"/>
        <v>1056</v>
      </c>
      <c r="W29" s="76">
        <v>88464</v>
      </c>
      <c r="X29" s="100">
        <f t="shared" si="8"/>
        <v>864</v>
      </c>
      <c r="Y29" s="76">
        <v>1552276</v>
      </c>
      <c r="Z29" s="100">
        <f t="shared" si="20"/>
        <v>17040</v>
      </c>
      <c r="AA29" s="76">
        <v>14311</v>
      </c>
      <c r="AB29" s="100">
        <f t="shared" si="21"/>
        <v>192</v>
      </c>
      <c r="AC29" s="76">
        <v>532045</v>
      </c>
      <c r="AD29" s="100">
        <f t="shared" si="9"/>
        <v>4560</v>
      </c>
      <c r="AE29" s="76">
        <v>601909</v>
      </c>
      <c r="AF29" s="100">
        <f t="shared" si="9"/>
        <v>1824</v>
      </c>
      <c r="AG29" s="75">
        <v>49814</v>
      </c>
      <c r="AH29" s="100">
        <f t="shared" si="22"/>
        <v>0</v>
      </c>
      <c r="AI29" s="76">
        <v>470751</v>
      </c>
      <c r="AJ29" s="100">
        <f t="shared" si="10"/>
        <v>4896</v>
      </c>
      <c r="AK29" s="76">
        <v>102975</v>
      </c>
      <c r="AL29" s="100">
        <f t="shared" si="23"/>
        <v>192</v>
      </c>
      <c r="AM29" s="76">
        <v>636982</v>
      </c>
      <c r="AN29" s="100">
        <f t="shared" si="11"/>
        <v>3408</v>
      </c>
      <c r="AO29" s="76">
        <v>28832</v>
      </c>
      <c r="AP29" s="100">
        <f t="shared" si="12"/>
        <v>2832</v>
      </c>
      <c r="AQ29" s="76">
        <v>12983</v>
      </c>
      <c r="AR29" s="100">
        <f t="shared" si="30"/>
        <v>13104</v>
      </c>
      <c r="AS29" s="76">
        <v>2582</v>
      </c>
      <c r="AT29" s="100">
        <f t="shared" si="27"/>
        <v>0</v>
      </c>
      <c r="AU29" s="76">
        <v>946</v>
      </c>
      <c r="AV29" s="100">
        <f t="shared" si="28"/>
        <v>0</v>
      </c>
      <c r="AW29" s="76">
        <v>3110</v>
      </c>
      <c r="AX29" s="100">
        <f t="shared" si="24"/>
        <v>0</v>
      </c>
      <c r="AY29" s="76">
        <v>371122</v>
      </c>
      <c r="AZ29" s="100">
        <f t="shared" si="33"/>
        <v>5088</v>
      </c>
      <c r="BA29" s="76">
        <v>161101</v>
      </c>
      <c r="BB29" s="100">
        <f t="shared" ref="BB29:BB38" si="34">(+BA29-+BA28)*48</f>
        <v>0</v>
      </c>
      <c r="BC29" s="76">
        <v>249655</v>
      </c>
      <c r="BD29" s="100">
        <f t="shared" si="25"/>
        <v>3456</v>
      </c>
      <c r="BE29" s="76">
        <v>5350</v>
      </c>
      <c r="BF29" s="36">
        <f t="shared" si="26"/>
        <v>0</v>
      </c>
      <c r="BH29" s="102">
        <f t="shared" si="2"/>
        <v>167894.39999999999</v>
      </c>
      <c r="BI29" s="102">
        <f t="shared" si="3"/>
        <v>96969.600000000006</v>
      </c>
    </row>
    <row r="30" spans="1:61" s="34" customFormat="1" ht="39.950000000000003" customHeight="1">
      <c r="A30" s="178">
        <f t="shared" si="7"/>
        <v>44948</v>
      </c>
      <c r="B30" s="33"/>
      <c r="C30" s="76">
        <v>7537565</v>
      </c>
      <c r="D30" s="100">
        <f t="shared" si="15"/>
        <v>177744</v>
      </c>
      <c r="E30" s="101">
        <f>D30*E5</f>
        <v>106646.39999999999</v>
      </c>
      <c r="F30" s="100">
        <f>D30*F5</f>
        <v>71097.600000000006</v>
      </c>
      <c r="G30" s="76">
        <v>306056</v>
      </c>
      <c r="H30" s="100">
        <f t="shared" si="1"/>
        <v>2544</v>
      </c>
      <c r="I30" s="76">
        <v>227887</v>
      </c>
      <c r="J30" s="100">
        <f t="shared" si="1"/>
        <v>7680</v>
      </c>
      <c r="K30" s="76">
        <v>280422</v>
      </c>
      <c r="L30" s="100">
        <f t="shared" si="1"/>
        <v>1776</v>
      </c>
      <c r="M30" s="76">
        <v>25836</v>
      </c>
      <c r="N30" s="100">
        <f t="shared" si="1"/>
        <v>0</v>
      </c>
      <c r="O30" s="76">
        <v>379148</v>
      </c>
      <c r="P30" s="100">
        <f t="shared" si="16"/>
        <v>10656</v>
      </c>
      <c r="Q30" s="76">
        <v>496356</v>
      </c>
      <c r="R30" s="100">
        <f t="shared" si="17"/>
        <v>3936</v>
      </c>
      <c r="S30" s="76">
        <v>798201</v>
      </c>
      <c r="T30" s="100">
        <f t="shared" si="18"/>
        <v>7680</v>
      </c>
      <c r="U30" s="80">
        <v>9801</v>
      </c>
      <c r="V30" s="100">
        <f t="shared" si="31"/>
        <v>1008</v>
      </c>
      <c r="W30" s="76">
        <v>88483</v>
      </c>
      <c r="X30" s="100">
        <f t="shared" si="8"/>
        <v>912</v>
      </c>
      <c r="Y30" s="76">
        <v>1552740</v>
      </c>
      <c r="Z30" s="100">
        <f t="shared" si="20"/>
        <v>22272</v>
      </c>
      <c r="AA30" s="76">
        <v>14323</v>
      </c>
      <c r="AB30" s="100">
        <f t="shared" si="21"/>
        <v>576</v>
      </c>
      <c r="AC30" s="76">
        <v>532223</v>
      </c>
      <c r="AD30" s="100">
        <f t="shared" si="9"/>
        <v>8544</v>
      </c>
      <c r="AE30" s="76">
        <v>602039</v>
      </c>
      <c r="AF30" s="100">
        <f t="shared" si="9"/>
        <v>6240</v>
      </c>
      <c r="AG30" s="75">
        <v>49814</v>
      </c>
      <c r="AH30" s="100">
        <f t="shared" si="22"/>
        <v>0</v>
      </c>
      <c r="AI30" s="76">
        <v>470866</v>
      </c>
      <c r="AJ30" s="100">
        <f t="shared" si="10"/>
        <v>5520</v>
      </c>
      <c r="AK30" s="76">
        <v>102981</v>
      </c>
      <c r="AL30" s="100">
        <f t="shared" si="23"/>
        <v>288</v>
      </c>
      <c r="AM30" s="76">
        <v>637151</v>
      </c>
      <c r="AN30" s="100">
        <f t="shared" si="11"/>
        <v>8112</v>
      </c>
      <c r="AO30" s="76">
        <v>28994</v>
      </c>
      <c r="AP30" s="100">
        <f t="shared" si="12"/>
        <v>7776</v>
      </c>
      <c r="AQ30" s="76">
        <v>13242</v>
      </c>
      <c r="AR30" s="100">
        <f t="shared" si="30"/>
        <v>12432</v>
      </c>
      <c r="AS30" s="76">
        <v>2584</v>
      </c>
      <c r="AT30" s="100">
        <f t="shared" si="27"/>
        <v>96</v>
      </c>
      <c r="AU30" s="76">
        <v>946</v>
      </c>
      <c r="AV30" s="100">
        <f t="shared" si="28"/>
        <v>0</v>
      </c>
      <c r="AW30" s="76">
        <v>3110</v>
      </c>
      <c r="AX30" s="100">
        <f t="shared" si="24"/>
        <v>0</v>
      </c>
      <c r="AY30" s="76">
        <v>371237</v>
      </c>
      <c r="AZ30" s="100">
        <f t="shared" si="33"/>
        <v>5520</v>
      </c>
      <c r="BA30" s="76">
        <v>161101</v>
      </c>
      <c r="BB30" s="100">
        <f t="shared" si="34"/>
        <v>0</v>
      </c>
      <c r="BC30" s="76">
        <v>249723</v>
      </c>
      <c r="BD30" s="100">
        <f t="shared" si="25"/>
        <v>3264</v>
      </c>
      <c r="BE30" s="76">
        <v>5350</v>
      </c>
      <c r="BF30" s="36">
        <f t="shared" si="26"/>
        <v>0</v>
      </c>
      <c r="BH30" s="102">
        <f t="shared" si="2"/>
        <v>186278.39999999999</v>
      </c>
      <c r="BI30" s="102">
        <f t="shared" si="3"/>
        <v>108297.60000000001</v>
      </c>
    </row>
    <row r="31" spans="1:61" s="34" customFormat="1" ht="39.950000000000003" customHeight="1">
      <c r="A31" s="178">
        <f t="shared" si="7"/>
        <v>44949</v>
      </c>
      <c r="B31" s="33"/>
      <c r="C31" s="76">
        <v>7540480</v>
      </c>
      <c r="D31" s="100">
        <f t="shared" si="15"/>
        <v>139920</v>
      </c>
      <c r="E31" s="101">
        <f>D31*E5</f>
        <v>83952</v>
      </c>
      <c r="F31" s="100">
        <f>D31*F5</f>
        <v>55968</v>
      </c>
      <c r="G31" s="76">
        <v>306106</v>
      </c>
      <c r="H31" s="100">
        <f t="shared" si="1"/>
        <v>2400</v>
      </c>
      <c r="I31" s="76">
        <v>228051</v>
      </c>
      <c r="J31" s="100">
        <f t="shared" si="1"/>
        <v>7872</v>
      </c>
      <c r="K31" s="76">
        <v>280450</v>
      </c>
      <c r="L31" s="100">
        <f t="shared" si="1"/>
        <v>1344</v>
      </c>
      <c r="M31" s="76">
        <v>25836</v>
      </c>
      <c r="N31" s="100">
        <f t="shared" si="1"/>
        <v>0</v>
      </c>
      <c r="O31" s="76">
        <v>379376</v>
      </c>
      <c r="P31" s="100">
        <f t="shared" si="16"/>
        <v>10944</v>
      </c>
      <c r="Q31" s="76">
        <v>496443</v>
      </c>
      <c r="R31" s="100">
        <f t="shared" si="17"/>
        <v>4176</v>
      </c>
      <c r="S31" s="76">
        <v>798375</v>
      </c>
      <c r="T31" s="100">
        <f t="shared" si="18"/>
        <v>8352</v>
      </c>
      <c r="U31" s="80">
        <v>9825</v>
      </c>
      <c r="V31" s="100">
        <f t="shared" si="31"/>
        <v>1152</v>
      </c>
      <c r="W31" s="76">
        <v>88500</v>
      </c>
      <c r="X31" s="100">
        <f t="shared" si="8"/>
        <v>816</v>
      </c>
      <c r="Y31" s="76">
        <v>1553299</v>
      </c>
      <c r="Z31" s="100">
        <f t="shared" si="20"/>
        <v>26832</v>
      </c>
      <c r="AA31" s="76">
        <v>14326</v>
      </c>
      <c r="AB31" s="100">
        <f t="shared" si="21"/>
        <v>144</v>
      </c>
      <c r="AC31" s="76">
        <v>532410</v>
      </c>
      <c r="AD31" s="100">
        <f t="shared" si="9"/>
        <v>8976</v>
      </c>
      <c r="AE31" s="76">
        <v>602181</v>
      </c>
      <c r="AF31" s="100">
        <f t="shared" si="9"/>
        <v>6816</v>
      </c>
      <c r="AG31" s="75">
        <v>49814</v>
      </c>
      <c r="AH31" s="100">
        <f t="shared" si="22"/>
        <v>0</v>
      </c>
      <c r="AI31" s="76">
        <v>470980</v>
      </c>
      <c r="AJ31" s="100">
        <f t="shared" si="10"/>
        <v>5472</v>
      </c>
      <c r="AK31" s="76">
        <v>102987</v>
      </c>
      <c r="AL31" s="100">
        <f t="shared" si="23"/>
        <v>288</v>
      </c>
      <c r="AM31" s="76">
        <v>637308</v>
      </c>
      <c r="AN31" s="100">
        <f t="shared" si="11"/>
        <v>7536</v>
      </c>
      <c r="AO31" s="76">
        <v>29168</v>
      </c>
      <c r="AP31" s="100">
        <f t="shared" si="12"/>
        <v>8352</v>
      </c>
      <c r="AQ31" s="76">
        <v>13472</v>
      </c>
      <c r="AR31" s="100">
        <f t="shared" si="30"/>
        <v>11040</v>
      </c>
      <c r="AS31" s="76">
        <v>2584</v>
      </c>
      <c r="AT31" s="100">
        <f t="shared" si="27"/>
        <v>0</v>
      </c>
      <c r="AU31" s="76">
        <v>946</v>
      </c>
      <c r="AV31" s="100">
        <f t="shared" si="28"/>
        <v>0</v>
      </c>
      <c r="AW31" s="76">
        <v>3110</v>
      </c>
      <c r="AX31" s="100">
        <f t="shared" si="24"/>
        <v>0</v>
      </c>
      <c r="AY31" s="76">
        <v>371338</v>
      </c>
      <c r="AZ31" s="100">
        <f t="shared" si="33"/>
        <v>4848</v>
      </c>
      <c r="BA31" s="76">
        <v>161101</v>
      </c>
      <c r="BB31" s="100">
        <f t="shared" si="34"/>
        <v>0</v>
      </c>
      <c r="BC31" s="76">
        <v>249781</v>
      </c>
      <c r="BD31" s="100">
        <f t="shared" si="25"/>
        <v>2784</v>
      </c>
      <c r="BE31" s="76">
        <v>5350</v>
      </c>
      <c r="BF31" s="36">
        <f t="shared" si="26"/>
        <v>0</v>
      </c>
      <c r="BH31" s="102">
        <f t="shared" si="2"/>
        <v>169536</v>
      </c>
      <c r="BI31" s="102">
        <f t="shared" si="3"/>
        <v>90528</v>
      </c>
    </row>
    <row r="32" spans="1:61" s="34" customFormat="1" ht="39.950000000000003" customHeight="1">
      <c r="A32" s="178">
        <f t="shared" si="7"/>
        <v>44950</v>
      </c>
      <c r="B32" s="33"/>
      <c r="C32" s="76">
        <v>7543141</v>
      </c>
      <c r="D32" s="100">
        <f t="shared" si="15"/>
        <v>127728</v>
      </c>
      <c r="E32" s="101">
        <f>D32*E5</f>
        <v>76636.800000000003</v>
      </c>
      <c r="F32" s="100">
        <f>D32*F5</f>
        <v>51091.200000000004</v>
      </c>
      <c r="G32" s="76">
        <v>306150</v>
      </c>
      <c r="H32" s="100">
        <f t="shared" si="1"/>
        <v>2112</v>
      </c>
      <c r="I32" s="76">
        <v>228217</v>
      </c>
      <c r="J32" s="100">
        <f t="shared" si="1"/>
        <v>7968</v>
      </c>
      <c r="K32" s="76">
        <v>280465</v>
      </c>
      <c r="L32" s="100">
        <f t="shared" si="1"/>
        <v>720</v>
      </c>
      <c r="M32" s="76">
        <v>25836</v>
      </c>
      <c r="N32" s="100">
        <f t="shared" si="1"/>
        <v>0</v>
      </c>
      <c r="O32" s="76">
        <v>379592</v>
      </c>
      <c r="P32" s="100">
        <f t="shared" si="16"/>
        <v>10368</v>
      </c>
      <c r="Q32" s="80">
        <v>496520</v>
      </c>
      <c r="R32" s="100">
        <f t="shared" si="17"/>
        <v>3696</v>
      </c>
      <c r="S32" s="76">
        <v>798537</v>
      </c>
      <c r="T32" s="100">
        <f t="shared" si="18"/>
        <v>7776</v>
      </c>
      <c r="U32" s="80">
        <v>9847</v>
      </c>
      <c r="V32" s="100">
        <f t="shared" si="31"/>
        <v>1056</v>
      </c>
      <c r="W32" s="76">
        <v>88500</v>
      </c>
      <c r="X32" s="100">
        <f t="shared" si="8"/>
        <v>0</v>
      </c>
      <c r="Y32" s="76">
        <v>1553742</v>
      </c>
      <c r="Z32" s="100">
        <f t="shared" si="20"/>
        <v>21264</v>
      </c>
      <c r="AA32" s="76">
        <v>14340</v>
      </c>
      <c r="AB32" s="100">
        <f t="shared" si="21"/>
        <v>672</v>
      </c>
      <c r="AC32" s="76">
        <v>532599</v>
      </c>
      <c r="AD32" s="100">
        <f t="shared" si="9"/>
        <v>9072</v>
      </c>
      <c r="AE32" s="76">
        <v>602320</v>
      </c>
      <c r="AF32" s="100">
        <f t="shared" si="9"/>
        <v>6672</v>
      </c>
      <c r="AG32" s="75">
        <v>49814</v>
      </c>
      <c r="AH32" s="100">
        <f>(+AG32-+AG31)*48</f>
        <v>0</v>
      </c>
      <c r="AI32" s="76">
        <v>471089</v>
      </c>
      <c r="AJ32" s="100">
        <f t="shared" si="10"/>
        <v>5232</v>
      </c>
      <c r="AK32" s="76">
        <v>102992</v>
      </c>
      <c r="AL32" s="100">
        <f t="shared" si="23"/>
        <v>240</v>
      </c>
      <c r="AM32" s="76">
        <v>637463</v>
      </c>
      <c r="AN32" s="100">
        <f t="shared" si="11"/>
        <v>7440</v>
      </c>
      <c r="AO32" s="76">
        <v>29367</v>
      </c>
      <c r="AP32" s="100">
        <f t="shared" si="12"/>
        <v>9552</v>
      </c>
      <c r="AQ32" s="76">
        <v>13692</v>
      </c>
      <c r="AR32" s="100">
        <f t="shared" si="30"/>
        <v>10560</v>
      </c>
      <c r="AS32" s="76">
        <v>2586</v>
      </c>
      <c r="AT32" s="100">
        <f t="shared" si="27"/>
        <v>96</v>
      </c>
      <c r="AU32" s="76">
        <v>946</v>
      </c>
      <c r="AV32" s="100">
        <f t="shared" si="28"/>
        <v>0</v>
      </c>
      <c r="AW32" s="76">
        <v>3110</v>
      </c>
      <c r="AX32" s="100">
        <f t="shared" si="24"/>
        <v>0</v>
      </c>
      <c r="AY32" s="76">
        <v>371440</v>
      </c>
      <c r="AZ32" s="100">
        <f t="shared" si="33"/>
        <v>4896</v>
      </c>
      <c r="BA32" s="76">
        <v>161101</v>
      </c>
      <c r="BB32" s="100">
        <f t="shared" si="34"/>
        <v>0</v>
      </c>
      <c r="BC32" s="76">
        <v>249840</v>
      </c>
      <c r="BD32" s="100">
        <f t="shared" si="25"/>
        <v>2832</v>
      </c>
      <c r="BE32" s="76">
        <v>5350</v>
      </c>
      <c r="BF32" s="36">
        <f t="shared" si="26"/>
        <v>0</v>
      </c>
      <c r="BH32" s="102">
        <f t="shared" si="2"/>
        <v>153484.79999999999</v>
      </c>
      <c r="BI32" s="102">
        <f t="shared" si="3"/>
        <v>86467.200000000012</v>
      </c>
    </row>
    <row r="33" spans="1:61" s="34" customFormat="1" ht="39.950000000000003" customHeight="1">
      <c r="A33" s="178">
        <f t="shared" si="7"/>
        <v>44951</v>
      </c>
      <c r="B33" s="33"/>
      <c r="C33" s="76">
        <v>7547310</v>
      </c>
      <c r="D33" s="100">
        <f t="shared" si="15"/>
        <v>200112</v>
      </c>
      <c r="E33" s="101">
        <f>D33*E5</f>
        <v>120067.2</v>
      </c>
      <c r="F33" s="100">
        <f>D33*F5</f>
        <v>80044.800000000003</v>
      </c>
      <c r="G33" s="76">
        <v>306196</v>
      </c>
      <c r="H33" s="36">
        <f t="shared" si="1"/>
        <v>2208</v>
      </c>
      <c r="I33" s="76">
        <v>228386</v>
      </c>
      <c r="J33" s="36">
        <f t="shared" si="1"/>
        <v>8112</v>
      </c>
      <c r="K33" s="76">
        <v>280481</v>
      </c>
      <c r="L33" s="36">
        <f t="shared" si="1"/>
        <v>768</v>
      </c>
      <c r="M33" s="76">
        <v>25836</v>
      </c>
      <c r="N33" s="36">
        <f t="shared" si="1"/>
        <v>0</v>
      </c>
      <c r="O33" s="76">
        <v>379836</v>
      </c>
      <c r="P33" s="36">
        <f t="shared" si="16"/>
        <v>11712</v>
      </c>
      <c r="Q33" s="80">
        <v>496580</v>
      </c>
      <c r="R33" s="100">
        <f t="shared" si="17"/>
        <v>2880</v>
      </c>
      <c r="S33" s="76">
        <v>798657</v>
      </c>
      <c r="T33" s="36">
        <f t="shared" si="18"/>
        <v>5760</v>
      </c>
      <c r="U33" s="80">
        <v>9868</v>
      </c>
      <c r="V33" s="100">
        <f t="shared" si="31"/>
        <v>1008</v>
      </c>
      <c r="W33" s="76">
        <v>88522</v>
      </c>
      <c r="X33" s="100">
        <f t="shared" si="8"/>
        <v>1056</v>
      </c>
      <c r="Y33" s="76">
        <v>1554197</v>
      </c>
      <c r="Z33" s="100">
        <f t="shared" si="20"/>
        <v>21840</v>
      </c>
      <c r="AA33" s="76">
        <v>14355</v>
      </c>
      <c r="AB33" s="100">
        <f t="shared" si="21"/>
        <v>720</v>
      </c>
      <c r="AC33" s="76">
        <v>532684</v>
      </c>
      <c r="AD33" s="100">
        <f t="shared" si="9"/>
        <v>4080</v>
      </c>
      <c r="AE33" s="76">
        <v>602343</v>
      </c>
      <c r="AF33" s="100">
        <f t="shared" si="9"/>
        <v>1104</v>
      </c>
      <c r="AG33" s="75">
        <v>49814</v>
      </c>
      <c r="AH33" s="100">
        <f>(+AG33-+AG32)*48</f>
        <v>0</v>
      </c>
      <c r="AI33" s="76">
        <v>471212</v>
      </c>
      <c r="AJ33" s="100">
        <f t="shared" si="10"/>
        <v>5904</v>
      </c>
      <c r="AK33" s="76">
        <v>103002</v>
      </c>
      <c r="AL33" s="100">
        <f>(+AK33-+AK32)*48</f>
        <v>480</v>
      </c>
      <c r="AM33" s="76">
        <v>637543</v>
      </c>
      <c r="AN33" s="100">
        <f t="shared" si="11"/>
        <v>3840</v>
      </c>
      <c r="AO33" s="76">
        <v>29404</v>
      </c>
      <c r="AP33" s="100">
        <f t="shared" si="12"/>
        <v>1776</v>
      </c>
      <c r="AQ33" s="76">
        <v>13960</v>
      </c>
      <c r="AR33" s="100">
        <f t="shared" si="30"/>
        <v>12864</v>
      </c>
      <c r="AS33" s="76">
        <v>2592</v>
      </c>
      <c r="AT33" s="100">
        <f t="shared" si="27"/>
        <v>288</v>
      </c>
      <c r="AU33" s="76">
        <v>946</v>
      </c>
      <c r="AV33" s="100">
        <f t="shared" si="28"/>
        <v>0</v>
      </c>
      <c r="AW33" s="76">
        <v>3110</v>
      </c>
      <c r="AX33" s="100">
        <f t="shared" si="24"/>
        <v>0</v>
      </c>
      <c r="AY33" s="76">
        <v>371551</v>
      </c>
      <c r="AZ33" s="100">
        <f t="shared" si="33"/>
        <v>5328</v>
      </c>
      <c r="BA33" s="76">
        <v>161101</v>
      </c>
      <c r="BB33" s="100">
        <f t="shared" si="34"/>
        <v>0</v>
      </c>
      <c r="BC33" s="76">
        <v>249906</v>
      </c>
      <c r="BD33" s="100">
        <f t="shared" si="25"/>
        <v>3168</v>
      </c>
      <c r="BE33" s="76">
        <v>5350</v>
      </c>
      <c r="BF33" s="36">
        <f t="shared" si="26"/>
        <v>0</v>
      </c>
      <c r="BH33" s="102">
        <f t="shared" si="2"/>
        <v>187699.20000000001</v>
      </c>
      <c r="BI33" s="102">
        <f t="shared" si="3"/>
        <v>107308.8</v>
      </c>
    </row>
    <row r="34" spans="1:61" s="34" customFormat="1" ht="39.950000000000003" customHeight="1">
      <c r="A34" s="178">
        <f t="shared" si="7"/>
        <v>44952</v>
      </c>
      <c r="B34" s="33"/>
      <c r="C34" s="76">
        <v>7551739</v>
      </c>
      <c r="D34" s="100">
        <f t="shared" si="15"/>
        <v>212592</v>
      </c>
      <c r="E34" s="101">
        <f>D34*E5</f>
        <v>127555.2</v>
      </c>
      <c r="F34" s="100">
        <f>D34*F5</f>
        <v>85036.800000000003</v>
      </c>
      <c r="G34" s="76">
        <v>306233</v>
      </c>
      <c r="H34" s="36">
        <f t="shared" si="1"/>
        <v>1776</v>
      </c>
      <c r="I34" s="76">
        <v>228548</v>
      </c>
      <c r="J34" s="36">
        <f t="shared" si="1"/>
        <v>7776</v>
      </c>
      <c r="K34" s="76">
        <v>280498</v>
      </c>
      <c r="L34" s="36">
        <f t="shared" si="1"/>
        <v>816</v>
      </c>
      <c r="M34" s="76">
        <v>25836</v>
      </c>
      <c r="N34" s="36">
        <f t="shared" si="1"/>
        <v>0</v>
      </c>
      <c r="O34" s="76">
        <v>380064</v>
      </c>
      <c r="P34" s="36">
        <f t="shared" si="16"/>
        <v>10944</v>
      </c>
      <c r="Q34" s="76">
        <v>496649</v>
      </c>
      <c r="R34" s="100">
        <f t="shared" si="17"/>
        <v>3312</v>
      </c>
      <c r="S34" s="76">
        <v>798783</v>
      </c>
      <c r="T34" s="36">
        <f t="shared" si="18"/>
        <v>6048</v>
      </c>
      <c r="U34" s="80">
        <v>9888</v>
      </c>
      <c r="V34" s="100">
        <f t="shared" si="31"/>
        <v>960</v>
      </c>
      <c r="W34" s="76">
        <v>88543</v>
      </c>
      <c r="X34" s="100">
        <f t="shared" si="8"/>
        <v>1008</v>
      </c>
      <c r="Y34" s="76">
        <v>1554683</v>
      </c>
      <c r="Z34" s="100">
        <f>(+Y34-+Y33)*48</f>
        <v>23328</v>
      </c>
      <c r="AA34" s="76">
        <v>14370</v>
      </c>
      <c r="AB34" s="100">
        <f>(+AA34-+AA33)*48</f>
        <v>720</v>
      </c>
      <c r="AC34" s="76">
        <v>532789</v>
      </c>
      <c r="AD34" s="100">
        <f t="shared" si="9"/>
        <v>5040</v>
      </c>
      <c r="AE34" s="76">
        <v>602354</v>
      </c>
      <c r="AF34" s="100">
        <f t="shared" si="9"/>
        <v>528</v>
      </c>
      <c r="AG34" s="75">
        <v>49814</v>
      </c>
      <c r="AH34" s="100">
        <f>(+AG34-+AG33)*48</f>
        <v>0</v>
      </c>
      <c r="AI34" s="76">
        <v>471334</v>
      </c>
      <c r="AJ34" s="100">
        <f t="shared" si="10"/>
        <v>5856</v>
      </c>
      <c r="AK34" s="76">
        <v>103013</v>
      </c>
      <c r="AL34" s="100">
        <f>(+AK34-+AK33)*48</f>
        <v>528</v>
      </c>
      <c r="AM34" s="76">
        <v>637620</v>
      </c>
      <c r="AN34" s="100">
        <f t="shared" si="11"/>
        <v>3696</v>
      </c>
      <c r="AO34" s="76">
        <v>29440</v>
      </c>
      <c r="AP34" s="100">
        <f t="shared" si="12"/>
        <v>1728</v>
      </c>
      <c r="AQ34" s="76">
        <v>14216</v>
      </c>
      <c r="AR34" s="100">
        <f t="shared" si="30"/>
        <v>12288</v>
      </c>
      <c r="AS34" s="76">
        <v>2596</v>
      </c>
      <c r="AT34" s="100">
        <f t="shared" si="27"/>
        <v>192</v>
      </c>
      <c r="AU34" s="76">
        <v>946</v>
      </c>
      <c r="AV34" s="100">
        <f t="shared" si="28"/>
        <v>0</v>
      </c>
      <c r="AW34" s="76">
        <v>3110</v>
      </c>
      <c r="AX34" s="100">
        <v>0</v>
      </c>
      <c r="AY34" s="76">
        <v>371651</v>
      </c>
      <c r="AZ34" s="100">
        <f t="shared" si="33"/>
        <v>4800</v>
      </c>
      <c r="BA34" s="76">
        <v>161101</v>
      </c>
      <c r="BB34" s="100">
        <f t="shared" si="34"/>
        <v>0</v>
      </c>
      <c r="BC34" s="76">
        <v>249947</v>
      </c>
      <c r="BD34" s="100">
        <f t="shared" si="25"/>
        <v>1968</v>
      </c>
      <c r="BE34" s="76">
        <v>5350</v>
      </c>
      <c r="BF34" s="36">
        <f t="shared" si="26"/>
        <v>0</v>
      </c>
      <c r="BH34" s="102">
        <f t="shared" si="2"/>
        <v>196195.20000000001</v>
      </c>
      <c r="BI34" s="102">
        <f t="shared" si="3"/>
        <v>109708.8</v>
      </c>
    </row>
    <row r="35" spans="1:61" s="34" customFormat="1" ht="39.950000000000003" customHeight="1">
      <c r="A35" s="178">
        <f t="shared" si="7"/>
        <v>44953</v>
      </c>
      <c r="B35" s="33"/>
      <c r="C35" s="76">
        <v>7555949</v>
      </c>
      <c r="D35" s="100">
        <f t="shared" si="15"/>
        <v>202080</v>
      </c>
      <c r="E35" s="101">
        <f>D35*E5</f>
        <v>121248</v>
      </c>
      <c r="F35" s="100">
        <f>D35*F5</f>
        <v>80832</v>
      </c>
      <c r="G35" s="76">
        <v>306275</v>
      </c>
      <c r="H35" s="100">
        <f t="shared" si="1"/>
        <v>2016</v>
      </c>
      <c r="I35" s="76">
        <v>228713</v>
      </c>
      <c r="J35" s="100">
        <f t="shared" si="1"/>
        <v>7920</v>
      </c>
      <c r="K35" s="76">
        <v>280513</v>
      </c>
      <c r="L35" s="100">
        <f t="shared" si="1"/>
        <v>720</v>
      </c>
      <c r="M35" s="76">
        <v>25836</v>
      </c>
      <c r="N35" s="100">
        <f t="shared" si="1"/>
        <v>0</v>
      </c>
      <c r="O35" s="76">
        <v>380291</v>
      </c>
      <c r="P35" s="36">
        <f t="shared" si="16"/>
        <v>10896</v>
      </c>
      <c r="Q35" s="76">
        <v>496739</v>
      </c>
      <c r="R35" s="100">
        <f t="shared" si="17"/>
        <v>4320</v>
      </c>
      <c r="S35" s="76">
        <v>798925</v>
      </c>
      <c r="T35" s="100">
        <f t="shared" si="18"/>
        <v>6816</v>
      </c>
      <c r="U35" s="80">
        <v>9908</v>
      </c>
      <c r="V35" s="100">
        <f t="shared" si="31"/>
        <v>960</v>
      </c>
      <c r="W35" s="76">
        <v>88561</v>
      </c>
      <c r="X35" s="100">
        <f t="shared" si="8"/>
        <v>864</v>
      </c>
      <c r="Y35" s="76">
        <v>1555166</v>
      </c>
      <c r="Z35" s="100">
        <f t="shared" si="20"/>
        <v>23184</v>
      </c>
      <c r="AA35" s="76">
        <v>14376</v>
      </c>
      <c r="AB35" s="100">
        <f>(+AA35-+AA34)*48</f>
        <v>288</v>
      </c>
      <c r="AC35" s="76">
        <v>532824</v>
      </c>
      <c r="AD35" s="100">
        <f t="shared" si="9"/>
        <v>1680</v>
      </c>
      <c r="AE35" s="76">
        <v>602415</v>
      </c>
      <c r="AF35" s="100">
        <f t="shared" si="9"/>
        <v>2928</v>
      </c>
      <c r="AG35" s="75">
        <v>49814</v>
      </c>
      <c r="AH35" s="100">
        <f t="shared" si="22"/>
        <v>0</v>
      </c>
      <c r="AI35" s="76">
        <v>471464</v>
      </c>
      <c r="AJ35" s="100">
        <f t="shared" si="10"/>
        <v>6240</v>
      </c>
      <c r="AK35" s="76">
        <v>103027</v>
      </c>
      <c r="AL35" s="100">
        <f>(+AK35-+AK34)*48</f>
        <v>672</v>
      </c>
      <c r="AM35" s="76">
        <v>637729</v>
      </c>
      <c r="AN35" s="100">
        <f t="shared" si="11"/>
        <v>5232</v>
      </c>
      <c r="AO35" s="76">
        <v>29537</v>
      </c>
      <c r="AP35" s="100">
        <f t="shared" si="12"/>
        <v>4656</v>
      </c>
      <c r="AQ35" s="76">
        <v>14582</v>
      </c>
      <c r="AR35" s="100">
        <f t="shared" si="30"/>
        <v>17568</v>
      </c>
      <c r="AS35" s="76">
        <v>2606</v>
      </c>
      <c r="AT35" s="100">
        <f>(+AS35-+AS34)*48</f>
        <v>480</v>
      </c>
      <c r="AU35" s="76">
        <v>946</v>
      </c>
      <c r="AV35" s="100">
        <f t="shared" si="28"/>
        <v>0</v>
      </c>
      <c r="AW35" s="76">
        <v>3110</v>
      </c>
      <c r="AX35" s="100">
        <v>0</v>
      </c>
      <c r="AY35" s="76">
        <v>371765</v>
      </c>
      <c r="AZ35" s="100">
        <f t="shared" si="33"/>
        <v>5472</v>
      </c>
      <c r="BA35" s="76">
        <v>161101</v>
      </c>
      <c r="BB35" s="100">
        <f t="shared" si="34"/>
        <v>0</v>
      </c>
      <c r="BC35" s="76">
        <v>250044</v>
      </c>
      <c r="BD35" s="100">
        <f t="shared" si="25"/>
        <v>4656</v>
      </c>
      <c r="BE35" s="76">
        <v>5350</v>
      </c>
      <c r="BF35" s="36">
        <f t="shared" si="26"/>
        <v>0</v>
      </c>
      <c r="BH35" s="102">
        <f t="shared" si="2"/>
        <v>190752</v>
      </c>
      <c r="BI35" s="102">
        <f t="shared" si="3"/>
        <v>118896</v>
      </c>
    </row>
    <row r="36" spans="1:61" s="34" customFormat="1" ht="39.950000000000003" customHeight="1">
      <c r="A36" s="178">
        <f t="shared" si="7"/>
        <v>44954</v>
      </c>
      <c r="B36" s="33"/>
      <c r="C36" s="76">
        <v>7560107</v>
      </c>
      <c r="D36" s="100">
        <f t="shared" si="15"/>
        <v>199584</v>
      </c>
      <c r="E36" s="101">
        <f>D36*E5</f>
        <v>119750.39999999999</v>
      </c>
      <c r="F36" s="100">
        <f>D36*F5</f>
        <v>79833.600000000006</v>
      </c>
      <c r="G36" s="76">
        <v>306322</v>
      </c>
      <c r="H36" s="100">
        <f t="shared" si="1"/>
        <v>2256</v>
      </c>
      <c r="I36" s="76">
        <v>228880</v>
      </c>
      <c r="J36" s="100">
        <f t="shared" si="1"/>
        <v>8016</v>
      </c>
      <c r="K36" s="76">
        <v>280547</v>
      </c>
      <c r="L36" s="100">
        <f t="shared" si="1"/>
        <v>1632</v>
      </c>
      <c r="M36" s="76">
        <v>25836</v>
      </c>
      <c r="N36" s="100">
        <f t="shared" si="1"/>
        <v>0</v>
      </c>
      <c r="O36" s="76">
        <v>380515</v>
      </c>
      <c r="P36" s="36">
        <f t="shared" si="16"/>
        <v>10752</v>
      </c>
      <c r="Q36" s="76">
        <v>496834</v>
      </c>
      <c r="R36" s="100">
        <f t="shared" si="17"/>
        <v>4560</v>
      </c>
      <c r="S36" s="76">
        <v>799073</v>
      </c>
      <c r="T36" s="100">
        <f t="shared" si="18"/>
        <v>7104</v>
      </c>
      <c r="U36" s="80">
        <v>9927</v>
      </c>
      <c r="V36" s="100">
        <f t="shared" si="31"/>
        <v>912</v>
      </c>
      <c r="W36" s="76">
        <v>88579</v>
      </c>
      <c r="X36" s="100">
        <f t="shared" si="8"/>
        <v>864</v>
      </c>
      <c r="Y36" s="76">
        <v>1555642</v>
      </c>
      <c r="Z36" s="100">
        <f>(+Y36-+Y35)*48</f>
        <v>22848</v>
      </c>
      <c r="AA36" s="76">
        <v>14386</v>
      </c>
      <c r="AB36" s="100">
        <f>(+AA36-+AA35)*48</f>
        <v>480</v>
      </c>
      <c r="AC36" s="76">
        <v>532824</v>
      </c>
      <c r="AD36" s="100">
        <f t="shared" si="9"/>
        <v>0</v>
      </c>
      <c r="AE36" s="76">
        <v>602431</v>
      </c>
      <c r="AF36" s="100">
        <f t="shared" si="9"/>
        <v>768</v>
      </c>
      <c r="AG36" s="75">
        <v>49814</v>
      </c>
      <c r="AH36" s="100">
        <f t="shared" si="22"/>
        <v>0</v>
      </c>
      <c r="AI36" s="76">
        <v>471581</v>
      </c>
      <c r="AJ36" s="100">
        <f t="shared" si="10"/>
        <v>5616</v>
      </c>
      <c r="AK36" s="76">
        <v>103057</v>
      </c>
      <c r="AL36" s="100">
        <f t="shared" si="23"/>
        <v>1440</v>
      </c>
      <c r="AM36" s="76">
        <v>637801</v>
      </c>
      <c r="AN36" s="100">
        <f t="shared" si="11"/>
        <v>3456</v>
      </c>
      <c r="AO36" s="76">
        <v>29555</v>
      </c>
      <c r="AP36" s="100">
        <f t="shared" si="12"/>
        <v>864</v>
      </c>
      <c r="AQ36" s="76">
        <v>14981</v>
      </c>
      <c r="AR36" s="100">
        <f t="shared" si="30"/>
        <v>19152</v>
      </c>
      <c r="AS36" s="76">
        <v>2609</v>
      </c>
      <c r="AT36" s="100">
        <f>(+AS36-+AS35)*48</f>
        <v>144</v>
      </c>
      <c r="AU36" s="76">
        <v>946</v>
      </c>
      <c r="AV36" s="100">
        <f t="shared" si="28"/>
        <v>0</v>
      </c>
      <c r="AW36" s="76">
        <v>3110</v>
      </c>
      <c r="AX36" s="100">
        <f t="shared" ref="AX36:AX38" si="35">(+AW36-+AW35)*48</f>
        <v>0</v>
      </c>
      <c r="AY36" s="76">
        <v>371872</v>
      </c>
      <c r="AZ36" s="100">
        <f t="shared" si="33"/>
        <v>5136</v>
      </c>
      <c r="BA36" s="76">
        <v>161101</v>
      </c>
      <c r="BB36" s="100">
        <f t="shared" si="34"/>
        <v>0</v>
      </c>
      <c r="BC36" s="76">
        <v>250117</v>
      </c>
      <c r="BD36" s="100">
        <f t="shared" si="25"/>
        <v>3504</v>
      </c>
      <c r="BE36" s="76">
        <v>5350</v>
      </c>
      <c r="BF36" s="36">
        <f t="shared" si="26"/>
        <v>0</v>
      </c>
      <c r="BH36" s="102">
        <f t="shared" si="2"/>
        <v>186998.39999999999</v>
      </c>
      <c r="BI36" s="102">
        <f t="shared" si="3"/>
        <v>112089.60000000001</v>
      </c>
    </row>
    <row r="37" spans="1:61" s="34" customFormat="1" ht="39.950000000000003" customHeight="1">
      <c r="A37" s="178">
        <f t="shared" si="7"/>
        <v>44955</v>
      </c>
      <c r="B37" s="33"/>
      <c r="C37" s="76">
        <v>7564763</v>
      </c>
      <c r="D37" s="100">
        <f t="shared" si="15"/>
        <v>223488</v>
      </c>
      <c r="E37" s="101">
        <f>D37*E5</f>
        <v>134092.79999999999</v>
      </c>
      <c r="F37" s="100">
        <f>D37*F5</f>
        <v>89395.200000000012</v>
      </c>
      <c r="G37" s="76">
        <v>306372</v>
      </c>
      <c r="H37" s="100">
        <f t="shared" si="1"/>
        <v>2400</v>
      </c>
      <c r="I37" s="76">
        <v>229044</v>
      </c>
      <c r="J37" s="100">
        <f t="shared" si="1"/>
        <v>7872</v>
      </c>
      <c r="K37" s="76">
        <v>280594</v>
      </c>
      <c r="L37" s="100">
        <f t="shared" si="1"/>
        <v>2256</v>
      </c>
      <c r="M37" s="76">
        <v>25836</v>
      </c>
      <c r="N37" s="100">
        <f t="shared" si="1"/>
        <v>0</v>
      </c>
      <c r="O37" s="76">
        <v>380752</v>
      </c>
      <c r="P37" s="36">
        <f t="shared" si="16"/>
        <v>11376</v>
      </c>
      <c r="Q37" s="76">
        <v>496960</v>
      </c>
      <c r="R37" s="100">
        <f t="shared" si="17"/>
        <v>6048</v>
      </c>
      <c r="S37" s="76">
        <v>799232</v>
      </c>
      <c r="T37" s="100">
        <f t="shared" si="18"/>
        <v>7632</v>
      </c>
      <c r="U37" s="80">
        <v>9947</v>
      </c>
      <c r="V37" s="100">
        <f t="shared" si="31"/>
        <v>960</v>
      </c>
      <c r="W37" s="76">
        <v>88595</v>
      </c>
      <c r="X37" s="100">
        <f t="shared" si="8"/>
        <v>768</v>
      </c>
      <c r="Y37" s="76">
        <v>1556129</v>
      </c>
      <c r="Z37" s="100">
        <f>(+Y37-+Y36)*48</f>
        <v>23376</v>
      </c>
      <c r="AA37" s="76">
        <v>14397</v>
      </c>
      <c r="AB37" s="100">
        <f t="shared" si="21"/>
        <v>528</v>
      </c>
      <c r="AC37" s="76">
        <v>532824</v>
      </c>
      <c r="AD37" s="100">
        <f t="shared" si="9"/>
        <v>0</v>
      </c>
      <c r="AE37" s="76">
        <v>602431</v>
      </c>
      <c r="AF37" s="100">
        <f t="shared" si="9"/>
        <v>0</v>
      </c>
      <c r="AG37" s="75">
        <v>49814</v>
      </c>
      <c r="AH37" s="100">
        <f t="shared" si="22"/>
        <v>0</v>
      </c>
      <c r="AI37" s="76">
        <v>471707</v>
      </c>
      <c r="AJ37" s="100">
        <f t="shared" si="10"/>
        <v>6048</v>
      </c>
      <c r="AK37" s="76">
        <v>103083</v>
      </c>
      <c r="AL37" s="100">
        <f t="shared" si="23"/>
        <v>1248</v>
      </c>
      <c r="AM37" s="76">
        <v>637867</v>
      </c>
      <c r="AN37" s="100">
        <f t="shared" si="11"/>
        <v>3168</v>
      </c>
      <c r="AO37" s="76">
        <v>29555</v>
      </c>
      <c r="AP37" s="100">
        <f t="shared" si="12"/>
        <v>0</v>
      </c>
      <c r="AQ37" s="76">
        <v>15453</v>
      </c>
      <c r="AR37" s="100">
        <f t="shared" si="30"/>
        <v>22656</v>
      </c>
      <c r="AS37" s="76">
        <v>2611</v>
      </c>
      <c r="AT37" s="100">
        <f>(+AS37-+AS36)*48</f>
        <v>96</v>
      </c>
      <c r="AU37" s="76">
        <v>946</v>
      </c>
      <c r="AV37" s="100">
        <f t="shared" si="28"/>
        <v>0</v>
      </c>
      <c r="AW37" s="76">
        <v>3110</v>
      </c>
      <c r="AX37" s="100">
        <f t="shared" si="35"/>
        <v>0</v>
      </c>
      <c r="AY37" s="76">
        <v>371984</v>
      </c>
      <c r="AZ37" s="100">
        <f t="shared" si="33"/>
        <v>5376</v>
      </c>
      <c r="BA37" s="76">
        <v>161101</v>
      </c>
      <c r="BB37" s="100">
        <f t="shared" si="34"/>
        <v>0</v>
      </c>
      <c r="BC37" s="76">
        <v>250189</v>
      </c>
      <c r="BD37" s="100">
        <f t="shared" si="25"/>
        <v>3456</v>
      </c>
      <c r="BE37" s="76">
        <v>5350</v>
      </c>
      <c r="BF37" s="36">
        <f t="shared" si="26"/>
        <v>0</v>
      </c>
      <c r="BH37" s="102">
        <f t="shared" si="2"/>
        <v>204604.79999999999</v>
      </c>
      <c r="BI37" s="102">
        <f t="shared" si="3"/>
        <v>124147.20000000001</v>
      </c>
    </row>
    <row r="38" spans="1:61" s="34" customFormat="1" ht="39.950000000000003" customHeight="1">
      <c r="A38" s="178">
        <f t="shared" si="7"/>
        <v>44956</v>
      </c>
      <c r="B38" s="33"/>
      <c r="C38" s="76">
        <v>7569365</v>
      </c>
      <c r="D38" s="100">
        <f t="shared" si="15"/>
        <v>220896</v>
      </c>
      <c r="E38" s="101">
        <f>D38*E5</f>
        <v>132537.60000000001</v>
      </c>
      <c r="F38" s="100">
        <f>D38*F5</f>
        <v>88358.400000000009</v>
      </c>
      <c r="G38" s="76">
        <v>306408</v>
      </c>
      <c r="H38" s="100">
        <f t="shared" si="1"/>
        <v>1728</v>
      </c>
      <c r="I38" s="76">
        <v>229206</v>
      </c>
      <c r="J38" s="100">
        <f t="shared" si="1"/>
        <v>7776</v>
      </c>
      <c r="K38" s="76">
        <v>280605</v>
      </c>
      <c r="L38" s="100">
        <f t="shared" si="1"/>
        <v>528</v>
      </c>
      <c r="M38" s="76">
        <v>25836</v>
      </c>
      <c r="N38" s="100">
        <f t="shared" si="1"/>
        <v>0</v>
      </c>
      <c r="O38" s="76">
        <v>380957</v>
      </c>
      <c r="P38" s="36">
        <f t="shared" si="16"/>
        <v>9840</v>
      </c>
      <c r="Q38" s="76">
        <v>497046</v>
      </c>
      <c r="R38" s="100">
        <f t="shared" si="17"/>
        <v>4128</v>
      </c>
      <c r="S38" s="76">
        <v>799388</v>
      </c>
      <c r="T38" s="100">
        <f t="shared" si="18"/>
        <v>7488</v>
      </c>
      <c r="U38" s="80">
        <v>9969.8989999999994</v>
      </c>
      <c r="V38" s="100">
        <f t="shared" si="31"/>
        <v>1099.1519999999728</v>
      </c>
      <c r="W38" s="76">
        <v>88612</v>
      </c>
      <c r="X38" s="100">
        <f t="shared" si="8"/>
        <v>816</v>
      </c>
      <c r="Y38" s="76">
        <v>1556670</v>
      </c>
      <c r="Z38" s="100">
        <f>(+Y38-+Y37)*48</f>
        <v>25968</v>
      </c>
      <c r="AA38" s="76">
        <v>14412</v>
      </c>
      <c r="AB38" s="100">
        <f t="shared" si="21"/>
        <v>720</v>
      </c>
      <c r="AC38" s="76">
        <v>532824</v>
      </c>
      <c r="AD38" s="100">
        <f t="shared" ref="AD38" si="36">(+AC38-+AC37)*48</f>
        <v>0</v>
      </c>
      <c r="AE38" s="76">
        <v>602431</v>
      </c>
      <c r="AF38" s="100">
        <f t="shared" ref="AF38" si="37">(+AE38-+AE37)*48</f>
        <v>0</v>
      </c>
      <c r="AG38" s="75">
        <v>49814</v>
      </c>
      <c r="AH38" s="100">
        <f>(+AG38-+AG37)*48</f>
        <v>0</v>
      </c>
      <c r="AI38" s="76">
        <v>471831</v>
      </c>
      <c r="AJ38" s="100">
        <f t="shared" si="10"/>
        <v>5952</v>
      </c>
      <c r="AK38" s="76">
        <v>103101</v>
      </c>
      <c r="AL38" s="100">
        <f t="shared" si="23"/>
        <v>864</v>
      </c>
      <c r="AM38" s="76">
        <v>637936</v>
      </c>
      <c r="AN38" s="100">
        <f t="shared" si="11"/>
        <v>3312</v>
      </c>
      <c r="AO38" s="76">
        <v>29555</v>
      </c>
      <c r="AP38" s="100">
        <f t="shared" si="12"/>
        <v>0</v>
      </c>
      <c r="AQ38" s="76">
        <v>15853</v>
      </c>
      <c r="AR38" s="100">
        <f t="shared" si="30"/>
        <v>19200</v>
      </c>
      <c r="AS38" s="76">
        <v>2614</v>
      </c>
      <c r="AT38" s="100">
        <f>(+AS38-+AS37)*48</f>
        <v>144</v>
      </c>
      <c r="AU38" s="76">
        <v>946</v>
      </c>
      <c r="AV38" s="100">
        <f t="shared" si="28"/>
        <v>0</v>
      </c>
      <c r="AW38" s="76">
        <v>3110</v>
      </c>
      <c r="AX38" s="100">
        <f t="shared" si="35"/>
        <v>0</v>
      </c>
      <c r="AY38" s="76">
        <v>372095</v>
      </c>
      <c r="AZ38" s="100">
        <f t="shared" si="33"/>
        <v>5328</v>
      </c>
      <c r="BA38" s="76">
        <v>161101</v>
      </c>
      <c r="BB38" s="100">
        <f t="shared" si="34"/>
        <v>0</v>
      </c>
      <c r="BC38" s="76">
        <v>250258</v>
      </c>
      <c r="BD38" s="100">
        <f t="shared" si="25"/>
        <v>3312</v>
      </c>
      <c r="BE38" s="76">
        <v>5350</v>
      </c>
      <c r="BF38" s="36">
        <f t="shared" si="26"/>
        <v>0</v>
      </c>
      <c r="BH38" s="102">
        <f t="shared" si="2"/>
        <v>199444.75199999998</v>
      </c>
      <c r="BI38" s="102">
        <f t="shared" si="3"/>
        <v>119654.40000000001</v>
      </c>
    </row>
    <row r="39" spans="1:61" s="34" customFormat="1" ht="39.950000000000003" customHeight="1">
      <c r="A39" s="178">
        <f t="shared" si="7"/>
        <v>44957</v>
      </c>
      <c r="B39" s="33"/>
      <c r="C39" s="76">
        <v>7573427</v>
      </c>
      <c r="D39" s="100">
        <f t="shared" ref="D39" si="38">(+C39-+C38)*48</f>
        <v>194976</v>
      </c>
      <c r="E39" s="101">
        <f>D39*E5</f>
        <v>116985.59999999999</v>
      </c>
      <c r="F39" s="100">
        <f>D39*F5</f>
        <v>77990.400000000009</v>
      </c>
      <c r="G39" s="76">
        <v>306452</v>
      </c>
      <c r="H39" s="100">
        <f t="shared" ref="H39" si="39">(+G39-+G38)*48</f>
        <v>2112</v>
      </c>
      <c r="I39" s="76">
        <v>229370</v>
      </c>
      <c r="J39" s="100">
        <f t="shared" ref="J39" si="40">(+I39-+I38)*48</f>
        <v>7872</v>
      </c>
      <c r="K39" s="76">
        <v>280619</v>
      </c>
      <c r="L39" s="100">
        <f t="shared" ref="L39" si="41">(+K39-+K38)*48</f>
        <v>672</v>
      </c>
      <c r="M39" s="76">
        <v>25836</v>
      </c>
      <c r="N39" s="100">
        <f t="shared" ref="N39" si="42">(+M39-+M38)*48</f>
        <v>0</v>
      </c>
      <c r="O39" s="76">
        <v>381136</v>
      </c>
      <c r="P39" s="36">
        <f t="shared" ref="P39" si="43">(+O39-+O38)*48</f>
        <v>8592</v>
      </c>
      <c r="Q39" s="76">
        <v>497136</v>
      </c>
      <c r="R39" s="100">
        <f t="shared" ref="R39" si="44">(+Q39-+Q38)*48</f>
        <v>4320</v>
      </c>
      <c r="S39" s="76">
        <v>799536</v>
      </c>
      <c r="T39" s="100">
        <f t="shared" ref="T39" si="45">(+S39-+S38)*48</f>
        <v>7104</v>
      </c>
      <c r="U39" s="80">
        <v>9990.5300000000007</v>
      </c>
      <c r="V39" s="100">
        <f t="shared" ref="V39" si="46">(+U39-+U38)*48</f>
        <v>990.28800000005867</v>
      </c>
      <c r="W39" s="76">
        <v>88612</v>
      </c>
      <c r="X39" s="100">
        <f t="shared" ref="X39" si="47">(+W39-+W38)*48</f>
        <v>0</v>
      </c>
      <c r="Y39" s="76">
        <v>1557200</v>
      </c>
      <c r="Z39" s="100">
        <f>(+Y39-+Y38)*48</f>
        <v>25440</v>
      </c>
      <c r="AA39" s="76">
        <v>14425</v>
      </c>
      <c r="AB39" s="100">
        <f t="shared" ref="AB39" si="48">(+AA39-+AA38)*48</f>
        <v>624</v>
      </c>
      <c r="AC39" s="76">
        <v>532838</v>
      </c>
      <c r="AD39" s="100">
        <f t="shared" ref="AD39" si="49">(+AC39-+AC38)*48</f>
        <v>672</v>
      </c>
      <c r="AE39" s="76">
        <v>602439</v>
      </c>
      <c r="AF39" s="100">
        <f t="shared" ref="AF39" si="50">(+AE39-+AE38)*48</f>
        <v>384</v>
      </c>
      <c r="AG39" s="75">
        <v>49814</v>
      </c>
      <c r="AH39" s="100">
        <f>(+AG39-+AG38)*48</f>
        <v>0</v>
      </c>
      <c r="AI39" s="76">
        <v>471946</v>
      </c>
      <c r="AJ39" s="100">
        <f t="shared" ref="AJ39" si="51">(+AI39-+AI38)*48</f>
        <v>5520</v>
      </c>
      <c r="AK39" s="76">
        <v>103110</v>
      </c>
      <c r="AL39" s="100">
        <f t="shared" ref="AL39" si="52">(+AK39-+AK38)*48</f>
        <v>432</v>
      </c>
      <c r="AM39" s="76">
        <v>638009</v>
      </c>
      <c r="AN39" s="100">
        <f t="shared" ref="AN39" si="53">(+AM39-+AM38)*48</f>
        <v>3504</v>
      </c>
      <c r="AO39" s="76">
        <v>29569</v>
      </c>
      <c r="AP39" s="100">
        <f t="shared" ref="AP39" si="54">(+AO39-+AO38)*48</f>
        <v>672</v>
      </c>
      <c r="AQ39" s="76">
        <v>16303</v>
      </c>
      <c r="AR39" s="100">
        <f t="shared" ref="AR39" si="55">(+AQ39-+AQ38)*48</f>
        <v>21600</v>
      </c>
      <c r="AS39" s="76">
        <v>2618</v>
      </c>
      <c r="AT39" s="100">
        <f>(+AS39-+AS38)*48</f>
        <v>192</v>
      </c>
      <c r="AU39" s="76">
        <v>946</v>
      </c>
      <c r="AV39" s="100">
        <f t="shared" ref="AV39" si="56">(+AU39-+AU38)*48</f>
        <v>0</v>
      </c>
      <c r="AW39" s="76">
        <v>3110</v>
      </c>
      <c r="AX39" s="100">
        <f t="shared" ref="AX39" si="57">(+AW39-+AW38)*48</f>
        <v>0</v>
      </c>
      <c r="AY39" s="76">
        <v>372211</v>
      </c>
      <c r="AZ39" s="100">
        <f t="shared" ref="AZ39" si="58">(+AY39-+AY38)*48</f>
        <v>5568</v>
      </c>
      <c r="BA39" s="76">
        <v>161101</v>
      </c>
      <c r="BB39" s="100">
        <f t="shared" ref="BB39" si="59">(+BA39-+BA38)*48</f>
        <v>0</v>
      </c>
      <c r="BC39" s="76">
        <v>250332</v>
      </c>
      <c r="BD39" s="100">
        <f t="shared" ref="BD39" si="60">(+BC39-+BC38)*48</f>
        <v>3552</v>
      </c>
      <c r="BE39" s="76">
        <v>5350</v>
      </c>
      <c r="BF39" s="100">
        <f t="shared" ref="BF39" si="61">(+BE39-+BE38)*48</f>
        <v>0</v>
      </c>
      <c r="BH39" s="102">
        <f t="shared" ref="BH39" si="62">SUM(E39,J39,P39,H39,L39,R39,T39,V39,X39,N39,AB39,Z39,AD39,AF39,AH39,AL39,AJ39)</f>
        <v>181719.88800000004</v>
      </c>
      <c r="BI39" s="102">
        <f t="shared" ref="BI39" si="63">SUM(F39,AN39,AP39,AT39,AV39,AX39,AR39,AZ39,BB39,BD39,BF39)</f>
        <v>113078.40000000001</v>
      </c>
    </row>
    <row r="40" spans="1:61" s="34" customFormat="1" ht="39.950000000000003" customHeight="1">
      <c r="A40" s="17"/>
      <c r="AD40" s="28"/>
      <c r="AE40" s="77"/>
      <c r="AG40" s="77"/>
      <c r="AI40" s="77"/>
      <c r="AK40" s="77"/>
      <c r="AM40" s="77"/>
      <c r="AO40" s="77"/>
      <c r="AQ40" s="77"/>
      <c r="AS40" s="77"/>
      <c r="AU40" s="77"/>
      <c r="AW40" s="77"/>
      <c r="AY40" s="77"/>
      <c r="BA40" s="77"/>
      <c r="BC40" s="77"/>
      <c r="BE40" s="77"/>
      <c r="BH40" s="198">
        <f>SUM(BH9:BH39)</f>
        <v>5529040.04</v>
      </c>
      <c r="BI40" s="198">
        <f>SUM(BI9:BI39)</f>
        <v>3145420.7999999998</v>
      </c>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8" t="s">
        <v>196</v>
      </c>
      <c r="C1" s="268"/>
      <c r="D1" s="268" t="s">
        <v>196</v>
      </c>
      <c r="E1" s="268"/>
      <c r="F1" s="268" t="s">
        <v>196</v>
      </c>
      <c r="G1" s="268"/>
      <c r="H1" s="268" t="s">
        <v>197</v>
      </c>
      <c r="I1" s="268"/>
      <c r="J1" s="265"/>
      <c r="K1" s="265"/>
      <c r="L1" s="268" t="s">
        <v>198</v>
      </c>
      <c r="M1" s="268"/>
      <c r="N1" s="268" t="s">
        <v>198</v>
      </c>
      <c r="O1" s="268"/>
      <c r="P1" s="268" t="s">
        <v>198</v>
      </c>
      <c r="Q1" s="268"/>
      <c r="R1" s="268" t="s">
        <v>198</v>
      </c>
      <c r="S1" s="268"/>
      <c r="T1" s="268" t="s">
        <v>199</v>
      </c>
      <c r="U1" s="268"/>
      <c r="V1" s="276" t="s">
        <v>199</v>
      </c>
      <c r="W1" s="276"/>
      <c r="X1" s="268" t="s">
        <v>199</v>
      </c>
      <c r="Y1" s="268"/>
      <c r="Z1" s="268" t="s">
        <v>199</v>
      </c>
      <c r="AA1" s="268"/>
      <c r="AB1" s="265"/>
      <c r="AC1" s="265"/>
      <c r="AD1" s="268" t="s">
        <v>199</v>
      </c>
      <c r="AE1" s="268"/>
      <c r="AF1" s="268" t="s">
        <v>199</v>
      </c>
      <c r="AG1" s="268"/>
      <c r="AH1" s="268" t="s">
        <v>200</v>
      </c>
      <c r="AI1" s="268"/>
      <c r="AJ1" s="268" t="s">
        <v>200</v>
      </c>
      <c r="AK1" s="268"/>
      <c r="AL1" s="277" t="s">
        <v>200</v>
      </c>
      <c r="AM1" s="277"/>
      <c r="AN1" s="268" t="s">
        <v>200</v>
      </c>
      <c r="AO1" s="268"/>
      <c r="AP1" s="265" t="s">
        <v>200</v>
      </c>
      <c r="AQ1" s="265"/>
      <c r="AR1" s="277" t="s">
        <v>200</v>
      </c>
      <c r="AS1" s="277"/>
      <c r="AT1" s="268" t="s">
        <v>200</v>
      </c>
      <c r="AU1" s="268"/>
      <c r="AV1" s="265"/>
      <c r="AW1" s="265"/>
      <c r="AX1" s="268" t="s">
        <v>200</v>
      </c>
      <c r="AY1" s="268"/>
      <c r="AZ1" s="268" t="s">
        <v>200</v>
      </c>
      <c r="BA1" s="268"/>
      <c r="BB1" s="268" t="s">
        <v>200</v>
      </c>
      <c r="BC1" s="268"/>
      <c r="BD1" s="268" t="s">
        <v>201</v>
      </c>
      <c r="BE1" s="268"/>
      <c r="BF1" s="268" t="s">
        <v>201</v>
      </c>
      <c r="BG1" s="268"/>
      <c r="BH1" s="268" t="s">
        <v>201</v>
      </c>
      <c r="BI1" s="268"/>
      <c r="BJ1" s="268" t="s">
        <v>201</v>
      </c>
      <c r="BK1" s="268"/>
      <c r="BL1" s="268" t="s">
        <v>201</v>
      </c>
      <c r="BM1" s="268"/>
      <c r="BN1" s="268" t="s">
        <v>201</v>
      </c>
      <c r="BO1" s="268"/>
      <c r="BP1" s="268" t="s">
        <v>201</v>
      </c>
      <c r="BQ1" s="268"/>
      <c r="BR1" s="268" t="s">
        <v>201</v>
      </c>
      <c r="BS1" s="268"/>
      <c r="BT1" s="268" t="s">
        <v>201</v>
      </c>
      <c r="BU1" s="268"/>
      <c r="BV1" s="268" t="s">
        <v>201</v>
      </c>
      <c r="BW1" s="268"/>
      <c r="BX1" s="268" t="s">
        <v>201</v>
      </c>
      <c r="BY1" s="268"/>
      <c r="BZ1" s="268" t="s">
        <v>202</v>
      </c>
      <c r="CA1" s="268"/>
      <c r="CB1" s="276" t="s">
        <v>202</v>
      </c>
      <c r="CC1" s="276"/>
      <c r="CD1" s="268" t="s">
        <v>202</v>
      </c>
      <c r="CE1" s="268"/>
      <c r="CF1" s="268" t="s">
        <v>202</v>
      </c>
      <c r="CG1" s="268"/>
      <c r="CH1" s="268" t="s">
        <v>203</v>
      </c>
      <c r="CI1" s="268"/>
      <c r="CJ1" s="268" t="s">
        <v>203</v>
      </c>
      <c r="CK1" s="268"/>
      <c r="CL1" s="268" t="s">
        <v>203</v>
      </c>
      <c r="CM1" s="268"/>
      <c r="CN1" s="268" t="s">
        <v>204</v>
      </c>
      <c r="CO1" s="268"/>
      <c r="CP1" s="268" t="s">
        <v>204</v>
      </c>
      <c r="CQ1" s="268"/>
      <c r="CR1" s="276" t="s">
        <v>204</v>
      </c>
      <c r="CS1" s="276"/>
      <c r="CT1" s="268" t="s">
        <v>204</v>
      </c>
      <c r="CU1" s="268"/>
      <c r="CV1" s="268" t="s">
        <v>204</v>
      </c>
      <c r="CW1" s="268"/>
      <c r="CX1" s="268" t="s">
        <v>204</v>
      </c>
      <c r="CY1" s="268"/>
      <c r="CZ1" s="268" t="s">
        <v>204</v>
      </c>
      <c r="DA1" s="268"/>
      <c r="DB1" s="268" t="s">
        <v>204</v>
      </c>
      <c r="DC1" s="268"/>
      <c r="DD1" s="268" t="s">
        <v>204</v>
      </c>
      <c r="DE1" s="268"/>
      <c r="DF1" s="268" t="s">
        <v>204</v>
      </c>
      <c r="DG1" s="268"/>
      <c r="DH1" s="268" t="s">
        <v>204</v>
      </c>
      <c r="DI1" s="268"/>
      <c r="DJ1" s="265" t="s">
        <v>204</v>
      </c>
      <c r="DK1" s="265"/>
      <c r="DL1" s="268" t="s">
        <v>205</v>
      </c>
      <c r="DM1" s="268"/>
      <c r="DN1" s="268" t="s">
        <v>205</v>
      </c>
      <c r="DO1" s="268"/>
      <c r="DP1" s="268" t="s">
        <v>205</v>
      </c>
      <c r="DQ1" s="268"/>
      <c r="DR1" s="268" t="s">
        <v>205</v>
      </c>
      <c r="DS1" s="268"/>
      <c r="DT1" s="268" t="s">
        <v>205</v>
      </c>
      <c r="DU1" s="268"/>
      <c r="DV1" s="268" t="s">
        <v>205</v>
      </c>
      <c r="DW1" s="268"/>
      <c r="DX1" s="268" t="s">
        <v>206</v>
      </c>
      <c r="DY1" s="268"/>
      <c r="DZ1" s="268" t="s">
        <v>206</v>
      </c>
      <c r="EA1" s="268"/>
      <c r="EB1" s="268" t="s">
        <v>206</v>
      </c>
      <c r="EC1" s="268"/>
      <c r="ED1" s="268" t="s">
        <v>206</v>
      </c>
      <c r="EE1" s="268"/>
      <c r="EF1" s="268" t="s">
        <v>206</v>
      </c>
      <c r="EG1" s="268"/>
      <c r="EH1" s="268" t="s">
        <v>206</v>
      </c>
      <c r="EI1" s="268"/>
      <c r="EJ1" s="268" t="s">
        <v>206</v>
      </c>
      <c r="EK1" s="268"/>
      <c r="EL1" s="268" t="s">
        <v>207</v>
      </c>
      <c r="EM1" s="268"/>
      <c r="EN1" s="268" t="s">
        <v>207</v>
      </c>
      <c r="EO1" s="268"/>
      <c r="EP1" s="268" t="s">
        <v>207</v>
      </c>
      <c r="EQ1" s="268"/>
      <c r="ER1" s="268" t="s">
        <v>208</v>
      </c>
      <c r="ES1" s="268"/>
      <c r="ET1" s="268" t="s">
        <v>208</v>
      </c>
      <c r="EU1" s="268"/>
      <c r="EV1" s="268" t="s">
        <v>208</v>
      </c>
      <c r="EW1" s="268"/>
      <c r="EX1" s="268" t="s">
        <v>209</v>
      </c>
      <c r="EY1" s="268"/>
      <c r="EZ1" s="268" t="s">
        <v>210</v>
      </c>
      <c r="FA1" s="268"/>
      <c r="FB1" s="268" t="s">
        <v>210</v>
      </c>
      <c r="FC1" s="268"/>
      <c r="FD1" s="268" t="s">
        <v>210</v>
      </c>
      <c r="FE1" s="268"/>
      <c r="FF1" s="268" t="s">
        <v>211</v>
      </c>
      <c r="FG1" s="268"/>
      <c r="FH1" s="268" t="s">
        <v>211</v>
      </c>
      <c r="FI1" s="268"/>
      <c r="FJ1" s="268" t="s">
        <v>211</v>
      </c>
      <c r="FK1" s="268"/>
      <c r="FL1" s="265" t="s">
        <v>211</v>
      </c>
      <c r="FM1" s="265"/>
    </row>
    <row r="2" spans="1:169" s="22" customFormat="1" ht="49.5" customHeight="1">
      <c r="B2" s="268" t="s">
        <v>212</v>
      </c>
      <c r="C2" s="268"/>
      <c r="D2" s="268" t="s">
        <v>213</v>
      </c>
      <c r="E2" s="268"/>
      <c r="F2" s="268" t="s">
        <v>212</v>
      </c>
      <c r="G2" s="268"/>
      <c r="H2" s="268" t="s">
        <v>213</v>
      </c>
      <c r="I2" s="268"/>
      <c r="J2" s="268" t="s">
        <v>213</v>
      </c>
      <c r="K2" s="268"/>
      <c r="L2" s="268" t="s">
        <v>212</v>
      </c>
      <c r="M2" s="268"/>
      <c r="N2" s="268" t="s">
        <v>212</v>
      </c>
      <c r="O2" s="268"/>
      <c r="P2" s="268" t="s">
        <v>213</v>
      </c>
      <c r="Q2" s="268"/>
      <c r="R2" s="268" t="s">
        <v>213</v>
      </c>
      <c r="S2" s="268"/>
      <c r="T2" s="268" t="s">
        <v>212</v>
      </c>
      <c r="U2" s="268"/>
      <c r="V2" s="268" t="s">
        <v>213</v>
      </c>
      <c r="W2" s="268"/>
      <c r="X2" s="268" t="s">
        <v>213</v>
      </c>
      <c r="Y2" s="268"/>
      <c r="Z2" s="268" t="s">
        <v>213</v>
      </c>
      <c r="AA2" s="268"/>
      <c r="AB2" s="265" t="s">
        <v>213</v>
      </c>
      <c r="AC2" s="265"/>
      <c r="AD2" s="268" t="s">
        <v>212</v>
      </c>
      <c r="AE2" s="268"/>
      <c r="AF2" s="268" t="s">
        <v>213</v>
      </c>
      <c r="AG2" s="268"/>
      <c r="AH2" s="268" t="s">
        <v>213</v>
      </c>
      <c r="AI2" s="268"/>
      <c r="AJ2" s="268" t="s">
        <v>213</v>
      </c>
      <c r="AK2" s="268"/>
      <c r="AL2" s="268" t="s">
        <v>213</v>
      </c>
      <c r="AM2" s="268"/>
      <c r="AN2" s="268" t="s">
        <v>213</v>
      </c>
      <c r="AO2" s="268"/>
      <c r="AP2" s="265" t="s">
        <v>213</v>
      </c>
      <c r="AQ2" s="265"/>
      <c r="AR2" s="268" t="s">
        <v>213</v>
      </c>
      <c r="AS2" s="268"/>
      <c r="AT2" s="268" t="s">
        <v>213</v>
      </c>
      <c r="AU2" s="268"/>
      <c r="AV2" s="265" t="s">
        <v>213</v>
      </c>
      <c r="AW2" s="265"/>
      <c r="AX2" s="268" t="s">
        <v>213</v>
      </c>
      <c r="AY2" s="268"/>
      <c r="AZ2" s="268" t="s">
        <v>213</v>
      </c>
      <c r="BA2" s="268"/>
      <c r="BB2" s="268" t="s">
        <v>213</v>
      </c>
      <c r="BC2" s="268"/>
      <c r="BD2" s="268" t="s">
        <v>212</v>
      </c>
      <c r="BE2" s="268"/>
      <c r="BF2" s="268" t="s">
        <v>214</v>
      </c>
      <c r="BG2" s="268"/>
      <c r="BH2" s="268" t="s">
        <v>213</v>
      </c>
      <c r="BI2" s="268"/>
      <c r="BJ2" s="268" t="s">
        <v>213</v>
      </c>
      <c r="BK2" s="268"/>
      <c r="BL2" s="268" t="s">
        <v>213</v>
      </c>
      <c r="BM2" s="268"/>
      <c r="BN2" s="268" t="s">
        <v>213</v>
      </c>
      <c r="BO2" s="268"/>
      <c r="BP2" s="268" t="s">
        <v>213</v>
      </c>
      <c r="BQ2" s="268"/>
      <c r="BR2" s="268" t="s">
        <v>213</v>
      </c>
      <c r="BS2" s="268"/>
      <c r="BT2" s="268" t="s">
        <v>213</v>
      </c>
      <c r="BU2" s="268"/>
      <c r="BV2" s="268" t="s">
        <v>213</v>
      </c>
      <c r="BW2" s="268"/>
      <c r="BX2" s="268" t="s">
        <v>213</v>
      </c>
      <c r="BY2" s="268"/>
      <c r="BZ2" s="268" t="s">
        <v>212</v>
      </c>
      <c r="CA2" s="268"/>
      <c r="CB2" s="268" t="s">
        <v>212</v>
      </c>
      <c r="CC2" s="268"/>
      <c r="CD2" s="268" t="s">
        <v>212</v>
      </c>
      <c r="CE2" s="268"/>
      <c r="CF2" s="268" t="s">
        <v>212</v>
      </c>
      <c r="CG2" s="268"/>
      <c r="CH2" s="268" t="s">
        <v>213</v>
      </c>
      <c r="CI2" s="268"/>
      <c r="CJ2" s="268" t="s">
        <v>213</v>
      </c>
      <c r="CK2" s="268"/>
      <c r="CL2" s="268" t="s">
        <v>213</v>
      </c>
      <c r="CM2" s="268"/>
      <c r="CN2" s="268" t="s">
        <v>212</v>
      </c>
      <c r="CO2" s="268"/>
      <c r="CP2" s="268" t="s">
        <v>213</v>
      </c>
      <c r="CQ2" s="268"/>
      <c r="CR2" s="268" t="s">
        <v>213</v>
      </c>
      <c r="CS2" s="268"/>
      <c r="CT2" s="268" t="s">
        <v>213</v>
      </c>
      <c r="CU2" s="268"/>
      <c r="CV2" s="268" t="s">
        <v>213</v>
      </c>
      <c r="CW2" s="268"/>
      <c r="CX2" s="268" t="s">
        <v>213</v>
      </c>
      <c r="CY2" s="268"/>
      <c r="CZ2" s="268" t="s">
        <v>213</v>
      </c>
      <c r="DA2" s="268"/>
      <c r="DB2" s="268" t="s">
        <v>212</v>
      </c>
      <c r="DC2" s="268"/>
      <c r="DD2" s="268" t="s">
        <v>213</v>
      </c>
      <c r="DE2" s="268"/>
      <c r="DF2" s="268" t="s">
        <v>213</v>
      </c>
      <c r="DG2" s="268"/>
      <c r="DH2" s="268" t="s">
        <v>213</v>
      </c>
      <c r="DI2" s="268"/>
      <c r="DJ2" s="265" t="s">
        <v>213</v>
      </c>
      <c r="DK2" s="265"/>
      <c r="DL2" s="268" t="s">
        <v>213</v>
      </c>
      <c r="DM2" s="268"/>
      <c r="DN2" s="268" t="s">
        <v>213</v>
      </c>
      <c r="DO2" s="268"/>
      <c r="DP2" s="268" t="s">
        <v>213</v>
      </c>
      <c r="DQ2" s="268"/>
      <c r="DR2" s="268" t="s">
        <v>213</v>
      </c>
      <c r="DS2" s="268"/>
      <c r="DT2" s="268" t="s">
        <v>213</v>
      </c>
      <c r="DU2" s="268"/>
      <c r="DV2" s="268" t="s">
        <v>213</v>
      </c>
      <c r="DW2" s="268"/>
      <c r="DX2" s="268" t="s">
        <v>213</v>
      </c>
      <c r="DY2" s="268"/>
      <c r="DZ2" s="268" t="s">
        <v>213</v>
      </c>
      <c r="EA2" s="268"/>
      <c r="EB2" s="268" t="s">
        <v>213</v>
      </c>
      <c r="EC2" s="268"/>
      <c r="ED2" s="268" t="s">
        <v>213</v>
      </c>
      <c r="EE2" s="268"/>
      <c r="EF2" s="268" t="s">
        <v>213</v>
      </c>
      <c r="EG2" s="268"/>
      <c r="EH2" s="268" t="s">
        <v>213</v>
      </c>
      <c r="EI2" s="268"/>
      <c r="EJ2" s="268" t="s">
        <v>213</v>
      </c>
      <c r="EK2" s="268"/>
      <c r="EL2" s="268" t="s">
        <v>213</v>
      </c>
      <c r="EM2" s="268"/>
      <c r="EN2" s="268" t="s">
        <v>213</v>
      </c>
      <c r="EO2" s="268"/>
      <c r="EP2" s="268" t="s">
        <v>213</v>
      </c>
      <c r="EQ2" s="268"/>
      <c r="ER2" s="268" t="s">
        <v>213</v>
      </c>
      <c r="ES2" s="268"/>
      <c r="ET2" s="268" t="s">
        <v>213</v>
      </c>
      <c r="EU2" s="268"/>
      <c r="EV2" s="268" t="s">
        <v>213</v>
      </c>
      <c r="EW2" s="268"/>
      <c r="EX2" s="268" t="s">
        <v>213</v>
      </c>
      <c r="EY2" s="268"/>
      <c r="EZ2" s="268" t="s">
        <v>213</v>
      </c>
      <c r="FA2" s="268"/>
      <c r="FB2" s="268" t="s">
        <v>213</v>
      </c>
      <c r="FC2" s="268"/>
      <c r="FD2" s="268" t="s">
        <v>213</v>
      </c>
      <c r="FE2" s="268"/>
      <c r="FF2" s="268" t="s">
        <v>213</v>
      </c>
      <c r="FG2" s="268"/>
      <c r="FH2" s="268" t="s">
        <v>213</v>
      </c>
      <c r="FI2" s="268"/>
      <c r="FJ2" s="268" t="s">
        <v>213</v>
      </c>
      <c r="FK2" s="268"/>
      <c r="FL2" s="265" t="s">
        <v>213</v>
      </c>
      <c r="FM2" s="265"/>
    </row>
    <row r="3" spans="1:169" s="22" customFormat="1" ht="49.5" customHeight="1">
      <c r="B3" s="217" t="s">
        <v>67</v>
      </c>
      <c r="C3" s="218"/>
      <c r="D3" s="217" t="s">
        <v>215</v>
      </c>
      <c r="E3" s="218"/>
      <c r="F3" s="217"/>
      <c r="G3" s="218"/>
      <c r="H3" s="217" t="s">
        <v>215</v>
      </c>
      <c r="I3" s="218"/>
      <c r="J3" s="217" t="s">
        <v>215</v>
      </c>
      <c r="K3" s="218"/>
      <c r="L3" s="217"/>
      <c r="M3" s="218"/>
      <c r="N3" s="217"/>
      <c r="O3" s="218"/>
      <c r="P3" s="217" t="s">
        <v>215</v>
      </c>
      <c r="Q3" s="218"/>
      <c r="R3" s="217" t="s">
        <v>215</v>
      </c>
      <c r="S3" s="218"/>
      <c r="T3" s="217"/>
      <c r="U3" s="218"/>
      <c r="V3" s="217" t="s">
        <v>216</v>
      </c>
      <c r="W3" s="218"/>
      <c r="X3" s="217" t="s">
        <v>216</v>
      </c>
      <c r="Y3" s="218"/>
      <c r="Z3" s="217" t="s">
        <v>216</v>
      </c>
      <c r="AA3" s="218"/>
      <c r="AB3" s="274" t="s">
        <v>216</v>
      </c>
      <c r="AC3" s="275"/>
      <c r="AD3" s="217"/>
      <c r="AE3" s="218"/>
      <c r="AF3" s="217" t="s">
        <v>216</v>
      </c>
      <c r="AG3" s="218"/>
      <c r="AH3" s="217" t="s">
        <v>215</v>
      </c>
      <c r="AI3" s="218"/>
      <c r="AJ3" s="217" t="s">
        <v>215</v>
      </c>
      <c r="AK3" s="218"/>
      <c r="AL3" s="217" t="s">
        <v>215</v>
      </c>
      <c r="AM3" s="218"/>
      <c r="AN3" s="217" t="s">
        <v>215</v>
      </c>
      <c r="AO3" s="218"/>
      <c r="AP3" s="274" t="s">
        <v>215</v>
      </c>
      <c r="AQ3" s="275"/>
      <c r="AR3" s="217" t="s">
        <v>215</v>
      </c>
      <c r="AS3" s="218"/>
      <c r="AT3" s="217" t="s">
        <v>215</v>
      </c>
      <c r="AU3" s="218"/>
      <c r="AV3" s="274" t="s">
        <v>215</v>
      </c>
      <c r="AW3" s="275"/>
      <c r="AX3" s="217" t="s">
        <v>215</v>
      </c>
      <c r="AY3" s="218"/>
      <c r="AZ3" s="217" t="s">
        <v>215</v>
      </c>
      <c r="BA3" s="218"/>
      <c r="BB3" s="217" t="s">
        <v>215</v>
      </c>
      <c r="BC3" s="218"/>
      <c r="BD3" s="217"/>
      <c r="BE3" s="218"/>
      <c r="BF3" s="217"/>
      <c r="BG3" s="218"/>
      <c r="BH3" s="217" t="s">
        <v>215</v>
      </c>
      <c r="BI3" s="218"/>
      <c r="BJ3" s="217" t="s">
        <v>215</v>
      </c>
      <c r="BK3" s="218"/>
      <c r="BL3" s="217" t="s">
        <v>215</v>
      </c>
      <c r="BM3" s="218"/>
      <c r="BN3" s="217" t="s">
        <v>215</v>
      </c>
      <c r="BO3" s="218"/>
      <c r="BP3" s="217" t="s">
        <v>215</v>
      </c>
      <c r="BQ3" s="218"/>
      <c r="BR3" s="217" t="s">
        <v>215</v>
      </c>
      <c r="BS3" s="218"/>
      <c r="BT3" s="217" t="s">
        <v>215</v>
      </c>
      <c r="BU3" s="218"/>
      <c r="BV3" s="217" t="s">
        <v>215</v>
      </c>
      <c r="BW3" s="218"/>
      <c r="BX3" s="217" t="s">
        <v>215</v>
      </c>
      <c r="BY3" s="218"/>
      <c r="BZ3" s="217" t="s">
        <v>66</v>
      </c>
      <c r="CA3" s="218"/>
      <c r="CB3" s="217" t="s">
        <v>66</v>
      </c>
      <c r="CC3" s="218"/>
      <c r="CD3" s="217" t="s">
        <v>66</v>
      </c>
      <c r="CE3" s="218"/>
      <c r="CF3" s="108"/>
      <c r="CG3" s="108"/>
      <c r="CH3" s="217" t="s">
        <v>67</v>
      </c>
      <c r="CI3" s="218"/>
      <c r="CJ3" s="217" t="s">
        <v>67</v>
      </c>
      <c r="CK3" s="218"/>
      <c r="CL3" s="217" t="s">
        <v>215</v>
      </c>
      <c r="CM3" s="218"/>
      <c r="CN3" s="217"/>
      <c r="CO3" s="218"/>
      <c r="CP3" s="217" t="s">
        <v>215</v>
      </c>
      <c r="CQ3" s="218"/>
      <c r="CR3" s="217" t="s">
        <v>215</v>
      </c>
      <c r="CS3" s="218"/>
      <c r="CT3" s="217" t="s">
        <v>215</v>
      </c>
      <c r="CU3" s="218"/>
      <c r="CV3" s="217" t="s">
        <v>215</v>
      </c>
      <c r="CW3" s="218"/>
      <c r="CX3" s="217" t="s">
        <v>215</v>
      </c>
      <c r="CY3" s="218"/>
      <c r="CZ3" s="217" t="s">
        <v>215</v>
      </c>
      <c r="DA3" s="218"/>
      <c r="DB3" s="217" t="s">
        <v>215</v>
      </c>
      <c r="DC3" s="218"/>
      <c r="DD3" s="217" t="s">
        <v>215</v>
      </c>
      <c r="DE3" s="218"/>
      <c r="DF3" s="217" t="s">
        <v>215</v>
      </c>
      <c r="DG3" s="218"/>
      <c r="DH3" s="217" t="s">
        <v>215</v>
      </c>
      <c r="DI3" s="218"/>
      <c r="DJ3" s="274" t="s">
        <v>215</v>
      </c>
      <c r="DK3" s="275"/>
      <c r="DL3" s="217" t="s">
        <v>65</v>
      </c>
      <c r="DM3" s="218"/>
      <c r="DN3" s="217" t="s">
        <v>65</v>
      </c>
      <c r="DO3" s="218"/>
      <c r="DP3" s="217" t="s">
        <v>65</v>
      </c>
      <c r="DQ3" s="218"/>
      <c r="DR3" s="217" t="s">
        <v>65</v>
      </c>
      <c r="DS3" s="218"/>
      <c r="DT3" s="217" t="s">
        <v>65</v>
      </c>
      <c r="DU3" s="218"/>
      <c r="DV3" s="217" t="s">
        <v>217</v>
      </c>
      <c r="DW3" s="218"/>
      <c r="DX3" s="217" t="s">
        <v>65</v>
      </c>
      <c r="DY3" s="218"/>
      <c r="DZ3" s="217" t="s">
        <v>216</v>
      </c>
      <c r="EA3" s="218"/>
      <c r="EB3" s="217" t="s">
        <v>65</v>
      </c>
      <c r="EC3" s="218"/>
      <c r="ED3" s="217" t="s">
        <v>65</v>
      </c>
      <c r="EE3" s="218"/>
      <c r="EF3" s="217" t="s">
        <v>65</v>
      </c>
      <c r="EG3" s="218"/>
      <c r="EH3" s="217" t="s">
        <v>65</v>
      </c>
      <c r="EI3" s="218"/>
      <c r="EJ3" s="217" t="s">
        <v>65</v>
      </c>
      <c r="EK3" s="218"/>
      <c r="EL3" s="217" t="s">
        <v>67</v>
      </c>
      <c r="EM3" s="218"/>
      <c r="EN3" s="217" t="s">
        <v>67</v>
      </c>
      <c r="EO3" s="218"/>
      <c r="EP3" s="217" t="s">
        <v>67</v>
      </c>
      <c r="EQ3" s="218"/>
      <c r="ER3" s="217" t="s">
        <v>67</v>
      </c>
      <c r="ES3" s="218"/>
      <c r="ET3" s="217" t="s">
        <v>67</v>
      </c>
      <c r="EU3" s="218"/>
      <c r="EV3" s="217" t="s">
        <v>67</v>
      </c>
      <c r="EW3" s="218"/>
      <c r="EX3" s="217" t="s">
        <v>67</v>
      </c>
      <c r="EY3" s="218"/>
      <c r="EZ3" s="217" t="s">
        <v>67</v>
      </c>
      <c r="FA3" s="218"/>
      <c r="FB3" s="217" t="s">
        <v>67</v>
      </c>
      <c r="FC3" s="218"/>
      <c r="FD3" s="217" t="s">
        <v>67</v>
      </c>
      <c r="FE3" s="218"/>
      <c r="FF3" s="217" t="s">
        <v>67</v>
      </c>
      <c r="FG3" s="218"/>
      <c r="FH3" s="217" t="s">
        <v>67</v>
      </c>
      <c r="FI3" s="218"/>
      <c r="FJ3" s="217" t="s">
        <v>67</v>
      </c>
      <c r="FK3" s="218"/>
      <c r="FL3" s="274" t="s">
        <v>215</v>
      </c>
      <c r="FM3" s="275"/>
    </row>
    <row r="4" spans="1:169" s="22" customFormat="1" ht="30" customHeight="1">
      <c r="B4" s="217" t="s">
        <v>218</v>
      </c>
      <c r="C4" s="218"/>
      <c r="D4" s="217" t="s">
        <v>218</v>
      </c>
      <c r="E4" s="218"/>
      <c r="F4" s="106"/>
      <c r="G4" s="107"/>
      <c r="H4" s="217" t="s">
        <v>218</v>
      </c>
      <c r="I4" s="218"/>
      <c r="J4" s="217" t="s">
        <v>219</v>
      </c>
      <c r="K4" s="218"/>
      <c r="L4" s="106"/>
      <c r="M4" s="107"/>
      <c r="N4" s="217"/>
      <c r="O4" s="218"/>
      <c r="P4" s="217" t="s">
        <v>220</v>
      </c>
      <c r="Q4" s="218"/>
      <c r="R4" s="217" t="s">
        <v>220</v>
      </c>
      <c r="S4" s="218"/>
      <c r="T4" s="106"/>
      <c r="U4" s="107"/>
      <c r="V4" s="217" t="s">
        <v>220</v>
      </c>
      <c r="W4" s="218"/>
      <c r="X4" s="217" t="s">
        <v>220</v>
      </c>
      <c r="Y4" s="218"/>
      <c r="Z4" s="217" t="s">
        <v>220</v>
      </c>
      <c r="AA4" s="218"/>
      <c r="AB4" s="274" t="s">
        <v>220</v>
      </c>
      <c r="AC4" s="275"/>
      <c r="AD4" s="106"/>
      <c r="AE4" s="107"/>
      <c r="AF4" s="217" t="s">
        <v>220</v>
      </c>
      <c r="AG4" s="218"/>
      <c r="AH4" s="217" t="s">
        <v>220</v>
      </c>
      <c r="AI4" s="218"/>
      <c r="AJ4" s="217" t="s">
        <v>218</v>
      </c>
      <c r="AK4" s="218"/>
      <c r="AL4" s="217" t="s">
        <v>218</v>
      </c>
      <c r="AM4" s="218"/>
      <c r="AN4" s="217" t="s">
        <v>218</v>
      </c>
      <c r="AO4" s="218"/>
      <c r="AP4" s="274" t="s">
        <v>219</v>
      </c>
      <c r="AQ4" s="275"/>
      <c r="AR4" s="217" t="s">
        <v>218</v>
      </c>
      <c r="AS4" s="218"/>
      <c r="AT4" s="217" t="s">
        <v>218</v>
      </c>
      <c r="AU4" s="218"/>
      <c r="AV4" s="274" t="s">
        <v>218</v>
      </c>
      <c r="AW4" s="275"/>
      <c r="AX4" s="217" t="s">
        <v>220</v>
      </c>
      <c r="AY4" s="218"/>
      <c r="AZ4" s="217" t="s">
        <v>218</v>
      </c>
      <c r="BA4" s="218"/>
      <c r="BB4" s="217" t="s">
        <v>218</v>
      </c>
      <c r="BC4" s="218"/>
      <c r="BD4" s="106"/>
      <c r="BE4" s="107"/>
      <c r="BF4" s="106"/>
      <c r="BG4" s="107"/>
      <c r="BH4" s="217" t="s">
        <v>219</v>
      </c>
      <c r="BI4" s="218"/>
      <c r="BJ4" s="217" t="s">
        <v>220</v>
      </c>
      <c r="BK4" s="218"/>
      <c r="BL4" s="217" t="s">
        <v>218</v>
      </c>
      <c r="BM4" s="218"/>
      <c r="BN4" s="217" t="s">
        <v>218</v>
      </c>
      <c r="BO4" s="218"/>
      <c r="BP4" s="217" t="s">
        <v>218</v>
      </c>
      <c r="BQ4" s="218"/>
      <c r="BR4" s="217" t="s">
        <v>218</v>
      </c>
      <c r="BS4" s="218"/>
      <c r="BT4" s="217" t="s">
        <v>218</v>
      </c>
      <c r="BU4" s="218"/>
      <c r="BV4" s="217" t="s">
        <v>218</v>
      </c>
      <c r="BW4" s="218"/>
      <c r="BX4" s="217" t="s">
        <v>218</v>
      </c>
      <c r="BY4" s="218"/>
      <c r="BZ4" s="217" t="s">
        <v>220</v>
      </c>
      <c r="CA4" s="218"/>
      <c r="CB4" s="217" t="s">
        <v>220</v>
      </c>
      <c r="CC4" s="218"/>
      <c r="CD4" s="217" t="s">
        <v>220</v>
      </c>
      <c r="CE4" s="218"/>
      <c r="CF4" s="217" t="s">
        <v>218</v>
      </c>
      <c r="CG4" s="218"/>
      <c r="CH4" s="217" t="s">
        <v>218</v>
      </c>
      <c r="CI4" s="218"/>
      <c r="CJ4" s="217" t="s">
        <v>218</v>
      </c>
      <c r="CK4" s="218"/>
      <c r="CL4" s="217" t="s">
        <v>218</v>
      </c>
      <c r="CM4" s="218"/>
      <c r="CN4" s="106"/>
      <c r="CO4" s="107"/>
      <c r="CP4" s="217" t="s">
        <v>219</v>
      </c>
      <c r="CQ4" s="218"/>
      <c r="CR4" s="217" t="s">
        <v>221</v>
      </c>
      <c r="CS4" s="218"/>
      <c r="CT4" s="217" t="s">
        <v>219</v>
      </c>
      <c r="CU4" s="218"/>
      <c r="CV4" s="217" t="s">
        <v>220</v>
      </c>
      <c r="CW4" s="218"/>
      <c r="CX4" s="217" t="s">
        <v>218</v>
      </c>
      <c r="CY4" s="218"/>
      <c r="CZ4" s="217" t="s">
        <v>218</v>
      </c>
      <c r="DA4" s="218"/>
      <c r="DB4" s="106"/>
      <c r="DC4" s="107"/>
      <c r="DD4" s="217" t="s">
        <v>219</v>
      </c>
      <c r="DE4" s="218"/>
      <c r="DF4" s="217" t="s">
        <v>220</v>
      </c>
      <c r="DG4" s="218"/>
      <c r="DH4" s="217" t="s">
        <v>220</v>
      </c>
      <c r="DI4" s="218"/>
      <c r="DJ4" s="274" t="s">
        <v>219</v>
      </c>
      <c r="DK4" s="275"/>
      <c r="DL4" s="217" t="s">
        <v>218</v>
      </c>
      <c r="DM4" s="218"/>
      <c r="DN4" s="217" t="s">
        <v>218</v>
      </c>
      <c r="DO4" s="218"/>
      <c r="DP4" s="217" t="s">
        <v>218</v>
      </c>
      <c r="DQ4" s="218"/>
      <c r="DR4" s="217" t="s">
        <v>218</v>
      </c>
      <c r="DS4" s="218"/>
      <c r="DT4" s="217" t="s">
        <v>220</v>
      </c>
      <c r="DU4" s="218"/>
      <c r="DV4" s="217" t="s">
        <v>220</v>
      </c>
      <c r="DW4" s="218"/>
      <c r="DX4" s="217" t="s">
        <v>222</v>
      </c>
      <c r="DY4" s="218"/>
      <c r="DZ4" s="217" t="s">
        <v>223</v>
      </c>
      <c r="EA4" s="218"/>
      <c r="EB4" s="217" t="s">
        <v>222</v>
      </c>
      <c r="EC4" s="218"/>
      <c r="ED4" s="217" t="s">
        <v>218</v>
      </c>
      <c r="EE4" s="218"/>
      <c r="EF4" s="217" t="s">
        <v>218</v>
      </c>
      <c r="EG4" s="218"/>
      <c r="EH4" s="217" t="s">
        <v>220</v>
      </c>
      <c r="EI4" s="218"/>
      <c r="EJ4" s="217" t="s">
        <v>220</v>
      </c>
      <c r="EK4" s="218"/>
      <c r="EL4" s="217" t="s">
        <v>218</v>
      </c>
      <c r="EM4" s="218"/>
      <c r="EN4" s="217" t="s">
        <v>218</v>
      </c>
      <c r="EO4" s="218"/>
      <c r="EP4" s="217" t="s">
        <v>218</v>
      </c>
      <c r="EQ4" s="218"/>
      <c r="ER4" s="217" t="s">
        <v>218</v>
      </c>
      <c r="ES4" s="218"/>
      <c r="ET4" s="217" t="s">
        <v>218</v>
      </c>
      <c r="EU4" s="218"/>
      <c r="EV4" s="217" t="s">
        <v>218</v>
      </c>
      <c r="EW4" s="218"/>
      <c r="EX4" s="217" t="s">
        <v>218</v>
      </c>
      <c r="EY4" s="218"/>
      <c r="EZ4" s="217" t="s">
        <v>220</v>
      </c>
      <c r="FA4" s="218"/>
      <c r="FB4" s="217" t="s">
        <v>218</v>
      </c>
      <c r="FC4" s="218"/>
      <c r="FD4" s="217" t="s">
        <v>218</v>
      </c>
      <c r="FE4" s="218"/>
      <c r="FF4" s="217" t="s">
        <v>222</v>
      </c>
      <c r="FG4" s="218"/>
      <c r="FH4" s="217" t="s">
        <v>218</v>
      </c>
      <c r="FI4" s="218"/>
      <c r="FJ4" s="217" t="s">
        <v>222</v>
      </c>
      <c r="FK4" s="218"/>
      <c r="FL4" s="274" t="s">
        <v>218</v>
      </c>
      <c r="FM4" s="275"/>
    </row>
    <row r="5" spans="1:169" s="82" customFormat="1" ht="138.75" customHeight="1">
      <c r="B5" s="271" t="s">
        <v>78</v>
      </c>
      <c r="C5" s="271"/>
      <c r="D5" s="271" t="s">
        <v>224</v>
      </c>
      <c r="E5" s="271"/>
      <c r="F5" s="271" t="s">
        <v>79</v>
      </c>
      <c r="G5" s="271"/>
      <c r="H5" s="271" t="s">
        <v>225</v>
      </c>
      <c r="I5" s="271"/>
      <c r="J5" s="271" t="s">
        <v>226</v>
      </c>
      <c r="K5" s="271"/>
      <c r="L5" s="271" t="s">
        <v>78</v>
      </c>
      <c r="M5" s="271"/>
      <c r="N5" s="271" t="s">
        <v>80</v>
      </c>
      <c r="O5" s="271"/>
      <c r="P5" s="271" t="s">
        <v>227</v>
      </c>
      <c r="Q5" s="271"/>
      <c r="R5" s="271" t="s">
        <v>227</v>
      </c>
      <c r="S5" s="271"/>
      <c r="T5" s="271" t="s">
        <v>68</v>
      </c>
      <c r="U5" s="271"/>
      <c r="V5" s="271" t="s">
        <v>228</v>
      </c>
      <c r="W5" s="271"/>
      <c r="X5" s="271" t="s">
        <v>229</v>
      </c>
      <c r="Y5" s="271"/>
      <c r="Z5" s="271" t="s">
        <v>230</v>
      </c>
      <c r="AA5" s="271"/>
      <c r="AB5" s="272" t="s">
        <v>227</v>
      </c>
      <c r="AC5" s="272"/>
      <c r="AD5" s="271" t="s">
        <v>69</v>
      </c>
      <c r="AE5" s="271"/>
      <c r="AF5" s="271" t="s">
        <v>231</v>
      </c>
      <c r="AG5" s="271"/>
      <c r="AH5" s="271" t="s">
        <v>232</v>
      </c>
      <c r="AI5" s="271"/>
      <c r="AJ5" s="271" t="s">
        <v>233</v>
      </c>
      <c r="AK5" s="271"/>
      <c r="AL5" s="271" t="s">
        <v>225</v>
      </c>
      <c r="AM5" s="271"/>
      <c r="AN5" s="271" t="s">
        <v>234</v>
      </c>
      <c r="AO5" s="271"/>
      <c r="AP5" s="272" t="s">
        <v>235</v>
      </c>
      <c r="AQ5" s="272"/>
      <c r="AR5" s="271" t="s">
        <v>236</v>
      </c>
      <c r="AS5" s="271"/>
      <c r="AT5" s="271" t="s">
        <v>237</v>
      </c>
      <c r="AU5" s="271"/>
      <c r="AV5" s="272" t="s">
        <v>238</v>
      </c>
      <c r="AW5" s="272"/>
      <c r="AX5" s="271" t="s">
        <v>227</v>
      </c>
      <c r="AY5" s="271"/>
      <c r="AZ5" s="271" t="s">
        <v>225</v>
      </c>
      <c r="BA5" s="271"/>
      <c r="BB5" s="271" t="s">
        <v>239</v>
      </c>
      <c r="BC5" s="271"/>
      <c r="BD5" s="271" t="s">
        <v>71</v>
      </c>
      <c r="BE5" s="271"/>
      <c r="BF5" s="271" t="s">
        <v>72</v>
      </c>
      <c r="BG5" s="271"/>
      <c r="BH5" s="271" t="s">
        <v>240</v>
      </c>
      <c r="BI5" s="271"/>
      <c r="BJ5" s="271" t="s">
        <v>241</v>
      </c>
      <c r="BK5" s="271"/>
      <c r="BL5" s="271" t="s">
        <v>242</v>
      </c>
      <c r="BM5" s="271"/>
      <c r="BN5" s="271" t="s">
        <v>243</v>
      </c>
      <c r="BO5" s="271"/>
      <c r="BP5" s="271" t="s">
        <v>244</v>
      </c>
      <c r="BQ5" s="271"/>
      <c r="BR5" s="271" t="s">
        <v>245</v>
      </c>
      <c r="BS5" s="271"/>
      <c r="BT5" s="271" t="s">
        <v>246</v>
      </c>
      <c r="BU5" s="271"/>
      <c r="BV5" s="271" t="s">
        <v>247</v>
      </c>
      <c r="BW5" s="271"/>
      <c r="BX5" s="271" t="s">
        <v>245</v>
      </c>
      <c r="BY5" s="271"/>
      <c r="BZ5" s="271" t="s">
        <v>74</v>
      </c>
      <c r="CA5" s="271"/>
      <c r="CB5" s="271" t="s">
        <v>75</v>
      </c>
      <c r="CC5" s="271"/>
      <c r="CD5" s="271" t="s">
        <v>76</v>
      </c>
      <c r="CE5" s="271"/>
      <c r="CF5" s="271" t="s">
        <v>77</v>
      </c>
      <c r="CG5" s="271"/>
      <c r="CH5" s="271" t="s">
        <v>248</v>
      </c>
      <c r="CI5" s="271"/>
      <c r="CJ5" s="271" t="s">
        <v>248</v>
      </c>
      <c r="CK5" s="271"/>
      <c r="CL5" s="271" t="s">
        <v>249</v>
      </c>
      <c r="CM5" s="271"/>
      <c r="CN5" s="271" t="s">
        <v>70</v>
      </c>
      <c r="CO5" s="271"/>
      <c r="CP5" s="273" t="s">
        <v>250</v>
      </c>
      <c r="CQ5" s="273"/>
      <c r="CR5" s="273" t="s">
        <v>221</v>
      </c>
      <c r="CS5" s="273"/>
      <c r="CT5" s="273" t="s">
        <v>251</v>
      </c>
      <c r="CU5" s="273"/>
      <c r="CV5" s="273" t="s">
        <v>252</v>
      </c>
      <c r="CW5" s="273"/>
      <c r="CX5" s="273" t="s">
        <v>253</v>
      </c>
      <c r="CY5" s="273"/>
      <c r="CZ5" s="273" t="s">
        <v>254</v>
      </c>
      <c r="DA5" s="273"/>
      <c r="DB5" s="271" t="s">
        <v>73</v>
      </c>
      <c r="DC5" s="271"/>
      <c r="DD5" s="271" t="s">
        <v>255</v>
      </c>
      <c r="DE5" s="271"/>
      <c r="DF5" s="271" t="s">
        <v>256</v>
      </c>
      <c r="DG5" s="271"/>
      <c r="DH5" s="271" t="s">
        <v>257</v>
      </c>
      <c r="DI5" s="271"/>
      <c r="DJ5" s="272" t="s">
        <v>255</v>
      </c>
      <c r="DK5" s="272"/>
      <c r="DL5" s="271" t="s">
        <v>258</v>
      </c>
      <c r="DM5" s="271"/>
      <c r="DN5" s="271" t="s">
        <v>258</v>
      </c>
      <c r="DO5" s="271"/>
      <c r="DP5" s="271" t="s">
        <v>259</v>
      </c>
      <c r="DQ5" s="271"/>
      <c r="DR5" s="271" t="s">
        <v>259</v>
      </c>
      <c r="DS5" s="271"/>
      <c r="DT5" s="271" t="s">
        <v>231</v>
      </c>
      <c r="DU5" s="271"/>
      <c r="DV5" s="271" t="s">
        <v>260</v>
      </c>
      <c r="DW5" s="271"/>
      <c r="DX5" s="273" t="s">
        <v>261</v>
      </c>
      <c r="DY5" s="273"/>
      <c r="DZ5" s="271" t="s">
        <v>225</v>
      </c>
      <c r="EA5" s="271"/>
      <c r="EB5" s="273" t="s">
        <v>262</v>
      </c>
      <c r="EC5" s="273"/>
      <c r="ED5" s="273" t="s">
        <v>263</v>
      </c>
      <c r="EE5" s="273"/>
      <c r="EF5" s="273" t="s">
        <v>264</v>
      </c>
      <c r="EG5" s="273"/>
      <c r="EH5" s="273" t="s">
        <v>227</v>
      </c>
      <c r="EI5" s="273"/>
      <c r="EJ5" s="273" t="s">
        <v>265</v>
      </c>
      <c r="EK5" s="273"/>
      <c r="EL5" s="271" t="s">
        <v>266</v>
      </c>
      <c r="EM5" s="271"/>
      <c r="EN5" s="271" t="s">
        <v>267</v>
      </c>
      <c r="EO5" s="271"/>
      <c r="EP5" s="271" t="s">
        <v>268</v>
      </c>
      <c r="EQ5" s="271"/>
      <c r="ER5" s="271" t="s">
        <v>269</v>
      </c>
      <c r="ES5" s="271"/>
      <c r="ET5" s="271" t="s">
        <v>267</v>
      </c>
      <c r="EU5" s="271"/>
      <c r="EV5" s="271" t="s">
        <v>268</v>
      </c>
      <c r="EW5" s="271"/>
      <c r="EX5" s="271" t="s">
        <v>270</v>
      </c>
      <c r="EY5" s="271"/>
      <c r="EZ5" s="271" t="s">
        <v>265</v>
      </c>
      <c r="FA5" s="271"/>
      <c r="FB5" s="271" t="s">
        <v>271</v>
      </c>
      <c r="FC5" s="271"/>
      <c r="FD5" s="271" t="s">
        <v>272</v>
      </c>
      <c r="FE5" s="271"/>
      <c r="FF5" s="271" t="s">
        <v>273</v>
      </c>
      <c r="FG5" s="271"/>
      <c r="FH5" s="271" t="s">
        <v>274</v>
      </c>
      <c r="FI5" s="271"/>
      <c r="FJ5" s="271" t="s">
        <v>275</v>
      </c>
      <c r="FK5" s="271"/>
      <c r="FL5" s="272" t="s">
        <v>276</v>
      </c>
      <c r="FM5" s="272"/>
    </row>
    <row r="6" spans="1:169" s="22" customFormat="1" ht="30" customHeight="1">
      <c r="B6" s="268">
        <v>5065544</v>
      </c>
      <c r="C6" s="268"/>
      <c r="D6" s="217"/>
      <c r="E6" s="218"/>
      <c r="F6" s="268">
        <v>5065541</v>
      </c>
      <c r="G6" s="268"/>
      <c r="H6" s="217"/>
      <c r="I6" s="218"/>
      <c r="J6" s="217"/>
      <c r="K6" s="218"/>
      <c r="L6" s="268">
        <v>5065542</v>
      </c>
      <c r="M6" s="268"/>
      <c r="N6" s="268">
        <v>5065540</v>
      </c>
      <c r="O6" s="268"/>
      <c r="P6" s="217"/>
      <c r="Q6" s="218"/>
      <c r="R6" s="217"/>
      <c r="S6" s="218"/>
      <c r="T6" s="268">
        <v>5065546</v>
      </c>
      <c r="U6" s="268"/>
      <c r="V6" s="217"/>
      <c r="W6" s="218"/>
      <c r="X6" s="217"/>
      <c r="Y6" s="218"/>
      <c r="Z6" s="217"/>
      <c r="AA6" s="218"/>
      <c r="AB6" s="217"/>
      <c r="AC6" s="218"/>
      <c r="AD6" s="268">
        <v>5065547</v>
      </c>
      <c r="AE6" s="268"/>
      <c r="AF6" s="217"/>
      <c r="AG6" s="218"/>
      <c r="AH6" s="269"/>
      <c r="AI6" s="270"/>
      <c r="AJ6" s="269"/>
      <c r="AK6" s="270"/>
      <c r="AL6" s="269"/>
      <c r="AM6" s="270"/>
      <c r="AN6" s="269"/>
      <c r="AO6" s="270"/>
      <c r="AP6" s="269"/>
      <c r="AQ6" s="270"/>
      <c r="AR6" s="269"/>
      <c r="AS6" s="270"/>
      <c r="AT6" s="269"/>
      <c r="AU6" s="270"/>
      <c r="AV6" s="269"/>
      <c r="AW6" s="270"/>
      <c r="AX6" s="269"/>
      <c r="AY6" s="270"/>
      <c r="AZ6" s="269"/>
      <c r="BA6" s="270"/>
      <c r="BB6" s="269"/>
      <c r="BC6" s="270"/>
      <c r="BD6" s="268">
        <v>5065548</v>
      </c>
      <c r="BE6" s="268"/>
      <c r="BF6" s="268">
        <v>5465545</v>
      </c>
      <c r="BG6" s="268"/>
      <c r="BH6" s="217"/>
      <c r="BI6" s="218"/>
      <c r="BJ6" s="217"/>
      <c r="BK6" s="218"/>
      <c r="BL6" s="217"/>
      <c r="BM6" s="218"/>
      <c r="BN6" s="217"/>
      <c r="BO6" s="218"/>
      <c r="BP6" s="217"/>
      <c r="BQ6" s="218"/>
      <c r="BR6" s="217"/>
      <c r="BS6" s="218"/>
      <c r="BT6" s="217"/>
      <c r="BU6" s="218"/>
      <c r="BV6" s="217"/>
      <c r="BW6" s="218"/>
      <c r="BX6" s="217"/>
      <c r="BY6" s="218"/>
      <c r="BZ6" s="268">
        <v>5018351</v>
      </c>
      <c r="CA6" s="268"/>
      <c r="CB6" s="268">
        <v>5018354</v>
      </c>
      <c r="CC6" s="268"/>
      <c r="CD6" s="268">
        <v>5018350</v>
      </c>
      <c r="CE6" s="268"/>
      <c r="CF6" s="268">
        <v>5065543</v>
      </c>
      <c r="CG6" s="268"/>
      <c r="CH6" s="217"/>
      <c r="CI6" s="218"/>
      <c r="CJ6" s="217"/>
      <c r="CK6" s="218"/>
      <c r="CL6" s="217"/>
      <c r="CM6" s="218"/>
      <c r="CN6" s="268">
        <v>5008272</v>
      </c>
      <c r="CO6" s="268"/>
      <c r="CP6" s="217"/>
      <c r="CQ6" s="218"/>
      <c r="CR6" s="217"/>
      <c r="CS6" s="218"/>
      <c r="CT6" s="217"/>
      <c r="CU6" s="218"/>
      <c r="CV6" s="217"/>
      <c r="CW6" s="218"/>
      <c r="CX6" s="217"/>
      <c r="CY6" s="218"/>
      <c r="CZ6" s="217"/>
      <c r="DA6" s="218"/>
      <c r="DB6" s="268">
        <v>5008273</v>
      </c>
      <c r="DC6" s="268"/>
      <c r="DD6" s="217"/>
      <c r="DE6" s="218"/>
      <c r="DF6" s="217"/>
      <c r="DG6" s="218"/>
      <c r="DH6" s="217"/>
      <c r="DI6" s="218"/>
      <c r="DJ6" s="217"/>
      <c r="DK6" s="218"/>
      <c r="DL6" s="217"/>
      <c r="DM6" s="218"/>
      <c r="DN6" s="217"/>
      <c r="DO6" s="218"/>
      <c r="DP6" s="217"/>
      <c r="DQ6" s="218"/>
      <c r="DR6" s="217"/>
      <c r="DS6" s="218"/>
      <c r="DT6" s="217"/>
      <c r="DU6" s="218"/>
      <c r="DV6" s="217"/>
      <c r="DW6" s="218"/>
      <c r="DX6" s="217"/>
      <c r="DY6" s="218"/>
      <c r="DZ6" s="217"/>
      <c r="EA6" s="218"/>
      <c r="EB6" s="217"/>
      <c r="EC6" s="218"/>
      <c r="ED6" s="217"/>
      <c r="EE6" s="218"/>
      <c r="EF6" s="217"/>
      <c r="EG6" s="218"/>
      <c r="EH6" s="217"/>
      <c r="EI6" s="218"/>
      <c r="EJ6" s="217"/>
      <c r="EK6" s="218"/>
      <c r="EL6" s="217"/>
      <c r="EM6" s="218"/>
      <c r="EN6" s="217"/>
      <c r="EO6" s="218"/>
      <c r="EP6" s="217"/>
      <c r="EQ6" s="218"/>
      <c r="ER6" s="217"/>
      <c r="ES6" s="218"/>
      <c r="ET6" s="217"/>
      <c r="EU6" s="218"/>
      <c r="EV6" s="217"/>
      <c r="EW6" s="218"/>
      <c r="EX6" s="217"/>
      <c r="EY6" s="218"/>
      <c r="EZ6" s="217"/>
      <c r="FA6" s="218"/>
      <c r="FB6" s="217"/>
      <c r="FC6" s="218"/>
      <c r="FD6" s="217"/>
      <c r="FE6" s="218"/>
      <c r="FF6" s="217"/>
      <c r="FG6" s="218"/>
      <c r="FH6" s="217"/>
      <c r="FI6" s="218"/>
      <c r="FJ6" s="217"/>
      <c r="FK6" s="218"/>
      <c r="FL6" s="217"/>
      <c r="FM6" s="218"/>
    </row>
    <row r="7" spans="1:169" s="22" customFormat="1" ht="30" customHeight="1">
      <c r="B7" s="256" t="s">
        <v>92</v>
      </c>
      <c r="C7" s="256"/>
      <c r="D7" s="256" t="s">
        <v>92</v>
      </c>
      <c r="E7" s="256"/>
      <c r="F7" s="254" t="s">
        <v>93</v>
      </c>
      <c r="G7" s="254"/>
      <c r="H7" s="255" t="s">
        <v>94</v>
      </c>
      <c r="I7" s="255"/>
      <c r="J7" s="255" t="s">
        <v>94</v>
      </c>
      <c r="K7" s="255"/>
      <c r="L7" s="255" t="s">
        <v>94</v>
      </c>
      <c r="M7" s="255"/>
      <c r="N7" s="257" t="s">
        <v>95</v>
      </c>
      <c r="O7" s="257"/>
      <c r="P7" s="257" t="s">
        <v>95</v>
      </c>
      <c r="Q7" s="257"/>
      <c r="R7" s="257" t="s">
        <v>95</v>
      </c>
      <c r="S7" s="257"/>
      <c r="T7" s="258" t="s">
        <v>82</v>
      </c>
      <c r="U7" s="258"/>
      <c r="V7" s="258" t="s">
        <v>82</v>
      </c>
      <c r="W7" s="258"/>
      <c r="X7" s="258" t="s">
        <v>82</v>
      </c>
      <c r="Y7" s="258"/>
      <c r="Z7" s="258" t="s">
        <v>82</v>
      </c>
      <c r="AA7" s="258"/>
      <c r="AB7" s="258" t="s">
        <v>82</v>
      </c>
      <c r="AC7" s="258"/>
      <c r="AD7" s="260" t="s">
        <v>83</v>
      </c>
      <c r="AE7" s="260"/>
      <c r="AF7" s="260" t="s">
        <v>83</v>
      </c>
      <c r="AG7" s="260"/>
      <c r="AH7" s="267" t="s">
        <v>85</v>
      </c>
      <c r="AI7" s="267"/>
      <c r="AJ7" s="267" t="s">
        <v>85</v>
      </c>
      <c r="AK7" s="267"/>
      <c r="AL7" s="267" t="s">
        <v>85</v>
      </c>
      <c r="AM7" s="267"/>
      <c r="AN7" s="267" t="s">
        <v>85</v>
      </c>
      <c r="AO7" s="267"/>
      <c r="AP7" s="267" t="s">
        <v>85</v>
      </c>
      <c r="AQ7" s="267"/>
      <c r="AR7" s="267" t="s">
        <v>85</v>
      </c>
      <c r="AS7" s="267"/>
      <c r="AT7" s="267" t="s">
        <v>85</v>
      </c>
      <c r="AU7" s="267"/>
      <c r="AV7" s="267" t="s">
        <v>85</v>
      </c>
      <c r="AW7" s="267"/>
      <c r="AX7" s="267" t="s">
        <v>85</v>
      </c>
      <c r="AY7" s="267"/>
      <c r="AZ7" s="267" t="s">
        <v>85</v>
      </c>
      <c r="BA7" s="267"/>
      <c r="BB7" s="267" t="s">
        <v>85</v>
      </c>
      <c r="BC7" s="267"/>
      <c r="BD7" s="267" t="s">
        <v>85</v>
      </c>
      <c r="BE7" s="267"/>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65" t="s">
        <v>90</v>
      </c>
      <c r="CE7" s="265"/>
      <c r="CF7" s="266" t="s">
        <v>91</v>
      </c>
      <c r="CG7" s="266"/>
      <c r="CH7" s="266" t="s">
        <v>91</v>
      </c>
      <c r="CI7" s="266"/>
      <c r="CJ7" s="266" t="s">
        <v>91</v>
      </c>
      <c r="CK7" s="266"/>
      <c r="CL7" s="266" t="s">
        <v>91</v>
      </c>
      <c r="CM7" s="266"/>
      <c r="CN7" s="261" t="s">
        <v>84</v>
      </c>
      <c r="CO7" s="261"/>
      <c r="CP7" s="261" t="s">
        <v>84</v>
      </c>
      <c r="CQ7" s="261"/>
      <c r="CR7" s="261" t="s">
        <v>84</v>
      </c>
      <c r="CS7" s="261"/>
      <c r="CT7" s="261" t="s">
        <v>84</v>
      </c>
      <c r="CU7" s="261"/>
      <c r="CV7" s="261" t="s">
        <v>84</v>
      </c>
      <c r="CW7" s="261"/>
      <c r="CX7" s="261" t="s">
        <v>84</v>
      </c>
      <c r="CY7" s="261"/>
      <c r="CZ7" s="261" t="s">
        <v>84</v>
      </c>
      <c r="DA7" s="261"/>
      <c r="DB7" s="259" t="s">
        <v>87</v>
      </c>
      <c r="DC7" s="259"/>
      <c r="DD7" s="259" t="s">
        <v>87</v>
      </c>
      <c r="DE7" s="259"/>
      <c r="DF7" s="259" t="s">
        <v>87</v>
      </c>
      <c r="DG7" s="259"/>
      <c r="DH7" s="259" t="s">
        <v>87</v>
      </c>
      <c r="DI7" s="259"/>
      <c r="DJ7" s="259" t="s">
        <v>87</v>
      </c>
      <c r="DK7" s="259"/>
      <c r="DL7" s="260" t="s">
        <v>83</v>
      </c>
      <c r="DM7" s="260"/>
      <c r="DN7" s="260" t="s">
        <v>83</v>
      </c>
      <c r="DO7" s="260"/>
      <c r="DP7" s="260" t="s">
        <v>83</v>
      </c>
      <c r="DQ7" s="260"/>
      <c r="DR7" s="260" t="s">
        <v>83</v>
      </c>
      <c r="DS7" s="260"/>
      <c r="DT7" s="260" t="s">
        <v>83</v>
      </c>
      <c r="DU7" s="260"/>
      <c r="DV7" s="260" t="s">
        <v>83</v>
      </c>
      <c r="DW7" s="260"/>
      <c r="DX7" s="258" t="s">
        <v>82</v>
      </c>
      <c r="DY7" s="258"/>
      <c r="DZ7" s="258" t="s">
        <v>82</v>
      </c>
      <c r="EA7" s="258"/>
      <c r="EB7" s="258" t="s">
        <v>82</v>
      </c>
      <c r="EC7" s="258"/>
      <c r="ED7" s="258" t="s">
        <v>82</v>
      </c>
      <c r="EE7" s="258"/>
      <c r="EF7" s="258" t="s">
        <v>82</v>
      </c>
      <c r="EG7" s="258"/>
      <c r="EH7" s="258" t="s">
        <v>82</v>
      </c>
      <c r="EI7" s="258"/>
      <c r="EJ7" s="258" t="s">
        <v>82</v>
      </c>
      <c r="EK7" s="258"/>
      <c r="EL7" s="255" t="s">
        <v>94</v>
      </c>
      <c r="EM7" s="255"/>
      <c r="EN7" s="255" t="s">
        <v>94</v>
      </c>
      <c r="EO7" s="255"/>
      <c r="EP7" s="255" t="s">
        <v>94</v>
      </c>
      <c r="EQ7" s="255"/>
      <c r="ER7" s="256" t="s">
        <v>92</v>
      </c>
      <c r="ES7" s="256"/>
      <c r="ET7" s="256" t="s">
        <v>92</v>
      </c>
      <c r="EU7" s="256"/>
      <c r="EV7" s="256" t="s">
        <v>92</v>
      </c>
      <c r="EW7" s="256"/>
      <c r="EX7" s="254" t="s">
        <v>93</v>
      </c>
      <c r="EY7" s="254"/>
      <c r="EZ7" s="257" t="s">
        <v>95</v>
      </c>
      <c r="FA7" s="257"/>
      <c r="FB7" s="257" t="s">
        <v>95</v>
      </c>
      <c r="FC7" s="257"/>
      <c r="FD7" s="257" t="s">
        <v>95</v>
      </c>
      <c r="FE7" s="257"/>
      <c r="FF7" s="254" t="s">
        <v>93</v>
      </c>
      <c r="FG7" s="254"/>
      <c r="FH7" s="254" t="s">
        <v>93</v>
      </c>
      <c r="FI7" s="254"/>
      <c r="FJ7" s="254" t="s">
        <v>93</v>
      </c>
      <c r="FK7" s="254"/>
      <c r="FL7" s="254" t="s">
        <v>93</v>
      </c>
      <c r="FM7" s="254"/>
    </row>
    <row r="8" spans="1:169" s="22" customFormat="1" ht="30" customHeight="1">
      <c r="B8" s="253"/>
      <c r="C8" s="253"/>
      <c r="D8" s="251" t="s">
        <v>277</v>
      </c>
      <c r="E8" s="252"/>
      <c r="F8" s="253"/>
      <c r="G8" s="253"/>
      <c r="H8" s="251" t="s">
        <v>278</v>
      </c>
      <c r="I8" s="252"/>
      <c r="J8" s="251" t="s">
        <v>279</v>
      </c>
      <c r="K8" s="252"/>
      <c r="L8" s="253"/>
      <c r="M8" s="253"/>
      <c r="N8" s="253"/>
      <c r="O8" s="253"/>
      <c r="P8" s="251" t="s">
        <v>280</v>
      </c>
      <c r="Q8" s="252"/>
      <c r="R8" s="251" t="s">
        <v>281</v>
      </c>
      <c r="S8" s="252"/>
      <c r="T8" s="253"/>
      <c r="U8" s="253"/>
      <c r="V8" s="251" t="s">
        <v>282</v>
      </c>
      <c r="W8" s="252"/>
      <c r="X8" s="251" t="s">
        <v>283</v>
      </c>
      <c r="Y8" s="252"/>
      <c r="Z8" s="251" t="s">
        <v>284</v>
      </c>
      <c r="AA8" s="252"/>
      <c r="AB8" s="251" t="s">
        <v>285</v>
      </c>
      <c r="AC8" s="252"/>
      <c r="AD8" s="253"/>
      <c r="AE8" s="253"/>
      <c r="AF8" s="251" t="s">
        <v>286</v>
      </c>
      <c r="AG8" s="252"/>
      <c r="AH8" s="251" t="s">
        <v>287</v>
      </c>
      <c r="AI8" s="252"/>
      <c r="AJ8" s="251" t="s">
        <v>288</v>
      </c>
      <c r="AK8" s="252"/>
      <c r="AL8" s="251" t="s">
        <v>289</v>
      </c>
      <c r="AM8" s="252"/>
      <c r="AN8" s="251" t="s">
        <v>290</v>
      </c>
      <c r="AO8" s="252"/>
      <c r="AP8" s="251" t="s">
        <v>291</v>
      </c>
      <c r="AQ8" s="252"/>
      <c r="AR8" s="251" t="s">
        <v>292</v>
      </c>
      <c r="AS8" s="252"/>
      <c r="AT8" s="251" t="s">
        <v>293</v>
      </c>
      <c r="AU8" s="252"/>
      <c r="AV8" s="251" t="s">
        <v>294</v>
      </c>
      <c r="AW8" s="252"/>
      <c r="AX8" s="251" t="s">
        <v>295</v>
      </c>
      <c r="AY8" s="252"/>
      <c r="AZ8" s="251" t="s">
        <v>296</v>
      </c>
      <c r="BA8" s="252"/>
      <c r="BB8" s="251" t="s">
        <v>297</v>
      </c>
      <c r="BC8" s="252"/>
      <c r="BD8" s="251"/>
      <c r="BE8" s="252"/>
      <c r="BF8" s="253"/>
      <c r="BG8" s="253"/>
      <c r="BH8" s="251" t="s">
        <v>298</v>
      </c>
      <c r="BI8" s="252"/>
      <c r="BJ8" s="251" t="s">
        <v>299</v>
      </c>
      <c r="BK8" s="252"/>
      <c r="BL8" s="251" t="s">
        <v>300</v>
      </c>
      <c r="BM8" s="252"/>
      <c r="BN8" s="251" t="s">
        <v>301</v>
      </c>
      <c r="BO8" s="252"/>
      <c r="BP8" s="251" t="s">
        <v>302</v>
      </c>
      <c r="BQ8" s="252"/>
      <c r="BR8" s="251" t="s">
        <v>303</v>
      </c>
      <c r="BS8" s="252"/>
      <c r="BT8" s="251" t="s">
        <v>304</v>
      </c>
      <c r="BU8" s="252"/>
      <c r="BV8" s="251" t="s">
        <v>305</v>
      </c>
      <c r="BW8" s="252"/>
      <c r="BX8" s="251" t="s">
        <v>306</v>
      </c>
      <c r="BY8" s="252"/>
      <c r="BZ8" s="253"/>
      <c r="CA8" s="253"/>
      <c r="CB8" s="253"/>
      <c r="CC8" s="253"/>
      <c r="CD8" s="253"/>
      <c r="CE8" s="253"/>
      <c r="CF8" s="253"/>
      <c r="CG8" s="253"/>
      <c r="CH8" s="251" t="s">
        <v>307</v>
      </c>
      <c r="CI8" s="252"/>
      <c r="CJ8" s="251" t="s">
        <v>308</v>
      </c>
      <c r="CK8" s="252"/>
      <c r="CL8" s="251" t="s">
        <v>309</v>
      </c>
      <c r="CM8" s="252"/>
      <c r="CN8" s="253"/>
      <c r="CO8" s="253"/>
      <c r="CP8" s="251" t="s">
        <v>310</v>
      </c>
      <c r="CQ8" s="252"/>
      <c r="CR8" s="251" t="s">
        <v>311</v>
      </c>
      <c r="CS8" s="252"/>
      <c r="CT8" s="251" t="s">
        <v>312</v>
      </c>
      <c r="CU8" s="252"/>
      <c r="CV8" s="251" t="s">
        <v>313</v>
      </c>
      <c r="CW8" s="252"/>
      <c r="CX8" s="251" t="s">
        <v>314</v>
      </c>
      <c r="CY8" s="252"/>
      <c r="CZ8" s="251" t="s">
        <v>315</v>
      </c>
      <c r="DA8" s="252"/>
      <c r="DB8" s="253"/>
      <c r="DC8" s="253"/>
      <c r="DD8" s="251" t="s">
        <v>316</v>
      </c>
      <c r="DE8" s="252"/>
      <c r="DF8" s="251" t="s">
        <v>317</v>
      </c>
      <c r="DG8" s="252"/>
      <c r="DH8" s="251" t="s">
        <v>318</v>
      </c>
      <c r="DI8" s="252"/>
      <c r="DJ8" s="251" t="s">
        <v>319</v>
      </c>
      <c r="DK8" s="252"/>
      <c r="DL8" s="251" t="s">
        <v>320</v>
      </c>
      <c r="DM8" s="252"/>
      <c r="DN8" s="251" t="s">
        <v>321</v>
      </c>
      <c r="DO8" s="252"/>
      <c r="DP8" s="251" t="s">
        <v>322</v>
      </c>
      <c r="DQ8" s="252"/>
      <c r="DR8" s="251" t="s">
        <v>323</v>
      </c>
      <c r="DS8" s="252"/>
      <c r="DT8" s="251" t="s">
        <v>324</v>
      </c>
      <c r="DU8" s="252"/>
      <c r="DV8" s="251" t="s">
        <v>325</v>
      </c>
      <c r="DW8" s="252"/>
      <c r="DX8" s="251" t="s">
        <v>326</v>
      </c>
      <c r="DY8" s="252"/>
      <c r="DZ8" s="251" t="s">
        <v>327</v>
      </c>
      <c r="EA8" s="252"/>
      <c r="EB8" s="251" t="s">
        <v>328</v>
      </c>
      <c r="EC8" s="252"/>
      <c r="ED8" s="251" t="s">
        <v>329</v>
      </c>
      <c r="EE8" s="252"/>
      <c r="EF8" s="251" t="s">
        <v>330</v>
      </c>
      <c r="EG8" s="252"/>
      <c r="EH8" s="251" t="s">
        <v>331</v>
      </c>
      <c r="EI8" s="252"/>
      <c r="EJ8" s="251" t="s">
        <v>332</v>
      </c>
      <c r="EK8" s="252"/>
      <c r="EL8" s="251" t="s">
        <v>333</v>
      </c>
      <c r="EM8" s="252"/>
      <c r="EN8" s="251" t="s">
        <v>334</v>
      </c>
      <c r="EO8" s="252"/>
      <c r="EP8" s="251" t="s">
        <v>335</v>
      </c>
      <c r="EQ8" s="252"/>
      <c r="ER8" s="251" t="s">
        <v>336</v>
      </c>
      <c r="ES8" s="252"/>
      <c r="ET8" s="251" t="s">
        <v>337</v>
      </c>
      <c r="EU8" s="252"/>
      <c r="EV8" s="251" t="s">
        <v>338</v>
      </c>
      <c r="EW8" s="252"/>
      <c r="EX8" s="251" t="s">
        <v>339</v>
      </c>
      <c r="EY8" s="252"/>
      <c r="EZ8" s="251" t="s">
        <v>340</v>
      </c>
      <c r="FA8" s="252"/>
      <c r="FB8" s="251" t="s">
        <v>341</v>
      </c>
      <c r="FC8" s="252"/>
      <c r="FD8" s="251" t="s">
        <v>342</v>
      </c>
      <c r="FE8" s="252"/>
      <c r="FF8" s="251" t="s">
        <v>343</v>
      </c>
      <c r="FG8" s="252"/>
      <c r="FH8" s="251" t="s">
        <v>344</v>
      </c>
      <c r="FI8" s="252"/>
      <c r="FJ8" s="251" t="s">
        <v>345</v>
      </c>
      <c r="FK8" s="252"/>
      <c r="FL8" s="251" t="s">
        <v>346</v>
      </c>
      <c r="FM8" s="252"/>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9" t="s">
        <v>347</v>
      </c>
      <c r="D2" s="279"/>
      <c r="E2" s="279" t="s">
        <v>348</v>
      </c>
      <c r="F2" s="279"/>
      <c r="G2" s="279" t="s">
        <v>349</v>
      </c>
      <c r="H2" s="279"/>
      <c r="I2" s="279" t="s">
        <v>350</v>
      </c>
      <c r="J2" s="279"/>
      <c r="K2" s="279" t="s">
        <v>351</v>
      </c>
      <c r="L2" s="279"/>
      <c r="M2" s="279" t="s">
        <v>352</v>
      </c>
      <c r="N2" s="279"/>
      <c r="O2" s="279" t="s">
        <v>353</v>
      </c>
      <c r="P2" s="279"/>
      <c r="Q2" s="279" t="s">
        <v>354</v>
      </c>
      <c r="R2" s="279"/>
      <c r="S2" s="279" t="s">
        <v>355</v>
      </c>
      <c r="T2" s="279"/>
      <c r="V2" s="279" t="s">
        <v>356</v>
      </c>
      <c r="W2" s="279"/>
      <c r="X2" s="279" t="s">
        <v>357</v>
      </c>
      <c r="Y2" s="279"/>
      <c r="Z2" s="279" t="s">
        <v>358</v>
      </c>
      <c r="AA2" s="279"/>
      <c r="AB2" s="279" t="s">
        <v>359</v>
      </c>
      <c r="AC2" s="279"/>
      <c r="AD2" s="279" t="s">
        <v>360</v>
      </c>
      <c r="AE2" s="279"/>
      <c r="AF2" s="279" t="s">
        <v>361</v>
      </c>
      <c r="AG2" s="279"/>
      <c r="AH2" s="279" t="s">
        <v>362</v>
      </c>
      <c r="AI2" s="279"/>
      <c r="AJ2" s="279" t="s">
        <v>363</v>
      </c>
      <c r="AK2" s="279"/>
      <c r="AL2" s="279" t="s">
        <v>364</v>
      </c>
      <c r="AM2" s="279"/>
      <c r="AO2" s="279" t="s">
        <v>365</v>
      </c>
      <c r="AP2" s="279"/>
      <c r="AQ2" s="279" t="s">
        <v>366</v>
      </c>
      <c r="AR2" s="279"/>
      <c r="AS2" s="279" t="s">
        <v>367</v>
      </c>
      <c r="AT2" s="279"/>
      <c r="AU2" s="279" t="s">
        <v>368</v>
      </c>
      <c r="AV2" s="279"/>
      <c r="AW2" s="279" t="s">
        <v>369</v>
      </c>
      <c r="AX2" s="279"/>
      <c r="AY2" s="279" t="s">
        <v>370</v>
      </c>
      <c r="AZ2" s="279"/>
      <c r="BA2" s="279" t="s">
        <v>371</v>
      </c>
      <c r="BB2" s="279"/>
      <c r="BC2" s="279" t="s">
        <v>372</v>
      </c>
      <c r="BD2" s="279"/>
      <c r="BE2" s="279" t="s">
        <v>373</v>
      </c>
      <c r="BF2" s="279"/>
      <c r="BH2" s="279" t="s">
        <v>103</v>
      </c>
      <c r="BI2" s="279"/>
      <c r="BJ2" s="279" t="s">
        <v>374</v>
      </c>
      <c r="BK2" s="279"/>
      <c r="BL2" s="279" t="s">
        <v>375</v>
      </c>
      <c r="BM2" s="279"/>
      <c r="BN2" s="279" t="s">
        <v>376</v>
      </c>
      <c r="BO2" s="279"/>
      <c r="BP2" s="279" t="s">
        <v>377</v>
      </c>
      <c r="BQ2" s="279"/>
      <c r="BR2" s="279" t="s">
        <v>378</v>
      </c>
      <c r="BS2" s="279"/>
      <c r="BT2" s="279" t="s">
        <v>379</v>
      </c>
      <c r="BU2" s="279"/>
      <c r="BV2" s="279" t="s">
        <v>380</v>
      </c>
      <c r="BW2" s="279"/>
      <c r="BX2" s="279" t="s">
        <v>381</v>
      </c>
      <c r="BY2" s="279"/>
      <c r="BZ2" s="279" t="s">
        <v>382</v>
      </c>
      <c r="CA2" s="279"/>
      <c r="CB2" s="279" t="s">
        <v>383</v>
      </c>
      <c r="CC2" s="279"/>
      <c r="CD2" s="279" t="s">
        <v>384</v>
      </c>
      <c r="CE2" s="279"/>
      <c r="CF2" s="279" t="s">
        <v>385</v>
      </c>
      <c r="CG2" s="279"/>
      <c r="CH2" s="279" t="s">
        <v>386</v>
      </c>
      <c r="CI2" s="279"/>
      <c r="CJ2" s="279" t="s">
        <v>387</v>
      </c>
      <c r="CK2" s="279"/>
      <c r="CL2" s="279" t="s">
        <v>388</v>
      </c>
      <c r="CM2" s="279"/>
      <c r="CN2" s="279" t="s">
        <v>389</v>
      </c>
      <c r="CO2" s="279"/>
      <c r="CP2" s="279" t="s">
        <v>390</v>
      </c>
      <c r="CQ2" s="279"/>
      <c r="CR2" s="279" t="s">
        <v>391</v>
      </c>
      <c r="CS2" s="279"/>
    </row>
    <row r="3" spans="1:97" s="53" customFormat="1" ht="49.5" customHeight="1">
      <c r="A3" s="110"/>
      <c r="B3" s="67"/>
      <c r="C3" s="278"/>
      <c r="D3" s="278"/>
      <c r="E3" s="281" t="s">
        <v>110</v>
      </c>
      <c r="F3" s="281"/>
      <c r="G3" s="278"/>
      <c r="H3" s="278"/>
      <c r="I3" s="282" t="s">
        <v>112</v>
      </c>
      <c r="J3" s="282"/>
      <c r="K3" s="278"/>
      <c r="L3" s="278"/>
      <c r="M3" s="278"/>
      <c r="N3" s="278"/>
      <c r="O3" s="278"/>
      <c r="P3" s="278"/>
      <c r="Q3" s="280" t="s">
        <v>113</v>
      </c>
      <c r="R3" s="280"/>
      <c r="S3" s="278"/>
      <c r="T3" s="278"/>
      <c r="U3" s="52"/>
      <c r="V3" s="280" t="s">
        <v>108</v>
      </c>
      <c r="W3" s="280"/>
      <c r="X3" s="278"/>
      <c r="Y3" s="278"/>
      <c r="Z3" s="278"/>
      <c r="AA3" s="278"/>
      <c r="AB3" s="278"/>
      <c r="AC3" s="278"/>
      <c r="AD3" s="278"/>
      <c r="AE3" s="278"/>
      <c r="AF3" s="278"/>
      <c r="AG3" s="278"/>
      <c r="AH3" s="278"/>
      <c r="AI3" s="278"/>
      <c r="AJ3" s="278"/>
      <c r="AK3" s="278"/>
      <c r="AL3" s="278"/>
      <c r="AM3" s="278"/>
      <c r="AN3" s="52"/>
      <c r="AO3" s="281" t="s">
        <v>111</v>
      </c>
      <c r="AP3" s="281"/>
      <c r="AQ3" s="278"/>
      <c r="AR3" s="278"/>
      <c r="AS3" s="278"/>
      <c r="AT3" s="278"/>
      <c r="AU3" s="278"/>
      <c r="AV3" s="278"/>
      <c r="AW3" s="278"/>
      <c r="AX3" s="278"/>
      <c r="AY3" s="278"/>
      <c r="AZ3" s="278"/>
      <c r="BA3" s="278"/>
      <c r="BB3" s="278"/>
      <c r="BC3" s="278"/>
      <c r="BD3" s="278"/>
      <c r="BE3" s="278"/>
      <c r="BF3" s="278"/>
      <c r="BG3" s="52"/>
      <c r="BH3" s="281" t="s">
        <v>109</v>
      </c>
      <c r="BI3" s="281"/>
      <c r="BJ3" s="278"/>
      <c r="BK3" s="278"/>
      <c r="BL3" s="278"/>
      <c r="BM3" s="278"/>
      <c r="BN3" s="278"/>
      <c r="BO3" s="278"/>
      <c r="BP3" s="278"/>
      <c r="BQ3" s="278"/>
      <c r="BR3" s="278"/>
      <c r="BS3" s="278"/>
      <c r="BT3" s="278"/>
      <c r="BU3" s="278"/>
      <c r="BV3" s="278"/>
      <c r="BW3" s="278"/>
      <c r="BX3" s="278"/>
      <c r="BY3" s="278"/>
      <c r="BZ3" s="278"/>
      <c r="CA3" s="278"/>
      <c r="CB3" s="278"/>
      <c r="CC3" s="278"/>
      <c r="CD3" s="278"/>
      <c r="CE3" s="278"/>
      <c r="CF3" s="278"/>
      <c r="CG3" s="278"/>
      <c r="CH3" s="278"/>
      <c r="CI3" s="278"/>
      <c r="CJ3" s="278"/>
      <c r="CK3" s="278"/>
      <c r="CL3" s="278"/>
      <c r="CM3" s="278"/>
      <c r="CN3" s="278"/>
      <c r="CO3" s="278"/>
      <c r="CP3" s="278"/>
      <c r="CQ3" s="278"/>
      <c r="CR3" s="278"/>
      <c r="CS3" s="278"/>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2023-02-11T04:04:26Z</dcterms:modified>
  <cp:category/>
  <cp:contentStatus/>
</cp:coreProperties>
</file>