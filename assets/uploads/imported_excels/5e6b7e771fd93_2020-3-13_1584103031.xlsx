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Istanbul Bosphorus\"/>
    </mc:Choice>
  </mc:AlternateContent>
  <bookViews>
    <workbookView xWindow="0" yWindow="0" windowWidth="25125" windowHeight="12435"/>
  </bookViews>
  <sheets>
    <sheet name="TOTAL" sheetId="5" r:id="rId1"/>
    <sheet name="SUBMETERING" sheetId="6" r:id="rId2"/>
  </sheets>
  <calcPr calcId="152511"/>
  <fileRecoveryPr autoRecover="0"/>
</workbook>
</file>

<file path=xl/calcChain.xml><?xml version="1.0" encoding="utf-8"?>
<calcChain xmlns="http://schemas.openxmlformats.org/spreadsheetml/2006/main">
  <c r="I2" i="6" l="1"/>
  <c r="I3" i="6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B5" i="6" l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4" i="6"/>
  <c r="B3" i="6"/>
  <c r="B32" i="5" l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<sst xmlns="http://schemas.openxmlformats.org/spreadsheetml/2006/main" count="144" uniqueCount="75">
  <si>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</si>
  <si>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</si>
  <si>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</si>
  <si>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</si>
  <si>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</si>
  <si>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</si>
  <si>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</si>
  <si>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</si>
  <si>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</si>
  <si>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</si>
  <si>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</si>
  <si>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Istanbul at the Bosphorus</t>
  </si>
  <si>
    <t>25742</t>
  </si>
  <si>
    <t>25647</t>
  </si>
  <si>
    <t>23855</t>
  </si>
  <si>
    <t>22997</t>
  </si>
  <si>
    <t>23669</t>
  </si>
  <si>
    <t>25405</t>
  </si>
  <si>
    <t>24694</t>
  </si>
  <si>
    <t>25070</t>
  </si>
  <si>
    <t>26811</t>
  </si>
  <si>
    <t>26336</t>
  </si>
  <si>
    <t>25773</t>
  </si>
  <si>
    <t>26208</t>
  </si>
  <si>
    <t>25514</t>
  </si>
  <si>
    <t>25676</t>
  </si>
  <si>
    <t>23740</t>
  </si>
  <si>
    <t>26268</t>
  </si>
  <si>
    <t>24130</t>
  </si>
  <si>
    <t>23927</t>
  </si>
  <si>
    <t>25359</t>
  </si>
  <si>
    <t>26133</t>
  </si>
  <si>
    <t>26943</t>
  </si>
  <si>
    <t>24085</t>
  </si>
  <si>
    <t>27350</t>
  </si>
  <si>
    <t>25794</t>
  </si>
  <si>
    <t>24597</t>
  </si>
  <si>
    <t>25490</t>
  </si>
  <si>
    <t>24697</t>
  </si>
  <si>
    <t>24905</t>
  </si>
  <si>
    <t>25106</t>
  </si>
  <si>
    <t>26132</t>
  </si>
  <si>
    <t>23861</t>
  </si>
  <si>
    <t>176</t>
  </si>
  <si>
    <t>164</t>
  </si>
  <si>
    <t>208</t>
  </si>
  <si>
    <t>119</t>
  </si>
  <si>
    <t>134</t>
  </si>
  <si>
    <t>135</t>
  </si>
  <si>
    <t>221</t>
  </si>
  <si>
    <t>231</t>
  </si>
  <si>
    <t>232</t>
  </si>
  <si>
    <t>260</t>
  </si>
  <si>
    <t>225</t>
  </si>
  <si>
    <t>191</t>
  </si>
  <si>
    <t>210</t>
  </si>
  <si>
    <t>279</t>
  </si>
  <si>
    <t>223</t>
  </si>
  <si>
    <t>258</t>
  </si>
  <si>
    <t>229</t>
  </si>
  <si>
    <t>197</t>
  </si>
  <si>
    <t>168</t>
  </si>
  <si>
    <t>248</t>
  </si>
  <si>
    <t>199</t>
  </si>
  <si>
    <t>205</t>
  </si>
  <si>
    <t>261</t>
  </si>
  <si>
    <t>204</t>
  </si>
  <si>
    <t>219</t>
  </si>
  <si>
    <t>244</t>
  </si>
  <si>
    <t>153</t>
  </si>
  <si>
    <t>Gas Cogen (m3)</t>
  </si>
  <si>
    <t>Gas Kitchen (m3)</t>
  </si>
  <si>
    <t>Gas Boiler (m3)</t>
  </si>
  <si>
    <t>Gas Laundry (m3)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</si>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</sst>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Normal="100" workbookViewId="0">
      <selection activeCell="K27" sqref="K2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0" width="11.5703125" style="2"/>
    <col min="11" max="11" width="12" style="2" bestFit="1" customWidth="1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7" t="s">
        <v>11</v>
      </c>
      <c r="B2" s="12">
        <v>1</v>
      </c>
      <c r="C2" s="3">
        <v>3</v>
      </c>
      <c r="D2" s="12">
        <v>2019</v>
      </c>
      <c r="E2" s="13" t="s">
        <v>12</v>
      </c>
      <c r="F2" s="12">
        <v>0.56000000000000005</v>
      </c>
      <c r="G2" s="13">
        <v>7179</v>
      </c>
      <c r="H2" s="12">
        <v>1.65</v>
      </c>
      <c r="I2" s="13" t="s">
        <v>43</v>
      </c>
      <c r="J2" s="12">
        <v>12.8</v>
      </c>
      <c r="K2" s="12">
        <v>115</v>
      </c>
    </row>
    <row r="3" spans="1:11" s="16" customFormat="1" x14ac:dyDescent="0.25">
      <c r="A3" s="17" t="s">
        <v>11</v>
      </c>
      <c r="B3" s="15">
        <f>B2+1</f>
        <v>2</v>
      </c>
      <c r="C3" s="3">
        <v>3</v>
      </c>
      <c r="D3" s="12">
        <v>2019</v>
      </c>
      <c r="E3" s="13" t="s">
        <v>13</v>
      </c>
      <c r="F3" s="12">
        <f>F2</f>
        <v>0.56000000000000005</v>
      </c>
      <c r="G3" s="13">
        <v>7287</v>
      </c>
      <c r="H3" s="12">
        <f>H2</f>
        <v>1.65</v>
      </c>
      <c r="I3" s="13" t="s">
        <v>44</v>
      </c>
      <c r="J3" s="12">
        <f>J2</f>
        <v>12.8</v>
      </c>
      <c r="K3" s="12">
        <v>136</v>
      </c>
    </row>
    <row r="4" spans="1:11" s="16" customFormat="1" x14ac:dyDescent="0.25">
      <c r="A4" s="17" t="s">
        <v>11</v>
      </c>
      <c r="B4" s="15">
        <f t="shared" ref="B4:B32" si="0">B3+1</f>
        <v>3</v>
      </c>
      <c r="C4" s="3">
        <v>3</v>
      </c>
      <c r="D4" s="12">
        <v>2019</v>
      </c>
      <c r="E4" s="13" t="s">
        <v>14</v>
      </c>
      <c r="F4" s="12">
        <f t="shared" ref="F4:F32" si="1">F3</f>
        <v>0.56000000000000005</v>
      </c>
      <c r="G4" s="13">
        <v>7131</v>
      </c>
      <c r="H4" s="12">
        <f t="shared" ref="H4:H32" si="2">H3</f>
        <v>1.65</v>
      </c>
      <c r="I4" s="13" t="s">
        <v>45</v>
      </c>
      <c r="J4" s="12">
        <f t="shared" ref="J4:J32" si="3">J3</f>
        <v>12.8</v>
      </c>
      <c r="K4" s="12">
        <v>117</v>
      </c>
    </row>
    <row r="5" spans="1:11" s="16" customFormat="1" x14ac:dyDescent="0.25">
      <c r="A5" s="17" t="s">
        <v>11</v>
      </c>
      <c r="B5" s="15">
        <f t="shared" si="0"/>
        <v>4</v>
      </c>
      <c r="C5" s="3">
        <v>3</v>
      </c>
      <c r="D5" s="12">
        <v>2019</v>
      </c>
      <c r="E5" s="13" t="s">
        <v>15</v>
      </c>
      <c r="F5" s="12">
        <f t="shared" si="1"/>
        <v>0.56000000000000005</v>
      </c>
      <c r="G5" s="13">
        <v>7085</v>
      </c>
      <c r="H5" s="12">
        <f t="shared" si="2"/>
        <v>1.65</v>
      </c>
      <c r="I5" s="13" t="s">
        <v>46</v>
      </c>
      <c r="J5" s="12">
        <f t="shared" si="3"/>
        <v>12.8</v>
      </c>
      <c r="K5" s="12">
        <v>128</v>
      </c>
    </row>
    <row r="6" spans="1:11" s="16" customFormat="1" x14ac:dyDescent="0.25">
      <c r="A6" s="17" t="s">
        <v>11</v>
      </c>
      <c r="B6" s="15">
        <f t="shared" si="0"/>
        <v>5</v>
      </c>
      <c r="C6" s="3">
        <v>3</v>
      </c>
      <c r="D6" s="12">
        <v>2019</v>
      </c>
      <c r="E6" s="13" t="s">
        <v>16</v>
      </c>
      <c r="F6" s="12">
        <f t="shared" si="1"/>
        <v>0.56000000000000005</v>
      </c>
      <c r="G6" s="13">
        <v>6490</v>
      </c>
      <c r="H6" s="12">
        <f t="shared" si="2"/>
        <v>1.65</v>
      </c>
      <c r="I6" s="13" t="s">
        <v>47</v>
      </c>
      <c r="J6" s="12">
        <f t="shared" si="3"/>
        <v>12.8</v>
      </c>
      <c r="K6" s="12">
        <v>112</v>
      </c>
    </row>
    <row r="7" spans="1:11" s="16" customFormat="1" x14ac:dyDescent="0.25">
      <c r="A7" s="17" t="s">
        <v>11</v>
      </c>
      <c r="B7" s="15">
        <f t="shared" si="0"/>
        <v>6</v>
      </c>
      <c r="C7" s="3">
        <v>3</v>
      </c>
      <c r="D7" s="12">
        <v>2019</v>
      </c>
      <c r="E7" s="13" t="s">
        <v>17</v>
      </c>
      <c r="F7" s="12">
        <f t="shared" si="1"/>
        <v>0.56000000000000005</v>
      </c>
      <c r="G7" s="13">
        <v>6665</v>
      </c>
      <c r="H7" s="12">
        <f t="shared" si="2"/>
        <v>1.65</v>
      </c>
      <c r="I7" s="13" t="s">
        <v>48</v>
      </c>
      <c r="J7" s="12">
        <f t="shared" si="3"/>
        <v>12.8</v>
      </c>
      <c r="K7" s="12">
        <v>95</v>
      </c>
    </row>
    <row r="8" spans="1:11" s="16" customFormat="1" x14ac:dyDescent="0.25">
      <c r="A8" s="17" t="s">
        <v>11</v>
      </c>
      <c r="B8" s="15">
        <f t="shared" si="0"/>
        <v>7</v>
      </c>
      <c r="C8" s="3">
        <v>3</v>
      </c>
      <c r="D8" s="12">
        <v>2019</v>
      </c>
      <c r="E8" s="13" t="s">
        <v>18</v>
      </c>
      <c r="F8" s="12">
        <f t="shared" si="1"/>
        <v>0.56000000000000005</v>
      </c>
      <c r="G8" s="13">
        <v>6837</v>
      </c>
      <c r="H8" s="12">
        <f t="shared" si="2"/>
        <v>1.65</v>
      </c>
      <c r="I8" s="13" t="s">
        <v>49</v>
      </c>
      <c r="J8" s="12">
        <f t="shared" si="3"/>
        <v>12.8</v>
      </c>
      <c r="K8" s="12">
        <v>104</v>
      </c>
    </row>
    <row r="9" spans="1:11" s="16" customFormat="1" x14ac:dyDescent="0.25">
      <c r="A9" s="17" t="s">
        <v>11</v>
      </c>
      <c r="B9" s="15">
        <f t="shared" si="0"/>
        <v>8</v>
      </c>
      <c r="C9" s="3">
        <v>3</v>
      </c>
      <c r="D9" s="12">
        <v>2019</v>
      </c>
      <c r="E9" s="13" t="s">
        <v>19</v>
      </c>
      <c r="F9" s="12">
        <f t="shared" si="1"/>
        <v>0.56000000000000005</v>
      </c>
      <c r="G9" s="13">
        <v>6369</v>
      </c>
      <c r="H9" s="12">
        <f t="shared" si="2"/>
        <v>1.65</v>
      </c>
      <c r="I9" s="13" t="s">
        <v>50</v>
      </c>
      <c r="J9" s="12">
        <f t="shared" si="3"/>
        <v>12.8</v>
      </c>
      <c r="K9" s="12">
        <v>126</v>
      </c>
    </row>
    <row r="10" spans="1:11" s="16" customFormat="1" x14ac:dyDescent="0.25">
      <c r="A10" s="17" t="s">
        <v>11</v>
      </c>
      <c r="B10" s="15">
        <f t="shared" si="0"/>
        <v>9</v>
      </c>
      <c r="C10" s="3">
        <v>3</v>
      </c>
      <c r="D10" s="12">
        <v>2019</v>
      </c>
      <c r="E10" s="13" t="s">
        <v>20</v>
      </c>
      <c r="F10" s="12">
        <f t="shared" si="1"/>
        <v>0.56000000000000005</v>
      </c>
      <c r="G10" s="13">
        <v>6623</v>
      </c>
      <c r="H10" s="12">
        <f t="shared" si="2"/>
        <v>1.65</v>
      </c>
      <c r="I10" s="13" t="s">
        <v>51</v>
      </c>
      <c r="J10" s="12">
        <f t="shared" si="3"/>
        <v>12.8</v>
      </c>
      <c r="K10" s="12">
        <v>132</v>
      </c>
    </row>
    <row r="11" spans="1:11" s="16" customFormat="1" x14ac:dyDescent="0.25">
      <c r="A11" s="17" t="s">
        <v>11</v>
      </c>
      <c r="B11" s="15">
        <f t="shared" si="0"/>
        <v>10</v>
      </c>
      <c r="C11" s="3">
        <v>3</v>
      </c>
      <c r="D11" s="12">
        <v>2019</v>
      </c>
      <c r="E11" s="13" t="s">
        <v>21</v>
      </c>
      <c r="F11" s="12">
        <f t="shared" si="1"/>
        <v>0.56000000000000005</v>
      </c>
      <c r="G11" s="13">
        <v>6479</v>
      </c>
      <c r="H11" s="12">
        <f t="shared" si="2"/>
        <v>1.65</v>
      </c>
      <c r="I11" s="13" t="s">
        <v>52</v>
      </c>
      <c r="J11" s="12">
        <f t="shared" si="3"/>
        <v>12.8</v>
      </c>
      <c r="K11" s="12">
        <v>102</v>
      </c>
    </row>
    <row r="12" spans="1:11" s="16" customFormat="1" x14ac:dyDescent="0.25">
      <c r="A12" s="17" t="s">
        <v>11</v>
      </c>
      <c r="B12" s="15">
        <f t="shared" si="0"/>
        <v>11</v>
      </c>
      <c r="C12" s="3">
        <v>3</v>
      </c>
      <c r="D12" s="12">
        <v>2019</v>
      </c>
      <c r="E12" s="13" t="s">
        <v>22</v>
      </c>
      <c r="F12" s="12">
        <f t="shared" si="1"/>
        <v>0.56000000000000005</v>
      </c>
      <c r="G12" s="13">
        <v>6161</v>
      </c>
      <c r="H12" s="12">
        <f t="shared" si="2"/>
        <v>1.65</v>
      </c>
      <c r="I12" s="13" t="s">
        <v>53</v>
      </c>
      <c r="J12" s="12">
        <f t="shared" si="3"/>
        <v>12.8</v>
      </c>
      <c r="K12" s="12">
        <v>107</v>
      </c>
    </row>
    <row r="13" spans="1:11" s="16" customFormat="1" x14ac:dyDescent="0.25">
      <c r="A13" s="17" t="s">
        <v>11</v>
      </c>
      <c r="B13" s="15">
        <f t="shared" si="0"/>
        <v>12</v>
      </c>
      <c r="C13" s="3">
        <v>3</v>
      </c>
      <c r="D13" s="12">
        <v>2019</v>
      </c>
      <c r="E13" s="13" t="s">
        <v>23</v>
      </c>
      <c r="F13" s="12">
        <f t="shared" si="1"/>
        <v>0.56000000000000005</v>
      </c>
      <c r="G13" s="13">
        <v>7003</v>
      </c>
      <c r="H13" s="12">
        <f t="shared" si="2"/>
        <v>1.65</v>
      </c>
      <c r="I13" s="13" t="s">
        <v>54</v>
      </c>
      <c r="J13" s="12">
        <f t="shared" si="3"/>
        <v>12.8</v>
      </c>
      <c r="K13" s="12">
        <v>100</v>
      </c>
    </row>
    <row r="14" spans="1:11" s="16" customFormat="1" x14ac:dyDescent="0.25">
      <c r="A14" s="17" t="s">
        <v>11</v>
      </c>
      <c r="B14" s="15">
        <f t="shared" si="0"/>
        <v>13</v>
      </c>
      <c r="C14" s="3">
        <v>3</v>
      </c>
      <c r="D14" s="12">
        <v>2019</v>
      </c>
      <c r="E14" s="13" t="s">
        <v>24</v>
      </c>
      <c r="F14" s="12">
        <f t="shared" si="1"/>
        <v>0.56000000000000005</v>
      </c>
      <c r="G14" s="13">
        <v>7200</v>
      </c>
      <c r="H14" s="12">
        <f t="shared" si="2"/>
        <v>1.65</v>
      </c>
      <c r="I14" s="13" t="s">
        <v>55</v>
      </c>
      <c r="J14" s="12">
        <f t="shared" si="3"/>
        <v>12.8</v>
      </c>
      <c r="K14" s="12">
        <v>94</v>
      </c>
    </row>
    <row r="15" spans="1:11" s="16" customFormat="1" x14ac:dyDescent="0.25">
      <c r="A15" s="17" t="s">
        <v>11</v>
      </c>
      <c r="B15" s="15">
        <f t="shared" si="0"/>
        <v>14</v>
      </c>
      <c r="C15" s="3">
        <v>3</v>
      </c>
      <c r="D15" s="12">
        <v>2019</v>
      </c>
      <c r="E15" s="13" t="s">
        <v>25</v>
      </c>
      <c r="F15" s="12">
        <f t="shared" si="1"/>
        <v>0.56000000000000005</v>
      </c>
      <c r="G15" s="13">
        <v>7200</v>
      </c>
      <c r="H15" s="12">
        <f t="shared" si="2"/>
        <v>1.65</v>
      </c>
      <c r="I15" s="13" t="s">
        <v>56</v>
      </c>
      <c r="J15" s="12">
        <f t="shared" si="3"/>
        <v>12.8</v>
      </c>
      <c r="K15" s="12">
        <v>98</v>
      </c>
    </row>
    <row r="16" spans="1:11" s="16" customFormat="1" x14ac:dyDescent="0.25">
      <c r="A16" s="17" t="s">
        <v>11</v>
      </c>
      <c r="B16" s="15">
        <f t="shared" si="0"/>
        <v>15</v>
      </c>
      <c r="C16" s="3">
        <v>3</v>
      </c>
      <c r="D16" s="12">
        <v>2019</v>
      </c>
      <c r="E16" s="13" t="s">
        <v>26</v>
      </c>
      <c r="F16" s="12">
        <f t="shared" si="1"/>
        <v>0.56000000000000005</v>
      </c>
      <c r="G16" s="13">
        <v>5624</v>
      </c>
      <c r="H16" s="12">
        <f t="shared" si="2"/>
        <v>1.65</v>
      </c>
      <c r="I16" s="13" t="s">
        <v>57</v>
      </c>
      <c r="J16" s="12">
        <f t="shared" si="3"/>
        <v>12.8</v>
      </c>
      <c r="K16" s="12">
        <v>105</v>
      </c>
    </row>
    <row r="17" spans="1:11" s="16" customFormat="1" x14ac:dyDescent="0.25">
      <c r="A17" s="17" t="s">
        <v>11</v>
      </c>
      <c r="B17" s="15">
        <f t="shared" si="0"/>
        <v>16</v>
      </c>
      <c r="C17" s="3">
        <v>3</v>
      </c>
      <c r="D17" s="12">
        <v>2019</v>
      </c>
      <c r="E17" s="13" t="s">
        <v>27</v>
      </c>
      <c r="F17" s="12">
        <f t="shared" si="1"/>
        <v>0.56000000000000005</v>
      </c>
      <c r="G17" s="13">
        <v>7358</v>
      </c>
      <c r="H17" s="12">
        <f t="shared" si="2"/>
        <v>1.65</v>
      </c>
      <c r="I17" s="13" t="s">
        <v>58</v>
      </c>
      <c r="J17" s="12">
        <f t="shared" si="3"/>
        <v>12.8</v>
      </c>
      <c r="K17" s="12">
        <v>122</v>
      </c>
    </row>
    <row r="18" spans="1:11" s="16" customFormat="1" x14ac:dyDescent="0.25">
      <c r="A18" s="17" t="s">
        <v>11</v>
      </c>
      <c r="B18" s="15">
        <f t="shared" si="0"/>
        <v>17</v>
      </c>
      <c r="C18" s="3">
        <v>3</v>
      </c>
      <c r="D18" s="12">
        <v>2019</v>
      </c>
      <c r="E18" s="13" t="s">
        <v>28</v>
      </c>
      <c r="F18" s="12">
        <f t="shared" si="1"/>
        <v>0.56000000000000005</v>
      </c>
      <c r="G18" s="13">
        <v>6451</v>
      </c>
      <c r="H18" s="12">
        <f t="shared" si="2"/>
        <v>1.65</v>
      </c>
      <c r="I18" s="13" t="s">
        <v>59</v>
      </c>
      <c r="J18" s="12">
        <f t="shared" si="3"/>
        <v>12.8</v>
      </c>
      <c r="K18" s="12">
        <v>104</v>
      </c>
    </row>
    <row r="19" spans="1:11" s="16" customFormat="1" x14ac:dyDescent="0.25">
      <c r="A19" s="17" t="s">
        <v>11</v>
      </c>
      <c r="B19" s="15">
        <f t="shared" si="0"/>
        <v>18</v>
      </c>
      <c r="C19" s="3">
        <v>3</v>
      </c>
      <c r="D19" s="12">
        <v>2019</v>
      </c>
      <c r="E19" s="13" t="s">
        <v>29</v>
      </c>
      <c r="F19" s="12">
        <f t="shared" si="1"/>
        <v>0.56000000000000005</v>
      </c>
      <c r="G19" s="13">
        <v>6063</v>
      </c>
      <c r="H19" s="12">
        <f t="shared" si="2"/>
        <v>1.65</v>
      </c>
      <c r="I19" s="13" t="s">
        <v>60</v>
      </c>
      <c r="J19" s="12">
        <f t="shared" si="3"/>
        <v>12.8</v>
      </c>
      <c r="K19" s="12">
        <v>114</v>
      </c>
    </row>
    <row r="20" spans="1:11" s="16" customFormat="1" x14ac:dyDescent="0.25">
      <c r="A20" s="17" t="s">
        <v>11</v>
      </c>
      <c r="B20" s="15">
        <f t="shared" si="0"/>
        <v>19</v>
      </c>
      <c r="C20" s="3">
        <v>3</v>
      </c>
      <c r="D20" s="12">
        <v>2019</v>
      </c>
      <c r="E20" s="13" t="s">
        <v>30</v>
      </c>
      <c r="F20" s="12">
        <f t="shared" si="1"/>
        <v>0.56000000000000005</v>
      </c>
      <c r="G20" s="13">
        <v>6309</v>
      </c>
      <c r="H20" s="12">
        <f t="shared" si="2"/>
        <v>1.65</v>
      </c>
      <c r="I20" s="13" t="s">
        <v>61</v>
      </c>
      <c r="J20" s="12">
        <f t="shared" si="3"/>
        <v>12.8</v>
      </c>
      <c r="K20" s="12">
        <v>115</v>
      </c>
    </row>
    <row r="21" spans="1:11" s="16" customFormat="1" x14ac:dyDescent="0.25">
      <c r="A21" s="17" t="s">
        <v>11</v>
      </c>
      <c r="B21" s="15">
        <f t="shared" si="0"/>
        <v>20</v>
      </c>
      <c r="C21" s="3">
        <v>3</v>
      </c>
      <c r="D21" s="12">
        <v>2019</v>
      </c>
      <c r="E21" s="13" t="s">
        <v>31</v>
      </c>
      <c r="F21" s="12">
        <f t="shared" si="1"/>
        <v>0.56000000000000005</v>
      </c>
      <c r="G21" s="13">
        <v>6907</v>
      </c>
      <c r="H21" s="12">
        <f t="shared" si="2"/>
        <v>1.65</v>
      </c>
      <c r="I21" s="13" t="s">
        <v>44</v>
      </c>
      <c r="J21" s="12">
        <f t="shared" si="3"/>
        <v>12.8</v>
      </c>
      <c r="K21" s="12">
        <v>102</v>
      </c>
    </row>
    <row r="22" spans="1:11" s="16" customFormat="1" x14ac:dyDescent="0.25">
      <c r="A22" s="17" t="s">
        <v>11</v>
      </c>
      <c r="B22" s="15">
        <f t="shared" si="0"/>
        <v>21</v>
      </c>
      <c r="C22" s="3">
        <v>3</v>
      </c>
      <c r="D22" s="12">
        <v>2019</v>
      </c>
      <c r="E22" s="13" t="s">
        <v>32</v>
      </c>
      <c r="F22" s="12">
        <f t="shared" si="1"/>
        <v>0.56000000000000005</v>
      </c>
      <c r="G22" s="13">
        <v>6682</v>
      </c>
      <c r="H22" s="12">
        <f t="shared" si="2"/>
        <v>1.65</v>
      </c>
      <c r="I22" s="13" t="s">
        <v>62</v>
      </c>
      <c r="J22" s="12">
        <f t="shared" si="3"/>
        <v>12.8</v>
      </c>
      <c r="K22" s="12">
        <v>96</v>
      </c>
    </row>
    <row r="23" spans="1:11" s="16" customFormat="1" x14ac:dyDescent="0.25">
      <c r="A23" s="17" t="s">
        <v>11</v>
      </c>
      <c r="B23" s="15">
        <f t="shared" si="0"/>
        <v>22</v>
      </c>
      <c r="C23" s="3">
        <v>3</v>
      </c>
      <c r="D23" s="12">
        <v>2019</v>
      </c>
      <c r="E23" s="13" t="s">
        <v>33</v>
      </c>
      <c r="F23" s="12">
        <f t="shared" si="1"/>
        <v>0.56000000000000005</v>
      </c>
      <c r="G23" s="13">
        <v>4842</v>
      </c>
      <c r="H23" s="12">
        <f t="shared" si="2"/>
        <v>1.65</v>
      </c>
      <c r="I23" s="13" t="s">
        <v>43</v>
      </c>
      <c r="J23" s="12">
        <f t="shared" si="3"/>
        <v>12.8</v>
      </c>
      <c r="K23" s="12">
        <v>98</v>
      </c>
    </row>
    <row r="24" spans="1:11" s="16" customFormat="1" x14ac:dyDescent="0.25">
      <c r="A24" s="17" t="s">
        <v>11</v>
      </c>
      <c r="B24" s="15">
        <f t="shared" si="0"/>
        <v>23</v>
      </c>
      <c r="C24" s="3">
        <v>3</v>
      </c>
      <c r="D24" s="12">
        <v>2019</v>
      </c>
      <c r="E24" s="13" t="s">
        <v>34</v>
      </c>
      <c r="F24" s="12">
        <f t="shared" si="1"/>
        <v>0.56000000000000005</v>
      </c>
      <c r="G24" s="13">
        <v>7576</v>
      </c>
      <c r="H24" s="12">
        <f t="shared" si="2"/>
        <v>1.65</v>
      </c>
      <c r="I24" s="13" t="s">
        <v>63</v>
      </c>
      <c r="J24" s="12">
        <f t="shared" si="3"/>
        <v>12.8</v>
      </c>
      <c r="K24" s="12">
        <v>103</v>
      </c>
    </row>
    <row r="25" spans="1:11" s="16" customFormat="1" x14ac:dyDescent="0.25">
      <c r="A25" s="17" t="s">
        <v>11</v>
      </c>
      <c r="B25" s="15">
        <f t="shared" si="0"/>
        <v>24</v>
      </c>
      <c r="C25" s="3">
        <v>3</v>
      </c>
      <c r="D25" s="12">
        <v>2019</v>
      </c>
      <c r="E25" s="13" t="s">
        <v>35</v>
      </c>
      <c r="F25" s="12">
        <f t="shared" si="1"/>
        <v>0.56000000000000005</v>
      </c>
      <c r="G25" s="13">
        <v>6202</v>
      </c>
      <c r="H25" s="12">
        <f t="shared" si="2"/>
        <v>1.65</v>
      </c>
      <c r="I25" s="13" t="s">
        <v>64</v>
      </c>
      <c r="J25" s="12">
        <f t="shared" si="3"/>
        <v>12.8</v>
      </c>
      <c r="K25" s="12">
        <v>99</v>
      </c>
    </row>
    <row r="26" spans="1:11" s="16" customFormat="1" x14ac:dyDescent="0.25">
      <c r="A26" s="17" t="s">
        <v>11</v>
      </c>
      <c r="B26" s="15">
        <f>B25+1</f>
        <v>25</v>
      </c>
      <c r="C26" s="3">
        <v>3</v>
      </c>
      <c r="D26" s="12">
        <v>2019</v>
      </c>
      <c r="E26" s="13" t="s">
        <v>36</v>
      </c>
      <c r="F26" s="12">
        <f t="shared" si="1"/>
        <v>0.56000000000000005</v>
      </c>
      <c r="G26" s="13">
        <v>6751</v>
      </c>
      <c r="H26" s="12">
        <f t="shared" si="2"/>
        <v>1.65</v>
      </c>
      <c r="I26" s="13" t="s">
        <v>53</v>
      </c>
      <c r="J26" s="12">
        <f t="shared" si="3"/>
        <v>12.8</v>
      </c>
      <c r="K26" s="12">
        <v>111</v>
      </c>
    </row>
    <row r="27" spans="1:11" s="16" customFormat="1" x14ac:dyDescent="0.25">
      <c r="A27" s="17" t="s">
        <v>11</v>
      </c>
      <c r="B27" s="15">
        <f t="shared" si="0"/>
        <v>26</v>
      </c>
      <c r="C27" s="3">
        <v>3</v>
      </c>
      <c r="D27" s="12">
        <v>2019</v>
      </c>
      <c r="E27" s="13" t="s">
        <v>37</v>
      </c>
      <c r="F27" s="12">
        <f t="shared" si="1"/>
        <v>0.56000000000000005</v>
      </c>
      <c r="G27" s="13">
        <v>4414</v>
      </c>
      <c r="H27" s="12">
        <f t="shared" si="2"/>
        <v>1.65</v>
      </c>
      <c r="I27" s="13" t="s">
        <v>65</v>
      </c>
      <c r="J27" s="12">
        <f t="shared" si="3"/>
        <v>12.8</v>
      </c>
      <c r="K27" s="12">
        <v>126</v>
      </c>
    </row>
    <row r="28" spans="1:11" s="16" customFormat="1" x14ac:dyDescent="0.25">
      <c r="A28" s="17" t="s">
        <v>11</v>
      </c>
      <c r="B28" s="15">
        <f t="shared" si="0"/>
        <v>27</v>
      </c>
      <c r="C28" s="3">
        <v>3</v>
      </c>
      <c r="D28" s="12">
        <v>2019</v>
      </c>
      <c r="E28" s="13" t="s">
        <v>38</v>
      </c>
      <c r="F28" s="12">
        <f t="shared" si="1"/>
        <v>0.56000000000000005</v>
      </c>
      <c r="G28" s="13">
        <v>6378</v>
      </c>
      <c r="H28" s="12">
        <f t="shared" si="2"/>
        <v>1.65</v>
      </c>
      <c r="I28" s="13" t="s">
        <v>66</v>
      </c>
      <c r="J28" s="12">
        <f t="shared" si="3"/>
        <v>12.8</v>
      </c>
      <c r="K28" s="12">
        <v>117</v>
      </c>
    </row>
    <row r="29" spans="1:11" s="16" customFormat="1" x14ac:dyDescent="0.25">
      <c r="A29" s="17" t="s">
        <v>11</v>
      </c>
      <c r="B29" s="15">
        <f t="shared" si="0"/>
        <v>28</v>
      </c>
      <c r="C29" s="3">
        <v>3</v>
      </c>
      <c r="D29" s="12">
        <v>2019</v>
      </c>
      <c r="E29" s="13" t="s">
        <v>39</v>
      </c>
      <c r="F29" s="12">
        <f t="shared" si="1"/>
        <v>0.56000000000000005</v>
      </c>
      <c r="G29" s="13">
        <v>6534</v>
      </c>
      <c r="H29" s="12">
        <f t="shared" si="2"/>
        <v>1.65</v>
      </c>
      <c r="I29" s="13" t="s">
        <v>67</v>
      </c>
      <c r="J29" s="12">
        <f t="shared" si="3"/>
        <v>12.8</v>
      </c>
      <c r="K29" s="12">
        <v>141</v>
      </c>
    </row>
    <row r="30" spans="1:11" s="16" customFormat="1" x14ac:dyDescent="0.25">
      <c r="A30" s="17" t="s">
        <v>11</v>
      </c>
      <c r="B30" s="15">
        <f t="shared" si="0"/>
        <v>29</v>
      </c>
      <c r="C30" s="3">
        <v>3</v>
      </c>
      <c r="D30" s="12">
        <v>2019</v>
      </c>
      <c r="E30" s="13" t="s">
        <v>40</v>
      </c>
      <c r="F30" s="12">
        <f t="shared" si="1"/>
        <v>0.56000000000000005</v>
      </c>
      <c r="G30" s="13">
        <v>6819</v>
      </c>
      <c r="H30" s="12">
        <f t="shared" si="2"/>
        <v>1.65</v>
      </c>
      <c r="I30" s="13" t="s">
        <v>68</v>
      </c>
      <c r="J30" s="12">
        <f t="shared" si="3"/>
        <v>12.8</v>
      </c>
      <c r="K30" s="12">
        <v>137</v>
      </c>
    </row>
    <row r="31" spans="1:11" s="14" customFormat="1" x14ac:dyDescent="0.25">
      <c r="A31" s="17" t="s">
        <v>11</v>
      </c>
      <c r="B31" s="15">
        <f t="shared" si="0"/>
        <v>30</v>
      </c>
      <c r="C31" s="3">
        <v>3</v>
      </c>
      <c r="D31" s="12">
        <v>2019</v>
      </c>
      <c r="E31" s="13" t="s">
        <v>41</v>
      </c>
      <c r="F31" s="12">
        <f t="shared" si="1"/>
        <v>0.56000000000000005</v>
      </c>
      <c r="G31" s="13">
        <v>6966</v>
      </c>
      <c r="H31" s="12">
        <f t="shared" si="2"/>
        <v>1.65</v>
      </c>
      <c r="I31" s="13" t="s">
        <v>57</v>
      </c>
      <c r="J31" s="12">
        <f t="shared" si="3"/>
        <v>12.8</v>
      </c>
      <c r="K31" s="12">
        <v>141</v>
      </c>
    </row>
    <row r="32" spans="1:11" x14ac:dyDescent="0.25">
      <c r="A32" s="17" t="s">
        <v>11</v>
      </c>
      <c r="B32" s="15">
        <f t="shared" si="0"/>
        <v>31</v>
      </c>
      <c r="C32" s="3">
        <v>3</v>
      </c>
      <c r="D32" s="12">
        <v>2019</v>
      </c>
      <c r="E32" s="13" t="s">
        <v>42</v>
      </c>
      <c r="F32" s="12">
        <f t="shared" si="1"/>
        <v>0.56000000000000005</v>
      </c>
      <c r="G32" s="13">
        <v>5422</v>
      </c>
      <c r="H32" s="12">
        <f t="shared" si="2"/>
        <v>1.65</v>
      </c>
      <c r="I32" s="13" t="s">
        <v>69</v>
      </c>
      <c r="J32" s="12">
        <f t="shared" si="3"/>
        <v>12.8</v>
      </c>
      <c r="K32" s="12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I2" sqref="I2"/>
    </sheetView>
  </sheetViews>
  <sheetFormatPr defaultRowHeight="15" x14ac:dyDescent="0.25"/>
  <cols>
    <col min="1" max="1" width="23.85546875" bestFit="1" customWidth="1"/>
    <col min="5" max="5" width="15" bestFit="1" customWidth="1"/>
    <col min="6" max="6" width="16.140625" bestFit="1" customWidth="1"/>
    <col min="7" max="7" width="14.7109375" bestFit="1" customWidth="1"/>
    <col min="8" max="8" width="16.42578125" bestFit="1" customWidth="1"/>
    <col min="9" max="9" width="12.28515625" bestFit="1" customWidth="1"/>
  </cols>
  <sheetData>
    <row r="1" spans="1:9" ht="36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</row>
    <row r="2" spans="1:9" x14ac:dyDescent="0.25">
      <c r="A2" s="17" t="s">
        <v>11</v>
      </c>
      <c r="B2" s="12">
        <v>1</v>
      </c>
      <c r="C2" s="3">
        <v>3</v>
      </c>
      <c r="D2" s="12">
        <v>2019</v>
      </c>
      <c r="E2" s="13">
        <v>4769</v>
      </c>
      <c r="F2" s="13">
        <v>249</v>
      </c>
      <c r="G2" s="13">
        <v>1968</v>
      </c>
      <c r="H2" s="13">
        <v>193</v>
      </c>
      <c r="I2" s="13">
        <f>TOTAL!K2</f>
        <v>115</v>
      </c>
    </row>
    <row r="3" spans="1:9" x14ac:dyDescent="0.25">
      <c r="A3" s="17" t="s">
        <v>11</v>
      </c>
      <c r="B3" s="15">
        <f>B2+1</f>
        <v>2</v>
      </c>
      <c r="C3" s="3">
        <v>3</v>
      </c>
      <c r="D3" s="12">
        <v>2019</v>
      </c>
      <c r="E3" s="13">
        <v>4784</v>
      </c>
      <c r="F3" s="13">
        <v>237</v>
      </c>
      <c r="G3" s="13">
        <v>2034</v>
      </c>
      <c r="H3" s="13">
        <v>232</v>
      </c>
      <c r="I3" s="13">
        <f>TOTAL!K3</f>
        <v>136</v>
      </c>
    </row>
    <row r="4" spans="1:9" x14ac:dyDescent="0.25">
      <c r="A4" s="17" t="s">
        <v>11</v>
      </c>
      <c r="B4" s="15">
        <f t="shared" ref="B4:B32" si="0">B3+1</f>
        <v>3</v>
      </c>
      <c r="C4" s="3">
        <v>3</v>
      </c>
      <c r="D4" s="12">
        <v>2019</v>
      </c>
      <c r="E4" s="13">
        <v>4579</v>
      </c>
      <c r="F4" s="13">
        <v>205</v>
      </c>
      <c r="G4" s="13">
        <v>2133</v>
      </c>
      <c r="H4" s="13">
        <v>214</v>
      </c>
      <c r="I4" s="13">
        <f>TOTAL!K4</f>
        <v>117</v>
      </c>
    </row>
    <row r="5" spans="1:9" x14ac:dyDescent="0.25">
      <c r="A5" s="17" t="s">
        <v>11</v>
      </c>
      <c r="B5" s="15">
        <f t="shared" si="0"/>
        <v>4</v>
      </c>
      <c r="C5" s="3">
        <v>3</v>
      </c>
      <c r="D5" s="12">
        <v>2019</v>
      </c>
      <c r="E5" s="13">
        <v>4539</v>
      </c>
      <c r="F5" s="13">
        <v>194</v>
      </c>
      <c r="G5" s="13">
        <v>2104</v>
      </c>
      <c r="H5" s="13">
        <v>248</v>
      </c>
      <c r="I5" s="13">
        <f>TOTAL!K5</f>
        <v>128</v>
      </c>
    </row>
    <row r="6" spans="1:9" x14ac:dyDescent="0.25">
      <c r="A6" s="17" t="s">
        <v>11</v>
      </c>
      <c r="B6" s="15">
        <f t="shared" si="0"/>
        <v>5</v>
      </c>
      <c r="C6" s="3">
        <v>3</v>
      </c>
      <c r="D6" s="12">
        <v>2019</v>
      </c>
      <c r="E6" s="13">
        <v>4442</v>
      </c>
      <c r="F6" s="13">
        <v>204</v>
      </c>
      <c r="G6" s="13">
        <v>1675</v>
      </c>
      <c r="H6" s="13">
        <v>169</v>
      </c>
      <c r="I6" s="13">
        <f>TOTAL!K6</f>
        <v>112</v>
      </c>
    </row>
    <row r="7" spans="1:9" x14ac:dyDescent="0.25">
      <c r="A7" s="17" t="s">
        <v>11</v>
      </c>
      <c r="B7" s="15">
        <f t="shared" si="0"/>
        <v>6</v>
      </c>
      <c r="C7" s="3">
        <v>3</v>
      </c>
      <c r="D7" s="12">
        <v>2019</v>
      </c>
      <c r="E7" s="13">
        <v>4688</v>
      </c>
      <c r="F7" s="13">
        <v>202</v>
      </c>
      <c r="G7" s="13">
        <v>1573</v>
      </c>
      <c r="H7" s="13">
        <v>202</v>
      </c>
      <c r="I7" s="13">
        <f>TOTAL!K7</f>
        <v>95</v>
      </c>
    </row>
    <row r="8" spans="1:9" x14ac:dyDescent="0.25">
      <c r="A8" s="17" t="s">
        <v>11</v>
      </c>
      <c r="B8" s="15">
        <f t="shared" si="0"/>
        <v>7</v>
      </c>
      <c r="C8" s="3">
        <v>3</v>
      </c>
      <c r="D8" s="12">
        <v>2019</v>
      </c>
      <c r="E8" s="13">
        <v>4819</v>
      </c>
      <c r="F8" s="13">
        <v>217</v>
      </c>
      <c r="G8" s="13">
        <v>1596</v>
      </c>
      <c r="H8" s="13">
        <v>205</v>
      </c>
      <c r="I8" s="13">
        <f>TOTAL!K8</f>
        <v>104</v>
      </c>
    </row>
    <row r="9" spans="1:9" x14ac:dyDescent="0.25">
      <c r="A9" s="17" t="s">
        <v>11</v>
      </c>
      <c r="B9" s="15">
        <f t="shared" si="0"/>
        <v>8</v>
      </c>
      <c r="C9" s="3">
        <v>3</v>
      </c>
      <c r="D9" s="12">
        <v>2019</v>
      </c>
      <c r="E9" s="13">
        <v>4524</v>
      </c>
      <c r="F9" s="13">
        <v>226</v>
      </c>
      <c r="G9" s="13">
        <v>1404</v>
      </c>
      <c r="H9" s="13">
        <v>215</v>
      </c>
      <c r="I9" s="13">
        <f>TOTAL!K9</f>
        <v>126</v>
      </c>
    </row>
    <row r="10" spans="1:9" x14ac:dyDescent="0.25">
      <c r="A10" s="17" t="s">
        <v>11</v>
      </c>
      <c r="B10" s="15">
        <f t="shared" si="0"/>
        <v>9</v>
      </c>
      <c r="C10" s="3">
        <v>3</v>
      </c>
      <c r="D10" s="12">
        <v>2019</v>
      </c>
      <c r="E10" s="13">
        <v>4527</v>
      </c>
      <c r="F10" s="13">
        <v>232</v>
      </c>
      <c r="G10" s="13">
        <v>1641</v>
      </c>
      <c r="H10" s="13">
        <v>223</v>
      </c>
      <c r="I10" s="13">
        <f>TOTAL!K10</f>
        <v>132</v>
      </c>
    </row>
    <row r="11" spans="1:9" x14ac:dyDescent="0.25">
      <c r="A11" s="17" t="s">
        <v>11</v>
      </c>
      <c r="B11" s="15">
        <f t="shared" si="0"/>
        <v>10</v>
      </c>
      <c r="C11" s="3">
        <v>3</v>
      </c>
      <c r="D11" s="12">
        <v>2019</v>
      </c>
      <c r="E11" s="13">
        <v>4555</v>
      </c>
      <c r="F11" s="13">
        <v>206</v>
      </c>
      <c r="G11" s="13">
        <v>1461</v>
      </c>
      <c r="H11" s="13">
        <v>257</v>
      </c>
      <c r="I11" s="13">
        <f>TOTAL!K11</f>
        <v>102</v>
      </c>
    </row>
    <row r="12" spans="1:9" x14ac:dyDescent="0.25">
      <c r="A12" s="17" t="s">
        <v>11</v>
      </c>
      <c r="B12" s="15">
        <f t="shared" si="0"/>
        <v>11</v>
      </c>
      <c r="C12" s="3">
        <v>3</v>
      </c>
      <c r="D12" s="12">
        <v>2019</v>
      </c>
      <c r="E12" s="13">
        <v>4531</v>
      </c>
      <c r="F12" s="13">
        <v>162</v>
      </c>
      <c r="G12" s="13">
        <v>1267</v>
      </c>
      <c r="H12" s="13">
        <v>201</v>
      </c>
      <c r="I12" s="13">
        <f>TOTAL!K12</f>
        <v>107</v>
      </c>
    </row>
    <row r="13" spans="1:9" x14ac:dyDescent="0.25">
      <c r="A13" s="17" t="s">
        <v>11</v>
      </c>
      <c r="B13" s="15">
        <f t="shared" si="0"/>
        <v>12</v>
      </c>
      <c r="C13" s="3">
        <v>3</v>
      </c>
      <c r="D13" s="12">
        <v>2019</v>
      </c>
      <c r="E13" s="13">
        <v>4753</v>
      </c>
      <c r="F13" s="13">
        <v>175</v>
      </c>
      <c r="G13" s="13">
        <v>1842</v>
      </c>
      <c r="H13" s="13">
        <v>233</v>
      </c>
      <c r="I13" s="13">
        <f>TOTAL!K13</f>
        <v>100</v>
      </c>
    </row>
    <row r="14" spans="1:9" x14ac:dyDescent="0.25">
      <c r="A14" s="17" t="s">
        <v>11</v>
      </c>
      <c r="B14" s="15">
        <f t="shared" si="0"/>
        <v>13</v>
      </c>
      <c r="C14" s="3">
        <v>3</v>
      </c>
      <c r="D14" s="12">
        <v>2019</v>
      </c>
      <c r="E14" s="13">
        <v>4724</v>
      </c>
      <c r="F14" s="13">
        <v>200</v>
      </c>
      <c r="G14" s="13">
        <v>2077</v>
      </c>
      <c r="H14" s="13">
        <v>199</v>
      </c>
      <c r="I14" s="13">
        <f>TOTAL!K14</f>
        <v>94</v>
      </c>
    </row>
    <row r="15" spans="1:9" x14ac:dyDescent="0.25">
      <c r="A15" s="17" t="s">
        <v>11</v>
      </c>
      <c r="B15" s="15">
        <f t="shared" si="0"/>
        <v>14</v>
      </c>
      <c r="C15" s="3">
        <v>3</v>
      </c>
      <c r="D15" s="12">
        <v>2019</v>
      </c>
      <c r="E15" s="13">
        <v>4751</v>
      </c>
      <c r="F15" s="13">
        <v>223</v>
      </c>
      <c r="G15" s="13">
        <v>1999</v>
      </c>
      <c r="H15" s="13">
        <v>227</v>
      </c>
      <c r="I15" s="13">
        <f>TOTAL!K15</f>
        <v>98</v>
      </c>
    </row>
    <row r="16" spans="1:9" x14ac:dyDescent="0.25">
      <c r="A16" s="17" t="s">
        <v>11</v>
      </c>
      <c r="B16" s="15">
        <f t="shared" si="0"/>
        <v>15</v>
      </c>
      <c r="C16" s="3">
        <v>3</v>
      </c>
      <c r="D16" s="12">
        <v>2019</v>
      </c>
      <c r="E16" s="13">
        <v>3320</v>
      </c>
      <c r="F16" s="13">
        <v>189</v>
      </c>
      <c r="G16" s="13">
        <v>1920</v>
      </c>
      <c r="H16" s="13">
        <v>195</v>
      </c>
      <c r="I16" s="13">
        <f>TOTAL!K16</f>
        <v>105</v>
      </c>
    </row>
    <row r="17" spans="1:9" x14ac:dyDescent="0.25">
      <c r="A17" s="17" t="s">
        <v>11</v>
      </c>
      <c r="B17" s="15">
        <f t="shared" si="0"/>
        <v>16</v>
      </c>
      <c r="C17" s="3">
        <v>3</v>
      </c>
      <c r="D17" s="12">
        <v>2019</v>
      </c>
      <c r="E17" s="13">
        <v>4779</v>
      </c>
      <c r="F17" s="13">
        <v>230</v>
      </c>
      <c r="G17" s="13">
        <v>2123</v>
      </c>
      <c r="H17" s="13">
        <v>226</v>
      </c>
      <c r="I17" s="13">
        <f>TOTAL!K17</f>
        <v>122</v>
      </c>
    </row>
    <row r="18" spans="1:9" x14ac:dyDescent="0.25">
      <c r="A18" s="17" t="s">
        <v>11</v>
      </c>
      <c r="B18" s="15">
        <f t="shared" si="0"/>
        <v>17</v>
      </c>
      <c r="C18" s="3">
        <v>3</v>
      </c>
      <c r="D18" s="12">
        <v>2019</v>
      </c>
      <c r="E18" s="13">
        <v>4455</v>
      </c>
      <c r="F18" s="13">
        <v>172</v>
      </c>
      <c r="G18" s="13">
        <v>1590</v>
      </c>
      <c r="H18" s="13">
        <v>234</v>
      </c>
      <c r="I18" s="13">
        <f>TOTAL!K18</f>
        <v>104</v>
      </c>
    </row>
    <row r="19" spans="1:9" x14ac:dyDescent="0.25">
      <c r="A19" s="17" t="s">
        <v>11</v>
      </c>
      <c r="B19" s="15">
        <f t="shared" si="0"/>
        <v>18</v>
      </c>
      <c r="C19" s="3">
        <v>3</v>
      </c>
      <c r="D19" s="12">
        <v>2019</v>
      </c>
      <c r="E19" s="13">
        <v>4323</v>
      </c>
      <c r="F19" s="13">
        <v>153</v>
      </c>
      <c r="G19" s="13">
        <v>1364</v>
      </c>
      <c r="H19" s="13">
        <v>223</v>
      </c>
      <c r="I19" s="13">
        <f>TOTAL!K19</f>
        <v>114</v>
      </c>
    </row>
    <row r="20" spans="1:9" x14ac:dyDescent="0.25">
      <c r="A20" s="17" t="s">
        <v>11</v>
      </c>
      <c r="B20" s="15">
        <f t="shared" si="0"/>
        <v>19</v>
      </c>
      <c r="C20" s="3">
        <v>3</v>
      </c>
      <c r="D20" s="12">
        <v>2019</v>
      </c>
      <c r="E20" s="13">
        <v>4594</v>
      </c>
      <c r="F20" s="13">
        <v>231</v>
      </c>
      <c r="G20" s="13">
        <v>1286</v>
      </c>
      <c r="H20" s="13">
        <v>198</v>
      </c>
      <c r="I20" s="13">
        <f>TOTAL!K20</f>
        <v>115</v>
      </c>
    </row>
    <row r="21" spans="1:9" x14ac:dyDescent="0.25">
      <c r="A21" s="17" t="s">
        <v>11</v>
      </c>
      <c r="B21" s="15">
        <f t="shared" si="0"/>
        <v>20</v>
      </c>
      <c r="C21" s="3">
        <v>3</v>
      </c>
      <c r="D21" s="12">
        <v>2019</v>
      </c>
      <c r="E21" s="13">
        <v>4777</v>
      </c>
      <c r="F21" s="13">
        <v>250</v>
      </c>
      <c r="G21" s="13">
        <v>1643</v>
      </c>
      <c r="H21" s="13">
        <v>237</v>
      </c>
      <c r="I21" s="13">
        <f>TOTAL!K21</f>
        <v>102</v>
      </c>
    </row>
    <row r="22" spans="1:9" x14ac:dyDescent="0.25">
      <c r="A22" s="17" t="s">
        <v>11</v>
      </c>
      <c r="B22" s="15">
        <f t="shared" si="0"/>
        <v>21</v>
      </c>
      <c r="C22" s="3">
        <v>3</v>
      </c>
      <c r="D22" s="12">
        <v>2019</v>
      </c>
      <c r="E22" s="13">
        <v>3867</v>
      </c>
      <c r="F22" s="13">
        <v>242</v>
      </c>
      <c r="G22" s="13">
        <v>2356</v>
      </c>
      <c r="H22" s="13">
        <v>217</v>
      </c>
      <c r="I22" s="13">
        <f>TOTAL!K22</f>
        <v>96</v>
      </c>
    </row>
    <row r="23" spans="1:9" x14ac:dyDescent="0.25">
      <c r="A23" s="17" t="s">
        <v>11</v>
      </c>
      <c r="B23" s="15">
        <f t="shared" si="0"/>
        <v>22</v>
      </c>
      <c r="C23" s="3">
        <v>3</v>
      </c>
      <c r="D23" s="12">
        <v>2019</v>
      </c>
      <c r="E23" s="13">
        <v>2886</v>
      </c>
      <c r="F23" s="13">
        <v>181</v>
      </c>
      <c r="G23" s="13">
        <v>1568</v>
      </c>
      <c r="H23" s="13">
        <v>207</v>
      </c>
      <c r="I23" s="13">
        <f>TOTAL!K23</f>
        <v>98</v>
      </c>
    </row>
    <row r="24" spans="1:9" x14ac:dyDescent="0.25">
      <c r="A24" s="17" t="s">
        <v>11</v>
      </c>
      <c r="B24" s="15">
        <f t="shared" si="0"/>
        <v>23</v>
      </c>
      <c r="C24" s="3">
        <v>3</v>
      </c>
      <c r="D24" s="12">
        <v>2019</v>
      </c>
      <c r="E24" s="13">
        <v>5138</v>
      </c>
      <c r="F24" s="13">
        <v>219</v>
      </c>
      <c r="G24" s="13">
        <v>1970</v>
      </c>
      <c r="H24" s="13">
        <v>249</v>
      </c>
      <c r="I24" s="13">
        <f>TOTAL!K24</f>
        <v>103</v>
      </c>
    </row>
    <row r="25" spans="1:9" x14ac:dyDescent="0.25">
      <c r="A25" s="17" t="s">
        <v>11</v>
      </c>
      <c r="B25" s="15">
        <f t="shared" si="0"/>
        <v>24</v>
      </c>
      <c r="C25" s="3">
        <v>3</v>
      </c>
      <c r="D25" s="12">
        <v>2019</v>
      </c>
      <c r="E25" s="13">
        <v>4210</v>
      </c>
      <c r="F25" s="13">
        <v>187</v>
      </c>
      <c r="G25" s="13">
        <v>1603</v>
      </c>
      <c r="H25" s="13">
        <v>202</v>
      </c>
      <c r="I25" s="13">
        <f>TOTAL!K25</f>
        <v>99</v>
      </c>
    </row>
    <row r="26" spans="1:9" x14ac:dyDescent="0.25">
      <c r="A26" s="17" t="s">
        <v>11</v>
      </c>
      <c r="B26" s="15">
        <f>B25+1</f>
        <v>25</v>
      </c>
      <c r="C26" s="3">
        <v>3</v>
      </c>
      <c r="D26" s="12">
        <v>2019</v>
      </c>
      <c r="E26" s="13">
        <v>4529</v>
      </c>
      <c r="F26" s="13">
        <v>198</v>
      </c>
      <c r="G26" s="13">
        <v>1800</v>
      </c>
      <c r="H26" s="13">
        <v>224</v>
      </c>
      <c r="I26" s="13">
        <f>TOTAL!K26</f>
        <v>111</v>
      </c>
    </row>
    <row r="27" spans="1:9" x14ac:dyDescent="0.25">
      <c r="A27" s="17" t="s">
        <v>11</v>
      </c>
      <c r="B27" s="15">
        <f t="shared" si="0"/>
        <v>26</v>
      </c>
      <c r="C27" s="3">
        <v>3</v>
      </c>
      <c r="D27" s="12">
        <v>2019</v>
      </c>
      <c r="E27" s="13">
        <v>2206</v>
      </c>
      <c r="F27" s="13">
        <v>185</v>
      </c>
      <c r="G27" s="13">
        <v>1814</v>
      </c>
      <c r="H27" s="13">
        <v>209</v>
      </c>
      <c r="I27" s="13">
        <f>TOTAL!K27</f>
        <v>126</v>
      </c>
    </row>
    <row r="28" spans="1:9" x14ac:dyDescent="0.25">
      <c r="A28" s="17" t="s">
        <v>11</v>
      </c>
      <c r="B28" s="15">
        <f t="shared" si="0"/>
        <v>27</v>
      </c>
      <c r="C28" s="3">
        <v>3</v>
      </c>
      <c r="D28" s="12">
        <v>2019</v>
      </c>
      <c r="E28" s="13">
        <v>4524</v>
      </c>
      <c r="F28" s="13">
        <v>209</v>
      </c>
      <c r="G28" s="13">
        <v>1456</v>
      </c>
      <c r="H28" s="13">
        <v>189</v>
      </c>
      <c r="I28" s="13">
        <f>TOTAL!K28</f>
        <v>117</v>
      </c>
    </row>
    <row r="29" spans="1:9" x14ac:dyDescent="0.25">
      <c r="A29" s="17" t="s">
        <v>11</v>
      </c>
      <c r="B29" s="15">
        <f t="shared" si="0"/>
        <v>28</v>
      </c>
      <c r="C29" s="3">
        <v>3</v>
      </c>
      <c r="D29" s="12">
        <v>2019</v>
      </c>
      <c r="E29" s="13">
        <v>4540</v>
      </c>
      <c r="F29" s="13">
        <v>188</v>
      </c>
      <c r="G29" s="13">
        <v>1579</v>
      </c>
      <c r="H29" s="13">
        <v>227</v>
      </c>
      <c r="I29" s="13">
        <f>TOTAL!K29</f>
        <v>141</v>
      </c>
    </row>
    <row r="30" spans="1:9" x14ac:dyDescent="0.25">
      <c r="A30" s="17" t="s">
        <v>11</v>
      </c>
      <c r="B30" s="15">
        <f t="shared" si="0"/>
        <v>29</v>
      </c>
      <c r="C30" s="3">
        <v>3</v>
      </c>
      <c r="D30" s="12">
        <v>2019</v>
      </c>
      <c r="E30" s="13">
        <v>4616</v>
      </c>
      <c r="F30" s="13">
        <v>222</v>
      </c>
      <c r="G30" s="13">
        <v>1790</v>
      </c>
      <c r="H30" s="13">
        <v>191</v>
      </c>
      <c r="I30" s="13">
        <f>TOTAL!K30</f>
        <v>137</v>
      </c>
    </row>
    <row r="31" spans="1:9" x14ac:dyDescent="0.25">
      <c r="A31" s="17" t="s">
        <v>11</v>
      </c>
      <c r="B31" s="15">
        <f t="shared" si="0"/>
        <v>30</v>
      </c>
      <c r="C31" s="3">
        <v>3</v>
      </c>
      <c r="D31" s="12">
        <v>2019</v>
      </c>
      <c r="E31" s="13">
        <v>4596</v>
      </c>
      <c r="F31" s="13">
        <v>189</v>
      </c>
      <c r="G31" s="13">
        <v>1957</v>
      </c>
      <c r="H31" s="13">
        <v>224</v>
      </c>
      <c r="I31" s="13">
        <f>TOTAL!K31</f>
        <v>141</v>
      </c>
    </row>
    <row r="32" spans="1:9" x14ac:dyDescent="0.25">
      <c r="A32" s="17" t="s">
        <v>11</v>
      </c>
      <c r="B32" s="15">
        <f t="shared" si="0"/>
        <v>31</v>
      </c>
      <c r="C32" s="3">
        <v>3</v>
      </c>
      <c r="D32" s="12">
        <v>2019</v>
      </c>
      <c r="E32" s="13">
        <v>3220</v>
      </c>
      <c r="F32" s="13">
        <v>143</v>
      </c>
      <c r="G32" s="13">
        <v>1858</v>
      </c>
      <c r="H32" s="13">
        <v>201</v>
      </c>
      <c r="I32" s="13">
        <f>TOTAL!K32</f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2020-03-13T12:32:48Z</dcterms:modified>
</cp:coreProperties>
</file>