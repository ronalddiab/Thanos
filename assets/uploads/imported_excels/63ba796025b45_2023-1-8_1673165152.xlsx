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3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<sst xmlns="http://schemas.openxmlformats.org/spreadsheetml/2006/main" count="129" uniqueCount="50">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</sst>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G19" sqref="G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64620</v>
      </c>
      <c r="F2" s="11">
        <v>5.0000000000000001E-3</v>
      </c>
      <c r="G2" s="12">
        <f>Submetering!R2</f>
        <v>556.83381099999997</v>
      </c>
      <c r="H2" s="11">
        <v>0.52800000000000002</v>
      </c>
      <c r="I2" s="12">
        <f>Hotel!B7</f>
        <v>81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59840</v>
      </c>
      <c r="F3" s="11">
        <v>5.0000000000000001E-3</v>
      </c>
      <c r="G3" s="12">
        <f>Submetering!R3</f>
        <v>526.92907200000002</v>
      </c>
      <c r="H3" s="11">
        <v>0.52800000000000002</v>
      </c>
      <c r="I3" s="12">
        <f>Hotel!B8</f>
        <v>50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58720</v>
      </c>
      <c r="F4" s="11">
        <v>5.0000000000000001E-3</v>
      </c>
      <c r="G4" s="12">
        <f>Submetering!R4</f>
        <v>453.11357699999996</v>
      </c>
      <c r="H4" s="11">
        <v>0.52800000000000002</v>
      </c>
      <c r="I4" s="12">
        <f>Hotel!B9</f>
        <v>54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63200</v>
      </c>
      <c r="F5" s="11">
        <v>5.0000000000000001E-3</v>
      </c>
      <c r="G5" s="12">
        <f>Submetering!R5</f>
        <v>486.04664399999996</v>
      </c>
      <c r="H5" s="11">
        <v>0.52800000000000002</v>
      </c>
      <c r="I5" s="12">
        <f>Hotel!B10</f>
        <v>63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61790</v>
      </c>
      <c r="F6" s="11">
        <v>5.0000000000000001E-3</v>
      </c>
      <c r="G6" s="12">
        <f>Submetering!R6</f>
        <v>242.64478099999999</v>
      </c>
      <c r="H6" s="11">
        <v>0.52800000000000002</v>
      </c>
      <c r="I6" s="12">
        <f>Hotel!B11</f>
        <v>73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59260</v>
      </c>
      <c r="F7" s="11">
        <v>5.0000000000000001E-3</v>
      </c>
      <c r="G7" s="12">
        <f>Submetering!R7</f>
        <v>463.71272499999998</v>
      </c>
      <c r="H7" s="11">
        <v>0.52800000000000002</v>
      </c>
      <c r="I7" s="12">
        <f>Hotel!B12</f>
        <v>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60440</v>
      </c>
      <c r="F8" s="11">
        <v>5.0000000000000001E-3</v>
      </c>
      <c r="G8" s="12">
        <f>Submetering!R8</f>
        <v>570.08274600000004</v>
      </c>
      <c r="H8" s="11">
        <v>0.52800000000000002</v>
      </c>
      <c r="I8" s="12">
        <f>Hotel!B13</f>
        <v>61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2023</v>
      </c>
      <c r="E2" s="4">
        <f>Hotel!Q7</f>
        <v>560</v>
      </c>
      <c r="F2" s="4">
        <f>Hotel!R7</f>
        <v>8850</v>
      </c>
      <c r="G2" s="4" t="str">
        <f>Hotel!S7</f>
        <v>0</v>
      </c>
      <c r="H2" s="4">
        <f>Hotel!T7</f>
        <v>1400</v>
      </c>
      <c r="I2" s="4">
        <f>Hotel!U7</f>
        <v>6470</v>
      </c>
      <c r="J2" s="4">
        <f>Hotel!V7</f>
        <v>4390</v>
      </c>
      <c r="K2" s="4">
        <f>Hotel!W7</f>
        <v>2580</v>
      </c>
      <c r="L2" s="4">
        <f>Hotel!X7</f>
        <v>5850</v>
      </c>
      <c r="M2" s="4">
        <f>Hotel!Y7</f>
        <v>6710</v>
      </c>
      <c r="N2" s="4">
        <f>Hotel!Z7</f>
        <v>2710</v>
      </c>
      <c r="O2" s="4">
        <f>Hotel!AA7</f>
        <v>3620</v>
      </c>
      <c r="P2" s="4">
        <f>Hotel!AB7</f>
        <v>7630</v>
      </c>
      <c r="Q2" s="4">
        <f>Hotel!AC7</f>
        <v>13850</v>
      </c>
      <c r="R2" s="4">
        <f>Hotel!AV7*0.00378541*100</f>
        <v>556.83381099999997</v>
      </c>
      <c r="S2" s="4">
        <f>Hotel!B7</f>
        <v>81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2023</v>
      </c>
      <c r="E3" s="4">
        <f>Hotel!Q8</f>
        <v>800</v>
      </c>
      <c r="F3" s="4">
        <f>Hotel!R8</f>
        <v>8080</v>
      </c>
      <c r="G3" s="4">
        <f>Hotel!S8</f>
        <v>0</v>
      </c>
      <c r="H3" s="4">
        <f>Hotel!T8</f>
        <v>1380</v>
      </c>
      <c r="I3" s="4">
        <f>Hotel!U8</f>
        <v>5820</v>
      </c>
      <c r="J3" s="4">
        <f>Hotel!V8</f>
        <v>4150</v>
      </c>
      <c r="K3" s="4">
        <f>Hotel!W8</f>
        <v>2610</v>
      </c>
      <c r="L3" s="4">
        <f>Hotel!X8</f>
        <v>5060</v>
      </c>
      <c r="M3" s="4">
        <f>Hotel!Y8</f>
        <v>5690</v>
      </c>
      <c r="N3" s="4">
        <f>Hotel!Z8</f>
        <v>2440</v>
      </c>
      <c r="O3" s="4">
        <f>Hotel!AA8</f>
        <v>3370</v>
      </c>
      <c r="P3" s="4">
        <f>Hotel!AB8</f>
        <v>7240</v>
      </c>
      <c r="Q3" s="4">
        <f>Hotel!AC8</f>
        <v>13200</v>
      </c>
      <c r="R3" s="4">
        <f>Hotel!AV8*0.00378541*100</f>
        <v>526.92907200000002</v>
      </c>
      <c r="S3" s="4">
        <f>Hotel!B8</f>
        <v>50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2023</v>
      </c>
      <c r="E4" s="4">
        <f>Hotel!Q9</f>
        <v>8070</v>
      </c>
      <c r="F4" s="4">
        <f>Hotel!R9</f>
        <v>1850</v>
      </c>
      <c r="G4" s="4">
        <f>Hotel!S9</f>
        <v>0</v>
      </c>
      <c r="H4" s="4">
        <f>Hotel!T9</f>
        <v>1440</v>
      </c>
      <c r="I4" s="4">
        <f>Hotel!U9</f>
        <v>5350</v>
      </c>
      <c r="J4" s="4">
        <f>Hotel!V9</f>
        <v>4150</v>
      </c>
      <c r="K4" s="4">
        <f>Hotel!W9</f>
        <v>2840</v>
      </c>
      <c r="L4" s="4">
        <f>Hotel!X9</f>
        <v>4880</v>
      </c>
      <c r="M4" s="4">
        <f>Hotel!Y9</f>
        <v>5530</v>
      </c>
      <c r="N4" s="4">
        <f>Hotel!Z9</f>
        <v>2400</v>
      </c>
      <c r="O4" s="4">
        <f>Hotel!AA9</f>
        <v>2680</v>
      </c>
      <c r="P4" s="4">
        <f>Hotel!AB9</f>
        <v>7190</v>
      </c>
      <c r="Q4" s="4">
        <f>Hotel!AC9</f>
        <v>12340</v>
      </c>
      <c r="R4" s="4">
        <f>Hotel!AV9*0.00378541*100</f>
        <v>453.11357699999996</v>
      </c>
      <c r="S4" s="4">
        <f>Hotel!B9</f>
        <v>54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2023</v>
      </c>
      <c r="E5" s="4">
        <f>Hotel!Q10</f>
        <v>8360</v>
      </c>
      <c r="F5" s="4">
        <f>Hotel!R10</f>
        <v>1890</v>
      </c>
      <c r="G5" s="4">
        <f>Hotel!S10</f>
        <v>10</v>
      </c>
      <c r="H5" s="4">
        <f>Hotel!T10</f>
        <v>1460</v>
      </c>
      <c r="I5" s="4">
        <f>Hotel!U10</f>
        <v>5890</v>
      </c>
      <c r="J5" s="4">
        <f>Hotel!V10</f>
        <v>4250</v>
      </c>
      <c r="K5" s="4">
        <f>Hotel!W10</f>
        <v>3280</v>
      </c>
      <c r="L5" s="4">
        <f>Hotel!X10</f>
        <v>5150</v>
      </c>
      <c r="M5" s="4">
        <f>Hotel!Y10</f>
        <v>5840</v>
      </c>
      <c r="N5" s="4">
        <f>Hotel!Z10</f>
        <v>2400</v>
      </c>
      <c r="O5" s="4">
        <f>Hotel!AA10</f>
        <v>3310</v>
      </c>
      <c r="P5" s="4">
        <f>Hotel!AB10</f>
        <v>7400</v>
      </c>
      <c r="Q5" s="4">
        <f>Hotel!AC10</f>
        <v>13960</v>
      </c>
      <c r="R5" s="4">
        <f>Hotel!AV10*0.00378541*100</f>
        <v>486.04664399999996</v>
      </c>
      <c r="S5" s="4">
        <f>Hotel!B10</f>
        <v>63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2023</v>
      </c>
      <c r="E6" s="4">
        <f>Hotel!Q11</f>
        <v>8020</v>
      </c>
      <c r="F6" s="4">
        <f>Hotel!R11</f>
        <v>1830</v>
      </c>
      <c r="G6" s="4">
        <f>Hotel!S11</f>
        <v>0</v>
      </c>
      <c r="H6" s="4">
        <f>Hotel!T11</f>
        <v>1420</v>
      </c>
      <c r="I6" s="4">
        <f>Hotel!U11</f>
        <v>5540</v>
      </c>
      <c r="J6" s="4">
        <f>Hotel!V11</f>
        <v>4060</v>
      </c>
      <c r="K6" s="4">
        <f>Hotel!W11</f>
        <v>2910</v>
      </c>
      <c r="L6" s="4">
        <f>Hotel!X11</f>
        <v>5070</v>
      </c>
      <c r="M6" s="4">
        <f>Hotel!Y11</f>
        <v>5450</v>
      </c>
      <c r="N6" s="4">
        <f>Hotel!Z11</f>
        <v>2390</v>
      </c>
      <c r="O6" s="4">
        <f>Hotel!AA11</f>
        <v>3110</v>
      </c>
      <c r="P6" s="4">
        <f>Hotel!AB11</f>
        <v>7450</v>
      </c>
      <c r="Q6" s="4">
        <f>Hotel!AC11</f>
        <v>14540</v>
      </c>
      <c r="R6" s="4">
        <f>Hotel!AV11*0.00378541*100</f>
        <v>242.64478099999999</v>
      </c>
      <c r="S6" s="4">
        <f>Hotel!B11</f>
        <v>73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2023</v>
      </c>
      <c r="E7" s="4">
        <f>Hotel!Q12</f>
        <v>8080</v>
      </c>
      <c r="F7" s="4">
        <f>Hotel!R12</f>
        <v>1840</v>
      </c>
      <c r="G7" s="4">
        <f>Hotel!S12</f>
        <v>0</v>
      </c>
      <c r="H7" s="4">
        <f>Hotel!T12</f>
        <v>1420</v>
      </c>
      <c r="I7" s="4">
        <f>Hotel!U12</f>
        <v>5580</v>
      </c>
      <c r="J7" s="4">
        <f>Hotel!V12</f>
        <v>4130</v>
      </c>
      <c r="K7" s="4">
        <f>Hotel!W12</f>
        <v>3040</v>
      </c>
      <c r="L7" s="4">
        <f>Hotel!X12</f>
        <v>4690</v>
      </c>
      <c r="M7" s="4">
        <f>Hotel!Y12</f>
        <v>5820</v>
      </c>
      <c r="N7" s="4">
        <f>Hotel!Z12</f>
        <v>2400</v>
      </c>
      <c r="O7" s="4">
        <f>Hotel!AA12</f>
        <v>3050</v>
      </c>
      <c r="P7" s="4">
        <f>Hotel!AB12</f>
        <v>7330</v>
      </c>
      <c r="Q7" s="4">
        <f>Hotel!AC12</f>
        <v>11880</v>
      </c>
      <c r="R7" s="4">
        <f>Hotel!AV12*0.00378541*100</f>
        <v>463.71272499999998</v>
      </c>
      <c r="S7" s="4">
        <f>Hotel!B12</f>
        <v>94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2023</v>
      </c>
      <c r="E8" s="4">
        <f>Hotel!Q13</f>
        <v>8450</v>
      </c>
      <c r="F8" s="4">
        <f>Hotel!R13</f>
        <v>1860</v>
      </c>
      <c r="G8" s="4">
        <f>Hotel!S13</f>
        <v>0</v>
      </c>
      <c r="H8" s="4">
        <f>Hotel!T13</f>
        <v>1450</v>
      </c>
      <c r="I8" s="4">
        <f>Hotel!U13</f>
        <v>5840</v>
      </c>
      <c r="J8" s="4">
        <f>Hotel!V13</f>
        <v>4270</v>
      </c>
      <c r="K8" s="4">
        <f>Hotel!W13</f>
        <v>2850</v>
      </c>
      <c r="L8" s="4">
        <f>Hotel!X13</f>
        <v>4590</v>
      </c>
      <c r="M8" s="4">
        <f>Hotel!Y13</f>
        <v>5970</v>
      </c>
      <c r="N8" s="4">
        <f>Hotel!Z13</f>
        <v>2350</v>
      </c>
      <c r="O8" s="4">
        <f>Hotel!AA13</f>
        <v>3160</v>
      </c>
      <c r="P8" s="4">
        <f>Hotel!AB13</f>
        <v>7570</v>
      </c>
      <c r="Q8" s="4">
        <f>Hotel!AC13</f>
        <v>12080</v>
      </c>
      <c r="R8" s="4">
        <f>Hotel!AV13*0.00378541*100</f>
        <v>570.08274600000004</v>
      </c>
      <c r="S8" s="4">
        <f>Hotel!B13</f>
        <v>61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2023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2023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2023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2023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I1" zoomScale="93" zoomScaleNormal="93" workbookViewId="0">
      <selection activeCell="AU17" sqref="AU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44926</v>
      </c>
      <c r="B2" s="40">
        <v>250</v>
      </c>
      <c r="C2" s="24">
        <v>8656810</v>
      </c>
      <c r="D2" s="24">
        <v>21109670</v>
      </c>
      <c r="E2" s="24">
        <v>3913650</v>
      </c>
      <c r="F2" s="24">
        <v>4417470</v>
      </c>
      <c r="G2" s="24">
        <v>13080580</v>
      </c>
      <c r="H2" s="24">
        <v>7781950</v>
      </c>
      <c r="I2" s="24">
        <v>6727850</v>
      </c>
      <c r="J2" s="24">
        <v>8416180</v>
      </c>
      <c r="K2" s="24">
        <v>12173940</v>
      </c>
      <c r="L2" s="24">
        <v>5312950</v>
      </c>
      <c r="M2" s="24">
        <v>9660720</v>
      </c>
      <c r="N2" s="24">
        <v>16139600</v>
      </c>
      <c r="O2" s="24">
        <v>22641000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3">
        <v>362463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3">
        <v>362463</v>
      </c>
    </row>
    <row r="7" spans="1:50" x14ac:dyDescent="0.25">
      <c r="A7" s="23">
        <v>44927</v>
      </c>
      <c r="B7" s="40">
        <v>81</v>
      </c>
      <c r="C7" s="51">
        <v>8657370</v>
      </c>
      <c r="D7" s="51">
        <v>21118520</v>
      </c>
      <c r="E7" s="51">
        <v>3913640</v>
      </c>
      <c r="F7" s="51">
        <v>4418870</v>
      </c>
      <c r="G7" s="51">
        <v>13087050</v>
      </c>
      <c r="H7" s="51">
        <v>7786340</v>
      </c>
      <c r="I7" s="51">
        <v>6730430</v>
      </c>
      <c r="J7" s="51">
        <v>8422030</v>
      </c>
      <c r="K7" s="51">
        <v>12180650</v>
      </c>
      <c r="L7" s="51">
        <v>5315660</v>
      </c>
      <c r="M7" s="51">
        <v>9664340</v>
      </c>
      <c r="N7" s="51">
        <v>16147230</v>
      </c>
      <c r="O7" s="51">
        <v>22654850</v>
      </c>
      <c r="Q7" s="37">
        <f t="shared" ref="Q7:AC7" si="0">IF((C7-C2&lt;0), "0",C7-C2)</f>
        <v>560</v>
      </c>
      <c r="R7" s="37">
        <f t="shared" si="0"/>
        <v>8850</v>
      </c>
      <c r="S7" s="37" t="str">
        <f t="shared" si="0"/>
        <v>0</v>
      </c>
      <c r="T7" s="37">
        <f t="shared" si="0"/>
        <v>1400</v>
      </c>
      <c r="U7" s="37">
        <f t="shared" si="0"/>
        <v>6470</v>
      </c>
      <c r="V7" s="37">
        <f t="shared" si="0"/>
        <v>4390</v>
      </c>
      <c r="W7" s="37">
        <f t="shared" si="0"/>
        <v>2580</v>
      </c>
      <c r="X7" s="37">
        <f t="shared" si="0"/>
        <v>5850</v>
      </c>
      <c r="Y7" s="37">
        <f t="shared" si="0"/>
        <v>6710</v>
      </c>
      <c r="Z7" s="37">
        <f t="shared" si="0"/>
        <v>2710</v>
      </c>
      <c r="AA7" s="37">
        <f t="shared" si="0"/>
        <v>3620</v>
      </c>
      <c r="AB7" s="37">
        <f t="shared" si="0"/>
        <v>7630</v>
      </c>
      <c r="AC7" s="37">
        <f t="shared" si="0"/>
        <v>13850</v>
      </c>
      <c r="AD7" s="34">
        <f>SUM(Q7:AC7)</f>
        <v>64620</v>
      </c>
      <c r="AF7" s="20">
        <f t="shared" ref="AF7:AF36" si="1">Q7*$D$39</f>
        <v>2.8000000000000003</v>
      </c>
      <c r="AG7" s="20">
        <f t="shared" ref="AG7:AG36" si="2">R7*$D$39</f>
        <v>44.25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32.35</v>
      </c>
      <c r="AK7" s="20">
        <f t="shared" ref="AK7:AK36" si="6">V7*$D$39</f>
        <v>21.95</v>
      </c>
      <c r="AL7" s="20">
        <f t="shared" ref="AL7:AL36" si="7">W7*$D$39</f>
        <v>12.9</v>
      </c>
      <c r="AM7" s="20">
        <f t="shared" ref="AM7:AM36" si="8">X7*$D$39</f>
        <v>29.25</v>
      </c>
      <c r="AN7" s="20">
        <f t="shared" ref="AN7:AN36" si="9">Y7*$D$39</f>
        <v>33.549999999999997</v>
      </c>
      <c r="AO7" s="20">
        <f t="shared" ref="AO7:AO36" si="10">Z7*$D$39</f>
        <v>13.55</v>
      </c>
      <c r="AP7" s="20">
        <f t="shared" ref="AP7:AP36" si="11">AA7*$D$39</f>
        <v>18.100000000000001</v>
      </c>
      <c r="AQ7" s="20">
        <f t="shared" ref="AQ7:AQ36" si="12">AB7*$D$39</f>
        <v>38.15</v>
      </c>
      <c r="AR7" s="20">
        <f t="shared" ref="AR7:AR36" si="13">AC7*$D$39</f>
        <v>69.25</v>
      </c>
      <c r="AS7" s="35">
        <f>SUM(AF7:AR7)</f>
        <v>323.10000000000002</v>
      </c>
      <c r="AU7" s="54">
        <v>363934</v>
      </c>
      <c r="AV7" s="37">
        <f>IF((AU7-AU6&lt;0),"0",AU7-AU6)</f>
        <v>1471</v>
      </c>
      <c r="AW7" s="37">
        <f>AV7*100*AV44</f>
        <v>556.83381099999997</v>
      </c>
      <c r="AX7" s="35">
        <f t="shared" ref="AX7:AX35" si="14">AV7*$D$40</f>
        <v>2.9420000000000002</v>
      </c>
    </row>
    <row r="8" spans="1:50" x14ac:dyDescent="0.25">
      <c r="A8" s="23">
        <v>44928</v>
      </c>
      <c r="B8" s="40">
        <v>50</v>
      </c>
      <c r="C8" s="52">
        <v>8658170</v>
      </c>
      <c r="D8" s="52">
        <v>21126600</v>
      </c>
      <c r="E8" s="52">
        <v>3913640</v>
      </c>
      <c r="F8" s="52">
        <v>4420250</v>
      </c>
      <c r="G8" s="52">
        <v>13092870</v>
      </c>
      <c r="H8" s="52">
        <v>7790490</v>
      </c>
      <c r="I8" s="52">
        <v>6733040</v>
      </c>
      <c r="J8" s="52">
        <v>8427090</v>
      </c>
      <c r="K8" s="52">
        <v>12186340</v>
      </c>
      <c r="L8" s="52">
        <v>5318100</v>
      </c>
      <c r="M8" s="52">
        <v>9667710</v>
      </c>
      <c r="N8" s="52">
        <v>16154470</v>
      </c>
      <c r="O8" s="52">
        <v>22668050</v>
      </c>
      <c r="Q8" s="37">
        <f>IF((C8-C7&lt;0), "0",C8-C7)</f>
        <v>800</v>
      </c>
      <c r="R8" s="37">
        <f t="shared" ref="R8:AC8" si="15">IF((D8-D7&lt;0), "0",D8-D7)</f>
        <v>8080</v>
      </c>
      <c r="S8" s="37">
        <f t="shared" ref="S8:S35" si="16">IF((E8-E7&lt;0), "0",E8-E7)</f>
        <v>0</v>
      </c>
      <c r="T8" s="37">
        <f t="shared" si="15"/>
        <v>1380</v>
      </c>
      <c r="U8" s="37">
        <f t="shared" si="15"/>
        <v>5820</v>
      </c>
      <c r="V8" s="37">
        <f t="shared" si="15"/>
        <v>4150</v>
      </c>
      <c r="W8" s="37">
        <f t="shared" si="15"/>
        <v>2610</v>
      </c>
      <c r="X8" s="37">
        <f t="shared" si="15"/>
        <v>5060</v>
      </c>
      <c r="Y8" s="37">
        <f t="shared" si="15"/>
        <v>5690</v>
      </c>
      <c r="Z8" s="37">
        <f t="shared" si="15"/>
        <v>2440</v>
      </c>
      <c r="AA8" s="37">
        <f t="shared" si="15"/>
        <v>3370</v>
      </c>
      <c r="AB8" s="37">
        <f t="shared" si="15"/>
        <v>7240</v>
      </c>
      <c r="AC8" s="37">
        <f t="shared" si="15"/>
        <v>13200</v>
      </c>
      <c r="AD8" s="35">
        <f>SUM(Q8:AC8)</f>
        <v>59840</v>
      </c>
      <c r="AF8" s="20">
        <f t="shared" si="1"/>
        <v>4</v>
      </c>
      <c r="AG8" s="20">
        <f t="shared" si="2"/>
        <v>40.4</v>
      </c>
      <c r="AH8" s="20">
        <f t="shared" si="3"/>
        <v>0</v>
      </c>
      <c r="AI8" s="20">
        <f t="shared" si="4"/>
        <v>6.9</v>
      </c>
      <c r="AJ8" s="20">
        <f t="shared" si="5"/>
        <v>29.1</v>
      </c>
      <c r="AK8" s="20">
        <f t="shared" si="6"/>
        <v>20.75</v>
      </c>
      <c r="AL8" s="20">
        <f t="shared" si="7"/>
        <v>13.05</v>
      </c>
      <c r="AM8" s="20">
        <f t="shared" si="8"/>
        <v>25.3</v>
      </c>
      <c r="AN8" s="20">
        <f t="shared" si="9"/>
        <v>28.45</v>
      </c>
      <c r="AO8" s="20">
        <f t="shared" si="10"/>
        <v>12.200000000000001</v>
      </c>
      <c r="AP8" s="20">
        <f t="shared" si="11"/>
        <v>16.850000000000001</v>
      </c>
      <c r="AQ8" s="20">
        <f t="shared" si="12"/>
        <v>36.200000000000003</v>
      </c>
      <c r="AR8" s="20">
        <f t="shared" si="13"/>
        <v>66</v>
      </c>
      <c r="AS8" s="35">
        <f>SUM(AF8:AR8)</f>
        <v>299.2</v>
      </c>
      <c r="AU8" s="55">
        <v>365326</v>
      </c>
      <c r="AV8" s="37">
        <f>IF((AU8-AU7&lt;0),"0",AU8-AU7)</f>
        <v>1392</v>
      </c>
      <c r="AW8" s="37">
        <f>AV8*100*AV44</f>
        <v>526.92907200000002</v>
      </c>
      <c r="AX8" s="35">
        <f t="shared" si="14"/>
        <v>2.7840000000000003</v>
      </c>
    </row>
    <row r="9" spans="1:50" x14ac:dyDescent="0.25">
      <c r="A9" s="23">
        <v>44929</v>
      </c>
      <c r="B9" s="40">
        <v>54</v>
      </c>
      <c r="C9" s="52">
        <v>8666240</v>
      </c>
      <c r="D9" s="52">
        <v>21128450</v>
      </c>
      <c r="E9" s="52">
        <v>3913640</v>
      </c>
      <c r="F9" s="52">
        <v>4421690</v>
      </c>
      <c r="G9" s="52">
        <v>13098220</v>
      </c>
      <c r="H9" s="52">
        <v>7794640</v>
      </c>
      <c r="I9" s="52">
        <v>6735880</v>
      </c>
      <c r="J9" s="52">
        <v>8431970</v>
      </c>
      <c r="K9" s="52">
        <v>12191870</v>
      </c>
      <c r="L9" s="52">
        <v>5320500</v>
      </c>
      <c r="M9" s="52">
        <v>9670390</v>
      </c>
      <c r="N9" s="52">
        <v>16161660</v>
      </c>
      <c r="O9" s="52">
        <v>22680390</v>
      </c>
      <c r="Q9" s="37">
        <f t="shared" ref="Q9:Q30" si="17">IF((C9-C8&lt;0), "0",C9-C8)</f>
        <v>8070</v>
      </c>
      <c r="R9" s="37">
        <f t="shared" ref="R9:R37" si="18">IF((D9-D8&lt;0), "0",D9-D8)</f>
        <v>1850</v>
      </c>
      <c r="S9" s="37">
        <f t="shared" si="16"/>
        <v>0</v>
      </c>
      <c r="T9" s="37">
        <f t="shared" ref="T9:T35" si="19">IF((F9-F8&lt;0), "0",F9-F8)</f>
        <v>1440</v>
      </c>
      <c r="U9" s="37">
        <f t="shared" ref="U9:U35" si="20">IF((G9-G8&lt;0), "0",G9-G8)</f>
        <v>5350</v>
      </c>
      <c r="V9" s="37">
        <f t="shared" ref="V9:V35" si="21">IF((H9-H8&lt;0), "0",H9-H8)</f>
        <v>4150</v>
      </c>
      <c r="W9" s="37">
        <f t="shared" ref="W9:W35" si="22">IF((I9-I8&lt;0), "0",I9-I8)</f>
        <v>2840</v>
      </c>
      <c r="X9" s="37">
        <f t="shared" ref="X9:X37" si="23">IF((J9-J8&lt;0), "0",J9-J8)</f>
        <v>4880</v>
      </c>
      <c r="Y9" s="37">
        <f t="shared" ref="Y9:Y35" si="24">IF((K9-K8&lt;0), "0",K9-K8)</f>
        <v>5530</v>
      </c>
      <c r="Z9" s="37">
        <f t="shared" ref="Z9:Z35" si="25">IF((L9-L8&lt;0), "0",L9-L8)</f>
        <v>2400</v>
      </c>
      <c r="AA9" s="37">
        <f t="shared" ref="AA9:AA35" si="26">IF((M9-M8&lt;0), "0",M9-M8)</f>
        <v>2680</v>
      </c>
      <c r="AB9" s="37">
        <f t="shared" ref="AB9:AB37" si="27">IF((N9-N8&lt;0), "0",N9-N8)</f>
        <v>7190</v>
      </c>
      <c r="AC9" s="37">
        <f t="shared" ref="AC9:AC37" si="28">IF((O9-O8&lt;0), "0",O9-O8)</f>
        <v>12340</v>
      </c>
      <c r="AD9" s="35">
        <f t="shared" ref="AD9:AD37" si="29">SUM(Q9:AC9)</f>
        <v>58720</v>
      </c>
      <c r="AF9" s="20">
        <f t="shared" si="1"/>
        <v>40.35</v>
      </c>
      <c r="AG9" s="20">
        <f t="shared" si="2"/>
        <v>9.25</v>
      </c>
      <c r="AH9" s="20">
        <f t="shared" si="3"/>
        <v>0</v>
      </c>
      <c r="AI9" s="20">
        <f t="shared" si="4"/>
        <v>7.2</v>
      </c>
      <c r="AJ9" s="20">
        <f t="shared" si="5"/>
        <v>26.75</v>
      </c>
      <c r="AK9" s="20">
        <f t="shared" si="6"/>
        <v>20.75</v>
      </c>
      <c r="AL9" s="20">
        <f t="shared" si="7"/>
        <v>14.200000000000001</v>
      </c>
      <c r="AM9" s="20">
        <f t="shared" si="8"/>
        <v>24.400000000000002</v>
      </c>
      <c r="AN9" s="20">
        <f t="shared" si="9"/>
        <v>27.650000000000002</v>
      </c>
      <c r="AO9" s="20">
        <f t="shared" si="10"/>
        <v>12</v>
      </c>
      <c r="AP9" s="20">
        <f t="shared" si="11"/>
        <v>13.4</v>
      </c>
      <c r="AQ9" s="20">
        <f t="shared" si="12"/>
        <v>35.950000000000003</v>
      </c>
      <c r="AR9" s="20">
        <f t="shared" si="13"/>
        <v>61.7</v>
      </c>
      <c r="AS9" s="35">
        <f t="shared" ref="AS9:AS33" si="30">SUM(AF9:AR9)</f>
        <v>293.60000000000002</v>
      </c>
      <c r="AU9" s="55">
        <v>366523</v>
      </c>
      <c r="AV9" s="37">
        <f>IF((AU9-AU8&lt;0),"0",AU9-AU8)</f>
        <v>1197</v>
      </c>
      <c r="AW9" s="37">
        <f>AV9*100*AV44</f>
        <v>453.11357699999996</v>
      </c>
      <c r="AX9" s="35">
        <f t="shared" si="14"/>
        <v>2.3940000000000001</v>
      </c>
    </row>
    <row r="10" spans="1:50" x14ac:dyDescent="0.25">
      <c r="A10" s="23">
        <v>44930</v>
      </c>
      <c r="B10" s="40">
        <v>63</v>
      </c>
      <c r="C10" s="51">
        <v>8674600</v>
      </c>
      <c r="D10" s="51">
        <v>21130340</v>
      </c>
      <c r="E10" s="51">
        <v>3913650</v>
      </c>
      <c r="F10" s="51">
        <v>4423150</v>
      </c>
      <c r="G10" s="51">
        <v>13104110</v>
      </c>
      <c r="H10" s="51">
        <v>7798890</v>
      </c>
      <c r="I10" s="51">
        <v>6739160</v>
      </c>
      <c r="J10" s="51">
        <v>8437120</v>
      </c>
      <c r="K10" s="51">
        <v>12197710</v>
      </c>
      <c r="L10" s="51">
        <v>5322900</v>
      </c>
      <c r="M10" s="51">
        <v>9673700</v>
      </c>
      <c r="N10" s="51">
        <v>16169060</v>
      </c>
      <c r="O10" s="51">
        <v>22694350</v>
      </c>
      <c r="Q10" s="37">
        <f t="shared" si="17"/>
        <v>8360</v>
      </c>
      <c r="R10" s="37">
        <f t="shared" si="18"/>
        <v>1890</v>
      </c>
      <c r="S10" s="37">
        <f t="shared" si="16"/>
        <v>10</v>
      </c>
      <c r="T10" s="37">
        <f t="shared" si="19"/>
        <v>1460</v>
      </c>
      <c r="U10" s="37">
        <f t="shared" si="20"/>
        <v>5890</v>
      </c>
      <c r="V10" s="37">
        <f t="shared" si="21"/>
        <v>4250</v>
      </c>
      <c r="W10" s="37">
        <f t="shared" si="22"/>
        <v>3280</v>
      </c>
      <c r="X10" s="37">
        <f t="shared" si="23"/>
        <v>5150</v>
      </c>
      <c r="Y10" s="37">
        <f t="shared" si="24"/>
        <v>5840</v>
      </c>
      <c r="Z10" s="37">
        <f t="shared" si="25"/>
        <v>2400</v>
      </c>
      <c r="AA10" s="37">
        <f t="shared" si="26"/>
        <v>3310</v>
      </c>
      <c r="AB10" s="37">
        <f t="shared" si="27"/>
        <v>7400</v>
      </c>
      <c r="AC10" s="37">
        <f t="shared" si="28"/>
        <v>13960</v>
      </c>
      <c r="AD10" s="35">
        <f t="shared" si="29"/>
        <v>63200</v>
      </c>
      <c r="AF10" s="20">
        <f t="shared" si="1"/>
        <v>41.800000000000004</v>
      </c>
      <c r="AG10" s="20">
        <f t="shared" si="2"/>
        <v>9.4500000000000011</v>
      </c>
      <c r="AH10" s="20">
        <f t="shared" si="3"/>
        <v>0.05</v>
      </c>
      <c r="AI10" s="20">
        <f t="shared" si="4"/>
        <v>7.3</v>
      </c>
      <c r="AJ10" s="20">
        <f t="shared" si="5"/>
        <v>29.45</v>
      </c>
      <c r="AK10" s="20">
        <f t="shared" si="6"/>
        <v>21.25</v>
      </c>
      <c r="AL10" s="20">
        <f t="shared" si="7"/>
        <v>16.399999999999999</v>
      </c>
      <c r="AM10" s="20">
        <f t="shared" si="8"/>
        <v>25.75</v>
      </c>
      <c r="AN10" s="20">
        <f t="shared" si="9"/>
        <v>29.2</v>
      </c>
      <c r="AO10" s="20">
        <f t="shared" si="10"/>
        <v>12</v>
      </c>
      <c r="AP10" s="20">
        <f t="shared" si="11"/>
        <v>16.55</v>
      </c>
      <c r="AQ10" s="20">
        <f t="shared" si="12"/>
        <v>37</v>
      </c>
      <c r="AR10" s="20">
        <f t="shared" si="13"/>
        <v>69.8</v>
      </c>
      <c r="AS10" s="35">
        <f t="shared" si="30"/>
        <v>316</v>
      </c>
      <c r="AU10" s="54">
        <v>367807</v>
      </c>
      <c r="AV10" s="37">
        <f t="shared" ref="AV10:AV26" si="31">IF((AU10-AU9&lt;0),"0",AU10-AU9)</f>
        <v>1284</v>
      </c>
      <c r="AW10" s="37">
        <f>AV10*100*AV44</f>
        <v>486.04664400000001</v>
      </c>
      <c r="AX10" s="35">
        <f t="shared" si="14"/>
        <v>2.5680000000000001</v>
      </c>
    </row>
    <row r="11" spans="1:50" x14ac:dyDescent="0.25">
      <c r="A11" s="23">
        <v>44931</v>
      </c>
      <c r="B11" s="40">
        <v>73</v>
      </c>
      <c r="C11" s="51">
        <v>8682620</v>
      </c>
      <c r="D11" s="51">
        <v>21132170</v>
      </c>
      <c r="E11" s="51">
        <v>3913650</v>
      </c>
      <c r="F11" s="51">
        <v>4424570</v>
      </c>
      <c r="G11" s="51">
        <v>13109650</v>
      </c>
      <c r="H11" s="51">
        <v>7802950</v>
      </c>
      <c r="I11" s="51">
        <v>6742070</v>
      </c>
      <c r="J11" s="51">
        <v>8442190</v>
      </c>
      <c r="K11" s="51">
        <v>12203160</v>
      </c>
      <c r="L11" s="51">
        <v>5325290</v>
      </c>
      <c r="M11" s="51">
        <v>9676810</v>
      </c>
      <c r="N11" s="51">
        <v>16176510</v>
      </c>
      <c r="O11" s="51">
        <v>22708890</v>
      </c>
      <c r="Q11" s="37">
        <f t="shared" si="17"/>
        <v>8020</v>
      </c>
      <c r="R11" s="37">
        <f t="shared" si="18"/>
        <v>1830</v>
      </c>
      <c r="S11" s="37">
        <f t="shared" si="16"/>
        <v>0</v>
      </c>
      <c r="T11" s="37">
        <f t="shared" si="19"/>
        <v>1420</v>
      </c>
      <c r="U11" s="37">
        <f t="shared" si="20"/>
        <v>5540</v>
      </c>
      <c r="V11" s="37">
        <f t="shared" si="21"/>
        <v>4060</v>
      </c>
      <c r="W11" s="37">
        <f t="shared" si="22"/>
        <v>2910</v>
      </c>
      <c r="X11" s="37">
        <f t="shared" si="23"/>
        <v>5070</v>
      </c>
      <c r="Y11" s="37">
        <f t="shared" si="24"/>
        <v>5450</v>
      </c>
      <c r="Z11" s="37">
        <f t="shared" si="25"/>
        <v>2390</v>
      </c>
      <c r="AA11" s="37">
        <f t="shared" si="26"/>
        <v>3110</v>
      </c>
      <c r="AB11" s="37">
        <f t="shared" si="27"/>
        <v>7450</v>
      </c>
      <c r="AC11" s="37">
        <f t="shared" si="28"/>
        <v>14540</v>
      </c>
      <c r="AD11" s="35">
        <f t="shared" si="29"/>
        <v>61790</v>
      </c>
      <c r="AF11" s="20">
        <f t="shared" si="1"/>
        <v>40.1</v>
      </c>
      <c r="AG11" s="20">
        <f t="shared" si="2"/>
        <v>9.15</v>
      </c>
      <c r="AH11" s="20">
        <f t="shared" si="3"/>
        <v>0</v>
      </c>
      <c r="AI11" s="20">
        <f t="shared" si="4"/>
        <v>7.1000000000000005</v>
      </c>
      <c r="AJ11" s="20">
        <f t="shared" si="5"/>
        <v>27.7</v>
      </c>
      <c r="AK11" s="20">
        <f t="shared" si="6"/>
        <v>20.3</v>
      </c>
      <c r="AL11" s="20">
        <f t="shared" si="7"/>
        <v>14.55</v>
      </c>
      <c r="AM11" s="20">
        <f t="shared" si="8"/>
        <v>25.35</v>
      </c>
      <c r="AN11" s="20">
        <f t="shared" si="9"/>
        <v>27.25</v>
      </c>
      <c r="AO11" s="20">
        <f t="shared" si="10"/>
        <v>11.950000000000001</v>
      </c>
      <c r="AP11" s="20">
        <f t="shared" si="11"/>
        <v>15.55</v>
      </c>
      <c r="AQ11" s="20">
        <f t="shared" si="12"/>
        <v>37.25</v>
      </c>
      <c r="AR11" s="20">
        <f t="shared" si="13"/>
        <v>72.7</v>
      </c>
      <c r="AS11" s="35">
        <f t="shared" si="30"/>
        <v>308.95</v>
      </c>
      <c r="AU11" s="54">
        <v>368448</v>
      </c>
      <c r="AV11" s="37">
        <f t="shared" si="31"/>
        <v>641</v>
      </c>
      <c r="AW11" s="37">
        <f>AV11*100*AV44</f>
        <v>242.64478099999999</v>
      </c>
      <c r="AX11" s="35">
        <f t="shared" si="14"/>
        <v>1.282</v>
      </c>
    </row>
    <row r="12" spans="1:50" x14ac:dyDescent="0.25">
      <c r="A12" s="23">
        <v>44932</v>
      </c>
      <c r="B12" s="40">
        <v>94</v>
      </c>
      <c r="C12" s="52">
        <v>8690700</v>
      </c>
      <c r="D12" s="52">
        <v>21134010</v>
      </c>
      <c r="E12" s="52">
        <v>3913650</v>
      </c>
      <c r="F12" s="52">
        <v>4425990</v>
      </c>
      <c r="G12" s="52">
        <v>13115230</v>
      </c>
      <c r="H12" s="52">
        <v>7807080</v>
      </c>
      <c r="I12" s="52">
        <v>6745110</v>
      </c>
      <c r="J12" s="52">
        <v>8446880</v>
      </c>
      <c r="K12" s="52">
        <v>12208980</v>
      </c>
      <c r="L12" s="52">
        <v>5327690</v>
      </c>
      <c r="M12" s="52">
        <v>9679860</v>
      </c>
      <c r="N12" s="52">
        <v>16183840</v>
      </c>
      <c r="O12" s="52">
        <v>22720770</v>
      </c>
      <c r="Q12" s="37">
        <f t="shared" si="17"/>
        <v>8080</v>
      </c>
      <c r="R12" s="37">
        <f t="shared" si="18"/>
        <v>1840</v>
      </c>
      <c r="S12" s="37">
        <f t="shared" si="16"/>
        <v>0</v>
      </c>
      <c r="T12" s="37">
        <f t="shared" ref="T12:W14" si="32">IF((F12-F11&lt;0), "0",F12-F11)</f>
        <v>1420</v>
      </c>
      <c r="U12" s="37">
        <f t="shared" si="32"/>
        <v>5580</v>
      </c>
      <c r="V12" s="37">
        <f t="shared" si="32"/>
        <v>4130</v>
      </c>
      <c r="W12" s="37">
        <f t="shared" si="32"/>
        <v>3040</v>
      </c>
      <c r="X12" s="37">
        <f t="shared" si="23"/>
        <v>4690</v>
      </c>
      <c r="Y12" s="37">
        <f t="shared" si="24"/>
        <v>5820</v>
      </c>
      <c r="Z12" s="37">
        <f>IF((L12-L11&lt;0), "0",L12-L11)</f>
        <v>2400</v>
      </c>
      <c r="AA12" s="37">
        <f t="shared" si="26"/>
        <v>3050</v>
      </c>
      <c r="AB12" s="37">
        <f t="shared" si="27"/>
        <v>7330</v>
      </c>
      <c r="AC12" s="37">
        <f t="shared" si="28"/>
        <v>11880</v>
      </c>
      <c r="AD12" s="35">
        <f t="shared" si="29"/>
        <v>59260</v>
      </c>
      <c r="AF12" s="20">
        <f t="shared" si="1"/>
        <v>40.4</v>
      </c>
      <c r="AG12" s="20">
        <f t="shared" si="2"/>
        <v>9.2000000000000011</v>
      </c>
      <c r="AH12" s="20">
        <f t="shared" si="3"/>
        <v>0</v>
      </c>
      <c r="AI12" s="20">
        <f t="shared" si="4"/>
        <v>7.1000000000000005</v>
      </c>
      <c r="AJ12" s="20">
        <f t="shared" si="5"/>
        <v>27.900000000000002</v>
      </c>
      <c r="AK12" s="20">
        <f t="shared" si="6"/>
        <v>20.650000000000002</v>
      </c>
      <c r="AL12" s="20">
        <f t="shared" si="7"/>
        <v>15.200000000000001</v>
      </c>
      <c r="AM12" s="20">
        <f t="shared" si="8"/>
        <v>23.45</v>
      </c>
      <c r="AN12" s="20">
        <f t="shared" si="9"/>
        <v>29.1</v>
      </c>
      <c r="AO12" s="20">
        <f t="shared" si="10"/>
        <v>12</v>
      </c>
      <c r="AP12" s="20">
        <f t="shared" si="11"/>
        <v>15.25</v>
      </c>
      <c r="AQ12" s="20">
        <f t="shared" si="12"/>
        <v>36.65</v>
      </c>
      <c r="AR12" s="20">
        <f t="shared" si="13"/>
        <v>59.4</v>
      </c>
      <c r="AS12" s="35">
        <f t="shared" si="30"/>
        <v>296.3</v>
      </c>
      <c r="AU12" s="55">
        <v>369673</v>
      </c>
      <c r="AV12" s="37">
        <f t="shared" si="31"/>
        <v>1225</v>
      </c>
      <c r="AW12" s="37">
        <f>AV12*100*AV44</f>
        <v>463.71272499999998</v>
      </c>
      <c r="AX12" s="35">
        <f t="shared" si="14"/>
        <v>2.4500000000000002</v>
      </c>
    </row>
    <row r="13" spans="1:50" x14ac:dyDescent="0.25">
      <c r="A13" s="23">
        <v>44933</v>
      </c>
      <c r="B13" s="40">
        <v>61</v>
      </c>
      <c r="C13" s="52">
        <v>8699150</v>
      </c>
      <c r="D13" s="52">
        <v>21135870</v>
      </c>
      <c r="E13" s="52">
        <v>3913650</v>
      </c>
      <c r="F13" s="52">
        <v>4427440</v>
      </c>
      <c r="G13" s="52">
        <v>13121070</v>
      </c>
      <c r="H13" s="52">
        <v>7811350</v>
      </c>
      <c r="I13" s="52">
        <v>6747960</v>
      </c>
      <c r="J13" s="52">
        <v>8451470</v>
      </c>
      <c r="K13" s="52">
        <v>12214950</v>
      </c>
      <c r="L13" s="52">
        <v>5330040</v>
      </c>
      <c r="M13" s="52">
        <v>9683020</v>
      </c>
      <c r="N13" s="52">
        <v>16191410</v>
      </c>
      <c r="O13" s="52">
        <v>22732850</v>
      </c>
      <c r="Q13" s="37">
        <f t="shared" si="17"/>
        <v>8450</v>
      </c>
      <c r="R13" s="37">
        <f t="shared" si="18"/>
        <v>1860</v>
      </c>
      <c r="S13" s="37">
        <f t="shared" si="16"/>
        <v>0</v>
      </c>
      <c r="T13" s="37">
        <f t="shared" si="32"/>
        <v>1450</v>
      </c>
      <c r="U13" s="37">
        <f t="shared" si="32"/>
        <v>5840</v>
      </c>
      <c r="V13" s="37">
        <f t="shared" si="32"/>
        <v>4270</v>
      </c>
      <c r="W13" s="37">
        <f t="shared" si="32"/>
        <v>2850</v>
      </c>
      <c r="X13" s="37">
        <f t="shared" si="23"/>
        <v>4590</v>
      </c>
      <c r="Y13" s="37">
        <f t="shared" si="24"/>
        <v>5970</v>
      </c>
      <c r="Z13" s="37">
        <f>IF((L13-L12&lt;0), "0",L13-L12)</f>
        <v>2350</v>
      </c>
      <c r="AA13" s="37">
        <f t="shared" si="26"/>
        <v>3160</v>
      </c>
      <c r="AB13" s="37">
        <f t="shared" si="27"/>
        <v>7570</v>
      </c>
      <c r="AC13" s="37">
        <f t="shared" si="28"/>
        <v>12080</v>
      </c>
      <c r="AD13" s="35">
        <f t="shared" si="29"/>
        <v>60440</v>
      </c>
      <c r="AF13" s="20">
        <f t="shared" si="1"/>
        <v>42.25</v>
      </c>
      <c r="AG13" s="20">
        <f t="shared" si="2"/>
        <v>9.3000000000000007</v>
      </c>
      <c r="AH13" s="20">
        <f t="shared" si="3"/>
        <v>0</v>
      </c>
      <c r="AI13" s="20">
        <f t="shared" si="4"/>
        <v>7.25</v>
      </c>
      <c r="AJ13" s="20">
        <f t="shared" si="5"/>
        <v>29.2</v>
      </c>
      <c r="AK13" s="20">
        <f t="shared" si="6"/>
        <v>21.35</v>
      </c>
      <c r="AL13" s="20">
        <f t="shared" si="7"/>
        <v>14.25</v>
      </c>
      <c r="AM13" s="20">
        <f t="shared" si="8"/>
        <v>22.95</v>
      </c>
      <c r="AN13" s="20">
        <f t="shared" si="9"/>
        <v>29.85</v>
      </c>
      <c r="AO13" s="20">
        <f t="shared" si="10"/>
        <v>11.75</v>
      </c>
      <c r="AP13" s="20">
        <f t="shared" si="11"/>
        <v>15.8</v>
      </c>
      <c r="AQ13" s="20">
        <f t="shared" si="12"/>
        <v>37.85</v>
      </c>
      <c r="AR13" s="20">
        <f t="shared" si="13"/>
        <v>60.4</v>
      </c>
      <c r="AS13" s="35">
        <f t="shared" si="30"/>
        <v>302.2</v>
      </c>
      <c r="AU13" s="59">
        <v>371179</v>
      </c>
      <c r="AV13" s="37">
        <f t="shared" si="31"/>
        <v>1506</v>
      </c>
      <c r="AW13" s="37">
        <f>AV13*100*AV44</f>
        <v>570.08274599999993</v>
      </c>
      <c r="AX13" s="35">
        <f t="shared" si="14"/>
        <v>3.012</v>
      </c>
    </row>
    <row r="14" spans="1:50" x14ac:dyDescent="0.25">
      <c r="A14" s="23">
        <v>44934</v>
      </c>
      <c r="B14" s="4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49"/>
      <c r="Q14" s="37" t="str">
        <f t="shared" si="17"/>
        <v>0</v>
      </c>
      <c r="R14" s="37" t="str">
        <f t="shared" si="18"/>
        <v>0</v>
      </c>
      <c r="S14" s="37" t="str">
        <f t="shared" si="16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3"/>
        <v>0</v>
      </c>
      <c r="Y14" s="37" t="str">
        <f t="shared" si="24"/>
        <v>0</v>
      </c>
      <c r="Z14" s="37" t="str">
        <f>IF((L14-L13&lt;0), "0",L14-L13)</f>
        <v>0</v>
      </c>
      <c r="AA14" s="37" t="str">
        <f t="shared" si="26"/>
        <v>0</v>
      </c>
      <c r="AB14" s="37" t="str">
        <f t="shared" si="27"/>
        <v>0</v>
      </c>
      <c r="AC14" s="37" t="str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4"/>
      <c r="AV14" s="37" t="str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44935</v>
      </c>
      <c r="B15" s="40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5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44936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44937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5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44938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44939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5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44940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44941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5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44942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44943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5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44944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44945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5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44946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44947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44948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44949</v>
      </c>
      <c r="B29" s="4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44950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44951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44952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44953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44954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44955</v>
      </c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44956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44957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42340</v>
      </c>
      <c r="R38" s="38">
        <f t="shared" ref="R38:AD38" si="60">SUM(R7:R37)</f>
        <v>26200</v>
      </c>
      <c r="S38" s="38">
        <f t="shared" si="60"/>
        <v>10</v>
      </c>
      <c r="T38" s="38">
        <f t="shared" si="60"/>
        <v>9970</v>
      </c>
      <c r="U38" s="38">
        <f t="shared" si="60"/>
        <v>40490</v>
      </c>
      <c r="V38" s="38">
        <f t="shared" si="60"/>
        <v>29400</v>
      </c>
      <c r="W38" s="38">
        <f t="shared" si="60"/>
        <v>20110</v>
      </c>
      <c r="X38" s="38">
        <f t="shared" si="60"/>
        <v>35290</v>
      </c>
      <c r="Y38" s="38">
        <f t="shared" si="60"/>
        <v>41010</v>
      </c>
      <c r="Z38" s="38">
        <f t="shared" si="60"/>
        <v>17090</v>
      </c>
      <c r="AA38" s="38">
        <f t="shared" si="60"/>
        <v>22300</v>
      </c>
      <c r="AB38" s="38">
        <f t="shared" si="60"/>
        <v>51810</v>
      </c>
      <c r="AC38" s="38">
        <f t="shared" si="60"/>
        <v>91850</v>
      </c>
      <c r="AD38" s="38">
        <f t="shared" si="60"/>
        <v>427870</v>
      </c>
      <c r="AF38" s="35">
        <f>SUM(AF7:AF37)</f>
        <v>211.70000000000002</v>
      </c>
      <c r="AG38" s="35">
        <f t="shared" ref="AG38:AS38" si="61">SUM(AG7:AG37)</f>
        <v>131.00000000000003</v>
      </c>
      <c r="AH38" s="35">
        <f t="shared" si="61"/>
        <v>0.05</v>
      </c>
      <c r="AI38" s="35">
        <f t="shared" si="61"/>
        <v>49.85</v>
      </c>
      <c r="AJ38" s="35">
        <f t="shared" si="61"/>
        <v>202.45</v>
      </c>
      <c r="AK38" s="35">
        <f t="shared" si="61"/>
        <v>147</v>
      </c>
      <c r="AL38" s="35">
        <f t="shared" si="61"/>
        <v>100.55000000000001</v>
      </c>
      <c r="AM38" s="35">
        <f t="shared" si="61"/>
        <v>176.45</v>
      </c>
      <c r="AN38" s="35">
        <f t="shared" si="61"/>
        <v>205.05</v>
      </c>
      <c r="AO38" s="35">
        <f t="shared" si="61"/>
        <v>85.45</v>
      </c>
      <c r="AP38" s="35">
        <f t="shared" si="61"/>
        <v>111.5</v>
      </c>
      <c r="AQ38" s="35">
        <f t="shared" si="61"/>
        <v>259.05</v>
      </c>
      <c r="AR38" s="35">
        <f t="shared" si="61"/>
        <v>459.24999999999994</v>
      </c>
      <c r="AS38" s="35">
        <f t="shared" si="61"/>
        <v>2139.35</v>
      </c>
      <c r="AU38" s="46"/>
      <c r="AV38" s="34">
        <f>SUM(AV7:AV37)</f>
        <v>8716</v>
      </c>
      <c r="AW38" s="34">
        <f>SUM(AW7:AW37)</f>
        <v>3299.3633559999998</v>
      </c>
      <c r="AX38" s="35">
        <f>SUM(AX7:AX37)</f>
        <v>17.432000000000002</v>
      </c>
    </row>
    <row r="39" spans="1:50" x14ac:dyDescent="0.25">
      <c r="B39" s="39">
        <f>SUM(B7:B37)</f>
        <v>476</v>
      </c>
      <c r="D39">
        <v>5.0000000000000001E-3</v>
      </c>
      <c r="AV39" s="36"/>
      <c r="AW39" s="50">
        <f>AW38/31</f>
        <v>106.43107599999999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2023-01-08T08:05:26Z</dcterms:modified>
</cp:coreProperties>
</file>