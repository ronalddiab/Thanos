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36" i="7" l="1"/>
  <c r="AW36" i="7" s="1"/>
  <c r="AV37" i="7"/>
  <c r="AW37" i="7" s="1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V8" i="7" l="1"/>
  <c r="R3" i="9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K23" i="9"/>
  <c r="X28" i="7"/>
  <c r="L23" i="9" s="1"/>
  <c r="Y28" i="7"/>
  <c r="AN28" i="7"/>
  <c r="Z28" i="7"/>
  <c r="AO28" i="7"/>
  <c r="AA28" i="7"/>
  <c r="AB28" i="7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/>
  <c r="AK20" i="7"/>
  <c r="AH22" i="7"/>
  <c r="AI25" i="7"/>
  <c r="R28" i="9"/>
  <c r="G28" i="5" s="1"/>
  <c r="F20" i="9"/>
  <c r="N23" i="9"/>
  <c r="N28" i="9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Q30" i="9"/>
  <c r="O6" i="9"/>
  <c r="AP20" i="7"/>
  <c r="AW25" i="7"/>
  <c r="AJ35" i="7"/>
  <c r="AO31" i="7"/>
  <c r="AH21" i="7"/>
  <c r="AO11" i="7"/>
  <c r="AL10" i="7"/>
  <c r="AI31" i="7"/>
  <c r="N19" i="9"/>
  <c r="AO24" i="7"/>
  <c r="AL21" i="7"/>
  <c r="M23" i="9"/>
  <c r="AQ24" i="7"/>
  <c r="R19" i="9"/>
  <c r="G19" i="5" s="1"/>
  <c r="K26" i="9"/>
  <c r="AJ30" i="7"/>
  <c r="I15" i="9"/>
  <c r="K7" i="9"/>
  <c r="AN27" i="7"/>
  <c r="AM7" i="7"/>
  <c r="R22" i="9"/>
  <c r="G22" i="5" s="1"/>
  <c r="R29" i="9"/>
  <c r="G29" i="5"/>
  <c r="L29" i="9"/>
  <c r="AG15" i="7"/>
  <c r="AL19" i="7"/>
  <c r="F14" i="9"/>
  <c r="AM22" i="7"/>
  <c r="F19" i="9"/>
  <c r="AN9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P17" i="9"/>
  <c r="R10" i="9"/>
  <c r="G10" i="5" s="1"/>
  <c r="AW15" i="7"/>
  <c r="J22" i="9"/>
  <c r="K20" i="9"/>
  <c r="K11" i="9"/>
  <c r="AL16" i="7"/>
  <c r="AP13" i="7"/>
  <c r="H21" i="9"/>
  <c r="AH15" i="7"/>
  <c r="AN11" i="7"/>
  <c r="AP35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AM28" i="7"/>
  <c r="Q24" i="9"/>
  <c r="O23" i="9"/>
  <c r="AP28" i="7"/>
  <c r="H24" i="9"/>
  <c r="AH29" i="7"/>
  <c r="N24" i="9"/>
  <c r="H25" i="9"/>
  <c r="F24" i="9"/>
  <c r="AR31" i="7"/>
  <c r="N27" i="9"/>
  <c r="AM30" i="7"/>
  <c r="J26" i="9"/>
  <c r="G26" i="9"/>
  <c r="Q28" i="9"/>
  <c r="AL32" i="7"/>
  <c r="AL33" i="7"/>
  <c r="AG33" i="7"/>
  <c r="F27" i="9"/>
  <c r="M28" i="9"/>
  <c r="AJ33" i="7"/>
  <c r="AO35" i="7"/>
  <c r="AH35" i="7"/>
  <c r="G29" i="9"/>
  <c r="F30" i="9"/>
  <c r="R30" i="9"/>
  <c r="G30" i="5" s="1"/>
  <c r="AL35" i="7"/>
  <c r="AK35" i="7"/>
  <c r="AW10" i="7"/>
  <c r="R21" i="9"/>
  <c r="G21" i="5" s="1"/>
  <c r="AO18" i="7"/>
  <c r="P26" i="9"/>
  <c r="AN34" i="7"/>
  <c r="K25" i="9"/>
  <c r="AG10" i="7"/>
  <c r="G5" i="9"/>
  <c r="P22" i="9"/>
  <c r="AQ28" i="7"/>
  <c r="P23" i="9"/>
  <c r="AI35" i="7"/>
  <c r="AN8" i="7"/>
  <c r="P25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AR36" i="7" l="1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AS34" i="7" s="1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E27" i="5" s="1"/>
  <c r="AH32" i="7"/>
  <c r="AG31" i="7"/>
  <c r="N25" i="9"/>
  <c r="M25" i="9"/>
  <c r="AM31" i="7"/>
  <c r="AH30" i="7"/>
  <c r="AF31" i="7"/>
  <c r="AF30" i="7"/>
  <c r="AS30" i="7" s="1"/>
  <c r="O24" i="9"/>
  <c r="K24" i="9"/>
  <c r="AJ29" i="7"/>
  <c r="E24" i="9"/>
  <c r="AD30" i="7"/>
  <c r="AW29" i="7"/>
  <c r="AQ29" i="7"/>
  <c r="AN29" i="7"/>
  <c r="AS29" i="7" s="1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F7" i="9"/>
  <c r="AS13" i="7"/>
  <c r="E8" i="9"/>
  <c r="E8" i="5" s="1"/>
  <c r="AD13" i="7"/>
  <c r="E2" i="5"/>
  <c r="AS26" i="7"/>
  <c r="AS14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E13" i="5" s="1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36" i="7" l="1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<sst xmlns="http://schemas.openxmlformats.org/spreadsheetml/2006/main" count="127" uniqueCount="49">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</sst>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76130</v>
      </c>
      <c r="F22" s="11">
        <v>5.0000000000000001E-3</v>
      </c>
      <c r="G22" s="12">
        <f>Submetering!R22</f>
        <v>916.82630199999994</v>
      </c>
      <c r="H22" s="11">
        <v>0.52800000000000002</v>
      </c>
      <c r="I22" s="12">
        <f>Hotel!B27</f>
        <v>115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78370</v>
      </c>
      <c r="F23" s="11">
        <v>5.0000000000000001E-3</v>
      </c>
      <c r="G23" s="12">
        <f>Submetering!R23</f>
        <v>761.24595099999999</v>
      </c>
      <c r="H23" s="11">
        <v>0.52800000000000002</v>
      </c>
      <c r="I23" s="12">
        <f>Hotel!B28</f>
        <v>178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78670</v>
      </c>
      <c r="F24" s="11">
        <v>5.0000000000000001E-3</v>
      </c>
      <c r="G24" s="12">
        <f>Submetering!R24</f>
        <v>863.8305620000001</v>
      </c>
      <c r="H24" s="11">
        <v>0.52800000000000002</v>
      </c>
      <c r="I24" s="12">
        <f>Hotel!B29</f>
        <v>188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78490</v>
      </c>
      <c r="F25" s="11">
        <v>5.0000000000000001E-3</v>
      </c>
      <c r="G25" s="12">
        <f>Submetering!R25</f>
        <v>970.57912399999998</v>
      </c>
      <c r="H25" s="11">
        <v>0.52800000000000002</v>
      </c>
      <c r="I25" s="12">
        <f>Hotel!B30</f>
        <v>280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79990</v>
      </c>
      <c r="F26" s="11">
        <v>5.0000000000000001E-3</v>
      </c>
      <c r="G26" s="12">
        <f>Submetering!R26</f>
        <v>692.73002999999994</v>
      </c>
      <c r="H26" s="11">
        <v>0.52800000000000002</v>
      </c>
      <c r="I26" s="12">
        <f>Hotel!B31</f>
        <v>246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79090</v>
      </c>
      <c r="F27" s="11">
        <v>5.0000000000000001E-3</v>
      </c>
      <c r="G27" s="12">
        <f>Submetering!R27</f>
        <v>917.58338399999991</v>
      </c>
      <c r="H27" s="11">
        <v>0.52800000000000002</v>
      </c>
      <c r="I27" s="12">
        <f>Hotel!B32</f>
        <v>124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77010</v>
      </c>
      <c r="F28" s="11">
        <v>5.0000000000000001E-3</v>
      </c>
      <c r="G28" s="12">
        <f>Submetering!R28</f>
        <v>735.126622</v>
      </c>
      <c r="H28" s="11">
        <v>0.52800000000000002</v>
      </c>
      <c r="I28" s="12">
        <f>Hotel!B33</f>
        <v>127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79360</v>
      </c>
      <c r="F29" s="11">
        <v>5.0000000000000001E-3</v>
      </c>
      <c r="G29" s="12">
        <f>Submetering!R29</f>
        <v>820.67688800000008</v>
      </c>
      <c r="H29" s="11">
        <v>0.52800000000000002</v>
      </c>
      <c r="I29" s="12">
        <f>Hotel!B34</f>
        <v>108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75210</v>
      </c>
      <c r="F30" s="11">
        <v>5.0000000000000001E-3</v>
      </c>
      <c r="G30" s="12">
        <f>Submetering!R30</f>
        <v>552.29131899999993</v>
      </c>
      <c r="H30" s="11">
        <v>0.52800000000000002</v>
      </c>
      <c r="I30" s="12">
        <f>Hotel!B35</f>
        <v>125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76610</v>
      </c>
      <c r="F31" s="11">
        <v>1.0049999999999999</v>
      </c>
      <c r="G31" s="12">
        <f>Submetering!R31</f>
        <v>808.18503499999997</v>
      </c>
      <c r="H31" s="11">
        <v>1.528</v>
      </c>
      <c r="I31" s="12">
        <f>Hotel!B36</f>
        <v>179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10640</v>
      </c>
      <c r="F22" s="4">
        <f>Hotel!R27</f>
        <v>15010</v>
      </c>
      <c r="G22" s="4">
        <f>Hotel!S27</f>
        <v>250</v>
      </c>
      <c r="H22" s="4">
        <f>Hotel!T27</f>
        <v>1650</v>
      </c>
      <c r="I22" s="4">
        <f>Hotel!U27</f>
        <v>4900</v>
      </c>
      <c r="J22" s="4">
        <f>Hotel!V27</f>
        <v>4220</v>
      </c>
      <c r="K22" s="4">
        <f>Hotel!W27</f>
        <v>3060</v>
      </c>
      <c r="L22" s="4">
        <f>Hotel!X27</f>
        <v>4870</v>
      </c>
      <c r="M22" s="4">
        <f>Hotel!Y27</f>
        <v>6270</v>
      </c>
      <c r="N22" s="4">
        <f>Hotel!Z27</f>
        <v>2530</v>
      </c>
      <c r="O22" s="4">
        <f>Hotel!AA27</f>
        <v>2990</v>
      </c>
      <c r="P22" s="4">
        <f>Hotel!AB27</f>
        <v>7430</v>
      </c>
      <c r="Q22" s="4">
        <f>Hotel!AC27</f>
        <v>12310</v>
      </c>
      <c r="R22" s="4">
        <f>Hotel!AV27*0.00378541*100</f>
        <v>916.82630199999994</v>
      </c>
      <c r="S22" s="4">
        <f>Hotel!B27</f>
        <v>115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10500</v>
      </c>
      <c r="F23" s="4">
        <f>Hotel!R28</f>
        <v>14950</v>
      </c>
      <c r="G23" s="4">
        <f>Hotel!S28</f>
        <v>240</v>
      </c>
      <c r="H23" s="4">
        <f>Hotel!T28</f>
        <v>1670</v>
      </c>
      <c r="I23" s="4">
        <f>Hotel!U28</f>
        <v>4980</v>
      </c>
      <c r="J23" s="4">
        <f>Hotel!V28</f>
        <v>4280</v>
      </c>
      <c r="K23" s="4">
        <f>Hotel!W28</f>
        <v>3170</v>
      </c>
      <c r="L23" s="4">
        <f>Hotel!X28</f>
        <v>5040</v>
      </c>
      <c r="M23" s="4">
        <f>Hotel!Y28</f>
        <v>6340</v>
      </c>
      <c r="N23" s="4">
        <f>Hotel!Z28</f>
        <v>2780</v>
      </c>
      <c r="O23" s="4">
        <f>Hotel!AA28</f>
        <v>3270</v>
      </c>
      <c r="P23" s="4">
        <f>Hotel!AB28</f>
        <v>7790</v>
      </c>
      <c r="Q23" s="4">
        <f>Hotel!AC28</f>
        <v>13360</v>
      </c>
      <c r="R23" s="4">
        <f>Hotel!AV28*0.00378541*100</f>
        <v>761.24595099999999</v>
      </c>
      <c r="S23" s="4">
        <f>Hotel!B28</f>
        <v>178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10800</v>
      </c>
      <c r="F24" s="4">
        <f>Hotel!R29</f>
        <v>15230</v>
      </c>
      <c r="G24" s="4">
        <f>Hotel!S29</f>
        <v>240</v>
      </c>
      <c r="H24" s="4">
        <f>Hotel!T29</f>
        <v>1670</v>
      </c>
      <c r="I24" s="4">
        <f>Hotel!U29</f>
        <v>5340</v>
      </c>
      <c r="J24" s="4">
        <f>Hotel!V29</f>
        <v>4340</v>
      </c>
      <c r="K24" s="4">
        <f>Hotel!W29</f>
        <v>3220</v>
      </c>
      <c r="L24" s="4">
        <f>Hotel!X29</f>
        <v>5010</v>
      </c>
      <c r="M24" s="4">
        <f>Hotel!Y29</f>
        <v>6390</v>
      </c>
      <c r="N24" s="4">
        <f>Hotel!Z29</f>
        <v>2920</v>
      </c>
      <c r="O24" s="4">
        <f>Hotel!AA29</f>
        <v>3220</v>
      </c>
      <c r="P24" s="4">
        <f>Hotel!AB29</f>
        <v>8130</v>
      </c>
      <c r="Q24" s="4">
        <f>Hotel!AC29</f>
        <v>12160</v>
      </c>
      <c r="R24" s="4">
        <f>Hotel!AV29*0.00378541*100</f>
        <v>863.8305620000001</v>
      </c>
      <c r="S24" s="4">
        <f>Hotel!B29</f>
        <v>188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10690</v>
      </c>
      <c r="F25" s="4">
        <f>Hotel!R30</f>
        <v>15060</v>
      </c>
      <c r="G25" s="4">
        <f>Hotel!S30</f>
        <v>250</v>
      </c>
      <c r="H25" s="4">
        <f>Hotel!T30</f>
        <v>1620</v>
      </c>
      <c r="I25" s="4">
        <f>Hotel!U30</f>
        <v>5440</v>
      </c>
      <c r="J25" s="4">
        <f>Hotel!V30</f>
        <v>4380</v>
      </c>
      <c r="K25" s="4">
        <f>Hotel!W30</f>
        <v>3280</v>
      </c>
      <c r="L25" s="4">
        <f>Hotel!X30</f>
        <v>4960</v>
      </c>
      <c r="M25" s="4">
        <f>Hotel!Y30</f>
        <v>6500</v>
      </c>
      <c r="N25" s="4">
        <f>Hotel!Z30</f>
        <v>3100</v>
      </c>
      <c r="O25" s="4">
        <f>Hotel!AA30</f>
        <v>3470</v>
      </c>
      <c r="P25" s="4">
        <f>Hotel!AB30</f>
        <v>7760</v>
      </c>
      <c r="Q25" s="4">
        <f>Hotel!AC30</f>
        <v>11980</v>
      </c>
      <c r="R25" s="4">
        <f>Hotel!AV30*0.00378541*100</f>
        <v>970.57912399999998</v>
      </c>
      <c r="S25" s="4">
        <f>Hotel!B30</f>
        <v>280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10520</v>
      </c>
      <c r="F26" s="4">
        <f>Hotel!R31</f>
        <v>14940</v>
      </c>
      <c r="G26" s="4">
        <f>Hotel!S31</f>
        <v>210</v>
      </c>
      <c r="H26" s="4">
        <f>Hotel!T31</f>
        <v>1650</v>
      </c>
      <c r="I26" s="4">
        <f>Hotel!U31</f>
        <v>5640</v>
      </c>
      <c r="J26" s="4">
        <f>Hotel!V31</f>
        <v>4440</v>
      </c>
      <c r="K26" s="4">
        <f>Hotel!W31</f>
        <v>3210</v>
      </c>
      <c r="L26" s="4">
        <f>Hotel!X31</f>
        <v>5100</v>
      </c>
      <c r="M26" s="4">
        <f>Hotel!Y31</f>
        <v>6530</v>
      </c>
      <c r="N26" s="4">
        <f>Hotel!Z31</f>
        <v>3050</v>
      </c>
      <c r="O26" s="4">
        <f>Hotel!AA31</f>
        <v>3590</v>
      </c>
      <c r="P26" s="4">
        <f>Hotel!AB31</f>
        <v>7590</v>
      </c>
      <c r="Q26" s="4">
        <f>Hotel!AC31</f>
        <v>13520</v>
      </c>
      <c r="R26" s="4">
        <f>Hotel!AV31*0.00378541*100</f>
        <v>692.73002999999994</v>
      </c>
      <c r="S26" s="4">
        <f>Hotel!B31</f>
        <v>246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9980</v>
      </c>
      <c r="F27" s="4">
        <f>Hotel!R32</f>
        <v>14420</v>
      </c>
      <c r="G27" s="4">
        <f>Hotel!S32</f>
        <v>160</v>
      </c>
      <c r="H27" s="4">
        <f>Hotel!T32</f>
        <v>1610</v>
      </c>
      <c r="I27" s="4">
        <f>Hotel!U32</f>
        <v>5960</v>
      </c>
      <c r="J27" s="4">
        <f>Hotel!V32</f>
        <v>4440</v>
      </c>
      <c r="K27" s="4">
        <f>Hotel!W32</f>
        <v>3310</v>
      </c>
      <c r="L27" s="4">
        <f>Hotel!X32</f>
        <v>5150</v>
      </c>
      <c r="M27" s="4">
        <f>Hotel!Y32</f>
        <v>6600</v>
      </c>
      <c r="N27" s="4">
        <f>Hotel!Z32</f>
        <v>2970</v>
      </c>
      <c r="O27" s="4">
        <f>Hotel!AA32</f>
        <v>3500</v>
      </c>
      <c r="P27" s="4">
        <f>Hotel!AB32</f>
        <v>7840</v>
      </c>
      <c r="Q27" s="4">
        <f>Hotel!AC32</f>
        <v>13150</v>
      </c>
      <c r="R27" s="4">
        <f>Hotel!AV32*0.00378541*100</f>
        <v>917.58338399999991</v>
      </c>
      <c r="S27" s="4">
        <f>Hotel!B32</f>
        <v>124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9640</v>
      </c>
      <c r="F28" s="4">
        <f>Hotel!R33</f>
        <v>14030</v>
      </c>
      <c r="G28" s="4">
        <f>Hotel!S33</f>
        <v>170</v>
      </c>
      <c r="H28" s="4">
        <f>Hotel!T33</f>
        <v>1560</v>
      </c>
      <c r="I28" s="4">
        <f>Hotel!U33</f>
        <v>5350</v>
      </c>
      <c r="J28" s="4">
        <f>Hotel!V33</f>
        <v>4300</v>
      </c>
      <c r="K28" s="4">
        <f>Hotel!W33</f>
        <v>3270</v>
      </c>
      <c r="L28" s="4">
        <f>Hotel!X33</f>
        <v>4940</v>
      </c>
      <c r="M28" s="4">
        <f>Hotel!Y33</f>
        <v>6140</v>
      </c>
      <c r="N28" s="4">
        <f>Hotel!Z33</f>
        <v>2900</v>
      </c>
      <c r="O28" s="4">
        <f>Hotel!AA33</f>
        <v>3450</v>
      </c>
      <c r="P28" s="4">
        <f>Hotel!AB33</f>
        <v>7610</v>
      </c>
      <c r="Q28" s="4">
        <f>Hotel!AC33</f>
        <v>13650</v>
      </c>
      <c r="R28" s="4">
        <f>Hotel!AV33*0.00378541*100</f>
        <v>735.126622</v>
      </c>
      <c r="S28" s="4">
        <f>Hotel!B33</f>
        <v>127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10080</v>
      </c>
      <c r="F29" s="4">
        <f>Hotel!R34</f>
        <v>14520</v>
      </c>
      <c r="G29" s="4">
        <f>Hotel!S34</f>
        <v>190</v>
      </c>
      <c r="H29" s="4">
        <f>Hotel!T34</f>
        <v>1610</v>
      </c>
      <c r="I29" s="4">
        <f>Hotel!U34</f>
        <v>5600</v>
      </c>
      <c r="J29" s="4">
        <f>Hotel!V34</f>
        <v>4410</v>
      </c>
      <c r="K29" s="4">
        <f>Hotel!W34</f>
        <v>3540</v>
      </c>
      <c r="L29" s="4">
        <f>Hotel!X34</f>
        <v>5130</v>
      </c>
      <c r="M29" s="4">
        <f>Hotel!Y34</f>
        <v>6150</v>
      </c>
      <c r="N29" s="4">
        <f>Hotel!Z34</f>
        <v>2840</v>
      </c>
      <c r="O29" s="4">
        <f>Hotel!AA34</f>
        <v>3420</v>
      </c>
      <c r="P29" s="4">
        <f>Hotel!AB34</f>
        <v>7780</v>
      </c>
      <c r="Q29" s="4">
        <f>Hotel!AC34</f>
        <v>14090</v>
      </c>
      <c r="R29" s="4">
        <f>Hotel!AV34*0.00378541*100</f>
        <v>820.67688800000008</v>
      </c>
      <c r="S29" s="4">
        <f>Hotel!B34</f>
        <v>108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9550</v>
      </c>
      <c r="F30" s="4">
        <f>Hotel!R35</f>
        <v>13780</v>
      </c>
      <c r="G30" s="4">
        <f>Hotel!S35</f>
        <v>170</v>
      </c>
      <c r="H30" s="4">
        <f>Hotel!T35</f>
        <v>1550</v>
      </c>
      <c r="I30" s="4">
        <f>Hotel!U35</f>
        <v>5020</v>
      </c>
      <c r="J30" s="4">
        <f>Hotel!V35</f>
        <v>4160</v>
      </c>
      <c r="K30" s="4">
        <f>Hotel!W35</f>
        <v>3050</v>
      </c>
      <c r="L30" s="4">
        <f>Hotel!X35</f>
        <v>4960</v>
      </c>
      <c r="M30" s="4">
        <f>Hotel!Y35</f>
        <v>5890</v>
      </c>
      <c r="N30" s="4">
        <f>Hotel!Z35</f>
        <v>2650</v>
      </c>
      <c r="O30" s="4">
        <f>Hotel!AA35</f>
        <v>3140</v>
      </c>
      <c r="P30" s="4">
        <f>Hotel!AB35</f>
        <v>7720</v>
      </c>
      <c r="Q30" s="4">
        <f>Hotel!AC35</f>
        <v>13570</v>
      </c>
      <c r="R30" s="4">
        <f>Hotel!AV35*0.00378541*100</f>
        <v>552.29131899999993</v>
      </c>
      <c r="S30" s="4">
        <f>Hotel!B35</f>
        <v>125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9300</v>
      </c>
      <c r="F31" s="4">
        <f>Hotel!R36</f>
        <v>13580</v>
      </c>
      <c r="G31" s="4">
        <f>Hotel!S36</f>
        <v>140</v>
      </c>
      <c r="H31" s="4">
        <f>Hotel!T36</f>
        <v>1550</v>
      </c>
      <c r="I31" s="4">
        <f>Hotel!U36</f>
        <v>5330</v>
      </c>
      <c r="J31" s="4">
        <f>Hotel!V36</f>
        <v>4270</v>
      </c>
      <c r="K31" s="4">
        <f>Hotel!W36</f>
        <v>3230</v>
      </c>
      <c r="L31" s="4">
        <f>Hotel!X36</f>
        <v>5120</v>
      </c>
      <c r="M31" s="4">
        <f>Hotel!Y36</f>
        <v>6210</v>
      </c>
      <c r="N31" s="4">
        <f>Hotel!Z36</f>
        <v>2820</v>
      </c>
      <c r="O31" s="4">
        <f>Hotel!AA36</f>
        <v>3440</v>
      </c>
      <c r="P31" s="4">
        <f>Hotel!AB36</f>
        <v>7910</v>
      </c>
      <c r="Q31" s="4">
        <f>Hotel!AC36</f>
        <v>13710</v>
      </c>
      <c r="R31" s="4">
        <f>Hotel!AV36*0.00378541*100</f>
        <v>808.18503499999997</v>
      </c>
      <c r="S31" s="4">
        <f>Hotel!B36</f>
        <v>179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U38" sqref="AU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>
        <v>115</v>
      </c>
      <c r="C27" s="24">
        <v>5667020</v>
      </c>
      <c r="D27" s="24">
        <v>11719520</v>
      </c>
      <c r="E27" s="24">
        <v>1413570</v>
      </c>
      <c r="F27" s="24">
        <v>2536040</v>
      </c>
      <c r="G27" s="24">
        <v>7658510</v>
      </c>
      <c r="H27" s="24">
        <v>3555790</v>
      </c>
      <c r="I27" s="24">
        <v>3592140</v>
      </c>
      <c r="J27" s="24">
        <v>4020150</v>
      </c>
      <c r="K27" s="24">
        <v>6598810</v>
      </c>
      <c r="L27" s="24">
        <v>2312190</v>
      </c>
      <c r="M27" s="24">
        <v>6164300</v>
      </c>
      <c r="N27" s="24">
        <v>8299430</v>
      </c>
      <c r="O27" s="24">
        <v>10691910</v>
      </c>
      <c r="Q27" s="37">
        <f t="shared" si="32"/>
        <v>10640</v>
      </c>
      <c r="R27" s="37">
        <f t="shared" si="32"/>
        <v>15010</v>
      </c>
      <c r="S27" s="37">
        <f t="shared" si="32"/>
        <v>250</v>
      </c>
      <c r="T27" s="37">
        <f t="shared" si="32"/>
        <v>1650</v>
      </c>
      <c r="U27" s="37">
        <f t="shared" si="32"/>
        <v>4900</v>
      </c>
      <c r="V27" s="37">
        <f t="shared" si="32"/>
        <v>4220</v>
      </c>
      <c r="W27" s="37">
        <f t="shared" si="32"/>
        <v>3060</v>
      </c>
      <c r="X27" s="37">
        <f t="shared" si="32"/>
        <v>4870</v>
      </c>
      <c r="Y27" s="37">
        <f t="shared" si="32"/>
        <v>6270</v>
      </c>
      <c r="Z27" s="37">
        <f t="shared" si="32"/>
        <v>2530</v>
      </c>
      <c r="AA27" s="37">
        <f t="shared" si="32"/>
        <v>2990</v>
      </c>
      <c r="AB27" s="37">
        <f t="shared" si="32"/>
        <v>7430</v>
      </c>
      <c r="AC27" s="37">
        <f t="shared" si="32"/>
        <v>12310</v>
      </c>
      <c r="AD27" s="35">
        <f t="shared" si="28"/>
        <v>76130</v>
      </c>
      <c r="AF27" s="20">
        <f t="shared" si="1"/>
        <v>53.2</v>
      </c>
      <c r="AG27" s="20">
        <f t="shared" si="2"/>
        <v>75.05</v>
      </c>
      <c r="AH27" s="20">
        <f t="shared" si="3"/>
        <v>1.25</v>
      </c>
      <c r="AI27" s="20">
        <f t="shared" si="4"/>
        <v>8.25</v>
      </c>
      <c r="AJ27" s="20">
        <f t="shared" si="5"/>
        <v>24.5</v>
      </c>
      <c r="AK27" s="20">
        <f t="shared" si="6"/>
        <v>21.1</v>
      </c>
      <c r="AL27" s="20">
        <f t="shared" si="7"/>
        <v>15.3</v>
      </c>
      <c r="AM27" s="20">
        <f t="shared" si="8"/>
        <v>24.35</v>
      </c>
      <c r="AN27" s="20">
        <f t="shared" si="9"/>
        <v>31.35</v>
      </c>
      <c r="AO27" s="20">
        <f t="shared" si="10"/>
        <v>12.65</v>
      </c>
      <c r="AP27" s="20">
        <f t="shared" si="11"/>
        <v>14.950000000000001</v>
      </c>
      <c r="AQ27" s="20">
        <f t="shared" si="12"/>
        <v>37.15</v>
      </c>
      <c r="AR27" s="20">
        <f t="shared" si="13"/>
        <v>61.550000000000004</v>
      </c>
      <c r="AS27" s="35">
        <f t="shared" si="29"/>
        <v>380.65</v>
      </c>
      <c r="AU27" s="47">
        <v>586574</v>
      </c>
      <c r="AV27" s="37">
        <f>IF((AU27-AU26&lt;0),"0",AU27-AU26)</f>
        <v>2422</v>
      </c>
      <c r="AW27" s="35">
        <f t="shared" si="30"/>
        <v>4.8440000000000003</v>
      </c>
    </row>
    <row r="28" spans="1:49" x14ac:dyDescent="0.25">
      <c r="A28" s="23">
        <v>43760</v>
      </c>
      <c r="B28" s="40">
        <v>178</v>
      </c>
      <c r="C28" s="24">
        <v>5677520</v>
      </c>
      <c r="D28" s="24">
        <v>11734470</v>
      </c>
      <c r="E28" s="24">
        <v>1413810</v>
      </c>
      <c r="F28" s="24">
        <v>2537710</v>
      </c>
      <c r="G28" s="24">
        <v>7663490</v>
      </c>
      <c r="H28" s="24">
        <v>3560070</v>
      </c>
      <c r="I28" s="24">
        <v>3595310</v>
      </c>
      <c r="J28" s="24">
        <v>4025190</v>
      </c>
      <c r="K28" s="24">
        <v>6605150</v>
      </c>
      <c r="L28" s="24">
        <v>2314970</v>
      </c>
      <c r="M28" s="24">
        <v>6167570</v>
      </c>
      <c r="N28" s="24">
        <v>8307220</v>
      </c>
      <c r="O28" s="24">
        <v>10705270</v>
      </c>
      <c r="Q28" s="37">
        <f t="shared" si="16"/>
        <v>10500</v>
      </c>
      <c r="R28" s="37">
        <f t="shared" si="17"/>
        <v>14950</v>
      </c>
      <c r="S28" s="37">
        <f t="shared" si="15"/>
        <v>240</v>
      </c>
      <c r="T28" s="37">
        <f t="shared" si="18"/>
        <v>1670</v>
      </c>
      <c r="U28" s="37">
        <f t="shared" si="19"/>
        <v>4980</v>
      </c>
      <c r="V28" s="37">
        <f t="shared" si="20"/>
        <v>4280</v>
      </c>
      <c r="W28" s="37">
        <f t="shared" si="21"/>
        <v>3170</v>
      </c>
      <c r="X28" s="37">
        <f t="shared" si="22"/>
        <v>5040</v>
      </c>
      <c r="Y28" s="37">
        <f t="shared" si="23"/>
        <v>6340</v>
      </c>
      <c r="Z28" s="37">
        <f t="shared" si="24"/>
        <v>2780</v>
      </c>
      <c r="AA28" s="37">
        <f t="shared" si="25"/>
        <v>3270</v>
      </c>
      <c r="AB28" s="37">
        <f t="shared" si="26"/>
        <v>7790</v>
      </c>
      <c r="AC28" s="37">
        <f t="shared" si="27"/>
        <v>13360</v>
      </c>
      <c r="AD28" s="35">
        <f t="shared" si="28"/>
        <v>78370</v>
      </c>
      <c r="AF28" s="20">
        <f t="shared" si="1"/>
        <v>52.5</v>
      </c>
      <c r="AG28" s="20">
        <f t="shared" si="2"/>
        <v>74.75</v>
      </c>
      <c r="AH28" s="20">
        <f t="shared" si="3"/>
        <v>1.2</v>
      </c>
      <c r="AI28" s="20">
        <f t="shared" si="4"/>
        <v>8.35</v>
      </c>
      <c r="AJ28" s="20">
        <f t="shared" si="5"/>
        <v>24.900000000000002</v>
      </c>
      <c r="AK28" s="20">
        <f t="shared" si="6"/>
        <v>21.400000000000002</v>
      </c>
      <c r="AL28" s="20">
        <f t="shared" si="7"/>
        <v>15.85</v>
      </c>
      <c r="AM28" s="20">
        <f t="shared" si="8"/>
        <v>25.2</v>
      </c>
      <c r="AN28" s="20">
        <f t="shared" si="9"/>
        <v>31.7</v>
      </c>
      <c r="AO28" s="20">
        <f t="shared" si="10"/>
        <v>13.9</v>
      </c>
      <c r="AP28" s="20">
        <f t="shared" si="11"/>
        <v>16.350000000000001</v>
      </c>
      <c r="AQ28" s="20">
        <f t="shared" si="12"/>
        <v>38.950000000000003</v>
      </c>
      <c r="AR28" s="20">
        <f t="shared" si="13"/>
        <v>66.8</v>
      </c>
      <c r="AS28" s="35">
        <f t="shared" si="29"/>
        <v>391.84999999999997</v>
      </c>
      <c r="AU28" s="47">
        <v>588585</v>
      </c>
      <c r="AV28" s="37">
        <f>IF((AU28-AU27&lt;0),"0",AU28-AU27)</f>
        <v>2011</v>
      </c>
      <c r="AW28" s="35">
        <f t="shared" si="30"/>
        <v>4.0220000000000002</v>
      </c>
    </row>
    <row r="29" spans="1:49" x14ac:dyDescent="0.25">
      <c r="A29" s="23">
        <v>43761</v>
      </c>
      <c r="B29" s="40">
        <v>188</v>
      </c>
      <c r="C29" s="24">
        <v>5688320</v>
      </c>
      <c r="D29" s="24">
        <v>11749700</v>
      </c>
      <c r="E29" s="24">
        <v>1414050</v>
      </c>
      <c r="F29" s="24">
        <v>2539380</v>
      </c>
      <c r="G29" s="24">
        <v>7668830</v>
      </c>
      <c r="H29" s="24">
        <v>3564410</v>
      </c>
      <c r="I29" s="24">
        <v>3598530</v>
      </c>
      <c r="J29" s="24">
        <v>4030200</v>
      </c>
      <c r="K29" s="24">
        <v>6611540</v>
      </c>
      <c r="L29" s="24">
        <v>2317890</v>
      </c>
      <c r="M29" s="24">
        <v>6170790</v>
      </c>
      <c r="N29" s="24">
        <v>8315350</v>
      </c>
      <c r="O29" s="24">
        <v>10717430</v>
      </c>
      <c r="Q29" s="37">
        <f t="shared" si="16"/>
        <v>10800</v>
      </c>
      <c r="R29" s="37">
        <f t="shared" si="17"/>
        <v>15230</v>
      </c>
      <c r="S29" s="37">
        <f t="shared" si="15"/>
        <v>240</v>
      </c>
      <c r="T29" s="37">
        <f t="shared" si="18"/>
        <v>1670</v>
      </c>
      <c r="U29" s="37">
        <f t="shared" si="19"/>
        <v>5340</v>
      </c>
      <c r="V29" s="37">
        <f t="shared" si="20"/>
        <v>4340</v>
      </c>
      <c r="W29" s="37">
        <f t="shared" si="21"/>
        <v>3220</v>
      </c>
      <c r="X29" s="37">
        <f t="shared" si="22"/>
        <v>5010</v>
      </c>
      <c r="Y29" s="37">
        <f t="shared" si="23"/>
        <v>6390</v>
      </c>
      <c r="Z29" s="37">
        <f t="shared" si="24"/>
        <v>2920</v>
      </c>
      <c r="AA29" s="37">
        <f t="shared" si="25"/>
        <v>3220</v>
      </c>
      <c r="AB29" s="37">
        <f t="shared" si="26"/>
        <v>8130</v>
      </c>
      <c r="AC29" s="37">
        <f t="shared" si="27"/>
        <v>12160</v>
      </c>
      <c r="AD29" s="35">
        <f t="shared" si="28"/>
        <v>78670</v>
      </c>
      <c r="AF29" s="20">
        <f t="shared" si="1"/>
        <v>54</v>
      </c>
      <c r="AG29" s="20">
        <f t="shared" si="2"/>
        <v>76.150000000000006</v>
      </c>
      <c r="AH29" s="20">
        <f t="shared" si="3"/>
        <v>1.2</v>
      </c>
      <c r="AI29" s="20">
        <f t="shared" si="4"/>
        <v>8.35</v>
      </c>
      <c r="AJ29" s="20">
        <f t="shared" si="5"/>
        <v>26.7</v>
      </c>
      <c r="AK29" s="20">
        <f t="shared" si="6"/>
        <v>21.7</v>
      </c>
      <c r="AL29" s="20">
        <f t="shared" si="7"/>
        <v>16.100000000000001</v>
      </c>
      <c r="AM29" s="20">
        <f t="shared" si="8"/>
        <v>25.05</v>
      </c>
      <c r="AN29" s="20">
        <f t="shared" si="9"/>
        <v>31.95</v>
      </c>
      <c r="AO29" s="20">
        <f t="shared" si="10"/>
        <v>14.6</v>
      </c>
      <c r="AP29" s="20">
        <f t="shared" si="11"/>
        <v>16.100000000000001</v>
      </c>
      <c r="AQ29" s="20">
        <f t="shared" si="12"/>
        <v>40.65</v>
      </c>
      <c r="AR29" s="20">
        <f t="shared" si="13"/>
        <v>60.800000000000004</v>
      </c>
      <c r="AS29" s="35">
        <f t="shared" si="29"/>
        <v>393.35</v>
      </c>
      <c r="AU29" s="47">
        <v>590867</v>
      </c>
      <c r="AV29" s="37">
        <f t="shared" ref="AV29:AV36" si="33">IF((AU29-AU28&lt;0),"0",AU29-AU28)</f>
        <v>2282</v>
      </c>
      <c r="AW29" s="35">
        <f t="shared" si="30"/>
        <v>4.5640000000000001</v>
      </c>
    </row>
    <row r="30" spans="1:49" x14ac:dyDescent="0.25">
      <c r="A30" s="23">
        <v>43762</v>
      </c>
      <c r="B30" s="40">
        <v>280</v>
      </c>
      <c r="C30" s="24">
        <v>5699010</v>
      </c>
      <c r="D30" s="24">
        <v>11764760</v>
      </c>
      <c r="E30" s="24">
        <v>1414300</v>
      </c>
      <c r="F30" s="24">
        <v>2541000</v>
      </c>
      <c r="G30" s="24">
        <v>7674270</v>
      </c>
      <c r="H30" s="24">
        <v>3568790</v>
      </c>
      <c r="I30" s="24">
        <v>3601810</v>
      </c>
      <c r="J30" s="24">
        <v>4035160</v>
      </c>
      <c r="K30" s="24">
        <v>6618040</v>
      </c>
      <c r="L30" s="24">
        <v>2320990</v>
      </c>
      <c r="M30" s="24">
        <v>6174260</v>
      </c>
      <c r="N30" s="24">
        <v>8323110</v>
      </c>
      <c r="O30" s="24">
        <v>10729410</v>
      </c>
      <c r="Q30" s="37">
        <f t="shared" si="16"/>
        <v>10690</v>
      </c>
      <c r="R30" s="37">
        <f t="shared" si="17"/>
        <v>15060</v>
      </c>
      <c r="S30" s="37">
        <f t="shared" si="15"/>
        <v>250</v>
      </c>
      <c r="T30" s="37">
        <f t="shared" si="18"/>
        <v>1620</v>
      </c>
      <c r="U30" s="37">
        <f t="shared" si="19"/>
        <v>5440</v>
      </c>
      <c r="V30" s="37">
        <f t="shared" si="20"/>
        <v>4380</v>
      </c>
      <c r="W30" s="37">
        <f t="shared" si="21"/>
        <v>3280</v>
      </c>
      <c r="X30" s="37">
        <f t="shared" si="22"/>
        <v>4960</v>
      </c>
      <c r="Y30" s="37">
        <f t="shared" si="23"/>
        <v>6500</v>
      </c>
      <c r="Z30" s="37">
        <f t="shared" si="24"/>
        <v>3100</v>
      </c>
      <c r="AA30" s="37">
        <f t="shared" si="25"/>
        <v>3470</v>
      </c>
      <c r="AB30" s="37">
        <f t="shared" si="26"/>
        <v>7760</v>
      </c>
      <c r="AC30" s="37">
        <f t="shared" si="27"/>
        <v>11980</v>
      </c>
      <c r="AD30" s="35">
        <f t="shared" si="28"/>
        <v>78490</v>
      </c>
      <c r="AF30" s="20">
        <f t="shared" si="1"/>
        <v>53.45</v>
      </c>
      <c r="AG30" s="20">
        <f t="shared" si="2"/>
        <v>75.3</v>
      </c>
      <c r="AH30" s="20">
        <f t="shared" si="3"/>
        <v>1.25</v>
      </c>
      <c r="AI30" s="20">
        <f t="shared" si="4"/>
        <v>8.1</v>
      </c>
      <c r="AJ30" s="20">
        <f t="shared" si="5"/>
        <v>27.2</v>
      </c>
      <c r="AK30" s="20">
        <f t="shared" si="6"/>
        <v>21.900000000000002</v>
      </c>
      <c r="AL30" s="20">
        <f t="shared" si="7"/>
        <v>16.399999999999999</v>
      </c>
      <c r="AM30" s="20">
        <f t="shared" si="8"/>
        <v>24.8</v>
      </c>
      <c r="AN30" s="20">
        <f t="shared" si="9"/>
        <v>32.5</v>
      </c>
      <c r="AO30" s="20">
        <f t="shared" si="10"/>
        <v>15.5</v>
      </c>
      <c r="AP30" s="20">
        <f t="shared" si="11"/>
        <v>17.350000000000001</v>
      </c>
      <c r="AQ30" s="20">
        <f t="shared" si="12"/>
        <v>38.800000000000004</v>
      </c>
      <c r="AR30" s="20">
        <f t="shared" si="13"/>
        <v>59.9</v>
      </c>
      <c r="AS30" s="35">
        <f t="shared" si="29"/>
        <v>392.45</v>
      </c>
      <c r="AU30" s="47">
        <v>593431</v>
      </c>
      <c r="AV30" s="37">
        <f t="shared" si="33"/>
        <v>2564</v>
      </c>
      <c r="AW30" s="35">
        <f t="shared" si="30"/>
        <v>5.1280000000000001</v>
      </c>
    </row>
    <row r="31" spans="1:49" x14ac:dyDescent="0.25">
      <c r="A31" s="23">
        <v>43763</v>
      </c>
      <c r="B31" s="40">
        <v>246</v>
      </c>
      <c r="C31" s="24">
        <v>5709530</v>
      </c>
      <c r="D31" s="24">
        <v>11779700</v>
      </c>
      <c r="E31" s="24">
        <v>1414510</v>
      </c>
      <c r="F31" s="24">
        <v>2542650</v>
      </c>
      <c r="G31" s="24">
        <v>7679910</v>
      </c>
      <c r="H31" s="24">
        <v>3573230</v>
      </c>
      <c r="I31" s="24">
        <v>3605020</v>
      </c>
      <c r="J31" s="24">
        <v>4040260</v>
      </c>
      <c r="K31" s="24">
        <v>6624570</v>
      </c>
      <c r="L31" s="24">
        <v>2324040</v>
      </c>
      <c r="M31" s="24">
        <v>6177850</v>
      </c>
      <c r="N31" s="24">
        <v>8330700</v>
      </c>
      <c r="O31" s="24">
        <v>10742930</v>
      </c>
      <c r="Q31" s="37">
        <f t="shared" si="16"/>
        <v>10520</v>
      </c>
      <c r="R31" s="37">
        <f t="shared" si="17"/>
        <v>14940</v>
      </c>
      <c r="S31" s="37">
        <f t="shared" si="15"/>
        <v>210</v>
      </c>
      <c r="T31" s="37">
        <f t="shared" si="18"/>
        <v>1650</v>
      </c>
      <c r="U31" s="37">
        <f t="shared" si="19"/>
        <v>5640</v>
      </c>
      <c r="V31" s="37">
        <f t="shared" si="20"/>
        <v>4440</v>
      </c>
      <c r="W31" s="37">
        <f t="shared" si="21"/>
        <v>3210</v>
      </c>
      <c r="X31" s="37">
        <f t="shared" si="22"/>
        <v>5100</v>
      </c>
      <c r="Y31" s="37">
        <f t="shared" si="23"/>
        <v>6530</v>
      </c>
      <c r="Z31" s="37">
        <f t="shared" si="24"/>
        <v>3050</v>
      </c>
      <c r="AA31" s="37">
        <f t="shared" si="25"/>
        <v>3590</v>
      </c>
      <c r="AB31" s="37">
        <f t="shared" si="26"/>
        <v>7590</v>
      </c>
      <c r="AC31" s="37">
        <f t="shared" si="27"/>
        <v>13520</v>
      </c>
      <c r="AD31" s="35">
        <f t="shared" si="28"/>
        <v>79990</v>
      </c>
      <c r="AF31" s="20">
        <f t="shared" si="1"/>
        <v>52.6</v>
      </c>
      <c r="AG31" s="20">
        <f t="shared" si="2"/>
        <v>74.7</v>
      </c>
      <c r="AH31" s="20">
        <f t="shared" si="3"/>
        <v>1.05</v>
      </c>
      <c r="AI31" s="20">
        <f t="shared" si="4"/>
        <v>8.25</v>
      </c>
      <c r="AJ31" s="20">
        <f t="shared" si="5"/>
        <v>28.2</v>
      </c>
      <c r="AK31" s="20">
        <f t="shared" si="6"/>
        <v>22.2</v>
      </c>
      <c r="AL31" s="20">
        <f t="shared" si="7"/>
        <v>16.05</v>
      </c>
      <c r="AM31" s="20">
        <f t="shared" si="8"/>
        <v>25.5</v>
      </c>
      <c r="AN31" s="20">
        <f t="shared" si="9"/>
        <v>32.65</v>
      </c>
      <c r="AO31" s="20">
        <f t="shared" si="10"/>
        <v>15.25</v>
      </c>
      <c r="AP31" s="20">
        <f t="shared" si="11"/>
        <v>17.95</v>
      </c>
      <c r="AQ31" s="20">
        <f t="shared" si="12"/>
        <v>37.950000000000003</v>
      </c>
      <c r="AR31" s="20">
        <f t="shared" si="13"/>
        <v>67.599999999999994</v>
      </c>
      <c r="AS31" s="35">
        <f t="shared" si="29"/>
        <v>399.94999999999993</v>
      </c>
      <c r="AU31" s="47">
        <v>595261</v>
      </c>
      <c r="AV31" s="37">
        <f t="shared" si="33"/>
        <v>1830</v>
      </c>
      <c r="AW31" s="35">
        <f t="shared" si="30"/>
        <v>3.66</v>
      </c>
    </row>
    <row r="32" spans="1:49" x14ac:dyDescent="0.25">
      <c r="A32" s="23">
        <v>43764</v>
      </c>
      <c r="B32" s="40">
        <v>124</v>
      </c>
      <c r="C32" s="24">
        <v>5719510</v>
      </c>
      <c r="D32" s="24">
        <v>11794120</v>
      </c>
      <c r="E32" s="24">
        <v>1414670</v>
      </c>
      <c r="F32" s="24">
        <v>2544260</v>
      </c>
      <c r="G32" s="24">
        <v>7685870</v>
      </c>
      <c r="H32" s="24">
        <v>3577670</v>
      </c>
      <c r="I32" s="24">
        <v>3608330</v>
      </c>
      <c r="J32" s="24">
        <v>4045410</v>
      </c>
      <c r="K32" s="24">
        <v>6631170</v>
      </c>
      <c r="L32" s="24">
        <v>2327010</v>
      </c>
      <c r="M32" s="24">
        <v>6181350</v>
      </c>
      <c r="N32" s="24">
        <v>8338540</v>
      </c>
      <c r="O32" s="24">
        <v>10756080</v>
      </c>
      <c r="Q32" s="37">
        <f t="shared" si="16"/>
        <v>9980</v>
      </c>
      <c r="R32" s="37">
        <f t="shared" si="17"/>
        <v>14420</v>
      </c>
      <c r="S32" s="37">
        <f t="shared" si="15"/>
        <v>160</v>
      </c>
      <c r="T32" s="37">
        <f t="shared" si="18"/>
        <v>1610</v>
      </c>
      <c r="U32" s="37">
        <f t="shared" si="19"/>
        <v>5960</v>
      </c>
      <c r="V32" s="37">
        <f t="shared" si="20"/>
        <v>4440</v>
      </c>
      <c r="W32" s="37">
        <f t="shared" si="21"/>
        <v>3310</v>
      </c>
      <c r="X32" s="37">
        <f t="shared" si="22"/>
        <v>5150</v>
      </c>
      <c r="Y32" s="37">
        <f t="shared" si="23"/>
        <v>6600</v>
      </c>
      <c r="Z32" s="37">
        <f t="shared" si="24"/>
        <v>2970</v>
      </c>
      <c r="AA32" s="37">
        <f t="shared" si="25"/>
        <v>3500</v>
      </c>
      <c r="AB32" s="37">
        <f t="shared" si="26"/>
        <v>7840</v>
      </c>
      <c r="AC32" s="37">
        <f t="shared" si="27"/>
        <v>13150</v>
      </c>
      <c r="AD32" s="35">
        <f t="shared" si="28"/>
        <v>79090</v>
      </c>
      <c r="AF32" s="20">
        <f t="shared" si="1"/>
        <v>49.9</v>
      </c>
      <c r="AG32" s="20">
        <f t="shared" si="2"/>
        <v>72.100000000000009</v>
      </c>
      <c r="AH32" s="20">
        <f t="shared" si="3"/>
        <v>0.8</v>
      </c>
      <c r="AI32" s="20">
        <f t="shared" si="4"/>
        <v>8.0500000000000007</v>
      </c>
      <c r="AJ32" s="20">
        <f t="shared" si="5"/>
        <v>29.8</v>
      </c>
      <c r="AK32" s="20">
        <f t="shared" si="6"/>
        <v>22.2</v>
      </c>
      <c r="AL32" s="20">
        <f t="shared" si="7"/>
        <v>16.55</v>
      </c>
      <c r="AM32" s="20">
        <f t="shared" si="8"/>
        <v>25.75</v>
      </c>
      <c r="AN32" s="20">
        <f t="shared" si="9"/>
        <v>33</v>
      </c>
      <c r="AO32" s="20">
        <f t="shared" si="10"/>
        <v>14.85</v>
      </c>
      <c r="AP32" s="20">
        <f t="shared" si="11"/>
        <v>17.5</v>
      </c>
      <c r="AQ32" s="20">
        <f t="shared" si="12"/>
        <v>39.200000000000003</v>
      </c>
      <c r="AR32" s="20">
        <f t="shared" si="13"/>
        <v>65.75</v>
      </c>
      <c r="AS32" s="35">
        <f t="shared" si="29"/>
        <v>395.45</v>
      </c>
      <c r="AU32" s="47">
        <v>597685</v>
      </c>
      <c r="AV32" s="37">
        <f t="shared" si="33"/>
        <v>2424</v>
      </c>
      <c r="AW32" s="35">
        <f t="shared" si="30"/>
        <v>4.8479999999999999</v>
      </c>
    </row>
    <row r="33" spans="1:49" x14ac:dyDescent="0.25">
      <c r="A33" s="23">
        <v>43765</v>
      </c>
      <c r="B33" s="40">
        <v>127</v>
      </c>
      <c r="C33" s="24">
        <v>5729150</v>
      </c>
      <c r="D33" s="24">
        <v>11808150</v>
      </c>
      <c r="E33" s="24">
        <v>1414840</v>
      </c>
      <c r="F33" s="24">
        <v>2545820</v>
      </c>
      <c r="G33" s="24">
        <v>7691220</v>
      </c>
      <c r="H33" s="24">
        <v>3581970</v>
      </c>
      <c r="I33" s="24">
        <v>3611600</v>
      </c>
      <c r="J33" s="24">
        <v>4050350</v>
      </c>
      <c r="K33" s="24">
        <v>6637310</v>
      </c>
      <c r="L33" s="24">
        <v>2329910</v>
      </c>
      <c r="M33" s="24">
        <v>6184800</v>
      </c>
      <c r="N33" s="24">
        <v>8346150</v>
      </c>
      <c r="O33" s="24">
        <v>10769730</v>
      </c>
      <c r="Q33" s="37">
        <f t="shared" si="16"/>
        <v>9640</v>
      </c>
      <c r="R33" s="37">
        <f t="shared" si="17"/>
        <v>14030</v>
      </c>
      <c r="S33" s="37">
        <f t="shared" si="15"/>
        <v>170</v>
      </c>
      <c r="T33" s="37">
        <f t="shared" si="18"/>
        <v>1560</v>
      </c>
      <c r="U33" s="37">
        <f t="shared" si="19"/>
        <v>5350</v>
      </c>
      <c r="V33" s="37">
        <f t="shared" si="20"/>
        <v>4300</v>
      </c>
      <c r="W33" s="37">
        <f t="shared" si="21"/>
        <v>3270</v>
      </c>
      <c r="X33" s="37">
        <f t="shared" si="22"/>
        <v>4940</v>
      </c>
      <c r="Y33" s="37">
        <f t="shared" si="23"/>
        <v>6140</v>
      </c>
      <c r="Z33" s="37">
        <f t="shared" si="24"/>
        <v>2900</v>
      </c>
      <c r="AA33" s="37">
        <f t="shared" si="25"/>
        <v>3450</v>
      </c>
      <c r="AB33" s="37">
        <f t="shared" si="26"/>
        <v>7610</v>
      </c>
      <c r="AC33" s="37">
        <f t="shared" si="27"/>
        <v>13650</v>
      </c>
      <c r="AD33" s="35">
        <f t="shared" si="28"/>
        <v>77010</v>
      </c>
      <c r="AF33" s="20">
        <f t="shared" si="1"/>
        <v>48.2</v>
      </c>
      <c r="AG33" s="20">
        <f t="shared" si="2"/>
        <v>70.150000000000006</v>
      </c>
      <c r="AH33" s="20">
        <f t="shared" si="3"/>
        <v>0.85</v>
      </c>
      <c r="AI33" s="20">
        <f t="shared" si="4"/>
        <v>7.8</v>
      </c>
      <c r="AJ33" s="20">
        <f t="shared" si="5"/>
        <v>26.75</v>
      </c>
      <c r="AK33" s="20">
        <f t="shared" si="6"/>
        <v>21.5</v>
      </c>
      <c r="AL33" s="20">
        <f t="shared" si="7"/>
        <v>16.350000000000001</v>
      </c>
      <c r="AM33" s="20">
        <f t="shared" si="8"/>
        <v>24.7</v>
      </c>
      <c r="AN33" s="20">
        <f t="shared" si="9"/>
        <v>30.7</v>
      </c>
      <c r="AO33" s="20">
        <f t="shared" si="10"/>
        <v>14.5</v>
      </c>
      <c r="AP33" s="20">
        <f t="shared" si="11"/>
        <v>17.25</v>
      </c>
      <c r="AQ33" s="20">
        <f t="shared" si="12"/>
        <v>38.050000000000004</v>
      </c>
      <c r="AR33" s="20">
        <f t="shared" si="13"/>
        <v>68.25</v>
      </c>
      <c r="AS33" s="35">
        <f t="shared" si="29"/>
        <v>385.05</v>
      </c>
      <c r="AU33" s="47">
        <v>599627</v>
      </c>
      <c r="AV33" s="37">
        <f t="shared" si="33"/>
        <v>1942</v>
      </c>
      <c r="AW33" s="35">
        <f t="shared" si="30"/>
        <v>3.8839999999999999</v>
      </c>
    </row>
    <row r="34" spans="1:49" x14ac:dyDescent="0.25">
      <c r="A34" s="23">
        <v>43766</v>
      </c>
      <c r="B34" s="40">
        <v>108</v>
      </c>
      <c r="C34" s="24">
        <v>5739230</v>
      </c>
      <c r="D34" s="24">
        <v>11822670</v>
      </c>
      <c r="E34" s="24">
        <v>1415030</v>
      </c>
      <c r="F34" s="24">
        <v>2547430</v>
      </c>
      <c r="G34" s="24">
        <v>7696820</v>
      </c>
      <c r="H34" s="24">
        <v>3586380</v>
      </c>
      <c r="I34" s="24">
        <v>3615140</v>
      </c>
      <c r="J34" s="24">
        <v>4055480</v>
      </c>
      <c r="K34" s="24">
        <v>6643460</v>
      </c>
      <c r="L34" s="24">
        <v>2332750</v>
      </c>
      <c r="M34" s="24">
        <v>6188220</v>
      </c>
      <c r="N34" s="24">
        <v>8353930</v>
      </c>
      <c r="O34" s="24">
        <v>10783820</v>
      </c>
      <c r="Q34" s="37">
        <f t="shared" si="16"/>
        <v>10080</v>
      </c>
      <c r="R34" s="37">
        <f t="shared" si="17"/>
        <v>14520</v>
      </c>
      <c r="S34" s="37">
        <f t="shared" si="15"/>
        <v>190</v>
      </c>
      <c r="T34" s="37">
        <f t="shared" si="18"/>
        <v>1610</v>
      </c>
      <c r="U34" s="37">
        <f t="shared" si="19"/>
        <v>5600</v>
      </c>
      <c r="V34" s="37">
        <f t="shared" si="20"/>
        <v>4410</v>
      </c>
      <c r="W34" s="37">
        <f t="shared" si="21"/>
        <v>3540</v>
      </c>
      <c r="X34" s="37">
        <f t="shared" si="22"/>
        <v>5130</v>
      </c>
      <c r="Y34" s="37">
        <f t="shared" si="23"/>
        <v>6150</v>
      </c>
      <c r="Z34" s="37">
        <f t="shared" si="24"/>
        <v>2840</v>
      </c>
      <c r="AA34" s="37">
        <f t="shared" si="25"/>
        <v>3420</v>
      </c>
      <c r="AB34" s="37">
        <f t="shared" si="26"/>
        <v>7780</v>
      </c>
      <c r="AC34" s="37">
        <f t="shared" si="27"/>
        <v>14090</v>
      </c>
      <c r="AD34" s="35">
        <f t="shared" si="28"/>
        <v>79360</v>
      </c>
      <c r="AF34" s="20">
        <f t="shared" si="1"/>
        <v>50.4</v>
      </c>
      <c r="AG34" s="20">
        <f t="shared" si="2"/>
        <v>72.600000000000009</v>
      </c>
      <c r="AH34" s="20">
        <f t="shared" si="3"/>
        <v>0.95000000000000007</v>
      </c>
      <c r="AI34" s="20">
        <f t="shared" si="4"/>
        <v>8.0500000000000007</v>
      </c>
      <c r="AJ34" s="20">
        <f t="shared" si="5"/>
        <v>28</v>
      </c>
      <c r="AK34" s="20">
        <f t="shared" si="6"/>
        <v>22.05</v>
      </c>
      <c r="AL34" s="20">
        <f t="shared" si="7"/>
        <v>17.7</v>
      </c>
      <c r="AM34" s="20">
        <f t="shared" si="8"/>
        <v>25.650000000000002</v>
      </c>
      <c r="AN34" s="20">
        <f t="shared" si="9"/>
        <v>30.75</v>
      </c>
      <c r="AO34" s="20">
        <f t="shared" si="10"/>
        <v>14.200000000000001</v>
      </c>
      <c r="AP34" s="20">
        <f t="shared" si="11"/>
        <v>17.100000000000001</v>
      </c>
      <c r="AQ34" s="20">
        <f t="shared" si="12"/>
        <v>38.9</v>
      </c>
      <c r="AR34" s="20">
        <f t="shared" si="13"/>
        <v>70.45</v>
      </c>
      <c r="AS34" s="35">
        <f t="shared" si="29"/>
        <v>396.79999999999995</v>
      </c>
      <c r="AU34" s="47">
        <v>601795</v>
      </c>
      <c r="AV34" s="37">
        <f t="shared" si="33"/>
        <v>2168</v>
      </c>
      <c r="AW34" s="35">
        <f t="shared" si="30"/>
        <v>4.3360000000000003</v>
      </c>
    </row>
    <row r="35" spans="1:49" x14ac:dyDescent="0.25">
      <c r="A35" s="23">
        <v>43767</v>
      </c>
      <c r="B35" s="40">
        <v>125</v>
      </c>
      <c r="C35" s="24">
        <v>5748780</v>
      </c>
      <c r="D35" s="24">
        <v>11836450</v>
      </c>
      <c r="E35" s="24">
        <v>1415200</v>
      </c>
      <c r="F35" s="24">
        <v>2548980</v>
      </c>
      <c r="G35" s="24">
        <v>7701840</v>
      </c>
      <c r="H35" s="24">
        <v>3590540</v>
      </c>
      <c r="I35" s="24">
        <v>3618190</v>
      </c>
      <c r="J35" s="24">
        <v>4060440</v>
      </c>
      <c r="K35" s="24">
        <v>6649350</v>
      </c>
      <c r="L35" s="24">
        <v>2335400</v>
      </c>
      <c r="M35" s="24">
        <v>6191360</v>
      </c>
      <c r="N35" s="24">
        <v>8361650</v>
      </c>
      <c r="O35" s="24">
        <v>10797390</v>
      </c>
      <c r="Q35" s="37">
        <f t="shared" si="16"/>
        <v>9550</v>
      </c>
      <c r="R35" s="37">
        <f t="shared" si="17"/>
        <v>13780</v>
      </c>
      <c r="S35" s="37">
        <f t="shared" si="15"/>
        <v>170</v>
      </c>
      <c r="T35" s="37">
        <f t="shared" si="18"/>
        <v>1550</v>
      </c>
      <c r="U35" s="37">
        <f t="shared" si="19"/>
        <v>5020</v>
      </c>
      <c r="V35" s="37">
        <f t="shared" si="20"/>
        <v>4160</v>
      </c>
      <c r="W35" s="37">
        <f t="shared" si="21"/>
        <v>3050</v>
      </c>
      <c r="X35" s="37">
        <f t="shared" si="22"/>
        <v>4960</v>
      </c>
      <c r="Y35" s="37">
        <f t="shared" si="23"/>
        <v>5890</v>
      </c>
      <c r="Z35" s="37">
        <f t="shared" si="24"/>
        <v>2650</v>
      </c>
      <c r="AA35" s="37">
        <f t="shared" si="25"/>
        <v>3140</v>
      </c>
      <c r="AB35" s="37">
        <f t="shared" si="26"/>
        <v>7720</v>
      </c>
      <c r="AC35" s="37">
        <f t="shared" si="27"/>
        <v>13570</v>
      </c>
      <c r="AD35" s="35">
        <f>SUM(Q35:AC35)</f>
        <v>75210</v>
      </c>
      <c r="AF35" s="20">
        <f t="shared" si="1"/>
        <v>47.75</v>
      </c>
      <c r="AG35" s="20">
        <f t="shared" si="2"/>
        <v>68.900000000000006</v>
      </c>
      <c r="AH35" s="20">
        <f t="shared" si="3"/>
        <v>0.85</v>
      </c>
      <c r="AI35" s="20">
        <f t="shared" si="4"/>
        <v>7.75</v>
      </c>
      <c r="AJ35" s="20">
        <f t="shared" si="5"/>
        <v>25.1</v>
      </c>
      <c r="AK35" s="20">
        <f t="shared" si="6"/>
        <v>20.8</v>
      </c>
      <c r="AL35" s="20">
        <f t="shared" si="7"/>
        <v>15.25</v>
      </c>
      <c r="AM35" s="20">
        <f t="shared" si="8"/>
        <v>24.8</v>
      </c>
      <c r="AN35" s="20">
        <f t="shared" si="9"/>
        <v>29.45</v>
      </c>
      <c r="AO35" s="20">
        <f t="shared" si="10"/>
        <v>13.25</v>
      </c>
      <c r="AP35" s="20">
        <f t="shared" si="11"/>
        <v>15.700000000000001</v>
      </c>
      <c r="AQ35" s="20">
        <f t="shared" si="12"/>
        <v>38.6</v>
      </c>
      <c r="AR35" s="20">
        <f t="shared" si="13"/>
        <v>67.849999999999994</v>
      </c>
      <c r="AS35" s="35">
        <f>SUM(AF35:AR35)</f>
        <v>376.05000000000007</v>
      </c>
      <c r="AU35" s="47">
        <v>603254</v>
      </c>
      <c r="AV35" s="37">
        <f t="shared" si="33"/>
        <v>1459</v>
      </c>
      <c r="AW35" s="35">
        <f t="shared" si="30"/>
        <v>2.9180000000000001</v>
      </c>
    </row>
    <row r="36" spans="1:49" x14ac:dyDescent="0.25">
      <c r="A36" s="23">
        <v>43768</v>
      </c>
      <c r="B36" s="40">
        <v>179</v>
      </c>
      <c r="C36" s="24">
        <v>5758080</v>
      </c>
      <c r="D36" s="24">
        <v>11850030</v>
      </c>
      <c r="E36" s="24">
        <v>1415340</v>
      </c>
      <c r="F36" s="24">
        <v>2550530</v>
      </c>
      <c r="G36" s="24">
        <v>7707170</v>
      </c>
      <c r="H36" s="24">
        <v>3594810</v>
      </c>
      <c r="I36" s="24">
        <v>3621420</v>
      </c>
      <c r="J36" s="24">
        <v>4065560</v>
      </c>
      <c r="K36" s="24">
        <v>6655560</v>
      </c>
      <c r="L36" s="24">
        <v>2338220</v>
      </c>
      <c r="M36" s="24">
        <v>6194800</v>
      </c>
      <c r="N36" s="24">
        <v>8369560</v>
      </c>
      <c r="O36" s="24">
        <v>10811100</v>
      </c>
      <c r="Q36" s="37">
        <f t="shared" ref="Q36:AC36" si="34">IF((C36-C35&lt;0), "0",C36-C35)</f>
        <v>9300</v>
      </c>
      <c r="R36" s="37">
        <f t="shared" si="34"/>
        <v>13580</v>
      </c>
      <c r="S36" s="37">
        <f t="shared" si="34"/>
        <v>140</v>
      </c>
      <c r="T36" s="37">
        <f t="shared" si="34"/>
        <v>1550</v>
      </c>
      <c r="U36" s="37">
        <f t="shared" si="34"/>
        <v>5330</v>
      </c>
      <c r="V36" s="37">
        <f t="shared" si="34"/>
        <v>4270</v>
      </c>
      <c r="W36" s="37">
        <f t="shared" si="34"/>
        <v>3230</v>
      </c>
      <c r="X36" s="37">
        <f t="shared" si="34"/>
        <v>5120</v>
      </c>
      <c r="Y36" s="37">
        <f t="shared" si="34"/>
        <v>6210</v>
      </c>
      <c r="Z36" s="37">
        <f t="shared" si="34"/>
        <v>2820</v>
      </c>
      <c r="AA36" s="37">
        <f t="shared" si="34"/>
        <v>3440</v>
      </c>
      <c r="AB36" s="37">
        <f t="shared" si="34"/>
        <v>7910</v>
      </c>
      <c r="AC36" s="37">
        <f t="shared" si="34"/>
        <v>13710</v>
      </c>
      <c r="AD36" s="35">
        <f>SUM(Q36:AC36)</f>
        <v>76610</v>
      </c>
      <c r="AF36" s="20">
        <f t="shared" si="1"/>
        <v>46.5</v>
      </c>
      <c r="AG36" s="20">
        <f t="shared" si="2"/>
        <v>67.900000000000006</v>
      </c>
      <c r="AH36" s="20">
        <f t="shared" si="3"/>
        <v>0.70000000000000007</v>
      </c>
      <c r="AI36" s="20">
        <f t="shared" si="4"/>
        <v>7.75</v>
      </c>
      <c r="AJ36" s="20">
        <f t="shared" si="5"/>
        <v>26.650000000000002</v>
      </c>
      <c r="AK36" s="20">
        <f t="shared" si="6"/>
        <v>21.35</v>
      </c>
      <c r="AL36" s="20">
        <f t="shared" si="7"/>
        <v>16.149999999999999</v>
      </c>
      <c r="AM36" s="20">
        <f t="shared" si="8"/>
        <v>25.6</v>
      </c>
      <c r="AN36" s="20">
        <f t="shared" si="9"/>
        <v>31.05</v>
      </c>
      <c r="AO36" s="20">
        <f t="shared" si="10"/>
        <v>14.1</v>
      </c>
      <c r="AP36" s="20">
        <f t="shared" si="11"/>
        <v>17.2</v>
      </c>
      <c r="AQ36" s="20">
        <f t="shared" si="12"/>
        <v>39.550000000000004</v>
      </c>
      <c r="AR36" s="20">
        <f t="shared" si="13"/>
        <v>68.55</v>
      </c>
      <c r="AS36" s="35">
        <f>SUM(AF36:AR36)</f>
        <v>383.05</v>
      </c>
      <c r="AU36" s="47">
        <v>605389</v>
      </c>
      <c r="AV36" s="37">
        <f t="shared" ref="AV36:AV37" si="35">IF((AU36-AU35&lt;0),"0",AU36-AU35)</f>
        <v>2135</v>
      </c>
      <c r="AW36" s="35">
        <f t="shared" ref="AW36:AW37" si="36">AV36*$D$40</f>
        <v>4.2700000000000005</v>
      </c>
    </row>
    <row r="37" spans="1:49" x14ac:dyDescent="0.25">
      <c r="A37" s="23">
        <v>43769</v>
      </c>
      <c r="B37" s="40">
        <v>244</v>
      </c>
      <c r="C37" s="24">
        <v>5767340</v>
      </c>
      <c r="D37" s="24">
        <v>11863670</v>
      </c>
      <c r="E37" s="24">
        <v>1415460</v>
      </c>
      <c r="F37" s="24">
        <v>2552110</v>
      </c>
      <c r="G37" s="24">
        <v>7712760</v>
      </c>
      <c r="H37" s="24">
        <v>3599300</v>
      </c>
      <c r="I37" s="24">
        <v>3625060</v>
      </c>
      <c r="J37" s="24">
        <v>4070770</v>
      </c>
      <c r="K37" s="24">
        <v>6662030</v>
      </c>
      <c r="L37" s="24">
        <v>2341280</v>
      </c>
      <c r="M37" s="24">
        <v>6198740</v>
      </c>
      <c r="N37" s="24">
        <v>8377810</v>
      </c>
      <c r="O37" s="24">
        <v>10825280</v>
      </c>
      <c r="Q37" s="37">
        <f t="shared" ref="Q37" si="37">IF((C37-C36&lt;0), "0",C37-C36)</f>
        <v>9260</v>
      </c>
      <c r="R37" s="37">
        <f t="shared" ref="R37" si="38">IF((D37-D36&lt;0), "0",D37-D36)</f>
        <v>13640</v>
      </c>
      <c r="S37" s="37">
        <f t="shared" ref="S37" si="39">IF((E37-E36&lt;0), "0",E37-E36)</f>
        <v>120</v>
      </c>
      <c r="T37" s="37">
        <f t="shared" ref="T37" si="40">IF((F37-F36&lt;0), "0",F37-F36)</f>
        <v>1580</v>
      </c>
      <c r="U37" s="37">
        <f t="shared" ref="U37" si="41">IF((G37-G36&lt;0), "0",G37-G36)</f>
        <v>5590</v>
      </c>
      <c r="V37" s="37">
        <f t="shared" ref="V37" si="42">IF((H37-H36&lt;0), "0",H37-H36)</f>
        <v>4490</v>
      </c>
      <c r="W37" s="37">
        <f t="shared" ref="W37" si="43">IF((I37-I36&lt;0), "0",I37-I36)</f>
        <v>3640</v>
      </c>
      <c r="X37" s="37">
        <f t="shared" ref="X37" si="44">IF((J37-J36&lt;0), "0",J37-J36)</f>
        <v>5210</v>
      </c>
      <c r="Y37" s="37">
        <f t="shared" ref="Y37" si="45">IF((K37-K36&lt;0), "0",K37-K36)</f>
        <v>6470</v>
      </c>
      <c r="Z37" s="37">
        <f t="shared" ref="Z37" si="46">IF((L37-L36&lt;0), "0",L37-L36)</f>
        <v>3060</v>
      </c>
      <c r="AA37" s="37">
        <f t="shared" ref="AA37" si="47">IF((M37-M36&lt;0), "0",M37-M36)</f>
        <v>3940</v>
      </c>
      <c r="AB37" s="37">
        <f t="shared" ref="AB37" si="48">IF((N37-N36&lt;0), "0",N37-N36)</f>
        <v>8250</v>
      </c>
      <c r="AC37" s="37">
        <f t="shared" ref="AC37" si="49">IF((O37-O36&lt;0), "0",O37-O36)</f>
        <v>14180</v>
      </c>
      <c r="AD37" s="35">
        <f>SUM(Q37:AC37)</f>
        <v>79430</v>
      </c>
      <c r="AF37" s="20">
        <f t="shared" ref="AF37" si="50">Q37*$D$39</f>
        <v>46.300000000000004</v>
      </c>
      <c r="AG37" s="20">
        <f t="shared" ref="AG37" si="51">R37*$D$39</f>
        <v>68.2</v>
      </c>
      <c r="AH37" s="20">
        <f t="shared" ref="AH37" si="52">S37*$D$39</f>
        <v>0.6</v>
      </c>
      <c r="AI37" s="20">
        <f t="shared" ref="AI37" si="53">T37*$D$39</f>
        <v>7.9</v>
      </c>
      <c r="AJ37" s="20">
        <f t="shared" ref="AJ37" si="54">U37*$D$39</f>
        <v>27.95</v>
      </c>
      <c r="AK37" s="20">
        <f t="shared" ref="AK37" si="55">V37*$D$39</f>
        <v>22.45</v>
      </c>
      <c r="AL37" s="20">
        <f t="shared" ref="AL37" si="56">W37*$D$39</f>
        <v>18.2</v>
      </c>
      <c r="AM37" s="20">
        <f t="shared" ref="AM37" si="57">X37*$D$39</f>
        <v>26.05</v>
      </c>
      <c r="AN37" s="20">
        <f t="shared" ref="AN37" si="58">Y37*$D$39</f>
        <v>32.35</v>
      </c>
      <c r="AO37" s="20">
        <f t="shared" ref="AO37" si="59">Z37*$D$39</f>
        <v>15.3</v>
      </c>
      <c r="AP37" s="20">
        <f t="shared" ref="AP37" si="60">AA37*$D$39</f>
        <v>19.7</v>
      </c>
      <c r="AQ37" s="20">
        <f t="shared" ref="AQ37" si="61">AB37*$D$39</f>
        <v>41.25</v>
      </c>
      <c r="AR37" s="20">
        <f t="shared" ref="AR37" si="62">AC37*$D$39</f>
        <v>70.900000000000006</v>
      </c>
      <c r="AS37" s="35">
        <f>SUM(AF37:AR37)</f>
        <v>397.15</v>
      </c>
      <c r="AU37" s="47">
        <v>607474</v>
      </c>
      <c r="AV37" s="37">
        <f t="shared" si="35"/>
        <v>2085</v>
      </c>
      <c r="AW37" s="35">
        <f t="shared" si="36"/>
        <v>4.17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297700</v>
      </c>
      <c r="R38" s="30">
        <f t="shared" si="63"/>
        <v>417060</v>
      </c>
      <c r="S38" s="30">
        <f t="shared" si="63"/>
        <v>23040</v>
      </c>
      <c r="T38" s="30">
        <f t="shared" si="63"/>
        <v>96240</v>
      </c>
      <c r="U38" s="30">
        <f t="shared" si="63"/>
        <v>148420</v>
      </c>
      <c r="V38" s="30">
        <f t="shared" si="63"/>
        <v>121270</v>
      </c>
      <c r="W38" s="30">
        <f t="shared" si="63"/>
        <v>95080</v>
      </c>
      <c r="X38" s="30">
        <f t="shared" si="63"/>
        <v>139630</v>
      </c>
      <c r="Y38" s="30">
        <f t="shared" si="63"/>
        <v>175210</v>
      </c>
      <c r="Z38" s="30">
        <f t="shared" si="63"/>
        <v>81160</v>
      </c>
      <c r="AA38" s="30">
        <f t="shared" si="63"/>
        <v>94820</v>
      </c>
      <c r="AB38" s="30">
        <f t="shared" si="63"/>
        <v>211820</v>
      </c>
      <c r="AC38" s="30">
        <f t="shared" si="63"/>
        <v>349660</v>
      </c>
      <c r="AD38" s="35">
        <f t="shared" si="63"/>
        <v>2251110</v>
      </c>
      <c r="AF38" s="35">
        <f t="shared" ref="AF38:AS38" si="64">SUM(AF7:AF34)</f>
        <v>1488.5</v>
      </c>
      <c r="AG38" s="35">
        <f t="shared" si="64"/>
        <v>2085.3000000000002</v>
      </c>
      <c r="AH38" s="35">
        <f t="shared" si="64"/>
        <v>115.19999999999999</v>
      </c>
      <c r="AI38" s="35">
        <f t="shared" si="64"/>
        <v>481.2000000000001</v>
      </c>
      <c r="AJ38" s="35">
        <f t="shared" si="64"/>
        <v>742.10000000000014</v>
      </c>
      <c r="AK38" s="35">
        <f t="shared" si="64"/>
        <v>606.35</v>
      </c>
      <c r="AL38" s="35">
        <f t="shared" si="64"/>
        <v>475.40000000000015</v>
      </c>
      <c r="AM38" s="35">
        <f t="shared" si="64"/>
        <v>698.14999999999986</v>
      </c>
      <c r="AN38" s="35">
        <f t="shared" si="64"/>
        <v>876.05000000000007</v>
      </c>
      <c r="AO38" s="35">
        <f t="shared" si="64"/>
        <v>405.8</v>
      </c>
      <c r="AP38" s="35">
        <f t="shared" si="64"/>
        <v>474.10000000000008</v>
      </c>
      <c r="AQ38" s="35">
        <f t="shared" si="64"/>
        <v>1059.0999999999999</v>
      </c>
      <c r="AR38" s="35">
        <f t="shared" si="64"/>
        <v>1748.3</v>
      </c>
      <c r="AS38" s="35">
        <f t="shared" si="64"/>
        <v>11255.550000000001</v>
      </c>
      <c r="AU38" s="48"/>
      <c r="AV38" s="35">
        <f>SUM(AV7:AV34)</f>
        <v>67855</v>
      </c>
      <c r="AW38" s="35">
        <f>SUM(AW7:AW34)</f>
        <v>124.77799999999999</v>
      </c>
    </row>
    <row r="39" spans="1:49" x14ac:dyDescent="0.25">
      <c r="D39">
        <v>5.0000000000000001E-3</v>
      </c>
      <c r="AV39" s="36">
        <f>AV38*0.00378541*1000</f>
        <v>256858.99554999996</v>
      </c>
    </row>
    <row r="40" spans="1:49" x14ac:dyDescent="0.25">
      <c r="D40">
        <v>2E-3</v>
      </c>
      <c r="AV40">
        <f>AV39/31</f>
        <v>8285.7740499999982</v>
      </c>
    </row>
    <row r="41" spans="1:49" x14ac:dyDescent="0.25">
      <c r="AV41">
        <f>AV38*0.00378541</f>
        <v>256.85899554999997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Mohammed Jameen</cp:lastModifiedBy>
  <cp:lastPrinted>2019-07-02T08:10:14Z</cp:lastPrinted>
  <dcterms:created xsi:type="dcterms:W3CDTF">2017-05-22T13:08:25Z</dcterms:created>
  <dcterms:modified xsi:type="dcterms:W3CDTF">2019-11-01T06:45:29Z</dcterms:modified>
</cp:coreProperties>
</file>