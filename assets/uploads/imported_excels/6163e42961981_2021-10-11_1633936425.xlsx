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 calcOnSave="0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<sst xmlns="http://schemas.openxmlformats.org/spreadsheetml/2006/main" count="107" uniqueCount="38">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</sst>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I24" sqref="I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v>0</v>
      </c>
      <c r="F13" s="16">
        <v>0.11799999999999999</v>
      </c>
      <c r="G13" s="18">
        <v>0</v>
      </c>
      <c r="H13" s="16">
        <v>0.99</v>
      </c>
      <c r="I13" s="18">
        <v>0</v>
      </c>
      <c r="J13" s="16">
        <v>8.1000000000000003E-2</v>
      </c>
      <c r="K13" s="33">
        <v>0</v>
      </c>
      <c r="L13" s="18"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0</v>
      </c>
      <c r="F14" s="16">
        <v>0.11799999999999999</v>
      </c>
      <c r="G14" s="18">
        <f>'10 - 2021'!D20-'10 - 2021'!D19+'10 - 2021'!E20-'10 - 2021'!E19</f>
        <v>0</v>
      </c>
      <c r="H14" s="16">
        <v>0.99</v>
      </c>
      <c r="I14" s="18">
        <f>'10 - 2021'!J20-'10 - 2021'!J19</f>
        <v>0</v>
      </c>
      <c r="J14" s="16">
        <v>8.1000000000000003E-2</v>
      </c>
      <c r="K14" s="33">
        <f>'10 - 2021'!H20-'10 - 2021'!H19</f>
        <v>0</v>
      </c>
      <c r="L14" s="18">
        <f>'10 - 2021'!I20-'10 - 2021'!I19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0</v>
      </c>
      <c r="F15" s="16">
        <v>0.11799999999999999</v>
      </c>
      <c r="G15" s="18">
        <f>'10 - 2021'!D21-'10 - 2021'!D20+'10 - 2021'!E21-'10 - 2021'!E20</f>
        <v>0</v>
      </c>
      <c r="H15" s="16">
        <v>0.99</v>
      </c>
      <c r="I15" s="18">
        <f>'10 - 2021'!J21-'10 - 2021'!J20</f>
        <v>0</v>
      </c>
      <c r="J15" s="16">
        <v>8.1000000000000003E-2</v>
      </c>
      <c r="K15" s="33">
        <f>'10 - 2021'!H21-'10 - 2021'!H20</f>
        <v>0</v>
      </c>
      <c r="L15" s="18">
        <f>'10 - 2021'!I21-'10 - 2021'!I20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0</v>
      </c>
      <c r="F16" s="16">
        <v>0.11799999999999999</v>
      </c>
      <c r="G16" s="18">
        <f>'10 - 2021'!D22-'10 - 2021'!D21+'10 - 2021'!E22-'10 - 2021'!E21</f>
        <v>0</v>
      </c>
      <c r="H16" s="16">
        <v>0.99</v>
      </c>
      <c r="I16" s="18">
        <f>'10 - 2021'!J22-'10 - 2021'!J21</f>
        <v>0</v>
      </c>
      <c r="J16" s="16">
        <v>8.1000000000000003E-2</v>
      </c>
      <c r="K16" s="33">
        <f>'10 - 2021'!H22-'10 - 2021'!H21</f>
        <v>0</v>
      </c>
      <c r="L16" s="18">
        <f>'10 - 2021'!I22-'10 - 2021'!I21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3" sqref="K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v>0</v>
      </c>
      <c r="F13" s="18">
        <v>0</v>
      </c>
      <c r="G13" s="16">
        <v>0.11799999999999999</v>
      </c>
      <c r="H13" s="18">
        <v>0</v>
      </c>
      <c r="I13" s="18">
        <v>0</v>
      </c>
      <c r="J13" s="18"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0</v>
      </c>
      <c r="F14" s="18">
        <f>'10 - 2021'!C20-'10 - 2021'!C19</f>
        <v>0</v>
      </c>
      <c r="G14" s="16">
        <v>0.11799999999999999</v>
      </c>
      <c r="H14" s="18">
        <f>'10 - 2021'!E20-'10 - 2021'!E19</f>
        <v>0</v>
      </c>
      <c r="I14" s="18">
        <f>'10 - 2021'!F20-'10 - 2021'!F19</f>
        <v>0</v>
      </c>
      <c r="J14" s="18">
        <f>'10 - 2021'!G20-'10 - 2021'!G19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0</v>
      </c>
      <c r="F15" s="18">
        <f>'10 - 2021'!C21-'10 - 2021'!C20</f>
        <v>0</v>
      </c>
      <c r="G15" s="16">
        <v>0.11799999999999999</v>
      </c>
      <c r="H15" s="18">
        <f>'10 - 2021'!E21-'10 - 2021'!E20</f>
        <v>0</v>
      </c>
      <c r="I15" s="18">
        <f>'10 - 2021'!F21-'10 - 2021'!F20</f>
        <v>0</v>
      </c>
      <c r="J15" s="18">
        <f>'10 - 2021'!G21-'10 - 2021'!G20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0</v>
      </c>
      <c r="F16" s="18">
        <f>'10 - 2021'!C22-'10 - 2021'!C21</f>
        <v>0</v>
      </c>
      <c r="G16" s="16">
        <v>0.11799999999999999</v>
      </c>
      <c r="H16" s="18">
        <f>'10 - 2021'!E22-'10 - 2021'!E21</f>
        <v>0</v>
      </c>
      <c r="I16" s="18">
        <f>'10 - 2021'!F22-'10 - 2021'!F21</f>
        <v>0</v>
      </c>
      <c r="J16" s="18">
        <f>'10 - 2021'!G22-'10 - 2021'!G21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E19" sqref="E19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</row>
    <row r="5" spans="1:17" ht="16.5" thickBot="1" x14ac:dyDescent="0.3">
      <c r="A5" s="2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3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85"/>
      <c r="L7" s="70"/>
      <c r="M7" s="26"/>
    </row>
    <row r="8" spans="1:17" s="51" customFormat="1" ht="12.95" customHeight="1" x14ac:dyDescent="0.25">
      <c r="A8" s="25">
        <f>A7+1</f>
        <v>44470</v>
      </c>
      <c r="B8" s="86">
        <v>1169308</v>
      </c>
      <c r="C8" s="86">
        <v>520265</v>
      </c>
      <c r="D8" s="48">
        <v>0.38</v>
      </c>
      <c r="E8" s="83">
        <v>5838</v>
      </c>
      <c r="F8" s="49">
        <v>440.06</v>
      </c>
      <c r="G8" s="86">
        <v>33408.53</v>
      </c>
      <c r="H8" s="86">
        <v>14528</v>
      </c>
      <c r="I8" s="86">
        <v>132511</v>
      </c>
      <c r="J8" s="86">
        <v>51019892</v>
      </c>
      <c r="K8" s="87"/>
      <c r="L8" s="71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3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85">
        <v>3600</v>
      </c>
      <c r="L9" s="65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84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85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>
        <v>1181836</v>
      </c>
      <c r="C11" s="54">
        <v>537663</v>
      </c>
      <c r="D11" s="53">
        <v>0.7</v>
      </c>
      <c r="E11" s="84">
        <v>5920.05</v>
      </c>
      <c r="F11" s="37">
        <v>462.26</v>
      </c>
      <c r="G11" s="37">
        <v>33509.4</v>
      </c>
      <c r="H11" s="54">
        <v>14528</v>
      </c>
      <c r="I11" s="54">
        <v>132846</v>
      </c>
      <c r="J11" s="54">
        <v>51135966</v>
      </c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>
        <v>1185899</v>
      </c>
      <c r="C12" s="52">
        <v>543342</v>
      </c>
      <c r="D12" s="53">
        <v>0.6</v>
      </c>
      <c r="E12" s="88">
        <f>E11+27</f>
        <v>5947.05</v>
      </c>
      <c r="F12" s="52">
        <v>470</v>
      </c>
      <c r="G12" s="52">
        <v>33541.58</v>
      </c>
      <c r="H12" s="52">
        <v>14528</v>
      </c>
      <c r="I12" s="52">
        <v>132957</v>
      </c>
      <c r="J12" s="52">
        <v>51169548</v>
      </c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6">
        <v>1189633</v>
      </c>
      <c r="C13" s="37">
        <v>548697</v>
      </c>
      <c r="D13" s="53">
        <v>0.52</v>
      </c>
      <c r="E13" s="84">
        <f>E12+27</f>
        <v>5974.05</v>
      </c>
      <c r="F13" s="37">
        <v>478.89</v>
      </c>
      <c r="G13" s="37">
        <v>33574.22</v>
      </c>
      <c r="H13" s="54">
        <v>14528</v>
      </c>
      <c r="I13" s="37">
        <v>133070</v>
      </c>
      <c r="J13" s="37">
        <v>51205104</v>
      </c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>
        <v>1193590</v>
      </c>
      <c r="C14" s="54">
        <v>554654</v>
      </c>
      <c r="D14" s="53">
        <v>0.46</v>
      </c>
      <c r="E14" s="84">
        <f>E13+27</f>
        <v>6001.05</v>
      </c>
      <c r="F14" s="37">
        <v>485.84</v>
      </c>
      <c r="G14" s="37">
        <v>33605</v>
      </c>
      <c r="H14" s="54">
        <v>14528</v>
      </c>
      <c r="I14" s="54">
        <v>133185</v>
      </c>
      <c r="J14" s="54">
        <v>51239200</v>
      </c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>
        <v>1198278</v>
      </c>
      <c r="C15" s="54">
        <v>560360</v>
      </c>
      <c r="D15" s="53">
        <v>0.4</v>
      </c>
      <c r="E15" s="37">
        <v>6025.2</v>
      </c>
      <c r="F15" s="89">
        <v>493.31</v>
      </c>
      <c r="G15" s="37">
        <v>33644</v>
      </c>
      <c r="H15" s="54">
        <v>14528</v>
      </c>
      <c r="I15" s="54">
        <v>133311</v>
      </c>
      <c r="J15" s="54">
        <v>51270587</v>
      </c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90">
        <v>1202499</v>
      </c>
      <c r="C16" s="54">
        <v>566299</v>
      </c>
      <c r="D16" s="53">
        <v>0.35</v>
      </c>
      <c r="E16" s="37">
        <v>6050.31</v>
      </c>
      <c r="F16" s="89">
        <v>500.19</v>
      </c>
      <c r="G16" s="37">
        <v>33677.599999999999</v>
      </c>
      <c r="H16" s="54">
        <v>14528</v>
      </c>
      <c r="I16" s="54">
        <v>133431</v>
      </c>
      <c r="J16" s="54">
        <v>51308635</v>
      </c>
      <c r="K16" s="55">
        <v>3600</v>
      </c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3">
        <v>0.78</v>
      </c>
      <c r="E17" s="37">
        <v>6074.2</v>
      </c>
      <c r="F17" s="89">
        <v>507.35</v>
      </c>
      <c r="G17" s="37">
        <v>33709.1</v>
      </c>
      <c r="H17" s="54">
        <v>14528</v>
      </c>
      <c r="I17" s="37">
        <v>133548</v>
      </c>
      <c r="J17" s="37">
        <v>51348636</v>
      </c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>
        <v>1210602</v>
      </c>
      <c r="C18" s="54">
        <v>578390</v>
      </c>
      <c r="D18" s="53">
        <v>0.72</v>
      </c>
      <c r="E18" s="37">
        <v>6098.84</v>
      </c>
      <c r="F18" s="37">
        <v>514.61</v>
      </c>
      <c r="G18" s="37">
        <v>33740.65</v>
      </c>
      <c r="H18" s="54">
        <v>14528</v>
      </c>
      <c r="I18" s="54">
        <v>133643</v>
      </c>
      <c r="J18" s="54">
        <v>51385440</v>
      </c>
      <c r="K18" s="55"/>
      <c r="L18" s="45"/>
      <c r="M18" s="50"/>
      <c r="N18" s="56"/>
      <c r="O18" s="59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/>
      <c r="C19" s="40"/>
      <c r="D19" s="53"/>
      <c r="E19" s="37"/>
      <c r="F19" s="37"/>
      <c r="G19" s="38"/>
      <c r="H19" s="54"/>
      <c r="I19" s="40"/>
      <c r="J19" s="40"/>
      <c r="K19" s="55"/>
      <c r="L19" s="45"/>
      <c r="M19" s="50"/>
      <c r="N19" s="56"/>
      <c r="O19" s="59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/>
      <c r="C20" s="40"/>
      <c r="D20" s="53"/>
      <c r="E20" s="52"/>
      <c r="F20" s="52"/>
      <c r="G20" s="38"/>
      <c r="H20" s="54"/>
      <c r="I20" s="40"/>
      <c r="J20" s="40"/>
      <c r="K20" s="55"/>
      <c r="L20" s="67"/>
      <c r="M20" s="50"/>
      <c r="N20" s="60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/>
      <c r="C21" s="40"/>
      <c r="D21" s="53"/>
      <c r="E21" s="38"/>
      <c r="F21" s="37"/>
      <c r="G21" s="38"/>
      <c r="H21" s="54"/>
      <c r="I21" s="40"/>
      <c r="J21" s="40"/>
      <c r="K21" s="55"/>
      <c r="L21" s="67"/>
      <c r="M21" s="50"/>
      <c r="N21" s="60"/>
      <c r="O21" s="60"/>
      <c r="P21" s="61"/>
      <c r="Q21" s="61"/>
      <c r="S21" s="50"/>
    </row>
    <row r="22" spans="1:19" s="51" customFormat="1" ht="12.95" customHeight="1" x14ac:dyDescent="0.25">
      <c r="A22" s="25">
        <f t="shared" si="0"/>
        <v>44484</v>
      </c>
      <c r="B22" s="52"/>
      <c r="C22" s="57"/>
      <c r="D22" s="53"/>
      <c r="E22" s="37"/>
      <c r="F22" s="37"/>
      <c r="G22" s="38"/>
      <c r="H22" s="54"/>
      <c r="I22" s="38"/>
      <c r="J22" s="40"/>
      <c r="K22" s="55"/>
      <c r="L22" s="67"/>
      <c r="M22" s="50"/>
      <c r="N22" s="60"/>
      <c r="O22" s="60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/>
      <c r="C23" s="40"/>
      <c r="D23" s="53"/>
      <c r="E23" s="38"/>
      <c r="F23" s="37"/>
      <c r="G23" s="38"/>
      <c r="H23" s="54"/>
      <c r="I23" s="40"/>
      <c r="J23" s="40"/>
      <c r="K23" s="55"/>
      <c r="L23" s="67"/>
      <c r="M23" s="50"/>
      <c r="N23" s="60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/>
      <c r="C24" s="40"/>
      <c r="D24" s="53"/>
      <c r="E24" s="38"/>
      <c r="F24" s="37"/>
      <c r="G24" s="38"/>
      <c r="H24" s="54"/>
      <c r="I24" s="40"/>
      <c r="J24" s="40"/>
      <c r="K24" s="55"/>
      <c r="L24" s="72"/>
      <c r="M24" s="50"/>
      <c r="N24" s="60"/>
      <c r="O24" s="60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2"/>
      <c r="L25" s="72"/>
      <c r="M25" s="50"/>
      <c r="N25" s="60"/>
      <c r="O25" s="60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8"/>
      <c r="E26" s="38"/>
      <c r="F26" s="37"/>
      <c r="G26" s="38"/>
      <c r="H26" s="54"/>
      <c r="I26" s="40"/>
      <c r="J26" s="40"/>
      <c r="K26" s="55"/>
      <c r="L26" s="72"/>
      <c r="M26" s="50"/>
      <c r="N26" s="60"/>
      <c r="O26" s="60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8"/>
      <c r="L27" s="67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7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7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7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7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7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7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8"/>
      <c r="E34" s="38"/>
      <c r="F34" s="37"/>
      <c r="G34" s="38"/>
      <c r="H34" s="54"/>
      <c r="I34" s="38"/>
      <c r="J34" s="38"/>
      <c r="K34" s="55"/>
      <c r="L34" s="73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3"/>
      <c r="D35" s="53"/>
      <c r="E35" s="38"/>
      <c r="F35" s="37"/>
      <c r="G35" s="37"/>
      <c r="H35" s="54"/>
      <c r="I35" s="54"/>
      <c r="J35" s="54"/>
      <c r="K35" s="55"/>
      <c r="L35" s="67"/>
      <c r="M35" s="50"/>
      <c r="N35" s="50"/>
      <c r="O35" s="50"/>
    </row>
    <row r="36" spans="1:16" s="64" customFormat="1" x14ac:dyDescent="0.25">
      <c r="A36" s="44">
        <f t="shared" si="0"/>
        <v>44498</v>
      </c>
      <c r="B36" s="54"/>
      <c r="C36" s="63"/>
      <c r="D36" s="53"/>
      <c r="E36" s="42"/>
      <c r="F36" s="37"/>
      <c r="G36" s="37"/>
      <c r="H36" s="54"/>
      <c r="I36" s="54"/>
      <c r="J36" s="54"/>
      <c r="K36" s="55"/>
      <c r="L36" s="74"/>
    </row>
    <row r="37" spans="1:16" s="64" customFormat="1" x14ac:dyDescent="0.25">
      <c r="A37" s="44">
        <f t="shared" si="0"/>
        <v>44499</v>
      </c>
      <c r="B37" s="54"/>
      <c r="C37" s="63"/>
      <c r="D37" s="53"/>
      <c r="E37" s="42"/>
      <c r="F37" s="37"/>
      <c r="G37" s="37"/>
      <c r="H37" s="54"/>
      <c r="I37" s="54"/>
      <c r="J37" s="54"/>
      <c r="K37" s="55"/>
      <c r="L37" s="67"/>
    </row>
    <row r="38" spans="1:16" ht="15.75" thickBot="1" x14ac:dyDescent="0.3">
      <c r="A38" s="75">
        <f>A37+1</f>
        <v>44500</v>
      </c>
      <c r="B38" s="76"/>
      <c r="C38" s="77"/>
      <c r="D38" s="78"/>
      <c r="E38" s="79"/>
      <c r="F38" s="80"/>
      <c r="G38" s="80"/>
      <c r="H38" s="76"/>
      <c r="I38" s="76"/>
      <c r="J38" s="76"/>
      <c r="K38" s="81"/>
      <c r="L38" s="82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7200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9"/>
      <c r="C41" s="69"/>
      <c r="D41" s="34"/>
      <c r="E41" s="69"/>
      <c r="F41" s="69"/>
      <c r="G41" s="69"/>
      <c r="H41" s="69"/>
      <c r="I41" s="69"/>
      <c r="J41" s="69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2021-10-11T07:11:49Z</dcterms:modified>
</cp:coreProperties>
</file>